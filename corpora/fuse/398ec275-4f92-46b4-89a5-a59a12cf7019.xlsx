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50" yWindow="410" windowWidth="13190" windowHeight="6060" tabRatio="617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H14" i="5"/>
  <c r="G14" i="5"/>
  <c r="F14" i="5"/>
  <c r="E14" i="5"/>
  <c r="D14" i="5"/>
  <c r="C14" i="5"/>
  <c r="I7" i="5"/>
  <c r="H7" i="5"/>
  <c r="G7" i="5"/>
  <c r="F7" i="5"/>
  <c r="E7" i="5"/>
  <c r="C7" i="5"/>
  <c r="D7" i="5"/>
  <c r="I6" i="5"/>
  <c r="H6" i="5"/>
  <c r="G6" i="5"/>
  <c r="F6" i="5"/>
  <c r="E6" i="5"/>
  <c r="D6" i="5"/>
  <c r="C6" i="5"/>
  <c r="AQ613" i="8"/>
  <c r="AP613" i="8"/>
  <c r="AM613" i="8" s="1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 s="1"/>
  <c r="H613" i="8"/>
  <c r="AJ613" i="8" s="1"/>
  <c r="G613" i="8"/>
  <c r="AS613" i="8" s="1"/>
  <c r="F613" i="8"/>
  <c r="AR613" i="8" s="1"/>
  <c r="E613" i="8"/>
  <c r="N613" i="8" s="1"/>
  <c r="D613" i="8"/>
  <c r="AF613" i="8" s="1"/>
  <c r="AC613" i="8" s="1"/>
  <c r="C613" i="8"/>
  <c r="AO613" i="8" s="1"/>
  <c r="B613" i="8"/>
  <c r="AN613" i="8" s="1"/>
  <c r="A613" i="8"/>
  <c r="E825" i="6"/>
  <c r="D825" i="6"/>
  <c r="F825" i="6" s="1"/>
  <c r="C825" i="6"/>
  <c r="B825" i="6"/>
  <c r="H825" i="6" s="1"/>
  <c r="A825" i="6"/>
  <c r="A558" i="3"/>
  <c r="A558" i="2"/>
  <c r="A558" i="1"/>
  <c r="AK613" i="8" l="1"/>
  <c r="AT613" i="8"/>
  <c r="I14" i="5" s="1"/>
  <c r="L613" i="8"/>
  <c r="AD613" i="8"/>
  <c r="AU613" i="8"/>
  <c r="M613" i="8"/>
  <c r="AE613" i="8"/>
  <c r="O613" i="8"/>
  <c r="AH613" i="8"/>
  <c r="AI613" i="8"/>
  <c r="G825" i="6"/>
  <c r="I825" i="6"/>
  <c r="AP612" i="8"/>
  <c r="AM612" i="8" s="1"/>
  <c r="AO612" i="8"/>
  <c r="AF612" i="8"/>
  <c r="AC612" i="8" s="1"/>
  <c r="AA612" i="8"/>
  <c r="Z612" i="8"/>
  <c r="Y612" i="8"/>
  <c r="X612" i="8"/>
  <c r="W612" i="8"/>
  <c r="V612" i="8"/>
  <c r="U612" i="8"/>
  <c r="T612" i="8"/>
  <c r="K612" i="8"/>
  <c r="I612" i="8"/>
  <c r="AU612" i="8" s="1"/>
  <c r="H612" i="8"/>
  <c r="AJ612" i="8" s="1"/>
  <c r="G612" i="8"/>
  <c r="AI612" i="8" s="1"/>
  <c r="F612" i="8"/>
  <c r="AR612" i="8" s="1"/>
  <c r="E612" i="8"/>
  <c r="AG612" i="8" s="1"/>
  <c r="D612" i="8"/>
  <c r="M612" i="8" s="1"/>
  <c r="C612" i="8"/>
  <c r="L612" i="8" s="1"/>
  <c r="B612" i="8"/>
  <c r="AD612" i="8" s="1"/>
  <c r="A612" i="8"/>
  <c r="C9" i="5"/>
  <c r="H824" i="6"/>
  <c r="G824" i="6"/>
  <c r="E824" i="6"/>
  <c r="D824" i="6"/>
  <c r="I824" i="6" s="1"/>
  <c r="C824" i="6"/>
  <c r="B824" i="6"/>
  <c r="A824" i="6"/>
  <c r="A557" i="3"/>
  <c r="A557" i="2"/>
  <c r="A557" i="1"/>
  <c r="O612" i="8" l="1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 s="1"/>
  <c r="H611" i="8"/>
  <c r="AJ611" i="8" s="1"/>
  <c r="G611" i="8"/>
  <c r="AS611" i="8" s="1"/>
  <c r="F611" i="8"/>
  <c r="O611" i="8" s="1"/>
  <c r="E611" i="8"/>
  <c r="AG611" i="8" s="1"/>
  <c r="D611" i="8"/>
  <c r="AP611" i="8" s="1"/>
  <c r="AM611" i="8" s="1"/>
  <c r="C611" i="8"/>
  <c r="AE611" i="8" s="1"/>
  <c r="B611" i="8"/>
  <c r="AN611" i="8" s="1"/>
  <c r="A611" i="8"/>
  <c r="H823" i="6"/>
  <c r="E823" i="6"/>
  <c r="D823" i="6"/>
  <c r="F823" i="6" s="1"/>
  <c r="B823" i="6"/>
  <c r="G823" i="6" s="1"/>
  <c r="A823" i="6"/>
  <c r="A556" i="3"/>
  <c r="A556" i="2"/>
  <c r="A556" i="1"/>
  <c r="P611" i="8" l="1"/>
  <c r="AD611" i="8"/>
  <c r="N611" i="8"/>
  <c r="AF611" i="8"/>
  <c r="AC611" i="8" s="1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 s="1"/>
  <c r="H610" i="8"/>
  <c r="AT610" i="8" s="1"/>
  <c r="G610" i="8"/>
  <c r="AS610" i="8" s="1"/>
  <c r="F610" i="8"/>
  <c r="O610" i="8" s="1"/>
  <c r="E610" i="8"/>
  <c r="AG610" i="8" s="1"/>
  <c r="D610" i="8"/>
  <c r="AP610" i="8" s="1"/>
  <c r="AM610" i="8" s="1"/>
  <c r="C610" i="8"/>
  <c r="L610" i="8" s="1"/>
  <c r="B610" i="8"/>
  <c r="AD610" i="8" s="1"/>
  <c r="A610" i="8"/>
  <c r="I822" i="6"/>
  <c r="H822" i="6"/>
  <c r="G822" i="6"/>
  <c r="F822" i="6"/>
  <c r="E822" i="6"/>
  <c r="D822" i="6"/>
  <c r="B822" i="6"/>
  <c r="C822" i="6" s="1"/>
  <c r="A822" i="6"/>
  <c r="A555" i="3"/>
  <c r="A555" i="2"/>
  <c r="A555" i="1"/>
  <c r="P610" i="8" l="1"/>
  <c r="M610" i="8"/>
  <c r="AN610" i="8"/>
  <c r="N610" i="8"/>
  <c r="AF610" i="8"/>
  <c r="AC610" i="8" s="1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 s="1"/>
  <c r="H609" i="8"/>
  <c r="AJ609" i="8" s="1"/>
  <c r="G609" i="8"/>
  <c r="AS609" i="8" s="1"/>
  <c r="F609" i="8"/>
  <c r="AR609" i="8" s="1"/>
  <c r="E609" i="8"/>
  <c r="AQ609" i="8" s="1"/>
  <c r="D609" i="8"/>
  <c r="AP609" i="8" s="1"/>
  <c r="AM609" i="8" s="1"/>
  <c r="C609" i="8"/>
  <c r="AO609" i="8" s="1"/>
  <c r="B609" i="8"/>
  <c r="AN609" i="8" s="1"/>
  <c r="A609" i="8"/>
  <c r="I821" i="6"/>
  <c r="H821" i="6"/>
  <c r="G821" i="6"/>
  <c r="E821" i="6"/>
  <c r="D821" i="6"/>
  <c r="F821" i="6" s="1"/>
  <c r="B821" i="6"/>
  <c r="C821" i="6" s="1"/>
  <c r="A821" i="6"/>
  <c r="A554" i="3"/>
  <c r="A554" i="2"/>
  <c r="A554" i="1"/>
  <c r="L609" i="8" l="1"/>
  <c r="AD609" i="8"/>
  <c r="M609" i="8"/>
  <c r="AE609" i="8"/>
  <c r="N609" i="8"/>
  <c r="AF609" i="8"/>
  <c r="AC609" i="8" s="1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 s="1"/>
  <c r="H608" i="8"/>
  <c r="Q608" i="8" s="1"/>
  <c r="G608" i="8"/>
  <c r="AI608" i="8" s="1"/>
  <c r="F608" i="8"/>
  <c r="AR608" i="8" s="1"/>
  <c r="E608" i="8"/>
  <c r="AQ608" i="8" s="1"/>
  <c r="D608" i="8"/>
  <c r="AP608" i="8" s="1"/>
  <c r="AM608" i="8" s="1"/>
  <c r="C608" i="8"/>
  <c r="AO608" i="8" s="1"/>
  <c r="B608" i="8"/>
  <c r="AN608" i="8" s="1"/>
  <c r="A608" i="8"/>
  <c r="I820" i="6"/>
  <c r="H820" i="6"/>
  <c r="E820" i="6"/>
  <c r="D820" i="6"/>
  <c r="F820" i="6" s="1"/>
  <c r="B820" i="6"/>
  <c r="G820" i="6" s="1"/>
  <c r="A820" i="6"/>
  <c r="A553" i="3"/>
  <c r="A553" i="2"/>
  <c r="A553" i="1"/>
  <c r="L608" i="8" l="1"/>
  <c r="AD608" i="8"/>
  <c r="AU608" i="8"/>
  <c r="M608" i="8"/>
  <c r="AE608" i="8"/>
  <c r="N608" i="8"/>
  <c r="AF608" i="8"/>
  <c r="AC608" i="8" s="1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 s="1"/>
  <c r="H607" i="8"/>
  <c r="AT607" i="8" s="1"/>
  <c r="G607" i="8"/>
  <c r="AS607" i="8" s="1"/>
  <c r="F607" i="8"/>
  <c r="O607" i="8" s="1"/>
  <c r="E607" i="8"/>
  <c r="AG607" i="8" s="1"/>
  <c r="D607" i="8"/>
  <c r="AP607" i="8" s="1"/>
  <c r="AM607" i="8" s="1"/>
  <c r="C607" i="8"/>
  <c r="AO607" i="8" s="1"/>
  <c r="B607" i="8"/>
  <c r="AN607" i="8" s="1"/>
  <c r="A607" i="8"/>
  <c r="I819" i="6"/>
  <c r="E819" i="6"/>
  <c r="D819" i="6"/>
  <c r="F819" i="6" s="1"/>
  <c r="C819" i="6"/>
  <c r="B819" i="6"/>
  <c r="H819" i="6" s="1"/>
  <c r="A819" i="6"/>
  <c r="A552" i="3"/>
  <c r="A552" i="2"/>
  <c r="A552" i="1"/>
  <c r="L607" i="8" l="1"/>
  <c r="AD607" i="8"/>
  <c r="M607" i="8"/>
  <c r="AE607" i="8"/>
  <c r="N607" i="8"/>
  <c r="AF607" i="8"/>
  <c r="AC607" i="8" s="1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 s="1"/>
  <c r="H606" i="8"/>
  <c r="AT606" i="8" s="1"/>
  <c r="G606" i="8"/>
  <c r="AS606" i="8" s="1"/>
  <c r="F606" i="8"/>
  <c r="O606" i="8" s="1"/>
  <c r="E606" i="8"/>
  <c r="AG606" i="8" s="1"/>
  <c r="D606" i="8"/>
  <c r="AP606" i="8" s="1"/>
  <c r="C606" i="8"/>
  <c r="AO606" i="8" s="1"/>
  <c r="B606" i="8"/>
  <c r="AN606" i="8" s="1"/>
  <c r="A606" i="8"/>
  <c r="I818" i="6"/>
  <c r="H818" i="6"/>
  <c r="G818" i="6"/>
  <c r="F818" i="6"/>
  <c r="E818" i="6"/>
  <c r="D818" i="6"/>
  <c r="B818" i="6"/>
  <c r="C818" i="6" s="1"/>
  <c r="A818" i="6"/>
  <c r="AM606" i="8" l="1"/>
  <c r="AF606" i="8"/>
  <c r="AC606" i="8" s="1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 s="1"/>
  <c r="H605" i="8"/>
  <c r="Q605" i="8" s="1"/>
  <c r="G605" i="8"/>
  <c r="AS605" i="8" s="1"/>
  <c r="F605" i="8"/>
  <c r="AR605" i="8" s="1"/>
  <c r="E605" i="8"/>
  <c r="AQ605" i="8" s="1"/>
  <c r="D605" i="8"/>
  <c r="AP605" i="8" s="1"/>
  <c r="AM605" i="8" s="1"/>
  <c r="C605" i="8"/>
  <c r="AO605" i="8" s="1"/>
  <c r="B605" i="8"/>
  <c r="AN605" i="8" s="1"/>
  <c r="A605" i="8"/>
  <c r="I817" i="6"/>
  <c r="F817" i="6"/>
  <c r="E817" i="6"/>
  <c r="D817" i="6"/>
  <c r="B817" i="6"/>
  <c r="H817" i="6" s="1"/>
  <c r="A817" i="6"/>
  <c r="A550" i="3"/>
  <c r="A550" i="2"/>
  <c r="AK605" i="8" l="1"/>
  <c r="L605" i="8"/>
  <c r="AD605" i="8"/>
  <c r="M605" i="8"/>
  <c r="AE605" i="8"/>
  <c r="N605" i="8"/>
  <c r="AF605" i="8"/>
  <c r="AC605" i="8" s="1"/>
  <c r="O605" i="8"/>
  <c r="AG605" i="8"/>
  <c r="P605" i="8"/>
  <c r="AH605" i="8"/>
  <c r="AI605" i="8"/>
  <c r="R605" i="8"/>
  <c r="C817" i="6"/>
  <c r="G817" i="6"/>
  <c r="A550" i="1" l="1"/>
  <c r="AS604" i="8" l="1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 s="1"/>
  <c r="H604" i="8"/>
  <c r="AT604" i="8" s="1"/>
  <c r="G604" i="8"/>
  <c r="P604" i="8" s="1"/>
  <c r="F604" i="8"/>
  <c r="AH604" i="8" s="1"/>
  <c r="E604" i="8"/>
  <c r="AQ604" i="8" s="1"/>
  <c r="D604" i="8"/>
  <c r="AF604" i="8" s="1"/>
  <c r="AC604" i="8" s="1"/>
  <c r="C604" i="8"/>
  <c r="AE604" i="8" s="1"/>
  <c r="B604" i="8"/>
  <c r="AN604" i="8" s="1"/>
  <c r="A604" i="8"/>
  <c r="G816" i="6"/>
  <c r="F816" i="6"/>
  <c r="E816" i="6"/>
  <c r="D816" i="6"/>
  <c r="B816" i="6"/>
  <c r="I816" i="6" s="1"/>
  <c r="A816" i="6"/>
  <c r="A549" i="3"/>
  <c r="A549" i="2"/>
  <c r="A549" i="1"/>
  <c r="Q604" i="8" l="1"/>
  <c r="R604" i="8"/>
  <c r="AJ604" i="8"/>
  <c r="AK604" i="8"/>
  <c r="L604" i="8"/>
  <c r="AD604" i="8"/>
  <c r="N604" i="8"/>
  <c r="AO604" i="8"/>
  <c r="O604" i="8"/>
  <c r="AG604" i="8"/>
  <c r="AP604" i="8"/>
  <c r="AM604" i="8" s="1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 s="1"/>
  <c r="H603" i="8"/>
  <c r="AT603" i="8" s="1"/>
  <c r="G603" i="8"/>
  <c r="P603" i="8" s="1"/>
  <c r="F603" i="8"/>
  <c r="AH603" i="8" s="1"/>
  <c r="E603" i="8"/>
  <c r="AQ603" i="8" s="1"/>
  <c r="D603" i="8"/>
  <c r="AP603" i="8" s="1"/>
  <c r="AM603" i="8" s="1"/>
  <c r="C603" i="8"/>
  <c r="AO603" i="8" s="1"/>
  <c r="B603" i="8"/>
  <c r="AN603" i="8" s="1"/>
  <c r="A603" i="8"/>
  <c r="I815" i="6"/>
  <c r="H815" i="6"/>
  <c r="G815" i="6"/>
  <c r="F815" i="6"/>
  <c r="E815" i="6"/>
  <c r="D815" i="6"/>
  <c r="B815" i="6"/>
  <c r="C815" i="6" s="1"/>
  <c r="A815" i="6"/>
  <c r="A548" i="3"/>
  <c r="A548" i="2"/>
  <c r="A548" i="1"/>
  <c r="Q603" i="8" l="1"/>
  <c r="R603" i="8"/>
  <c r="AJ603" i="8"/>
  <c r="K603" i="8"/>
  <c r="AK603" i="8"/>
  <c r="L603" i="8"/>
  <c r="AD603" i="8"/>
  <c r="M603" i="8"/>
  <c r="AE603" i="8"/>
  <c r="N603" i="8"/>
  <c r="AF603" i="8"/>
  <c r="AC603" i="8" s="1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 s="1"/>
  <c r="H602" i="8"/>
  <c r="Q602" i="8" s="1"/>
  <c r="G602" i="8"/>
  <c r="AI602" i="8" s="1"/>
  <c r="F602" i="8"/>
  <c r="AR602" i="8" s="1"/>
  <c r="E602" i="8"/>
  <c r="AQ602" i="8" s="1"/>
  <c r="D602" i="8"/>
  <c r="M602" i="8" s="1"/>
  <c r="C602" i="8"/>
  <c r="L602" i="8" s="1"/>
  <c r="B602" i="8"/>
  <c r="AD602" i="8" s="1"/>
  <c r="A602" i="8"/>
  <c r="I814" i="6"/>
  <c r="E814" i="6"/>
  <c r="D814" i="6"/>
  <c r="F814" i="6" s="1"/>
  <c r="B814" i="6"/>
  <c r="H814" i="6" s="1"/>
  <c r="A814" i="6"/>
  <c r="A547" i="3"/>
  <c r="A547" i="2"/>
  <c r="A547" i="1"/>
  <c r="N602" i="8" l="1"/>
  <c r="AF602" i="8"/>
  <c r="O602" i="8"/>
  <c r="AG602" i="8"/>
  <c r="AP602" i="8"/>
  <c r="P602" i="8"/>
  <c r="AH602" i="8"/>
  <c r="R602" i="8"/>
  <c r="AK602" i="8"/>
  <c r="C814" i="6"/>
  <c r="G814" i="6"/>
  <c r="AP601" i="8"/>
  <c r="AM601" i="8" s="1"/>
  <c r="AO601" i="8"/>
  <c r="AF601" i="8"/>
  <c r="AC601" i="8" s="1"/>
  <c r="AA601" i="8"/>
  <c r="Z601" i="8"/>
  <c r="Y601" i="8"/>
  <c r="X601" i="8"/>
  <c r="W601" i="8"/>
  <c r="V601" i="8"/>
  <c r="U601" i="8"/>
  <c r="T601" i="8"/>
  <c r="K601" i="8"/>
  <c r="I601" i="8"/>
  <c r="R601" i="8" s="1"/>
  <c r="H601" i="8"/>
  <c r="AJ601" i="8" s="1"/>
  <c r="G601" i="8"/>
  <c r="AI601" i="8" s="1"/>
  <c r="F601" i="8"/>
  <c r="AR601" i="8" s="1"/>
  <c r="E601" i="8"/>
  <c r="AQ601" i="8" s="1"/>
  <c r="D601" i="8"/>
  <c r="M601" i="8" s="1"/>
  <c r="C601" i="8"/>
  <c r="AE601" i="8" s="1"/>
  <c r="B601" i="8"/>
  <c r="AN601" i="8" s="1"/>
  <c r="A601" i="8"/>
  <c r="H813" i="6"/>
  <c r="G813" i="6"/>
  <c r="E813" i="6"/>
  <c r="D813" i="6"/>
  <c r="F813" i="6" s="1"/>
  <c r="C813" i="6"/>
  <c r="B813" i="6"/>
  <c r="A813" i="6"/>
  <c r="A546" i="3"/>
  <c r="A546" i="2"/>
  <c r="A546" i="1"/>
  <c r="AM602" i="8" l="1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 s="1"/>
  <c r="H600" i="8"/>
  <c r="Q600" i="8" s="1"/>
  <c r="G600" i="8"/>
  <c r="AI600" i="8" s="1"/>
  <c r="F600" i="8"/>
  <c r="AR600" i="8" s="1"/>
  <c r="E600" i="8"/>
  <c r="AQ600" i="8" s="1"/>
  <c r="D600" i="8"/>
  <c r="AP600" i="8" s="1"/>
  <c r="AM600" i="8" s="1"/>
  <c r="C600" i="8"/>
  <c r="L600" i="8" s="1"/>
  <c r="B600" i="8"/>
  <c r="AD600" i="8" s="1"/>
  <c r="A600" i="8"/>
  <c r="E812" i="6"/>
  <c r="D812" i="6"/>
  <c r="F812" i="6" s="1"/>
  <c r="B812" i="6"/>
  <c r="I812" i="6" s="1"/>
  <c r="A812" i="6"/>
  <c r="A545" i="3"/>
  <c r="A545" i="2"/>
  <c r="A545" i="1"/>
  <c r="M600" i="8" l="1"/>
  <c r="AE600" i="8"/>
  <c r="AN600" i="8"/>
  <c r="N600" i="8"/>
  <c r="AF600" i="8"/>
  <c r="AC600" i="8" s="1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 s="1"/>
  <c r="H599" i="8"/>
  <c r="AT599" i="8" s="1"/>
  <c r="G599" i="8"/>
  <c r="AS599" i="8" s="1"/>
  <c r="F599" i="8"/>
  <c r="O599" i="8" s="1"/>
  <c r="E599" i="8"/>
  <c r="AG599" i="8" s="1"/>
  <c r="D599" i="8"/>
  <c r="AP599" i="8" s="1"/>
  <c r="AM599" i="8" s="1"/>
  <c r="C599" i="8"/>
  <c r="L599" i="8" s="1"/>
  <c r="B599" i="8"/>
  <c r="AD599" i="8" s="1"/>
  <c r="A599" i="8"/>
  <c r="I811" i="6"/>
  <c r="H811" i="6"/>
  <c r="G811" i="6"/>
  <c r="F811" i="6"/>
  <c r="E811" i="6"/>
  <c r="D811" i="6"/>
  <c r="B811" i="6"/>
  <c r="C811" i="6" s="1"/>
  <c r="A811" i="6"/>
  <c r="A544" i="3"/>
  <c r="A544" i="2"/>
  <c r="A544" i="1"/>
  <c r="Q599" i="8" l="1"/>
  <c r="AI599" i="8"/>
  <c r="M599" i="8"/>
  <c r="AN599" i="8"/>
  <c r="N599" i="8"/>
  <c r="AF599" i="8"/>
  <c r="AC599" i="8" s="1"/>
  <c r="AO599" i="8"/>
  <c r="AJ599" i="8"/>
  <c r="AK599" i="8"/>
  <c r="E810" i="6"/>
  <c r="B810" i="6"/>
  <c r="A810" i="6"/>
  <c r="I598" i="8" l="1"/>
  <c r="H598" i="8"/>
  <c r="G598" i="8"/>
  <c r="F598" i="8"/>
  <c r="E598" i="8"/>
  <c r="D598" i="8"/>
  <c r="C598" i="8"/>
  <c r="B598" i="8"/>
  <c r="A598" i="8"/>
  <c r="A543" i="3"/>
  <c r="A543" i="2"/>
  <c r="I597" i="8" l="1"/>
  <c r="H597" i="8"/>
  <c r="G597" i="8"/>
  <c r="F597" i="8"/>
  <c r="E597" i="8"/>
  <c r="D597" i="8"/>
  <c r="C597" i="8"/>
  <c r="B597" i="8"/>
  <c r="A597" i="8"/>
  <c r="E809" i="6" l="1"/>
  <c r="B809" i="6"/>
  <c r="A809" i="6"/>
  <c r="G810" i="6" l="1"/>
  <c r="A542" i="2" l="1"/>
  <c r="I596" i="8" l="1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 l="1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 l="1"/>
  <c r="N598" i="8"/>
  <c r="Q598" i="8"/>
  <c r="R598" i="8"/>
  <c r="K598" i="8"/>
  <c r="L598" i="8"/>
  <c r="M598" i="8"/>
  <c r="O598" i="8"/>
  <c r="P598" i="8"/>
  <c r="G808" i="6"/>
  <c r="I594" i="8" l="1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 l="1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 l="1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 s="1"/>
  <c r="A804" i="6"/>
  <c r="A537" i="3"/>
  <c r="A537" i="2"/>
  <c r="L595" i="8" l="1"/>
  <c r="M595" i="8"/>
  <c r="G805" i="6"/>
  <c r="N595" i="8"/>
  <c r="P595" i="8"/>
  <c r="K595" i="8"/>
  <c r="G804" i="6"/>
  <c r="Q595" i="8"/>
  <c r="O595" i="8"/>
  <c r="R595" i="8"/>
  <c r="I591" i="8"/>
  <c r="R594" i="8" s="1"/>
  <c r="H591" i="8"/>
  <c r="Q594" i="8" s="1"/>
  <c r="G591" i="8"/>
  <c r="P594" i="8" s="1"/>
  <c r="F591" i="8"/>
  <c r="O594" i="8" s="1"/>
  <c r="E591" i="8"/>
  <c r="N594" i="8" s="1"/>
  <c r="D591" i="8"/>
  <c r="M594" i="8" s="1"/>
  <c r="C591" i="8"/>
  <c r="L594" i="8" s="1"/>
  <c r="B591" i="8"/>
  <c r="K594" i="8" s="1"/>
  <c r="A591" i="8"/>
  <c r="B803" i="6"/>
  <c r="C806" i="6" s="1"/>
  <c r="A803" i="6"/>
  <c r="A536" i="3"/>
  <c r="A536" i="2"/>
  <c r="I590" i="8" l="1"/>
  <c r="R593" i="8" s="1"/>
  <c r="H590" i="8"/>
  <c r="Q593" i="8" s="1"/>
  <c r="G590" i="8"/>
  <c r="P593" i="8" s="1"/>
  <c r="F590" i="8"/>
  <c r="O593" i="8" s="1"/>
  <c r="E590" i="8"/>
  <c r="N593" i="8" s="1"/>
  <c r="D590" i="8"/>
  <c r="M593" i="8" s="1"/>
  <c r="C590" i="8"/>
  <c r="L593" i="8" s="1"/>
  <c r="B590" i="8"/>
  <c r="K593" i="8" s="1"/>
  <c r="A590" i="8"/>
  <c r="B802" i="6"/>
  <c r="C805" i="6" s="1"/>
  <c r="A802" i="6"/>
  <c r="A535" i="3"/>
  <c r="A535" i="2"/>
  <c r="G803" i="6" l="1"/>
  <c r="I589" i="8"/>
  <c r="R592" i="8" s="1"/>
  <c r="H589" i="8"/>
  <c r="Q592" i="8" s="1"/>
  <c r="G589" i="8"/>
  <c r="P592" i="8" s="1"/>
  <c r="F589" i="8"/>
  <c r="O592" i="8" s="1"/>
  <c r="E589" i="8"/>
  <c r="N592" i="8" s="1"/>
  <c r="D589" i="8"/>
  <c r="M592" i="8" s="1"/>
  <c r="C589" i="8"/>
  <c r="L592" i="8" s="1"/>
  <c r="B589" i="8"/>
  <c r="K592" i="8" s="1"/>
  <c r="A589" i="8"/>
  <c r="B801" i="6"/>
  <c r="C804" i="6" s="1"/>
  <c r="A801" i="6"/>
  <c r="A534" i="3"/>
  <c r="A534" i="2"/>
  <c r="G802" i="6" l="1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 l="1"/>
  <c r="Q591" i="8"/>
  <c r="R591" i="8"/>
  <c r="K591" i="8"/>
  <c r="M591" i="8"/>
  <c r="N591" i="8"/>
  <c r="O591" i="8"/>
  <c r="C803" i="6"/>
  <c r="G801" i="6"/>
  <c r="P591" i="8"/>
  <c r="E10" i="5" l="1"/>
  <c r="I587" i="8" l="1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 l="1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 l="1"/>
  <c r="L589" i="8"/>
  <c r="C801" i="6"/>
  <c r="G799" i="6"/>
  <c r="M589" i="8"/>
  <c r="O589" i="8"/>
  <c r="P589" i="8"/>
  <c r="K589" i="8"/>
  <c r="N589" i="8"/>
  <c r="Q589" i="8"/>
  <c r="B797" i="6"/>
  <c r="C800" i="6" s="1"/>
  <c r="I585" i="8"/>
  <c r="H585" i="8"/>
  <c r="G585" i="8"/>
  <c r="F585" i="8"/>
  <c r="E585" i="8"/>
  <c r="D585" i="8"/>
  <c r="C585" i="8"/>
  <c r="B585" i="8"/>
  <c r="A585" i="8"/>
  <c r="Q588" i="8" l="1"/>
  <c r="R588" i="8"/>
  <c r="K588" i="8"/>
  <c r="L588" i="8"/>
  <c r="M588" i="8"/>
  <c r="N588" i="8"/>
  <c r="O588" i="8"/>
  <c r="P588" i="8"/>
  <c r="G798" i="6"/>
  <c r="A797" i="6"/>
  <c r="A530" i="3"/>
  <c r="A530" i="2"/>
  <c r="I584" i="8" l="1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 l="1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 s="1"/>
  <c r="A795" i="6"/>
  <c r="A528" i="3"/>
  <c r="A528" i="2"/>
  <c r="M586" i="8" l="1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 l="1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 l="1"/>
  <c r="P584" i="8"/>
  <c r="C796" i="6"/>
  <c r="Q584" i="8"/>
  <c r="R584" i="8"/>
  <c r="L584" i="8"/>
  <c r="G794" i="6"/>
  <c r="M584" i="8"/>
  <c r="N584" i="8"/>
  <c r="O584" i="8"/>
  <c r="I580" i="8"/>
  <c r="R583" i="8" s="1"/>
  <c r="H580" i="8"/>
  <c r="Q583" i="8" s="1"/>
  <c r="G580" i="8"/>
  <c r="P583" i="8" s="1"/>
  <c r="F580" i="8"/>
  <c r="O583" i="8" s="1"/>
  <c r="E580" i="8"/>
  <c r="N583" i="8" s="1"/>
  <c r="D580" i="8"/>
  <c r="M583" i="8" s="1"/>
  <c r="C580" i="8"/>
  <c r="L583" i="8" s="1"/>
  <c r="B580" i="8"/>
  <c r="K583" i="8" s="1"/>
  <c r="A580" i="8"/>
  <c r="B792" i="6"/>
  <c r="A792" i="6"/>
  <c r="A525" i="3"/>
  <c r="A525" i="2"/>
  <c r="C795" i="6" l="1"/>
  <c r="G793" i="6"/>
  <c r="I579" i="8"/>
  <c r="R582" i="8" s="1"/>
  <c r="H579" i="8"/>
  <c r="Q582" i="8" s="1"/>
  <c r="G579" i="8"/>
  <c r="P582" i="8" s="1"/>
  <c r="F579" i="8"/>
  <c r="O582" i="8" s="1"/>
  <c r="E579" i="8"/>
  <c r="N582" i="8" s="1"/>
  <c r="D579" i="8"/>
  <c r="M582" i="8" s="1"/>
  <c r="C579" i="8"/>
  <c r="L582" i="8" s="1"/>
  <c r="B579" i="8"/>
  <c r="K582" i="8" s="1"/>
  <c r="A579" i="8"/>
  <c r="B791" i="6"/>
  <c r="C794" i="6" s="1"/>
  <c r="A791" i="6"/>
  <c r="A524" i="3"/>
  <c r="A524" i="2"/>
  <c r="G792" i="6" l="1"/>
  <c r="I578" i="8"/>
  <c r="R581" i="8" s="1"/>
  <c r="H578" i="8"/>
  <c r="Q581" i="8" s="1"/>
  <c r="G578" i="8"/>
  <c r="P581" i="8" s="1"/>
  <c r="F578" i="8"/>
  <c r="O581" i="8" s="1"/>
  <c r="E578" i="8"/>
  <c r="N581" i="8" s="1"/>
  <c r="D578" i="8"/>
  <c r="M581" i="8" s="1"/>
  <c r="C578" i="8"/>
  <c r="L581" i="8" s="1"/>
  <c r="B578" i="8"/>
  <c r="K581" i="8" s="1"/>
  <c r="A578" i="8"/>
  <c r="B790" i="6"/>
  <c r="C793" i="6" s="1"/>
  <c r="A790" i="6"/>
  <c r="A523" i="3"/>
  <c r="A523" i="2"/>
  <c r="G791" i="6" l="1"/>
  <c r="I577" i="8" l="1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 l="1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 l="1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 s="1"/>
  <c r="A787" i="6"/>
  <c r="A520" i="3"/>
  <c r="A520" i="2"/>
  <c r="O578" i="8" l="1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 l="1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 s="1"/>
  <c r="A785" i="6"/>
  <c r="A518" i="3"/>
  <c r="A518" i="2"/>
  <c r="C788" i="6" l="1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 l="1"/>
  <c r="N575" i="8"/>
  <c r="O575" i="8"/>
  <c r="P575" i="8"/>
  <c r="G785" i="6"/>
  <c r="Q575" i="8"/>
  <c r="L575" i="8"/>
  <c r="R575" i="8"/>
  <c r="K575" i="8"/>
  <c r="M575" i="8"/>
  <c r="I571" i="8" l="1"/>
  <c r="R574" i="8" s="1"/>
  <c r="H571" i="8"/>
  <c r="Q574" i="8" s="1"/>
  <c r="G571" i="8"/>
  <c r="P574" i="8" s="1"/>
  <c r="F571" i="8"/>
  <c r="O574" i="8" s="1"/>
  <c r="E571" i="8"/>
  <c r="N574" i="8" s="1"/>
  <c r="D571" i="8"/>
  <c r="M574" i="8" s="1"/>
  <c r="C571" i="8"/>
  <c r="L574" i="8" s="1"/>
  <c r="B571" i="8"/>
  <c r="K574" i="8" s="1"/>
  <c r="A571" i="8"/>
  <c r="B783" i="6" l="1"/>
  <c r="A783" i="6"/>
  <c r="A516" i="3"/>
  <c r="A516" i="2"/>
  <c r="C786" i="6" l="1"/>
  <c r="G784" i="6"/>
  <c r="I569" i="8"/>
  <c r="I568" i="8"/>
  <c r="I567" i="8"/>
  <c r="I513" i="3"/>
  <c r="A512" i="3"/>
  <c r="A513" i="3" s="1"/>
  <c r="A514" i="3" s="1"/>
  <c r="A515" i="3" s="1"/>
  <c r="A513" i="2"/>
  <c r="A514" i="2" s="1"/>
  <c r="A515" i="2" s="1"/>
  <c r="B782" i="6"/>
  <c r="B781" i="6"/>
  <c r="C784" i="6" s="1"/>
  <c r="B780" i="6"/>
  <c r="B779" i="6"/>
  <c r="A779" i="6"/>
  <c r="A780" i="6" s="1"/>
  <c r="A781" i="6" s="1"/>
  <c r="A782" i="6" s="1"/>
  <c r="I570" i="8"/>
  <c r="R573" i="8" s="1"/>
  <c r="H570" i="8"/>
  <c r="Q573" i="8" s="1"/>
  <c r="G570" i="8"/>
  <c r="P573" i="8" s="1"/>
  <c r="F570" i="8"/>
  <c r="O573" i="8" s="1"/>
  <c r="E570" i="8"/>
  <c r="N573" i="8" s="1"/>
  <c r="D570" i="8"/>
  <c r="M573" i="8" s="1"/>
  <c r="C570" i="8"/>
  <c r="L573" i="8" s="1"/>
  <c r="B570" i="8"/>
  <c r="K573" i="8" s="1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 s="1"/>
  <c r="A569" i="8" s="1"/>
  <c r="A570" i="8" s="1"/>
  <c r="Q572" i="8" l="1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 l="1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 l="1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 l="1"/>
  <c r="O568" i="8"/>
  <c r="P568" i="8"/>
  <c r="K568" i="8"/>
  <c r="L568" i="8"/>
  <c r="M568" i="8"/>
  <c r="R568" i="8"/>
  <c r="N568" i="8"/>
  <c r="B777" i="6" l="1"/>
  <c r="A777" i="6"/>
  <c r="C780" i="6" l="1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 l="1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 s="1"/>
  <c r="A775" i="6"/>
  <c r="G776" i="6" l="1"/>
  <c r="N566" i="8"/>
  <c r="M566" i="8"/>
  <c r="P566" i="8"/>
  <c r="O566" i="8"/>
  <c r="R566" i="8"/>
  <c r="K566" i="8"/>
  <c r="Q566" i="8"/>
  <c r="L566" i="8"/>
  <c r="I562" i="8" l="1"/>
  <c r="H562" i="8"/>
  <c r="G562" i="8"/>
  <c r="F562" i="8"/>
  <c r="E562" i="8"/>
  <c r="D562" i="8"/>
  <c r="C562" i="8"/>
  <c r="B562" i="8"/>
  <c r="A562" i="8"/>
  <c r="B774" i="6"/>
  <c r="A774" i="6"/>
  <c r="R565" i="8" l="1"/>
  <c r="O565" i="8"/>
  <c r="K565" i="8"/>
  <c r="C777" i="6"/>
  <c r="G775" i="6"/>
  <c r="P565" i="8"/>
  <c r="Q565" i="8"/>
  <c r="L565" i="8"/>
  <c r="M565" i="8"/>
  <c r="N565" i="8"/>
  <c r="A561" i="8" l="1"/>
  <c r="B561" i="8"/>
  <c r="C561" i="8"/>
  <c r="L564" i="8" s="1"/>
  <c r="D561" i="8"/>
  <c r="M564" i="8" s="1"/>
  <c r="E561" i="8"/>
  <c r="F561" i="8"/>
  <c r="G561" i="8"/>
  <c r="P564" i="8" s="1"/>
  <c r="H561" i="8"/>
  <c r="Q564" i="8" s="1"/>
  <c r="I561" i="8"/>
  <c r="B773" i="6"/>
  <c r="A773" i="6"/>
  <c r="C776" i="6" l="1"/>
  <c r="G774" i="6"/>
  <c r="N564" i="8"/>
  <c r="K564" i="8"/>
  <c r="O564" i="8"/>
  <c r="R564" i="8"/>
  <c r="I560" i="8"/>
  <c r="R563" i="8" s="1"/>
  <c r="H560" i="8"/>
  <c r="Q563" i="8" s="1"/>
  <c r="G560" i="8"/>
  <c r="P563" i="8" s="1"/>
  <c r="F560" i="8"/>
  <c r="O563" i="8" s="1"/>
  <c r="E560" i="8"/>
  <c r="N563" i="8" s="1"/>
  <c r="D560" i="8"/>
  <c r="M563" i="8" s="1"/>
  <c r="C560" i="8"/>
  <c r="L563" i="8" s="1"/>
  <c r="B560" i="8"/>
  <c r="K563" i="8" s="1"/>
  <c r="A560" i="8"/>
  <c r="B772" i="6"/>
  <c r="C775" i="6" s="1"/>
  <c r="A772" i="6"/>
  <c r="G773" i="6" l="1"/>
  <c r="I559" i="8"/>
  <c r="R562" i="8" s="1"/>
  <c r="H559" i="8"/>
  <c r="Q562" i="8" s="1"/>
  <c r="G559" i="8"/>
  <c r="P562" i="8" s="1"/>
  <c r="F559" i="8"/>
  <c r="O562" i="8" s="1"/>
  <c r="E559" i="8"/>
  <c r="N562" i="8" s="1"/>
  <c r="D559" i="8"/>
  <c r="M562" i="8" s="1"/>
  <c r="C559" i="8"/>
  <c r="L562" i="8" s="1"/>
  <c r="B559" i="8"/>
  <c r="K562" i="8" s="1"/>
  <c r="A559" i="8"/>
  <c r="B771" i="6"/>
  <c r="A771" i="6"/>
  <c r="G772" i="6" l="1"/>
  <c r="C774" i="6"/>
  <c r="I558" i="8"/>
  <c r="R561" i="8" s="1"/>
  <c r="H558" i="8"/>
  <c r="Q561" i="8" s="1"/>
  <c r="G558" i="8"/>
  <c r="P561" i="8" s="1"/>
  <c r="F558" i="8"/>
  <c r="O561" i="8" s="1"/>
  <c r="E558" i="8"/>
  <c r="N561" i="8" s="1"/>
  <c r="D558" i="8"/>
  <c r="M561" i="8" s="1"/>
  <c r="C558" i="8"/>
  <c r="L561" i="8" s="1"/>
  <c r="B558" i="8"/>
  <c r="K561" i="8" s="1"/>
  <c r="A558" i="8"/>
  <c r="B770" i="6"/>
  <c r="C773" i="6" s="1"/>
  <c r="A770" i="6"/>
  <c r="G771" i="6" l="1"/>
  <c r="I557" i="8"/>
  <c r="H557" i="8"/>
  <c r="G557" i="8"/>
  <c r="F557" i="8"/>
  <c r="E557" i="8"/>
  <c r="D557" i="8"/>
  <c r="C557" i="8"/>
  <c r="B557" i="8"/>
  <c r="K560" i="8" s="1"/>
  <c r="A557" i="8"/>
  <c r="B769" i="6"/>
  <c r="G770" i="6" s="1"/>
  <c r="A769" i="6"/>
  <c r="M560" i="8" l="1"/>
  <c r="N560" i="8"/>
  <c r="C772" i="6"/>
  <c r="O560" i="8"/>
  <c r="P560" i="8"/>
  <c r="Q560" i="8"/>
  <c r="R560" i="8"/>
  <c r="L560" i="8"/>
  <c r="I556" i="8" l="1"/>
  <c r="H556" i="8"/>
  <c r="G556" i="8"/>
  <c r="F556" i="8"/>
  <c r="E556" i="8"/>
  <c r="D556" i="8"/>
  <c r="C556" i="8"/>
  <c r="B556" i="8"/>
  <c r="A556" i="8"/>
  <c r="B768" i="6"/>
  <c r="A768" i="6"/>
  <c r="N559" i="8" l="1"/>
  <c r="O559" i="8"/>
  <c r="Q559" i="8"/>
  <c r="R559" i="8"/>
  <c r="P559" i="8"/>
  <c r="L559" i="8"/>
  <c r="G768" i="6"/>
  <c r="C771" i="6"/>
  <c r="G769" i="6"/>
  <c r="M559" i="8"/>
  <c r="K559" i="8"/>
  <c r="I555" i="8"/>
  <c r="R558" i="8" s="1"/>
  <c r="H555" i="8"/>
  <c r="Q558" i="8" s="1"/>
  <c r="G555" i="8"/>
  <c r="P558" i="8" s="1"/>
  <c r="F555" i="8"/>
  <c r="O558" i="8" s="1"/>
  <c r="E555" i="8"/>
  <c r="N558" i="8" s="1"/>
  <c r="D555" i="8"/>
  <c r="M558" i="8" s="1"/>
  <c r="C555" i="8"/>
  <c r="L558" i="8" s="1"/>
  <c r="B555" i="8"/>
  <c r="K558" i="8" s="1"/>
  <c r="A555" i="8"/>
  <c r="B767" i="6"/>
  <c r="C770" i="6" s="1"/>
  <c r="A767" i="6"/>
  <c r="I554" i="8" l="1"/>
  <c r="R557" i="8" s="1"/>
  <c r="H554" i="8"/>
  <c r="Q557" i="8" s="1"/>
  <c r="G554" i="8"/>
  <c r="P557" i="8" s="1"/>
  <c r="F554" i="8"/>
  <c r="O557" i="8" s="1"/>
  <c r="E554" i="8"/>
  <c r="N557" i="8" s="1"/>
  <c r="D554" i="8"/>
  <c r="M557" i="8" s="1"/>
  <c r="C554" i="8"/>
  <c r="L557" i="8" s="1"/>
  <c r="B554" i="8"/>
  <c r="K557" i="8" s="1"/>
  <c r="A554" i="8"/>
  <c r="B766" i="6"/>
  <c r="C769" i="6" s="1"/>
  <c r="A766" i="6"/>
  <c r="G767" i="6" l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I553" i="8"/>
  <c r="R556" i="8" s="1"/>
  <c r="H553" i="8"/>
  <c r="Q556" i="8" s="1"/>
  <c r="G553" i="8"/>
  <c r="P556" i="8" s="1"/>
  <c r="F553" i="8"/>
  <c r="O556" i="8" s="1"/>
  <c r="E553" i="8"/>
  <c r="N556" i="8" s="1"/>
  <c r="D553" i="8"/>
  <c r="M556" i="8" s="1"/>
  <c r="C553" i="8"/>
  <c r="L556" i="8" s="1"/>
  <c r="B553" i="8"/>
  <c r="K556" i="8" s="1"/>
  <c r="A553" i="8"/>
  <c r="B765" i="6"/>
  <c r="C768" i="6" s="1"/>
  <c r="A765" i="6"/>
  <c r="G766" i="6" l="1"/>
  <c r="B764" i="6" l="1"/>
  <c r="A764" i="6"/>
  <c r="C767" i="6" l="1"/>
  <c r="G765" i="6"/>
  <c r="I552" i="8"/>
  <c r="H552" i="8"/>
  <c r="G552" i="8"/>
  <c r="F552" i="8"/>
  <c r="E552" i="8"/>
  <c r="D552" i="8"/>
  <c r="C552" i="8"/>
  <c r="B552" i="8"/>
  <c r="A552" i="8"/>
  <c r="P555" i="8" l="1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 l="1"/>
  <c r="M554" i="8"/>
  <c r="C766" i="6"/>
  <c r="G764" i="6"/>
  <c r="P554" i="8"/>
  <c r="Q554" i="8"/>
  <c r="N554" i="8"/>
  <c r="O554" i="8"/>
  <c r="R554" i="8"/>
  <c r="K554" i="8"/>
  <c r="I550" i="8" l="1"/>
  <c r="H550" i="8"/>
  <c r="G550" i="8"/>
  <c r="F550" i="8"/>
  <c r="E550" i="8"/>
  <c r="D550" i="8"/>
  <c r="C550" i="8"/>
  <c r="B550" i="8"/>
  <c r="A550" i="8"/>
  <c r="B762" i="6"/>
  <c r="A762" i="6"/>
  <c r="P553" i="8" l="1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 s="1"/>
  <c r="A761" i="6"/>
  <c r="M552" i="8" l="1"/>
  <c r="N552" i="8"/>
  <c r="R552" i="8"/>
  <c r="K552" i="8"/>
  <c r="O552" i="8"/>
  <c r="P552" i="8"/>
  <c r="Q552" i="8"/>
  <c r="L552" i="8"/>
  <c r="G762" i="6"/>
  <c r="I548" i="8" l="1"/>
  <c r="H548" i="8"/>
  <c r="G548" i="8"/>
  <c r="F548" i="8"/>
  <c r="E548" i="8"/>
  <c r="D548" i="8"/>
  <c r="C548" i="8"/>
  <c r="B548" i="8"/>
  <c r="A548" i="8"/>
  <c r="B760" i="6"/>
  <c r="A760" i="6"/>
  <c r="C763" i="6" l="1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 l="1"/>
  <c r="O550" i="8"/>
  <c r="P550" i="8"/>
  <c r="M550" i="8"/>
  <c r="N550" i="8"/>
  <c r="Q550" i="8"/>
  <c r="G760" i="6"/>
  <c r="R550" i="8"/>
  <c r="K550" i="8"/>
  <c r="L550" i="8"/>
  <c r="I546" i="8"/>
  <c r="AU598" i="8" s="1"/>
  <c r="H546" i="8"/>
  <c r="AT598" i="8" s="1"/>
  <c r="G546" i="8"/>
  <c r="AS598" i="8" s="1"/>
  <c r="F546" i="8"/>
  <c r="AR598" i="8" s="1"/>
  <c r="E546" i="8"/>
  <c r="AQ598" i="8" s="1"/>
  <c r="D546" i="8"/>
  <c r="AP598" i="8" s="1"/>
  <c r="C546" i="8"/>
  <c r="AO598" i="8" s="1"/>
  <c r="B546" i="8"/>
  <c r="AN598" i="8" s="1"/>
  <c r="A546" i="8"/>
  <c r="B758" i="6"/>
  <c r="H810" i="6" s="1"/>
  <c r="A758" i="6"/>
  <c r="AM598" i="8" l="1"/>
  <c r="N549" i="8"/>
  <c r="O549" i="8"/>
  <c r="L549" i="8"/>
  <c r="M549" i="8"/>
  <c r="Q549" i="8"/>
  <c r="C761" i="6"/>
  <c r="P549" i="8"/>
  <c r="R549" i="8"/>
  <c r="K549" i="8"/>
  <c r="G759" i="6"/>
  <c r="I545" i="8"/>
  <c r="AU597" i="8" s="1"/>
  <c r="H545" i="8"/>
  <c r="AT597" i="8" s="1"/>
  <c r="G545" i="8"/>
  <c r="AS597" i="8" s="1"/>
  <c r="F545" i="8"/>
  <c r="AR597" i="8" s="1"/>
  <c r="E545" i="8"/>
  <c r="AQ597" i="8" s="1"/>
  <c r="C545" i="8"/>
  <c r="AO597" i="8" s="1"/>
  <c r="B545" i="8"/>
  <c r="AN597" i="8" s="1"/>
  <c r="A545" i="8"/>
  <c r="A757" i="6"/>
  <c r="K548" i="8" l="1"/>
  <c r="P548" i="8"/>
  <c r="Q548" i="8"/>
  <c r="L548" i="8"/>
  <c r="N548" i="8"/>
  <c r="R548" i="8"/>
  <c r="O548" i="8"/>
  <c r="B7" i="5" l="1"/>
  <c r="B10" i="5" s="1"/>
  <c r="B9" i="5"/>
  <c r="F9" i="5"/>
  <c r="G9" i="5"/>
  <c r="H9" i="5"/>
  <c r="I9" i="5"/>
  <c r="F10" i="5"/>
  <c r="G10" i="5"/>
  <c r="H10" i="5"/>
  <c r="I10" i="5"/>
  <c r="I544" i="8"/>
  <c r="AU596" i="8" s="1"/>
  <c r="H544" i="8"/>
  <c r="AT596" i="8" s="1"/>
  <c r="G544" i="8"/>
  <c r="AS596" i="8" s="1"/>
  <c r="F544" i="8"/>
  <c r="AR596" i="8" s="1"/>
  <c r="E544" i="8"/>
  <c r="AQ596" i="8" s="1"/>
  <c r="A544" i="8"/>
  <c r="A756" i="6"/>
  <c r="O547" i="8" l="1"/>
  <c r="P547" i="8"/>
  <c r="Q547" i="8"/>
  <c r="R547" i="8"/>
  <c r="N547" i="8"/>
  <c r="I543" i="8"/>
  <c r="AU595" i="8" s="1"/>
  <c r="H543" i="8"/>
  <c r="AT595" i="8" s="1"/>
  <c r="G543" i="8"/>
  <c r="AS595" i="8" s="1"/>
  <c r="F543" i="8"/>
  <c r="AR595" i="8" s="1"/>
  <c r="E543" i="8"/>
  <c r="AQ595" i="8" s="1"/>
  <c r="D543" i="8"/>
  <c r="C543" i="8"/>
  <c r="B543" i="8"/>
  <c r="A543" i="8"/>
  <c r="B755" i="6"/>
  <c r="A755" i="6"/>
  <c r="B756" i="6" l="1"/>
  <c r="H807" i="6"/>
  <c r="C544" i="8"/>
  <c r="AO595" i="8"/>
  <c r="D544" i="8"/>
  <c r="AP595" i="8"/>
  <c r="AM595" i="8" s="1"/>
  <c r="B544" i="8"/>
  <c r="AN595" i="8"/>
  <c r="O546" i="8"/>
  <c r="N546" i="8"/>
  <c r="Q546" i="8"/>
  <c r="L546" i="8"/>
  <c r="P546" i="8"/>
  <c r="R546" i="8"/>
  <c r="I542" i="8"/>
  <c r="AU594" i="8" s="1"/>
  <c r="H542" i="8"/>
  <c r="AT594" i="8" s="1"/>
  <c r="G542" i="8"/>
  <c r="AS594" i="8" s="1"/>
  <c r="F542" i="8"/>
  <c r="AR594" i="8" s="1"/>
  <c r="E542" i="8"/>
  <c r="AQ594" i="8" s="1"/>
  <c r="D542" i="8"/>
  <c r="AP594" i="8" s="1"/>
  <c r="C542" i="8"/>
  <c r="AO594" i="8" s="1"/>
  <c r="B542" i="8"/>
  <c r="AN594" i="8" s="1"/>
  <c r="A542" i="8"/>
  <c r="B754" i="6"/>
  <c r="A754" i="6"/>
  <c r="AN596" i="8" l="1"/>
  <c r="K547" i="8"/>
  <c r="AO596" i="8"/>
  <c r="L547" i="8"/>
  <c r="D545" i="8"/>
  <c r="AP596" i="8"/>
  <c r="AM596" i="8" s="1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 s="1"/>
  <c r="H541" i="8"/>
  <c r="AT593" i="8" s="1"/>
  <c r="G541" i="8"/>
  <c r="AS593" i="8" s="1"/>
  <c r="F541" i="8"/>
  <c r="AR593" i="8" s="1"/>
  <c r="E541" i="8"/>
  <c r="AQ593" i="8" s="1"/>
  <c r="D541" i="8"/>
  <c r="AP593" i="8" s="1"/>
  <c r="C541" i="8"/>
  <c r="AO593" i="8" s="1"/>
  <c r="B541" i="8"/>
  <c r="AN593" i="8" s="1"/>
  <c r="A541" i="8"/>
  <c r="B753" i="6"/>
  <c r="A753" i="6"/>
  <c r="AP597" i="8" l="1"/>
  <c r="M548" i="8"/>
  <c r="M546" i="8"/>
  <c r="H809" i="6"/>
  <c r="C760" i="6"/>
  <c r="C758" i="6"/>
  <c r="G754" i="6"/>
  <c r="H805" i="6"/>
  <c r="AM593" i="8" s="1"/>
  <c r="C757" i="6"/>
  <c r="P544" i="8"/>
  <c r="Q544" i="8"/>
  <c r="R544" i="8"/>
  <c r="M544" i="8"/>
  <c r="N544" i="8"/>
  <c r="K544" i="8"/>
  <c r="L544" i="8"/>
  <c r="C756" i="6"/>
  <c r="O544" i="8"/>
  <c r="AM597" i="8" l="1"/>
  <c r="I540" i="8"/>
  <c r="H540" i="8"/>
  <c r="G540" i="8"/>
  <c r="F540" i="8"/>
  <c r="E540" i="8"/>
  <c r="D540" i="8"/>
  <c r="C540" i="8"/>
  <c r="B540" i="8"/>
  <c r="A540" i="8"/>
  <c r="B752" i="6"/>
  <c r="H804" i="6" s="1"/>
  <c r="A752" i="6"/>
  <c r="K543" i="8" l="1"/>
  <c r="AN592" i="8"/>
  <c r="N543" i="8"/>
  <c r="AQ592" i="8"/>
  <c r="M543" i="8"/>
  <c r="AP592" i="8"/>
  <c r="AM592" i="8" s="1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 l="1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 s="1"/>
  <c r="A538" i="8"/>
  <c r="B750" i="6"/>
  <c r="A750" i="6"/>
  <c r="C753" i="6" l="1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 s="1"/>
  <c r="N541" i="8"/>
  <c r="AQ590" i="8"/>
  <c r="AN538" i="8"/>
  <c r="K541" i="8"/>
  <c r="G751" i="6"/>
  <c r="AD538" i="8"/>
  <c r="U537" i="8" l="1"/>
  <c r="T537" i="8"/>
  <c r="I537" i="8"/>
  <c r="AU589" i="8" s="1"/>
  <c r="H537" i="8"/>
  <c r="G537" i="8"/>
  <c r="AS589" i="8" s="1"/>
  <c r="F537" i="8"/>
  <c r="AR589" i="8" s="1"/>
  <c r="E537" i="8"/>
  <c r="AQ589" i="8" s="1"/>
  <c r="D537" i="8"/>
  <c r="AP589" i="8" s="1"/>
  <c r="C537" i="8"/>
  <c r="AO589" i="8" s="1"/>
  <c r="B537" i="8"/>
  <c r="AN589" i="8" s="1"/>
  <c r="A537" i="8"/>
  <c r="A536" i="8"/>
  <c r="B536" i="8"/>
  <c r="C536" i="8"/>
  <c r="D536" i="8"/>
  <c r="E536" i="8"/>
  <c r="AQ588" i="8" s="1"/>
  <c r="F536" i="8"/>
  <c r="AR588" i="8" s="1"/>
  <c r="G536" i="8"/>
  <c r="AS588" i="8" s="1"/>
  <c r="H536" i="8"/>
  <c r="AT588" i="8" s="1"/>
  <c r="I536" i="8"/>
  <c r="B749" i="6"/>
  <c r="H801" i="6" s="1"/>
  <c r="A749" i="6"/>
  <c r="AM589" i="8" l="1"/>
  <c r="K539" i="8"/>
  <c r="AN588" i="8"/>
  <c r="R539" i="8"/>
  <c r="AU588" i="8"/>
  <c r="M539" i="8"/>
  <c r="AP588" i="8"/>
  <c r="AM588" i="8" s="1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 s="1"/>
  <c r="A748" i="6"/>
  <c r="C751" i="6" l="1"/>
  <c r="G749" i="6"/>
  <c r="AD536" i="8"/>
  <c r="AE536" i="8"/>
  <c r="B747" i="6"/>
  <c r="H799" i="6" s="1"/>
  <c r="A747" i="6"/>
  <c r="U535" i="8"/>
  <c r="T535" i="8"/>
  <c r="I535" i="8"/>
  <c r="AU587" i="8" s="1"/>
  <c r="H535" i="8"/>
  <c r="AT587" i="8" s="1"/>
  <c r="G535" i="8"/>
  <c r="AS587" i="8" s="1"/>
  <c r="F535" i="8"/>
  <c r="AR587" i="8" s="1"/>
  <c r="E535" i="8"/>
  <c r="AQ587" i="8" s="1"/>
  <c r="D535" i="8"/>
  <c r="AP587" i="8" s="1"/>
  <c r="AM587" i="8" s="1"/>
  <c r="C535" i="8"/>
  <c r="AO587" i="8" s="1"/>
  <c r="B535" i="8"/>
  <c r="AN587" i="8" s="1"/>
  <c r="A535" i="8"/>
  <c r="G748" i="6" l="1"/>
  <c r="C750" i="6"/>
  <c r="R538" i="8"/>
  <c r="AD535" i="8"/>
  <c r="K538" i="8"/>
  <c r="T590" i="8" s="1"/>
  <c r="AD590" i="8" s="1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 s="1"/>
  <c r="H534" i="8"/>
  <c r="AT586" i="8" s="1"/>
  <c r="G534" i="8"/>
  <c r="AS586" i="8" s="1"/>
  <c r="F534" i="8"/>
  <c r="AR586" i="8" s="1"/>
  <c r="E534" i="8"/>
  <c r="AQ586" i="8" s="1"/>
  <c r="D534" i="8"/>
  <c r="AP586" i="8" s="1"/>
  <c r="C534" i="8"/>
  <c r="AO586" i="8" s="1"/>
  <c r="B534" i="8"/>
  <c r="AN586" i="8" s="1"/>
  <c r="A534" i="8"/>
  <c r="B746" i="6"/>
  <c r="A746" i="6"/>
  <c r="G747" i="6" l="1"/>
  <c r="H798" i="6"/>
  <c r="AM586" i="8" s="1"/>
  <c r="R537" i="8"/>
  <c r="AN534" i="8"/>
  <c r="K537" i="8"/>
  <c r="T589" i="8" s="1"/>
  <c r="AD589" i="8" s="1"/>
  <c r="M537" i="8"/>
  <c r="N537" i="8"/>
  <c r="O537" i="8"/>
  <c r="AO534" i="8"/>
  <c r="L537" i="8"/>
  <c r="U589" i="8" s="1"/>
  <c r="AE589" i="8" s="1"/>
  <c r="P537" i="8"/>
  <c r="C749" i="6"/>
  <c r="Q537" i="8"/>
  <c r="AD534" i="8"/>
  <c r="AE534" i="8"/>
  <c r="U533" i="8"/>
  <c r="T533" i="8"/>
  <c r="I533" i="8"/>
  <c r="AU585" i="8" s="1"/>
  <c r="H533" i="8"/>
  <c r="AT585" i="8" s="1"/>
  <c r="G533" i="8"/>
  <c r="AS585" i="8" s="1"/>
  <c r="F533" i="8"/>
  <c r="AR585" i="8" s="1"/>
  <c r="E533" i="8"/>
  <c r="AQ585" i="8" s="1"/>
  <c r="D533" i="8"/>
  <c r="AP585" i="8" s="1"/>
  <c r="C533" i="8"/>
  <c r="AO585" i="8" s="1"/>
  <c r="B533" i="8"/>
  <c r="AN585" i="8" s="1"/>
  <c r="A533" i="8"/>
  <c r="B745" i="6"/>
  <c r="H797" i="6" s="1"/>
  <c r="A745" i="6"/>
  <c r="AM585" i="8" l="1"/>
  <c r="R536" i="8"/>
  <c r="P536" i="8"/>
  <c r="Q536" i="8"/>
  <c r="C748" i="6"/>
  <c r="AE533" i="8"/>
  <c r="L536" i="8"/>
  <c r="U588" i="8" s="1"/>
  <c r="AE588" i="8" s="1"/>
  <c r="M536" i="8"/>
  <c r="AO533" i="8"/>
  <c r="N536" i="8"/>
  <c r="AN533" i="8"/>
  <c r="K536" i="8"/>
  <c r="T588" i="8" s="1"/>
  <c r="AD588" i="8" s="1"/>
  <c r="O536" i="8"/>
  <c r="G746" i="6"/>
  <c r="AD533" i="8"/>
  <c r="U532" i="8"/>
  <c r="T532" i="8"/>
  <c r="I532" i="8"/>
  <c r="AU584" i="8" s="1"/>
  <c r="H532" i="8"/>
  <c r="AT584" i="8" s="1"/>
  <c r="G532" i="8"/>
  <c r="AS584" i="8" s="1"/>
  <c r="F532" i="8"/>
  <c r="AR584" i="8" s="1"/>
  <c r="E532" i="8"/>
  <c r="AQ584" i="8" s="1"/>
  <c r="D532" i="8"/>
  <c r="AP584" i="8" s="1"/>
  <c r="C532" i="8"/>
  <c r="B532" i="8"/>
  <c r="AN584" i="8" s="1"/>
  <c r="A532" i="8"/>
  <c r="B744" i="6"/>
  <c r="A744" i="6"/>
  <c r="AO532" i="8" l="1"/>
  <c r="AO584" i="8"/>
  <c r="C747" i="6"/>
  <c r="H796" i="6"/>
  <c r="AM584" i="8" s="1"/>
  <c r="Q535" i="8"/>
  <c r="R535" i="8"/>
  <c r="AN532" i="8"/>
  <c r="K535" i="8"/>
  <c r="T587" i="8" s="1"/>
  <c r="AD587" i="8" s="1"/>
  <c r="N535" i="8"/>
  <c r="AE532" i="8"/>
  <c r="L535" i="8"/>
  <c r="U587" i="8" s="1"/>
  <c r="AE587" i="8" s="1"/>
  <c r="M535" i="8"/>
  <c r="G745" i="6"/>
  <c r="O535" i="8"/>
  <c r="P535" i="8"/>
  <c r="AD532" i="8"/>
  <c r="U531" i="8"/>
  <c r="T531" i="8"/>
  <c r="I531" i="8"/>
  <c r="AU583" i="8" s="1"/>
  <c r="H531" i="8"/>
  <c r="AT583" i="8" s="1"/>
  <c r="G531" i="8"/>
  <c r="AS583" i="8" s="1"/>
  <c r="F531" i="8"/>
  <c r="AR583" i="8" s="1"/>
  <c r="E531" i="8"/>
  <c r="AQ583" i="8" s="1"/>
  <c r="D531" i="8"/>
  <c r="AP583" i="8" s="1"/>
  <c r="C531" i="8"/>
  <c r="AO583" i="8" s="1"/>
  <c r="B531" i="8"/>
  <c r="AN583" i="8" s="1"/>
  <c r="A531" i="8"/>
  <c r="B743" i="6"/>
  <c r="H795" i="6" s="1"/>
  <c r="A743" i="6"/>
  <c r="AM583" i="8" l="1"/>
  <c r="Q534" i="8"/>
  <c r="R534" i="8"/>
  <c r="AD531" i="8"/>
  <c r="K534" i="8"/>
  <c r="T586" i="8" s="1"/>
  <c r="AD586" i="8" s="1"/>
  <c r="M534" i="8"/>
  <c r="C746" i="6"/>
  <c r="N534" i="8"/>
  <c r="P534" i="8"/>
  <c r="L534" i="8"/>
  <c r="U586" i="8" s="1"/>
  <c r="AE586" i="8" s="1"/>
  <c r="O534" i="8"/>
  <c r="G744" i="6"/>
  <c r="AE531" i="8"/>
  <c r="AN531" i="8"/>
  <c r="AO531" i="8"/>
  <c r="U530" i="8"/>
  <c r="T530" i="8"/>
  <c r="I530" i="8"/>
  <c r="AU582" i="8" s="1"/>
  <c r="H530" i="8"/>
  <c r="AT582" i="8" s="1"/>
  <c r="G530" i="8"/>
  <c r="AS582" i="8" s="1"/>
  <c r="F530" i="8"/>
  <c r="AR582" i="8" s="1"/>
  <c r="E530" i="8"/>
  <c r="AQ582" i="8" s="1"/>
  <c r="D530" i="8"/>
  <c r="AP582" i="8" s="1"/>
  <c r="AM582" i="8" s="1"/>
  <c r="C530" i="8"/>
  <c r="AO582" i="8" s="1"/>
  <c r="B530" i="8"/>
  <c r="AN582" i="8" s="1"/>
  <c r="A530" i="8"/>
  <c r="B742" i="6"/>
  <c r="H794" i="6" s="1"/>
  <c r="A742" i="6"/>
  <c r="M533" i="8" l="1"/>
  <c r="R533" i="8"/>
  <c r="K533" i="8"/>
  <c r="T585" i="8" s="1"/>
  <c r="AD585" i="8" s="1"/>
  <c r="L533" i="8"/>
  <c r="U585" i="8" s="1"/>
  <c r="AE585" i="8" s="1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 s="1"/>
  <c r="H529" i="8"/>
  <c r="AT581" i="8" s="1"/>
  <c r="G529" i="8"/>
  <c r="AS581" i="8" s="1"/>
  <c r="F529" i="8"/>
  <c r="AR581" i="8" s="1"/>
  <c r="E529" i="8"/>
  <c r="AQ581" i="8" s="1"/>
  <c r="D529" i="8"/>
  <c r="AP581" i="8" s="1"/>
  <c r="C529" i="8"/>
  <c r="B529" i="8"/>
  <c r="AN581" i="8" s="1"/>
  <c r="A529" i="8"/>
  <c r="AE529" i="8" l="1"/>
  <c r="AO581" i="8"/>
  <c r="P532" i="8"/>
  <c r="Q532" i="8"/>
  <c r="AD529" i="8"/>
  <c r="K532" i="8"/>
  <c r="T584" i="8" s="1"/>
  <c r="AD584" i="8" s="1"/>
  <c r="L532" i="8"/>
  <c r="U584" i="8" s="1"/>
  <c r="AE584" i="8" s="1"/>
  <c r="AN529" i="8"/>
  <c r="M532" i="8"/>
  <c r="AO529" i="8"/>
  <c r="N532" i="8"/>
  <c r="R532" i="8"/>
  <c r="O532" i="8"/>
  <c r="B741" i="6"/>
  <c r="H793" i="6" s="1"/>
  <c r="AM581" i="8" s="1"/>
  <c r="A741" i="6"/>
  <c r="C744" i="6" l="1"/>
  <c r="G742" i="6"/>
  <c r="U528" i="8"/>
  <c r="T528" i="8"/>
  <c r="I528" i="8"/>
  <c r="AU580" i="8" s="1"/>
  <c r="H528" i="8"/>
  <c r="AT580" i="8" s="1"/>
  <c r="G528" i="8"/>
  <c r="AS580" i="8" s="1"/>
  <c r="F528" i="8"/>
  <c r="AR580" i="8" s="1"/>
  <c r="E528" i="8"/>
  <c r="AQ580" i="8" s="1"/>
  <c r="D528" i="8"/>
  <c r="AP580" i="8" s="1"/>
  <c r="C528" i="8"/>
  <c r="AO580" i="8" s="1"/>
  <c r="B528" i="8"/>
  <c r="AN580" i="8" s="1"/>
  <c r="A528" i="8"/>
  <c r="B740" i="6"/>
  <c r="H792" i="6" s="1"/>
  <c r="A740" i="6"/>
  <c r="AM580" i="8" l="1"/>
  <c r="M531" i="8"/>
  <c r="C743" i="6"/>
  <c r="N531" i="8"/>
  <c r="P531" i="8"/>
  <c r="Q531" i="8"/>
  <c r="G741" i="6"/>
  <c r="R531" i="8"/>
  <c r="O531" i="8"/>
  <c r="AD528" i="8"/>
  <c r="K531" i="8"/>
  <c r="T583" i="8" s="1"/>
  <c r="AD583" i="8" s="1"/>
  <c r="AE528" i="8"/>
  <c r="L531" i="8"/>
  <c r="U583" i="8" s="1"/>
  <c r="AE583" i="8" s="1"/>
  <c r="AN528" i="8"/>
  <c r="AO528" i="8"/>
  <c r="B739" i="6"/>
  <c r="A739" i="6"/>
  <c r="G740" i="6" l="1"/>
  <c r="H791" i="6"/>
  <c r="C742" i="6"/>
  <c r="T527" i="8"/>
  <c r="I527" i="8"/>
  <c r="AU579" i="8" s="1"/>
  <c r="H527" i="8"/>
  <c r="AT579" i="8" s="1"/>
  <c r="G527" i="8"/>
  <c r="AS579" i="8" s="1"/>
  <c r="F527" i="8"/>
  <c r="AR579" i="8" s="1"/>
  <c r="E527" i="8"/>
  <c r="AQ579" i="8" s="1"/>
  <c r="D527" i="8"/>
  <c r="AP579" i="8" s="1"/>
  <c r="AM579" i="8" s="1"/>
  <c r="C527" i="8"/>
  <c r="AO579" i="8" s="1"/>
  <c r="B527" i="8"/>
  <c r="A527" i="8"/>
  <c r="AN527" i="8" l="1"/>
  <c r="AN579" i="8"/>
  <c r="L530" i="8"/>
  <c r="U582" i="8" s="1"/>
  <c r="AE582" i="8" s="1"/>
  <c r="AD527" i="8"/>
  <c r="N530" i="8"/>
  <c r="O530" i="8"/>
  <c r="P530" i="8"/>
  <c r="Q530" i="8"/>
  <c r="K530" i="8"/>
  <c r="T582" i="8" s="1"/>
  <c r="AD582" i="8" s="1"/>
  <c r="M530" i="8"/>
  <c r="R530" i="8"/>
  <c r="AO527" i="8"/>
  <c r="T526" i="8"/>
  <c r="I526" i="8"/>
  <c r="AU578" i="8" s="1"/>
  <c r="H526" i="8"/>
  <c r="AT578" i="8" s="1"/>
  <c r="G526" i="8"/>
  <c r="AS578" i="8" s="1"/>
  <c r="F526" i="8"/>
  <c r="AR578" i="8" s="1"/>
  <c r="E526" i="8"/>
  <c r="AQ578" i="8" s="1"/>
  <c r="D526" i="8"/>
  <c r="AP578" i="8" s="1"/>
  <c r="C526" i="8"/>
  <c r="B526" i="8"/>
  <c r="AN578" i="8" s="1"/>
  <c r="A526" i="8"/>
  <c r="B738" i="6"/>
  <c r="H790" i="6" s="1"/>
  <c r="A738" i="6"/>
  <c r="AO526" i="8" l="1"/>
  <c r="AO578" i="8"/>
  <c r="AM578" i="8"/>
  <c r="O529" i="8"/>
  <c r="Q529" i="8"/>
  <c r="P529" i="8"/>
  <c r="R529" i="8"/>
  <c r="M529" i="8"/>
  <c r="AN526" i="8"/>
  <c r="K529" i="8"/>
  <c r="T581" i="8" s="1"/>
  <c r="AD581" i="8" s="1"/>
  <c r="N529" i="8"/>
  <c r="C741" i="6"/>
  <c r="G739" i="6"/>
  <c r="L529" i="8"/>
  <c r="U581" i="8" s="1"/>
  <c r="AE581" i="8" s="1"/>
  <c r="AD526" i="8"/>
  <c r="I525" i="8"/>
  <c r="AU577" i="8" s="1"/>
  <c r="H525" i="8"/>
  <c r="AT577" i="8" s="1"/>
  <c r="G525" i="8"/>
  <c r="AS577" i="8" s="1"/>
  <c r="F525" i="8"/>
  <c r="AR577" i="8" s="1"/>
  <c r="E525" i="8"/>
  <c r="AQ577" i="8" s="1"/>
  <c r="D525" i="8"/>
  <c r="AP577" i="8" s="1"/>
  <c r="AM577" i="8" s="1"/>
  <c r="C525" i="8"/>
  <c r="AO577" i="8" s="1"/>
  <c r="B525" i="8"/>
  <c r="AN577" i="8" s="1"/>
  <c r="A525" i="8"/>
  <c r="B737" i="6"/>
  <c r="H789" i="6" s="1"/>
  <c r="A737" i="6"/>
  <c r="P528" i="8" l="1"/>
  <c r="Q528" i="8"/>
  <c r="M528" i="8"/>
  <c r="R528" i="8"/>
  <c r="AN525" i="8"/>
  <c r="K528" i="8"/>
  <c r="T580" i="8" s="1"/>
  <c r="AD580" i="8" s="1"/>
  <c r="AO525" i="8"/>
  <c r="L528" i="8"/>
  <c r="U580" i="8" s="1"/>
  <c r="AE580" i="8" s="1"/>
  <c r="C740" i="6"/>
  <c r="G738" i="6"/>
  <c r="N528" i="8"/>
  <c r="O528" i="8"/>
  <c r="I524" i="8" l="1"/>
  <c r="AU576" i="8" s="1"/>
  <c r="H524" i="8"/>
  <c r="AT576" i="8" s="1"/>
  <c r="G524" i="8"/>
  <c r="AS576" i="8" s="1"/>
  <c r="F524" i="8"/>
  <c r="AR576" i="8" s="1"/>
  <c r="E524" i="8"/>
  <c r="AQ576" i="8" s="1"/>
  <c r="D524" i="8"/>
  <c r="AP576" i="8" s="1"/>
  <c r="C524" i="8"/>
  <c r="AO576" i="8" s="1"/>
  <c r="B524" i="8"/>
  <c r="AN576" i="8" s="1"/>
  <c r="A524" i="8"/>
  <c r="B736" i="6"/>
  <c r="H788" i="6" s="1"/>
  <c r="A736" i="6"/>
  <c r="AM576" i="8" l="1"/>
  <c r="Q527" i="8"/>
  <c r="N527" i="8"/>
  <c r="R527" i="8"/>
  <c r="M527" i="8"/>
  <c r="C739" i="6"/>
  <c r="G737" i="6"/>
  <c r="AN524" i="8"/>
  <c r="K527" i="8"/>
  <c r="T579" i="8" s="1"/>
  <c r="AD579" i="8" s="1"/>
  <c r="O527" i="8"/>
  <c r="P527" i="8"/>
  <c r="AO524" i="8"/>
  <c r="L527" i="8"/>
  <c r="U579" i="8" s="1"/>
  <c r="AE579" i="8" s="1"/>
  <c r="I523" i="8"/>
  <c r="AU575" i="8" s="1"/>
  <c r="H523" i="8"/>
  <c r="AT575" i="8" s="1"/>
  <c r="G523" i="8"/>
  <c r="AS575" i="8" s="1"/>
  <c r="F523" i="8"/>
  <c r="AR575" i="8" s="1"/>
  <c r="E523" i="8"/>
  <c r="AQ575" i="8" s="1"/>
  <c r="D523" i="8"/>
  <c r="AP575" i="8" s="1"/>
  <c r="C523" i="8"/>
  <c r="AO575" i="8" s="1"/>
  <c r="B523" i="8"/>
  <c r="AN575" i="8" s="1"/>
  <c r="A523" i="8"/>
  <c r="B735" i="6"/>
  <c r="A735" i="6"/>
  <c r="G736" i="6" l="1"/>
  <c r="H787" i="6"/>
  <c r="AM575" i="8"/>
  <c r="N526" i="8"/>
  <c r="O526" i="8"/>
  <c r="Q526" i="8"/>
  <c r="R526" i="8"/>
  <c r="P526" i="8"/>
  <c r="AN523" i="8"/>
  <c r="K526" i="8"/>
  <c r="T578" i="8" s="1"/>
  <c r="AD578" i="8" s="1"/>
  <c r="C738" i="6"/>
  <c r="AO523" i="8"/>
  <c r="L526" i="8"/>
  <c r="M526" i="8"/>
  <c r="I522" i="8"/>
  <c r="AU574" i="8" s="1"/>
  <c r="H522" i="8"/>
  <c r="AT574" i="8" s="1"/>
  <c r="G522" i="8"/>
  <c r="AS574" i="8" s="1"/>
  <c r="F522" i="8"/>
  <c r="AR574" i="8" s="1"/>
  <c r="E522" i="8"/>
  <c r="AQ574" i="8" s="1"/>
  <c r="D522" i="8"/>
  <c r="AP574" i="8" s="1"/>
  <c r="C522" i="8"/>
  <c r="AO574" i="8" s="1"/>
  <c r="B522" i="8"/>
  <c r="AN574" i="8" s="1"/>
  <c r="A522" i="8"/>
  <c r="B734" i="6"/>
  <c r="H786" i="6" s="1"/>
  <c r="A734" i="6"/>
  <c r="AM574" i="8" l="1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 s="1"/>
  <c r="H521" i="8"/>
  <c r="AT573" i="8" s="1"/>
  <c r="G521" i="8"/>
  <c r="AS573" i="8" s="1"/>
  <c r="F521" i="8"/>
  <c r="AR573" i="8" s="1"/>
  <c r="E521" i="8"/>
  <c r="AQ573" i="8" s="1"/>
  <c r="D521" i="8"/>
  <c r="AP573" i="8" s="1"/>
  <c r="C521" i="8"/>
  <c r="AO573" i="8" s="1"/>
  <c r="B521" i="8"/>
  <c r="AN573" i="8" s="1"/>
  <c r="A521" i="8"/>
  <c r="L524" i="8" l="1"/>
  <c r="N524" i="8"/>
  <c r="K524" i="8"/>
  <c r="R524" i="8"/>
  <c r="P524" i="8"/>
  <c r="M524" i="8"/>
  <c r="O524" i="8"/>
  <c r="Q524" i="8"/>
  <c r="B733" i="6"/>
  <c r="H785" i="6" s="1"/>
  <c r="AM573" i="8" s="1"/>
  <c r="A733" i="6"/>
  <c r="C736" i="6" l="1"/>
  <c r="G734" i="6"/>
  <c r="I520" i="8"/>
  <c r="AU572" i="8" s="1"/>
  <c r="H520" i="8"/>
  <c r="AT572" i="8" s="1"/>
  <c r="G520" i="8"/>
  <c r="AS572" i="8" s="1"/>
  <c r="F520" i="8"/>
  <c r="AR572" i="8" s="1"/>
  <c r="E520" i="8"/>
  <c r="AQ572" i="8" s="1"/>
  <c r="D520" i="8"/>
  <c r="AP572" i="8" s="1"/>
  <c r="C520" i="8"/>
  <c r="AO572" i="8" s="1"/>
  <c r="B520" i="8"/>
  <c r="AN572" i="8" s="1"/>
  <c r="A520" i="8"/>
  <c r="B732" i="6"/>
  <c r="A732" i="6"/>
  <c r="G733" i="6" l="1"/>
  <c r="H784" i="6"/>
  <c r="AM572" i="8" s="1"/>
  <c r="K523" i="8"/>
  <c r="O523" i="8"/>
  <c r="M523" i="8"/>
  <c r="C735" i="6"/>
  <c r="N523" i="8"/>
  <c r="P523" i="8"/>
  <c r="L523" i="8"/>
  <c r="Q523" i="8"/>
  <c r="R523" i="8"/>
  <c r="I519" i="8"/>
  <c r="AU571" i="8" s="1"/>
  <c r="H519" i="8"/>
  <c r="AT571" i="8" s="1"/>
  <c r="G519" i="8"/>
  <c r="AS571" i="8" s="1"/>
  <c r="F519" i="8"/>
  <c r="AR571" i="8" s="1"/>
  <c r="E519" i="8"/>
  <c r="AQ571" i="8" s="1"/>
  <c r="D519" i="8"/>
  <c r="AP571" i="8" s="1"/>
  <c r="C519" i="8"/>
  <c r="AO571" i="8" s="1"/>
  <c r="B519" i="8"/>
  <c r="AN571" i="8" s="1"/>
  <c r="A519" i="8"/>
  <c r="B731" i="6"/>
  <c r="A731" i="6"/>
  <c r="C734" i="6" l="1"/>
  <c r="H783" i="6"/>
  <c r="AM571" i="8"/>
  <c r="K522" i="8"/>
  <c r="L522" i="8"/>
  <c r="P522" i="8"/>
  <c r="M522" i="8"/>
  <c r="O522" i="8"/>
  <c r="Q522" i="8"/>
  <c r="R522" i="8"/>
  <c r="N522" i="8"/>
  <c r="G732" i="6"/>
  <c r="I518" i="8" l="1"/>
  <c r="AU570" i="8" s="1"/>
  <c r="H518" i="8"/>
  <c r="AT570" i="8" s="1"/>
  <c r="G518" i="8"/>
  <c r="AS570" i="8" s="1"/>
  <c r="F518" i="8"/>
  <c r="AR570" i="8" s="1"/>
  <c r="E518" i="8"/>
  <c r="AQ570" i="8" s="1"/>
  <c r="D518" i="8"/>
  <c r="AP570" i="8" s="1"/>
  <c r="C518" i="8"/>
  <c r="AO570" i="8" s="1"/>
  <c r="B518" i="8"/>
  <c r="AN570" i="8" s="1"/>
  <c r="A518" i="8"/>
  <c r="B730" i="6"/>
  <c r="H782" i="6" s="1"/>
  <c r="A730" i="6"/>
  <c r="AM570" i="8" l="1"/>
  <c r="Q521" i="8"/>
  <c r="R521" i="8"/>
  <c r="K521" i="8"/>
  <c r="M521" i="8"/>
  <c r="L521" i="8"/>
  <c r="C733" i="6"/>
  <c r="G731" i="6"/>
  <c r="O521" i="8"/>
  <c r="N521" i="8"/>
  <c r="P521" i="8"/>
  <c r="I517" i="8"/>
  <c r="AU569" i="8" s="1"/>
  <c r="H517" i="8"/>
  <c r="AT569" i="8" s="1"/>
  <c r="G517" i="8"/>
  <c r="AS569" i="8" s="1"/>
  <c r="F517" i="8"/>
  <c r="AR569" i="8" s="1"/>
  <c r="E517" i="8"/>
  <c r="AQ569" i="8" s="1"/>
  <c r="D517" i="8"/>
  <c r="AP569" i="8" s="1"/>
  <c r="C517" i="8"/>
  <c r="AO569" i="8" s="1"/>
  <c r="B517" i="8"/>
  <c r="AN569" i="8" s="1"/>
  <c r="A517" i="8"/>
  <c r="B729" i="6"/>
  <c r="A729" i="6"/>
  <c r="G730" i="6" l="1"/>
  <c r="H781" i="6"/>
  <c r="AM569" i="8" s="1"/>
  <c r="K520" i="8"/>
  <c r="L520" i="8"/>
  <c r="O520" i="8"/>
  <c r="R520" i="8"/>
  <c r="M520" i="8"/>
  <c r="N520" i="8"/>
  <c r="C732" i="6"/>
  <c r="P520" i="8"/>
  <c r="Q520" i="8"/>
  <c r="I516" i="8"/>
  <c r="AU568" i="8" s="1"/>
  <c r="H516" i="8"/>
  <c r="AT568" i="8" s="1"/>
  <c r="G516" i="8"/>
  <c r="AS568" i="8" s="1"/>
  <c r="F516" i="8"/>
  <c r="AR568" i="8" s="1"/>
  <c r="E516" i="8"/>
  <c r="AQ568" i="8" s="1"/>
  <c r="D516" i="8"/>
  <c r="AP568" i="8" s="1"/>
  <c r="C516" i="8"/>
  <c r="AO568" i="8" s="1"/>
  <c r="B516" i="8"/>
  <c r="AN568" i="8" s="1"/>
  <c r="A516" i="8"/>
  <c r="B728" i="6"/>
  <c r="H780" i="6" s="1"/>
  <c r="A728" i="6"/>
  <c r="G729" i="6" l="1"/>
  <c r="AM568" i="8"/>
  <c r="L519" i="8"/>
  <c r="M519" i="8"/>
  <c r="Q519" i="8"/>
  <c r="K519" i="8"/>
  <c r="N519" i="8"/>
  <c r="R519" i="8"/>
  <c r="C731" i="6"/>
  <c r="O519" i="8"/>
  <c r="P519" i="8"/>
  <c r="I515" i="8" l="1"/>
  <c r="AU567" i="8" s="1"/>
  <c r="H515" i="8"/>
  <c r="AT567" i="8" s="1"/>
  <c r="G515" i="8"/>
  <c r="AS567" i="8" s="1"/>
  <c r="F515" i="8"/>
  <c r="AR567" i="8" s="1"/>
  <c r="E515" i="8"/>
  <c r="AQ567" i="8" s="1"/>
  <c r="D515" i="8"/>
  <c r="AP567" i="8" s="1"/>
  <c r="C515" i="8"/>
  <c r="AO567" i="8" s="1"/>
  <c r="B515" i="8"/>
  <c r="AN567" i="8" s="1"/>
  <c r="A515" i="8"/>
  <c r="B727" i="6"/>
  <c r="H779" i="6" s="1"/>
  <c r="A727" i="6"/>
  <c r="AM567" i="8" l="1"/>
  <c r="C730" i="6"/>
  <c r="G728" i="6"/>
  <c r="N518" i="8"/>
  <c r="O518" i="8"/>
  <c r="P518" i="8"/>
  <c r="Q518" i="8"/>
  <c r="R518" i="8"/>
  <c r="K518" i="8"/>
  <c r="L518" i="8"/>
  <c r="M518" i="8"/>
  <c r="I514" i="8"/>
  <c r="AU566" i="8" s="1"/>
  <c r="H514" i="8"/>
  <c r="AT566" i="8" s="1"/>
  <c r="G514" i="8"/>
  <c r="AS566" i="8" s="1"/>
  <c r="F514" i="8"/>
  <c r="AR566" i="8" s="1"/>
  <c r="E514" i="8"/>
  <c r="AQ566" i="8" s="1"/>
  <c r="D514" i="8"/>
  <c r="AP566" i="8" s="1"/>
  <c r="C514" i="8"/>
  <c r="AO566" i="8" s="1"/>
  <c r="B514" i="8"/>
  <c r="AN566" i="8" s="1"/>
  <c r="A514" i="8"/>
  <c r="B726" i="6"/>
  <c r="H778" i="6" s="1"/>
  <c r="A726" i="6"/>
  <c r="AM566" i="8" l="1"/>
  <c r="L517" i="8"/>
  <c r="M517" i="8"/>
  <c r="N517" i="8"/>
  <c r="Q517" i="8"/>
  <c r="C729" i="6"/>
  <c r="O517" i="8"/>
  <c r="G727" i="6"/>
  <c r="P517" i="8"/>
  <c r="R517" i="8"/>
  <c r="K517" i="8"/>
  <c r="I513" i="8"/>
  <c r="AU565" i="8" s="1"/>
  <c r="H513" i="8"/>
  <c r="AT565" i="8" s="1"/>
  <c r="G513" i="8"/>
  <c r="AS565" i="8" s="1"/>
  <c r="F513" i="8"/>
  <c r="AR565" i="8" s="1"/>
  <c r="E513" i="8"/>
  <c r="AQ565" i="8" s="1"/>
  <c r="D513" i="8"/>
  <c r="AP565" i="8" s="1"/>
  <c r="C513" i="8"/>
  <c r="AO565" i="8" s="1"/>
  <c r="B513" i="8"/>
  <c r="AN565" i="8" s="1"/>
  <c r="A513" i="8"/>
  <c r="B725" i="6"/>
  <c r="H777" i="6" s="1"/>
  <c r="A725" i="6"/>
  <c r="AM565" i="8" l="1"/>
  <c r="L516" i="8"/>
  <c r="C728" i="6"/>
  <c r="M516" i="8"/>
  <c r="O516" i="8"/>
  <c r="N516" i="8"/>
  <c r="P516" i="8"/>
  <c r="G726" i="6"/>
  <c r="Q516" i="8"/>
  <c r="R516" i="8"/>
  <c r="K516" i="8"/>
  <c r="I512" i="8"/>
  <c r="AU564" i="8" s="1"/>
  <c r="H512" i="8"/>
  <c r="AT564" i="8" s="1"/>
  <c r="G512" i="8"/>
  <c r="AS564" i="8" s="1"/>
  <c r="F512" i="8"/>
  <c r="AR564" i="8" s="1"/>
  <c r="E512" i="8"/>
  <c r="AQ564" i="8" s="1"/>
  <c r="D512" i="8"/>
  <c r="AP564" i="8" s="1"/>
  <c r="C512" i="8"/>
  <c r="AO564" i="8" s="1"/>
  <c r="B512" i="8"/>
  <c r="AN564" i="8" s="1"/>
  <c r="A512" i="8"/>
  <c r="B724" i="6"/>
  <c r="H776" i="6" s="1"/>
  <c r="A724" i="6"/>
  <c r="AM564" i="8" l="1"/>
  <c r="L515" i="8"/>
  <c r="M515" i="8"/>
  <c r="P515" i="8"/>
  <c r="Q515" i="8"/>
  <c r="G725" i="6"/>
  <c r="N515" i="8"/>
  <c r="O515" i="8"/>
  <c r="R515" i="8"/>
  <c r="C727" i="6"/>
  <c r="K515" i="8"/>
  <c r="I511" i="8" l="1"/>
  <c r="AU563" i="8" s="1"/>
  <c r="H511" i="8"/>
  <c r="AT563" i="8" s="1"/>
  <c r="G511" i="8"/>
  <c r="AS563" i="8" s="1"/>
  <c r="F511" i="8"/>
  <c r="AR563" i="8" s="1"/>
  <c r="E511" i="8"/>
  <c r="AQ563" i="8" s="1"/>
  <c r="D511" i="8"/>
  <c r="AP563" i="8" s="1"/>
  <c r="C511" i="8"/>
  <c r="AO563" i="8" s="1"/>
  <c r="B511" i="8"/>
  <c r="AN563" i="8" s="1"/>
  <c r="A511" i="8"/>
  <c r="B723" i="6"/>
  <c r="H775" i="6" s="1"/>
  <c r="A723" i="6"/>
  <c r="AM563" i="8" l="1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 s="1"/>
  <c r="I510" i="8"/>
  <c r="AU562" i="8" s="1"/>
  <c r="H510" i="8"/>
  <c r="AT562" i="8" s="1"/>
  <c r="G510" i="8"/>
  <c r="AS562" i="8" s="1"/>
  <c r="F510" i="8"/>
  <c r="AR562" i="8" s="1"/>
  <c r="E510" i="8"/>
  <c r="AQ562" i="8" s="1"/>
  <c r="D510" i="8"/>
  <c r="AP562" i="8" s="1"/>
  <c r="C510" i="8"/>
  <c r="AO562" i="8" s="1"/>
  <c r="B510" i="8"/>
  <c r="AN562" i="8" s="1"/>
  <c r="A510" i="8"/>
  <c r="G722" i="6"/>
  <c r="A722" i="6"/>
  <c r="C725" i="6" l="1"/>
  <c r="H774" i="6"/>
  <c r="AM562" i="8" s="1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 s="1"/>
  <c r="H509" i="8"/>
  <c r="AT561" i="8" s="1"/>
  <c r="I509" i="8"/>
  <c r="A721" i="6"/>
  <c r="O512" i="8" l="1"/>
  <c r="AR561" i="8"/>
  <c r="R512" i="8"/>
  <c r="AU561" i="8"/>
  <c r="N512" i="8"/>
  <c r="AQ561" i="8"/>
  <c r="M512" i="8"/>
  <c r="AP561" i="8"/>
  <c r="AM561" i="8" s="1"/>
  <c r="L512" i="8"/>
  <c r="AO561" i="8"/>
  <c r="K509" i="8"/>
  <c r="AN561" i="8"/>
  <c r="L509" i="8"/>
  <c r="Q512" i="8"/>
  <c r="P512" i="8"/>
  <c r="K512" i="8"/>
  <c r="B720" i="6" l="1"/>
  <c r="H772" i="6" s="1"/>
  <c r="A720" i="6"/>
  <c r="I508" i="8"/>
  <c r="AU560" i="8" s="1"/>
  <c r="H508" i="8"/>
  <c r="AT560" i="8" s="1"/>
  <c r="G508" i="8"/>
  <c r="AS560" i="8" s="1"/>
  <c r="F508" i="8"/>
  <c r="AR560" i="8" s="1"/>
  <c r="E508" i="8"/>
  <c r="D508" i="8"/>
  <c r="AP560" i="8" s="1"/>
  <c r="C508" i="8"/>
  <c r="AO560" i="8" s="1"/>
  <c r="B508" i="8"/>
  <c r="AN560" i="8" s="1"/>
  <c r="A508" i="8"/>
  <c r="N511" i="8" l="1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 s="1"/>
  <c r="H507" i="8"/>
  <c r="G507" i="8"/>
  <c r="F507" i="8"/>
  <c r="E507" i="8"/>
  <c r="AQ559" i="8" s="1"/>
  <c r="D507" i="8"/>
  <c r="C507" i="8"/>
  <c r="AO559" i="8" s="1"/>
  <c r="B507" i="8"/>
  <c r="AN559" i="8" s="1"/>
  <c r="A507" i="8"/>
  <c r="B719" i="6"/>
  <c r="A719" i="6"/>
  <c r="M510" i="8" l="1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 s="1"/>
  <c r="H506" i="8"/>
  <c r="AT558" i="8" s="1"/>
  <c r="G506" i="8"/>
  <c r="AS558" i="8" s="1"/>
  <c r="F506" i="8"/>
  <c r="AR558" i="8" s="1"/>
  <c r="E506" i="8"/>
  <c r="AQ558" i="8" s="1"/>
  <c r="D506" i="8"/>
  <c r="AP558" i="8" s="1"/>
  <c r="AM558" i="8" s="1"/>
  <c r="C506" i="8"/>
  <c r="AO558" i="8" s="1"/>
  <c r="B506" i="8"/>
  <c r="AN558" i="8" s="1"/>
  <c r="A506" i="8"/>
  <c r="B718" i="6"/>
  <c r="H770" i="6" s="1"/>
  <c r="A718" i="6"/>
  <c r="AM559" i="8" l="1"/>
  <c r="O509" i="8"/>
  <c r="P509" i="8"/>
  <c r="C721" i="6"/>
  <c r="N509" i="8"/>
  <c r="Q509" i="8"/>
  <c r="G719" i="6"/>
  <c r="M509" i="8"/>
  <c r="R509" i="8"/>
  <c r="L506" i="8"/>
  <c r="K506" i="8"/>
  <c r="I505" i="8" l="1"/>
  <c r="AU557" i="8" s="1"/>
  <c r="H505" i="8"/>
  <c r="AT557" i="8" s="1"/>
  <c r="G505" i="8"/>
  <c r="AS557" i="8" s="1"/>
  <c r="F505" i="8"/>
  <c r="AR557" i="8" s="1"/>
  <c r="E505" i="8"/>
  <c r="AQ557" i="8" s="1"/>
  <c r="D505" i="8"/>
  <c r="AP557" i="8" s="1"/>
  <c r="AM557" i="8" s="1"/>
  <c r="C505" i="8"/>
  <c r="AO557" i="8" s="1"/>
  <c r="B505" i="8"/>
  <c r="AN557" i="8" s="1"/>
  <c r="A505" i="8"/>
  <c r="B717" i="6"/>
  <c r="H769" i="6" s="1"/>
  <c r="A717" i="6"/>
  <c r="P508" i="8" l="1"/>
  <c r="Q508" i="8"/>
  <c r="R508" i="8"/>
  <c r="O508" i="8"/>
  <c r="C720" i="6"/>
  <c r="G718" i="6"/>
  <c r="M508" i="8"/>
  <c r="N508" i="8"/>
  <c r="K505" i="8"/>
  <c r="L505" i="8"/>
  <c r="I504" i="8" l="1"/>
  <c r="AU556" i="8" s="1"/>
  <c r="H504" i="8"/>
  <c r="AT556" i="8" s="1"/>
  <c r="G504" i="8"/>
  <c r="AS556" i="8" s="1"/>
  <c r="F504" i="8"/>
  <c r="AR556" i="8" s="1"/>
  <c r="E504" i="8"/>
  <c r="AQ556" i="8" s="1"/>
  <c r="D504" i="8"/>
  <c r="AP556" i="8" s="1"/>
  <c r="C504" i="8"/>
  <c r="AO556" i="8" s="1"/>
  <c r="B504" i="8"/>
  <c r="A504" i="8"/>
  <c r="B716" i="6"/>
  <c r="H768" i="6" s="1"/>
  <c r="A716" i="6"/>
  <c r="AM556" i="8" l="1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 s="1"/>
  <c r="A715" i="6"/>
  <c r="I503" i="8"/>
  <c r="AU555" i="8" s="1"/>
  <c r="H503" i="8"/>
  <c r="AT555" i="8" s="1"/>
  <c r="G503" i="8"/>
  <c r="AS555" i="8" s="1"/>
  <c r="F503" i="8"/>
  <c r="AR555" i="8" s="1"/>
  <c r="E503" i="8"/>
  <c r="AQ555" i="8" s="1"/>
  <c r="D503" i="8"/>
  <c r="AP555" i="8" s="1"/>
  <c r="C503" i="8"/>
  <c r="AO555" i="8" s="1"/>
  <c r="B503" i="8"/>
  <c r="AN555" i="8" s="1"/>
  <c r="A503" i="8"/>
  <c r="L503" i="8" l="1"/>
  <c r="AM555" i="8"/>
  <c r="N506" i="8"/>
  <c r="O506" i="8"/>
  <c r="P506" i="8"/>
  <c r="Q506" i="8"/>
  <c r="C718" i="6"/>
  <c r="G716" i="6"/>
  <c r="M506" i="8"/>
  <c r="R506" i="8"/>
  <c r="K503" i="8"/>
  <c r="I502" i="8" l="1"/>
  <c r="AU554" i="8" s="1"/>
  <c r="H502" i="8"/>
  <c r="AT554" i="8" s="1"/>
  <c r="G502" i="8"/>
  <c r="AS554" i="8" s="1"/>
  <c r="F502" i="8"/>
  <c r="AR554" i="8" s="1"/>
  <c r="E502" i="8"/>
  <c r="AQ554" i="8" s="1"/>
  <c r="D502" i="8"/>
  <c r="AP554" i="8" s="1"/>
  <c r="AM554" i="8" s="1"/>
  <c r="C502" i="8"/>
  <c r="AO554" i="8" s="1"/>
  <c r="B502" i="8"/>
  <c r="AN554" i="8" s="1"/>
  <c r="A502" i="8"/>
  <c r="B714" i="6"/>
  <c r="H766" i="6" s="1"/>
  <c r="A714" i="6"/>
  <c r="O505" i="8" l="1"/>
  <c r="P505" i="8"/>
  <c r="Q505" i="8"/>
  <c r="R505" i="8"/>
  <c r="N505" i="8"/>
  <c r="C717" i="6"/>
  <c r="G715" i="6"/>
  <c r="M505" i="8"/>
  <c r="K502" i="8"/>
  <c r="L502" i="8"/>
  <c r="I501" i="8"/>
  <c r="AU553" i="8" s="1"/>
  <c r="H501" i="8"/>
  <c r="AT553" i="8" s="1"/>
  <c r="G501" i="8"/>
  <c r="AS553" i="8" s="1"/>
  <c r="F501" i="8"/>
  <c r="AR553" i="8" s="1"/>
  <c r="E501" i="8"/>
  <c r="AQ553" i="8" s="1"/>
  <c r="D501" i="8"/>
  <c r="AP553" i="8" s="1"/>
  <c r="AM553" i="8" s="1"/>
  <c r="C501" i="8"/>
  <c r="AO553" i="8" s="1"/>
  <c r="B501" i="8"/>
  <c r="A501" i="8"/>
  <c r="B713" i="6"/>
  <c r="H765" i="6" s="1"/>
  <c r="A713" i="6"/>
  <c r="K501" i="8" l="1"/>
  <c r="AN553" i="8"/>
  <c r="M504" i="8"/>
  <c r="C716" i="6"/>
  <c r="O504" i="8"/>
  <c r="P504" i="8"/>
  <c r="Q504" i="8"/>
  <c r="G714" i="6"/>
  <c r="N504" i="8"/>
  <c r="R504" i="8"/>
  <c r="L501" i="8"/>
  <c r="I500" i="8" l="1"/>
  <c r="AU552" i="8" s="1"/>
  <c r="H500" i="8"/>
  <c r="AT552" i="8" s="1"/>
  <c r="G500" i="8"/>
  <c r="AS552" i="8" s="1"/>
  <c r="F500" i="8"/>
  <c r="AR552" i="8" s="1"/>
  <c r="E500" i="8"/>
  <c r="AQ552" i="8" s="1"/>
  <c r="D500" i="8"/>
  <c r="AP552" i="8" s="1"/>
  <c r="AM552" i="8" s="1"/>
  <c r="C500" i="8"/>
  <c r="AO552" i="8" s="1"/>
  <c r="B500" i="8"/>
  <c r="AN552" i="8" s="1"/>
  <c r="A500" i="8"/>
  <c r="B712" i="6"/>
  <c r="H764" i="6" s="1"/>
  <c r="A712" i="6"/>
  <c r="O503" i="8" l="1"/>
  <c r="P503" i="8"/>
  <c r="R503" i="8"/>
  <c r="N503" i="8"/>
  <c r="Q503" i="8"/>
  <c r="C715" i="6"/>
  <c r="G713" i="6"/>
  <c r="M503" i="8"/>
  <c r="K500" i="8"/>
  <c r="L500" i="8"/>
  <c r="I499" i="8"/>
  <c r="AU551" i="8" s="1"/>
  <c r="H499" i="8"/>
  <c r="AT551" i="8" s="1"/>
  <c r="G499" i="8"/>
  <c r="AS551" i="8" s="1"/>
  <c r="F499" i="8"/>
  <c r="AR551" i="8" s="1"/>
  <c r="E499" i="8"/>
  <c r="AQ551" i="8" s="1"/>
  <c r="D499" i="8"/>
  <c r="AP551" i="8" s="1"/>
  <c r="AM551" i="8" s="1"/>
  <c r="C499" i="8"/>
  <c r="AO551" i="8" s="1"/>
  <c r="B499" i="8"/>
  <c r="AN551" i="8" s="1"/>
  <c r="A499" i="8"/>
  <c r="B711" i="6"/>
  <c r="H763" i="6" s="1"/>
  <c r="A711" i="6"/>
  <c r="P502" i="8" l="1"/>
  <c r="R502" i="8"/>
  <c r="C714" i="6"/>
  <c r="G712" i="6"/>
  <c r="M502" i="8"/>
  <c r="O502" i="8"/>
  <c r="Q502" i="8"/>
  <c r="N502" i="8"/>
  <c r="K499" i="8"/>
  <c r="L499" i="8"/>
  <c r="I498" i="8"/>
  <c r="AU550" i="8" s="1"/>
  <c r="H498" i="8"/>
  <c r="AT550" i="8" s="1"/>
  <c r="G498" i="8"/>
  <c r="AS550" i="8" s="1"/>
  <c r="F498" i="8"/>
  <c r="AR550" i="8" s="1"/>
  <c r="E498" i="8"/>
  <c r="AQ550" i="8" s="1"/>
  <c r="D498" i="8"/>
  <c r="AP550" i="8" s="1"/>
  <c r="AM550" i="8" s="1"/>
  <c r="C498" i="8"/>
  <c r="AO550" i="8" s="1"/>
  <c r="B498" i="8"/>
  <c r="AN550" i="8" s="1"/>
  <c r="A498" i="8"/>
  <c r="B710" i="6"/>
  <c r="H762" i="6" s="1"/>
  <c r="A710" i="6"/>
  <c r="P501" i="8" l="1"/>
  <c r="Q501" i="8"/>
  <c r="R501" i="8"/>
  <c r="C713" i="6"/>
  <c r="G711" i="6"/>
  <c r="M501" i="8"/>
  <c r="N501" i="8"/>
  <c r="O501" i="8"/>
  <c r="L498" i="8"/>
  <c r="K498" i="8"/>
  <c r="I497" i="8"/>
  <c r="AU549" i="8" s="1"/>
  <c r="H497" i="8"/>
  <c r="AT549" i="8" s="1"/>
  <c r="G497" i="8"/>
  <c r="AS549" i="8" s="1"/>
  <c r="F497" i="8"/>
  <c r="AR549" i="8" s="1"/>
  <c r="E497" i="8"/>
  <c r="AQ549" i="8" s="1"/>
  <c r="D497" i="8"/>
  <c r="AP549" i="8" s="1"/>
  <c r="C497" i="8"/>
  <c r="B497" i="8"/>
  <c r="AN549" i="8" s="1"/>
  <c r="A497" i="8"/>
  <c r="B709" i="6"/>
  <c r="A709" i="6"/>
  <c r="G710" i="6" l="1"/>
  <c r="H761" i="6"/>
  <c r="AM549" i="8" s="1"/>
  <c r="L497" i="8"/>
  <c r="AO549" i="8"/>
  <c r="O500" i="8"/>
  <c r="P500" i="8"/>
  <c r="R500" i="8"/>
  <c r="M500" i="8"/>
  <c r="Q500" i="8"/>
  <c r="C712" i="6"/>
  <c r="N500" i="8"/>
  <c r="K497" i="8"/>
  <c r="I496" i="8"/>
  <c r="AU548" i="8" s="1"/>
  <c r="H496" i="8"/>
  <c r="AT548" i="8" s="1"/>
  <c r="G496" i="8"/>
  <c r="AS548" i="8" s="1"/>
  <c r="F496" i="8"/>
  <c r="AR548" i="8" s="1"/>
  <c r="E496" i="8"/>
  <c r="AQ548" i="8" s="1"/>
  <c r="D496" i="8"/>
  <c r="AP548" i="8" s="1"/>
  <c r="C496" i="8"/>
  <c r="AO548" i="8" s="1"/>
  <c r="B496" i="8"/>
  <c r="A496" i="8"/>
  <c r="B708" i="6"/>
  <c r="H760" i="6" s="1"/>
  <c r="A708" i="6"/>
  <c r="K496" i="8" l="1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 s="1"/>
  <c r="H495" i="8"/>
  <c r="AT547" i="8" s="1"/>
  <c r="G495" i="8"/>
  <c r="AS547" i="8" s="1"/>
  <c r="F495" i="8"/>
  <c r="AR547" i="8" s="1"/>
  <c r="E495" i="8"/>
  <c r="AQ547" i="8" s="1"/>
  <c r="D495" i="8"/>
  <c r="AP547" i="8" s="1"/>
  <c r="C495" i="8"/>
  <c r="AO547" i="8" s="1"/>
  <c r="B495" i="8"/>
  <c r="A495" i="8"/>
  <c r="B707" i="6"/>
  <c r="A707" i="6"/>
  <c r="C710" i="6" l="1"/>
  <c r="H759" i="6"/>
  <c r="AM547" i="8" s="1"/>
  <c r="G708" i="6"/>
  <c r="K495" i="8"/>
  <c r="AN547" i="8"/>
  <c r="R498" i="8"/>
  <c r="P498" i="8"/>
  <c r="Q498" i="8"/>
  <c r="M498" i="8"/>
  <c r="N498" i="8"/>
  <c r="O498" i="8"/>
  <c r="L495" i="8"/>
  <c r="I494" i="8" l="1"/>
  <c r="AU546" i="8" s="1"/>
  <c r="H494" i="8"/>
  <c r="AT546" i="8" s="1"/>
  <c r="G494" i="8"/>
  <c r="AS546" i="8" s="1"/>
  <c r="F494" i="8"/>
  <c r="AR546" i="8" s="1"/>
  <c r="E494" i="8"/>
  <c r="AQ546" i="8" s="1"/>
  <c r="D494" i="8"/>
  <c r="AP546" i="8" s="1"/>
  <c r="C494" i="8"/>
  <c r="AO546" i="8" s="1"/>
  <c r="B494" i="8"/>
  <c r="AN546" i="8" s="1"/>
  <c r="A494" i="8"/>
  <c r="B706" i="6"/>
  <c r="H758" i="6" s="1"/>
  <c r="A706" i="6"/>
  <c r="AM546" i="8" l="1"/>
  <c r="R497" i="8"/>
  <c r="M497" i="8"/>
  <c r="O497" i="8"/>
  <c r="N497" i="8"/>
  <c r="C709" i="6"/>
  <c r="G707" i="6"/>
  <c r="P497" i="8"/>
  <c r="Q497" i="8"/>
  <c r="K494" i="8"/>
  <c r="L494" i="8"/>
  <c r="I493" i="8"/>
  <c r="AU545" i="8" s="1"/>
  <c r="H493" i="8"/>
  <c r="AT545" i="8" s="1"/>
  <c r="G493" i="8"/>
  <c r="AS545" i="8" s="1"/>
  <c r="F493" i="8"/>
  <c r="AR545" i="8" s="1"/>
  <c r="E493" i="8"/>
  <c r="AQ545" i="8" s="1"/>
  <c r="D493" i="8"/>
  <c r="AP545" i="8" s="1"/>
  <c r="C493" i="8"/>
  <c r="AO545" i="8" s="1"/>
  <c r="B493" i="8"/>
  <c r="AN545" i="8" s="1"/>
  <c r="A493" i="8"/>
  <c r="B705" i="6"/>
  <c r="H757" i="6" s="1"/>
  <c r="A705" i="6"/>
  <c r="G706" i="6" l="1"/>
  <c r="AM545" i="8"/>
  <c r="P496" i="8"/>
  <c r="Q496" i="8"/>
  <c r="R496" i="8"/>
  <c r="M496" i="8"/>
  <c r="C708" i="6"/>
  <c r="N496" i="8"/>
  <c r="O496" i="8"/>
  <c r="K493" i="8"/>
  <c r="T597" i="8" s="1"/>
  <c r="AD597" i="8" s="1"/>
  <c r="L493" i="8"/>
  <c r="I492" i="8"/>
  <c r="AU544" i="8" s="1"/>
  <c r="H492" i="8"/>
  <c r="AT544" i="8" s="1"/>
  <c r="G492" i="8"/>
  <c r="AS544" i="8" s="1"/>
  <c r="F492" i="8"/>
  <c r="AR544" i="8" s="1"/>
  <c r="E492" i="8"/>
  <c r="AQ544" i="8" s="1"/>
  <c r="D492" i="8"/>
  <c r="AP544" i="8" s="1"/>
  <c r="C492" i="8"/>
  <c r="AO544" i="8" s="1"/>
  <c r="B492" i="8"/>
  <c r="AN544" i="8" s="1"/>
  <c r="A492" i="8"/>
  <c r="B704" i="6"/>
  <c r="A704" i="6"/>
  <c r="G705" i="6" l="1"/>
  <c r="H756" i="6"/>
  <c r="AM544" i="8" s="1"/>
  <c r="R495" i="8"/>
  <c r="M495" i="8"/>
  <c r="N495" i="8"/>
  <c r="C707" i="6"/>
  <c r="O495" i="8"/>
  <c r="P495" i="8"/>
  <c r="Q495" i="8"/>
  <c r="K492" i="8"/>
  <c r="L492" i="8"/>
  <c r="U596" i="8" s="1"/>
  <c r="AE596" i="8" s="1"/>
  <c r="T544" i="8" l="1"/>
  <c r="AD544" i="8" s="1"/>
  <c r="T596" i="8"/>
  <c r="AD596" i="8" s="1"/>
  <c r="I491" i="8"/>
  <c r="AU543" i="8" s="1"/>
  <c r="H491" i="8"/>
  <c r="AT543" i="8" s="1"/>
  <c r="G491" i="8"/>
  <c r="AS543" i="8" s="1"/>
  <c r="F491" i="8"/>
  <c r="AR543" i="8" s="1"/>
  <c r="E491" i="8"/>
  <c r="AQ543" i="8" s="1"/>
  <c r="D491" i="8"/>
  <c r="AP543" i="8" s="1"/>
  <c r="C491" i="8"/>
  <c r="AO543" i="8" s="1"/>
  <c r="B491" i="8"/>
  <c r="AN543" i="8" s="1"/>
  <c r="A491" i="8"/>
  <c r="B703" i="6"/>
  <c r="H755" i="6" s="1"/>
  <c r="A703" i="6"/>
  <c r="AM543" i="8" l="1"/>
  <c r="O494" i="8"/>
  <c r="N494" i="8"/>
  <c r="P494" i="8"/>
  <c r="Q494" i="8"/>
  <c r="R494" i="8"/>
  <c r="C706" i="6"/>
  <c r="G704" i="6"/>
  <c r="M494" i="8"/>
  <c r="K491" i="8"/>
  <c r="L491" i="8"/>
  <c r="U595" i="8" s="1"/>
  <c r="AE595" i="8" s="1"/>
  <c r="I490" i="8"/>
  <c r="AU542" i="8" s="1"/>
  <c r="H490" i="8"/>
  <c r="AT542" i="8" s="1"/>
  <c r="G490" i="8"/>
  <c r="AS542" i="8" s="1"/>
  <c r="F490" i="8"/>
  <c r="AR542" i="8" s="1"/>
  <c r="E490" i="8"/>
  <c r="AQ542" i="8" s="1"/>
  <c r="D490" i="8"/>
  <c r="AP542" i="8" s="1"/>
  <c r="C490" i="8"/>
  <c r="AO542" i="8" s="1"/>
  <c r="B490" i="8"/>
  <c r="AN542" i="8" s="1"/>
  <c r="A490" i="8"/>
  <c r="B702" i="6"/>
  <c r="H754" i="6" s="1"/>
  <c r="A702" i="6"/>
  <c r="T543" i="8" l="1"/>
  <c r="AD543" i="8" s="1"/>
  <c r="T595" i="8"/>
  <c r="AD595" i="8" s="1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 s="1"/>
  <c r="H489" i="8"/>
  <c r="AT541" i="8" s="1"/>
  <c r="G489" i="8"/>
  <c r="AS541" i="8" s="1"/>
  <c r="F489" i="8"/>
  <c r="AR541" i="8" s="1"/>
  <c r="E489" i="8"/>
  <c r="AQ541" i="8" s="1"/>
  <c r="D489" i="8"/>
  <c r="AP541" i="8" s="1"/>
  <c r="C489" i="8"/>
  <c r="AO541" i="8" s="1"/>
  <c r="B489" i="8"/>
  <c r="AN541" i="8" s="1"/>
  <c r="A489" i="8"/>
  <c r="B701" i="6"/>
  <c r="H753" i="6" s="1"/>
  <c r="A701" i="6"/>
  <c r="T542" i="8" l="1"/>
  <c r="AD542" i="8" s="1"/>
  <c r="T594" i="8"/>
  <c r="AD594" i="8" s="1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 l="1"/>
  <c r="AD541" i="8" s="1"/>
  <c r="T593" i="8"/>
  <c r="AD593" i="8" s="1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 l="1"/>
  <c r="AD540" i="8" s="1"/>
  <c r="T592" i="8"/>
  <c r="AD592" i="8" s="1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 l="1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 s="1"/>
  <c r="A486" i="8"/>
  <c r="B698" i="6"/>
  <c r="A698" i="6"/>
  <c r="T539" i="8" l="1"/>
  <c r="AD539" i="8" s="1"/>
  <c r="T591" i="8"/>
  <c r="AD591" i="8" s="1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 l="1"/>
  <c r="AE538" i="8" s="1"/>
  <c r="U590" i="8"/>
  <c r="AE590" i="8" s="1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 l="1"/>
  <c r="AS535" i="8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 l="1"/>
  <c r="AM535" i="8" s="1"/>
  <c r="C698" i="6"/>
  <c r="G696" i="6"/>
  <c r="I482" i="8"/>
  <c r="H482" i="8"/>
  <c r="G482" i="8"/>
  <c r="F482" i="8"/>
  <c r="E482" i="8"/>
  <c r="D482" i="8"/>
  <c r="B694" i="6"/>
  <c r="G695" i="6" s="1"/>
  <c r="A694" i="6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 l="1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 l="1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H742" i="6" l="1"/>
  <c r="AM530" i="8" s="1"/>
  <c r="C693" i="6"/>
  <c r="N481" i="8"/>
  <c r="O481" i="8"/>
  <c r="P481" i="8"/>
  <c r="Q481" i="8"/>
  <c r="R481" i="8"/>
  <c r="M481" i="8"/>
  <c r="G691" i="6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B688" i="6"/>
  <c r="H740" i="6" s="1"/>
  <c r="AM528" i="8" l="1"/>
  <c r="R479" i="8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G688" i="6" l="1"/>
  <c r="H739" i="6"/>
  <c r="AM527" i="8" s="1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C469" i="8"/>
  <c r="AO521" i="8" s="1"/>
  <c r="B469" i="8"/>
  <c r="AN521" i="8" s="1"/>
  <c r="B681" i="6"/>
  <c r="H733" i="6" s="1"/>
  <c r="AM521" i="8" l="1"/>
  <c r="M472" i="8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C464" i="8"/>
  <c r="AO516" i="8" s="1"/>
  <c r="B464" i="8"/>
  <c r="AN516" i="8" s="1"/>
  <c r="B676" i="6"/>
  <c r="H728" i="6" s="1"/>
  <c r="AM516" i="8" l="1"/>
  <c r="Q467" i="8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C463" i="8"/>
  <c r="AO515" i="8" s="1"/>
  <c r="B463" i="8"/>
  <c r="AN515" i="8" s="1"/>
  <c r="B675" i="6"/>
  <c r="H727" i="6" s="1"/>
  <c r="AM515" i="8" l="1"/>
  <c r="N466" i="8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 s="1"/>
  <c r="M464" i="8"/>
  <c r="N464" i="8"/>
  <c r="O464" i="8"/>
  <c r="P464" i="8"/>
  <c r="Q464" i="8"/>
  <c r="R464" i="8"/>
  <c r="G674" i="6"/>
  <c r="K461" i="8"/>
  <c r="L461" i="8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B669" i="6"/>
  <c r="L457" i="8" l="1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C454" i="8"/>
  <c r="AO506" i="8" s="1"/>
  <c r="B454" i="8"/>
  <c r="AN506" i="8" s="1"/>
  <c r="B666" i="6"/>
  <c r="H718" i="6" s="1"/>
  <c r="AM506" i="8" l="1"/>
  <c r="C669" i="6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C453" i="8"/>
  <c r="AO505" i="8" s="1"/>
  <c r="B453" i="8"/>
  <c r="AN505" i="8" s="1"/>
  <c r="B665" i="6"/>
  <c r="H717" i="6" s="1"/>
  <c r="AM505" i="8" l="1"/>
  <c r="M456" i="8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C452" i="8"/>
  <c r="AO504" i="8" s="1"/>
  <c r="B452" i="8"/>
  <c r="AN504" i="8" s="1"/>
  <c r="B664" i="6"/>
  <c r="H716" i="6" s="1"/>
  <c r="AM504" i="8" l="1"/>
  <c r="C667" i="6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C451" i="8"/>
  <c r="AO503" i="8" s="1"/>
  <c r="B451" i="8"/>
  <c r="AN503" i="8" s="1"/>
  <c r="B663" i="6"/>
  <c r="H715" i="6" s="1"/>
  <c r="AM503" i="8" l="1"/>
  <c r="M454" i="8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C450" i="8"/>
  <c r="AO502" i="8" s="1"/>
  <c r="B450" i="8"/>
  <c r="AN502" i="8" s="1"/>
  <c r="B662" i="6"/>
  <c r="H714" i="6" s="1"/>
  <c r="AM502" i="8" l="1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AM498" i="8" l="1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T598" i="8" s="1"/>
  <c r="AD598" i="8" s="1"/>
  <c r="L442" i="8"/>
  <c r="U598" i="8" s="1"/>
  <c r="AE598" i="8" s="1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U597" i="8" s="1"/>
  <c r="AE597" i="8" s="1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V598" i="8" s="1"/>
  <c r="AF598" i="8" s="1"/>
  <c r="O442" i="8"/>
  <c r="X598" i="8" s="1"/>
  <c r="AH598" i="8" s="1"/>
  <c r="Q442" i="8"/>
  <c r="Z598" i="8" s="1"/>
  <c r="AJ598" i="8" s="1"/>
  <c r="C654" i="6"/>
  <c r="D810" i="6" s="1"/>
  <c r="G652" i="6"/>
  <c r="N442" i="8"/>
  <c r="W598" i="8" s="1"/>
  <c r="AG598" i="8" s="1"/>
  <c r="P442" i="8"/>
  <c r="Y598" i="8" s="1"/>
  <c r="AI598" i="8" s="1"/>
  <c r="R442" i="8"/>
  <c r="AA598" i="8" s="1"/>
  <c r="AK598" i="8" s="1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F810" i="6" l="1"/>
  <c r="I810" i="6"/>
  <c r="AC598" i="8" s="1"/>
  <c r="AM490" i="8"/>
  <c r="M441" i="8"/>
  <c r="V597" i="8" s="1"/>
  <c r="AF597" i="8" s="1"/>
  <c r="O441" i="8"/>
  <c r="X597" i="8" s="1"/>
  <c r="AH597" i="8" s="1"/>
  <c r="Q441" i="8"/>
  <c r="Z597" i="8" s="1"/>
  <c r="AJ597" i="8" s="1"/>
  <c r="C653" i="6"/>
  <c r="D809" i="6" s="1"/>
  <c r="N441" i="8"/>
  <c r="W597" i="8" s="1"/>
  <c r="AG597" i="8" s="1"/>
  <c r="P441" i="8"/>
  <c r="Y597" i="8" s="1"/>
  <c r="AI597" i="8" s="1"/>
  <c r="R441" i="8"/>
  <c r="AA597" i="8" s="1"/>
  <c r="AK597" i="8" s="1"/>
  <c r="G651" i="6"/>
  <c r="L438" i="8"/>
  <c r="U594" i="8" s="1"/>
  <c r="AE594" i="8" s="1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F809" i="6" l="1"/>
  <c r="I809" i="6"/>
  <c r="AC597" i="8" s="1"/>
  <c r="G650" i="6"/>
  <c r="H701" i="6"/>
  <c r="AM489" i="8" s="1"/>
  <c r="N440" i="8"/>
  <c r="W596" i="8" s="1"/>
  <c r="AG596" i="8" s="1"/>
  <c r="P440" i="8"/>
  <c r="Y596" i="8" s="1"/>
  <c r="AI596" i="8" s="1"/>
  <c r="R440" i="8"/>
  <c r="AA596" i="8" s="1"/>
  <c r="AK596" i="8" s="1"/>
  <c r="C652" i="6"/>
  <c r="D808" i="6" s="1"/>
  <c r="M440" i="8"/>
  <c r="V596" i="8" s="1"/>
  <c r="O440" i="8"/>
  <c r="X596" i="8" s="1"/>
  <c r="AH596" i="8" s="1"/>
  <c r="Q440" i="8"/>
  <c r="Z596" i="8" s="1"/>
  <c r="AJ596" i="8" s="1"/>
  <c r="L437" i="8"/>
  <c r="U593" i="8" s="1"/>
  <c r="AE593" i="8" s="1"/>
  <c r="I808" i="6" l="1"/>
  <c r="F808" i="6"/>
  <c r="I436" i="8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AO488" i="8"/>
  <c r="N439" i="8"/>
  <c r="W595" i="8" s="1"/>
  <c r="AG595" i="8" s="1"/>
  <c r="P439" i="8"/>
  <c r="Y595" i="8" s="1"/>
  <c r="AI595" i="8" s="1"/>
  <c r="R439" i="8"/>
  <c r="AA595" i="8" s="1"/>
  <c r="AK595" i="8" s="1"/>
  <c r="C651" i="6"/>
  <c r="D807" i="6" s="1"/>
  <c r="G649" i="6"/>
  <c r="M439" i="8"/>
  <c r="V595" i="8" s="1"/>
  <c r="AF595" i="8" s="1"/>
  <c r="O439" i="8"/>
  <c r="X595" i="8" s="1"/>
  <c r="AH595" i="8" s="1"/>
  <c r="Q439" i="8"/>
  <c r="Z595" i="8" s="1"/>
  <c r="AJ595" i="8" s="1"/>
  <c r="I435" i="8"/>
  <c r="H435" i="8"/>
  <c r="G435" i="8"/>
  <c r="F435" i="8"/>
  <c r="E435" i="8"/>
  <c r="D435" i="8"/>
  <c r="C435" i="8"/>
  <c r="B435" i="8"/>
  <c r="AN487" i="8" s="1"/>
  <c r="B647" i="6"/>
  <c r="I807" i="6" l="1"/>
  <c r="F807" i="6"/>
  <c r="AC595" i="8"/>
  <c r="U540" i="8"/>
  <c r="AE540" i="8" s="1"/>
  <c r="U592" i="8"/>
  <c r="AE592" i="8" s="1"/>
  <c r="N438" i="8"/>
  <c r="W594" i="8" s="1"/>
  <c r="AG594" i="8" s="1"/>
  <c r="AQ487" i="8"/>
  <c r="L435" i="8"/>
  <c r="AO487" i="8"/>
  <c r="M438" i="8"/>
  <c r="V594" i="8" s="1"/>
  <c r="AF594" i="8" s="1"/>
  <c r="AP487" i="8"/>
  <c r="Q438" i="8"/>
  <c r="Z594" i="8" s="1"/>
  <c r="AJ594" i="8" s="1"/>
  <c r="AT487" i="8"/>
  <c r="C650" i="6"/>
  <c r="D806" i="6" s="1"/>
  <c r="H699" i="6"/>
  <c r="R438" i="8"/>
  <c r="AA594" i="8" s="1"/>
  <c r="AK594" i="8" s="1"/>
  <c r="AU487" i="8"/>
  <c r="O438" i="8"/>
  <c r="X594" i="8" s="1"/>
  <c r="AH594" i="8" s="1"/>
  <c r="AR487" i="8"/>
  <c r="P438" i="8"/>
  <c r="Y594" i="8" s="1"/>
  <c r="AI594" i="8" s="1"/>
  <c r="AS487" i="8"/>
  <c r="G648" i="6"/>
  <c r="I434" i="8"/>
  <c r="H434" i="8"/>
  <c r="G434" i="8"/>
  <c r="F434" i="8"/>
  <c r="E434" i="8"/>
  <c r="D434" i="8"/>
  <c r="C434" i="8"/>
  <c r="B434" i="8"/>
  <c r="B646" i="6"/>
  <c r="I806" i="6" l="1"/>
  <c r="F806" i="6"/>
  <c r="AM487" i="8"/>
  <c r="AC594" i="8"/>
  <c r="U539" i="8"/>
  <c r="AE539" i="8" s="1"/>
  <c r="U591" i="8"/>
  <c r="AE591" i="8" s="1"/>
  <c r="N437" i="8"/>
  <c r="W593" i="8" s="1"/>
  <c r="AG593" i="8" s="1"/>
  <c r="AQ486" i="8"/>
  <c r="P437" i="8"/>
  <c r="Y593" i="8" s="1"/>
  <c r="AI593" i="8" s="1"/>
  <c r="AS486" i="8"/>
  <c r="Q437" i="8"/>
  <c r="Z593" i="8" s="1"/>
  <c r="AJ593" i="8" s="1"/>
  <c r="AT486" i="8"/>
  <c r="C649" i="6"/>
  <c r="D805" i="6" s="1"/>
  <c r="H698" i="6"/>
  <c r="R437" i="8"/>
  <c r="AA593" i="8" s="1"/>
  <c r="AK593" i="8" s="1"/>
  <c r="AU486" i="8"/>
  <c r="M437" i="8"/>
  <c r="V593" i="8" s="1"/>
  <c r="AF593" i="8" s="1"/>
  <c r="AP486" i="8"/>
  <c r="O437" i="8"/>
  <c r="X593" i="8" s="1"/>
  <c r="AH593" i="8" s="1"/>
  <c r="AR486" i="8"/>
  <c r="G647" i="6"/>
  <c r="I433" i="8"/>
  <c r="H433" i="8"/>
  <c r="G433" i="8"/>
  <c r="F433" i="8"/>
  <c r="E433" i="8"/>
  <c r="D433" i="8"/>
  <c r="C433" i="8"/>
  <c r="B433" i="8"/>
  <c r="B645" i="6"/>
  <c r="F805" i="6" l="1"/>
  <c r="I805" i="6"/>
  <c r="AC593" i="8"/>
  <c r="C648" i="6"/>
  <c r="D804" i="6" s="1"/>
  <c r="H697" i="6"/>
  <c r="N436" i="8"/>
  <c r="W592" i="8" s="1"/>
  <c r="AG592" i="8" s="1"/>
  <c r="AQ485" i="8"/>
  <c r="AM486" i="8"/>
  <c r="P436" i="8"/>
  <c r="Y592" i="8" s="1"/>
  <c r="AI592" i="8" s="1"/>
  <c r="AS485" i="8"/>
  <c r="R436" i="8"/>
  <c r="AA592" i="8" s="1"/>
  <c r="AK592" i="8" s="1"/>
  <c r="AU485" i="8"/>
  <c r="M436" i="8"/>
  <c r="V592" i="8" s="1"/>
  <c r="AF592" i="8" s="1"/>
  <c r="AP485" i="8"/>
  <c r="AM485" i="8" s="1"/>
  <c r="O436" i="8"/>
  <c r="X592" i="8" s="1"/>
  <c r="AH592" i="8" s="1"/>
  <c r="AR485" i="8"/>
  <c r="Q436" i="8"/>
  <c r="Z592" i="8" s="1"/>
  <c r="AJ592" i="8" s="1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C432" i="8"/>
  <c r="B432" i="8"/>
  <c r="B644" i="6"/>
  <c r="H696" i="6" s="1"/>
  <c r="F804" i="6" l="1"/>
  <c r="I804" i="6"/>
  <c r="AC592" i="8" s="1"/>
  <c r="AM484" i="8"/>
  <c r="N435" i="8"/>
  <c r="W591" i="8" s="1"/>
  <c r="AG591" i="8" s="1"/>
  <c r="R435" i="8"/>
  <c r="AA591" i="8" s="1"/>
  <c r="AK591" i="8" s="1"/>
  <c r="M435" i="8"/>
  <c r="V591" i="8" s="1"/>
  <c r="AF591" i="8" s="1"/>
  <c r="O435" i="8"/>
  <c r="X591" i="8" s="1"/>
  <c r="AH591" i="8" s="1"/>
  <c r="Q435" i="8"/>
  <c r="Z591" i="8" s="1"/>
  <c r="AJ591" i="8" s="1"/>
  <c r="P435" i="8"/>
  <c r="Y591" i="8" s="1"/>
  <c r="AI591" i="8" s="1"/>
  <c r="C647" i="6"/>
  <c r="D803" i="6" s="1"/>
  <c r="G645" i="6"/>
  <c r="F803" i="6" l="1"/>
  <c r="I803" i="6"/>
  <c r="AC591" i="8" s="1"/>
  <c r="I431" i="8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C431" i="8"/>
  <c r="B431" i="8"/>
  <c r="B643" i="6"/>
  <c r="H695" i="6" s="1"/>
  <c r="AM483" i="8" l="1"/>
  <c r="M434" i="8"/>
  <c r="V590" i="8" s="1"/>
  <c r="AF590" i="8" s="1"/>
  <c r="O434" i="8"/>
  <c r="X590" i="8" s="1"/>
  <c r="AH590" i="8" s="1"/>
  <c r="Q434" i="8"/>
  <c r="Z590" i="8" s="1"/>
  <c r="AJ590" i="8" s="1"/>
  <c r="N434" i="8"/>
  <c r="W590" i="8" s="1"/>
  <c r="AG590" i="8" s="1"/>
  <c r="P434" i="8"/>
  <c r="Y590" i="8" s="1"/>
  <c r="AI590" i="8" s="1"/>
  <c r="R434" i="8"/>
  <c r="AA590" i="8" s="1"/>
  <c r="AK590" i="8" s="1"/>
  <c r="C646" i="6"/>
  <c r="D802" i="6" s="1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I802" i="6" l="1"/>
  <c r="F802" i="6"/>
  <c r="AC590" i="8"/>
  <c r="M433" i="8"/>
  <c r="V589" i="8" s="1"/>
  <c r="AF589" i="8" s="1"/>
  <c r="O433" i="8"/>
  <c r="X589" i="8" s="1"/>
  <c r="AH589" i="8" s="1"/>
  <c r="Q433" i="8"/>
  <c r="Z589" i="8" s="1"/>
  <c r="AJ589" i="8" s="1"/>
  <c r="N433" i="8"/>
  <c r="W589" i="8" s="1"/>
  <c r="AG589" i="8" s="1"/>
  <c r="P433" i="8"/>
  <c r="Y589" i="8" s="1"/>
  <c r="AI589" i="8" s="1"/>
  <c r="R433" i="8"/>
  <c r="AA589" i="8" s="1"/>
  <c r="AK589" i="8" s="1"/>
  <c r="C645" i="6"/>
  <c r="D801" i="6" s="1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F801" i="6" l="1"/>
  <c r="I801" i="6"/>
  <c r="AC589" i="8" s="1"/>
  <c r="AM481" i="8"/>
  <c r="N431" i="8"/>
  <c r="W587" i="8" s="1"/>
  <c r="AG587" i="8" s="1"/>
  <c r="P431" i="8"/>
  <c r="Y587" i="8" s="1"/>
  <c r="AI587" i="8" s="1"/>
  <c r="R431" i="8"/>
  <c r="AA587" i="8" s="1"/>
  <c r="AK587" i="8" s="1"/>
  <c r="N432" i="8"/>
  <c r="W588" i="8" s="1"/>
  <c r="AG588" i="8" s="1"/>
  <c r="P432" i="8"/>
  <c r="Y588" i="8" s="1"/>
  <c r="AI588" i="8" s="1"/>
  <c r="R432" i="8"/>
  <c r="AA588" i="8" s="1"/>
  <c r="AK588" i="8" s="1"/>
  <c r="M431" i="8"/>
  <c r="V587" i="8" s="1"/>
  <c r="AF587" i="8" s="1"/>
  <c r="O431" i="8"/>
  <c r="X587" i="8" s="1"/>
  <c r="AH587" i="8" s="1"/>
  <c r="Q431" i="8"/>
  <c r="Z587" i="8" s="1"/>
  <c r="AJ587" i="8" s="1"/>
  <c r="M432" i="8"/>
  <c r="V588" i="8" s="1"/>
  <c r="AF588" i="8" s="1"/>
  <c r="O432" i="8"/>
  <c r="X588" i="8" s="1"/>
  <c r="AH588" i="8" s="1"/>
  <c r="Q432" i="8"/>
  <c r="Z588" i="8" s="1"/>
  <c r="AJ588" i="8" s="1"/>
  <c r="C644" i="6"/>
  <c r="D800" i="6" s="1"/>
  <c r="G642" i="6"/>
  <c r="B640" i="6"/>
  <c r="H692" i="6" s="1"/>
  <c r="AM480" i="8" s="1"/>
  <c r="F800" i="6" l="1"/>
  <c r="I800" i="6"/>
  <c r="AC588" i="8" s="1"/>
  <c r="C643" i="6"/>
  <c r="D799" i="6" s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F799" i="6" l="1"/>
  <c r="I799" i="6"/>
  <c r="AC587" i="8" s="1"/>
  <c r="AM479" i="8"/>
  <c r="M430" i="8"/>
  <c r="V586" i="8" s="1"/>
  <c r="AF586" i="8" s="1"/>
  <c r="O430" i="8"/>
  <c r="X586" i="8" s="1"/>
  <c r="AH586" i="8" s="1"/>
  <c r="Q430" i="8"/>
  <c r="Z586" i="8" s="1"/>
  <c r="AJ586" i="8" s="1"/>
  <c r="N430" i="8"/>
  <c r="W586" i="8" s="1"/>
  <c r="AG586" i="8" s="1"/>
  <c r="P430" i="8"/>
  <c r="Y586" i="8" s="1"/>
  <c r="AI586" i="8" s="1"/>
  <c r="R430" i="8"/>
  <c r="AA586" i="8" s="1"/>
  <c r="AK586" i="8" s="1"/>
  <c r="C642" i="6"/>
  <c r="D798" i="6" s="1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F798" i="6" l="1"/>
  <c r="I798" i="6"/>
  <c r="AC586" i="8"/>
  <c r="AM478" i="8"/>
  <c r="N429" i="8"/>
  <c r="W585" i="8" s="1"/>
  <c r="AG585" i="8" s="1"/>
  <c r="P429" i="8"/>
  <c r="Y585" i="8" s="1"/>
  <c r="AI585" i="8" s="1"/>
  <c r="R429" i="8"/>
  <c r="AA585" i="8" s="1"/>
  <c r="AK585" i="8" s="1"/>
  <c r="M429" i="8"/>
  <c r="V585" i="8" s="1"/>
  <c r="AF585" i="8" s="1"/>
  <c r="O429" i="8"/>
  <c r="X585" i="8" s="1"/>
  <c r="AH585" i="8" s="1"/>
  <c r="Q429" i="8"/>
  <c r="Z585" i="8" s="1"/>
  <c r="AJ585" i="8" s="1"/>
  <c r="C641" i="6"/>
  <c r="D797" i="6" s="1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F797" i="6" l="1"/>
  <c r="I797" i="6"/>
  <c r="AC585" i="8" s="1"/>
  <c r="AM477" i="8"/>
  <c r="N428" i="8"/>
  <c r="W584" i="8" s="1"/>
  <c r="AG584" i="8" s="1"/>
  <c r="P428" i="8"/>
  <c r="Y584" i="8" s="1"/>
  <c r="AI584" i="8" s="1"/>
  <c r="R428" i="8"/>
  <c r="AA584" i="8" s="1"/>
  <c r="AK584" i="8" s="1"/>
  <c r="M428" i="8"/>
  <c r="V584" i="8" s="1"/>
  <c r="AF584" i="8" s="1"/>
  <c r="O428" i="8"/>
  <c r="X584" i="8" s="1"/>
  <c r="AH584" i="8" s="1"/>
  <c r="Q428" i="8"/>
  <c r="Z584" i="8" s="1"/>
  <c r="AJ584" i="8" s="1"/>
  <c r="C640" i="6"/>
  <c r="D796" i="6" s="1"/>
  <c r="G638" i="6"/>
  <c r="F796" i="6" l="1"/>
  <c r="I796" i="6"/>
  <c r="AC584" i="8" s="1"/>
  <c r="I424" i="8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V583" i="8" s="1"/>
  <c r="AF583" i="8" s="1"/>
  <c r="O427" i="8"/>
  <c r="X583" i="8" s="1"/>
  <c r="AH583" i="8" s="1"/>
  <c r="Q427" i="8"/>
  <c r="Z583" i="8" s="1"/>
  <c r="AJ583" i="8" s="1"/>
  <c r="N427" i="8"/>
  <c r="W583" i="8" s="1"/>
  <c r="AG583" i="8" s="1"/>
  <c r="P427" i="8"/>
  <c r="Y583" i="8" s="1"/>
  <c r="AI583" i="8" s="1"/>
  <c r="R427" i="8"/>
  <c r="AA583" i="8" s="1"/>
  <c r="AK583" i="8" s="1"/>
  <c r="C639" i="6"/>
  <c r="D795" i="6" s="1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I795" i="6" l="1"/>
  <c r="F795" i="6"/>
  <c r="AC583" i="8"/>
  <c r="AM475" i="8"/>
  <c r="M426" i="8"/>
  <c r="V582" i="8" s="1"/>
  <c r="AF582" i="8" s="1"/>
  <c r="O426" i="8"/>
  <c r="X582" i="8" s="1"/>
  <c r="AH582" i="8" s="1"/>
  <c r="Q426" i="8"/>
  <c r="Z582" i="8" s="1"/>
  <c r="AJ582" i="8" s="1"/>
  <c r="N426" i="8"/>
  <c r="W582" i="8" s="1"/>
  <c r="AG582" i="8" s="1"/>
  <c r="P426" i="8"/>
  <c r="Y582" i="8" s="1"/>
  <c r="AI582" i="8" s="1"/>
  <c r="R426" i="8"/>
  <c r="AA582" i="8" s="1"/>
  <c r="AK582" i="8" s="1"/>
  <c r="C638" i="6"/>
  <c r="D794" i="6" s="1"/>
  <c r="G636" i="6"/>
  <c r="I422" i="8"/>
  <c r="H422" i="8"/>
  <c r="G422" i="8"/>
  <c r="F422" i="8"/>
  <c r="E422" i="8"/>
  <c r="D422" i="8"/>
  <c r="C422" i="8"/>
  <c r="B422" i="8"/>
  <c r="B634" i="6"/>
  <c r="F794" i="6" l="1"/>
  <c r="I794" i="6"/>
  <c r="AC582" i="8" s="1"/>
  <c r="N425" i="8"/>
  <c r="W581" i="8" s="1"/>
  <c r="AG581" i="8" s="1"/>
  <c r="AQ474" i="8"/>
  <c r="O425" i="8"/>
  <c r="X581" i="8" s="1"/>
  <c r="AH581" i="8" s="1"/>
  <c r="AR474" i="8"/>
  <c r="P425" i="8"/>
  <c r="Y581" i="8" s="1"/>
  <c r="AI581" i="8" s="1"/>
  <c r="AS474" i="8"/>
  <c r="Q425" i="8"/>
  <c r="Z581" i="8" s="1"/>
  <c r="AJ581" i="8" s="1"/>
  <c r="AT474" i="8"/>
  <c r="M425" i="8"/>
  <c r="V581" i="8" s="1"/>
  <c r="AF581" i="8" s="1"/>
  <c r="AP474" i="8"/>
  <c r="R425" i="8"/>
  <c r="AA581" i="8" s="1"/>
  <c r="AK581" i="8" s="1"/>
  <c r="AU474" i="8"/>
  <c r="C637" i="6"/>
  <c r="D793" i="6" s="1"/>
  <c r="H686" i="6"/>
  <c r="G635" i="6"/>
  <c r="I421" i="8"/>
  <c r="H421" i="8"/>
  <c r="G421" i="8"/>
  <c r="F421" i="8"/>
  <c r="E421" i="8"/>
  <c r="D421" i="8"/>
  <c r="C421" i="8"/>
  <c r="B421" i="8"/>
  <c r="B633" i="6"/>
  <c r="F793" i="6" l="1"/>
  <c r="I793" i="6"/>
  <c r="AC581" i="8"/>
  <c r="AM474" i="8"/>
  <c r="R424" i="8"/>
  <c r="AA580" i="8" s="1"/>
  <c r="AK580" i="8" s="1"/>
  <c r="AU473" i="8"/>
  <c r="M424" i="8"/>
  <c r="V580" i="8" s="1"/>
  <c r="AF580" i="8" s="1"/>
  <c r="AP473" i="8"/>
  <c r="N424" i="8"/>
  <c r="W580" i="8" s="1"/>
  <c r="AG580" i="8" s="1"/>
  <c r="AQ473" i="8"/>
  <c r="O424" i="8"/>
  <c r="X580" i="8" s="1"/>
  <c r="AH580" i="8" s="1"/>
  <c r="AR473" i="8"/>
  <c r="P424" i="8"/>
  <c r="Y580" i="8" s="1"/>
  <c r="AI580" i="8" s="1"/>
  <c r="AS473" i="8"/>
  <c r="Q424" i="8"/>
  <c r="Z580" i="8" s="1"/>
  <c r="AJ580" i="8" s="1"/>
  <c r="AT473" i="8"/>
  <c r="C636" i="6"/>
  <c r="D792" i="6" s="1"/>
  <c r="H685" i="6"/>
  <c r="G634" i="6"/>
  <c r="I420" i="8"/>
  <c r="H420" i="8"/>
  <c r="G420" i="8"/>
  <c r="F420" i="8"/>
  <c r="E420" i="8"/>
  <c r="D420" i="8"/>
  <c r="C420" i="8"/>
  <c r="B420" i="8"/>
  <c r="B632" i="6"/>
  <c r="AM473" i="8" l="1"/>
  <c r="F792" i="6"/>
  <c r="I792" i="6"/>
  <c r="AC580" i="8" s="1"/>
  <c r="R423" i="8"/>
  <c r="AA579" i="8" s="1"/>
  <c r="AK579" i="8" s="1"/>
  <c r="AU472" i="8"/>
  <c r="M423" i="8"/>
  <c r="V579" i="8" s="1"/>
  <c r="AF579" i="8" s="1"/>
  <c r="AP472" i="8"/>
  <c r="P423" i="8"/>
  <c r="Y579" i="8" s="1"/>
  <c r="AI579" i="8" s="1"/>
  <c r="AS472" i="8"/>
  <c r="N423" i="8"/>
  <c r="W579" i="8" s="1"/>
  <c r="AG579" i="8" s="1"/>
  <c r="AQ472" i="8"/>
  <c r="O423" i="8"/>
  <c r="X579" i="8" s="1"/>
  <c r="AH579" i="8" s="1"/>
  <c r="AR472" i="8"/>
  <c r="Q423" i="8"/>
  <c r="Z579" i="8" s="1"/>
  <c r="AJ579" i="8" s="1"/>
  <c r="AT472" i="8"/>
  <c r="C635" i="6"/>
  <c r="D791" i="6" s="1"/>
  <c r="H684" i="6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l="1"/>
  <c r="AM472" i="8"/>
  <c r="F791" i="6"/>
  <c r="I791" i="6"/>
  <c r="AC579" i="8" s="1"/>
  <c r="L422" i="8"/>
  <c r="U578" i="8" s="1"/>
  <c r="AE578" i="8" s="1"/>
  <c r="N422" i="8"/>
  <c r="W578" i="8" s="1"/>
  <c r="AG578" i="8" s="1"/>
  <c r="P422" i="8"/>
  <c r="Y578" i="8" s="1"/>
  <c r="AI578" i="8" s="1"/>
  <c r="R422" i="8"/>
  <c r="AA578" i="8" s="1"/>
  <c r="AK578" i="8" s="1"/>
  <c r="C634" i="6"/>
  <c r="D790" i="6" s="1"/>
  <c r="M422" i="8"/>
  <c r="V578" i="8" s="1"/>
  <c r="AF578" i="8" s="1"/>
  <c r="O422" i="8"/>
  <c r="X578" i="8" s="1"/>
  <c r="AH578" i="8" s="1"/>
  <c r="Q422" i="8"/>
  <c r="Z578" i="8" s="1"/>
  <c r="AJ578" i="8" s="1"/>
  <c r="G632" i="6"/>
  <c r="I418" i="8"/>
  <c r="H418" i="8"/>
  <c r="G418" i="8"/>
  <c r="F418" i="8"/>
  <c r="E418" i="8"/>
  <c r="D418" i="8"/>
  <c r="C418" i="8"/>
  <c r="B418" i="8"/>
  <c r="K421" i="8" s="1"/>
  <c r="B630" i="6"/>
  <c r="T525" i="8" l="1"/>
  <c r="AD525" i="8" s="1"/>
  <c r="T577" i="8"/>
  <c r="AD577" i="8" s="1"/>
  <c r="F790" i="6"/>
  <c r="I790" i="6"/>
  <c r="AC578" i="8" s="1"/>
  <c r="N421" i="8"/>
  <c r="W577" i="8" s="1"/>
  <c r="AG577" i="8" s="1"/>
  <c r="AQ470" i="8"/>
  <c r="M421" i="8"/>
  <c r="V577" i="8" s="1"/>
  <c r="AF577" i="8" s="1"/>
  <c r="AP470" i="8"/>
  <c r="R421" i="8"/>
  <c r="AA577" i="8" s="1"/>
  <c r="AK577" i="8" s="1"/>
  <c r="AU470" i="8"/>
  <c r="O421" i="8"/>
  <c r="X577" i="8" s="1"/>
  <c r="AH577" i="8" s="1"/>
  <c r="AR470" i="8"/>
  <c r="P421" i="8"/>
  <c r="Y577" i="8" s="1"/>
  <c r="AI577" i="8" s="1"/>
  <c r="AS470" i="8"/>
  <c r="Q421" i="8"/>
  <c r="Z577" i="8" s="1"/>
  <c r="AJ577" i="8" s="1"/>
  <c r="AT470" i="8"/>
  <c r="L421" i="8"/>
  <c r="U577" i="8" s="1"/>
  <c r="AE577" i="8" s="1"/>
  <c r="AO470" i="8"/>
  <c r="C633" i="6"/>
  <c r="D789" i="6" s="1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F789" i="6" l="1"/>
  <c r="I789" i="6"/>
  <c r="AC577" i="8" s="1"/>
  <c r="AM466" i="8"/>
  <c r="AM467" i="8"/>
  <c r="AM470" i="8"/>
  <c r="L420" i="8"/>
  <c r="U576" i="8" s="1"/>
  <c r="AE576" i="8" s="1"/>
  <c r="AO469" i="8"/>
  <c r="AM464" i="8"/>
  <c r="N419" i="8"/>
  <c r="W575" i="8" s="1"/>
  <c r="AG575" i="8" s="1"/>
  <c r="AQ468" i="8"/>
  <c r="M420" i="8"/>
  <c r="V576" i="8" s="1"/>
  <c r="AF576" i="8" s="1"/>
  <c r="AP469" i="8"/>
  <c r="AM468" i="8"/>
  <c r="R419" i="8"/>
  <c r="AA575" i="8" s="1"/>
  <c r="AK575" i="8" s="1"/>
  <c r="AU468" i="8"/>
  <c r="Q420" i="8"/>
  <c r="Z576" i="8" s="1"/>
  <c r="AJ576" i="8" s="1"/>
  <c r="AT469" i="8"/>
  <c r="AM465" i="8"/>
  <c r="N420" i="8"/>
  <c r="W576" i="8" s="1"/>
  <c r="AG576" i="8" s="1"/>
  <c r="AQ469" i="8"/>
  <c r="P420" i="8"/>
  <c r="Y576" i="8" s="1"/>
  <c r="AI576" i="8" s="1"/>
  <c r="AS469" i="8"/>
  <c r="R420" i="8"/>
  <c r="AA576" i="8" s="1"/>
  <c r="AK576" i="8" s="1"/>
  <c r="AU469" i="8"/>
  <c r="P419" i="8"/>
  <c r="Y575" i="8" s="1"/>
  <c r="AI575" i="8" s="1"/>
  <c r="AS468" i="8"/>
  <c r="O420" i="8"/>
  <c r="X576" i="8" s="1"/>
  <c r="AH576" i="8" s="1"/>
  <c r="AR469" i="8"/>
  <c r="L419" i="8"/>
  <c r="U575" i="8" s="1"/>
  <c r="AE575" i="8" s="1"/>
  <c r="AO468" i="8"/>
  <c r="K420" i="8"/>
  <c r="T576" i="8" s="1"/>
  <c r="AD576" i="8" s="1"/>
  <c r="AN469" i="8"/>
  <c r="C632" i="6"/>
  <c r="D788" i="6" s="1"/>
  <c r="H681" i="6"/>
  <c r="C631" i="6"/>
  <c r="D787" i="6" s="1"/>
  <c r="C630" i="6"/>
  <c r="D786" i="6" s="1"/>
  <c r="L418" i="8"/>
  <c r="U574" i="8" s="1"/>
  <c r="AE574" i="8" s="1"/>
  <c r="N418" i="8"/>
  <c r="W574" i="8" s="1"/>
  <c r="AG574" i="8" s="1"/>
  <c r="P418" i="8"/>
  <c r="Y574" i="8" s="1"/>
  <c r="AI574" i="8" s="1"/>
  <c r="R418" i="8"/>
  <c r="AA574" i="8" s="1"/>
  <c r="AK574" i="8" s="1"/>
  <c r="K419" i="8"/>
  <c r="T575" i="8" s="1"/>
  <c r="AD575" i="8" s="1"/>
  <c r="O419" i="8"/>
  <c r="X575" i="8" s="1"/>
  <c r="AH575" i="8" s="1"/>
  <c r="M418" i="8"/>
  <c r="V574" i="8" s="1"/>
  <c r="AF574" i="8" s="1"/>
  <c r="M419" i="8"/>
  <c r="V575" i="8" s="1"/>
  <c r="AF575" i="8" s="1"/>
  <c r="Q418" i="8"/>
  <c r="Z574" i="8" s="1"/>
  <c r="AJ574" i="8" s="1"/>
  <c r="Q419" i="8"/>
  <c r="Z575" i="8" s="1"/>
  <c r="AJ575" i="8" s="1"/>
  <c r="K418" i="8"/>
  <c r="T574" i="8" s="1"/>
  <c r="AD574" i="8" s="1"/>
  <c r="O418" i="8"/>
  <c r="X574" i="8" s="1"/>
  <c r="AH574" i="8" s="1"/>
  <c r="G630" i="6"/>
  <c r="K417" i="8"/>
  <c r="T573" i="8" s="1"/>
  <c r="AD573" i="8" s="1"/>
  <c r="M417" i="8"/>
  <c r="V573" i="8" s="1"/>
  <c r="AF573" i="8" s="1"/>
  <c r="O417" i="8"/>
  <c r="X573" i="8" s="1"/>
  <c r="AH573" i="8" s="1"/>
  <c r="Q417" i="8"/>
  <c r="Z573" i="8" s="1"/>
  <c r="AJ573" i="8" s="1"/>
  <c r="L417" i="8"/>
  <c r="U573" i="8" s="1"/>
  <c r="AE573" i="8" s="1"/>
  <c r="N417" i="8"/>
  <c r="W573" i="8" s="1"/>
  <c r="AG573" i="8" s="1"/>
  <c r="P417" i="8"/>
  <c r="Y573" i="8" s="1"/>
  <c r="AI573" i="8" s="1"/>
  <c r="R417" i="8"/>
  <c r="AA573" i="8" s="1"/>
  <c r="AK573" i="8" s="1"/>
  <c r="C629" i="6"/>
  <c r="D785" i="6" s="1"/>
  <c r="G629" i="6"/>
  <c r="L416" i="8"/>
  <c r="U572" i="8" s="1"/>
  <c r="AE572" i="8" s="1"/>
  <c r="N416" i="8"/>
  <c r="W572" i="8" s="1"/>
  <c r="AG572" i="8" s="1"/>
  <c r="P416" i="8"/>
  <c r="Y572" i="8" s="1"/>
  <c r="AI572" i="8" s="1"/>
  <c r="R416" i="8"/>
  <c r="AA572" i="8" s="1"/>
  <c r="AK572" i="8" s="1"/>
  <c r="K416" i="8"/>
  <c r="T572" i="8" s="1"/>
  <c r="AD572" i="8" s="1"/>
  <c r="M416" i="8"/>
  <c r="V572" i="8" s="1"/>
  <c r="AF572" i="8" s="1"/>
  <c r="O416" i="8"/>
  <c r="X572" i="8" s="1"/>
  <c r="AH572" i="8" s="1"/>
  <c r="Q416" i="8"/>
  <c r="Z572" i="8" s="1"/>
  <c r="AJ572" i="8" s="1"/>
  <c r="C628" i="6"/>
  <c r="D784" i="6" s="1"/>
  <c r="G628" i="6"/>
  <c r="G625" i="6"/>
  <c r="M415" i="8"/>
  <c r="V571" i="8" s="1"/>
  <c r="AF571" i="8" s="1"/>
  <c r="L415" i="8"/>
  <c r="U571" i="8" s="1"/>
  <c r="AE571" i="8" s="1"/>
  <c r="N415" i="8"/>
  <c r="W571" i="8" s="1"/>
  <c r="AG571" i="8" s="1"/>
  <c r="P415" i="8"/>
  <c r="Y571" i="8" s="1"/>
  <c r="AI571" i="8" s="1"/>
  <c r="R415" i="8"/>
  <c r="AA571" i="8" s="1"/>
  <c r="AK571" i="8" s="1"/>
  <c r="K415" i="8"/>
  <c r="T571" i="8" s="1"/>
  <c r="AD571" i="8" s="1"/>
  <c r="O415" i="8"/>
  <c r="X571" i="8" s="1"/>
  <c r="AH571" i="8" s="1"/>
  <c r="Q415" i="8"/>
  <c r="Z571" i="8" s="1"/>
  <c r="AJ571" i="8" s="1"/>
  <c r="C627" i="6"/>
  <c r="D783" i="6" s="1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F784" i="6" l="1"/>
  <c r="I784" i="6"/>
  <c r="AC572" i="8" s="1"/>
  <c r="F786" i="6"/>
  <c r="I786" i="6"/>
  <c r="AC574" i="8" s="1"/>
  <c r="F787" i="6"/>
  <c r="I787" i="6"/>
  <c r="AC575" i="8" s="1"/>
  <c r="F785" i="6"/>
  <c r="I785" i="6"/>
  <c r="AC573" i="8" s="1"/>
  <c r="F788" i="6"/>
  <c r="I788" i="6"/>
  <c r="AC576" i="8" s="1"/>
  <c r="F783" i="6"/>
  <c r="I783" i="6"/>
  <c r="AC571" i="8" s="1"/>
  <c r="AM469" i="8"/>
  <c r="AM462" i="8"/>
  <c r="O414" i="8"/>
  <c r="X570" i="8" s="1"/>
  <c r="AH570" i="8" s="1"/>
  <c r="AR463" i="8"/>
  <c r="AM461" i="8"/>
  <c r="P414" i="8"/>
  <c r="Y570" i="8" s="1"/>
  <c r="AI570" i="8" s="1"/>
  <c r="AS463" i="8"/>
  <c r="L414" i="8"/>
  <c r="U570" i="8" s="1"/>
  <c r="AE570" i="8" s="1"/>
  <c r="AO463" i="8"/>
  <c r="M414" i="8"/>
  <c r="V570" i="8" s="1"/>
  <c r="AF570" i="8" s="1"/>
  <c r="AP463" i="8"/>
  <c r="Q414" i="8"/>
  <c r="Z570" i="8" s="1"/>
  <c r="AJ570" i="8" s="1"/>
  <c r="AT463" i="8"/>
  <c r="R414" i="8"/>
  <c r="AA570" i="8" s="1"/>
  <c r="AK570" i="8" s="1"/>
  <c r="AU463" i="8"/>
  <c r="K414" i="8"/>
  <c r="T570" i="8" s="1"/>
  <c r="AD570" i="8" s="1"/>
  <c r="AN463" i="8"/>
  <c r="N414" i="8"/>
  <c r="W570" i="8" s="1"/>
  <c r="AG570" i="8" s="1"/>
  <c r="AQ463" i="8"/>
  <c r="G624" i="6"/>
  <c r="H675" i="6"/>
  <c r="AM458" i="8"/>
  <c r="AM456" i="8"/>
  <c r="AM457" i="8"/>
  <c r="AM459" i="8"/>
  <c r="AM460" i="8"/>
  <c r="K413" i="8"/>
  <c r="T569" i="8" s="1"/>
  <c r="AD569" i="8" s="1"/>
  <c r="M413" i="8"/>
  <c r="V569" i="8" s="1"/>
  <c r="AF569" i="8" s="1"/>
  <c r="O413" i="8"/>
  <c r="X569" i="8" s="1"/>
  <c r="AH569" i="8" s="1"/>
  <c r="Q413" i="8"/>
  <c r="Z569" i="8" s="1"/>
  <c r="AJ569" i="8" s="1"/>
  <c r="K412" i="8"/>
  <c r="T568" i="8" s="1"/>
  <c r="AD568" i="8" s="1"/>
  <c r="M412" i="8"/>
  <c r="V568" i="8" s="1"/>
  <c r="AF568" i="8" s="1"/>
  <c r="O412" i="8"/>
  <c r="X568" i="8" s="1"/>
  <c r="AH568" i="8" s="1"/>
  <c r="Q412" i="8"/>
  <c r="Z568" i="8" s="1"/>
  <c r="AJ568" i="8" s="1"/>
  <c r="C625" i="6"/>
  <c r="D781" i="6" s="1"/>
  <c r="L413" i="8"/>
  <c r="U569" i="8" s="1"/>
  <c r="AE569" i="8" s="1"/>
  <c r="N413" i="8"/>
  <c r="W569" i="8" s="1"/>
  <c r="AG569" i="8" s="1"/>
  <c r="P413" i="8"/>
  <c r="Y569" i="8" s="1"/>
  <c r="AI569" i="8" s="1"/>
  <c r="R413" i="8"/>
  <c r="AA569" i="8" s="1"/>
  <c r="AK569" i="8" s="1"/>
  <c r="C626" i="6"/>
  <c r="D782" i="6" s="1"/>
  <c r="C624" i="6"/>
  <c r="D780" i="6" s="1"/>
  <c r="L412" i="8"/>
  <c r="U568" i="8" s="1"/>
  <c r="AE568" i="8" s="1"/>
  <c r="N412" i="8"/>
  <c r="W568" i="8" s="1"/>
  <c r="AG568" i="8" s="1"/>
  <c r="P412" i="8"/>
  <c r="Y568" i="8" s="1"/>
  <c r="AI568" i="8" s="1"/>
  <c r="R412" i="8"/>
  <c r="AA568" i="8" s="1"/>
  <c r="AK568" i="8" s="1"/>
  <c r="L411" i="8"/>
  <c r="U567" i="8" s="1"/>
  <c r="AE567" i="8" s="1"/>
  <c r="N411" i="8"/>
  <c r="W567" i="8" s="1"/>
  <c r="AG567" i="8" s="1"/>
  <c r="P411" i="8"/>
  <c r="Y567" i="8" s="1"/>
  <c r="AI567" i="8" s="1"/>
  <c r="R411" i="8"/>
  <c r="AA567" i="8" s="1"/>
  <c r="AK567" i="8" s="1"/>
  <c r="K411" i="8"/>
  <c r="T567" i="8" s="1"/>
  <c r="AD567" i="8" s="1"/>
  <c r="M411" i="8"/>
  <c r="V567" i="8" s="1"/>
  <c r="AF567" i="8" s="1"/>
  <c r="O411" i="8"/>
  <c r="X567" i="8" s="1"/>
  <c r="AH567" i="8" s="1"/>
  <c r="Q411" i="8"/>
  <c r="Z567" i="8" s="1"/>
  <c r="AJ567" i="8" s="1"/>
  <c r="C623" i="6"/>
  <c r="D779" i="6" s="1"/>
  <c r="G623" i="6"/>
  <c r="N410" i="8"/>
  <c r="W566" i="8" s="1"/>
  <c r="AG566" i="8" s="1"/>
  <c r="R410" i="8"/>
  <c r="AA566" i="8" s="1"/>
  <c r="AK566" i="8" s="1"/>
  <c r="L410" i="8"/>
  <c r="U566" i="8" s="1"/>
  <c r="AE566" i="8" s="1"/>
  <c r="P410" i="8"/>
  <c r="Y566" i="8" s="1"/>
  <c r="AI566" i="8" s="1"/>
  <c r="K410" i="8"/>
  <c r="T566" i="8" s="1"/>
  <c r="AD566" i="8" s="1"/>
  <c r="M410" i="8"/>
  <c r="V566" i="8" s="1"/>
  <c r="AF566" i="8" s="1"/>
  <c r="O410" i="8"/>
  <c r="X566" i="8" s="1"/>
  <c r="AH566" i="8" s="1"/>
  <c r="Q410" i="8"/>
  <c r="Z566" i="8" s="1"/>
  <c r="AJ566" i="8" s="1"/>
  <c r="C622" i="6"/>
  <c r="D778" i="6" s="1"/>
  <c r="G622" i="6"/>
  <c r="C620" i="6"/>
  <c r="D776" i="6" s="1"/>
  <c r="L409" i="8"/>
  <c r="U565" i="8" s="1"/>
  <c r="AE565" i="8" s="1"/>
  <c r="N409" i="8"/>
  <c r="W565" i="8" s="1"/>
  <c r="AG565" i="8" s="1"/>
  <c r="P409" i="8"/>
  <c r="Y565" i="8" s="1"/>
  <c r="AI565" i="8" s="1"/>
  <c r="R409" i="8"/>
  <c r="AA565" i="8" s="1"/>
  <c r="AK565" i="8" s="1"/>
  <c r="K409" i="8"/>
  <c r="T565" i="8" s="1"/>
  <c r="AD565" i="8" s="1"/>
  <c r="M409" i="8"/>
  <c r="V565" i="8" s="1"/>
  <c r="AF565" i="8" s="1"/>
  <c r="O409" i="8"/>
  <c r="X565" i="8" s="1"/>
  <c r="AH565" i="8" s="1"/>
  <c r="Q409" i="8"/>
  <c r="Z565" i="8" s="1"/>
  <c r="AJ565" i="8" s="1"/>
  <c r="C621" i="6"/>
  <c r="D777" i="6" s="1"/>
  <c r="G621" i="6"/>
  <c r="L408" i="8"/>
  <c r="U564" i="8" s="1"/>
  <c r="AE564" i="8" s="1"/>
  <c r="N408" i="8"/>
  <c r="W564" i="8" s="1"/>
  <c r="AG564" i="8" s="1"/>
  <c r="P408" i="8"/>
  <c r="Y564" i="8" s="1"/>
  <c r="AI564" i="8" s="1"/>
  <c r="R408" i="8"/>
  <c r="AA564" i="8" s="1"/>
  <c r="AK564" i="8" s="1"/>
  <c r="K408" i="8"/>
  <c r="T564" i="8" s="1"/>
  <c r="AD564" i="8" s="1"/>
  <c r="M408" i="8"/>
  <c r="V564" i="8" s="1"/>
  <c r="AF564" i="8" s="1"/>
  <c r="O408" i="8"/>
  <c r="X564" i="8" s="1"/>
  <c r="AH564" i="8" s="1"/>
  <c r="Q408" i="8"/>
  <c r="Z564" i="8" s="1"/>
  <c r="AJ564" i="8" s="1"/>
  <c r="G620" i="6"/>
  <c r="L407" i="8"/>
  <c r="U563" i="8" s="1"/>
  <c r="AE563" i="8" s="1"/>
  <c r="N407" i="8"/>
  <c r="W563" i="8" s="1"/>
  <c r="AG563" i="8" s="1"/>
  <c r="P407" i="8"/>
  <c r="Y563" i="8" s="1"/>
  <c r="AI563" i="8" s="1"/>
  <c r="R407" i="8"/>
  <c r="AA563" i="8" s="1"/>
  <c r="AK563" i="8" s="1"/>
  <c r="K407" i="8"/>
  <c r="T563" i="8" s="1"/>
  <c r="AD563" i="8" s="1"/>
  <c r="M407" i="8"/>
  <c r="V563" i="8" s="1"/>
  <c r="AF563" i="8" s="1"/>
  <c r="O407" i="8"/>
  <c r="X563" i="8" s="1"/>
  <c r="AH563" i="8" s="1"/>
  <c r="Q407" i="8"/>
  <c r="Z563" i="8" s="1"/>
  <c r="AJ563" i="8" s="1"/>
  <c r="C619" i="6"/>
  <c r="D775" i="6" s="1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I777" i="6" l="1"/>
  <c r="F777" i="6"/>
  <c r="AC565" i="8"/>
  <c r="F782" i="6"/>
  <c r="I782" i="6"/>
  <c r="AC570" i="8" s="1"/>
  <c r="F778" i="6"/>
  <c r="I778" i="6"/>
  <c r="AC566" i="8" s="1"/>
  <c r="F776" i="6"/>
  <c r="I776" i="6"/>
  <c r="AC564" i="8" s="1"/>
  <c r="F775" i="6"/>
  <c r="I775" i="6"/>
  <c r="AC563" i="8" s="1"/>
  <c r="F779" i="6"/>
  <c r="I779" i="6"/>
  <c r="AC567" i="8" s="1"/>
  <c r="F781" i="6"/>
  <c r="I781" i="6"/>
  <c r="AC569" i="8" s="1"/>
  <c r="F780" i="6"/>
  <c r="I780" i="6"/>
  <c r="AC568" i="8" s="1"/>
  <c r="AM463" i="8"/>
  <c r="AM450" i="8"/>
  <c r="AM451" i="8"/>
  <c r="C615" i="6"/>
  <c r="D771" i="6" s="1"/>
  <c r="H664" i="6"/>
  <c r="AM452" i="8" s="1"/>
  <c r="AM453" i="8"/>
  <c r="C617" i="6"/>
  <c r="D773" i="6" s="1"/>
  <c r="H666" i="6"/>
  <c r="AM454" i="8" s="1"/>
  <c r="L405" i="8"/>
  <c r="U561" i="8" s="1"/>
  <c r="AE561" i="8" s="1"/>
  <c r="AO454" i="8"/>
  <c r="N405" i="8"/>
  <c r="W561" i="8" s="1"/>
  <c r="AG561" i="8" s="1"/>
  <c r="AQ454" i="8"/>
  <c r="P405" i="8"/>
  <c r="Y561" i="8" s="1"/>
  <c r="AI561" i="8" s="1"/>
  <c r="AS454" i="8"/>
  <c r="R405" i="8"/>
  <c r="AA561" i="8" s="1"/>
  <c r="AK561" i="8" s="1"/>
  <c r="AU454" i="8"/>
  <c r="K406" i="8"/>
  <c r="T562" i="8" s="1"/>
  <c r="AD562" i="8" s="1"/>
  <c r="AN455" i="8"/>
  <c r="M406" i="8"/>
  <c r="V562" i="8" s="1"/>
  <c r="AF562" i="8" s="1"/>
  <c r="AP455" i="8"/>
  <c r="AM455" i="8" s="1"/>
  <c r="O406" i="8"/>
  <c r="X562" i="8" s="1"/>
  <c r="AH562" i="8" s="1"/>
  <c r="AR455" i="8"/>
  <c r="Q406" i="8"/>
  <c r="Z562" i="8" s="1"/>
  <c r="AJ562" i="8" s="1"/>
  <c r="AT455" i="8"/>
  <c r="L406" i="8"/>
  <c r="U562" i="8" s="1"/>
  <c r="AE562" i="8" s="1"/>
  <c r="AO455" i="8"/>
  <c r="N406" i="8"/>
  <c r="W562" i="8" s="1"/>
  <c r="AG562" i="8" s="1"/>
  <c r="AQ455" i="8"/>
  <c r="P406" i="8"/>
  <c r="Y562" i="8" s="1"/>
  <c r="AI562" i="8" s="1"/>
  <c r="AS455" i="8"/>
  <c r="R406" i="8"/>
  <c r="AA562" i="8" s="1"/>
  <c r="AK562" i="8" s="1"/>
  <c r="AU455" i="8"/>
  <c r="C616" i="6"/>
  <c r="D772" i="6" s="1"/>
  <c r="L404" i="8"/>
  <c r="U560" i="8" s="1"/>
  <c r="AE560" i="8" s="1"/>
  <c r="N404" i="8"/>
  <c r="W560" i="8" s="1"/>
  <c r="AG560" i="8" s="1"/>
  <c r="K405" i="8"/>
  <c r="T561" i="8" s="1"/>
  <c r="AD561" i="8" s="1"/>
  <c r="M405" i="8"/>
  <c r="V561" i="8" s="1"/>
  <c r="AF561" i="8" s="1"/>
  <c r="O405" i="8"/>
  <c r="X561" i="8" s="1"/>
  <c r="AH561" i="8" s="1"/>
  <c r="Q405" i="8"/>
  <c r="Z561" i="8" s="1"/>
  <c r="AJ561" i="8" s="1"/>
  <c r="G616" i="6"/>
  <c r="C618" i="6"/>
  <c r="D774" i="6" s="1"/>
  <c r="K404" i="8"/>
  <c r="T560" i="8" s="1"/>
  <c r="AD560" i="8" s="1"/>
  <c r="M404" i="8"/>
  <c r="V560" i="8" s="1"/>
  <c r="AF560" i="8" s="1"/>
  <c r="O404" i="8"/>
  <c r="X560" i="8" s="1"/>
  <c r="AH560" i="8" s="1"/>
  <c r="Q404" i="8"/>
  <c r="Z560" i="8" s="1"/>
  <c r="AJ560" i="8" s="1"/>
  <c r="P404" i="8"/>
  <c r="Y560" i="8" s="1"/>
  <c r="AI560" i="8" s="1"/>
  <c r="R404" i="8"/>
  <c r="AA560" i="8" s="1"/>
  <c r="AK560" i="8" s="1"/>
  <c r="C614" i="6"/>
  <c r="D770" i="6" s="1"/>
  <c r="G615" i="6"/>
  <c r="L403" i="8"/>
  <c r="U559" i="8" s="1"/>
  <c r="AE559" i="8" s="1"/>
  <c r="N403" i="8"/>
  <c r="W559" i="8" s="1"/>
  <c r="AG559" i="8" s="1"/>
  <c r="P403" i="8"/>
  <c r="Y559" i="8" s="1"/>
  <c r="AI559" i="8" s="1"/>
  <c r="R403" i="8"/>
  <c r="AA559" i="8" s="1"/>
  <c r="AK559" i="8" s="1"/>
  <c r="K403" i="8"/>
  <c r="T559" i="8" s="1"/>
  <c r="AD559" i="8" s="1"/>
  <c r="M403" i="8"/>
  <c r="V559" i="8" s="1"/>
  <c r="AF559" i="8" s="1"/>
  <c r="O403" i="8"/>
  <c r="X559" i="8" s="1"/>
  <c r="AH559" i="8" s="1"/>
  <c r="Q403" i="8"/>
  <c r="Z559" i="8" s="1"/>
  <c r="AJ559" i="8" s="1"/>
  <c r="N402" i="8"/>
  <c r="W558" i="8" s="1"/>
  <c r="AG558" i="8" s="1"/>
  <c r="P402" i="8"/>
  <c r="Y558" i="8" s="1"/>
  <c r="AI558" i="8" s="1"/>
  <c r="R402" i="8"/>
  <c r="AA558" i="8" s="1"/>
  <c r="AK558" i="8" s="1"/>
  <c r="L402" i="8"/>
  <c r="U558" i="8" s="1"/>
  <c r="AE558" i="8" s="1"/>
  <c r="K402" i="8"/>
  <c r="T558" i="8" s="1"/>
  <c r="AD558" i="8" s="1"/>
  <c r="M402" i="8"/>
  <c r="V558" i="8" s="1"/>
  <c r="AF558" i="8" s="1"/>
  <c r="O402" i="8"/>
  <c r="X558" i="8" s="1"/>
  <c r="AH558" i="8" s="1"/>
  <c r="Q402" i="8"/>
  <c r="Z558" i="8" s="1"/>
  <c r="AJ558" i="8" s="1"/>
  <c r="G614" i="6"/>
  <c r="L401" i="8"/>
  <c r="U557" i="8" s="1"/>
  <c r="AE557" i="8" s="1"/>
  <c r="N401" i="8"/>
  <c r="W557" i="8" s="1"/>
  <c r="AG557" i="8" s="1"/>
  <c r="P401" i="8"/>
  <c r="Y557" i="8" s="1"/>
  <c r="AI557" i="8" s="1"/>
  <c r="R401" i="8"/>
  <c r="AA557" i="8" s="1"/>
  <c r="AK557" i="8" s="1"/>
  <c r="K401" i="8"/>
  <c r="T557" i="8" s="1"/>
  <c r="AD557" i="8" s="1"/>
  <c r="M401" i="8"/>
  <c r="V557" i="8" s="1"/>
  <c r="AF557" i="8" s="1"/>
  <c r="O401" i="8"/>
  <c r="X557" i="8" s="1"/>
  <c r="AH557" i="8" s="1"/>
  <c r="Q401" i="8"/>
  <c r="Z557" i="8" s="1"/>
  <c r="AJ557" i="8" s="1"/>
  <c r="C613" i="6"/>
  <c r="D769" i="6" s="1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F773" i="6" l="1"/>
  <c r="I773" i="6"/>
  <c r="AC561" i="8" s="1"/>
  <c r="F774" i="6"/>
  <c r="I774" i="6"/>
  <c r="AC562" i="8" s="1"/>
  <c r="F770" i="6"/>
  <c r="I770" i="6"/>
  <c r="AC558" i="8" s="1"/>
  <c r="F769" i="6"/>
  <c r="I769" i="6"/>
  <c r="AC557" i="8" s="1"/>
  <c r="I771" i="6"/>
  <c r="AC559" i="8" s="1"/>
  <c r="F771" i="6"/>
  <c r="F772" i="6"/>
  <c r="I772" i="6"/>
  <c r="AC560" i="8" s="1"/>
  <c r="AM447" i="8"/>
  <c r="AM448" i="8"/>
  <c r="C612" i="6"/>
  <c r="D768" i="6" s="1"/>
  <c r="H661" i="6"/>
  <c r="L400" i="8"/>
  <c r="U556" i="8" s="1"/>
  <c r="AE556" i="8" s="1"/>
  <c r="AO449" i="8"/>
  <c r="N400" i="8"/>
  <c r="W556" i="8" s="1"/>
  <c r="AG556" i="8" s="1"/>
  <c r="AQ449" i="8"/>
  <c r="P400" i="8"/>
  <c r="Y556" i="8" s="1"/>
  <c r="AI556" i="8" s="1"/>
  <c r="AS449" i="8"/>
  <c r="R400" i="8"/>
  <c r="AA556" i="8" s="1"/>
  <c r="AK556" i="8" s="1"/>
  <c r="AU449" i="8"/>
  <c r="K400" i="8"/>
  <c r="T556" i="8" s="1"/>
  <c r="AD556" i="8" s="1"/>
  <c r="AN449" i="8"/>
  <c r="M400" i="8"/>
  <c r="V556" i="8" s="1"/>
  <c r="AF556" i="8" s="1"/>
  <c r="AP449" i="8"/>
  <c r="O400" i="8"/>
  <c r="X556" i="8" s="1"/>
  <c r="AH556" i="8" s="1"/>
  <c r="AR449" i="8"/>
  <c r="Q400" i="8"/>
  <c r="Z556" i="8" s="1"/>
  <c r="AJ556" i="8" s="1"/>
  <c r="AT449" i="8"/>
  <c r="C611" i="6"/>
  <c r="D767" i="6" s="1"/>
  <c r="K398" i="8"/>
  <c r="T554" i="8" s="1"/>
  <c r="AD554" i="8" s="1"/>
  <c r="M398" i="8"/>
  <c r="V554" i="8" s="1"/>
  <c r="AF554" i="8" s="1"/>
  <c r="O398" i="8"/>
  <c r="X554" i="8" s="1"/>
  <c r="AH554" i="8" s="1"/>
  <c r="Q398" i="8"/>
  <c r="Z554" i="8" s="1"/>
  <c r="AJ554" i="8" s="1"/>
  <c r="L399" i="8"/>
  <c r="U555" i="8" s="1"/>
  <c r="AE555" i="8" s="1"/>
  <c r="N399" i="8"/>
  <c r="W555" i="8" s="1"/>
  <c r="AG555" i="8" s="1"/>
  <c r="P399" i="8"/>
  <c r="Y555" i="8" s="1"/>
  <c r="AI555" i="8" s="1"/>
  <c r="R399" i="8"/>
  <c r="AA555" i="8" s="1"/>
  <c r="AK555" i="8" s="1"/>
  <c r="C610" i="6"/>
  <c r="D766" i="6" s="1"/>
  <c r="L398" i="8"/>
  <c r="U554" i="8" s="1"/>
  <c r="AE554" i="8" s="1"/>
  <c r="N398" i="8"/>
  <c r="W554" i="8" s="1"/>
  <c r="AG554" i="8" s="1"/>
  <c r="P398" i="8"/>
  <c r="Y554" i="8" s="1"/>
  <c r="AI554" i="8" s="1"/>
  <c r="R398" i="8"/>
  <c r="AA554" i="8" s="1"/>
  <c r="AK554" i="8" s="1"/>
  <c r="K399" i="8"/>
  <c r="T555" i="8" s="1"/>
  <c r="AD555" i="8" s="1"/>
  <c r="M399" i="8"/>
  <c r="V555" i="8" s="1"/>
  <c r="AF555" i="8" s="1"/>
  <c r="O399" i="8"/>
  <c r="X555" i="8" s="1"/>
  <c r="AH555" i="8" s="1"/>
  <c r="Q399" i="8"/>
  <c r="Z555" i="8" s="1"/>
  <c r="AJ555" i="8" s="1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F768" i="6" l="1"/>
  <c r="I768" i="6"/>
  <c r="AC556" i="8" s="1"/>
  <c r="AM449" i="8"/>
  <c r="F766" i="6"/>
  <c r="I766" i="6"/>
  <c r="AC554" i="8" s="1"/>
  <c r="F767" i="6"/>
  <c r="I767" i="6"/>
  <c r="AC555" i="8" s="1"/>
  <c r="AM436" i="8"/>
  <c r="AM438" i="8"/>
  <c r="AM440" i="8"/>
  <c r="AM441" i="8"/>
  <c r="AM443" i="8"/>
  <c r="K397" i="8"/>
  <c r="T553" i="8" s="1"/>
  <c r="AD553" i="8" s="1"/>
  <c r="AN446" i="8"/>
  <c r="M397" i="8"/>
  <c r="V553" i="8" s="1"/>
  <c r="AF553" i="8" s="1"/>
  <c r="AP446" i="8"/>
  <c r="O397" i="8"/>
  <c r="X553" i="8" s="1"/>
  <c r="AH553" i="8" s="1"/>
  <c r="AR446" i="8"/>
  <c r="Q397" i="8"/>
  <c r="Z553" i="8" s="1"/>
  <c r="AJ553" i="8" s="1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 s="1"/>
  <c r="AE553" i="8" s="1"/>
  <c r="AO446" i="8"/>
  <c r="N397" i="8"/>
  <c r="W553" i="8" s="1"/>
  <c r="AG553" i="8" s="1"/>
  <c r="AQ446" i="8"/>
  <c r="P397" i="8"/>
  <c r="Y553" i="8" s="1"/>
  <c r="AI553" i="8" s="1"/>
  <c r="AS446" i="8"/>
  <c r="R397" i="8"/>
  <c r="AA553" i="8" s="1"/>
  <c r="AK553" i="8" s="1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 s="1"/>
  <c r="AE552" i="8" s="1"/>
  <c r="N396" i="8"/>
  <c r="W552" i="8" s="1"/>
  <c r="AG552" i="8" s="1"/>
  <c r="P396" i="8"/>
  <c r="Y552" i="8" s="1"/>
  <c r="AI552" i="8" s="1"/>
  <c r="R396" i="8"/>
  <c r="AA552" i="8" s="1"/>
  <c r="AK552" i="8" s="1"/>
  <c r="C608" i="6"/>
  <c r="D764" i="6" s="1"/>
  <c r="M396" i="8"/>
  <c r="V552" i="8" s="1"/>
  <c r="AF552" i="8" s="1"/>
  <c r="Q396" i="8"/>
  <c r="Z552" i="8" s="1"/>
  <c r="AJ552" i="8" s="1"/>
  <c r="C609" i="6"/>
  <c r="D765" i="6" s="1"/>
  <c r="K396" i="8"/>
  <c r="T552" i="8" s="1"/>
  <c r="AD552" i="8" s="1"/>
  <c r="O396" i="8"/>
  <c r="X552" i="8" s="1"/>
  <c r="AH552" i="8" s="1"/>
  <c r="C607" i="6"/>
  <c r="D763" i="6" s="1"/>
  <c r="L395" i="8"/>
  <c r="U551" i="8" s="1"/>
  <c r="AE551" i="8" s="1"/>
  <c r="N395" i="8"/>
  <c r="W551" i="8" s="1"/>
  <c r="AG551" i="8" s="1"/>
  <c r="P395" i="8"/>
  <c r="Y551" i="8" s="1"/>
  <c r="AI551" i="8" s="1"/>
  <c r="R395" i="8"/>
  <c r="AA551" i="8" s="1"/>
  <c r="AK551" i="8" s="1"/>
  <c r="C606" i="6"/>
  <c r="D762" i="6" s="1"/>
  <c r="K395" i="8"/>
  <c r="T551" i="8" s="1"/>
  <c r="AD551" i="8" s="1"/>
  <c r="M395" i="8"/>
  <c r="V551" i="8" s="1"/>
  <c r="AF551" i="8" s="1"/>
  <c r="O395" i="8"/>
  <c r="X551" i="8" s="1"/>
  <c r="AH551" i="8" s="1"/>
  <c r="Q395" i="8"/>
  <c r="Z551" i="8" s="1"/>
  <c r="AJ551" i="8" s="1"/>
  <c r="L394" i="8"/>
  <c r="U550" i="8" s="1"/>
  <c r="AE550" i="8" s="1"/>
  <c r="N394" i="8"/>
  <c r="W550" i="8" s="1"/>
  <c r="AG550" i="8" s="1"/>
  <c r="P394" i="8"/>
  <c r="Y550" i="8" s="1"/>
  <c r="AI550" i="8" s="1"/>
  <c r="R394" i="8"/>
  <c r="AA550" i="8" s="1"/>
  <c r="AK550" i="8" s="1"/>
  <c r="K394" i="8"/>
  <c r="T550" i="8" s="1"/>
  <c r="AD550" i="8" s="1"/>
  <c r="M394" i="8"/>
  <c r="V550" i="8" s="1"/>
  <c r="AF550" i="8" s="1"/>
  <c r="O394" i="8"/>
  <c r="X550" i="8" s="1"/>
  <c r="AH550" i="8" s="1"/>
  <c r="Q394" i="8"/>
  <c r="Z550" i="8" s="1"/>
  <c r="AJ550" i="8" s="1"/>
  <c r="G606" i="6"/>
  <c r="L393" i="8"/>
  <c r="U549" i="8" s="1"/>
  <c r="AE549" i="8" s="1"/>
  <c r="N393" i="8"/>
  <c r="W549" i="8" s="1"/>
  <c r="AG549" i="8" s="1"/>
  <c r="P393" i="8"/>
  <c r="Y549" i="8" s="1"/>
  <c r="AI549" i="8" s="1"/>
  <c r="R393" i="8"/>
  <c r="AA549" i="8" s="1"/>
  <c r="AK549" i="8" s="1"/>
  <c r="K393" i="8"/>
  <c r="T549" i="8" s="1"/>
  <c r="AD549" i="8" s="1"/>
  <c r="M393" i="8"/>
  <c r="V549" i="8" s="1"/>
  <c r="AF549" i="8" s="1"/>
  <c r="O393" i="8"/>
  <c r="X549" i="8" s="1"/>
  <c r="AH549" i="8" s="1"/>
  <c r="Q393" i="8"/>
  <c r="Z549" i="8" s="1"/>
  <c r="AJ549" i="8" s="1"/>
  <c r="C605" i="6"/>
  <c r="D761" i="6" s="1"/>
  <c r="G605" i="6"/>
  <c r="L392" i="8"/>
  <c r="U548" i="8" s="1"/>
  <c r="AE548" i="8" s="1"/>
  <c r="N392" i="8"/>
  <c r="W548" i="8" s="1"/>
  <c r="AG548" i="8" s="1"/>
  <c r="P392" i="8"/>
  <c r="Y548" i="8" s="1"/>
  <c r="AI548" i="8" s="1"/>
  <c r="R392" i="8"/>
  <c r="AA548" i="8" s="1"/>
  <c r="AK548" i="8" s="1"/>
  <c r="K392" i="8"/>
  <c r="T548" i="8" s="1"/>
  <c r="AD548" i="8" s="1"/>
  <c r="M392" i="8"/>
  <c r="V548" i="8" s="1"/>
  <c r="AF548" i="8" s="1"/>
  <c r="O392" i="8"/>
  <c r="X548" i="8" s="1"/>
  <c r="AH548" i="8" s="1"/>
  <c r="Q392" i="8"/>
  <c r="Z548" i="8" s="1"/>
  <c r="AJ548" i="8" s="1"/>
  <c r="C604" i="6"/>
  <c r="D760" i="6" s="1"/>
  <c r="G604" i="6"/>
  <c r="L391" i="8"/>
  <c r="U547" i="8" s="1"/>
  <c r="AE547" i="8" s="1"/>
  <c r="N391" i="8"/>
  <c r="W547" i="8" s="1"/>
  <c r="AG547" i="8" s="1"/>
  <c r="P391" i="8"/>
  <c r="Y547" i="8" s="1"/>
  <c r="AI547" i="8" s="1"/>
  <c r="R391" i="8"/>
  <c r="AA547" i="8" s="1"/>
  <c r="AK547" i="8" s="1"/>
  <c r="K391" i="8"/>
  <c r="T547" i="8" s="1"/>
  <c r="AD547" i="8" s="1"/>
  <c r="M391" i="8"/>
  <c r="V547" i="8" s="1"/>
  <c r="AF547" i="8" s="1"/>
  <c r="O391" i="8"/>
  <c r="X547" i="8" s="1"/>
  <c r="AH547" i="8" s="1"/>
  <c r="Q391" i="8"/>
  <c r="Z547" i="8" s="1"/>
  <c r="AJ547" i="8" s="1"/>
  <c r="C603" i="6"/>
  <c r="D759" i="6" s="1"/>
  <c r="G603" i="6"/>
  <c r="L390" i="8"/>
  <c r="U546" i="8" s="1"/>
  <c r="AE546" i="8" s="1"/>
  <c r="N390" i="8"/>
  <c r="W546" i="8" s="1"/>
  <c r="AG546" i="8" s="1"/>
  <c r="P390" i="8"/>
  <c r="Y546" i="8" s="1"/>
  <c r="AI546" i="8" s="1"/>
  <c r="R390" i="8"/>
  <c r="AA546" i="8" s="1"/>
  <c r="AK546" i="8" s="1"/>
  <c r="K390" i="8"/>
  <c r="T546" i="8" s="1"/>
  <c r="AD546" i="8" s="1"/>
  <c r="M390" i="8"/>
  <c r="V546" i="8" s="1"/>
  <c r="AF546" i="8" s="1"/>
  <c r="O390" i="8"/>
  <c r="X546" i="8" s="1"/>
  <c r="AH546" i="8" s="1"/>
  <c r="Q390" i="8"/>
  <c r="Z546" i="8" s="1"/>
  <c r="AJ546" i="8" s="1"/>
  <c r="C602" i="6"/>
  <c r="D758" i="6" s="1"/>
  <c r="G602" i="6"/>
  <c r="L389" i="8"/>
  <c r="U545" i="8" s="1"/>
  <c r="AE545" i="8" s="1"/>
  <c r="N389" i="8"/>
  <c r="W545" i="8" s="1"/>
  <c r="AG545" i="8" s="1"/>
  <c r="P389" i="8"/>
  <c r="Y545" i="8" s="1"/>
  <c r="AI545" i="8" s="1"/>
  <c r="R389" i="8"/>
  <c r="AA545" i="8" s="1"/>
  <c r="AK545" i="8" s="1"/>
  <c r="K389" i="8"/>
  <c r="T545" i="8" s="1"/>
  <c r="AD545" i="8" s="1"/>
  <c r="M389" i="8"/>
  <c r="V545" i="8" s="1"/>
  <c r="AF545" i="8" s="1"/>
  <c r="O389" i="8"/>
  <c r="X545" i="8" s="1"/>
  <c r="AH545" i="8" s="1"/>
  <c r="Q389" i="8"/>
  <c r="Z545" i="8" s="1"/>
  <c r="AJ545" i="8" s="1"/>
  <c r="G601" i="6"/>
  <c r="C601" i="6"/>
  <c r="D757" i="6" s="1"/>
  <c r="L388" i="8"/>
  <c r="U544" i="8" s="1"/>
  <c r="AE544" i="8" s="1"/>
  <c r="N388" i="8"/>
  <c r="W544" i="8" s="1"/>
  <c r="AG544" i="8" s="1"/>
  <c r="P388" i="8"/>
  <c r="Y544" i="8" s="1"/>
  <c r="AI544" i="8" s="1"/>
  <c r="R388" i="8"/>
  <c r="AA544" i="8" s="1"/>
  <c r="AK544" i="8" s="1"/>
  <c r="M388" i="8"/>
  <c r="V544" i="8" s="1"/>
  <c r="AF544" i="8" s="1"/>
  <c r="O388" i="8"/>
  <c r="X544" i="8" s="1"/>
  <c r="AH544" i="8" s="1"/>
  <c r="Q388" i="8"/>
  <c r="Z544" i="8" s="1"/>
  <c r="AJ544" i="8" s="1"/>
  <c r="C600" i="6"/>
  <c r="D756" i="6" s="1"/>
  <c r="G600" i="6"/>
  <c r="L387" i="8"/>
  <c r="U543" i="8" s="1"/>
  <c r="AE543" i="8" s="1"/>
  <c r="N387" i="8"/>
  <c r="W543" i="8" s="1"/>
  <c r="AG543" i="8" s="1"/>
  <c r="P387" i="8"/>
  <c r="Y543" i="8" s="1"/>
  <c r="AI543" i="8" s="1"/>
  <c r="R387" i="8"/>
  <c r="AA543" i="8" s="1"/>
  <c r="AK543" i="8" s="1"/>
  <c r="M387" i="8"/>
  <c r="V543" i="8" s="1"/>
  <c r="AF543" i="8" s="1"/>
  <c r="O387" i="8"/>
  <c r="X543" i="8" s="1"/>
  <c r="AH543" i="8" s="1"/>
  <c r="Q387" i="8"/>
  <c r="Z543" i="8" s="1"/>
  <c r="AJ543" i="8" s="1"/>
  <c r="C599" i="6"/>
  <c r="D755" i="6" s="1"/>
  <c r="G599" i="6"/>
  <c r="L386" i="8"/>
  <c r="U542" i="8" s="1"/>
  <c r="AE542" i="8" s="1"/>
  <c r="N386" i="8"/>
  <c r="W542" i="8" s="1"/>
  <c r="AG542" i="8" s="1"/>
  <c r="P386" i="8"/>
  <c r="Y542" i="8" s="1"/>
  <c r="AI542" i="8" s="1"/>
  <c r="R386" i="8"/>
  <c r="AA542" i="8" s="1"/>
  <c r="AK542" i="8" s="1"/>
  <c r="M386" i="8"/>
  <c r="V542" i="8" s="1"/>
  <c r="AF542" i="8" s="1"/>
  <c r="O386" i="8"/>
  <c r="X542" i="8" s="1"/>
  <c r="AH542" i="8" s="1"/>
  <c r="Q386" i="8"/>
  <c r="Z542" i="8" s="1"/>
  <c r="AJ542" i="8" s="1"/>
  <c r="C598" i="6"/>
  <c r="D754" i="6" s="1"/>
  <c r="G598" i="6"/>
  <c r="C597" i="6"/>
  <c r="D753" i="6" s="1"/>
  <c r="G597" i="6"/>
  <c r="L385" i="8"/>
  <c r="U541" i="8" s="1"/>
  <c r="AE541" i="8" s="1"/>
  <c r="N385" i="8"/>
  <c r="W541" i="8" s="1"/>
  <c r="AG541" i="8" s="1"/>
  <c r="P385" i="8"/>
  <c r="Y541" i="8" s="1"/>
  <c r="AI541" i="8" s="1"/>
  <c r="R385" i="8"/>
  <c r="AA541" i="8" s="1"/>
  <c r="AK541" i="8" s="1"/>
  <c r="M385" i="8"/>
  <c r="V541" i="8" s="1"/>
  <c r="AF541" i="8" s="1"/>
  <c r="O385" i="8"/>
  <c r="X541" i="8" s="1"/>
  <c r="AH541" i="8" s="1"/>
  <c r="Q385" i="8"/>
  <c r="Z541" i="8" s="1"/>
  <c r="AJ541" i="8" s="1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61" i="6" l="1"/>
  <c r="F761" i="6"/>
  <c r="AC549" i="8"/>
  <c r="I763" i="6"/>
  <c r="AC551" i="8" s="1"/>
  <c r="F763" i="6"/>
  <c r="F756" i="6"/>
  <c r="I756" i="6"/>
  <c r="AC544" i="8" s="1"/>
  <c r="F757" i="6"/>
  <c r="I757" i="6"/>
  <c r="AC545" i="8" s="1"/>
  <c r="F759" i="6"/>
  <c r="I759" i="6"/>
  <c r="AC547" i="8" s="1"/>
  <c r="I764" i="6"/>
  <c r="AC552" i="8" s="1"/>
  <c r="F764" i="6"/>
  <c r="I754" i="6"/>
  <c r="AC542" i="8" s="1"/>
  <c r="F754" i="6"/>
  <c r="F758" i="6"/>
  <c r="I758" i="6"/>
  <c r="AC546" i="8" s="1"/>
  <c r="F753" i="6"/>
  <c r="I753" i="6"/>
  <c r="AC541" i="8" s="1"/>
  <c r="F755" i="6"/>
  <c r="I755" i="6"/>
  <c r="AC543" i="8" s="1"/>
  <c r="F760" i="6"/>
  <c r="I760" i="6"/>
  <c r="AC548" i="8" s="1"/>
  <c r="I762" i="6"/>
  <c r="AC550" i="8" s="1"/>
  <c r="F762" i="6"/>
  <c r="F765" i="6"/>
  <c r="I765" i="6"/>
  <c r="AC553" i="8" s="1"/>
  <c r="I738" i="6"/>
  <c r="AC526" i="8" s="1"/>
  <c r="F738" i="6"/>
  <c r="I736" i="6"/>
  <c r="AC524" i="8" s="1"/>
  <c r="F736" i="6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AC532" i="8" s="1"/>
  <c r="F744" i="6"/>
  <c r="F746" i="6"/>
  <c r="I746" i="6"/>
  <c r="AC534" i="8" s="1"/>
  <c r="I747" i="6"/>
  <c r="AC535" i="8" s="1"/>
  <c r="F747" i="6"/>
  <c r="F748" i="6"/>
  <c r="I748" i="6"/>
  <c r="AC536" i="8" s="1"/>
  <c r="F749" i="6"/>
  <c r="I749" i="6"/>
  <c r="AC537" i="8" s="1"/>
  <c r="I750" i="6"/>
  <c r="AC538" i="8" s="1"/>
  <c r="F750" i="6"/>
  <c r="F751" i="6"/>
  <c r="I751" i="6"/>
  <c r="AC539" i="8" s="1"/>
  <c r="I752" i="6"/>
  <c r="AC540" i="8" s="1"/>
  <c r="F752" i="6"/>
  <c r="F737" i="6"/>
  <c r="I737" i="6"/>
  <c r="AC525" i="8" s="1"/>
  <c r="F734" i="6"/>
  <c r="I734" i="6"/>
  <c r="AC522" i="8" s="1"/>
  <c r="I739" i="6"/>
  <c r="AC527" i="8" s="1"/>
  <c r="F739" i="6"/>
  <c r="F735" i="6"/>
  <c r="I735" i="6"/>
  <c r="AC523" i="8" s="1"/>
  <c r="F745" i="6"/>
  <c r="I745" i="6"/>
  <c r="AC533" i="8" s="1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F733" i="6"/>
  <c r="I733" i="6"/>
  <c r="AC521" i="8" s="1"/>
  <c r="I728" i="6"/>
  <c r="AC516" i="8" s="1"/>
  <c r="F728" i="6"/>
  <c r="F730" i="6"/>
  <c r="I730" i="6"/>
  <c r="AC518" i="8" s="1"/>
  <c r="F726" i="6"/>
  <c r="I726" i="6"/>
  <c r="AC514" i="8" s="1"/>
  <c r="I731" i="6"/>
  <c r="AC519" i="8" s="1"/>
  <c r="F731" i="6"/>
  <c r="I729" i="6"/>
  <c r="AC517" i="8" s="1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AC506" i="8" s="1"/>
  <c r="I715" i="6"/>
  <c r="AC503" i="8" s="1"/>
  <c r="F715" i="6"/>
  <c r="F720" i="6"/>
  <c r="I720" i="6"/>
  <c r="AC508" i="8" s="1"/>
  <c r="F721" i="6"/>
  <c r="I721" i="6"/>
  <c r="AC509" i="8" s="1"/>
  <c r="F719" i="6"/>
  <c r="I719" i="6"/>
  <c r="AC507" i="8" s="1"/>
  <c r="F717" i="6"/>
  <c r="I717" i="6"/>
  <c r="AC505" i="8" s="1"/>
  <c r="F716" i="6"/>
  <c r="I716" i="6"/>
  <c r="AC504" i="8" s="1"/>
  <c r="I722" i="6"/>
  <c r="AC510" i="8" s="1"/>
  <c r="F722" i="6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 s="1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F711" i="6"/>
  <c r="I711" i="6"/>
  <c r="AC499" i="8" s="1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F16" i="5" s="1"/>
  <c r="P339" i="8"/>
  <c r="Y495" i="8" s="1"/>
  <c r="AI495" i="8" s="1"/>
  <c r="H16" i="5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G16" i="5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 s="1"/>
  <c r="C203" i="8"/>
  <c r="C255" i="8"/>
  <c r="B151" i="8"/>
  <c r="B203" i="8"/>
  <c r="B255" i="8"/>
  <c r="I151" i="8"/>
  <c r="I203" i="8"/>
  <c r="I255" i="8"/>
  <c r="R256" i="8" s="1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AS301" i="8" s="1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 s="1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 l="1"/>
  <c r="N200" i="8"/>
  <c r="C467" i="6"/>
  <c r="N205" i="8"/>
  <c r="M258" i="8"/>
  <c r="N207" i="8"/>
  <c r="O156" i="8"/>
  <c r="C495" i="6"/>
  <c r="N198" i="8"/>
  <c r="R202" i="8"/>
  <c r="K153" i="8"/>
  <c r="O310" i="8"/>
  <c r="X466" i="8" s="1"/>
  <c r="AH466" i="8" s="1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 s="1"/>
  <c r="AG304" i="8" s="1"/>
  <c r="R150" i="8"/>
  <c r="C415" i="6"/>
  <c r="L257" i="8"/>
  <c r="Q205" i="8"/>
  <c r="P310" i="8"/>
  <c r="Y466" i="8" s="1"/>
  <c r="AI466" i="8" s="1"/>
  <c r="M206" i="8"/>
  <c r="P258" i="8"/>
  <c r="P312" i="8"/>
  <c r="Y468" i="8" s="1"/>
  <c r="AI468" i="8" s="1"/>
  <c r="AU261" i="8"/>
  <c r="N89" i="8"/>
  <c r="N118" i="8"/>
  <c r="AS272" i="8"/>
  <c r="AT281" i="8"/>
  <c r="AR264" i="8"/>
  <c r="C280" i="6"/>
  <c r="D333" i="6" s="1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 s="1"/>
  <c r="AG460" i="8" s="1"/>
  <c r="R253" i="8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AC495" i="8" s="1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F708" i="6"/>
  <c r="I708" i="6"/>
  <c r="AC496" i="8" s="1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R149" i="8"/>
  <c r="R151" i="8"/>
  <c r="R152" i="8"/>
  <c r="R153" i="8"/>
  <c r="M205" i="8"/>
  <c r="L310" i="8"/>
  <c r="U466" i="8" s="1"/>
  <c r="AE466" i="8" s="1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 s="1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 s="1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 s="1"/>
  <c r="AE454" i="8" s="1"/>
  <c r="O198" i="8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 s="1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 s="1"/>
  <c r="AD461" i="8" s="1"/>
  <c r="Q305" i="8"/>
  <c r="Z461" i="8" s="1"/>
  <c r="AJ461" i="8" s="1"/>
  <c r="L201" i="8"/>
  <c r="M149" i="8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K324" i="8"/>
  <c r="H523" i="6"/>
  <c r="L312" i="8"/>
  <c r="U468" i="8" s="1"/>
  <c r="AE468" i="8" s="1"/>
  <c r="Q96" i="8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D350" i="6" s="1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C273" i="6"/>
  <c r="D326" i="6" s="1"/>
  <c r="C290" i="6"/>
  <c r="C305" i="6"/>
  <c r="D358" i="6" s="1"/>
  <c r="AQ317" i="8"/>
  <c r="H427" i="6"/>
  <c r="C431" i="6"/>
  <c r="H534" i="6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 s="1"/>
  <c r="AI426" i="8" s="1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C307" i="6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 l="1"/>
  <c r="D522" i="6"/>
  <c r="F522" i="6" s="1"/>
  <c r="AA390" i="8"/>
  <c r="AK390" i="8" s="1"/>
  <c r="Z252" i="8"/>
  <c r="AJ252" i="8" s="1"/>
  <c r="V310" i="8"/>
  <c r="AF310" i="8" s="1"/>
  <c r="X408" i="8"/>
  <c r="AH408" i="8" s="1"/>
  <c r="Z296" i="8"/>
  <c r="AJ296" i="8" s="1"/>
  <c r="AM323" i="8"/>
  <c r="T270" i="8"/>
  <c r="AM258" i="8"/>
  <c r="D385" i="6"/>
  <c r="F385" i="6" s="1"/>
  <c r="T420" i="8"/>
  <c r="AD420" i="8" s="1"/>
  <c r="AA307" i="8"/>
  <c r="AK307" i="8" s="1"/>
  <c r="X354" i="8"/>
  <c r="AH354" i="8" s="1"/>
  <c r="X414" i="8"/>
  <c r="AH414" i="8" s="1"/>
  <c r="Y427" i="8"/>
  <c r="AI427" i="8" s="1"/>
  <c r="V304" i="8"/>
  <c r="AF304" i="8" s="1"/>
  <c r="AM299" i="8"/>
  <c r="X254" i="8"/>
  <c r="AH254" i="8" s="1"/>
  <c r="AM282" i="8"/>
  <c r="Z432" i="8"/>
  <c r="AJ432" i="8" s="1"/>
  <c r="W434" i="8"/>
  <c r="AG434" i="8" s="1"/>
  <c r="Y441" i="8"/>
  <c r="AI441" i="8" s="1"/>
  <c r="W427" i="8"/>
  <c r="AG427" i="8" s="1"/>
  <c r="Y362" i="8"/>
  <c r="AI362" i="8" s="1"/>
  <c r="T221" i="8"/>
  <c r="D638" i="6"/>
  <c r="W252" i="8"/>
  <c r="AG252" i="8" s="1"/>
  <c r="AM291" i="8"/>
  <c r="D520" i="6"/>
  <c r="I520" i="6" s="1"/>
  <c r="D481" i="6"/>
  <c r="F481" i="6" s="1"/>
  <c r="W310" i="8"/>
  <c r="AG310" i="8" s="1"/>
  <c r="Z361" i="8"/>
  <c r="AJ361" i="8" s="1"/>
  <c r="T267" i="8"/>
  <c r="U412" i="8"/>
  <c r="AE412" i="8" s="1"/>
  <c r="X441" i="8"/>
  <c r="AH441" i="8" s="1"/>
  <c r="AM309" i="8"/>
  <c r="T308" i="8"/>
  <c r="AD308" i="8" s="1"/>
  <c r="D519" i="6"/>
  <c r="I519" i="6" s="1"/>
  <c r="AA240" i="8"/>
  <c r="AK240" i="8" s="1"/>
  <c r="D590" i="6"/>
  <c r="F590" i="6" s="1"/>
  <c r="Y286" i="8"/>
  <c r="AI286" i="8" s="1"/>
  <c r="AA252" i="8"/>
  <c r="AK252" i="8" s="1"/>
  <c r="Z332" i="8"/>
  <c r="AJ332" i="8" s="1"/>
  <c r="V258" i="8"/>
  <c r="AF258" i="8" s="1"/>
  <c r="AM308" i="8"/>
  <c r="AA309" i="8"/>
  <c r="AK309" i="8" s="1"/>
  <c r="Y274" i="8"/>
  <c r="AI274" i="8" s="1"/>
  <c r="AA254" i="8"/>
  <c r="AK254" i="8" s="1"/>
  <c r="D518" i="6"/>
  <c r="I518" i="6" s="1"/>
  <c r="AM262" i="8"/>
  <c r="U309" i="8"/>
  <c r="AE309" i="8" s="1"/>
  <c r="U404" i="8"/>
  <c r="AE404" i="8" s="1"/>
  <c r="Z309" i="8"/>
  <c r="AJ309" i="8" s="1"/>
  <c r="W240" i="8"/>
  <c r="AG240" i="8" s="1"/>
  <c r="U416" i="8"/>
  <c r="AE416" i="8" s="1"/>
  <c r="Z421" i="8"/>
  <c r="AJ421" i="8" s="1"/>
  <c r="Z349" i="8"/>
  <c r="AJ349" i="8" s="1"/>
  <c r="T256" i="8"/>
  <c r="AD256" i="8" s="1"/>
  <c r="T257" i="8"/>
  <c r="AD257" i="8" s="1"/>
  <c r="V289" i="8"/>
  <c r="AF289" i="8" s="1"/>
  <c r="Y414" i="8"/>
  <c r="AI414" i="8" s="1"/>
  <c r="V380" i="8"/>
  <c r="AF380" i="8" s="1"/>
  <c r="W222" i="8"/>
  <c r="AG222" i="8" s="1"/>
  <c r="X252" i="8"/>
  <c r="AH252" i="8" s="1"/>
  <c r="AA246" i="8"/>
  <c r="AK246" i="8" s="1"/>
  <c r="X255" i="8"/>
  <c r="AH255" i="8" s="1"/>
  <c r="D634" i="6"/>
  <c r="F634" i="6" s="1"/>
  <c r="W392" i="8"/>
  <c r="AG392" i="8" s="1"/>
  <c r="U395" i="8"/>
  <c r="AE395" i="8" s="1"/>
  <c r="AM263" i="8"/>
  <c r="W348" i="8"/>
  <c r="AG348" i="8" s="1"/>
  <c r="AM288" i="8"/>
  <c r="X427" i="8"/>
  <c r="AH427" i="8" s="1"/>
  <c r="V434" i="8"/>
  <c r="AF434" i="8" s="1"/>
  <c r="AA305" i="8"/>
  <c r="AK305" i="8" s="1"/>
  <c r="U310" i="8"/>
  <c r="AE310" i="8" s="1"/>
  <c r="AM330" i="8"/>
  <c r="W404" i="8"/>
  <c r="AG404" i="8" s="1"/>
  <c r="D410" i="6"/>
  <c r="F410" i="6" s="1"/>
  <c r="AM223" i="8"/>
  <c r="AM245" i="8"/>
  <c r="U304" i="8"/>
  <c r="AE304" i="8" s="1"/>
  <c r="AM325" i="8"/>
  <c r="X238" i="8"/>
  <c r="AH238" i="8" s="1"/>
  <c r="AM290" i="8"/>
  <c r="T258" i="8"/>
  <c r="AD258" i="8" s="1"/>
  <c r="V273" i="8"/>
  <c r="AF273" i="8" s="1"/>
  <c r="D542" i="6"/>
  <c r="I542" i="6" s="1"/>
  <c r="D411" i="6"/>
  <c r="F411" i="6" s="1"/>
  <c r="AM294" i="8"/>
  <c r="V427" i="8"/>
  <c r="AF427" i="8" s="1"/>
  <c r="V305" i="8"/>
  <c r="AF305" i="8" s="1"/>
  <c r="AM224" i="8"/>
  <c r="X246" i="8"/>
  <c r="AH246" i="8" s="1"/>
  <c r="V422" i="8"/>
  <c r="AF422" i="8" s="1"/>
  <c r="AM318" i="8"/>
  <c r="Y321" i="8"/>
  <c r="AI321" i="8" s="1"/>
  <c r="D636" i="6"/>
  <c r="F636" i="6" s="1"/>
  <c r="AM256" i="8"/>
  <c r="AM322" i="8"/>
  <c r="W425" i="8"/>
  <c r="AG425" i="8" s="1"/>
  <c r="T408" i="8"/>
  <c r="AD408" i="8" s="1"/>
  <c r="AM253" i="8"/>
  <c r="D641" i="6"/>
  <c r="F641" i="6" s="1"/>
  <c r="V272" i="8"/>
  <c r="AF272" i="8" s="1"/>
  <c r="AA253" i="8"/>
  <c r="AK253" i="8" s="1"/>
  <c r="Y304" i="8"/>
  <c r="AI304" i="8" s="1"/>
  <c r="T405" i="8"/>
  <c r="AD405" i="8" s="1"/>
  <c r="D489" i="6"/>
  <c r="F489" i="6" s="1"/>
  <c r="X361" i="8"/>
  <c r="AH361" i="8" s="1"/>
  <c r="D400" i="6"/>
  <c r="I400" i="6" s="1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W309" i="8"/>
  <c r="AG309" i="8" s="1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AC485" i="8" s="1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AC488" i="8" s="1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F643" i="6" s="1"/>
  <c r="D695" i="6"/>
  <c r="D352" i="6"/>
  <c r="X250" i="8"/>
  <c r="AH250" i="8" s="1"/>
  <c r="V435" i="8"/>
  <c r="AF435" i="8" s="1"/>
  <c r="V487" i="8"/>
  <c r="AF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AC490" i="8" s="1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 s="1"/>
  <c r="D533" i="6"/>
  <c r="I533" i="6" s="1"/>
  <c r="D386" i="6"/>
  <c r="F386" i="6" s="1"/>
  <c r="D651" i="6"/>
  <c r="I651" i="6" s="1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I627" i="6" s="1"/>
  <c r="D608" i="6"/>
  <c r="I608" i="6" s="1"/>
  <c r="D614" i="6"/>
  <c r="F614" i="6" s="1"/>
  <c r="I691" i="6"/>
  <c r="AC479" i="8" s="1"/>
  <c r="F691" i="6"/>
  <c r="D334" i="6"/>
  <c r="D624" i="6"/>
  <c r="I624" i="6" s="1"/>
  <c r="D676" i="6"/>
  <c r="D437" i="6"/>
  <c r="F437" i="6" s="1"/>
  <c r="D616" i="6"/>
  <c r="I616" i="6" s="1"/>
  <c r="D417" i="6"/>
  <c r="F417" i="6" s="1"/>
  <c r="F686" i="6"/>
  <c r="I686" i="6"/>
  <c r="AC474" i="8" s="1"/>
  <c r="D644" i="6"/>
  <c r="F644" i="6" s="1"/>
  <c r="D585" i="6"/>
  <c r="F585" i="6" s="1"/>
  <c r="D689" i="6"/>
  <c r="D570" i="6"/>
  <c r="I570" i="6" s="1"/>
  <c r="D674" i="6"/>
  <c r="F685" i="6"/>
  <c r="I685" i="6"/>
  <c r="AC473" i="8" s="1"/>
  <c r="I682" i="6"/>
  <c r="AC470" i="8" s="1"/>
  <c r="F682" i="6"/>
  <c r="F679" i="6"/>
  <c r="I679" i="6"/>
  <c r="D567" i="6"/>
  <c r="F567" i="6" s="1"/>
  <c r="D571" i="6"/>
  <c r="F571" i="6" s="1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20" i="6" s="1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AA440" i="8"/>
  <c r="AK440" i="8" s="1"/>
  <c r="D343" i="6"/>
  <c r="D394" i="6"/>
  <c r="F394" i="6" s="1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D647" i="6"/>
  <c r="D640" i="6"/>
  <c r="D637" i="6"/>
  <c r="D635" i="6"/>
  <c r="D630" i="6"/>
  <c r="F630" i="6" s="1"/>
  <c r="F638" i="6"/>
  <c r="I638" i="6"/>
  <c r="D551" i="6"/>
  <c r="F551" i="6" s="1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Y419" i="8"/>
  <c r="AI419" i="8" s="1"/>
  <c r="W422" i="8"/>
  <c r="AG422" i="8" s="1"/>
  <c r="X420" i="8"/>
  <c r="AH420" i="8" s="1"/>
  <c r="Y422" i="8"/>
  <c r="AI422" i="8" s="1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Y378" i="8"/>
  <c r="AI378" i="8" s="1"/>
  <c r="D537" i="6"/>
  <c r="F537" i="6" s="1"/>
  <c r="AA376" i="8"/>
  <c r="AK376" i="8" s="1"/>
  <c r="Y372" i="8"/>
  <c r="AI372" i="8" s="1"/>
  <c r="AA287" i="8"/>
  <c r="AK287" i="8" s="1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M233" i="8"/>
  <c r="D432" i="6"/>
  <c r="I432" i="6" s="1"/>
  <c r="D483" i="6"/>
  <c r="I483" i="6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Z340" i="8"/>
  <c r="AJ340" i="8" s="1"/>
  <c r="D445" i="6"/>
  <c r="I445" i="6" s="1"/>
  <c r="D509" i="6"/>
  <c r="F509" i="6" s="1"/>
  <c r="AM230" i="8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I43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AC310" i="8" l="1"/>
  <c r="AC427" i="8"/>
  <c r="I634" i="6"/>
  <c r="I407" i="6"/>
  <c r="I417" i="6"/>
  <c r="I567" i="6"/>
  <c r="AC355" i="8" s="1"/>
  <c r="F624" i="6"/>
  <c r="I641" i="6"/>
  <c r="AC429" i="8" s="1"/>
  <c r="AC304" i="8"/>
  <c r="I590" i="6"/>
  <c r="F520" i="6"/>
  <c r="I411" i="6"/>
  <c r="F518" i="6"/>
  <c r="I643" i="6"/>
  <c r="AC431" i="8" s="1"/>
  <c r="F542" i="6"/>
  <c r="AC274" i="8"/>
  <c r="F400" i="6"/>
  <c r="I629" i="6"/>
  <c r="AC417" i="8" s="1"/>
  <c r="F639" i="6"/>
  <c r="I492" i="6"/>
  <c r="AC280" i="8" s="1"/>
  <c r="F519" i="6"/>
  <c r="F559" i="6"/>
  <c r="I481" i="6"/>
  <c r="AC269" i="8" s="1"/>
  <c r="AC307" i="8"/>
  <c r="AC404" i="8"/>
  <c r="AC487" i="8"/>
  <c r="AC327" i="8"/>
  <c r="I642" i="6"/>
  <c r="AC430" i="8" s="1"/>
  <c r="I614" i="6"/>
  <c r="AC402" i="8" s="1"/>
  <c r="I632" i="6"/>
  <c r="AC420" i="8" s="1"/>
  <c r="AC271" i="8"/>
  <c r="I438" i="6"/>
  <c r="AC226" i="8" s="1"/>
  <c r="AC321" i="8"/>
  <c r="F570" i="6"/>
  <c r="I571" i="6"/>
  <c r="AC359" i="8" s="1"/>
  <c r="I410" i="6"/>
  <c r="F616" i="6"/>
  <c r="I620" i="6"/>
  <c r="AC408" i="8" s="1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 s="1"/>
  <c r="AC233" i="8"/>
  <c r="AC272" i="8"/>
  <c r="F533" i="6"/>
  <c r="F490" i="6"/>
  <c r="AC482" i="8"/>
  <c r="I439" i="6"/>
  <c r="AC227" i="8" s="1"/>
  <c r="AC314" i="8"/>
  <c r="F607" i="6"/>
  <c r="F611" i="6"/>
  <c r="I703" i="6"/>
  <c r="AC491" i="8" s="1"/>
  <c r="F703" i="6"/>
  <c r="F695" i="6"/>
  <c r="I695" i="6"/>
  <c r="AC483" i="8" s="1"/>
  <c r="AC424" i="8"/>
  <c r="I644" i="6"/>
  <c r="AC432" i="8" s="1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AC397" i="8" s="1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AC418" i="8" s="1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F645" i="6"/>
  <c r="I645" i="6"/>
  <c r="AC433" i="8" s="1"/>
  <c r="F635" i="6"/>
  <c r="I635" i="6"/>
  <c r="AC423" i="8" s="1"/>
  <c r="F640" i="6"/>
  <c r="I640" i="6"/>
  <c r="AC428" i="8" s="1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F619" i="6"/>
  <c r="I619" i="6"/>
  <c r="AC407" i="8" s="1"/>
  <c r="AC406" i="8"/>
  <c r="F459" i="6"/>
  <c r="F488" i="6"/>
  <c r="F455" i="6"/>
  <c r="I447" i="6"/>
  <c r="AC235" i="8" s="1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F560" i="6"/>
  <c r="AC403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  <c r="AF596" i="8" l="1"/>
  <c r="AC596" i="8" l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<sst xmlns="http://schemas.openxmlformats.org/spreadsheetml/2006/main" count="291" uniqueCount="71">
  <si>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</si>
  <si>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</si>
  <si>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</si>
  <si>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</si>
  <si>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</si>
  <si>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</si>
  <si>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</si>
  <si>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</si>
  <si>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</si>
  <si>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</si>
  <si>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</si>
  <si>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</si>
  <si>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</si>
  <si>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</si>
  <si>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</si>
  <si>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</si>
  <si>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</si>
  <si>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</si>
  <si>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</si>
  <si>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</si>
  <si>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</si>
  <si>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</si>
  <si>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</si>
  <si>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</si>
  <si>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</si>
  <si>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</si>
  <si>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</si>
  <si>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</si>
  <si>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</si>
  <si>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</si>
  <si>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</si>
  <si>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</si>
  <si>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</si>
  <si>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</si>
  <si>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</si>
  <si>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</si>
  <si>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</si>
  <si>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</si>
  <si>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</si>
  <si>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</si>
  <si>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</si>
  <si>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</si>
  <si>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</si>
  <si>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</si>
  <si>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</si>
  <si>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</si>
  <si>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</si>
  <si>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</si>
  <si>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</si>
  <si>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</si>
  <si>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</si>
  <si>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</si>
  <si>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</si>
  <si>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</si>
  <si>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</si>
  <si>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</si>
  <si>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</si>
  <si>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</si>
  <si>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</si>
  <si>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</si>
  <si>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</si>
  <si>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</si>
  <si>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</si>
  <si>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</si>
  <si>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</si>
  <si>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</si>
  <si>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</si>
  <si>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</si>
  <si>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t>September</t>
  </si>
  <si>
    <t>November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</si>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</sst>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4" fillId="2" borderId="0" xfId="0" quotePrefix="1" applyNumberFormat="1" applyFont="1" applyFill="1" applyAlignment="1">
      <alignment horizontal="right"/>
    </xf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TWK!$A$506:$A$558</c:f>
              <c:numCache>
                <c:formatCode>m/d/yyyy</c:formatCode>
                <c:ptCount val="53"/>
                <c:pt idx="0">
                  <c:v>41506</c:v>
                </c:pt>
                <c:pt idx="1">
                  <c:v>41513</c:v>
                </c:pt>
                <c:pt idx="2">
                  <c:v>41520</c:v>
                </c:pt>
                <c:pt idx="3">
                  <c:v>41527</c:v>
                </c:pt>
                <c:pt idx="4">
                  <c:v>41534</c:v>
                </c:pt>
                <c:pt idx="5">
                  <c:v>41541</c:v>
                </c:pt>
                <c:pt idx="6">
                  <c:v>41548</c:v>
                </c:pt>
                <c:pt idx="7">
                  <c:v>41555</c:v>
                </c:pt>
                <c:pt idx="8">
                  <c:v>41562</c:v>
                </c:pt>
                <c:pt idx="9">
                  <c:v>41569</c:v>
                </c:pt>
                <c:pt idx="10">
                  <c:v>41576</c:v>
                </c:pt>
                <c:pt idx="11">
                  <c:v>41583</c:v>
                </c:pt>
                <c:pt idx="12">
                  <c:v>41590</c:v>
                </c:pt>
                <c:pt idx="13">
                  <c:v>41597</c:v>
                </c:pt>
                <c:pt idx="14">
                  <c:v>41604</c:v>
                </c:pt>
                <c:pt idx="15">
                  <c:v>41611</c:v>
                </c:pt>
                <c:pt idx="16">
                  <c:v>41618</c:v>
                </c:pt>
                <c:pt idx="17">
                  <c:v>41625</c:v>
                </c:pt>
                <c:pt idx="18">
                  <c:v>41632</c:v>
                </c:pt>
                <c:pt idx="19">
                  <c:v>41639</c:v>
                </c:pt>
                <c:pt idx="20">
                  <c:v>41646</c:v>
                </c:pt>
                <c:pt idx="21">
                  <c:v>41653</c:v>
                </c:pt>
                <c:pt idx="22">
                  <c:v>41660</c:v>
                </c:pt>
                <c:pt idx="23">
                  <c:v>41667</c:v>
                </c:pt>
                <c:pt idx="24">
                  <c:v>41674</c:v>
                </c:pt>
                <c:pt idx="25">
                  <c:v>41681</c:v>
                </c:pt>
                <c:pt idx="26">
                  <c:v>41688</c:v>
                </c:pt>
                <c:pt idx="27">
                  <c:v>41695</c:v>
                </c:pt>
                <c:pt idx="28">
                  <c:v>41702</c:v>
                </c:pt>
                <c:pt idx="29">
                  <c:v>41709</c:v>
                </c:pt>
                <c:pt idx="30">
                  <c:v>41716</c:v>
                </c:pt>
                <c:pt idx="31">
                  <c:v>41723</c:v>
                </c:pt>
                <c:pt idx="32">
                  <c:v>41730</c:v>
                </c:pt>
                <c:pt idx="33">
                  <c:v>41737</c:v>
                </c:pt>
                <c:pt idx="34">
                  <c:v>41744</c:v>
                </c:pt>
                <c:pt idx="35">
                  <c:v>41751</c:v>
                </c:pt>
                <c:pt idx="36">
                  <c:v>41758</c:v>
                </c:pt>
                <c:pt idx="37">
                  <c:v>41765</c:v>
                </c:pt>
                <c:pt idx="38">
                  <c:v>41772</c:v>
                </c:pt>
                <c:pt idx="39">
                  <c:v>41779</c:v>
                </c:pt>
                <c:pt idx="40">
                  <c:v>41786</c:v>
                </c:pt>
                <c:pt idx="41">
                  <c:v>41793</c:v>
                </c:pt>
                <c:pt idx="42">
                  <c:v>41800</c:v>
                </c:pt>
                <c:pt idx="43">
                  <c:v>41807</c:v>
                </c:pt>
                <c:pt idx="44">
                  <c:v>41814</c:v>
                </c:pt>
                <c:pt idx="45">
                  <c:v>41821</c:v>
                </c:pt>
                <c:pt idx="46">
                  <c:v>41828</c:v>
                </c:pt>
                <c:pt idx="47">
                  <c:v>41835</c:v>
                </c:pt>
                <c:pt idx="48">
                  <c:v>41842</c:v>
                </c:pt>
                <c:pt idx="49">
                  <c:v>41849</c:v>
                </c:pt>
                <c:pt idx="50">
                  <c:v>41856</c:v>
                </c:pt>
                <c:pt idx="51">
                  <c:v>41863</c:v>
                </c:pt>
                <c:pt idx="52">
                  <c:v>41870</c:v>
                </c:pt>
              </c:numCache>
            </c:numRef>
          </c:cat>
          <c:val>
            <c:numRef>
              <c:f>'Figure 8_data'!$B$773:$B$825</c:f>
              <c:numCache>
                <c:formatCode>0</c:formatCode>
                <c:ptCount val="53"/>
                <c:pt idx="0">
                  <c:v>355</c:v>
                </c:pt>
                <c:pt idx="1">
                  <c:v>391.66666666666669</c:v>
                </c:pt>
                <c:pt idx="2">
                  <c:v>425</c:v>
                </c:pt>
                <c:pt idx="3">
                  <c:v>453.33333333333331</c:v>
                </c:pt>
                <c:pt idx="4">
                  <c:v>550</c:v>
                </c:pt>
                <c:pt idx="5">
                  <c:v>558.33333333333337</c:v>
                </c:pt>
                <c:pt idx="6">
                  <c:v>595</c:v>
                </c:pt>
                <c:pt idx="7">
                  <c:v>550</c:v>
                </c:pt>
                <c:pt idx="8">
                  <c:v>625</c:v>
                </c:pt>
                <c:pt idx="9">
                  <c:v>640.66666666666663</c:v>
                </c:pt>
                <c:pt idx="10">
                  <c:v>618.33333333333337</c:v>
                </c:pt>
                <c:pt idx="11">
                  <c:v>583.33333333333337</c:v>
                </c:pt>
                <c:pt idx="12">
                  <c:v>691.66666666666663</c:v>
                </c:pt>
                <c:pt idx="13">
                  <c:v>650</c:v>
                </c:pt>
                <c:pt idx="14">
                  <c:v>530</c:v>
                </c:pt>
                <c:pt idx="15">
                  <c:v>541.66666666666663</c:v>
                </c:pt>
                <c:pt idx="16">
                  <c:v>538.33333333333337</c:v>
                </c:pt>
                <c:pt idx="17">
                  <c:v>576.66666666666663</c:v>
                </c:pt>
                <c:pt idx="18">
                  <c:v>590</c:v>
                </c:pt>
                <c:pt idx="19">
                  <c:v>586.66666666666663</c:v>
                </c:pt>
                <c:pt idx="20">
                  <c:v>567.5</c:v>
                </c:pt>
                <c:pt idx="21">
                  <c:v>560</c:v>
                </c:pt>
                <c:pt idx="22">
                  <c:v>555</c:v>
                </c:pt>
                <c:pt idx="23">
                  <c:v>590</c:v>
                </c:pt>
                <c:pt idx="24">
                  <c:v>0</c:v>
                </c:pt>
                <c:pt idx="25">
                  <c:v>597</c:v>
                </c:pt>
                <c:pt idx="26">
                  <c:v>600</c:v>
                </c:pt>
                <c:pt idx="27">
                  <c:v>591.66666666666663</c:v>
                </c:pt>
                <c:pt idx="28">
                  <c:v>620</c:v>
                </c:pt>
                <c:pt idx="29">
                  <c:v>625</c:v>
                </c:pt>
                <c:pt idx="30">
                  <c:v>578.33333333333337</c:v>
                </c:pt>
                <c:pt idx="31">
                  <c:v>468.75</c:v>
                </c:pt>
                <c:pt idx="32">
                  <c:v>416.25</c:v>
                </c:pt>
                <c:pt idx="33">
                  <c:v>370</c:v>
                </c:pt>
                <c:pt idx="34">
                  <c:v>383.75</c:v>
                </c:pt>
                <c:pt idx="35">
                  <c:v>377</c:v>
                </c:pt>
                <c:pt idx="36">
                  <c:v>360</c:v>
                </c:pt>
                <c:pt idx="37">
                  <c:v>365</c:v>
                </c:pt>
                <c:pt idx="38">
                  <c:v>355</c:v>
                </c:pt>
                <c:pt idx="39">
                  <c:v>372.5</c:v>
                </c:pt>
                <c:pt idx="40">
                  <c:v>360</c:v>
                </c:pt>
                <c:pt idx="41">
                  <c:v>353.33333333333331</c:v>
                </c:pt>
                <c:pt idx="42">
                  <c:v>373.33333333333331</c:v>
                </c:pt>
                <c:pt idx="43">
                  <c:v>366.66666666666669</c:v>
                </c:pt>
                <c:pt idx="44">
                  <c:v>368.75</c:v>
                </c:pt>
                <c:pt idx="45">
                  <c:v>378.33333333333331</c:v>
                </c:pt>
                <c:pt idx="46">
                  <c:v>345</c:v>
                </c:pt>
                <c:pt idx="47">
                  <c:v>405</c:v>
                </c:pt>
                <c:pt idx="48">
                  <c:v>546.66666666666663</c:v>
                </c:pt>
                <c:pt idx="49">
                  <c:v>560</c:v>
                </c:pt>
                <c:pt idx="50">
                  <c:v>467.5</c:v>
                </c:pt>
                <c:pt idx="51">
                  <c:v>441.66666666666669</c:v>
                </c:pt>
                <c:pt idx="52">
                  <c:v>466.66666666666669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182208"/>
        <c:axId val="28723724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8_data'!$A$773:$A$825</c:f>
              <c:numCache>
                <c:formatCode>m/d/yyyy</c:formatCode>
                <c:ptCount val="53"/>
                <c:pt idx="0">
                  <c:v>41506</c:v>
                </c:pt>
                <c:pt idx="1">
                  <c:v>41513</c:v>
                </c:pt>
                <c:pt idx="2">
                  <c:v>41520</c:v>
                </c:pt>
                <c:pt idx="3">
                  <c:v>41527</c:v>
                </c:pt>
                <c:pt idx="4">
                  <c:v>41534</c:v>
                </c:pt>
                <c:pt idx="5">
                  <c:v>41541</c:v>
                </c:pt>
                <c:pt idx="6">
                  <c:v>41548</c:v>
                </c:pt>
                <c:pt idx="7">
                  <c:v>41555</c:v>
                </c:pt>
                <c:pt idx="8">
                  <c:v>41562</c:v>
                </c:pt>
                <c:pt idx="9">
                  <c:v>41569</c:v>
                </c:pt>
                <c:pt idx="10">
                  <c:v>41576</c:v>
                </c:pt>
                <c:pt idx="11">
                  <c:v>41583</c:v>
                </c:pt>
                <c:pt idx="12">
                  <c:v>41590</c:v>
                </c:pt>
                <c:pt idx="13">
                  <c:v>41597</c:v>
                </c:pt>
                <c:pt idx="14">
                  <c:v>41604</c:v>
                </c:pt>
                <c:pt idx="15">
                  <c:v>41611</c:v>
                </c:pt>
                <c:pt idx="16">
                  <c:v>41618</c:v>
                </c:pt>
                <c:pt idx="17">
                  <c:v>41625</c:v>
                </c:pt>
                <c:pt idx="18">
                  <c:v>41632</c:v>
                </c:pt>
                <c:pt idx="19">
                  <c:v>41639</c:v>
                </c:pt>
                <c:pt idx="20">
                  <c:v>41646</c:v>
                </c:pt>
                <c:pt idx="21">
                  <c:v>41653</c:v>
                </c:pt>
                <c:pt idx="22">
                  <c:v>41660</c:v>
                </c:pt>
                <c:pt idx="23">
                  <c:v>41667</c:v>
                </c:pt>
                <c:pt idx="24">
                  <c:v>41674</c:v>
                </c:pt>
                <c:pt idx="25">
                  <c:v>41681</c:v>
                </c:pt>
                <c:pt idx="26">
                  <c:v>41688</c:v>
                </c:pt>
                <c:pt idx="27">
                  <c:v>41695</c:v>
                </c:pt>
                <c:pt idx="28">
                  <c:v>41702</c:v>
                </c:pt>
                <c:pt idx="29">
                  <c:v>41709</c:v>
                </c:pt>
                <c:pt idx="30">
                  <c:v>41716</c:v>
                </c:pt>
                <c:pt idx="31">
                  <c:v>41723</c:v>
                </c:pt>
                <c:pt idx="32">
                  <c:v>41730</c:v>
                </c:pt>
                <c:pt idx="33">
                  <c:v>41737</c:v>
                </c:pt>
                <c:pt idx="34">
                  <c:v>41744</c:v>
                </c:pt>
                <c:pt idx="35">
                  <c:v>41751</c:v>
                </c:pt>
                <c:pt idx="36">
                  <c:v>41758</c:v>
                </c:pt>
                <c:pt idx="37">
                  <c:v>41765</c:v>
                </c:pt>
                <c:pt idx="38">
                  <c:v>41772</c:v>
                </c:pt>
                <c:pt idx="39">
                  <c:v>41779</c:v>
                </c:pt>
                <c:pt idx="40">
                  <c:v>41786</c:v>
                </c:pt>
                <c:pt idx="41">
                  <c:v>41793</c:v>
                </c:pt>
                <c:pt idx="42">
                  <c:v>41800</c:v>
                </c:pt>
                <c:pt idx="43">
                  <c:v>41807</c:v>
                </c:pt>
                <c:pt idx="44">
                  <c:v>41814</c:v>
                </c:pt>
                <c:pt idx="45">
                  <c:v>41821</c:v>
                </c:pt>
                <c:pt idx="46">
                  <c:v>41828</c:v>
                </c:pt>
                <c:pt idx="47">
                  <c:v>41835</c:v>
                </c:pt>
                <c:pt idx="48">
                  <c:v>41842</c:v>
                </c:pt>
                <c:pt idx="49">
                  <c:v>41849</c:v>
                </c:pt>
                <c:pt idx="50">
                  <c:v>41856</c:v>
                </c:pt>
                <c:pt idx="51">
                  <c:v>41863</c:v>
                </c:pt>
                <c:pt idx="52">
                  <c:v>41870</c:v>
                </c:pt>
              </c:numCache>
            </c:numRef>
          </c:cat>
          <c:val>
            <c:numRef>
              <c:f>'Figure 8_data'!$D$773:$D$825</c:f>
              <c:numCache>
                <c:formatCode>0</c:formatCode>
                <c:ptCount val="53"/>
                <c:pt idx="0">
                  <c:v>387.36111111111114</c:v>
                </c:pt>
                <c:pt idx="1">
                  <c:v>413.54166666666669</c:v>
                </c:pt>
                <c:pt idx="2">
                  <c:v>441.90277777777777</c:v>
                </c:pt>
                <c:pt idx="3">
                  <c:v>465.59027777777777</c:v>
                </c:pt>
                <c:pt idx="4">
                  <c:v>504.51388888888886</c:v>
                </c:pt>
                <c:pt idx="5">
                  <c:v>531.875</c:v>
                </c:pt>
                <c:pt idx="6">
                  <c:v>563.85416666666674</c:v>
                </c:pt>
                <c:pt idx="7">
                  <c:v>574.06250000000011</c:v>
                </c:pt>
                <c:pt idx="8">
                  <c:v>562.40972222222229</c:v>
                </c:pt>
                <c:pt idx="9">
                  <c:v>549.14583333333337</c:v>
                </c:pt>
                <c:pt idx="10">
                  <c:v>518.86805555555554</c:v>
                </c:pt>
                <c:pt idx="11">
                  <c:v>507.65277777777777</c:v>
                </c:pt>
                <c:pt idx="12">
                  <c:v>494.16666666666669</c:v>
                </c:pt>
                <c:pt idx="13">
                  <c:v>486.8125</c:v>
                </c:pt>
                <c:pt idx="14">
                  <c:v>487.54861111111114</c:v>
                </c:pt>
                <c:pt idx="15">
                  <c:v>492.32638888888886</c:v>
                </c:pt>
                <c:pt idx="16">
                  <c:v>506.875</c:v>
                </c:pt>
                <c:pt idx="17">
                  <c:v>503.75</c:v>
                </c:pt>
                <c:pt idx="18">
                  <c:v>495.72916666666669</c:v>
                </c:pt>
                <c:pt idx="19">
                  <c:v>470.8819444444444</c:v>
                </c:pt>
                <c:pt idx="20">
                  <c:v>439.59722222222217</c:v>
                </c:pt>
                <c:pt idx="21">
                  <c:v>416.36111111111109</c:v>
                </c:pt>
                <c:pt idx="22">
                  <c:v>398.54861111111109</c:v>
                </c:pt>
                <c:pt idx="23">
                  <c:v>405.72916666666669</c:v>
                </c:pt>
                <c:pt idx="24">
                  <c:v>411.5625</c:v>
                </c:pt>
                <c:pt idx="25">
                  <c:v>425.34722222222217</c:v>
                </c:pt>
                <c:pt idx="26">
                  <c:v>433.11805555555549</c:v>
                </c:pt>
                <c:pt idx="27">
                  <c:v>421.8819444444444</c:v>
                </c:pt>
                <c:pt idx="28">
                  <c:v>426.00694444444451</c:v>
                </c:pt>
                <c:pt idx="29">
                  <c:v>417.1875</c:v>
                </c:pt>
                <c:pt idx="30">
                  <c:v>408.25</c:v>
                </c:pt>
                <c:pt idx="31">
                  <c:v>403.73611111111109</c:v>
                </c:pt>
                <c:pt idx="32">
                  <c:v>383.22222222222223</c:v>
                </c:pt>
                <c:pt idx="33">
                  <c:v>367.1805555555556</c:v>
                </c:pt>
                <c:pt idx="34">
                  <c:v>355.04861111111114</c:v>
                </c:pt>
                <c:pt idx="35">
                  <c:v>342.77777777777777</c:v>
                </c:pt>
                <c:pt idx="36">
                  <c:v>344.29861111111109</c:v>
                </c:pt>
                <c:pt idx="37">
                  <c:v>346.6944444444444</c:v>
                </c:pt>
                <c:pt idx="38">
                  <c:v>349.01388888888886</c:v>
                </c:pt>
                <c:pt idx="39">
                  <c:v>352.29166666666669</c:v>
                </c:pt>
                <c:pt idx="40">
                  <c:v>354.42361111111109</c:v>
                </c:pt>
                <c:pt idx="41">
                  <c:v>353.10416666666669</c:v>
                </c:pt>
                <c:pt idx="42">
                  <c:v>351.4375</c:v>
                </c:pt>
                <c:pt idx="43">
                  <c:v>349.48611111111114</c:v>
                </c:pt>
                <c:pt idx="44">
                  <c:v>344.09722222222223</c:v>
                </c:pt>
                <c:pt idx="45">
                  <c:v>347.4305555555556</c:v>
                </c:pt>
                <c:pt idx="46">
                  <c:v>353.09027777777777</c:v>
                </c:pt>
                <c:pt idx="47">
                  <c:v>361.40277777777777</c:v>
                </c:pt>
                <c:pt idx="48">
                  <c:v>359.1805555555556</c:v>
                </c:pt>
                <c:pt idx="49">
                  <c:v>349.875</c:v>
                </c:pt>
                <c:pt idx="50">
                  <c:v>339.5625</c:v>
                </c:pt>
                <c:pt idx="51">
                  <c:v>341.04166666666669</c:v>
                </c:pt>
                <c:pt idx="52">
                  <c:v>350.06944444444451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39168"/>
        <c:axId val="289088256"/>
      </c:lineChart>
      <c:catAx>
        <c:axId val="287182208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7237248"/>
        <c:crosses val="autoZero"/>
        <c:auto val="0"/>
        <c:lblAlgn val="ctr"/>
        <c:lblOffset val="100"/>
        <c:tickMarkSkip val="1"/>
        <c:noMultiLvlLbl val="0"/>
      </c:catAx>
      <c:valAx>
        <c:axId val="287237248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7182208"/>
        <c:crosses val="autoZero"/>
        <c:crossBetween val="between"/>
      </c:valAx>
      <c:catAx>
        <c:axId val="2872391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89088256"/>
        <c:crosses val="autoZero"/>
        <c:auto val="0"/>
        <c:lblAlgn val="ctr"/>
        <c:lblOffset val="100"/>
        <c:noMultiLvlLbl val="0"/>
      </c:catAx>
      <c:valAx>
        <c:axId val="28908825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872391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644544"/>
        <c:axId val="29569548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697408"/>
        <c:axId val="295568128"/>
      </c:lineChart>
      <c:catAx>
        <c:axId val="295644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95488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95695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44544"/>
        <c:crosses val="autoZero"/>
        <c:crossBetween val="between"/>
      </c:valAx>
      <c:catAx>
        <c:axId val="295697408"/>
        <c:scaling>
          <c:orientation val="minMax"/>
        </c:scaling>
        <c:delete val="1"/>
        <c:axPos val="b"/>
        <c:majorTickMark val="out"/>
        <c:minorTickMark val="none"/>
        <c:tickLblPos val="none"/>
        <c:crossAx val="295568128"/>
        <c:crosses val="autoZero"/>
        <c:auto val="0"/>
        <c:lblAlgn val="ctr"/>
        <c:lblOffset val="100"/>
        <c:noMultiLvlLbl val="0"/>
      </c:catAx>
      <c:valAx>
        <c:axId val="29556812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9569740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</xdr:row>
      <xdr:rowOff>47625</xdr:rowOff>
    </xdr:from>
    <xdr:to>
      <xdr:col>7</xdr:col>
      <xdr:colOff>472440</xdr:colOff>
      <xdr:row>6</xdr:row>
      <xdr:rowOff>37041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22500" y="756708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August 19: up 6 percent from last week, up 31 percent from last year, and up 33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"/>
  <sheetViews>
    <sheetView workbookViewId="0">
      <pane xSplit="1" ySplit="3" topLeftCell="B549" activePane="bottomRight" state="frozen"/>
      <selection pane="topRight" activeCell="B1" sqref="B1"/>
      <selection pane="bottomLeft" activeCell="A4" sqref="A4"/>
      <selection pane="bottomRight" activeCell="B560" sqref="B560:I562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6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3">
      <c r="A494" s="126">
        <f t="shared" si="5"/>
        <v>41422</v>
      </c>
      <c r="B494" s="23">
        <v>361.66666666666669</v>
      </c>
      <c r="C494" s="23">
        <v>296.66666666666669</v>
      </c>
      <c r="D494" s="23">
        <v>310</v>
      </c>
      <c r="E494" s="23">
        <v>216.66666666666666</v>
      </c>
      <c r="F494" s="23">
        <v>190</v>
      </c>
      <c r="G494" s="23">
        <v>190</v>
      </c>
      <c r="H494" s="23">
        <v>180</v>
      </c>
      <c r="I494" s="23">
        <v>246.81222707423584</v>
      </c>
    </row>
    <row r="495" spans="1:9" x14ac:dyDescent="0.3">
      <c r="A495" s="126">
        <f t="shared" si="5"/>
        <v>41429</v>
      </c>
      <c r="B495" s="71">
        <v>396.66666666666669</v>
      </c>
      <c r="C495" s="71">
        <v>316.66666666666669</v>
      </c>
      <c r="D495" s="71">
        <v>315</v>
      </c>
      <c r="E495" s="71">
        <v>221.66666666666666</v>
      </c>
      <c r="F495" s="71">
        <v>193.33333333333334</v>
      </c>
      <c r="G495" s="71">
        <v>193.33333333333334</v>
      </c>
      <c r="H495" s="71">
        <v>181.66666666666666</v>
      </c>
      <c r="I495" s="71">
        <v>249.09752547307133</v>
      </c>
    </row>
    <row r="496" spans="1:9" x14ac:dyDescent="0.3">
      <c r="A496" s="126">
        <f t="shared" si="5"/>
        <v>41436</v>
      </c>
      <c r="B496" s="23">
        <v>355</v>
      </c>
      <c r="C496" s="23">
        <v>305</v>
      </c>
      <c r="D496" s="23">
        <v>292.5</v>
      </c>
      <c r="E496" s="23">
        <v>217.5</v>
      </c>
      <c r="F496" s="23">
        <v>190</v>
      </c>
      <c r="G496" s="23">
        <v>190</v>
      </c>
      <c r="H496" s="23">
        <v>187.5</v>
      </c>
      <c r="I496" s="23">
        <v>171.39737991266375</v>
      </c>
    </row>
    <row r="497" spans="1:9" x14ac:dyDescent="0.3">
      <c r="A497" s="72">
        <v>41443</v>
      </c>
      <c r="B497" s="23">
        <v>360</v>
      </c>
      <c r="C497" s="23">
        <v>300</v>
      </c>
      <c r="D497" s="23">
        <v>295</v>
      </c>
      <c r="E497" s="23">
        <v>220</v>
      </c>
      <c r="F497" s="23">
        <v>190</v>
      </c>
      <c r="G497" s="23">
        <v>190</v>
      </c>
      <c r="H497" s="23">
        <v>192.5</v>
      </c>
      <c r="I497" s="23">
        <v>175.96797671033482</v>
      </c>
    </row>
    <row r="498" spans="1:9" x14ac:dyDescent="0.3">
      <c r="A498" s="72">
        <f t="shared" ref="A498:A558" si="6">7+A497</f>
        <v>41450</v>
      </c>
      <c r="B498" s="23">
        <v>386.66666666666669</v>
      </c>
      <c r="C498" s="23">
        <v>335</v>
      </c>
      <c r="D498" s="23">
        <v>323.33333333333331</v>
      </c>
      <c r="E498" s="23">
        <v>233.33333333333334</v>
      </c>
      <c r="F498" s="23">
        <v>211.66666666666666</v>
      </c>
      <c r="G498" s="23">
        <v>211.66666666666666</v>
      </c>
      <c r="H498" s="23">
        <v>196.66666666666666</v>
      </c>
      <c r="I498" s="23">
        <v>269.66521106259097</v>
      </c>
    </row>
    <row r="499" spans="1:9" x14ac:dyDescent="0.3">
      <c r="A499" s="72">
        <f t="shared" si="6"/>
        <v>41457</v>
      </c>
      <c r="B499" s="71">
        <v>380</v>
      </c>
      <c r="C499" s="71">
        <v>310</v>
      </c>
      <c r="D499" s="71">
        <v>306.66666666666669</v>
      </c>
      <c r="E499" s="71">
        <v>225</v>
      </c>
      <c r="F499" s="71">
        <v>210</v>
      </c>
      <c r="G499" s="71">
        <v>210</v>
      </c>
      <c r="H499" s="71">
        <v>191.66666666666666</v>
      </c>
      <c r="I499" s="71">
        <v>262.80931586608443</v>
      </c>
    </row>
    <row r="500" spans="1:9" x14ac:dyDescent="0.3">
      <c r="A500" s="72">
        <f t="shared" si="6"/>
        <v>41464</v>
      </c>
      <c r="B500" s="71">
        <v>363.33333333333331</v>
      </c>
      <c r="C500" s="71">
        <v>298.33333333333331</v>
      </c>
      <c r="D500" s="71">
        <v>288.33333333333331</v>
      </c>
      <c r="E500" s="71">
        <v>226.66666666666666</v>
      </c>
      <c r="F500" s="71">
        <v>211.66666666666666</v>
      </c>
      <c r="G500" s="71">
        <v>211.66666666666666</v>
      </c>
      <c r="H500" s="71">
        <v>191.66666666666666</v>
      </c>
      <c r="I500" s="71">
        <v>262.80931586608443</v>
      </c>
    </row>
    <row r="501" spans="1:9" x14ac:dyDescent="0.3">
      <c r="A501" s="72">
        <f t="shared" si="6"/>
        <v>41471</v>
      </c>
      <c r="B501" s="71">
        <v>356.66666666666703</v>
      </c>
      <c r="C501" s="71">
        <v>300</v>
      </c>
      <c r="D501" s="71">
        <v>281.66666666666669</v>
      </c>
      <c r="E501" s="71">
        <v>223.33333333333334</v>
      </c>
      <c r="F501" s="71">
        <v>200</v>
      </c>
      <c r="G501" s="71">
        <v>200</v>
      </c>
      <c r="H501" s="71">
        <v>185</v>
      </c>
      <c r="I501" s="71">
        <v>253.66812227074237</v>
      </c>
    </row>
    <row r="502" spans="1:9" x14ac:dyDescent="0.3">
      <c r="A502" s="72">
        <f t="shared" si="6"/>
        <v>41478</v>
      </c>
      <c r="B502" s="71">
        <v>340</v>
      </c>
      <c r="C502" s="71">
        <v>293.33333333333331</v>
      </c>
      <c r="D502" s="71">
        <v>265</v>
      </c>
      <c r="E502" s="71">
        <v>220</v>
      </c>
      <c r="F502" s="71">
        <v>200</v>
      </c>
      <c r="G502" s="71">
        <v>200</v>
      </c>
      <c r="H502" s="71">
        <v>185</v>
      </c>
      <c r="I502" s="71">
        <v>253.66812227074237</v>
      </c>
    </row>
    <row r="503" spans="1:9" x14ac:dyDescent="0.3">
      <c r="A503" s="72">
        <f t="shared" si="6"/>
        <v>41485</v>
      </c>
      <c r="B503" s="71">
        <v>328.33333333333331</v>
      </c>
      <c r="C503" s="71">
        <v>278.33333333333331</v>
      </c>
      <c r="D503" s="71">
        <v>258.33333333333331</v>
      </c>
      <c r="E503" s="71">
        <v>216.66666666666666</v>
      </c>
      <c r="F503" s="71">
        <v>206.66666666666666</v>
      </c>
      <c r="G503" s="71">
        <v>206.66666666666666</v>
      </c>
      <c r="H503" s="71">
        <v>188.33333333333334</v>
      </c>
      <c r="I503" s="71">
        <v>258.23871906841345</v>
      </c>
    </row>
    <row r="504" spans="1:9" x14ac:dyDescent="0.3">
      <c r="A504" s="72">
        <f t="shared" si="6"/>
        <v>41492</v>
      </c>
      <c r="B504" s="71">
        <v>336.66666666666669</v>
      </c>
      <c r="C504" s="71">
        <v>296.66666666666669</v>
      </c>
      <c r="D504" s="71">
        <v>285</v>
      </c>
      <c r="E504" s="71">
        <v>230</v>
      </c>
      <c r="F504" s="71">
        <v>276.66666666666669</v>
      </c>
      <c r="G504" s="71">
        <v>276.66666666666669</v>
      </c>
      <c r="H504" s="71">
        <v>203.33333333333334</v>
      </c>
      <c r="I504" s="71">
        <v>278.806404657933</v>
      </c>
    </row>
    <row r="505" spans="1:9" x14ac:dyDescent="0.3">
      <c r="A505" s="72">
        <f t="shared" si="6"/>
        <v>41499</v>
      </c>
      <c r="B505" s="71">
        <v>370</v>
      </c>
      <c r="C505" s="71">
        <v>353.33333333333331</v>
      </c>
      <c r="D505" s="71">
        <v>351.66666666666669</v>
      </c>
      <c r="E505" s="71">
        <v>308.33333333333331</v>
      </c>
      <c r="F505" s="71">
        <v>360</v>
      </c>
      <c r="G505" s="71">
        <v>360</v>
      </c>
      <c r="H505" s="71">
        <v>278.33333333333331</v>
      </c>
      <c r="I505" s="71">
        <v>381.64483260553129</v>
      </c>
    </row>
    <row r="506" spans="1:9" x14ac:dyDescent="0.3">
      <c r="A506" s="72">
        <f t="shared" si="6"/>
        <v>41506</v>
      </c>
      <c r="B506" s="71">
        <v>368.33333333333331</v>
      </c>
      <c r="C506" s="71">
        <v>358.33333333333331</v>
      </c>
      <c r="D506" s="71">
        <v>355</v>
      </c>
      <c r="E506" s="71">
        <v>308.33333333333331</v>
      </c>
      <c r="F506" s="71">
        <v>363.33333333333331</v>
      </c>
      <c r="G506" s="71">
        <v>363.33333333333331</v>
      </c>
      <c r="H506" s="71">
        <v>290</v>
      </c>
      <c r="I506" s="71">
        <v>397.64192139737992</v>
      </c>
    </row>
    <row r="507" spans="1:9" x14ac:dyDescent="0.3">
      <c r="A507" s="72">
        <f t="shared" si="6"/>
        <v>41513</v>
      </c>
      <c r="B507" s="71">
        <v>383.33333333333331</v>
      </c>
      <c r="C507" s="71">
        <v>383.33333333333331</v>
      </c>
      <c r="D507" s="71">
        <v>391.66666666666669</v>
      </c>
      <c r="E507" s="71">
        <v>355</v>
      </c>
      <c r="F507" s="71">
        <v>391.66666666666669</v>
      </c>
      <c r="G507" s="71">
        <v>391.66666666666669</v>
      </c>
      <c r="H507" s="71">
        <v>325</v>
      </c>
      <c r="I507" s="71">
        <v>445.63318777292574</v>
      </c>
    </row>
    <row r="508" spans="1:9" x14ac:dyDescent="0.3">
      <c r="A508" s="72">
        <f t="shared" si="6"/>
        <v>41520</v>
      </c>
      <c r="B508" s="71">
        <v>418.75</v>
      </c>
      <c r="C508" s="71">
        <v>421.25</v>
      </c>
      <c r="D508" s="71">
        <v>425</v>
      </c>
      <c r="E508" s="71">
        <v>387.5</v>
      </c>
      <c r="F508" s="71">
        <v>431.25</v>
      </c>
      <c r="G508" s="71">
        <v>431.25</v>
      </c>
      <c r="H508" s="71">
        <v>387.5</v>
      </c>
      <c r="I508" s="71">
        <v>525.61863173216886</v>
      </c>
    </row>
    <row r="509" spans="1:9" x14ac:dyDescent="0.3">
      <c r="A509" s="72">
        <f t="shared" si="6"/>
        <v>41527</v>
      </c>
      <c r="B509" s="125">
        <v>446.66666666666669</v>
      </c>
      <c r="C509" s="125">
        <v>446.66666666666669</v>
      </c>
      <c r="D509" s="125">
        <v>453.33333333333331</v>
      </c>
      <c r="E509" s="125">
        <v>441.66666666666669</v>
      </c>
      <c r="F509" s="125">
        <v>458.33333333333331</v>
      </c>
      <c r="G509" s="125">
        <v>458.33333333333331</v>
      </c>
      <c r="H509" s="125">
        <v>425</v>
      </c>
      <c r="I509" s="125">
        <v>582.75109170305677</v>
      </c>
    </row>
    <row r="510" spans="1:9" x14ac:dyDescent="0.3">
      <c r="A510" s="72">
        <f t="shared" si="6"/>
        <v>41534</v>
      </c>
      <c r="B510" s="119">
        <v>550</v>
      </c>
      <c r="C510" s="119">
        <v>555</v>
      </c>
      <c r="D510" s="119">
        <v>550</v>
      </c>
      <c r="E510" s="119">
        <v>538.33333333333337</v>
      </c>
      <c r="F510" s="119">
        <v>630</v>
      </c>
      <c r="G510" s="119">
        <v>630</v>
      </c>
      <c r="H510" s="119">
        <v>558.33333333333337</v>
      </c>
      <c r="I510" s="119">
        <v>765.57496360989808</v>
      </c>
    </row>
    <row r="511" spans="1:9" x14ac:dyDescent="0.3">
      <c r="A511" s="72">
        <f t="shared" si="6"/>
        <v>41541</v>
      </c>
      <c r="B511" s="71">
        <v>555</v>
      </c>
      <c r="C511" s="71">
        <v>570</v>
      </c>
      <c r="D511" s="71">
        <v>558.33333333333337</v>
      </c>
      <c r="E511" s="71">
        <v>591.66666666666663</v>
      </c>
      <c r="F511" s="71">
        <v>675</v>
      </c>
      <c r="G511" s="71">
        <v>675</v>
      </c>
      <c r="H511" s="71">
        <v>616.66666666666663</v>
      </c>
      <c r="I511" s="71">
        <v>845.56040756914115</v>
      </c>
    </row>
    <row r="512" spans="1:9" x14ac:dyDescent="0.3">
      <c r="A512" s="72">
        <f t="shared" si="6"/>
        <v>41548</v>
      </c>
      <c r="B512" s="125">
        <v>610</v>
      </c>
      <c r="C512" s="125">
        <v>610</v>
      </c>
      <c r="D512" s="125">
        <v>595</v>
      </c>
      <c r="E512" s="125">
        <v>590</v>
      </c>
      <c r="F512" s="125">
        <v>660</v>
      </c>
      <c r="G512" s="125">
        <v>660</v>
      </c>
      <c r="H512" s="125">
        <v>575</v>
      </c>
      <c r="I512" s="71">
        <v>788</v>
      </c>
    </row>
    <row r="513" spans="1:9" x14ac:dyDescent="0.3">
      <c r="A513" s="72">
        <f t="shared" si="6"/>
        <v>41555</v>
      </c>
      <c r="B513" s="125">
        <v>575</v>
      </c>
      <c r="C513" s="125">
        <v>570</v>
      </c>
      <c r="D513" s="125">
        <v>550</v>
      </c>
      <c r="E513" s="125">
        <v>525</v>
      </c>
      <c r="F513" s="125">
        <v>590</v>
      </c>
      <c r="G513" s="125">
        <v>590</v>
      </c>
      <c r="H513" s="125">
        <v>475</v>
      </c>
      <c r="I513" s="71">
        <v>651</v>
      </c>
    </row>
    <row r="514" spans="1:9" x14ac:dyDescent="0.3">
      <c r="A514" s="72">
        <f t="shared" si="6"/>
        <v>41562</v>
      </c>
      <c r="B514" s="125">
        <v>615</v>
      </c>
      <c r="C514" s="125">
        <v>625</v>
      </c>
      <c r="D514" s="125">
        <v>625</v>
      </c>
      <c r="E514" s="125">
        <v>545</v>
      </c>
      <c r="F514" s="125">
        <v>630</v>
      </c>
      <c r="G514" s="125">
        <v>630</v>
      </c>
      <c r="H514" s="125">
        <v>480</v>
      </c>
      <c r="I514" s="71">
        <v>658</v>
      </c>
    </row>
    <row r="515" spans="1:9" x14ac:dyDescent="0.3">
      <c r="A515" s="72">
        <f t="shared" si="6"/>
        <v>41569</v>
      </c>
      <c r="B515" s="125">
        <v>616.66666666666663</v>
      </c>
      <c r="C515" s="125">
        <v>630.66666666666663</v>
      </c>
      <c r="D515" s="125">
        <v>640.66666666666663</v>
      </c>
      <c r="E515" s="125">
        <v>568.33333333333337</v>
      </c>
      <c r="F515" s="125">
        <v>694</v>
      </c>
      <c r="G515" s="125">
        <v>694</v>
      </c>
      <c r="H515" s="125">
        <v>511.66666666666669</v>
      </c>
      <c r="I515" s="125">
        <v>700</v>
      </c>
    </row>
    <row r="516" spans="1:9" x14ac:dyDescent="0.3">
      <c r="A516" s="72">
        <f t="shared" si="6"/>
        <v>41576</v>
      </c>
      <c r="B516" s="125">
        <v>563.33333333333337</v>
      </c>
      <c r="C516" s="125">
        <v>591.66666666666663</v>
      </c>
      <c r="D516" s="125">
        <v>618.33333333333337</v>
      </c>
      <c r="E516" s="125">
        <v>560</v>
      </c>
      <c r="F516" s="125">
        <v>725</v>
      </c>
      <c r="G516" s="125">
        <v>725</v>
      </c>
      <c r="H516" s="125">
        <v>600</v>
      </c>
      <c r="I516" s="71"/>
    </row>
    <row r="517" spans="1:9" x14ac:dyDescent="0.3">
      <c r="A517" s="72">
        <f t="shared" si="6"/>
        <v>41583</v>
      </c>
      <c r="B517" s="71">
        <v>503.33333333333331</v>
      </c>
      <c r="C517" s="71">
        <v>546.66666666666663</v>
      </c>
      <c r="D517" s="71">
        <v>583.33333333333337</v>
      </c>
      <c r="E517" s="71">
        <v>540</v>
      </c>
      <c r="F517" s="71">
        <v>575</v>
      </c>
      <c r="G517" s="71">
        <v>575</v>
      </c>
      <c r="H517" s="71">
        <v>456.66666666666669</v>
      </c>
      <c r="I517" s="71">
        <v>570.49490538573502</v>
      </c>
    </row>
    <row r="518" spans="1:9" x14ac:dyDescent="0.3">
      <c r="A518" s="72">
        <f t="shared" si="6"/>
        <v>41590</v>
      </c>
      <c r="B518" s="71">
        <v>475</v>
      </c>
      <c r="C518" s="71">
        <v>536.66666666666663</v>
      </c>
      <c r="D518" s="71">
        <v>691.66666666666663</v>
      </c>
      <c r="E518" s="71">
        <v>600</v>
      </c>
      <c r="F518" s="71">
        <v>750</v>
      </c>
      <c r="G518" s="71">
        <v>750</v>
      </c>
      <c r="H518" s="71">
        <v>566.66666666666663</v>
      </c>
      <c r="I518" s="71">
        <v>675.61863173216886</v>
      </c>
    </row>
    <row r="519" spans="1:9" x14ac:dyDescent="0.3">
      <c r="A519" s="72">
        <f t="shared" si="6"/>
        <v>41597</v>
      </c>
      <c r="B519" s="71">
        <v>520</v>
      </c>
      <c r="C519" s="71">
        <v>545</v>
      </c>
      <c r="D519" s="71">
        <v>650</v>
      </c>
      <c r="E519" s="71">
        <v>616.66666666666663</v>
      </c>
      <c r="F519" s="71">
        <v>700</v>
      </c>
      <c r="G519" s="71">
        <v>700</v>
      </c>
      <c r="H519" s="71">
        <v>558.33333333333337</v>
      </c>
      <c r="I519" s="71">
        <v>765.57496360989808</v>
      </c>
    </row>
    <row r="520" spans="1:9" x14ac:dyDescent="0.3">
      <c r="A520" s="72">
        <f t="shared" si="6"/>
        <v>41604</v>
      </c>
      <c r="B520" s="125">
        <v>500</v>
      </c>
      <c r="C520" s="125">
        <v>542.5</v>
      </c>
      <c r="D520" s="125">
        <v>530</v>
      </c>
      <c r="E520" s="125">
        <v>460</v>
      </c>
      <c r="F520" s="125">
        <v>537.5</v>
      </c>
      <c r="G520" s="125">
        <v>537.5</v>
      </c>
      <c r="H520" s="125">
        <v>362.5</v>
      </c>
      <c r="I520" s="125">
        <v>502.76564774381376</v>
      </c>
    </row>
    <row r="521" spans="1:9" x14ac:dyDescent="0.3">
      <c r="A521" s="72">
        <f t="shared" si="6"/>
        <v>41611</v>
      </c>
      <c r="B521" s="125"/>
      <c r="C521" s="125"/>
      <c r="D521" s="71">
        <v>541.66666666666663</v>
      </c>
      <c r="E521" s="71">
        <v>461.66666666666669</v>
      </c>
      <c r="F521" s="71">
        <v>541.66666666666663</v>
      </c>
      <c r="G521" s="71">
        <v>541.66666666666663</v>
      </c>
      <c r="H521" s="71">
        <v>336.66666666666669</v>
      </c>
      <c r="I521" s="71">
        <v>461.63027656477442</v>
      </c>
    </row>
    <row r="522" spans="1:9" x14ac:dyDescent="0.3">
      <c r="A522" s="72">
        <f t="shared" si="6"/>
        <v>41618</v>
      </c>
      <c r="B522" s="125"/>
      <c r="C522" s="125"/>
      <c r="D522" s="71">
        <v>538.33333333333337</v>
      </c>
      <c r="E522" s="71">
        <v>430</v>
      </c>
      <c r="F522" s="71">
        <v>510</v>
      </c>
      <c r="G522" s="71">
        <v>510</v>
      </c>
      <c r="H522" s="71">
        <v>315</v>
      </c>
      <c r="I522" s="71">
        <v>431.92139737991266</v>
      </c>
    </row>
    <row r="523" spans="1:9" x14ac:dyDescent="0.3">
      <c r="A523" s="72">
        <f t="shared" si="6"/>
        <v>41625</v>
      </c>
      <c r="B523" s="71"/>
      <c r="C523" s="71"/>
      <c r="D523" s="119">
        <v>576.66666666666663</v>
      </c>
      <c r="E523" s="119">
        <v>475</v>
      </c>
      <c r="F523" s="119">
        <v>430</v>
      </c>
      <c r="G523" s="119">
        <v>430</v>
      </c>
      <c r="H523" s="119">
        <v>298.33333333333331</v>
      </c>
      <c r="I523" s="119">
        <v>409.0684133915575</v>
      </c>
    </row>
    <row r="524" spans="1:9" x14ac:dyDescent="0.3">
      <c r="A524" s="72">
        <f t="shared" si="6"/>
        <v>41632</v>
      </c>
      <c r="B524" s="71"/>
      <c r="C524" s="71"/>
      <c r="D524" s="119">
        <v>590</v>
      </c>
      <c r="E524" s="119">
        <v>490</v>
      </c>
      <c r="F524" s="119">
        <v>428.33333333333331</v>
      </c>
      <c r="G524" s="119">
        <v>428.33333333333331</v>
      </c>
      <c r="H524" s="119">
        <v>308.33333333333331</v>
      </c>
      <c r="I524" s="119">
        <v>422.78020378457057</v>
      </c>
    </row>
    <row r="525" spans="1:9" x14ac:dyDescent="0.3">
      <c r="A525" s="72">
        <f t="shared" si="6"/>
        <v>41639</v>
      </c>
      <c r="B525" s="119"/>
      <c r="C525" s="119"/>
      <c r="D525" s="119">
        <v>586.66666666666663</v>
      </c>
      <c r="E525" s="119">
        <v>450</v>
      </c>
      <c r="F525" s="119">
        <v>433.33333333333331</v>
      </c>
      <c r="G525" s="119">
        <v>433.33333333333331</v>
      </c>
      <c r="H525" s="119">
        <v>298.33333333333331</v>
      </c>
      <c r="I525" s="119">
        <v>409.0684133915575</v>
      </c>
    </row>
    <row r="526" spans="1:9" x14ac:dyDescent="0.3">
      <c r="A526" s="72">
        <f t="shared" si="6"/>
        <v>41646</v>
      </c>
      <c r="B526" s="119"/>
      <c r="C526" s="119"/>
      <c r="D526" s="119">
        <v>567.5</v>
      </c>
      <c r="E526" s="119">
        <v>425</v>
      </c>
      <c r="F526" s="119">
        <v>411.66666666666669</v>
      </c>
      <c r="G526" s="119">
        <v>411.66666666666669</v>
      </c>
      <c r="H526" s="119">
        <v>270</v>
      </c>
      <c r="I526" s="119">
        <v>370.21834061135377</v>
      </c>
    </row>
    <row r="527" spans="1:9" x14ac:dyDescent="0.3">
      <c r="A527" s="72">
        <f t="shared" si="6"/>
        <v>41653</v>
      </c>
      <c r="B527" s="71"/>
      <c r="C527" s="71"/>
      <c r="D527" s="71">
        <v>560</v>
      </c>
      <c r="E527" s="71">
        <v>385</v>
      </c>
      <c r="F527" s="71">
        <v>395</v>
      </c>
      <c r="G527" s="71">
        <v>395</v>
      </c>
      <c r="H527" s="71">
        <v>260</v>
      </c>
      <c r="I527" s="71">
        <v>356.50655021834064</v>
      </c>
    </row>
    <row r="528" spans="1:9" x14ac:dyDescent="0.3">
      <c r="A528" s="72">
        <f t="shared" si="6"/>
        <v>41660</v>
      </c>
      <c r="B528" s="71"/>
      <c r="C528" s="71"/>
      <c r="D528" s="71">
        <v>555</v>
      </c>
      <c r="E528" s="71">
        <v>443.33333333333331</v>
      </c>
      <c r="F528" s="71">
        <v>443.33333333333331</v>
      </c>
      <c r="G528" s="71">
        <v>443.33333333333331</v>
      </c>
      <c r="H528" s="71">
        <v>308.33333333333331</v>
      </c>
      <c r="I528" s="71">
        <v>422.78020378457063</v>
      </c>
    </row>
    <row r="529" spans="1:9" x14ac:dyDescent="0.3">
      <c r="A529" s="72">
        <f t="shared" si="6"/>
        <v>41667</v>
      </c>
      <c r="B529" s="71"/>
      <c r="C529" s="71"/>
      <c r="D529" s="71">
        <v>590</v>
      </c>
      <c r="E529" s="71">
        <v>491.66666666666669</v>
      </c>
      <c r="F529" s="71">
        <v>475</v>
      </c>
      <c r="G529" s="71">
        <v>475</v>
      </c>
      <c r="H529" s="71">
        <v>325</v>
      </c>
      <c r="I529" s="71">
        <v>445.63318777292579</v>
      </c>
    </row>
    <row r="530" spans="1:9" x14ac:dyDescent="0.3">
      <c r="A530" s="72">
        <f t="shared" si="6"/>
        <v>41674</v>
      </c>
      <c r="B530" s="71"/>
      <c r="C530" s="71"/>
      <c r="D530" s="71">
        <v>0</v>
      </c>
      <c r="E530" s="71">
        <v>491.66666666666669</v>
      </c>
      <c r="F530" s="71">
        <v>491.66666666666669</v>
      </c>
      <c r="G530" s="71">
        <v>491.66666666666669</v>
      </c>
      <c r="H530" s="71">
        <v>341.66666666666669</v>
      </c>
      <c r="I530" s="71">
        <v>468.48617176128096</v>
      </c>
    </row>
    <row r="531" spans="1:9" x14ac:dyDescent="0.3">
      <c r="A531" s="72">
        <f t="shared" si="6"/>
        <v>41681</v>
      </c>
      <c r="B531" s="71"/>
      <c r="C531" s="71"/>
      <c r="D531" s="71">
        <v>597</v>
      </c>
      <c r="E531" s="71">
        <v>457</v>
      </c>
      <c r="F531" s="71">
        <v>472</v>
      </c>
      <c r="G531" s="71">
        <v>472</v>
      </c>
      <c r="H531" s="71">
        <v>315</v>
      </c>
      <c r="I531" s="71">
        <v>432</v>
      </c>
    </row>
    <row r="532" spans="1:9" x14ac:dyDescent="0.3">
      <c r="A532" s="72">
        <f t="shared" si="6"/>
        <v>41688</v>
      </c>
      <c r="B532" s="71"/>
      <c r="C532" s="71"/>
      <c r="D532" s="71">
        <v>600</v>
      </c>
      <c r="E532" s="71">
        <v>463.33333333333331</v>
      </c>
      <c r="F532" s="71">
        <v>456.66666666666669</v>
      </c>
      <c r="G532" s="71">
        <v>456.66666666666669</v>
      </c>
      <c r="H532" s="71">
        <v>308.33333333333331</v>
      </c>
      <c r="I532" s="71">
        <v>422.78020378457057</v>
      </c>
    </row>
    <row r="533" spans="1:9" x14ac:dyDescent="0.3">
      <c r="A533" s="72">
        <f t="shared" si="6"/>
        <v>41695</v>
      </c>
      <c r="B533" s="71"/>
      <c r="C533" s="71"/>
      <c r="D533" s="71">
        <v>591.66666666666663</v>
      </c>
      <c r="E533" s="71">
        <v>485</v>
      </c>
      <c r="F533" s="71">
        <v>483.33333333333331</v>
      </c>
      <c r="G533" s="71">
        <v>483.33333333333331</v>
      </c>
      <c r="H533" s="71">
        <v>363.33333333333331</v>
      </c>
      <c r="I533" s="71">
        <v>498.19505094614266</v>
      </c>
    </row>
    <row r="534" spans="1:9" x14ac:dyDescent="0.3">
      <c r="A534" s="72">
        <f t="shared" si="6"/>
        <v>41702</v>
      </c>
      <c r="B534" s="71"/>
      <c r="C534" s="71"/>
      <c r="D534" s="71">
        <v>620</v>
      </c>
      <c r="E534" s="71">
        <v>595</v>
      </c>
      <c r="F534" s="71">
        <v>591.66666666666663</v>
      </c>
      <c r="G534" s="71">
        <v>591.66666666666663</v>
      </c>
      <c r="H534" s="71">
        <v>500</v>
      </c>
      <c r="I534" s="71">
        <v>685.58951965065501</v>
      </c>
    </row>
    <row r="535" spans="1:9" x14ac:dyDescent="0.3">
      <c r="A535" s="72">
        <f t="shared" si="6"/>
        <v>41709</v>
      </c>
      <c r="B535" s="71"/>
      <c r="C535" s="71"/>
      <c r="D535" s="71">
        <v>625</v>
      </c>
      <c r="E535" s="71">
        <v>595</v>
      </c>
      <c r="F535" s="71">
        <v>612.5</v>
      </c>
      <c r="G535" s="71">
        <v>612.5</v>
      </c>
      <c r="H535" s="71">
        <v>500</v>
      </c>
      <c r="I535" s="71">
        <v>685.58951965065501</v>
      </c>
    </row>
    <row r="536" spans="1:9" x14ac:dyDescent="0.3">
      <c r="A536" s="72">
        <f t="shared" si="6"/>
        <v>41716</v>
      </c>
      <c r="B536" s="71"/>
      <c r="C536" s="71"/>
      <c r="D536" s="71">
        <v>578.33333333333337</v>
      </c>
      <c r="E536" s="71">
        <v>463.33333333333331</v>
      </c>
      <c r="F536" s="71">
        <v>483.33333333333331</v>
      </c>
      <c r="G536" s="71">
        <v>483.33333333333331</v>
      </c>
      <c r="H536" s="71">
        <v>376.66666666666669</v>
      </c>
      <c r="I536" s="71">
        <v>516.47743813682689</v>
      </c>
    </row>
    <row r="537" spans="1:9" x14ac:dyDescent="0.3">
      <c r="A537" s="72">
        <f t="shared" si="6"/>
        <v>41723</v>
      </c>
      <c r="B537" s="71"/>
      <c r="C537" s="71">
        <v>467.5</v>
      </c>
      <c r="D537" s="71">
        <v>468.75</v>
      </c>
      <c r="E537" s="71">
        <v>350</v>
      </c>
      <c r="F537" s="71">
        <v>381.25</v>
      </c>
      <c r="G537" s="71">
        <v>381.25</v>
      </c>
      <c r="H537" s="71">
        <v>281.25</v>
      </c>
      <c r="I537" s="71">
        <v>388.50072780203783</v>
      </c>
    </row>
    <row r="538" spans="1:9" x14ac:dyDescent="0.3">
      <c r="A538" s="72">
        <f t="shared" si="6"/>
        <v>41730</v>
      </c>
      <c r="B538" s="71"/>
      <c r="C538" s="136">
        <v>421.25</v>
      </c>
      <c r="D538" s="136">
        <v>416.25</v>
      </c>
      <c r="E538" s="136">
        <v>300</v>
      </c>
      <c r="F538" s="136">
        <v>336.25</v>
      </c>
      <c r="G538" s="136">
        <v>336.25</v>
      </c>
      <c r="H538" s="136">
        <v>250</v>
      </c>
      <c r="I538" s="136">
        <v>342.7947598253275</v>
      </c>
    </row>
    <row r="539" spans="1:9" x14ac:dyDescent="0.3">
      <c r="A539" s="72">
        <f t="shared" si="6"/>
        <v>41737</v>
      </c>
      <c r="B539" s="71"/>
      <c r="C539" s="136">
        <v>390</v>
      </c>
      <c r="D539" s="136">
        <v>370</v>
      </c>
      <c r="E539" s="136">
        <v>251.66666666666666</v>
      </c>
      <c r="F539" s="136">
        <v>311.66666666666669</v>
      </c>
      <c r="G539" s="136">
        <v>311.66666666666669</v>
      </c>
      <c r="H539" s="136">
        <v>221.66666666666666</v>
      </c>
      <c r="I539" s="136">
        <v>303.94468704512371</v>
      </c>
    </row>
    <row r="540" spans="1:9" x14ac:dyDescent="0.3">
      <c r="A540" s="72">
        <f t="shared" si="6"/>
        <v>41744</v>
      </c>
      <c r="B540" s="136"/>
      <c r="C540" s="136">
        <v>388.75</v>
      </c>
      <c r="D540" s="136">
        <v>383.75</v>
      </c>
      <c r="E540" s="136">
        <v>263.75</v>
      </c>
      <c r="F540" s="136">
        <v>296.25</v>
      </c>
      <c r="G540" s="136">
        <v>296.25</v>
      </c>
      <c r="H540" s="136">
        <v>216.25</v>
      </c>
      <c r="I540" s="136">
        <v>294.80349344978168</v>
      </c>
    </row>
    <row r="541" spans="1:9" x14ac:dyDescent="0.3">
      <c r="A541" s="72">
        <f t="shared" si="6"/>
        <v>41751</v>
      </c>
      <c r="B541" s="71">
        <v>475</v>
      </c>
      <c r="C541" s="71">
        <v>402</v>
      </c>
      <c r="D541" s="71">
        <v>377</v>
      </c>
      <c r="E541" s="71">
        <v>238</v>
      </c>
      <c r="F541" s="71">
        <v>282</v>
      </c>
      <c r="G541" s="71">
        <v>282</v>
      </c>
      <c r="H541" s="71">
        <v>208</v>
      </c>
      <c r="I541" s="71">
        <v>285.6622998544396</v>
      </c>
    </row>
    <row r="542" spans="1:9" x14ac:dyDescent="0.3">
      <c r="A542" s="72">
        <f t="shared" si="6"/>
        <v>41758</v>
      </c>
      <c r="B542" s="71">
        <v>463.33333333333331</v>
      </c>
      <c r="C542" s="71">
        <v>375</v>
      </c>
      <c r="D542" s="71">
        <v>360</v>
      </c>
      <c r="E542" s="71">
        <v>243.33333333333334</v>
      </c>
      <c r="F542" s="71">
        <v>272.5</v>
      </c>
      <c r="G542" s="71">
        <v>272.5</v>
      </c>
      <c r="H542" s="71">
        <v>206.66666666666666</v>
      </c>
      <c r="I542" s="71">
        <v>283.3770014556041</v>
      </c>
    </row>
    <row r="543" spans="1:9" x14ac:dyDescent="0.3">
      <c r="A543" s="72">
        <f t="shared" si="6"/>
        <v>41765</v>
      </c>
      <c r="B543" s="71">
        <v>453.33333333333331</v>
      </c>
      <c r="C543" s="71">
        <v>373.33333333333331</v>
      </c>
      <c r="D543" s="71">
        <v>365</v>
      </c>
      <c r="E543" s="71">
        <v>243.33333333333334</v>
      </c>
      <c r="F543" s="71">
        <v>246.66666666666666</v>
      </c>
      <c r="G543" s="71">
        <v>246.66666666666666</v>
      </c>
      <c r="H543" s="71">
        <v>203.33333333333334</v>
      </c>
      <c r="I543" s="71">
        <v>278.806404657933</v>
      </c>
    </row>
    <row r="544" spans="1:9" x14ac:dyDescent="0.3">
      <c r="A544" s="72">
        <f t="shared" si="6"/>
        <v>41772</v>
      </c>
      <c r="B544" s="71">
        <v>442.5</v>
      </c>
      <c r="C544" s="71">
        <v>360</v>
      </c>
      <c r="D544" s="71">
        <v>355</v>
      </c>
      <c r="E544" s="71">
        <v>247.5</v>
      </c>
      <c r="F544" s="71">
        <v>247.5</v>
      </c>
      <c r="G544" s="71">
        <v>247.5</v>
      </c>
      <c r="H544" s="71">
        <v>202.5</v>
      </c>
      <c r="I544" s="71">
        <v>277.66375545851531</v>
      </c>
    </row>
    <row r="545" spans="1:10" x14ac:dyDescent="0.3">
      <c r="A545" s="72">
        <f t="shared" si="6"/>
        <v>41779</v>
      </c>
      <c r="B545" s="71">
        <v>462.5</v>
      </c>
      <c r="C545" s="71">
        <v>367.5</v>
      </c>
      <c r="D545" s="71">
        <v>372.5</v>
      </c>
      <c r="E545" s="71">
        <v>242.5</v>
      </c>
      <c r="F545" s="71">
        <v>230</v>
      </c>
      <c r="G545" s="71">
        <v>230</v>
      </c>
      <c r="H545" s="71">
        <v>200</v>
      </c>
      <c r="I545" s="71">
        <v>274.23580786026201</v>
      </c>
    </row>
    <row r="546" spans="1:10" x14ac:dyDescent="0.3">
      <c r="A546" s="72">
        <f t="shared" si="6"/>
        <v>41786</v>
      </c>
      <c r="B546" s="71">
        <v>446.66666666666669</v>
      </c>
      <c r="C546" s="71">
        <v>360</v>
      </c>
      <c r="D546" s="71">
        <v>360</v>
      </c>
      <c r="E546" s="71">
        <v>238.33333333333334</v>
      </c>
      <c r="F546" s="71">
        <v>231.66666666666666</v>
      </c>
      <c r="G546" s="71">
        <v>231.66666666666666</v>
      </c>
      <c r="H546" s="71">
        <v>200</v>
      </c>
      <c r="I546" s="71">
        <v>274</v>
      </c>
    </row>
    <row r="547" spans="1:10" x14ac:dyDescent="0.3">
      <c r="A547" s="72">
        <f t="shared" si="6"/>
        <v>41793</v>
      </c>
      <c r="B547" s="119">
        <v>420</v>
      </c>
      <c r="C547" s="119">
        <v>355</v>
      </c>
      <c r="D547" s="119">
        <v>353.33333333333331</v>
      </c>
      <c r="E547" s="119">
        <v>240</v>
      </c>
      <c r="F547" s="119">
        <v>231.66666666666666</v>
      </c>
      <c r="G547" s="119">
        <v>231.66666666666666</v>
      </c>
      <c r="H547" s="119">
        <v>200</v>
      </c>
      <c r="I547" s="119">
        <v>274.23580786026201</v>
      </c>
    </row>
    <row r="548" spans="1:10" x14ac:dyDescent="0.3">
      <c r="A548" s="72">
        <f t="shared" si="6"/>
        <v>41800</v>
      </c>
      <c r="B548" s="119">
        <v>421.66666666666669</v>
      </c>
      <c r="C548" s="119">
        <v>363.33333333333331</v>
      </c>
      <c r="D548" s="119">
        <v>373.33333333333331</v>
      </c>
      <c r="E548" s="119">
        <v>245</v>
      </c>
      <c r="F548" s="119">
        <v>231.66666666666666</v>
      </c>
      <c r="G548" s="119">
        <v>231.66666666666666</v>
      </c>
      <c r="H548" s="119">
        <v>200</v>
      </c>
      <c r="I548" s="119">
        <v>274.23580786026201</v>
      </c>
    </row>
    <row r="549" spans="1:10" x14ac:dyDescent="0.3">
      <c r="A549" s="72">
        <f t="shared" si="6"/>
        <v>41807</v>
      </c>
      <c r="B549" s="71">
        <v>430</v>
      </c>
      <c r="C549" s="71">
        <v>366.66666666666669</v>
      </c>
      <c r="D549" s="71">
        <v>366.66666666666669</v>
      </c>
      <c r="E549" s="71">
        <v>248.33333333333334</v>
      </c>
      <c r="F549" s="71">
        <v>226.66666666666666</v>
      </c>
      <c r="G549" s="71">
        <v>226.66666666666666</v>
      </c>
      <c r="H549" s="71">
        <v>206.66666666666666</v>
      </c>
      <c r="I549" s="71">
        <v>283.3770014556041</v>
      </c>
    </row>
    <row r="550" spans="1:10" x14ac:dyDescent="0.3">
      <c r="A550" s="72">
        <f t="shared" si="6"/>
        <v>41814</v>
      </c>
      <c r="B550" s="71"/>
      <c r="C550" s="125">
        <v>370</v>
      </c>
      <c r="D550" s="125">
        <v>368.75</v>
      </c>
      <c r="E550" s="125">
        <v>248.75</v>
      </c>
      <c r="F550" s="125">
        <v>237.5</v>
      </c>
      <c r="G550" s="125">
        <v>231.25</v>
      </c>
      <c r="H550" s="125">
        <v>213.75</v>
      </c>
      <c r="I550" s="125">
        <v>294.80349344978163</v>
      </c>
      <c r="J550" s="66" t="s">
        <v>65</v>
      </c>
    </row>
    <row r="551" spans="1:10" x14ac:dyDescent="0.3">
      <c r="A551" s="72">
        <f t="shared" si="6"/>
        <v>41821</v>
      </c>
      <c r="B551" s="71"/>
      <c r="C551" s="71"/>
      <c r="D551" s="125">
        <v>378.33333333333331</v>
      </c>
      <c r="E551" s="125">
        <v>260</v>
      </c>
      <c r="F551" s="125">
        <v>243.33333333333334</v>
      </c>
      <c r="G551" s="125">
        <v>243.33333333333334</v>
      </c>
      <c r="H551" s="125">
        <v>213.33333333333334</v>
      </c>
      <c r="I551" s="125">
        <v>292.51819505094613</v>
      </c>
      <c r="J551" s="66" t="s">
        <v>65</v>
      </c>
    </row>
    <row r="552" spans="1:10" x14ac:dyDescent="0.3">
      <c r="A552" s="72">
        <f t="shared" si="6"/>
        <v>41828</v>
      </c>
      <c r="B552" s="125"/>
      <c r="C552" s="125"/>
      <c r="D552" s="125">
        <v>345</v>
      </c>
      <c r="E552" s="125">
        <v>245</v>
      </c>
      <c r="F552" s="125">
        <v>242.5</v>
      </c>
      <c r="G552" s="125">
        <v>242.5</v>
      </c>
      <c r="H552" s="125">
        <v>207.5</v>
      </c>
      <c r="I552" s="125">
        <v>284.51965065502185</v>
      </c>
      <c r="J552" s="66" t="s">
        <v>65</v>
      </c>
    </row>
    <row r="553" spans="1:10" x14ac:dyDescent="0.3">
      <c r="A553" s="72">
        <f t="shared" si="6"/>
        <v>41835</v>
      </c>
      <c r="B553" s="125">
        <v>508.33333333333331</v>
      </c>
      <c r="C553" s="125">
        <v>401.66666666666669</v>
      </c>
      <c r="D553" s="125">
        <v>405</v>
      </c>
      <c r="E553" s="125">
        <v>280</v>
      </c>
      <c r="F553" s="125">
        <v>286.66666666666669</v>
      </c>
      <c r="G553" s="125">
        <v>286.66666666666669</v>
      </c>
      <c r="H553" s="125">
        <v>226.66666666666666</v>
      </c>
      <c r="I553" s="125">
        <v>310.80058224163025</v>
      </c>
      <c r="J553" s="66" t="s">
        <v>66</v>
      </c>
    </row>
    <row r="554" spans="1:10" x14ac:dyDescent="0.3">
      <c r="A554" s="72">
        <f t="shared" si="6"/>
        <v>41842</v>
      </c>
      <c r="B554" s="71">
        <v>595</v>
      </c>
      <c r="C554" s="71">
        <v>538.33333333333337</v>
      </c>
      <c r="D554" s="71">
        <v>546.66666666666663</v>
      </c>
      <c r="E554" s="71">
        <v>395</v>
      </c>
      <c r="F554" s="71">
        <v>446.66666666666669</v>
      </c>
      <c r="G554" s="71">
        <v>446.66666666666669</v>
      </c>
      <c r="H554" s="71">
        <v>322.66666666666669</v>
      </c>
      <c r="I554" s="71">
        <v>442.43377001455605</v>
      </c>
    </row>
    <row r="555" spans="1:10" x14ac:dyDescent="0.3">
      <c r="A555" s="72">
        <f t="shared" si="6"/>
        <v>41849</v>
      </c>
      <c r="B555" s="71"/>
      <c r="C555" s="71">
        <v>568.33333333333337</v>
      </c>
      <c r="D555" s="71">
        <v>560</v>
      </c>
      <c r="E555" s="71">
        <v>408.33333333333331</v>
      </c>
      <c r="F555" s="71">
        <v>455</v>
      </c>
      <c r="G555" s="71">
        <v>455</v>
      </c>
      <c r="H555" s="71">
        <v>366.66666666666669</v>
      </c>
      <c r="I555" s="71">
        <v>502.76564774381364</v>
      </c>
      <c r="J555" s="66" t="s">
        <v>67</v>
      </c>
    </row>
    <row r="556" spans="1:10" x14ac:dyDescent="0.3">
      <c r="A556" s="72">
        <f t="shared" si="6"/>
        <v>41856</v>
      </c>
      <c r="B556" s="71"/>
      <c r="C556" s="71">
        <v>495</v>
      </c>
      <c r="D556" s="71">
        <v>467.5</v>
      </c>
      <c r="E556" s="71">
        <v>417.5</v>
      </c>
      <c r="F556" s="71">
        <v>460</v>
      </c>
      <c r="G556" s="71">
        <v>460</v>
      </c>
      <c r="H556" s="71">
        <v>387.5</v>
      </c>
      <c r="I556" s="71">
        <v>531.33187772925771</v>
      </c>
    </row>
    <row r="557" spans="1:10" x14ac:dyDescent="0.3">
      <c r="A557" s="72">
        <f t="shared" si="6"/>
        <v>41863</v>
      </c>
      <c r="B557" s="71">
        <v>631.66666666666663</v>
      </c>
      <c r="C557" s="71">
        <v>470</v>
      </c>
      <c r="D557" s="71">
        <v>441.66666666666669</v>
      </c>
      <c r="E557" s="71">
        <v>388.33333333333331</v>
      </c>
      <c r="F557" s="71">
        <v>442.5</v>
      </c>
      <c r="G557" s="71">
        <v>442.5</v>
      </c>
      <c r="H557" s="71">
        <v>377.5</v>
      </c>
      <c r="I557" s="71">
        <v>530.18922852983985</v>
      </c>
    </row>
    <row r="558" spans="1:10" x14ac:dyDescent="0.3">
      <c r="A558" s="72">
        <f t="shared" si="6"/>
        <v>41870</v>
      </c>
      <c r="B558" s="71">
        <v>555</v>
      </c>
      <c r="C558" s="71">
        <v>488.33333333333331</v>
      </c>
      <c r="D558" s="71">
        <v>466.66666666666669</v>
      </c>
      <c r="E558" s="71">
        <v>400</v>
      </c>
      <c r="F558" s="71">
        <v>450</v>
      </c>
      <c r="G558" s="71">
        <v>450</v>
      </c>
      <c r="H558" s="71">
        <v>408</v>
      </c>
      <c r="I558" s="71">
        <v>605.60407569141182</v>
      </c>
    </row>
    <row r="559" spans="1:10" x14ac:dyDescent="0.3">
      <c r="B559" s="71"/>
      <c r="C559" s="71"/>
      <c r="D559" s="71"/>
      <c r="E559" s="71"/>
      <c r="F559" s="71"/>
      <c r="G559" s="71"/>
      <c r="H559" s="71"/>
      <c r="I559" s="71"/>
    </row>
    <row r="560" spans="1:10" x14ac:dyDescent="0.3">
      <c r="B560" s="71"/>
      <c r="C560" s="71"/>
      <c r="D560" s="71"/>
      <c r="E560" s="71"/>
      <c r="F560" s="71"/>
      <c r="G560" s="71"/>
      <c r="H560" s="71"/>
      <c r="I560" s="71"/>
    </row>
    <row r="561" spans="2:9" x14ac:dyDescent="0.3">
      <c r="B561" s="71"/>
      <c r="C561" s="71"/>
      <c r="D561" s="71"/>
      <c r="E561" s="71"/>
      <c r="F561" s="71"/>
      <c r="G561" s="71"/>
      <c r="H561" s="71"/>
      <c r="I561" s="71"/>
    </row>
    <row r="562" spans="2:9" x14ac:dyDescent="0.3">
      <c r="B562" s="71"/>
      <c r="C562" s="71"/>
      <c r="D562" s="71"/>
      <c r="E562" s="71"/>
      <c r="F562" s="71"/>
      <c r="G562" s="71"/>
      <c r="H562" s="71"/>
      <c r="I562" s="71"/>
    </row>
    <row r="563" spans="2:9" x14ac:dyDescent="0.3">
      <c r="B563" s="71"/>
      <c r="C563" s="71"/>
      <c r="D563" s="71"/>
      <c r="E563" s="71"/>
      <c r="F563" s="71"/>
      <c r="G563" s="71"/>
      <c r="H563" s="71"/>
      <c r="I563" s="7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8"/>
  <sheetViews>
    <sheetView workbookViewId="0">
      <pane xSplit="2" ySplit="3" topLeftCell="C545" activePane="bottomRight" state="frozen"/>
      <selection pane="topRight" activeCell="C1" sqref="C1"/>
      <selection pane="bottomLeft" activeCell="A4" sqref="A4"/>
      <selection pane="bottomRight" activeCell="A558" sqref="A558:B558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558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3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  <row r="494" spans="1:10" x14ac:dyDescent="0.3">
      <c r="A494" s="127">
        <f t="shared" si="12"/>
        <v>41422</v>
      </c>
      <c r="B494" s="66">
        <v>6</v>
      </c>
      <c r="C494" s="23">
        <v>353.33333333333331</v>
      </c>
      <c r="D494" s="23">
        <v>296.66666666666669</v>
      </c>
      <c r="E494" s="23">
        <v>300</v>
      </c>
      <c r="F494" s="23">
        <v>216.66666666666666</v>
      </c>
      <c r="G494" s="23">
        <v>201.66666666666666</v>
      </c>
      <c r="H494" s="23">
        <v>201.66666666666666</v>
      </c>
      <c r="I494" s="23">
        <v>190</v>
      </c>
      <c r="J494" s="23">
        <v>260.52401746724894</v>
      </c>
    </row>
    <row r="495" spans="1:10" x14ac:dyDescent="0.3">
      <c r="A495" s="127">
        <f t="shared" si="12"/>
        <v>41429</v>
      </c>
      <c r="B495" s="66">
        <v>7</v>
      </c>
      <c r="C495" s="71">
        <v>373.33333333333331</v>
      </c>
      <c r="D495" s="71">
        <v>303.33333333333331</v>
      </c>
      <c r="E495" s="71">
        <v>290</v>
      </c>
      <c r="F495" s="71">
        <v>235</v>
      </c>
      <c r="G495" s="71">
        <v>211.66666666666666</v>
      </c>
      <c r="H495" s="71">
        <v>211.66666666666666</v>
      </c>
      <c r="I495" s="71">
        <v>203.33333333333334</v>
      </c>
      <c r="J495" s="71">
        <v>278.806404657933</v>
      </c>
    </row>
    <row r="496" spans="1:10" x14ac:dyDescent="0.3">
      <c r="A496" s="127">
        <f t="shared" si="12"/>
        <v>41436</v>
      </c>
      <c r="B496" s="66">
        <v>7</v>
      </c>
      <c r="C496" s="23">
        <v>350</v>
      </c>
      <c r="D496" s="23">
        <v>295</v>
      </c>
      <c r="E496" s="23">
        <v>280</v>
      </c>
      <c r="F496" s="23">
        <v>232.5</v>
      </c>
      <c r="G496" s="23">
        <v>200</v>
      </c>
      <c r="H496" s="23">
        <v>200</v>
      </c>
      <c r="I496" s="23">
        <v>192.5</v>
      </c>
      <c r="J496" s="23">
        <v>151.22270742358077</v>
      </c>
    </row>
    <row r="497" spans="1:10" x14ac:dyDescent="0.3">
      <c r="A497" s="127">
        <f t="shared" si="12"/>
        <v>41443</v>
      </c>
      <c r="B497" s="66">
        <v>7</v>
      </c>
      <c r="C497" s="66">
        <v>355</v>
      </c>
      <c r="D497" s="66">
        <v>295</v>
      </c>
      <c r="E497" s="71">
        <v>290</v>
      </c>
      <c r="F497" s="71">
        <v>220</v>
      </c>
      <c r="G497" s="71">
        <v>200</v>
      </c>
      <c r="H497" s="71">
        <v>200</v>
      </c>
      <c r="I497" s="71">
        <v>208</v>
      </c>
      <c r="J497" s="71">
        <v>154</v>
      </c>
    </row>
    <row r="498" spans="1:10" x14ac:dyDescent="0.3">
      <c r="A498" s="127">
        <f t="shared" si="12"/>
        <v>41450</v>
      </c>
      <c r="B498" s="66">
        <v>7</v>
      </c>
      <c r="C498" s="71">
        <v>376.66666666666669</v>
      </c>
      <c r="D498" s="71">
        <v>315</v>
      </c>
      <c r="E498" s="71">
        <v>306.66666666666669</v>
      </c>
      <c r="F498" s="71">
        <v>245</v>
      </c>
      <c r="G498" s="71">
        <v>220</v>
      </c>
      <c r="H498" s="71">
        <v>220</v>
      </c>
      <c r="I498" s="71">
        <v>208.33333333333334</v>
      </c>
      <c r="J498" s="71">
        <v>249.49053857350802</v>
      </c>
    </row>
    <row r="499" spans="1:10" x14ac:dyDescent="0.3">
      <c r="A499" s="127">
        <f t="shared" si="12"/>
        <v>41457</v>
      </c>
      <c r="B499" s="66">
        <v>8</v>
      </c>
      <c r="C499" s="71">
        <v>386.66666666666669</v>
      </c>
      <c r="D499" s="71">
        <v>331.66666666666669</v>
      </c>
      <c r="E499" s="71">
        <v>338.33333333333331</v>
      </c>
      <c r="F499" s="71">
        <v>283.33333333333331</v>
      </c>
      <c r="G499" s="71">
        <v>338.33333333333331</v>
      </c>
      <c r="H499" s="71">
        <v>338.33333333333331</v>
      </c>
      <c r="I499" s="71">
        <v>258.33333333333331</v>
      </c>
      <c r="J499" s="71">
        <v>295.19650655021832</v>
      </c>
    </row>
    <row r="500" spans="1:10" x14ac:dyDescent="0.3">
      <c r="A500" s="127">
        <f t="shared" si="12"/>
        <v>41464</v>
      </c>
      <c r="B500" s="66">
        <v>8</v>
      </c>
      <c r="C500" s="71">
        <v>416.66666666666669</v>
      </c>
      <c r="D500" s="71">
        <v>328.33333333333331</v>
      </c>
      <c r="E500" s="71">
        <v>325</v>
      </c>
      <c r="F500" s="71">
        <v>316.66666666666669</v>
      </c>
      <c r="G500" s="71">
        <v>341.66666666666669</v>
      </c>
      <c r="H500" s="71">
        <v>341.66666666666669</v>
      </c>
      <c r="I500" s="71">
        <v>251.66666666666666</v>
      </c>
      <c r="J500" s="71">
        <v>345.080058224163</v>
      </c>
    </row>
    <row r="501" spans="1:10" x14ac:dyDescent="0.3">
      <c r="A501" s="127">
        <f t="shared" si="12"/>
        <v>41471</v>
      </c>
      <c r="B501" s="66">
        <v>8</v>
      </c>
      <c r="C501" s="66">
        <v>388</v>
      </c>
      <c r="D501" s="66">
        <v>325</v>
      </c>
      <c r="E501" s="71">
        <v>308</v>
      </c>
      <c r="F501" s="71">
        <v>275</v>
      </c>
      <c r="G501" s="71">
        <v>313</v>
      </c>
      <c r="H501" s="71">
        <v>313</v>
      </c>
      <c r="I501" s="71">
        <v>275</v>
      </c>
      <c r="J501" s="71">
        <v>377</v>
      </c>
    </row>
    <row r="502" spans="1:10" x14ac:dyDescent="0.3">
      <c r="A502" s="127">
        <f t="shared" si="12"/>
        <v>41478</v>
      </c>
      <c r="B502" s="66">
        <v>8</v>
      </c>
      <c r="C502" s="71">
        <v>363.33333333333331</v>
      </c>
      <c r="D502" s="71">
        <v>311.66666666666669</v>
      </c>
      <c r="E502" s="71">
        <v>306.66666666666669</v>
      </c>
      <c r="F502" s="71">
        <v>260</v>
      </c>
      <c r="G502" s="71">
        <v>266.66666666666669</v>
      </c>
      <c r="H502" s="71">
        <v>266.66666666666669</v>
      </c>
      <c r="I502" s="71">
        <v>231.66666666666666</v>
      </c>
      <c r="J502" s="71">
        <v>317.65647743813685</v>
      </c>
    </row>
    <row r="503" spans="1:10" x14ac:dyDescent="0.3">
      <c r="A503" s="127">
        <f t="shared" si="12"/>
        <v>41485</v>
      </c>
      <c r="B503" s="66">
        <v>8</v>
      </c>
      <c r="C503" s="71">
        <v>366.66666666666669</v>
      </c>
      <c r="D503" s="71">
        <v>306.66666666666669</v>
      </c>
      <c r="E503" s="71">
        <v>298.33333333333331</v>
      </c>
      <c r="F503" s="71">
        <v>271.66666666666669</v>
      </c>
      <c r="G503" s="71">
        <v>296.66666666666669</v>
      </c>
      <c r="H503" s="71">
        <v>296.66666666666669</v>
      </c>
      <c r="I503" s="71">
        <v>245</v>
      </c>
      <c r="J503" s="71">
        <v>335.93886462882097</v>
      </c>
    </row>
    <row r="504" spans="1:10" x14ac:dyDescent="0.3">
      <c r="A504" s="127">
        <f t="shared" si="12"/>
        <v>41492</v>
      </c>
      <c r="B504" s="66">
        <v>9</v>
      </c>
      <c r="C504" s="71">
        <v>495</v>
      </c>
      <c r="D504" s="71">
        <v>461.66666666666669</v>
      </c>
      <c r="E504" s="71">
        <v>455</v>
      </c>
      <c r="F504" s="71">
        <v>420</v>
      </c>
      <c r="G504" s="71">
        <v>468.33333333333331</v>
      </c>
      <c r="H504" s="71">
        <v>468.33333333333331</v>
      </c>
      <c r="I504" s="71">
        <v>401.66666666666669</v>
      </c>
      <c r="J504" s="71">
        <v>550.75691411935952</v>
      </c>
    </row>
    <row r="505" spans="1:10" x14ac:dyDescent="0.3">
      <c r="A505" s="127">
        <f t="shared" si="12"/>
        <v>41499</v>
      </c>
      <c r="B505" s="66">
        <v>9</v>
      </c>
      <c r="C505" s="71">
        <v>515</v>
      </c>
      <c r="D505" s="71">
        <v>483.33333333333331</v>
      </c>
      <c r="E505" s="71">
        <v>483.33333333333331</v>
      </c>
      <c r="F505" s="71">
        <v>461.66666666666669</v>
      </c>
      <c r="G505" s="71">
        <v>486.66666666666669</v>
      </c>
      <c r="H505" s="71">
        <v>486.66666666666669</v>
      </c>
      <c r="I505" s="71">
        <v>430</v>
      </c>
      <c r="J505" s="71">
        <v>533.9301310043669</v>
      </c>
    </row>
    <row r="506" spans="1:10" x14ac:dyDescent="0.3">
      <c r="A506" s="127">
        <f t="shared" si="12"/>
        <v>41506</v>
      </c>
      <c r="B506" s="66">
        <v>9</v>
      </c>
      <c r="C506" s="71">
        <v>491.66666666666669</v>
      </c>
      <c r="D506" s="71">
        <v>476.66666666666669</v>
      </c>
      <c r="E506" s="71">
        <v>491.66666666666669</v>
      </c>
      <c r="F506" s="71">
        <v>471.66666666666669</v>
      </c>
      <c r="G506" s="71">
        <v>506.66666666666669</v>
      </c>
      <c r="H506" s="71">
        <v>506.66666666666669</v>
      </c>
      <c r="I506" s="71">
        <v>435</v>
      </c>
      <c r="J506" s="71">
        <v>596.46288209606985</v>
      </c>
    </row>
    <row r="507" spans="1:10" x14ac:dyDescent="0.3">
      <c r="A507" s="127">
        <f t="shared" si="12"/>
        <v>41513</v>
      </c>
      <c r="B507" s="66">
        <v>9</v>
      </c>
      <c r="C507" s="71">
        <v>500</v>
      </c>
      <c r="D507" s="71">
        <v>491.66666666666669</v>
      </c>
      <c r="E507" s="71">
        <v>491.66666666666669</v>
      </c>
      <c r="F507" s="71">
        <v>470</v>
      </c>
      <c r="G507" s="71">
        <v>486.66666666666669</v>
      </c>
      <c r="H507" s="71">
        <v>486.66666666666669</v>
      </c>
      <c r="I507" s="71">
        <v>415</v>
      </c>
      <c r="J507" s="71">
        <v>569.0393013100437</v>
      </c>
    </row>
    <row r="508" spans="1:10" x14ac:dyDescent="0.3">
      <c r="A508" s="127">
        <f t="shared" si="12"/>
        <v>41520</v>
      </c>
      <c r="B508" s="66">
        <v>10</v>
      </c>
      <c r="C508" s="71">
        <v>618.75</v>
      </c>
      <c r="D508" s="71">
        <v>592.5</v>
      </c>
      <c r="E508" s="71">
        <v>596.25</v>
      </c>
      <c r="F508" s="71">
        <v>555</v>
      </c>
      <c r="G508" s="71">
        <v>606.25</v>
      </c>
      <c r="H508" s="71">
        <v>606.25</v>
      </c>
      <c r="I508" s="71">
        <v>515</v>
      </c>
      <c r="J508" s="71">
        <v>690.16011644832599</v>
      </c>
    </row>
    <row r="509" spans="1:10" x14ac:dyDescent="0.3">
      <c r="A509" s="127">
        <f t="shared" si="12"/>
        <v>41527</v>
      </c>
      <c r="B509" s="66">
        <v>10</v>
      </c>
      <c r="C509" s="125">
        <v>625</v>
      </c>
      <c r="D509" s="125">
        <v>606.66666666666663</v>
      </c>
      <c r="E509" s="125">
        <v>600</v>
      </c>
      <c r="F509" s="125">
        <v>531.66666666666663</v>
      </c>
      <c r="G509" s="125">
        <v>633.33333333333337</v>
      </c>
      <c r="H509" s="125">
        <v>633.33333333333337</v>
      </c>
      <c r="I509" s="125">
        <v>543.33333333333337</v>
      </c>
      <c r="J509" s="125">
        <v>745.00727802037852</v>
      </c>
    </row>
    <row r="510" spans="1:10" x14ac:dyDescent="0.3">
      <c r="A510" s="127">
        <f t="shared" si="12"/>
        <v>41534</v>
      </c>
      <c r="B510" s="66">
        <v>10</v>
      </c>
      <c r="C510" s="119">
        <v>625</v>
      </c>
      <c r="D510" s="119">
        <v>616.66666666666663</v>
      </c>
      <c r="E510" s="119">
        <v>611.66666666666663</v>
      </c>
      <c r="F510" s="119">
        <v>590</v>
      </c>
      <c r="G510" s="119">
        <v>680</v>
      </c>
      <c r="H510" s="119">
        <v>680</v>
      </c>
      <c r="I510" s="119">
        <v>576.66666666666663</v>
      </c>
      <c r="J510" s="119">
        <v>790.71324599708885</v>
      </c>
    </row>
    <row r="511" spans="1:10" x14ac:dyDescent="0.3">
      <c r="A511" s="127">
        <f t="shared" si="12"/>
        <v>41541</v>
      </c>
      <c r="B511" s="66">
        <v>10</v>
      </c>
      <c r="C511" s="71">
        <v>611.66666666666663</v>
      </c>
      <c r="D511" s="71">
        <v>615</v>
      </c>
      <c r="E511" s="71">
        <v>613.33333333333337</v>
      </c>
      <c r="F511" s="71">
        <v>611.66666666666663</v>
      </c>
      <c r="G511" s="71">
        <v>708.33333333333337</v>
      </c>
      <c r="H511" s="71">
        <v>708.33333333333337</v>
      </c>
      <c r="I511" s="71">
        <v>586.66666666666663</v>
      </c>
      <c r="J511" s="71">
        <v>804.42503639010192</v>
      </c>
    </row>
    <row r="512" spans="1:10" x14ac:dyDescent="0.3">
      <c r="A512" s="127">
        <f t="shared" si="12"/>
        <v>41548</v>
      </c>
      <c r="B512" s="66">
        <v>11</v>
      </c>
      <c r="C512" s="122">
        <v>600</v>
      </c>
      <c r="D512" s="122">
        <v>533</v>
      </c>
      <c r="E512" s="122">
        <v>470</v>
      </c>
      <c r="F512" s="122">
        <v>430</v>
      </c>
      <c r="G512" s="122">
        <v>525</v>
      </c>
      <c r="H512" s="122">
        <v>525</v>
      </c>
      <c r="I512" s="122">
        <v>402</v>
      </c>
      <c r="J512" s="66">
        <v>551</v>
      </c>
    </row>
    <row r="513" spans="1:11" x14ac:dyDescent="0.3">
      <c r="A513" s="127">
        <f t="shared" si="12"/>
        <v>41555</v>
      </c>
      <c r="B513" s="66">
        <v>11</v>
      </c>
      <c r="C513" s="131">
        <v>594</v>
      </c>
      <c r="D513" s="131">
        <v>548</v>
      </c>
      <c r="E513" s="131">
        <v>516</v>
      </c>
      <c r="F513" s="131">
        <v>456</v>
      </c>
      <c r="G513" s="131">
        <v>531</v>
      </c>
      <c r="H513" s="131">
        <v>531</v>
      </c>
      <c r="I513" s="131">
        <v>413</v>
      </c>
      <c r="J513" s="133">
        <v>566</v>
      </c>
      <c r="K513" s="66" t="s">
        <v>62</v>
      </c>
    </row>
    <row r="514" spans="1:11" x14ac:dyDescent="0.3">
      <c r="A514" s="127">
        <f t="shared" si="12"/>
        <v>41562</v>
      </c>
      <c r="B514" s="66">
        <v>11</v>
      </c>
      <c r="C514" s="131">
        <v>594</v>
      </c>
      <c r="D514" s="131">
        <v>548</v>
      </c>
      <c r="E514" s="131">
        <v>516</v>
      </c>
      <c r="F514" s="131">
        <v>456</v>
      </c>
      <c r="G514" s="131">
        <v>531</v>
      </c>
      <c r="H514" s="131">
        <v>531</v>
      </c>
      <c r="I514" s="131">
        <v>413</v>
      </c>
      <c r="J514" s="133">
        <v>566</v>
      </c>
      <c r="K514" s="66" t="s">
        <v>62</v>
      </c>
    </row>
    <row r="515" spans="1:11" x14ac:dyDescent="0.3">
      <c r="A515" s="127">
        <f t="shared" si="12"/>
        <v>41569</v>
      </c>
      <c r="B515" s="66">
        <v>11</v>
      </c>
      <c r="C515" s="125">
        <v>587.5</v>
      </c>
      <c r="D515" s="125">
        <v>562.5</v>
      </c>
      <c r="E515" s="125">
        <v>562.5</v>
      </c>
      <c r="F515" s="125">
        <v>482.5</v>
      </c>
      <c r="G515" s="125">
        <v>537.5</v>
      </c>
      <c r="H515" s="125">
        <v>537.5</v>
      </c>
      <c r="I515" s="125">
        <v>425</v>
      </c>
      <c r="J515" s="66">
        <v>583</v>
      </c>
    </row>
    <row r="516" spans="1:11" x14ac:dyDescent="0.3">
      <c r="A516" s="127">
        <f t="shared" si="12"/>
        <v>41576</v>
      </c>
      <c r="B516" s="66">
        <v>11</v>
      </c>
      <c r="C516" s="125">
        <v>563.33333333333337</v>
      </c>
      <c r="D516" s="125">
        <v>550</v>
      </c>
      <c r="E516" s="125">
        <v>541.66666666666663</v>
      </c>
      <c r="F516" s="125">
        <v>475</v>
      </c>
      <c r="G516" s="125">
        <v>556.66666666666663</v>
      </c>
      <c r="H516" s="125">
        <v>556.66666666666663</v>
      </c>
      <c r="I516" s="125">
        <v>430</v>
      </c>
      <c r="J516" s="71">
        <v>534</v>
      </c>
    </row>
    <row r="517" spans="1:11" x14ac:dyDescent="0.3">
      <c r="A517" s="127">
        <f t="shared" si="12"/>
        <v>41583</v>
      </c>
      <c r="B517" s="66">
        <v>12</v>
      </c>
      <c r="E517" s="71">
        <v>463.33333333333331</v>
      </c>
      <c r="F517" s="71">
        <v>358.33333333333331</v>
      </c>
      <c r="G517" s="71">
        <v>431.66666666666669</v>
      </c>
      <c r="H517" s="71">
        <v>431.66666666666669</v>
      </c>
      <c r="I517" s="71">
        <v>315</v>
      </c>
      <c r="J517" s="71">
        <v>431.92139737991266</v>
      </c>
    </row>
    <row r="518" spans="1:11" x14ac:dyDescent="0.3">
      <c r="A518" s="127">
        <f t="shared" si="12"/>
        <v>41590</v>
      </c>
      <c r="B518" s="66">
        <v>12</v>
      </c>
      <c r="E518" s="71">
        <v>505</v>
      </c>
      <c r="F518" s="71">
        <v>395</v>
      </c>
      <c r="G518" s="71">
        <v>475</v>
      </c>
      <c r="H518" s="71">
        <v>475</v>
      </c>
      <c r="I518" s="71">
        <v>348.33333333333331</v>
      </c>
      <c r="J518" s="71">
        <v>477.62736535662299</v>
      </c>
    </row>
    <row r="519" spans="1:11" x14ac:dyDescent="0.3">
      <c r="A519" s="127">
        <f t="shared" si="12"/>
        <v>41597</v>
      </c>
      <c r="B519" s="66">
        <v>12</v>
      </c>
      <c r="E519" s="71">
        <v>533.33333333333337</v>
      </c>
      <c r="F519" s="71">
        <v>466.66666666666669</v>
      </c>
      <c r="G519" s="71">
        <v>508.33333333333331</v>
      </c>
      <c r="H519" s="71">
        <v>508.33333333333331</v>
      </c>
      <c r="I519" s="71">
        <v>375</v>
      </c>
      <c r="J519" s="71">
        <v>514.1921397379914</v>
      </c>
    </row>
    <row r="520" spans="1:11" x14ac:dyDescent="0.3">
      <c r="A520" s="127">
        <f t="shared" si="12"/>
        <v>41604</v>
      </c>
      <c r="B520" s="66">
        <v>12</v>
      </c>
      <c r="E520" s="71">
        <v>523.75</v>
      </c>
      <c r="F520" s="71">
        <v>422.5</v>
      </c>
      <c r="G520" s="71">
        <v>491.25</v>
      </c>
      <c r="H520" s="71">
        <v>491.25</v>
      </c>
      <c r="I520" s="71">
        <v>346.25</v>
      </c>
      <c r="J520" s="71">
        <v>468.4861717612809</v>
      </c>
    </row>
    <row r="521" spans="1:11" x14ac:dyDescent="0.3">
      <c r="A521" s="127">
        <f t="shared" si="12"/>
        <v>41611</v>
      </c>
      <c r="B521" s="66">
        <v>1</v>
      </c>
      <c r="E521" s="71">
        <v>508.33333333333331</v>
      </c>
      <c r="F521" s="71">
        <v>400</v>
      </c>
      <c r="G521" s="71">
        <v>486.66666666666669</v>
      </c>
      <c r="H521" s="71">
        <v>486.66666666666669</v>
      </c>
      <c r="I521" s="71">
        <v>325</v>
      </c>
      <c r="J521" s="71">
        <v>445.63318777292574</v>
      </c>
    </row>
    <row r="522" spans="1:11" x14ac:dyDescent="0.3">
      <c r="A522" s="127">
        <f t="shared" si="12"/>
        <v>41618</v>
      </c>
      <c r="B522" s="66">
        <v>1</v>
      </c>
      <c r="E522" s="71">
        <v>520</v>
      </c>
      <c r="F522" s="71">
        <v>396.66666666666669</v>
      </c>
      <c r="G522" s="71">
        <v>453.33333333333331</v>
      </c>
      <c r="H522" s="71">
        <v>453.33333333333331</v>
      </c>
      <c r="I522" s="71">
        <v>310</v>
      </c>
      <c r="J522" s="71">
        <v>425.06550218340612</v>
      </c>
    </row>
    <row r="523" spans="1:11" x14ac:dyDescent="0.3">
      <c r="A523" s="127">
        <f t="shared" si="12"/>
        <v>41625</v>
      </c>
      <c r="B523" s="66">
        <v>1</v>
      </c>
      <c r="E523" s="119">
        <v>516.66666666666663</v>
      </c>
      <c r="F523" s="119">
        <v>408.33333333333331</v>
      </c>
      <c r="G523" s="119">
        <v>416.66666666666669</v>
      </c>
      <c r="H523" s="119">
        <v>416.66666666666669</v>
      </c>
      <c r="I523" s="119">
        <v>293.33333333333331</v>
      </c>
      <c r="J523" s="119">
        <v>402.21251819505096</v>
      </c>
    </row>
    <row r="524" spans="1:11" x14ac:dyDescent="0.3">
      <c r="A524" s="127">
        <f t="shared" si="12"/>
        <v>41632</v>
      </c>
      <c r="B524" s="66">
        <v>1</v>
      </c>
      <c r="E524" s="119">
        <v>525</v>
      </c>
      <c r="F524" s="119">
        <v>438.33333333333331</v>
      </c>
      <c r="G524" s="119">
        <v>420</v>
      </c>
      <c r="H524" s="119">
        <v>420</v>
      </c>
      <c r="I524" s="119">
        <v>293.33333333333331</v>
      </c>
      <c r="J524" s="119">
        <v>402.21251819505096</v>
      </c>
    </row>
    <row r="525" spans="1:11" x14ac:dyDescent="0.3">
      <c r="A525" s="127">
        <f t="shared" si="12"/>
        <v>41639</v>
      </c>
      <c r="B525" s="66">
        <v>1</v>
      </c>
      <c r="E525" s="71">
        <v>545</v>
      </c>
      <c r="F525" s="71">
        <v>428.33333333333331</v>
      </c>
      <c r="G525" s="71">
        <v>420</v>
      </c>
      <c r="H525" s="71">
        <v>420</v>
      </c>
      <c r="I525" s="71">
        <v>283.33333333333331</v>
      </c>
      <c r="J525" s="71">
        <v>388.50072780203783</v>
      </c>
    </row>
    <row r="526" spans="1:11" x14ac:dyDescent="0.3">
      <c r="A526" s="127">
        <f t="shared" si="12"/>
        <v>41646</v>
      </c>
      <c r="B526" s="66">
        <v>2</v>
      </c>
      <c r="E526" s="71">
        <v>478.33333333333331</v>
      </c>
      <c r="F526" s="71">
        <v>381.66666666666669</v>
      </c>
      <c r="G526" s="71">
        <v>391.66666666666669</v>
      </c>
      <c r="H526" s="71">
        <v>391.66666666666669</v>
      </c>
      <c r="I526" s="71">
        <v>266.66666666666669</v>
      </c>
      <c r="J526" s="71">
        <v>365.64774381368267</v>
      </c>
    </row>
    <row r="527" spans="1:11" x14ac:dyDescent="0.3">
      <c r="A527" s="127">
        <f t="shared" si="12"/>
        <v>41653</v>
      </c>
      <c r="B527" s="66">
        <v>2</v>
      </c>
      <c r="E527" s="71">
        <v>430</v>
      </c>
      <c r="F527" s="71">
        <v>361.66666666666669</v>
      </c>
      <c r="G527" s="71">
        <v>370</v>
      </c>
      <c r="H527" s="71">
        <v>370</v>
      </c>
      <c r="I527" s="71">
        <v>256.66666666666669</v>
      </c>
      <c r="J527" s="71">
        <v>351.93595342066959</v>
      </c>
    </row>
    <row r="528" spans="1:11" x14ac:dyDescent="0.3">
      <c r="A528" s="127">
        <f t="shared" si="12"/>
        <v>41660</v>
      </c>
      <c r="B528" s="66">
        <v>2</v>
      </c>
      <c r="E528" s="71">
        <v>488.33333333333331</v>
      </c>
      <c r="F528" s="71">
        <v>401.66666666666669</v>
      </c>
      <c r="G528" s="71">
        <v>395</v>
      </c>
      <c r="H528" s="71">
        <v>395</v>
      </c>
      <c r="I528" s="71">
        <v>281.66666666666669</v>
      </c>
      <c r="J528" s="71">
        <v>386.21542940320234</v>
      </c>
    </row>
    <row r="529" spans="1:10" x14ac:dyDescent="0.3">
      <c r="A529" s="127">
        <f t="shared" si="12"/>
        <v>41667</v>
      </c>
      <c r="B529" s="66">
        <v>2</v>
      </c>
      <c r="E529" s="71">
        <v>513.33333333333337</v>
      </c>
      <c r="F529" s="71">
        <v>441.66666666666669</v>
      </c>
      <c r="G529" s="71">
        <v>430</v>
      </c>
      <c r="H529" s="71">
        <v>430</v>
      </c>
      <c r="I529" s="71">
        <v>308.33333333333331</v>
      </c>
      <c r="J529" s="71">
        <v>422.78020378457057</v>
      </c>
    </row>
    <row r="530" spans="1:10" x14ac:dyDescent="0.3">
      <c r="A530" s="127">
        <f t="shared" si="12"/>
        <v>41674</v>
      </c>
      <c r="B530" s="66">
        <v>3</v>
      </c>
      <c r="D530" s="71">
        <v>457.5</v>
      </c>
      <c r="E530" s="71">
        <v>445</v>
      </c>
      <c r="F530" s="71">
        <v>381.66666666666669</v>
      </c>
      <c r="G530" s="71">
        <v>396.66666666666669</v>
      </c>
      <c r="H530" s="71">
        <v>396.66666666666669</v>
      </c>
      <c r="I530" s="71">
        <v>296.66666666666669</v>
      </c>
      <c r="J530" s="71">
        <v>406.78311499272195</v>
      </c>
    </row>
    <row r="531" spans="1:10" x14ac:dyDescent="0.3">
      <c r="A531" s="127">
        <f t="shared" si="12"/>
        <v>41681</v>
      </c>
      <c r="B531" s="66">
        <v>3</v>
      </c>
      <c r="D531" s="66">
        <v>463</v>
      </c>
      <c r="E531" s="71">
        <v>470</v>
      </c>
      <c r="F531" s="71">
        <v>410</v>
      </c>
      <c r="G531" s="71">
        <v>417</v>
      </c>
      <c r="H531" s="71">
        <v>417</v>
      </c>
      <c r="I531" s="71">
        <v>307</v>
      </c>
      <c r="J531" s="71">
        <v>420</v>
      </c>
    </row>
    <row r="532" spans="1:10" x14ac:dyDescent="0.3">
      <c r="A532" s="127">
        <f t="shared" si="12"/>
        <v>41688</v>
      </c>
      <c r="B532" s="66">
        <v>3</v>
      </c>
      <c r="D532" s="71">
        <v>473.33333333333331</v>
      </c>
      <c r="E532" s="71">
        <v>470</v>
      </c>
      <c r="F532" s="71">
        <v>385</v>
      </c>
      <c r="G532" s="71">
        <v>403.33333333333331</v>
      </c>
      <c r="H532" s="71">
        <v>403.33333333333331</v>
      </c>
      <c r="I532" s="71">
        <v>291.66666666666669</v>
      </c>
      <c r="J532" s="71">
        <v>399.92721979621541</v>
      </c>
    </row>
    <row r="533" spans="1:10" x14ac:dyDescent="0.3">
      <c r="A533" s="127">
        <f t="shared" si="12"/>
        <v>41695</v>
      </c>
      <c r="B533" s="66">
        <v>3</v>
      </c>
      <c r="D533" s="71">
        <v>508.33333333333331</v>
      </c>
      <c r="E533" s="71">
        <v>513.33333333333337</v>
      </c>
      <c r="F533" s="71">
        <v>418.75</v>
      </c>
      <c r="G533" s="71">
        <v>423.33333333333331</v>
      </c>
      <c r="H533" s="71">
        <v>423.33333333333331</v>
      </c>
      <c r="I533" s="71">
        <v>315</v>
      </c>
      <c r="J533" s="71">
        <v>431.92139737991266</v>
      </c>
    </row>
    <row r="534" spans="1:10" x14ac:dyDescent="0.3">
      <c r="A534" s="127">
        <f t="shared" si="12"/>
        <v>41702</v>
      </c>
      <c r="B534" s="66">
        <v>4</v>
      </c>
      <c r="C534" s="71">
        <v>550</v>
      </c>
      <c r="D534" s="71">
        <v>517.5</v>
      </c>
      <c r="E534" s="71">
        <v>476.66666666666669</v>
      </c>
      <c r="F534" s="71">
        <v>400</v>
      </c>
      <c r="G534" s="71">
        <v>430</v>
      </c>
      <c r="H534" s="71">
        <v>430</v>
      </c>
      <c r="I534" s="71">
        <v>358.33333333333331</v>
      </c>
      <c r="J534" s="71">
        <v>491.33915574963612</v>
      </c>
    </row>
    <row r="535" spans="1:10" x14ac:dyDescent="0.3">
      <c r="A535" s="127">
        <f t="shared" si="12"/>
        <v>41709</v>
      </c>
      <c r="B535" s="66">
        <v>4</v>
      </c>
      <c r="C535" s="71">
        <v>562.5</v>
      </c>
      <c r="D535" s="71">
        <v>567.5</v>
      </c>
      <c r="E535" s="71">
        <v>505</v>
      </c>
      <c r="F535" s="71">
        <v>425</v>
      </c>
      <c r="G535" s="71">
        <v>475</v>
      </c>
      <c r="H535" s="71">
        <v>475</v>
      </c>
      <c r="I535" s="71">
        <v>375</v>
      </c>
      <c r="J535" s="71">
        <v>514.19213973799128</v>
      </c>
    </row>
    <row r="536" spans="1:10" x14ac:dyDescent="0.3">
      <c r="A536" s="127">
        <f t="shared" si="12"/>
        <v>41716</v>
      </c>
      <c r="B536" s="66">
        <v>4</v>
      </c>
      <c r="C536" s="71">
        <v>561.66666666666663</v>
      </c>
      <c r="D536" s="71">
        <v>508.33333333333331</v>
      </c>
      <c r="E536" s="71">
        <v>483.33333333333331</v>
      </c>
      <c r="F536" s="71">
        <v>391.66666666666669</v>
      </c>
      <c r="G536" s="71">
        <v>433.33333333333331</v>
      </c>
      <c r="H536" s="71">
        <v>433.33333333333331</v>
      </c>
      <c r="I536" s="71">
        <v>316.66666666666669</v>
      </c>
      <c r="J536" s="71">
        <v>387.08879184861712</v>
      </c>
    </row>
    <row r="537" spans="1:10" x14ac:dyDescent="0.3">
      <c r="A537" s="127">
        <f t="shared" si="12"/>
        <v>41723</v>
      </c>
      <c r="B537" s="66">
        <v>4</v>
      </c>
      <c r="C537" s="71">
        <v>518.75</v>
      </c>
      <c r="D537" s="71">
        <v>452.5</v>
      </c>
      <c r="E537" s="71">
        <v>437.5</v>
      </c>
      <c r="F537" s="71">
        <v>338.75</v>
      </c>
      <c r="G537" s="71">
        <v>368.75</v>
      </c>
      <c r="H537" s="71">
        <v>368.75</v>
      </c>
      <c r="I537" s="71">
        <v>281.25</v>
      </c>
      <c r="J537" s="71">
        <v>388.50072780203783</v>
      </c>
    </row>
    <row r="538" spans="1:10" x14ac:dyDescent="0.3">
      <c r="A538" s="137">
        <f t="shared" si="12"/>
        <v>41730</v>
      </c>
      <c r="B538" s="66">
        <v>5</v>
      </c>
      <c r="C538" s="136">
        <v>460</v>
      </c>
      <c r="D538" s="136">
        <v>406.25</v>
      </c>
      <c r="E538" s="136">
        <v>390</v>
      </c>
      <c r="F538" s="136">
        <v>282.5</v>
      </c>
      <c r="G538" s="136">
        <v>325</v>
      </c>
      <c r="H538" s="136">
        <v>325</v>
      </c>
      <c r="I538" s="136">
        <v>245</v>
      </c>
      <c r="J538" s="136">
        <v>318.52983988355163</v>
      </c>
    </row>
    <row r="539" spans="1:10" x14ac:dyDescent="0.3">
      <c r="A539" s="137">
        <f t="shared" si="12"/>
        <v>41737</v>
      </c>
      <c r="B539" s="66">
        <v>5</v>
      </c>
      <c r="C539" s="136">
        <v>446.66666666666669</v>
      </c>
      <c r="D539" s="136">
        <v>375</v>
      </c>
      <c r="E539" s="136">
        <v>363.33333333333331</v>
      </c>
      <c r="F539" s="136">
        <v>253.33333333333334</v>
      </c>
      <c r="G539" s="136">
        <v>303.33333333333331</v>
      </c>
      <c r="H539" s="136">
        <v>303.33333333333331</v>
      </c>
      <c r="I539" s="136">
        <v>221.66666666666666</v>
      </c>
      <c r="J539" s="136">
        <v>293.39155749636103</v>
      </c>
    </row>
    <row r="540" spans="1:10" x14ac:dyDescent="0.3">
      <c r="A540" s="137">
        <f t="shared" si="12"/>
        <v>41744</v>
      </c>
      <c r="B540" s="66">
        <v>5</v>
      </c>
      <c r="C540" s="136">
        <v>431.25</v>
      </c>
      <c r="D540" s="136">
        <v>370</v>
      </c>
      <c r="E540" s="136">
        <v>366.25</v>
      </c>
      <c r="F540" s="136">
        <v>242.5</v>
      </c>
      <c r="G540" s="136">
        <v>292.5</v>
      </c>
      <c r="H540" s="136">
        <v>292.5</v>
      </c>
      <c r="I540" s="136">
        <v>216.25</v>
      </c>
      <c r="J540" s="136">
        <v>293.39155749636097</v>
      </c>
    </row>
    <row r="541" spans="1:10" x14ac:dyDescent="0.3">
      <c r="A541" s="137">
        <f t="shared" si="12"/>
        <v>41751</v>
      </c>
      <c r="B541" s="66">
        <v>5</v>
      </c>
      <c r="C541" s="71">
        <v>456.66666666666669</v>
      </c>
      <c r="D541" s="71">
        <v>386.66666666666669</v>
      </c>
      <c r="E541" s="71">
        <v>373.33333333333331</v>
      </c>
      <c r="F541" s="71">
        <v>238.33333333333334</v>
      </c>
      <c r="G541" s="71">
        <v>271.66666666666669</v>
      </c>
      <c r="H541" s="71">
        <v>271.66666666666669</v>
      </c>
      <c r="I541" s="71">
        <v>206.66666666666666</v>
      </c>
      <c r="J541" s="71">
        <v>277.39446870451235</v>
      </c>
    </row>
    <row r="542" spans="1:10" x14ac:dyDescent="0.3">
      <c r="A542" s="137">
        <f t="shared" si="12"/>
        <v>41758</v>
      </c>
      <c r="B542" s="66">
        <v>5</v>
      </c>
      <c r="C542" s="71">
        <v>455</v>
      </c>
      <c r="D542" s="71">
        <v>362.5</v>
      </c>
      <c r="E542" s="71">
        <v>355</v>
      </c>
      <c r="F542" s="71">
        <v>235</v>
      </c>
      <c r="G542" s="71">
        <v>272.5</v>
      </c>
      <c r="H542" s="71">
        <v>272.5</v>
      </c>
      <c r="I542" s="71">
        <v>210</v>
      </c>
      <c r="J542" s="71">
        <v>287.94759825327509</v>
      </c>
    </row>
    <row r="543" spans="1:10" x14ac:dyDescent="0.3">
      <c r="A543" s="137">
        <f t="shared" si="12"/>
        <v>41765</v>
      </c>
      <c r="B543" s="66">
        <v>6</v>
      </c>
      <c r="C543" s="71">
        <v>450</v>
      </c>
      <c r="D543" s="71">
        <v>370</v>
      </c>
      <c r="E543" s="71">
        <v>358.33333333333331</v>
      </c>
      <c r="F543" s="71">
        <v>245</v>
      </c>
      <c r="G543" s="71">
        <v>250</v>
      </c>
      <c r="H543" s="71">
        <v>250</v>
      </c>
      <c r="I543" s="71">
        <v>210</v>
      </c>
      <c r="J543" s="71">
        <v>287.94759825327509</v>
      </c>
    </row>
    <row r="544" spans="1:10" x14ac:dyDescent="0.3">
      <c r="A544" s="137">
        <f t="shared" si="12"/>
        <v>41772</v>
      </c>
      <c r="B544" s="66">
        <v>6</v>
      </c>
      <c r="C544" s="71">
        <v>445</v>
      </c>
      <c r="D544" s="71">
        <v>365</v>
      </c>
      <c r="E544" s="71">
        <v>357.5</v>
      </c>
      <c r="F544" s="71">
        <v>242.5</v>
      </c>
      <c r="G544" s="71">
        <v>250</v>
      </c>
      <c r="H544" s="71">
        <v>250</v>
      </c>
      <c r="I544" s="71">
        <v>207.5</v>
      </c>
      <c r="J544" s="71">
        <v>284.51965065502185</v>
      </c>
    </row>
    <row r="545" spans="1:10" x14ac:dyDescent="0.3">
      <c r="A545" s="137">
        <f t="shared" si="12"/>
        <v>41779</v>
      </c>
      <c r="B545" s="66">
        <v>6</v>
      </c>
      <c r="C545" s="71">
        <v>452.5</v>
      </c>
      <c r="D545" s="71">
        <v>362.5</v>
      </c>
      <c r="E545" s="71">
        <v>365</v>
      </c>
      <c r="F545" s="71">
        <v>247.5</v>
      </c>
      <c r="G545" s="71">
        <v>237.5</v>
      </c>
      <c r="H545" s="71">
        <v>237.5</v>
      </c>
      <c r="I545" s="71">
        <v>207.5</v>
      </c>
      <c r="J545" s="71">
        <v>284.51965065502185</v>
      </c>
    </row>
    <row r="546" spans="1:10" x14ac:dyDescent="0.3">
      <c r="A546" s="137">
        <f t="shared" si="12"/>
        <v>41786</v>
      </c>
      <c r="B546" s="66">
        <v>6</v>
      </c>
      <c r="C546" s="71">
        <v>443.33333333333331</v>
      </c>
      <c r="D546" s="71">
        <v>360</v>
      </c>
      <c r="E546" s="71">
        <v>360</v>
      </c>
      <c r="F546" s="71">
        <v>240</v>
      </c>
      <c r="G546" s="71">
        <v>231.66666666666666</v>
      </c>
      <c r="H546" s="71">
        <v>231.66666666666666</v>
      </c>
      <c r="I546" s="71">
        <v>208.33333333333334</v>
      </c>
      <c r="J546" s="66">
        <v>286</v>
      </c>
    </row>
    <row r="547" spans="1:10" x14ac:dyDescent="0.3">
      <c r="A547" s="137">
        <f t="shared" si="12"/>
        <v>41793</v>
      </c>
      <c r="B547" s="66">
        <v>7</v>
      </c>
      <c r="C547" s="119">
        <v>426.66666666666669</v>
      </c>
      <c r="D547" s="119">
        <v>355</v>
      </c>
      <c r="E547" s="119">
        <v>360</v>
      </c>
      <c r="F547" s="119">
        <v>250</v>
      </c>
      <c r="G547" s="119">
        <v>255</v>
      </c>
      <c r="H547" s="119">
        <v>255</v>
      </c>
      <c r="I547" s="119">
        <v>230</v>
      </c>
      <c r="J547" s="119">
        <v>315.3711790393013</v>
      </c>
    </row>
    <row r="548" spans="1:10" x14ac:dyDescent="0.3">
      <c r="A548" s="137">
        <f t="shared" si="12"/>
        <v>41800</v>
      </c>
      <c r="B548" s="66">
        <v>7</v>
      </c>
      <c r="C548" s="71">
        <v>435</v>
      </c>
      <c r="D548" s="71">
        <v>365</v>
      </c>
      <c r="E548" s="71">
        <v>370</v>
      </c>
      <c r="F548" s="71">
        <v>255</v>
      </c>
      <c r="G548" s="71">
        <v>251.66666666666666</v>
      </c>
      <c r="H548" s="71">
        <v>251.66666666666666</v>
      </c>
      <c r="I548" s="71">
        <v>226.66666666666666</v>
      </c>
      <c r="J548" s="71">
        <v>310.80058224163031</v>
      </c>
    </row>
    <row r="549" spans="1:10" x14ac:dyDescent="0.3">
      <c r="A549" s="137">
        <f t="shared" si="12"/>
        <v>41807</v>
      </c>
      <c r="B549" s="66">
        <v>7</v>
      </c>
      <c r="C549" s="71">
        <v>433.33333333333331</v>
      </c>
      <c r="D549" s="71">
        <v>361.66666666666669</v>
      </c>
      <c r="E549" s="71">
        <v>358.33333333333331</v>
      </c>
      <c r="F549" s="71">
        <v>250</v>
      </c>
      <c r="G549" s="71">
        <v>253.33333333333334</v>
      </c>
      <c r="H549" s="71">
        <v>253.33333333333334</v>
      </c>
      <c r="I549" s="71">
        <v>225</v>
      </c>
      <c r="J549" s="71">
        <v>308.51528384279476</v>
      </c>
    </row>
    <row r="550" spans="1:10" x14ac:dyDescent="0.3">
      <c r="A550" s="137">
        <f t="shared" si="12"/>
        <v>41814</v>
      </c>
      <c r="B550" s="66">
        <v>7</v>
      </c>
      <c r="C550" s="125">
        <v>437.5</v>
      </c>
      <c r="D550" s="125">
        <v>367.5</v>
      </c>
      <c r="E550" s="125">
        <v>363.75</v>
      </c>
      <c r="F550" s="125">
        <v>253.75</v>
      </c>
      <c r="G550" s="125">
        <v>251.25</v>
      </c>
      <c r="H550" s="125">
        <v>251.25</v>
      </c>
      <c r="I550" s="125">
        <v>230</v>
      </c>
      <c r="J550" s="125">
        <v>324.51237263464333</v>
      </c>
    </row>
    <row r="551" spans="1:10" x14ac:dyDescent="0.3">
      <c r="A551" s="137">
        <f t="shared" si="12"/>
        <v>41821</v>
      </c>
      <c r="B551" s="66">
        <v>8</v>
      </c>
      <c r="C551" s="125">
        <v>471.66666666666669</v>
      </c>
      <c r="D551" s="125">
        <v>423.33333333333331</v>
      </c>
      <c r="E551" s="125">
        <v>418.33333333333331</v>
      </c>
      <c r="F551" s="125">
        <v>345</v>
      </c>
      <c r="G551" s="125">
        <v>406.66666666666669</v>
      </c>
      <c r="H551" s="125">
        <v>406.66666666666669</v>
      </c>
      <c r="I551" s="125">
        <v>335</v>
      </c>
      <c r="J551" s="125">
        <v>459.34497816593881</v>
      </c>
    </row>
    <row r="552" spans="1:10" x14ac:dyDescent="0.3">
      <c r="A552" s="137">
        <f t="shared" si="12"/>
        <v>41828</v>
      </c>
      <c r="B552" s="66">
        <v>8</v>
      </c>
      <c r="C552" s="71">
        <v>460</v>
      </c>
      <c r="D552" s="71">
        <v>420</v>
      </c>
      <c r="E552" s="71">
        <v>422.5</v>
      </c>
      <c r="F552" s="71">
        <v>375</v>
      </c>
      <c r="G552" s="71">
        <v>375</v>
      </c>
      <c r="H552" s="71">
        <v>375</v>
      </c>
      <c r="I552" s="71">
        <v>355</v>
      </c>
      <c r="J552" s="71">
        <v>486.76855895196508</v>
      </c>
    </row>
    <row r="553" spans="1:10" x14ac:dyDescent="0.3">
      <c r="A553" s="137">
        <f t="shared" si="12"/>
        <v>41835</v>
      </c>
      <c r="B553" s="66">
        <v>8</v>
      </c>
      <c r="C553" s="71">
        <v>503.33333333333331</v>
      </c>
      <c r="D553" s="71">
        <v>456.66666666666669</v>
      </c>
      <c r="E553" s="71">
        <v>436.66666666666669</v>
      </c>
      <c r="F553" s="71">
        <v>391.66666666666669</v>
      </c>
      <c r="G553" s="71">
        <v>391.66666666666669</v>
      </c>
      <c r="H553" s="71">
        <v>391.66666666666669</v>
      </c>
      <c r="I553" s="71">
        <v>373.33333333333331</v>
      </c>
      <c r="J553" s="71">
        <v>511.90684133915573</v>
      </c>
    </row>
    <row r="554" spans="1:10" x14ac:dyDescent="0.3">
      <c r="A554" s="137">
        <f t="shared" si="12"/>
        <v>41842</v>
      </c>
      <c r="B554" s="66">
        <v>8</v>
      </c>
      <c r="C554" s="71">
        <v>563.33333333333337</v>
      </c>
      <c r="D554" s="71">
        <v>550</v>
      </c>
      <c r="E554" s="71">
        <v>568.33333333333337</v>
      </c>
      <c r="F554" s="71">
        <v>455</v>
      </c>
      <c r="G554" s="71">
        <v>500</v>
      </c>
      <c r="H554" s="71">
        <v>500</v>
      </c>
      <c r="I554" s="71">
        <v>437.66666666666669</v>
      </c>
      <c r="J554" s="71">
        <v>600.11935953420664</v>
      </c>
    </row>
    <row r="555" spans="1:10" x14ac:dyDescent="0.3">
      <c r="A555" s="137">
        <f t="shared" si="12"/>
        <v>41849</v>
      </c>
      <c r="B555" s="66">
        <v>8</v>
      </c>
      <c r="C555" s="71">
        <v>588.33333333333337</v>
      </c>
      <c r="D555" s="71">
        <v>556.66666666666663</v>
      </c>
      <c r="E555" s="71">
        <v>558.33333333333337</v>
      </c>
      <c r="F555" s="71">
        <v>491.66666666666669</v>
      </c>
      <c r="G555" s="71">
        <v>533.33333333333337</v>
      </c>
      <c r="H555" s="71">
        <v>533.33333333333337</v>
      </c>
      <c r="I555" s="71">
        <v>463.33333333333331</v>
      </c>
      <c r="J555" s="71">
        <v>635.31295487627369</v>
      </c>
    </row>
    <row r="556" spans="1:10" x14ac:dyDescent="0.3">
      <c r="A556" s="137">
        <f t="shared" si="12"/>
        <v>41856</v>
      </c>
      <c r="B556" s="66">
        <v>9</v>
      </c>
      <c r="C556" s="71">
        <v>612.5</v>
      </c>
      <c r="D556" s="71">
        <v>570</v>
      </c>
      <c r="E556" s="71">
        <v>632.5</v>
      </c>
      <c r="F556" s="71">
        <v>637.5</v>
      </c>
      <c r="G556" s="71">
        <v>667.5</v>
      </c>
      <c r="H556" s="71">
        <v>667.5</v>
      </c>
      <c r="I556" s="71">
        <v>635</v>
      </c>
      <c r="J556" s="71">
        <v>870.69868995633192</v>
      </c>
    </row>
    <row r="557" spans="1:10" x14ac:dyDescent="0.3">
      <c r="A557" s="137">
        <f t="shared" si="12"/>
        <v>41863</v>
      </c>
      <c r="B557" s="66">
        <v>9</v>
      </c>
      <c r="C557" s="71">
        <v>675</v>
      </c>
      <c r="D557" s="71">
        <v>676.66666666666663</v>
      </c>
      <c r="E557" s="71">
        <v>663.33333333333337</v>
      </c>
      <c r="F557" s="71">
        <v>628.33333333333337</v>
      </c>
      <c r="G557" s="71">
        <v>680</v>
      </c>
      <c r="H557" s="71">
        <v>680</v>
      </c>
      <c r="I557" s="71">
        <v>630</v>
      </c>
      <c r="J557" s="71">
        <v>863.84279475982532</v>
      </c>
    </row>
    <row r="558" spans="1:10" x14ac:dyDescent="0.3">
      <c r="A558" s="137">
        <f t="shared" si="12"/>
        <v>41870</v>
      </c>
      <c r="B558" s="66">
        <v>9</v>
      </c>
      <c r="C558" s="71">
        <v>666.66666666666663</v>
      </c>
      <c r="D558" s="71">
        <v>633.33333333333337</v>
      </c>
      <c r="E558" s="71">
        <v>625</v>
      </c>
      <c r="F558" s="71">
        <v>591.66666666666663</v>
      </c>
      <c r="G558" s="71">
        <v>625</v>
      </c>
      <c r="H558" s="71">
        <v>625</v>
      </c>
      <c r="I558" s="71">
        <v>633.33333333333337</v>
      </c>
      <c r="J558" s="71">
        <v>868.41339155749631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8"/>
  <sheetViews>
    <sheetView workbookViewId="0">
      <pane xSplit="1" ySplit="3" topLeftCell="B542" activePane="bottomRight" state="frozen"/>
      <selection pane="topRight" activeCell="B1" sqref="B1"/>
      <selection pane="bottomLeft" activeCell="A4" sqref="A4"/>
      <selection pane="bottomRight" activeCell="A558" sqref="A558:B558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511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3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  <row r="494" spans="1:10" x14ac:dyDescent="0.3">
      <c r="A494" s="127">
        <f t="shared" si="19"/>
        <v>41422</v>
      </c>
      <c r="B494" s="66">
        <v>8</v>
      </c>
      <c r="C494" s="71">
        <v>408.33333333333331</v>
      </c>
      <c r="D494" s="71">
        <v>355</v>
      </c>
      <c r="E494" s="71">
        <v>355</v>
      </c>
      <c r="F494" s="71">
        <v>330</v>
      </c>
      <c r="G494" s="71">
        <v>351.66666666666669</v>
      </c>
      <c r="H494" s="71">
        <v>351.66666666666669</v>
      </c>
      <c r="I494" s="71">
        <v>320</v>
      </c>
      <c r="J494" s="71">
        <v>438.77729257641926</v>
      </c>
    </row>
    <row r="495" spans="1:10" x14ac:dyDescent="0.3">
      <c r="A495" s="127">
        <f t="shared" si="19"/>
        <v>41429</v>
      </c>
      <c r="B495" s="66">
        <v>8</v>
      </c>
      <c r="C495" s="71">
        <v>500</v>
      </c>
      <c r="D495" s="71">
        <v>458.33333333333331</v>
      </c>
      <c r="E495" s="71">
        <v>458.33333333333331</v>
      </c>
      <c r="F495" s="71">
        <v>421.66666666666669</v>
      </c>
      <c r="G495" s="71">
        <v>471.66666666666669</v>
      </c>
      <c r="H495" s="71">
        <v>471.66666666666669</v>
      </c>
      <c r="I495" s="71">
        <v>388.33333333333331</v>
      </c>
      <c r="J495" s="71">
        <v>532.47452692867535</v>
      </c>
    </row>
    <row r="496" spans="1:10" x14ac:dyDescent="0.3">
      <c r="A496" s="127">
        <f t="shared" si="19"/>
        <v>41436</v>
      </c>
      <c r="B496" s="66">
        <v>9</v>
      </c>
      <c r="C496" s="23">
        <v>492.5</v>
      </c>
      <c r="D496" s="23">
        <v>447.5</v>
      </c>
      <c r="E496" s="23">
        <v>437.5</v>
      </c>
      <c r="F496" s="23">
        <v>375</v>
      </c>
      <c r="G496" s="23">
        <v>437.5</v>
      </c>
      <c r="H496" s="23">
        <v>437.5</v>
      </c>
      <c r="I496" s="23">
        <v>350</v>
      </c>
      <c r="J496" s="23">
        <v>319.94177583697234</v>
      </c>
    </row>
    <row r="497" spans="1:10" x14ac:dyDescent="0.3">
      <c r="A497" s="127">
        <f t="shared" si="19"/>
        <v>41443</v>
      </c>
      <c r="B497" s="66">
        <v>9</v>
      </c>
      <c r="C497" s="66">
        <v>475</v>
      </c>
      <c r="D497" s="66">
        <v>440</v>
      </c>
      <c r="E497" s="71">
        <v>438</v>
      </c>
      <c r="F497" s="71">
        <v>388</v>
      </c>
      <c r="G497" s="71">
        <v>425</v>
      </c>
      <c r="H497" s="71">
        <v>425</v>
      </c>
      <c r="I497" s="71">
        <v>368</v>
      </c>
      <c r="J497" s="71">
        <v>336</v>
      </c>
    </row>
    <row r="498" spans="1:10" x14ac:dyDescent="0.3">
      <c r="A498" s="127">
        <f t="shared" si="19"/>
        <v>41450</v>
      </c>
      <c r="B498" s="66">
        <v>9</v>
      </c>
      <c r="C498" s="71">
        <v>465</v>
      </c>
      <c r="D498" s="71">
        <v>446.66666666666669</v>
      </c>
      <c r="E498" s="71">
        <v>443.33333333333331</v>
      </c>
      <c r="F498" s="71">
        <v>406.66666666666669</v>
      </c>
      <c r="G498" s="71">
        <v>441.66666666666669</v>
      </c>
      <c r="H498" s="71">
        <v>441.66666666666669</v>
      </c>
      <c r="I498" s="71">
        <v>386.66666666666669</v>
      </c>
      <c r="J498" s="71">
        <v>530.18922852983985</v>
      </c>
    </row>
    <row r="499" spans="1:10" x14ac:dyDescent="0.3">
      <c r="A499" s="127">
        <f t="shared" si="19"/>
        <v>41457</v>
      </c>
      <c r="B499" s="66">
        <v>10</v>
      </c>
      <c r="C499" s="71">
        <v>566.66666666666663</v>
      </c>
      <c r="D499" s="71">
        <v>558.33333333333337</v>
      </c>
      <c r="E499" s="71">
        <v>555</v>
      </c>
      <c r="F499" s="71">
        <v>491.66666666666669</v>
      </c>
      <c r="G499" s="71">
        <v>563.33333333333337</v>
      </c>
      <c r="H499" s="71">
        <v>563.33333333333337</v>
      </c>
      <c r="I499" s="71">
        <v>471.66666666666669</v>
      </c>
      <c r="J499" s="71">
        <v>646.73944687045127</v>
      </c>
    </row>
    <row r="500" spans="1:10" x14ac:dyDescent="0.3">
      <c r="A500" s="127">
        <f t="shared" si="19"/>
        <v>41464</v>
      </c>
      <c r="B500" s="66">
        <v>10</v>
      </c>
      <c r="C500" s="71">
        <v>595</v>
      </c>
      <c r="D500" s="71">
        <v>550.33333333333337</v>
      </c>
      <c r="E500" s="71">
        <v>556.66666666666663</v>
      </c>
      <c r="F500" s="71">
        <v>495</v>
      </c>
      <c r="G500" s="71">
        <v>575</v>
      </c>
      <c r="H500" s="71">
        <v>575</v>
      </c>
      <c r="I500" s="71">
        <v>463.33333333333331</v>
      </c>
      <c r="J500" s="71">
        <v>635.31295487627369</v>
      </c>
    </row>
    <row r="501" spans="1:10" x14ac:dyDescent="0.3">
      <c r="A501" s="127">
        <f t="shared" si="19"/>
        <v>41471</v>
      </c>
      <c r="B501" s="66">
        <v>10</v>
      </c>
      <c r="C501" s="71">
        <v>590</v>
      </c>
      <c r="D501" s="71">
        <v>563.33333333333337</v>
      </c>
      <c r="E501" s="71">
        <v>560</v>
      </c>
      <c r="F501" s="71">
        <v>491.66666666666669</v>
      </c>
      <c r="G501" s="71">
        <v>565</v>
      </c>
      <c r="H501" s="71">
        <v>565</v>
      </c>
      <c r="I501" s="71">
        <v>480</v>
      </c>
      <c r="J501" s="71">
        <v>658.16593886462886</v>
      </c>
    </row>
    <row r="502" spans="1:10" x14ac:dyDescent="0.3">
      <c r="A502" s="127">
        <f t="shared" si="19"/>
        <v>41478</v>
      </c>
      <c r="B502" s="66">
        <v>10</v>
      </c>
      <c r="C502" s="71">
        <v>573.33333333333337</v>
      </c>
      <c r="D502" s="71">
        <v>568.33333333333337</v>
      </c>
      <c r="E502" s="71">
        <v>560</v>
      </c>
      <c r="F502" s="71">
        <v>511.66666666666669</v>
      </c>
      <c r="G502" s="71">
        <v>566.66666666666663</v>
      </c>
      <c r="H502" s="71">
        <v>566.66666666666663</v>
      </c>
      <c r="I502" s="71">
        <v>508.33333333333331</v>
      </c>
      <c r="J502" s="71">
        <v>697.0160116448327</v>
      </c>
    </row>
    <row r="503" spans="1:10" x14ac:dyDescent="0.3">
      <c r="A503" s="127">
        <f t="shared" si="19"/>
        <v>41485</v>
      </c>
      <c r="B503" s="66">
        <v>10</v>
      </c>
      <c r="C503" s="71">
        <v>595</v>
      </c>
      <c r="D503" s="71">
        <v>558.33333333333337</v>
      </c>
      <c r="E503" s="71">
        <v>558.33333333333337</v>
      </c>
      <c r="F503" s="71">
        <v>511.66666666666669</v>
      </c>
      <c r="G503" s="71">
        <v>565</v>
      </c>
      <c r="H503" s="71">
        <v>565</v>
      </c>
      <c r="I503" s="71">
        <v>466.66666666666669</v>
      </c>
      <c r="J503" s="71">
        <v>639.88355167394468</v>
      </c>
    </row>
    <row r="504" spans="1:10" x14ac:dyDescent="0.3">
      <c r="A504" s="127">
        <f t="shared" si="19"/>
        <v>41492</v>
      </c>
      <c r="B504" s="66">
        <v>11</v>
      </c>
      <c r="C504" s="71">
        <v>563.33333333333337</v>
      </c>
      <c r="D504" s="71">
        <v>521.66666666666663</v>
      </c>
      <c r="E504" s="71">
        <v>505</v>
      </c>
      <c r="F504" s="71">
        <v>463.33333333333331</v>
      </c>
      <c r="G504" s="71">
        <v>495</v>
      </c>
      <c r="H504" s="71">
        <v>495</v>
      </c>
      <c r="I504" s="71">
        <v>400</v>
      </c>
      <c r="J504" s="71">
        <v>548.47161572052403</v>
      </c>
    </row>
    <row r="505" spans="1:10" x14ac:dyDescent="0.3">
      <c r="A505" s="127">
        <f t="shared" si="19"/>
        <v>41499</v>
      </c>
      <c r="B505" s="66">
        <v>11</v>
      </c>
      <c r="C505" s="71">
        <v>613.33333333333337</v>
      </c>
      <c r="D505" s="71">
        <v>513.33333333333337</v>
      </c>
      <c r="E505" s="71">
        <v>505</v>
      </c>
      <c r="F505" s="71">
        <v>430</v>
      </c>
      <c r="G505" s="71">
        <v>478.33333333333331</v>
      </c>
      <c r="H505" s="71">
        <v>478.33333333333331</v>
      </c>
      <c r="I505" s="71">
        <v>403.33333333333331</v>
      </c>
      <c r="J505" s="71">
        <v>553.04221251819502</v>
      </c>
    </row>
    <row r="506" spans="1:10" x14ac:dyDescent="0.3">
      <c r="A506" s="127">
        <f t="shared" si="19"/>
        <v>41506</v>
      </c>
      <c r="B506" s="66">
        <v>11</v>
      </c>
      <c r="C506" s="71">
        <v>591.66666666666663</v>
      </c>
      <c r="D506" s="71">
        <v>521.66666666666663</v>
      </c>
      <c r="E506" s="71">
        <v>481.66666666666669</v>
      </c>
      <c r="F506" s="71">
        <v>450</v>
      </c>
      <c r="G506" s="71">
        <v>496.66666666666669</v>
      </c>
      <c r="H506" s="71">
        <v>496.66666666666669</v>
      </c>
      <c r="I506" s="71">
        <v>400</v>
      </c>
      <c r="J506" s="71">
        <v>548.47161572052403</v>
      </c>
    </row>
    <row r="507" spans="1:10" x14ac:dyDescent="0.3">
      <c r="A507" s="127">
        <f t="shared" si="19"/>
        <v>41513</v>
      </c>
      <c r="B507" s="66">
        <v>11</v>
      </c>
      <c r="C507" s="71">
        <v>591.66666666666663</v>
      </c>
      <c r="D507" s="71">
        <v>535</v>
      </c>
      <c r="E507" s="71">
        <v>503.33333333333331</v>
      </c>
      <c r="F507" s="71">
        <v>463.33333333333331</v>
      </c>
      <c r="G507" s="71">
        <v>483.33333333333331</v>
      </c>
      <c r="H507" s="71">
        <v>483.33333333333331</v>
      </c>
      <c r="I507" s="71">
        <v>396.66666666666669</v>
      </c>
      <c r="J507" s="71">
        <v>543.90101892285293</v>
      </c>
    </row>
    <row r="508" spans="1:10" x14ac:dyDescent="0.3">
      <c r="A508" s="127">
        <f t="shared" si="19"/>
        <v>41520</v>
      </c>
      <c r="B508" s="66">
        <v>12</v>
      </c>
      <c r="C508" s="71"/>
      <c r="D508" s="71"/>
      <c r="E508" s="71">
        <v>436.25</v>
      </c>
      <c r="F508" s="71">
        <v>350</v>
      </c>
      <c r="G508" s="71">
        <v>426.25</v>
      </c>
      <c r="H508" s="71">
        <v>426.25</v>
      </c>
      <c r="I508" s="71">
        <v>316.25</v>
      </c>
      <c r="J508" s="71">
        <v>436.49199417758365</v>
      </c>
    </row>
    <row r="509" spans="1:10" x14ac:dyDescent="0.3">
      <c r="A509" s="127">
        <f t="shared" si="19"/>
        <v>41527</v>
      </c>
      <c r="B509" s="66">
        <v>12</v>
      </c>
      <c r="E509" s="125">
        <v>443.33333333333331</v>
      </c>
      <c r="F509" s="125">
        <v>345</v>
      </c>
      <c r="G509" s="125">
        <v>426.66666666666669</v>
      </c>
      <c r="H509" s="125">
        <v>426.66666666666669</v>
      </c>
      <c r="I509" s="125">
        <v>323.33333333333331</v>
      </c>
      <c r="J509" s="125">
        <v>443.34788937409024</v>
      </c>
    </row>
    <row r="510" spans="1:10" x14ac:dyDescent="0.3">
      <c r="A510" s="127">
        <f t="shared" si="19"/>
        <v>41534</v>
      </c>
      <c r="B510" s="66">
        <v>12</v>
      </c>
      <c r="C510" s="119"/>
      <c r="D510" s="119"/>
      <c r="E510" s="119">
        <v>451.66666666666669</v>
      </c>
      <c r="F510" s="119">
        <v>355</v>
      </c>
      <c r="G510" s="119">
        <v>431.66666666666669</v>
      </c>
      <c r="H510" s="119">
        <v>431.66666666666669</v>
      </c>
      <c r="I510" s="119">
        <v>286.66666666666669</v>
      </c>
      <c r="J510" s="119">
        <v>393.07132459970893</v>
      </c>
    </row>
    <row r="511" spans="1:10" x14ac:dyDescent="0.3">
      <c r="A511" s="127">
        <f t="shared" si="19"/>
        <v>41541</v>
      </c>
      <c r="B511" s="66">
        <v>12</v>
      </c>
      <c r="C511" s="71"/>
      <c r="D511" s="71"/>
      <c r="E511" s="71">
        <v>450</v>
      </c>
      <c r="F511" s="71">
        <v>353.33333333333331</v>
      </c>
      <c r="G511" s="71">
        <v>396.66666666666669</v>
      </c>
      <c r="H511" s="71">
        <v>421.66666666666669</v>
      </c>
      <c r="I511" s="71">
        <v>323.33333333333331</v>
      </c>
      <c r="J511" s="71">
        <v>443.34788937409024</v>
      </c>
    </row>
    <row r="512" spans="1:10" x14ac:dyDescent="0.3">
      <c r="A512" s="127">
        <f t="shared" ref="A512" si="20">7+A511</f>
        <v>41548</v>
      </c>
      <c r="B512" s="66">
        <v>1</v>
      </c>
      <c r="C512" s="71"/>
      <c r="D512" s="71"/>
      <c r="E512" s="122">
        <v>448</v>
      </c>
      <c r="F512" s="122">
        <v>347</v>
      </c>
      <c r="G512" s="122">
        <v>420</v>
      </c>
      <c r="H512" s="122">
        <v>420</v>
      </c>
      <c r="I512" s="122">
        <v>320</v>
      </c>
      <c r="J512" s="71">
        <v>439</v>
      </c>
    </row>
    <row r="513" spans="1:10" x14ac:dyDescent="0.3">
      <c r="A513" s="127">
        <f t="shared" ref="A513" si="21">7+A512</f>
        <v>41555</v>
      </c>
      <c r="B513" s="66">
        <v>1</v>
      </c>
      <c r="C513" s="71"/>
      <c r="D513" s="71"/>
      <c r="E513" s="134">
        <v>452</v>
      </c>
      <c r="F513" s="134">
        <v>355</v>
      </c>
      <c r="G513" s="134">
        <v>418</v>
      </c>
      <c r="H513" s="134">
        <v>418</v>
      </c>
      <c r="I513" s="134">
        <f t="shared" ref="I513" si="22">+(I512+I515)/2</f>
        <v>320</v>
      </c>
      <c r="J513" s="132">
        <v>439</v>
      </c>
    </row>
    <row r="514" spans="1:10" x14ac:dyDescent="0.3">
      <c r="A514" s="127">
        <f t="shared" ref="A514" si="23">7+A513</f>
        <v>41562</v>
      </c>
      <c r="B514" s="66">
        <v>1</v>
      </c>
      <c r="E514" s="131">
        <v>452</v>
      </c>
      <c r="F514" s="131">
        <v>355</v>
      </c>
      <c r="G514" s="131">
        <v>418</v>
      </c>
      <c r="H514" s="131">
        <v>418</v>
      </c>
      <c r="I514" s="131">
        <v>320</v>
      </c>
      <c r="J514" s="132">
        <v>439</v>
      </c>
    </row>
    <row r="515" spans="1:10" x14ac:dyDescent="0.3">
      <c r="A515" s="127">
        <f t="shared" ref="A515:A558" si="24">7+A514</f>
        <v>41569</v>
      </c>
      <c r="B515" s="66">
        <v>1</v>
      </c>
      <c r="E515" s="125">
        <v>455</v>
      </c>
      <c r="F515" s="125">
        <v>362.5</v>
      </c>
      <c r="G515" s="125">
        <v>415</v>
      </c>
      <c r="H515" s="125">
        <v>415</v>
      </c>
      <c r="I515" s="125">
        <v>320</v>
      </c>
      <c r="J515" s="71">
        <v>439</v>
      </c>
    </row>
    <row r="516" spans="1:10" x14ac:dyDescent="0.3">
      <c r="A516" s="127">
        <f t="shared" si="24"/>
        <v>41576</v>
      </c>
      <c r="B516" s="66">
        <v>1</v>
      </c>
      <c r="E516" s="125">
        <v>441.66666666666669</v>
      </c>
      <c r="F516" s="125">
        <v>361.66666666666669</v>
      </c>
      <c r="G516" s="125">
        <v>410</v>
      </c>
      <c r="H516" s="125">
        <v>410</v>
      </c>
      <c r="I516" s="125">
        <v>321.66666666666669</v>
      </c>
      <c r="J516" s="71">
        <v>441</v>
      </c>
    </row>
    <row r="517" spans="1:10" x14ac:dyDescent="0.3">
      <c r="A517" s="127">
        <f t="shared" si="24"/>
        <v>41583</v>
      </c>
      <c r="B517" s="66">
        <v>2</v>
      </c>
      <c r="E517" s="71">
        <v>411.66666666666669</v>
      </c>
      <c r="F517" s="71">
        <v>346.66666666666669</v>
      </c>
      <c r="G517" s="71">
        <v>383</v>
      </c>
      <c r="H517" s="71">
        <v>383.33333333333331</v>
      </c>
      <c r="I517" s="71">
        <v>296.66666666666669</v>
      </c>
      <c r="J517" s="71">
        <v>406.78311499272195</v>
      </c>
    </row>
    <row r="518" spans="1:10" x14ac:dyDescent="0.3">
      <c r="A518" s="127">
        <f t="shared" si="24"/>
        <v>41590</v>
      </c>
      <c r="B518" s="66">
        <v>2</v>
      </c>
      <c r="E518" s="71">
        <v>466.66666666666669</v>
      </c>
      <c r="F518" s="71">
        <v>366.66666666666669</v>
      </c>
      <c r="G518" s="71">
        <v>383</v>
      </c>
      <c r="H518" s="71">
        <v>430</v>
      </c>
      <c r="I518" s="71">
        <v>320</v>
      </c>
      <c r="J518" s="71">
        <v>438.77729257641914</v>
      </c>
    </row>
    <row r="519" spans="1:10" x14ac:dyDescent="0.3">
      <c r="A519" s="127">
        <f t="shared" si="24"/>
        <v>41597</v>
      </c>
      <c r="B519" s="66">
        <v>2</v>
      </c>
      <c r="E519" s="71">
        <v>458.33333333333331</v>
      </c>
      <c r="F519" s="71">
        <v>386.66666666666669</v>
      </c>
      <c r="G519" s="71">
        <v>435</v>
      </c>
      <c r="H519" s="71">
        <v>435</v>
      </c>
      <c r="I519" s="71">
        <v>320</v>
      </c>
      <c r="J519" s="71">
        <v>438.77729257641926</v>
      </c>
    </row>
    <row r="520" spans="1:10" x14ac:dyDescent="0.3">
      <c r="A520" s="127">
        <f t="shared" si="24"/>
        <v>41604</v>
      </c>
      <c r="B520" s="66">
        <v>2</v>
      </c>
      <c r="E520" s="71">
        <v>455</v>
      </c>
      <c r="F520" s="71">
        <v>366.25</v>
      </c>
      <c r="G520" s="71">
        <v>428.75</v>
      </c>
      <c r="H520" s="71">
        <v>428.75</v>
      </c>
      <c r="I520" s="71">
        <v>301.25</v>
      </c>
      <c r="J520" s="71">
        <v>413.63901018922849</v>
      </c>
    </row>
    <row r="521" spans="1:10" x14ac:dyDescent="0.3">
      <c r="A521" s="127">
        <f t="shared" si="24"/>
        <v>41611</v>
      </c>
      <c r="B521" s="66">
        <v>3</v>
      </c>
      <c r="D521" s="71">
        <v>415</v>
      </c>
      <c r="E521" s="71">
        <v>405</v>
      </c>
      <c r="F521" s="71">
        <v>361.66666666666669</v>
      </c>
      <c r="G521" s="71">
        <v>396.66666666666669</v>
      </c>
      <c r="H521" s="71">
        <v>396.66666666666669</v>
      </c>
      <c r="I521" s="71">
        <v>301.66666666666669</v>
      </c>
      <c r="J521" s="71">
        <v>413.63901018922849</v>
      </c>
    </row>
    <row r="522" spans="1:10" x14ac:dyDescent="0.3">
      <c r="A522" s="72">
        <f t="shared" si="24"/>
        <v>41618</v>
      </c>
      <c r="B522" s="66">
        <v>3</v>
      </c>
      <c r="C522" s="71">
        <v>425</v>
      </c>
      <c r="D522" s="71">
        <v>413.33333333333331</v>
      </c>
      <c r="E522" s="71">
        <v>400</v>
      </c>
      <c r="F522" s="71">
        <v>326.66666666666669</v>
      </c>
      <c r="G522" s="71">
        <v>375</v>
      </c>
      <c r="H522" s="71">
        <v>375</v>
      </c>
      <c r="I522" s="71">
        <v>300</v>
      </c>
      <c r="J522" s="71">
        <v>411.35371179039299</v>
      </c>
    </row>
    <row r="523" spans="1:10" x14ac:dyDescent="0.3">
      <c r="A523" s="72">
        <f t="shared" si="24"/>
        <v>41625</v>
      </c>
      <c r="B523" s="66">
        <v>3</v>
      </c>
      <c r="D523" s="119">
        <v>418.33333333333331</v>
      </c>
      <c r="E523" s="119">
        <v>400</v>
      </c>
      <c r="F523" s="119">
        <v>353.33333333333331</v>
      </c>
      <c r="G523" s="119">
        <v>380</v>
      </c>
      <c r="H523" s="119">
        <v>380</v>
      </c>
      <c r="I523" s="119">
        <v>280</v>
      </c>
      <c r="J523" s="119">
        <v>383.93013100436679</v>
      </c>
    </row>
    <row r="524" spans="1:10" x14ac:dyDescent="0.3">
      <c r="A524" s="72">
        <f t="shared" si="24"/>
        <v>41632</v>
      </c>
      <c r="B524" s="66">
        <v>3</v>
      </c>
      <c r="D524" s="119">
        <v>411.66666666666669</v>
      </c>
      <c r="E524" s="119">
        <v>408.33333333333331</v>
      </c>
      <c r="F524" s="119">
        <v>358.33333333333331</v>
      </c>
      <c r="G524" s="119">
        <v>378.33333333333331</v>
      </c>
      <c r="H524" s="119">
        <v>378.33333333333331</v>
      </c>
      <c r="I524" s="119">
        <v>270</v>
      </c>
      <c r="J524" s="119">
        <v>370.21834061135365</v>
      </c>
    </row>
    <row r="525" spans="1:10" x14ac:dyDescent="0.3">
      <c r="A525" s="72">
        <f t="shared" si="24"/>
        <v>41639</v>
      </c>
      <c r="B525" s="66">
        <v>3</v>
      </c>
      <c r="D525" s="71">
        <v>416.66666666666669</v>
      </c>
      <c r="E525" s="71">
        <v>403.33333333333331</v>
      </c>
      <c r="F525" s="71">
        <v>353.33333333333331</v>
      </c>
      <c r="G525" s="71">
        <v>383.33333333333331</v>
      </c>
      <c r="H525" s="71">
        <v>383.33333333333331</v>
      </c>
      <c r="I525" s="71">
        <v>270</v>
      </c>
      <c r="J525" s="71">
        <v>370.21834061135377</v>
      </c>
    </row>
    <row r="526" spans="1:10" x14ac:dyDescent="0.3">
      <c r="A526" s="72">
        <f t="shared" si="24"/>
        <v>41646</v>
      </c>
      <c r="B526" s="66">
        <v>4</v>
      </c>
      <c r="C526" s="71">
        <v>430</v>
      </c>
      <c r="D526" s="71">
        <v>380</v>
      </c>
      <c r="E526" s="71">
        <v>360</v>
      </c>
      <c r="F526" s="71">
        <v>333.33333333333331</v>
      </c>
      <c r="G526" s="71">
        <v>340</v>
      </c>
      <c r="H526" s="71">
        <v>340</v>
      </c>
      <c r="I526" s="71">
        <v>258.33333333333331</v>
      </c>
      <c r="J526" s="71">
        <v>354.22125181950508</v>
      </c>
    </row>
    <row r="527" spans="1:10" x14ac:dyDescent="0.3">
      <c r="A527" s="72">
        <f t="shared" si="24"/>
        <v>41653</v>
      </c>
      <c r="B527" s="66">
        <v>4</v>
      </c>
      <c r="C527" s="71">
        <v>423.33333333333331</v>
      </c>
      <c r="D527" s="71">
        <v>385</v>
      </c>
      <c r="E527" s="71">
        <v>363.33333333333331</v>
      </c>
      <c r="F527" s="71">
        <v>321.66666666666669</v>
      </c>
      <c r="G527" s="71">
        <v>346.66666666666669</v>
      </c>
      <c r="H527" s="71">
        <v>346.66666666666669</v>
      </c>
      <c r="I527" s="71">
        <v>250</v>
      </c>
      <c r="J527" s="71">
        <v>342.7947598253275</v>
      </c>
    </row>
    <row r="528" spans="1:10" x14ac:dyDescent="0.3">
      <c r="A528" s="72">
        <f t="shared" si="24"/>
        <v>41660</v>
      </c>
      <c r="B528" s="66">
        <v>4</v>
      </c>
      <c r="C528" s="71">
        <v>430</v>
      </c>
      <c r="D528" s="71">
        <v>386.66666666666669</v>
      </c>
      <c r="E528" s="71">
        <v>365</v>
      </c>
      <c r="F528" s="71">
        <v>343.33333333333331</v>
      </c>
      <c r="G528" s="71">
        <v>363.33333333333331</v>
      </c>
      <c r="H528" s="71">
        <v>363.33333333333331</v>
      </c>
      <c r="I528" s="71">
        <v>261.66666666666669</v>
      </c>
      <c r="J528" s="71">
        <v>358.79184861717613</v>
      </c>
    </row>
    <row r="529" spans="1:10" x14ac:dyDescent="0.3">
      <c r="A529" s="72">
        <f t="shared" si="24"/>
        <v>41667</v>
      </c>
      <c r="B529" s="66">
        <v>4</v>
      </c>
      <c r="C529" s="71">
        <v>445</v>
      </c>
      <c r="D529" s="71">
        <v>415</v>
      </c>
      <c r="E529" s="71">
        <v>400</v>
      </c>
      <c r="F529" s="71">
        <v>335</v>
      </c>
      <c r="G529" s="71">
        <v>365</v>
      </c>
      <c r="H529" s="71">
        <v>365</v>
      </c>
      <c r="I529" s="71">
        <v>271.66666666666669</v>
      </c>
      <c r="J529" s="71">
        <v>372.50363901018926</v>
      </c>
    </row>
    <row r="530" spans="1:10" x14ac:dyDescent="0.3">
      <c r="A530" s="72">
        <f t="shared" si="24"/>
        <v>41674</v>
      </c>
      <c r="B530" s="66">
        <v>5</v>
      </c>
      <c r="C530" s="71">
        <v>436.66666666666669</v>
      </c>
      <c r="D530" s="71">
        <v>423.33333333333331</v>
      </c>
      <c r="E530" s="71">
        <v>406.66666666666669</v>
      </c>
      <c r="F530" s="71">
        <v>325</v>
      </c>
      <c r="G530" s="71">
        <v>355</v>
      </c>
      <c r="H530" s="71">
        <v>355</v>
      </c>
      <c r="I530" s="71">
        <v>275</v>
      </c>
      <c r="J530" s="71">
        <v>377.07423580786025</v>
      </c>
    </row>
    <row r="531" spans="1:10" x14ac:dyDescent="0.3">
      <c r="A531" s="72">
        <f t="shared" si="24"/>
        <v>41681</v>
      </c>
      <c r="B531" s="66">
        <v>5</v>
      </c>
      <c r="C531" s="66">
        <v>440</v>
      </c>
      <c r="D531" s="66">
        <v>420</v>
      </c>
      <c r="E531" s="71">
        <v>418</v>
      </c>
      <c r="F531" s="71">
        <v>317</v>
      </c>
      <c r="G531" s="71">
        <v>353</v>
      </c>
      <c r="H531" s="71">
        <v>353</v>
      </c>
      <c r="I531" s="71">
        <v>272</v>
      </c>
      <c r="J531" s="71">
        <v>373</v>
      </c>
    </row>
    <row r="532" spans="1:10" x14ac:dyDescent="0.3">
      <c r="A532" s="72">
        <f t="shared" si="24"/>
        <v>41688</v>
      </c>
      <c r="B532" s="66">
        <v>5</v>
      </c>
      <c r="C532" s="71">
        <v>445</v>
      </c>
      <c r="D532" s="71">
        <v>416.66666666666669</v>
      </c>
      <c r="E532" s="71">
        <v>410</v>
      </c>
      <c r="F532" s="71">
        <v>341.66666666666669</v>
      </c>
      <c r="G532" s="71">
        <v>365</v>
      </c>
      <c r="H532" s="71">
        <v>365</v>
      </c>
      <c r="I532" s="71">
        <v>276.66666666666669</v>
      </c>
      <c r="J532" s="71">
        <v>379.3595342066958</v>
      </c>
    </row>
    <row r="533" spans="1:10" x14ac:dyDescent="0.3">
      <c r="A533" s="72">
        <f t="shared" si="24"/>
        <v>41695</v>
      </c>
      <c r="B533" s="66">
        <v>5</v>
      </c>
      <c r="C533" s="71">
        <v>461.66666666666669</v>
      </c>
      <c r="D533" s="71">
        <v>433.33333333333331</v>
      </c>
      <c r="E533" s="71">
        <v>433.33333333333331</v>
      </c>
      <c r="F533" s="71">
        <v>343.75</v>
      </c>
      <c r="G533" s="71">
        <v>368.33333333333331</v>
      </c>
      <c r="H533" s="71">
        <v>368.33333333333331</v>
      </c>
      <c r="I533" s="71">
        <v>291.66666666666669</v>
      </c>
      <c r="J533" s="71">
        <v>399.92721979621541</v>
      </c>
    </row>
    <row r="534" spans="1:10" x14ac:dyDescent="0.3">
      <c r="A534" s="72">
        <f t="shared" si="24"/>
        <v>41702</v>
      </c>
      <c r="B534" s="66">
        <v>6</v>
      </c>
      <c r="C534" s="71">
        <v>508.33333333333331</v>
      </c>
      <c r="D534" s="71">
        <v>456.66666666666669</v>
      </c>
      <c r="E534" s="71">
        <v>446.66666666666669</v>
      </c>
      <c r="F534" s="71">
        <v>376.66666666666669</v>
      </c>
      <c r="G534" s="71">
        <v>396.66666666666669</v>
      </c>
      <c r="H534" s="71">
        <v>396.66666666666669</v>
      </c>
      <c r="I534" s="71">
        <v>333.33333333333331</v>
      </c>
      <c r="J534" s="71">
        <v>457.05967976710332</v>
      </c>
    </row>
    <row r="535" spans="1:10" x14ac:dyDescent="0.3">
      <c r="A535" s="72">
        <f t="shared" si="24"/>
        <v>41709</v>
      </c>
      <c r="B535" s="66">
        <v>6</v>
      </c>
      <c r="C535" s="71">
        <v>500</v>
      </c>
      <c r="D535" s="71">
        <v>467.5</v>
      </c>
      <c r="E535" s="71">
        <v>450</v>
      </c>
      <c r="F535" s="71">
        <v>400</v>
      </c>
      <c r="G535" s="71">
        <v>420</v>
      </c>
      <c r="H535" s="71">
        <v>420</v>
      </c>
      <c r="I535" s="71">
        <v>325</v>
      </c>
      <c r="J535" s="71">
        <v>445.63318777292574</v>
      </c>
    </row>
    <row r="536" spans="1:10" x14ac:dyDescent="0.3">
      <c r="A536" s="72">
        <f t="shared" si="24"/>
        <v>41716</v>
      </c>
      <c r="B536" s="66">
        <v>6</v>
      </c>
      <c r="C536" s="71">
        <v>491.66666666666669</v>
      </c>
      <c r="D536" s="71">
        <v>455</v>
      </c>
      <c r="E536" s="71">
        <v>436.66666666666669</v>
      </c>
      <c r="F536" s="71">
        <v>370</v>
      </c>
      <c r="G536" s="71">
        <v>375</v>
      </c>
      <c r="H536" s="71">
        <v>375</v>
      </c>
      <c r="I536" s="71">
        <v>290</v>
      </c>
      <c r="J536" s="71">
        <v>397.64192139737992</v>
      </c>
    </row>
    <row r="537" spans="1:10" x14ac:dyDescent="0.3">
      <c r="A537" s="72">
        <f t="shared" si="24"/>
        <v>41723</v>
      </c>
      <c r="B537" s="66">
        <v>6</v>
      </c>
      <c r="C537" s="71">
        <v>471.25</v>
      </c>
      <c r="D537" s="71">
        <v>412.5</v>
      </c>
      <c r="E537" s="71">
        <v>405</v>
      </c>
      <c r="F537" s="71">
        <v>325</v>
      </c>
      <c r="G537" s="71">
        <v>362.5</v>
      </c>
      <c r="H537" s="71">
        <v>362.5</v>
      </c>
      <c r="I537" s="71">
        <v>277.5</v>
      </c>
      <c r="J537" s="71">
        <v>381.64483260553129</v>
      </c>
    </row>
    <row r="538" spans="1:10" x14ac:dyDescent="0.3">
      <c r="A538" s="72">
        <f t="shared" si="24"/>
        <v>41730</v>
      </c>
      <c r="B538" s="66">
        <v>7</v>
      </c>
      <c r="C538" s="136">
        <v>465</v>
      </c>
      <c r="D538" s="136">
        <v>400</v>
      </c>
      <c r="E538" s="136">
        <v>392.5</v>
      </c>
      <c r="F538" s="136">
        <v>292.5</v>
      </c>
      <c r="G538" s="136">
        <v>337.5</v>
      </c>
      <c r="H538" s="136">
        <v>337.5</v>
      </c>
      <c r="I538" s="136">
        <v>261.25</v>
      </c>
      <c r="J538" s="136">
        <v>363.36244541484712</v>
      </c>
    </row>
    <row r="539" spans="1:10" x14ac:dyDescent="0.3">
      <c r="A539" s="72">
        <f t="shared" si="24"/>
        <v>41737</v>
      </c>
      <c r="B539" s="66">
        <v>7</v>
      </c>
      <c r="C539" s="136">
        <v>465</v>
      </c>
      <c r="D539" s="136">
        <v>400</v>
      </c>
      <c r="E539" s="136">
        <v>392.5</v>
      </c>
      <c r="F539" s="136">
        <v>292.5</v>
      </c>
      <c r="G539" s="136">
        <v>337.5</v>
      </c>
      <c r="H539" s="136">
        <v>337.5</v>
      </c>
      <c r="I539" s="136">
        <v>261.25</v>
      </c>
      <c r="J539" s="136">
        <v>363.36244541484712</v>
      </c>
    </row>
    <row r="540" spans="1:10" x14ac:dyDescent="0.3">
      <c r="A540" s="72">
        <f t="shared" si="24"/>
        <v>41744</v>
      </c>
      <c r="B540" s="66">
        <v>7</v>
      </c>
      <c r="C540" s="71">
        <v>446.66666666666669</v>
      </c>
      <c r="D540" s="71">
        <v>375</v>
      </c>
      <c r="E540" s="71">
        <v>363.33333333333331</v>
      </c>
      <c r="F540" s="71">
        <v>261.66666666666669</v>
      </c>
      <c r="G540" s="71">
        <v>303.33333333333331</v>
      </c>
      <c r="H540" s="71">
        <v>303.33333333333331</v>
      </c>
      <c r="I540" s="71">
        <v>233.33333333333334</v>
      </c>
      <c r="J540" s="71">
        <v>319.94177583697234</v>
      </c>
    </row>
    <row r="541" spans="1:10" x14ac:dyDescent="0.3">
      <c r="A541" s="72">
        <f t="shared" si="24"/>
        <v>41751</v>
      </c>
      <c r="B541" s="66">
        <v>7</v>
      </c>
      <c r="C541" s="71">
        <v>428.75</v>
      </c>
      <c r="D541" s="71">
        <v>370</v>
      </c>
      <c r="E541" s="71">
        <v>367.5</v>
      </c>
      <c r="F541" s="71">
        <v>251.25</v>
      </c>
      <c r="G541" s="71">
        <v>296.25</v>
      </c>
      <c r="H541" s="71">
        <v>296.25</v>
      </c>
      <c r="I541" s="71">
        <v>217.5</v>
      </c>
      <c r="J541" s="71">
        <v>294.80349344978168</v>
      </c>
    </row>
    <row r="542" spans="1:10" x14ac:dyDescent="0.3">
      <c r="A542" s="72">
        <f t="shared" si="24"/>
        <v>41758</v>
      </c>
      <c r="B542" s="66">
        <v>7</v>
      </c>
      <c r="C542" s="71">
        <v>452.5</v>
      </c>
      <c r="D542" s="71">
        <v>360</v>
      </c>
      <c r="E542" s="71">
        <v>355</v>
      </c>
      <c r="F542" s="71">
        <v>245</v>
      </c>
      <c r="G542" s="71">
        <v>290</v>
      </c>
      <c r="H542" s="71">
        <v>290</v>
      </c>
      <c r="I542" s="71">
        <v>240</v>
      </c>
      <c r="J542" s="71">
        <v>329.08296943231443</v>
      </c>
    </row>
    <row r="543" spans="1:10" x14ac:dyDescent="0.3">
      <c r="A543" s="72">
        <f t="shared" si="24"/>
        <v>41765</v>
      </c>
      <c r="B543" s="66">
        <v>8</v>
      </c>
      <c r="C543" s="71">
        <v>466.66666666666669</v>
      </c>
      <c r="D543" s="71">
        <v>405</v>
      </c>
      <c r="E543" s="71">
        <v>393.33333333333331</v>
      </c>
      <c r="F543" s="71">
        <v>333.33333333333331</v>
      </c>
      <c r="G543" s="71">
        <v>358.33333333333331</v>
      </c>
      <c r="H543" s="71">
        <v>358.33333333333331</v>
      </c>
      <c r="I543" s="71">
        <v>280</v>
      </c>
      <c r="J543" s="71">
        <v>383.93013100436679</v>
      </c>
    </row>
    <row r="544" spans="1:10" x14ac:dyDescent="0.3">
      <c r="A544" s="72">
        <f t="shared" si="24"/>
        <v>41772</v>
      </c>
      <c r="B544" s="66">
        <v>8</v>
      </c>
      <c r="C544" s="71">
        <v>467.5</v>
      </c>
      <c r="D544" s="71">
        <v>402.5</v>
      </c>
      <c r="E544" s="71">
        <v>382.5</v>
      </c>
      <c r="F544" s="71">
        <v>325</v>
      </c>
      <c r="G544" s="71">
        <v>335</v>
      </c>
      <c r="H544" s="71">
        <v>335</v>
      </c>
      <c r="I544" s="71">
        <v>300</v>
      </c>
      <c r="J544" s="71">
        <v>411.35371179039299</v>
      </c>
    </row>
    <row r="545" spans="1:10" x14ac:dyDescent="0.3">
      <c r="A545" s="72">
        <f t="shared" si="24"/>
        <v>41779</v>
      </c>
      <c r="B545" s="66">
        <v>8</v>
      </c>
      <c r="C545" s="71">
        <v>465</v>
      </c>
      <c r="D545" s="71">
        <v>380</v>
      </c>
      <c r="E545" s="71">
        <v>380</v>
      </c>
      <c r="F545" s="71">
        <v>317.5</v>
      </c>
      <c r="G545" s="71">
        <v>370</v>
      </c>
      <c r="H545" s="71">
        <v>370</v>
      </c>
      <c r="I545" s="71">
        <v>300</v>
      </c>
      <c r="J545" s="71">
        <v>411.35371179039299</v>
      </c>
    </row>
    <row r="546" spans="1:10" x14ac:dyDescent="0.3">
      <c r="A546" s="72">
        <f t="shared" si="24"/>
        <v>41786</v>
      </c>
      <c r="B546" s="66">
        <v>8</v>
      </c>
      <c r="C546" s="71">
        <v>475</v>
      </c>
      <c r="D546" s="71">
        <v>408.33333333333331</v>
      </c>
      <c r="E546" s="71">
        <v>396.66666666666669</v>
      </c>
      <c r="F546" s="71">
        <v>348.33333333333331</v>
      </c>
      <c r="G546" s="71">
        <v>383.33333333333331</v>
      </c>
      <c r="H546" s="71">
        <v>383.33333333333331</v>
      </c>
      <c r="I546" s="71">
        <v>320</v>
      </c>
      <c r="J546" s="66">
        <v>439</v>
      </c>
    </row>
    <row r="547" spans="1:10" x14ac:dyDescent="0.3">
      <c r="A547" s="72">
        <f t="shared" si="24"/>
        <v>41793</v>
      </c>
      <c r="B547" s="66">
        <v>9</v>
      </c>
      <c r="C547" s="119">
        <v>561.66666666666663</v>
      </c>
      <c r="D547" s="119">
        <v>525</v>
      </c>
      <c r="E547" s="119">
        <v>521.66666666666663</v>
      </c>
      <c r="F547" s="119">
        <v>466.66666666666669</v>
      </c>
      <c r="G547" s="119">
        <v>515</v>
      </c>
      <c r="H547" s="119">
        <v>515</v>
      </c>
      <c r="I547" s="119">
        <v>436.66666666666669</v>
      </c>
      <c r="J547" s="119">
        <v>598.74818049490534</v>
      </c>
    </row>
    <row r="548" spans="1:10" x14ac:dyDescent="0.3">
      <c r="A548" s="72">
        <f t="shared" si="24"/>
        <v>41800</v>
      </c>
      <c r="B548" s="66">
        <v>9</v>
      </c>
      <c r="C548" s="71">
        <v>541.66666666666663</v>
      </c>
      <c r="D548" s="71">
        <v>525</v>
      </c>
      <c r="E548" s="71">
        <v>523.33333333333337</v>
      </c>
      <c r="F548" s="71">
        <v>458.33333333333331</v>
      </c>
      <c r="G548" s="71">
        <v>508.33333333333331</v>
      </c>
      <c r="H548" s="71">
        <v>508.33333333333331</v>
      </c>
      <c r="I548" s="71">
        <v>463.33333333333331</v>
      </c>
      <c r="J548" s="71">
        <v>556.78311499272206</v>
      </c>
    </row>
    <row r="549" spans="1:10" x14ac:dyDescent="0.3">
      <c r="A549" s="72">
        <f t="shared" si="24"/>
        <v>41807</v>
      </c>
      <c r="B549" s="66">
        <v>9</v>
      </c>
      <c r="C549" s="71">
        <v>538.33333333333337</v>
      </c>
      <c r="D549" s="71">
        <v>526.66666666666663</v>
      </c>
      <c r="E549" s="71">
        <v>523.33333333333337</v>
      </c>
      <c r="F549" s="71">
        <v>465</v>
      </c>
      <c r="G549" s="71">
        <v>523.33333333333337</v>
      </c>
      <c r="H549" s="71">
        <v>523.33333333333337</v>
      </c>
      <c r="I549" s="71">
        <v>443.33333333333331</v>
      </c>
      <c r="J549" s="71">
        <v>556.78311499272206</v>
      </c>
    </row>
    <row r="550" spans="1:10" x14ac:dyDescent="0.3">
      <c r="A550" s="72">
        <f t="shared" si="24"/>
        <v>41814</v>
      </c>
      <c r="B550" s="66">
        <v>9</v>
      </c>
      <c r="C550" s="125">
        <v>568.75</v>
      </c>
      <c r="D550" s="125">
        <v>547.5</v>
      </c>
      <c r="E550" s="125">
        <v>546.25</v>
      </c>
      <c r="F550" s="125">
        <v>501.25</v>
      </c>
      <c r="G550" s="125">
        <v>550</v>
      </c>
      <c r="H550" s="125">
        <v>550</v>
      </c>
      <c r="I550" s="125">
        <v>466.25</v>
      </c>
      <c r="J550" s="125">
        <v>561.35371179039305</v>
      </c>
    </row>
    <row r="551" spans="1:10" x14ac:dyDescent="0.3">
      <c r="A551" s="72">
        <f t="shared" si="24"/>
        <v>41821</v>
      </c>
      <c r="B551" s="66">
        <v>10</v>
      </c>
      <c r="C551" s="125">
        <v>641.66666666666663</v>
      </c>
      <c r="D551" s="125">
        <v>641.66666666666663</v>
      </c>
      <c r="E551" s="125">
        <v>641.66666666666663</v>
      </c>
      <c r="F551" s="125">
        <v>600</v>
      </c>
      <c r="G551" s="125">
        <v>646.66666666666663</v>
      </c>
      <c r="H551" s="125">
        <v>646.66666666666663</v>
      </c>
      <c r="I551" s="125">
        <v>561.66666666666663</v>
      </c>
      <c r="J551" s="125">
        <v>770.14556040756906</v>
      </c>
    </row>
    <row r="552" spans="1:10" x14ac:dyDescent="0.3">
      <c r="A552" s="72">
        <f t="shared" si="24"/>
        <v>41828</v>
      </c>
      <c r="B552" s="66">
        <v>10</v>
      </c>
      <c r="C552" s="71">
        <v>637.5</v>
      </c>
      <c r="D552" s="71">
        <v>637.5</v>
      </c>
      <c r="E552" s="71">
        <v>645</v>
      </c>
      <c r="F552" s="71">
        <v>607.5</v>
      </c>
      <c r="G552" s="71">
        <v>647.5</v>
      </c>
      <c r="H552" s="71">
        <v>647.5</v>
      </c>
      <c r="I552" s="71">
        <v>580</v>
      </c>
      <c r="J552" s="71">
        <v>795.28384279475983</v>
      </c>
    </row>
    <row r="553" spans="1:10" x14ac:dyDescent="0.3">
      <c r="A553" s="72">
        <f t="shared" si="24"/>
        <v>41835</v>
      </c>
      <c r="B553" s="66">
        <v>10</v>
      </c>
      <c r="C553" s="71">
        <v>683.33333333333337</v>
      </c>
      <c r="D553" s="71">
        <v>680</v>
      </c>
      <c r="E553" s="71">
        <v>663.33333333333337</v>
      </c>
      <c r="F553" s="71">
        <v>641.66666666666663</v>
      </c>
      <c r="G553" s="71">
        <v>683.33333333333337</v>
      </c>
      <c r="H553" s="71">
        <v>683.33333333333337</v>
      </c>
      <c r="I553" s="71">
        <v>600</v>
      </c>
      <c r="J553" s="71">
        <v>822.70742358078598</v>
      </c>
    </row>
    <row r="554" spans="1:10" x14ac:dyDescent="0.3">
      <c r="A554" s="72">
        <f t="shared" si="24"/>
        <v>41842</v>
      </c>
      <c r="B554" s="66">
        <v>10</v>
      </c>
      <c r="C554" s="71">
        <v>758.33333333333337</v>
      </c>
      <c r="D554" s="71">
        <v>746.66666666666663</v>
      </c>
      <c r="E554" s="71">
        <v>746.66666666666663</v>
      </c>
      <c r="F554" s="71">
        <v>647.5</v>
      </c>
      <c r="G554" s="71">
        <v>763.33333333333337</v>
      </c>
      <c r="H554" s="71">
        <v>763.33333333333337</v>
      </c>
      <c r="I554" s="71">
        <v>625</v>
      </c>
      <c r="J554" s="71">
        <v>856.98689956331873</v>
      </c>
    </row>
    <row r="555" spans="1:10" x14ac:dyDescent="0.3">
      <c r="A555" s="72">
        <f t="shared" si="24"/>
        <v>41849</v>
      </c>
      <c r="B555" s="66">
        <v>10</v>
      </c>
      <c r="C555" s="71">
        <v>775</v>
      </c>
      <c r="D555" s="71">
        <v>758.33333333333337</v>
      </c>
      <c r="E555" s="71">
        <v>766.66666666666663</v>
      </c>
      <c r="F555" s="71">
        <v>675</v>
      </c>
      <c r="G555" s="71">
        <v>780</v>
      </c>
      <c r="H555" s="71">
        <v>780</v>
      </c>
      <c r="I555" s="71">
        <v>641.66666666666663</v>
      </c>
      <c r="J555" s="71">
        <v>879.83988355167401</v>
      </c>
    </row>
    <row r="556" spans="1:10" x14ac:dyDescent="0.3">
      <c r="A556" s="72">
        <f t="shared" si="24"/>
        <v>41856</v>
      </c>
      <c r="B556" s="66">
        <v>11</v>
      </c>
      <c r="C556" s="71">
        <v>732.5</v>
      </c>
      <c r="D556" s="71">
        <v>657.5</v>
      </c>
      <c r="E556" s="71">
        <v>657.5</v>
      </c>
      <c r="F556" s="71">
        <v>555</v>
      </c>
      <c r="G556" s="71">
        <v>657.5</v>
      </c>
      <c r="H556" s="71">
        <v>657.5</v>
      </c>
      <c r="I556" s="71">
        <v>532.5</v>
      </c>
      <c r="J556" s="71">
        <v>730.15283842794759</v>
      </c>
    </row>
    <row r="557" spans="1:10" x14ac:dyDescent="0.3">
      <c r="A557" s="72">
        <f t="shared" si="24"/>
        <v>41863</v>
      </c>
      <c r="B557" s="66">
        <v>11</v>
      </c>
      <c r="C557" s="71">
        <v>731.25</v>
      </c>
      <c r="D557" s="71">
        <v>662.5</v>
      </c>
      <c r="E557" s="71">
        <v>658.33333333333337</v>
      </c>
      <c r="F557" s="71">
        <v>562.5</v>
      </c>
      <c r="G557" s="71">
        <v>651.66666666666663</v>
      </c>
      <c r="H557" s="71">
        <v>651.66666666666663</v>
      </c>
      <c r="I557" s="71">
        <v>483.33333333333331</v>
      </c>
      <c r="J557" s="71">
        <v>662.73653566229984</v>
      </c>
    </row>
    <row r="558" spans="1:10" x14ac:dyDescent="0.3">
      <c r="A558" s="72">
        <f t="shared" si="24"/>
        <v>41870</v>
      </c>
      <c r="B558" s="66">
        <v>11</v>
      </c>
      <c r="C558" s="71">
        <v>641.66666666666663</v>
      </c>
      <c r="D558" s="71">
        <v>666.66666666666663</v>
      </c>
      <c r="E558" s="71">
        <v>666.66666666666663</v>
      </c>
      <c r="F558" s="71">
        <v>591.66666666666663</v>
      </c>
      <c r="G558" s="71">
        <v>633.33333333333337</v>
      </c>
      <c r="H558" s="71">
        <v>633.33333333333337</v>
      </c>
      <c r="I558" s="71">
        <v>541.66666666666663</v>
      </c>
      <c r="J558" s="71">
        <v>742.7219796215428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5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5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5"/>
  <sheetViews>
    <sheetView workbookViewId="0">
      <pane ySplit="5" topLeftCell="A804" activePane="bottomLeft" state="frozen"/>
      <selection pane="bottomLeft" activeCell="A825" sqref="A825:I825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40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40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25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25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9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41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41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41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41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41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41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41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41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41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41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41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41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41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41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41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41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41">
        <f t="shared" ref="H825" si="1781">(B825/B773-1)*100</f>
        <v>31.455399061032875</v>
      </c>
      <c r="I825" s="20">
        <f t="shared" ref="I825" si="1782">(B825/D825-1)*100</f>
        <v>33.306883554850209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13"/>
  <sheetViews>
    <sheetView zoomScaleNormal="100" workbookViewId="0">
      <pane xSplit="1" ySplit="3" topLeftCell="C598" activePane="bottomRight" state="frozen"/>
      <selection pane="topRight" activeCell="C1" sqref="C1"/>
      <selection pane="bottomLeft" activeCell="A4" sqref="A4"/>
      <selection pane="bottomRight" activeCell="A613" sqref="A613:XFD613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44" t="s">
        <v>56</v>
      </c>
      <c r="AL1" s="96"/>
      <c r="AM1" s="144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45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45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45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45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8">
        <f>(+B543+B545)/2</f>
        <v>408.33333333333337</v>
      </c>
      <c r="C544" s="138">
        <f t="shared" ref="C544" si="6812">(+C543+C545)/2</f>
        <v>312.08333333333337</v>
      </c>
      <c r="D544" s="138">
        <f>(+D543+D546)/2</f>
        <v>280.41666666666663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3">AVERAGE(B541:B544)</f>
        <v>288.75</v>
      </c>
      <c r="L544" s="95">
        <f t="shared" ref="L544" si="6814">AVERAGE(C541:C544)</f>
        <v>301.5625</v>
      </c>
      <c r="M544" s="95">
        <f t="shared" ref="M544" si="6815">AVERAGE(D541:D544)</f>
        <v>275.3125</v>
      </c>
      <c r="N544" s="95">
        <f t="shared" ref="N544" si="6816">AVERAGE(E541:E544)</f>
        <v>227</v>
      </c>
      <c r="O544" s="95">
        <f t="shared" ref="O544" si="6817">AVERAGE(F541:F544)</f>
        <v>195.66666666666666</v>
      </c>
      <c r="P544" s="95">
        <f t="shared" ref="P544" si="6818">AVERAGE(G541:G544)</f>
        <v>195.66666666666666</v>
      </c>
      <c r="Q544" s="95">
        <f t="shared" ref="Q544" si="6819">AVERAGE(H541:H544)</f>
        <v>180.41666666666666</v>
      </c>
      <c r="R544" s="95">
        <f t="shared" ref="R544" si="6820">AVERAGE(I541:I544)</f>
        <v>247.43049490538576</v>
      </c>
      <c r="T544" s="95">
        <f t="shared" ref="T544" si="6821">AVERAGE(K388,K440,K492)</f>
        <v>423.33333333333331</v>
      </c>
      <c r="U544" s="95">
        <f t="shared" ref="U544" si="6822">AVERAGE(L388,L440,L492)</f>
        <v>321.04166666666669</v>
      </c>
      <c r="V544" s="95">
        <f t="shared" ref="V544" si="6823">(M388+M440+M492)/3</f>
        <v>345.45138888888886</v>
      </c>
      <c r="W544" s="95">
        <f t="shared" ref="W544" si="6824">(N388+N440+N492)/3</f>
        <v>251.04166666666666</v>
      </c>
      <c r="X544" s="95">
        <f t="shared" ref="X544" si="6825">(O388+O440+O492)/3</f>
        <v>280.23611111111114</v>
      </c>
      <c r="Y544" s="95">
        <f t="shared" ref="Y544" si="6826">(P388+P440+P492)/3</f>
        <v>280.65277777777777</v>
      </c>
      <c r="Z544" s="95">
        <f t="shared" ref="Z544" si="6827">(Q388+Q440+Q492)/3</f>
        <v>202.83333333333334</v>
      </c>
      <c r="AA544" s="95">
        <f t="shared" ref="AA544" si="6828">(R388+R440+R492)/3</f>
        <v>275.16266375545848</v>
      </c>
      <c r="AC544" s="115">
        <f>+AF544-'Figure 8_data'!I756</f>
        <v>0</v>
      </c>
      <c r="AD544" s="95">
        <f t="shared" ref="AD544" si="6829">(B544/T544-1)*100</f>
        <v>-3.5433070866141558</v>
      </c>
      <c r="AE544" s="95">
        <f t="shared" ref="AE544" si="6830">(C544/U544-1)*100</f>
        <v>-2.790395846852689</v>
      </c>
      <c r="AF544" s="95">
        <f t="shared" ref="AF544" si="6831">(D544/V544-1)*100</f>
        <v>-18.82601266458941</v>
      </c>
      <c r="AG544" s="95">
        <f t="shared" ref="AG544" si="6832">(E544/W544-1)*100</f>
        <v>-11.170124481327793</v>
      </c>
      <c r="AH544" s="95">
        <f t="shared" ref="AH544" si="6833">(F544/X544-1)*100</f>
        <v>-30.415819993061412</v>
      </c>
      <c r="AI544" s="95">
        <f t="shared" ref="AI544" si="6834">(G544/Y544-1)*100</f>
        <v>-30.519127035185821</v>
      </c>
      <c r="AJ544" s="95">
        <f t="shared" ref="AJ544" si="6835">(H544/Z544-1)*100</f>
        <v>-11.257189811010681</v>
      </c>
      <c r="AK544" s="95">
        <f t="shared" ref="AK544" si="6836">(I544/AA544-1)*100</f>
        <v>-10.234914639613713</v>
      </c>
      <c r="AM544" s="115">
        <f>AP544-'Figure 8_data'!H756</f>
        <v>0</v>
      </c>
      <c r="AN544" s="95">
        <f t="shared" ref="AN544" si="6837">(B544/B492-1)*100</f>
        <v>-3.5433070866141558</v>
      </c>
      <c r="AO544" s="95">
        <f t="shared" ref="AO544" si="6838">(C544/C492-1)*100</f>
        <v>-11.255924170616105</v>
      </c>
      <c r="AP544" s="95">
        <f t="shared" ref="AP544" si="6839">(D544/D492-1)*100</f>
        <v>-13.273195876288668</v>
      </c>
      <c r="AQ544" s="95">
        <f t="shared" ref="AQ544" si="6840">(E544/E492-1)*100</f>
        <v>-5.106382978723401</v>
      </c>
      <c r="AR544" s="95">
        <f t="shared" ref="AR544" si="6841">(F544/F492-1)*100</f>
        <v>-29.09090909090909</v>
      </c>
      <c r="AS544" s="95">
        <f t="shared" ref="AS544" si="6842">(G544/G492-1)*100</f>
        <v>-29.09090909090909</v>
      </c>
      <c r="AT544" s="95">
        <f t="shared" ref="AT544" si="6843">(H544/H492-1)*100</f>
        <v>-12.195121951219512</v>
      </c>
      <c r="AU544" s="95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138">
        <f>+D544</f>
        <v>280.41666666666663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5">AVERAGE(B542:B545)</f>
        <v>395</v>
      </c>
      <c r="L545" s="95">
        <f t="shared" ref="L545" si="6846">AVERAGE(C542:C545)</f>
        <v>307.1875</v>
      </c>
      <c r="M545" s="95">
        <f t="shared" ref="M545" si="6847">AVERAGE(D542:D545)</f>
        <v>279.79166666666663</v>
      </c>
      <c r="N545" s="95">
        <f t="shared" ref="N545" si="6848">AVERAGE(E542:E545)</f>
        <v>223.875</v>
      </c>
      <c r="O545" s="95">
        <f t="shared" ref="O545" si="6849">AVERAGE(F542:F545)</f>
        <v>195.41666666666666</v>
      </c>
      <c r="P545" s="95">
        <f t="shared" ref="P545" si="6850">AVERAGE(G542:G545)</f>
        <v>195.41666666666666</v>
      </c>
      <c r="Q545" s="95">
        <f t="shared" ref="Q545" si="6851">AVERAGE(H542:H545)</f>
        <v>180.41666666666666</v>
      </c>
      <c r="R545" s="95">
        <f t="shared" ref="R545" si="6852">AVERAGE(I542:I545)</f>
        <v>247.43049490538573</v>
      </c>
      <c r="T545" s="95">
        <f t="shared" ref="T545" si="6853">AVERAGE(K389,K441,K493)</f>
        <v>379.07291666666663</v>
      </c>
      <c r="U545" s="95">
        <f t="shared" ref="U545" si="6854">AVERAGE(L389,L441,L493)</f>
        <v>374.81944444444451</v>
      </c>
      <c r="V545" s="95">
        <f t="shared" ref="V545" si="6855">(M389+M441+M493)/3</f>
        <v>350.89583333333331</v>
      </c>
      <c r="W545" s="95">
        <f t="shared" ref="W545" si="6856">(N389+N441+N493)/3</f>
        <v>251.9652777777778</v>
      </c>
      <c r="X545" s="95">
        <f t="shared" ref="X545" si="6857">(O389+O441+O493)/3</f>
        <v>272.1805555555556</v>
      </c>
      <c r="Y545" s="95">
        <f t="shared" ref="Y545" si="6858">(P389+P441+P493)/3</f>
        <v>272.59722222222223</v>
      </c>
      <c r="Z545" s="95">
        <f t="shared" ref="Z545" si="6859">(Q389+Q441+Q493)/3</f>
        <v>177.55555555555554</v>
      </c>
      <c r="AA545" s="95">
        <f t="shared" ref="AA545" si="6860">(R389+R441+R493)/3</f>
        <v>240.50230470645317</v>
      </c>
      <c r="AC545" s="115">
        <f>+AF545-'Figure 8_data'!I757</f>
        <v>0</v>
      </c>
      <c r="AD545" s="95">
        <f t="shared" ref="AD545" si="6861">(B545/T545-1)*100</f>
        <v>12.115632986177904</v>
      </c>
      <c r="AE545" s="95">
        <f t="shared" ref="AE545" si="6862">(C545/U545-1)*100</f>
        <v>-16.626523881869058</v>
      </c>
      <c r="AF545" s="95">
        <f t="shared" ref="AF545" si="6863">(D545/V545-1)*100</f>
        <v>-20.085495458053792</v>
      </c>
      <c r="AG545" s="95">
        <f t="shared" ref="AG545" si="6864">(E545/W545-1)*100</f>
        <v>-12.686382052200763</v>
      </c>
      <c r="AH545" s="95">
        <f t="shared" ref="AH545" si="6865">(F545/X545-1)*100</f>
        <v>-29.274889013624549</v>
      </c>
      <c r="AI545" s="95">
        <f t="shared" ref="AI545" si="6866">(G545/Y545-1)*100</f>
        <v>-29.382992816018749</v>
      </c>
      <c r="AJ545" s="95">
        <f t="shared" ref="AJ545" si="6867">(H545/Z545-1)*100</f>
        <v>1.3767209011264159</v>
      </c>
      <c r="AK545" s="95">
        <f t="shared" ref="AK545" si="6868">(I545/AA545-1)*100</f>
        <v>2.6236432018746259</v>
      </c>
      <c r="AM545" s="115">
        <f>AP545-'Figure 8_data'!H757</f>
        <v>0</v>
      </c>
      <c r="AN545" s="95">
        <f t="shared" ref="AN545" si="6869">(B545/B493-1)*100</f>
        <v>-0.46838407494145251</v>
      </c>
      <c r="AO545" s="95">
        <f t="shared" ref="AO545" si="6870">(C545/C493-1)*100</f>
        <v>-12.709497206703912</v>
      </c>
      <c r="AP545" s="95">
        <f t="shared" ref="AP545" si="6871">(D545/D493-1)*100</f>
        <v>-16.790306627101891</v>
      </c>
      <c r="AQ545" s="95">
        <f t="shared" ref="AQ545" si="6872">(E545/E493-1)*100</f>
        <v>-9.0909090909090935</v>
      </c>
      <c r="AR545" s="95">
        <f t="shared" ref="AR545" si="6873">(F545/F493-1)*100</f>
        <v>-32.456140350877192</v>
      </c>
      <c r="AS545" s="95">
        <f t="shared" ref="AS545" si="6874">(G545/G493-1)*100</f>
        <v>-32.456140350877192</v>
      </c>
      <c r="AT545" s="95">
        <f t="shared" ref="AT545" si="6875">(H545/H493-1)*100</f>
        <v>-15.094339622641506</v>
      </c>
      <c r="AU545" s="95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7">AVERAGE(B543:B546)</f>
        <v>403.125</v>
      </c>
      <c r="L546" s="95">
        <f t="shared" ref="L546" si="6878">AVERAGE(C543:C546)</f>
        <v>310.3125</v>
      </c>
      <c r="M546" s="95">
        <f t="shared" ref="M546" si="6879">AVERAGE(D543:D546)</f>
        <v>280.41666666666663</v>
      </c>
      <c r="N546" s="95">
        <f t="shared" ref="N546" si="6880">AVERAGE(E543:E546)</f>
        <v>222</v>
      </c>
      <c r="O546" s="95">
        <f t="shared" ref="O546" si="6881">AVERAGE(F543:F546)</f>
        <v>193.54166666666666</v>
      </c>
      <c r="P546" s="95">
        <f t="shared" ref="P546" si="6882">AVERAGE(G543:G546)</f>
        <v>193.54166666666666</v>
      </c>
      <c r="Q546" s="95">
        <f t="shared" ref="Q546" si="6883">AVERAGE(H543:H546)</f>
        <v>180.41666666666666</v>
      </c>
      <c r="R546" s="95">
        <f t="shared" ref="R546" si="6884">AVERAGE(I543:I546)</f>
        <v>247.43049490538573</v>
      </c>
      <c r="T546" s="95">
        <f t="shared" ref="T546" si="6885">AVERAGE(K390,K442,K494)</f>
        <v>448.8819444444444</v>
      </c>
      <c r="U546" s="95">
        <f t="shared" ref="U546" si="6886">AVERAGE(L390,L442,L494)</f>
        <v>379.29861111111114</v>
      </c>
      <c r="V546" s="95">
        <f t="shared" ref="V546" si="6887">(M390+M442+M494)/3</f>
        <v>362.04166666666669</v>
      </c>
      <c r="W546" s="95">
        <f t="shared" ref="W546" si="6888">(N390+N442+N494)/3</f>
        <v>259.63194444444446</v>
      </c>
      <c r="X546" s="95">
        <f t="shared" ref="X546" si="6889">(O390+O442+O494)/3</f>
        <v>272.07638888888891</v>
      </c>
      <c r="Y546" s="95">
        <f t="shared" ref="Y546" si="6890">(P390+P442+P494)/3</f>
        <v>272.90972222222223</v>
      </c>
      <c r="Z546" s="95">
        <f t="shared" ref="Z546" si="6891">(Q390+Q442+Q494)/3</f>
        <v>183.70138888888889</v>
      </c>
      <c r="AA546" s="95">
        <f t="shared" ref="AA546" si="6892">(R390+R442+R494)/3</f>
        <v>217.48538330907323</v>
      </c>
      <c r="AC546" s="115">
        <f>+AF546-'Figure 8_data'!I758</f>
        <v>0</v>
      </c>
      <c r="AD546" s="95">
        <f t="shared" ref="AD546" si="6893">(B546/T546-1)*100</f>
        <v>-13.674407091693864</v>
      </c>
      <c r="AE546" s="95">
        <f t="shared" ref="AE546" si="6894">(C546/U546-1)*100</f>
        <v>-19.588421611527128</v>
      </c>
      <c r="AF546" s="95">
        <f t="shared" ref="AF546" si="6895">(D546/V546-1)*100</f>
        <v>-20.589250776844292</v>
      </c>
      <c r="AG546" s="95">
        <f t="shared" ref="AG546" si="6896">(E546/W546-1)*100</f>
        <v>-15.264664188086774</v>
      </c>
      <c r="AH546" s="95">
        <f t="shared" ref="AH546" si="6897">(F546/X546-1)*100</f>
        <v>-30.166670920646265</v>
      </c>
      <c r="AI546" s="95">
        <f t="shared" ref="AI546" si="6898">(G546/Y546-1)*100</f>
        <v>-30.379907885696845</v>
      </c>
      <c r="AJ546" s="95">
        <f t="shared" ref="AJ546" si="6899">(H546/Z546-1)*100</f>
        <v>-2.0148943409065145</v>
      </c>
      <c r="AK546" s="95">
        <f t="shared" ref="AK546" si="6900">(I546/AA546-1)*100</f>
        <v>13.484512530888381</v>
      </c>
      <c r="AM546" s="115">
        <f>AP546-'Figure 8_data'!H758</f>
        <v>0</v>
      </c>
      <c r="AN546" s="95">
        <f t="shared" ref="AN546" si="6901">(B546/B494-1)*100</f>
        <v>-11.529680365296802</v>
      </c>
      <c r="AO546" s="95">
        <f t="shared" ref="AO546" si="6902">(C546/C494-1)*100</f>
        <v>-17.119565217391308</v>
      </c>
      <c r="AP546" s="95">
        <f t="shared" ref="AP546" si="6903">(D546/D494-1)*100</f>
        <v>-17.857142857142861</v>
      </c>
      <c r="AQ546" s="95">
        <f t="shared" ref="AQ546" si="6904">(E546/E494-1)*100</f>
        <v>-9.0909090909090935</v>
      </c>
      <c r="AR546" s="95">
        <f t="shared" ref="AR546" si="6905">(F546/F494-1)*100</f>
        <v>-32.142857142857139</v>
      </c>
      <c r="AS546" s="95">
        <f t="shared" ref="AS546" si="6906">(G546/G494-1)*100</f>
        <v>-32.142857142857139</v>
      </c>
      <c r="AT546" s="95">
        <f t="shared" ref="AT546" si="6907">(H546/H494-1)*100</f>
        <v>-14.28571428571429</v>
      </c>
      <c r="AU546" s="95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9">AVERAGE(B544:B547)</f>
        <v>395.83333333333337</v>
      </c>
      <c r="L547" s="95">
        <f t="shared" ref="L547" si="6910">AVERAGE(C544:C547)</f>
        <v>304.89583333333337</v>
      </c>
      <c r="M547" s="95">
        <f t="shared" ref="M547" si="6911">AVERAGE(D544:D547)</f>
        <v>281.45833333333331</v>
      </c>
      <c r="N547" s="95">
        <f t="shared" ref="N547" si="6912">AVERAGE(E544:E547)</f>
        <v>220.75</v>
      </c>
      <c r="O547" s="95">
        <f t="shared" ref="O547" si="6913">AVERAGE(F544:F547)</f>
        <v>191.875</v>
      </c>
      <c r="P547" s="95">
        <f t="shared" ref="P547" si="6914">AVERAGE(G544:G547)</f>
        <v>191.875</v>
      </c>
      <c r="Q547" s="95">
        <f t="shared" ref="Q547" si="6915">AVERAGE(H544:H547)</f>
        <v>179.375</v>
      </c>
      <c r="R547" s="95">
        <f t="shared" ref="R547" si="6916">AVERAGE(I544:I547)</f>
        <v>246.00218340611355</v>
      </c>
      <c r="T547" s="95">
        <f t="shared" ref="T547" si="6917">AVERAGE(K391,K443,K495)</f>
        <v>460.9375</v>
      </c>
      <c r="U547" s="95">
        <f t="shared" ref="U547" si="6918">AVERAGE(L391,L443,L495)</f>
        <v>385.9375</v>
      </c>
      <c r="V547" s="95">
        <f t="shared" ref="V547" si="6919">(M391+M443+M495)/3</f>
        <v>375.81944444444451</v>
      </c>
      <c r="W547" s="95">
        <f t="shared" ref="W547" si="6920">(N391+N443+N495)/3</f>
        <v>270.85416666666669</v>
      </c>
      <c r="X547" s="95">
        <f t="shared" ref="X547" si="6921">(O391+O443+O495)/3</f>
        <v>283.57638888888891</v>
      </c>
      <c r="Y547" s="95">
        <f t="shared" ref="Y547" si="6922">(P391+P443+P495)/3</f>
        <v>283.9930555555556</v>
      </c>
      <c r="Z547" s="95">
        <f t="shared" ref="Z547" si="6923">(Q391+Q443+Q495)/3</f>
        <v>194.8125</v>
      </c>
      <c r="AA547" s="95">
        <f t="shared" ref="AA547" si="6924">(R391+R443+R495)/3</f>
        <v>199.42485443959245</v>
      </c>
      <c r="AC547" s="115">
        <f>+AF547-'Figure 8_data'!I759</f>
        <v>0</v>
      </c>
      <c r="AD547" s="95">
        <f t="shared" ref="AD547" si="6925">(B547/T547-1)*100</f>
        <v>-21.355932203389827</v>
      </c>
      <c r="AE547" s="95">
        <f t="shared" ref="AE547" si="6926">(C547/U547-1)*100</f>
        <v>-24.858299595141698</v>
      </c>
      <c r="AF547" s="95">
        <f t="shared" ref="AF547" si="6927">(D547/V547-1)*100</f>
        <v>-26.161351121623134</v>
      </c>
      <c r="AG547" s="95">
        <f t="shared" ref="AG547" si="6928">(E547/W547-1)*100</f>
        <v>-18.775478809322365</v>
      </c>
      <c r="AH547" s="95">
        <f t="shared" ref="AH547" si="6929">(F547/X547-1)*100</f>
        <v>-32.99865311619935</v>
      </c>
      <c r="AI547" s="95">
        <f t="shared" ref="AI547" si="6930">(G547/Y547-1)*100</f>
        <v>-33.096955618046231</v>
      </c>
      <c r="AJ547" s="95">
        <f t="shared" ref="AJ547" si="6931">(H547/Z547-1)*100</f>
        <v>-8.8867500802053296</v>
      </c>
      <c r="AK547" s="95">
        <f t="shared" ref="AK547" si="6932">(I547/AA547-1)*100</f>
        <v>22.043102480842357</v>
      </c>
      <c r="AM547" s="115">
        <f>AP547-'Figure 8_data'!H759</f>
        <v>0</v>
      </c>
      <c r="AN547" s="95">
        <f t="shared" ref="AN547" si="6933">(B547/B495-1)*100</f>
        <v>-16.984732824427486</v>
      </c>
      <c r="AO547" s="95">
        <f t="shared" ref="AO547" si="6934">(C547/C495-1)*100</f>
        <v>-20.547945205479458</v>
      </c>
      <c r="AP547" s="95">
        <f t="shared" ref="AP547" si="6935">(D547/D495-1)*100</f>
        <v>-19.17475728155339</v>
      </c>
      <c r="AQ547" s="95">
        <f t="shared" ref="AQ547" si="6936">(E547/E495-1)*100</f>
        <v>-12</v>
      </c>
      <c r="AR547" s="95">
        <f t="shared" ref="AR547" si="6937">(F547/F495-1)*100</f>
        <v>-31.325301204819279</v>
      </c>
      <c r="AS547" s="95">
        <f t="shared" ref="AS547" si="6938">(G547/G495-1)*100</f>
        <v>-31.325301204819279</v>
      </c>
      <c r="AT547" s="95">
        <f t="shared" ref="AT547" si="6939">(H547/H495-1)*100</f>
        <v>-18.702290076335881</v>
      </c>
      <c r="AU547" s="95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1">AVERAGE(B545:B548)</f>
        <v>379.58333333333331</v>
      </c>
      <c r="L548" s="95">
        <f t="shared" ref="L548" si="6942">AVERAGE(C545:C548)</f>
        <v>298.54166666666669</v>
      </c>
      <c r="M548" s="95">
        <f t="shared" ref="M548" si="6943">AVERAGE(D545:D548)</f>
        <v>279.6875</v>
      </c>
      <c r="N548" s="95">
        <f t="shared" ref="N548" si="6944">AVERAGE(E545:E548)</f>
        <v>219.58333333333334</v>
      </c>
      <c r="O548" s="95">
        <f t="shared" ref="O548" si="6945">AVERAGE(F545:F548)</f>
        <v>190.625</v>
      </c>
      <c r="P548" s="95">
        <f t="shared" ref="P548" si="6946">AVERAGE(G545:G548)</f>
        <v>190.625</v>
      </c>
      <c r="Q548" s="95">
        <f t="shared" ref="Q548" si="6947">AVERAGE(H545:H548)</f>
        <v>179.375</v>
      </c>
      <c r="R548" s="95">
        <f t="shared" ref="R548" si="6948">AVERAGE(I545:I548)</f>
        <v>245.9552401746725</v>
      </c>
      <c r="T548" s="95">
        <f t="shared" ref="T548" si="6949">AVERAGE(K392,K444,K496)</f>
        <v>456.83333333333331</v>
      </c>
      <c r="U548" s="95">
        <f t="shared" ref="U548" si="6950">AVERAGE(L392,L444,L496)</f>
        <v>391.0069444444444</v>
      </c>
      <c r="V548" s="95">
        <f t="shared" ref="V548" si="6951">(M392+M444+M496)/3</f>
        <v>382.1180555555556</v>
      </c>
      <c r="W548" s="95">
        <f t="shared" ref="W548" si="6952">(N392+N444+N496)/3</f>
        <v>276.68055555555554</v>
      </c>
      <c r="X548" s="95">
        <f t="shared" ref="X548" si="6953">(O392+O444+O496)/3</f>
        <v>327.73611111111114</v>
      </c>
      <c r="Y548" s="95">
        <f t="shared" ref="Y548" si="6954">(P392+P444+P496)/3</f>
        <v>328.15277777777783</v>
      </c>
      <c r="Z548" s="95">
        <f t="shared" ref="Z548" si="6955">(Q392+Q444+Q496)/3</f>
        <v>223.14583333333334</v>
      </c>
      <c r="AA548" s="95">
        <f t="shared" ref="AA548" si="6956">(R392+R444+R496)/3</f>
        <v>204.5711426491994</v>
      </c>
      <c r="AC548" s="115">
        <f>+AF548-'Figure 8_data'!I760</f>
        <v>0</v>
      </c>
      <c r="AD548" s="95">
        <f t="shared" ref="AD548" si="6957">(B548/T548-1)*100</f>
        <v>-24.844947099598691</v>
      </c>
      <c r="AE548" s="95">
        <f t="shared" ref="AE548" si="6958">(C548/U548-1)*100</f>
        <v>-26.685019092442928</v>
      </c>
      <c r="AF548" s="95">
        <f t="shared" ref="AF548" si="6959">(D548/V548-1)*100</f>
        <v>-28.468877782825995</v>
      </c>
      <c r="AG548" s="95">
        <f t="shared" ref="AG548" si="6960">(E548/W548-1)*100</f>
        <v>-21.088298780181713</v>
      </c>
      <c r="AH548" s="95">
        <f t="shared" ref="AH548" si="6961">(F548/X548-1)*100</f>
        <v>-42.026528796033404</v>
      </c>
      <c r="AI548" s="95">
        <f t="shared" ref="AI548" si="6962">(G548/Y548-1)*100</f>
        <v>-42.10013967071572</v>
      </c>
      <c r="AJ548" s="95">
        <f t="shared" ref="AJ548" si="6963">(H548/Z548-1)*100</f>
        <v>-19.33526281392961</v>
      </c>
      <c r="AK548" s="95">
        <f t="shared" ref="AK548" si="6964">(I548/AA548-1)*100</f>
        <v>20.648603648595664</v>
      </c>
      <c r="AM548" s="115">
        <f>AP548-'Figure 8_data'!H760</f>
        <v>0</v>
      </c>
      <c r="AN548" s="95">
        <f t="shared" ref="AN548" si="6965">(B548/B496-1)*100</f>
        <v>-18.833727344365649</v>
      </c>
      <c r="AO548" s="95">
        <f t="shared" ref="AO548" si="6966">(C548/C496-1)*100</f>
        <v>-18.095238095238088</v>
      </c>
      <c r="AP548" s="95">
        <f t="shared" ref="AP548" si="6967">(D548/D496-1)*100</f>
        <v>-15.376676986584116</v>
      </c>
      <c r="AQ548" s="95">
        <f t="shared" ref="AQ548" si="6968">(E548/E496-1)*100</f>
        <v>-9.779614325068863</v>
      </c>
      <c r="AR548" s="95">
        <f t="shared" ref="AR548" si="6969">(F548/F496-1)*100</f>
        <v>-31.40794223826715</v>
      </c>
      <c r="AS548" s="95">
        <f t="shared" ref="AS548" si="6970">(G548/G496-1)*100</f>
        <v>-31.40794223826715</v>
      </c>
      <c r="AT548" s="95">
        <f t="shared" ref="AT548" si="6971">(H548/H496-1)*100</f>
        <v>-14.28571428571429</v>
      </c>
      <c r="AU548" s="95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5">
        <f>TWK!B494</f>
        <v>361.66666666666669</v>
      </c>
      <c r="C549" s="95">
        <f>TWK!C494</f>
        <v>296.66666666666669</v>
      </c>
      <c r="D549" s="95">
        <f>TWK!D494</f>
        <v>310</v>
      </c>
      <c r="E549" s="95">
        <f>TWK!E494</f>
        <v>216.66666666666666</v>
      </c>
      <c r="F549" s="95">
        <f>TWK!F494</f>
        <v>190</v>
      </c>
      <c r="G549" s="95">
        <f>TWK!G494</f>
        <v>190</v>
      </c>
      <c r="H549" s="95">
        <f>TWK!H494</f>
        <v>180</v>
      </c>
      <c r="I549" s="95">
        <f>TWK!I494</f>
        <v>246.81222707423584</v>
      </c>
      <c r="K549" s="95">
        <f t="shared" ref="K549" si="6973">AVERAGE(B546:B549)</f>
        <v>363.75</v>
      </c>
      <c r="L549" s="95">
        <f t="shared" ref="L549" si="6974">AVERAGE(C546:C549)</f>
        <v>294.58333333333337</v>
      </c>
      <c r="M549" s="95">
        <f t="shared" ref="M549" si="6975">AVERAGE(D546:D549)</f>
        <v>287.08333333333331</v>
      </c>
      <c r="N549" s="95">
        <f t="shared" ref="N549" si="6976">AVERAGE(E546:E549)</f>
        <v>218.75</v>
      </c>
      <c r="O549" s="95">
        <f t="shared" ref="O549" si="6977">AVERAGE(F546:F549)</f>
        <v>190</v>
      </c>
      <c r="P549" s="95">
        <f t="shared" ref="P549" si="6978">AVERAGE(G546:G549)</f>
        <v>190</v>
      </c>
      <c r="Q549" s="95">
        <f t="shared" ref="Q549" si="6979">AVERAGE(H546:H549)</f>
        <v>179.375</v>
      </c>
      <c r="R549" s="95">
        <f t="shared" ref="R549" si="6980">AVERAGE(I546:I549)</f>
        <v>245.9552401746725</v>
      </c>
      <c r="T549" s="95">
        <f t="shared" ref="T549" si="6981">AVERAGE(K393,K445,K497)</f>
        <v>461.13888888888891</v>
      </c>
      <c r="U549" s="95">
        <f t="shared" ref="U549" si="6982">AVERAGE(L393,L445,L497)</f>
        <v>398.2569444444444</v>
      </c>
      <c r="V549" s="95">
        <f t="shared" ref="V549" si="6983">(M393+M445+M497)/3</f>
        <v>379.6180555555556</v>
      </c>
      <c r="W549" s="95">
        <f t="shared" ref="W549" si="6984">(N393+N445+N497)/3</f>
        <v>276.25</v>
      </c>
      <c r="X549" s="95">
        <f t="shared" ref="X549" si="6985">(O393+O445+O497)/3</f>
        <v>335.63888888888891</v>
      </c>
      <c r="Y549" s="95">
        <f t="shared" ref="Y549" si="6986">(P393+P445+P497)/3</f>
        <v>336.0555555555556</v>
      </c>
      <c r="Z549" s="95">
        <f t="shared" ref="Z549" si="6987">(Q393+Q445+Q497)/3</f>
        <v>247.31250000000003</v>
      </c>
      <c r="AA549" s="95">
        <f t="shared" ref="AA549" si="6988">(R393+R445+R497)/3</f>
        <v>202.58315138282387</v>
      </c>
      <c r="AC549" s="115">
        <f>+AF549-'Figure 8_data'!I761</f>
        <v>0</v>
      </c>
      <c r="AD549" s="95">
        <f t="shared" ref="AD549" si="6989">(B549/T549-1)*100</f>
        <v>-21.570989699415698</v>
      </c>
      <c r="AE549" s="95">
        <f t="shared" ref="AE549" si="6990">(C549/U549-1)*100</f>
        <v>-25.508727266386501</v>
      </c>
      <c r="AF549" s="95">
        <f t="shared" ref="AF549" si="6991">(D549/V549-1)*100</f>
        <v>-18.338973749199681</v>
      </c>
      <c r="AG549" s="95">
        <f t="shared" ref="AG549" si="6992">(E549/W549-1)*100</f>
        <v>-21.568627450980394</v>
      </c>
      <c r="AH549" s="95">
        <f t="shared" ref="AH549" si="6993">(F549/X549-1)*100</f>
        <v>-43.391541835636851</v>
      </c>
      <c r="AI549" s="95">
        <f t="shared" ref="AI549" si="6994">(G549/Y549-1)*100</f>
        <v>-43.461729211439916</v>
      </c>
      <c r="AJ549" s="95">
        <f t="shared" ref="AJ549" si="6995">(H549/Z549-1)*100</f>
        <v>-27.217589082638373</v>
      </c>
      <c r="AK549" s="95">
        <f t="shared" ref="AK549" si="6996">(I549/AA549-1)*100</f>
        <v>21.832553886888519</v>
      </c>
      <c r="AM549" s="115">
        <f>AP549-'Figure 8_data'!H761</f>
        <v>0</v>
      </c>
      <c r="AN549" s="95">
        <f t="shared" ref="AN549" si="6997">(B549/B497-1)*100</f>
        <v>-14.398422090729779</v>
      </c>
      <c r="AO549" s="95">
        <f t="shared" ref="AO549" si="6998">(C549/C497-1)*100</f>
        <v>-14.62829736211031</v>
      </c>
      <c r="AP549" s="95">
        <f t="shared" ref="AP549" si="6999">(D549/D497-1)*100</f>
        <v>-6.0606060606060552</v>
      </c>
      <c r="AQ549" s="95">
        <f t="shared" ref="AQ549" si="7000">(E549/E497-1)*100</f>
        <v>-9.7222222222222214</v>
      </c>
      <c r="AR549" s="95">
        <f t="shared" ref="AR549" si="7001">(F549/F497-1)*100</f>
        <v>-30.27522935779816</v>
      </c>
      <c r="AS549" s="95">
        <f t="shared" ref="AS549" si="7002">(G549/G497-1)*100</f>
        <v>-30.27522935779816</v>
      </c>
      <c r="AT549" s="95">
        <f t="shared" ref="AT549" si="7003">(H549/H497-1)*100</f>
        <v>-12.195121951219512</v>
      </c>
      <c r="AU549" s="95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5">
        <f>TWK!B495</f>
        <v>396.66666666666669</v>
      </c>
      <c r="C550" s="95">
        <f>TWK!C495</f>
        <v>316.66666666666669</v>
      </c>
      <c r="D550" s="95">
        <f>TWK!D495</f>
        <v>315</v>
      </c>
      <c r="E550" s="95">
        <f>TWK!E495</f>
        <v>221.66666666666666</v>
      </c>
      <c r="F550" s="95">
        <f>TWK!F495</f>
        <v>193.33333333333334</v>
      </c>
      <c r="G550" s="95">
        <f>TWK!G495</f>
        <v>193.33333333333334</v>
      </c>
      <c r="H550" s="95">
        <f>TWK!H495</f>
        <v>181.66666666666666</v>
      </c>
      <c r="I550" s="95">
        <f>TWK!I495</f>
        <v>249.09752547307133</v>
      </c>
      <c r="K550" s="95">
        <f t="shared" ref="K550" si="7005">AVERAGE(B547:B550)</f>
        <v>366.04166666666669</v>
      </c>
      <c r="L550" s="95">
        <f t="shared" ref="L550" si="7006">AVERAGE(C547:C550)</f>
        <v>297.50000000000006</v>
      </c>
      <c r="M550" s="95">
        <f t="shared" ref="M550" si="7007">AVERAGE(D547:D550)</f>
        <v>293.95833333333331</v>
      </c>
      <c r="N550" s="95">
        <f t="shared" ref="N550" si="7008">AVERAGE(E547:E550)</f>
        <v>219.16666666666666</v>
      </c>
      <c r="O550" s="95">
        <f t="shared" ref="O550" si="7009">AVERAGE(F547:F550)</f>
        <v>190.83333333333334</v>
      </c>
      <c r="P550" s="95">
        <f t="shared" ref="P550" si="7010">AVERAGE(G547:G550)</f>
        <v>190.83333333333334</v>
      </c>
      <c r="Q550" s="95">
        <f t="shared" ref="Q550" si="7011">AVERAGE(H547:H550)</f>
        <v>179.79166666666666</v>
      </c>
      <c r="R550" s="95">
        <f t="shared" ref="R550" si="7012">AVERAGE(I547:I550)</f>
        <v>246.52656477438137</v>
      </c>
      <c r="T550" s="95">
        <f t="shared" ref="T550" si="7013">AVERAGE(K394,K446,K498)</f>
        <v>447.65972222222223</v>
      </c>
      <c r="U550" s="95">
        <f t="shared" ref="U550" si="7014">AVERAGE(L394,L446,L498)</f>
        <v>377.35416666666669</v>
      </c>
      <c r="V550" s="95">
        <f t="shared" ref="V550" si="7015">(M394+M446+M498)/3</f>
        <v>368.61111111111109</v>
      </c>
      <c r="W550" s="95">
        <f t="shared" ref="W550" si="7016">(N394+N446+N498)/3</f>
        <v>269.6944444444444</v>
      </c>
      <c r="X550" s="95">
        <f t="shared" ref="X550" si="7017">(O394+O446+O498)/3</f>
        <v>335.22222222222223</v>
      </c>
      <c r="Y550" s="95">
        <f t="shared" ref="Y550" si="7018">(P394+P446+P498)/3</f>
        <v>335.22222222222223</v>
      </c>
      <c r="Z550" s="95">
        <f t="shared" ref="Z550" si="7019">(Q394+Q446+Q498)/3</f>
        <v>244.08333333333337</v>
      </c>
      <c r="AA550" s="95">
        <f t="shared" ref="AA550" si="7020">(R394+R446+R498)/3</f>
        <v>196.86553857350802</v>
      </c>
      <c r="AC550" s="115">
        <f>+AF550-'Figure 8_data'!I762</f>
        <v>0</v>
      </c>
      <c r="AD550" s="95">
        <f t="shared" ref="AD550" si="7021">(B550/T550-1)*100</f>
        <v>-11.391030513627964</v>
      </c>
      <c r="AE550" s="95">
        <f t="shared" ref="AE550" si="7022">(C550/U550-1)*100</f>
        <v>-16.082371777176608</v>
      </c>
      <c r="AF550" s="95">
        <f t="shared" ref="AF550" si="7023">(D550/V550-1)*100</f>
        <v>-14.544084400904289</v>
      </c>
      <c r="AG550" s="95">
        <f t="shared" ref="AG550" si="7024">(E550/W550-1)*100</f>
        <v>-17.808219178082187</v>
      </c>
      <c r="AH550" s="95">
        <f t="shared" ref="AH550" si="7025">(F550/X550-1)*100</f>
        <v>-42.326814716605895</v>
      </c>
      <c r="AI550" s="95">
        <f t="shared" ref="AI550" si="7026">(G550/Y550-1)*100</f>
        <v>-42.326814716605895</v>
      </c>
      <c r="AJ550" s="95">
        <f t="shared" ref="AJ550" si="7027">(H550/Z550-1)*100</f>
        <v>-25.571867531580761</v>
      </c>
      <c r="AK550" s="95">
        <f t="shared" ref="AK550" si="7028">(I550/AA550-1)*100</f>
        <v>26.531808095026399</v>
      </c>
      <c r="AM550" s="115">
        <f>AP550-'Figure 8_data'!H762</f>
        <v>0</v>
      </c>
      <c r="AN550" s="95">
        <f t="shared" ref="AN550" si="7029">(B550/B498-1)*100</f>
        <v>2.0364415862808238</v>
      </c>
      <c r="AO550" s="95">
        <f t="shared" ref="AO550" si="7030">(C550/C498-1)*100</f>
        <v>-1.041666666666663</v>
      </c>
      <c r="AP550" s="95">
        <f t="shared" ref="AP550" si="7031">(D550/D498-1)*100</f>
        <v>10.526315789473696</v>
      </c>
      <c r="AQ550" s="95">
        <f t="shared" ref="AQ550" si="7032">(E550/E498-1)*100</f>
        <v>0.7575757575757569</v>
      </c>
      <c r="AR550" s="95">
        <f t="shared" ref="AR550" si="7033">(F550/F498-1)*100</f>
        <v>-26.698262243285942</v>
      </c>
      <c r="AS550" s="95">
        <f t="shared" ref="AS550" si="7034">(G550/G498-1)*100</f>
        <v>-26.698262243285942</v>
      </c>
      <c r="AT550" s="95">
        <f t="shared" ref="AT550" si="7035">(H550/H498-1)*100</f>
        <v>-10.838445807770968</v>
      </c>
      <c r="AU550" s="95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5">
        <f>TWK!B496</f>
        <v>355</v>
      </c>
      <c r="C551" s="95">
        <f>TWK!C496</f>
        <v>305</v>
      </c>
      <c r="D551" s="95">
        <f>TWK!D496</f>
        <v>292.5</v>
      </c>
      <c r="E551" s="95">
        <f>TWK!E496</f>
        <v>217.5</v>
      </c>
      <c r="F551" s="95">
        <f>TWK!F496</f>
        <v>190</v>
      </c>
      <c r="G551" s="95">
        <f>TWK!G496</f>
        <v>190</v>
      </c>
      <c r="H551" s="95">
        <f>TWK!H496</f>
        <v>187.5</v>
      </c>
      <c r="I551" s="95">
        <f>TWK!I496</f>
        <v>171.39737991266375</v>
      </c>
      <c r="K551" s="95">
        <f t="shared" ref="K551" si="7037">AVERAGE(B548:B551)</f>
        <v>364.16666666666669</v>
      </c>
      <c r="L551" s="95">
        <f t="shared" ref="L551" si="7038">AVERAGE(C548:C551)</f>
        <v>301.25</v>
      </c>
      <c r="M551" s="95">
        <f t="shared" ref="M551" si="7039">AVERAGE(D548:D551)</f>
        <v>297.70833333333331</v>
      </c>
      <c r="N551" s="95">
        <f t="shared" ref="N551" si="7040">AVERAGE(E548:E551)</f>
        <v>218.54166666666666</v>
      </c>
      <c r="O551" s="95">
        <f t="shared" ref="O551" si="7041">AVERAGE(F548:F551)</f>
        <v>190.83333333333334</v>
      </c>
      <c r="P551" s="95">
        <f t="shared" ref="P551" si="7042">AVERAGE(G548:G551)</f>
        <v>190.83333333333334</v>
      </c>
      <c r="Q551" s="95">
        <f t="shared" ref="Q551" si="7043">AVERAGE(H548:H551)</f>
        <v>182.29166666666666</v>
      </c>
      <c r="R551" s="95">
        <f t="shared" ref="R551" si="7044">AVERAGE(I548:I551)</f>
        <v>228.52983988355169</v>
      </c>
      <c r="T551" s="95">
        <f t="shared" ref="T551" si="7045">AVERAGE(K395,K447,K499)</f>
        <v>432.3125</v>
      </c>
      <c r="U551" s="95">
        <f t="shared" ref="U551" si="7046">AVERAGE(L395,L447,L499)</f>
        <v>369.22916666666669</v>
      </c>
      <c r="V551" s="95">
        <f t="shared" ref="V551" si="7047">(M395+M447+M499)/3</f>
        <v>355.8680555555556</v>
      </c>
      <c r="W551" s="95">
        <f t="shared" ref="W551" si="7048">(N395+N447+N499)/3</f>
        <v>260.6319444444444</v>
      </c>
      <c r="X551" s="95">
        <f t="shared" ref="X551" si="7049">(O395+O447+O499)/3</f>
        <v>323.72916666666669</v>
      </c>
      <c r="Y551" s="95">
        <f t="shared" ref="Y551" si="7050">(P395+P447+P499)/3</f>
        <v>323.72916666666669</v>
      </c>
      <c r="Z551" s="95">
        <f t="shared" ref="Z551" si="7051">(Q395+Q447+Q499)/3</f>
        <v>236.72916666666666</v>
      </c>
      <c r="AA551" s="95">
        <f t="shared" ref="AA551" si="7052">(R395+R447+R499)/3</f>
        <v>184.86772197962151</v>
      </c>
      <c r="AC551" s="115">
        <f>+AF551-'Figure 8_data'!I763</f>
        <v>0</v>
      </c>
      <c r="AD551" s="95">
        <f t="shared" ref="AD551" si="7053">(B551/T551-1)*100</f>
        <v>-17.883475495156866</v>
      </c>
      <c r="AE551" s="95">
        <f t="shared" ref="AE551" si="7054">(C551/U551-1)*100</f>
        <v>-17.3954748067483</v>
      </c>
      <c r="AF551" s="95">
        <f t="shared" ref="AF551" si="7055">(D551/V551-1)*100</f>
        <v>-17.806615279539471</v>
      </c>
      <c r="AG551" s="95">
        <f t="shared" ref="AG551" si="7056">(E551/W551-1)*100</f>
        <v>-16.548986171431601</v>
      </c>
      <c r="AH551" s="95">
        <f t="shared" ref="AH551" si="7057">(F551/X551-1)*100</f>
        <v>-41.308964540832747</v>
      </c>
      <c r="AI551" s="95">
        <f t="shared" ref="AI551" si="7058">(G551/Y551-1)*100</f>
        <v>-41.308964540832747</v>
      </c>
      <c r="AJ551" s="95">
        <f t="shared" ref="AJ551" si="7059">(H551/Z551-1)*100</f>
        <v>-20.795564551614888</v>
      </c>
      <c r="AK551" s="95">
        <f t="shared" ref="AK551" si="7060">(I551/AA551-1)*100</f>
        <v>-7.286475931391978</v>
      </c>
      <c r="AM551" s="115">
        <f>AP551-'Figure 8_data'!H763</f>
        <v>0</v>
      </c>
      <c r="AN551" s="95">
        <f t="shared" ref="AN551" si="7061">(B551/B499-1)*100</f>
        <v>-8.0906148867313945</v>
      </c>
      <c r="AO551" s="95">
        <f t="shared" ref="AO551" si="7062">(C551/C499-1)*100</f>
        <v>-4.6875</v>
      </c>
      <c r="AP551" s="95">
        <f t="shared" ref="AP551" si="7063">(D551/D499-1)*100</f>
        <v>3.0837004405286361</v>
      </c>
      <c r="AQ551" s="95">
        <f t="shared" ref="AQ551" si="7064">(E551/E499-1)*100</f>
        <v>0</v>
      </c>
      <c r="AR551" s="95">
        <f t="shared" ref="AR551" si="7065">(F551/F499-1)*100</f>
        <v>-28.638497652582164</v>
      </c>
      <c r="AS551" s="95">
        <f t="shared" ref="AS551" si="7066">(G551/G499-1)*100</f>
        <v>-28.638497652582164</v>
      </c>
      <c r="AT551" s="95">
        <f t="shared" ref="AT551" si="7067">(H551/H499-1)*100</f>
        <v>-6.25</v>
      </c>
      <c r="AU551" s="95">
        <f t="shared" ref="AU551" si="7068">(I551/I499-1)*100</f>
        <v>-37.5</v>
      </c>
    </row>
    <row r="552" spans="1:47" x14ac:dyDescent="0.3">
      <c r="A552" s="13">
        <f t="shared" si="475"/>
        <v>41443</v>
      </c>
      <c r="B552" s="95">
        <f>TWK!B497</f>
        <v>360</v>
      </c>
      <c r="C552" s="95">
        <f>TWK!C497</f>
        <v>300</v>
      </c>
      <c r="D552" s="95">
        <f>TWK!D497</f>
        <v>295</v>
      </c>
      <c r="E552" s="95">
        <f>TWK!E497</f>
        <v>220</v>
      </c>
      <c r="F552" s="95">
        <f>TWK!F497</f>
        <v>190</v>
      </c>
      <c r="G552" s="95">
        <f>TWK!G497</f>
        <v>190</v>
      </c>
      <c r="H552" s="95">
        <f>TWK!H497</f>
        <v>192.5</v>
      </c>
      <c r="I552" s="95">
        <f>TWK!I497</f>
        <v>175.96797671033482</v>
      </c>
      <c r="K552" s="95">
        <f t="shared" ref="K552" si="7069">AVERAGE(B549:B552)</f>
        <v>368.33333333333337</v>
      </c>
      <c r="L552" s="95">
        <f t="shared" ref="L552" si="7070">AVERAGE(C549:C552)</f>
        <v>304.58333333333337</v>
      </c>
      <c r="M552" s="95">
        <f t="shared" ref="M552" si="7071">AVERAGE(D549:D552)</f>
        <v>303.125</v>
      </c>
      <c r="N552" s="95">
        <f t="shared" ref="N552" si="7072">AVERAGE(E549:E552)</f>
        <v>218.95833333333331</v>
      </c>
      <c r="O552" s="95">
        <f t="shared" ref="O552" si="7073">AVERAGE(F549:F552)</f>
        <v>190.83333333333334</v>
      </c>
      <c r="P552" s="95">
        <f t="shared" ref="P552" si="7074">AVERAGE(G549:G552)</f>
        <v>190.83333333333334</v>
      </c>
      <c r="Q552" s="95">
        <f t="shared" ref="Q552" si="7075">AVERAGE(H549:H552)</f>
        <v>185.41666666666666</v>
      </c>
      <c r="R552" s="95">
        <f t="shared" ref="R552" si="7076">AVERAGE(I549:I552)</f>
        <v>210.81877729257644</v>
      </c>
      <c r="T552" s="95">
        <f t="shared" ref="T552" si="7077">AVERAGE(K396,K448,K500)</f>
        <v>432.41666666666669</v>
      </c>
      <c r="U552" s="95">
        <f t="shared" ref="U552" si="7078">AVERAGE(L396,L448,L500)</f>
        <v>367.6319444444444</v>
      </c>
      <c r="V552" s="95">
        <f t="shared" ref="V552" si="7079">(M396+M448+M500)/3</f>
        <v>348.84722222222223</v>
      </c>
      <c r="W552" s="95">
        <f t="shared" ref="W552" si="7080">(N396+N448+N500)/3</f>
        <v>259.80555555555554</v>
      </c>
      <c r="X552" s="95">
        <f t="shared" ref="X552" si="7081">(O396+O448+O500)/3</f>
        <v>312.625</v>
      </c>
      <c r="Y552" s="95">
        <f t="shared" ref="Y552" si="7082">(P396+P448+P500)/3</f>
        <v>312.625</v>
      </c>
      <c r="Z552" s="95">
        <f t="shared" ref="Z552" si="7083">(Q396+Q448+Q500)/3</f>
        <v>235.54861111111109</v>
      </c>
      <c r="AA552" s="95">
        <f t="shared" ref="AA552" si="7084">(R396+R448+R500)/3</f>
        <v>216.95275351770988</v>
      </c>
      <c r="AC552" s="115">
        <f>+AF552-'Figure 8_data'!I764</f>
        <v>0</v>
      </c>
      <c r="AD552" s="95">
        <f t="shared" ref="AD552" si="7085">(B552/T552-1)*100</f>
        <v>-16.746964733089232</v>
      </c>
      <c r="AE552" s="95">
        <f t="shared" ref="AE552" si="7086">(C552/U552-1)*100</f>
        <v>-18.396645195413576</v>
      </c>
      <c r="AF552" s="95">
        <f t="shared" ref="AF552" si="7087">(D552/V552-1)*100</f>
        <v>-15.435760640203844</v>
      </c>
      <c r="AG552" s="95">
        <f t="shared" ref="AG552" si="7088">(E552/W552-1)*100</f>
        <v>-15.321287287501328</v>
      </c>
      <c r="AH552" s="95">
        <f t="shared" ref="AH552" si="7089">(F552/X552-1)*100</f>
        <v>-39.224310275889643</v>
      </c>
      <c r="AI552" s="95">
        <f t="shared" ref="AI552" si="7090">(G552/Y552-1)*100</f>
        <v>-39.224310275889643</v>
      </c>
      <c r="AJ552" s="95">
        <f t="shared" ref="AJ552" si="7091">(H552/Z552-1)*100</f>
        <v>-18.275892567587483</v>
      </c>
      <c r="AK552" s="95">
        <f t="shared" ref="AK552" si="7092">(I552/AA552-1)*100</f>
        <v>-18.891107000414021</v>
      </c>
      <c r="AM552" s="115">
        <f>AP552-'Figure 8_data'!H764</f>
        <v>0</v>
      </c>
      <c r="AN552" s="95">
        <f t="shared" ref="AN552" si="7093">(B552/B500-1)*100</f>
        <v>-4.0000000000000036</v>
      </c>
      <c r="AO552" s="95">
        <f t="shared" ref="AO552" si="7094">(C552/C500-1)*100</f>
        <v>-4.2553191489361648</v>
      </c>
      <c r="AP552" s="95">
        <f t="shared" ref="AP552" si="7095">(D552/D500-1)*100</f>
        <v>6.6265060240963791</v>
      </c>
      <c r="AQ552" s="95">
        <f t="shared" ref="AQ552" si="7096">(E552/E500-1)*100</f>
        <v>-5.0359712230215736</v>
      </c>
      <c r="AR552" s="95">
        <f t="shared" ref="AR552" si="7097">(F552/F500-1)*100</f>
        <v>-28.301886792452834</v>
      </c>
      <c r="AS552" s="95">
        <f t="shared" ref="AS552" si="7098">(G552/G500-1)*100</f>
        <v>-28.301886792452834</v>
      </c>
      <c r="AT552" s="95">
        <f t="shared" ref="AT552" si="7099">(H552/H500-1)*100</f>
        <v>-2.5316455696202556</v>
      </c>
      <c r="AU552" s="95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5">
        <f>TWK!B498</f>
        <v>386.66666666666669</v>
      </c>
      <c r="C553" s="95">
        <f>TWK!C498</f>
        <v>335</v>
      </c>
      <c r="D553" s="95">
        <f>TWK!D498</f>
        <v>323.33333333333331</v>
      </c>
      <c r="E553" s="95">
        <f>TWK!E498</f>
        <v>233.33333333333334</v>
      </c>
      <c r="F553" s="95">
        <f>TWK!F498</f>
        <v>211.66666666666666</v>
      </c>
      <c r="G553" s="95">
        <f>TWK!G498</f>
        <v>211.66666666666666</v>
      </c>
      <c r="H553" s="95">
        <f>TWK!H498</f>
        <v>196.66666666666666</v>
      </c>
      <c r="I553" s="95">
        <f>TWK!I498</f>
        <v>269.66521106259097</v>
      </c>
      <c r="K553" s="95">
        <f t="shared" ref="K553" si="7101">AVERAGE(B550:B553)</f>
        <v>374.58333333333337</v>
      </c>
      <c r="L553" s="95">
        <f t="shared" ref="L553" si="7102">AVERAGE(C550:C553)</f>
        <v>314.16666666666669</v>
      </c>
      <c r="M553" s="95">
        <f t="shared" ref="M553" si="7103">AVERAGE(D550:D553)</f>
        <v>306.45833333333331</v>
      </c>
      <c r="N553" s="95">
        <f t="shared" ref="N553" si="7104">AVERAGE(E550:E553)</f>
        <v>223.125</v>
      </c>
      <c r="O553" s="95">
        <f t="shared" ref="O553" si="7105">AVERAGE(F550:F553)</f>
        <v>196.25</v>
      </c>
      <c r="P553" s="95">
        <f t="shared" ref="P553" si="7106">AVERAGE(G550:G553)</f>
        <v>196.25</v>
      </c>
      <c r="Q553" s="95">
        <f t="shared" ref="Q553" si="7107">AVERAGE(H550:H553)</f>
        <v>189.58333333333331</v>
      </c>
      <c r="R553" s="95">
        <f t="shared" ref="R553" si="7108">AVERAGE(I550:I553)</f>
        <v>216.53202328966523</v>
      </c>
      <c r="T553" s="95">
        <f t="shared" ref="T553" si="7109">AVERAGE(K397,K449,K501)</f>
        <v>431.5</v>
      </c>
      <c r="U553" s="95">
        <f t="shared" ref="U553" si="7110">AVERAGE(L397,L449,L501)</f>
        <v>360.60416666666669</v>
      </c>
      <c r="V553" s="95">
        <f t="shared" ref="V553" si="7111">(M397+M449+M501)/3</f>
        <v>340.84722222222223</v>
      </c>
      <c r="W553" s="95">
        <f t="shared" ref="W553" si="7112">(N397+N449+N501)/3</f>
        <v>257.22222222222223</v>
      </c>
      <c r="X553" s="95">
        <f t="shared" ref="X553" si="7113">(O397+O449+O501)/3</f>
        <v>302.66666666666669</v>
      </c>
      <c r="Y553" s="95">
        <f t="shared" ref="Y553" si="7114">(P397+P449+P501)/3</f>
        <v>303.22222222222223</v>
      </c>
      <c r="Z553" s="95">
        <f t="shared" ref="Z553" si="7115">(Q397+Q449+Q501)/3</f>
        <v>233.71527777777774</v>
      </c>
      <c r="AA553" s="95">
        <f t="shared" ref="AA553" si="7116">(R397+R449+R501)/3</f>
        <v>249.62123968947117</v>
      </c>
      <c r="AC553" s="115">
        <f>+AF553-'Figure 8_data'!I765</f>
        <v>0</v>
      </c>
      <c r="AD553" s="95">
        <f t="shared" ref="AD553" si="7117">(B553/T553-1)*100</f>
        <v>-10.390112012359975</v>
      </c>
      <c r="AE553" s="95">
        <f t="shared" ref="AE553" si="7118">(C553/U553-1)*100</f>
        <v>-7.1003524178173238</v>
      </c>
      <c r="AF553" s="95">
        <f t="shared" ref="AF553" si="7119">(D553/V553-1)*100</f>
        <v>-5.1383399209486207</v>
      </c>
      <c r="AG553" s="95">
        <f t="shared" ref="AG553" si="7120">(E553/W553-1)*100</f>
        <v>-9.2872570194384441</v>
      </c>
      <c r="AH553" s="95">
        <f t="shared" ref="AH553" si="7121">(F553/X553-1)*100</f>
        <v>-30.066079295154189</v>
      </c>
      <c r="AI553" s="95">
        <f t="shared" ref="AI553" si="7122">(G553/Y553-1)*100</f>
        <v>-30.194210333455484</v>
      </c>
      <c r="AJ553" s="95">
        <f t="shared" ref="AJ553" si="7123">(H553/Z553-1)*100</f>
        <v>-15.852027930470946</v>
      </c>
      <c r="AK553" s="95">
        <f t="shared" ref="AK553" si="7124">(I553/AA553-1)*100</f>
        <v>8.0297539576578139</v>
      </c>
      <c r="AM553" s="115">
        <f>AP553-'Figure 8_data'!H765</f>
        <v>0</v>
      </c>
      <c r="AN553" s="95">
        <f t="shared" ref="AN553" si="7125">(B553/B501-1)*100</f>
        <v>3.1111111111111089</v>
      </c>
      <c r="AO553" s="95">
        <f t="shared" ref="AO553" si="7126">(C553/C501-1)*100</f>
        <v>9.2391304347825951</v>
      </c>
      <c r="AP553" s="95">
        <f t="shared" ref="AP553" si="7127">(D553/D501-1)*100</f>
        <v>19.753086419753085</v>
      </c>
      <c r="AQ553" s="95">
        <f t="shared" ref="AQ553" si="7128">(E553/E501-1)*100</f>
        <v>-2.0979020979020935</v>
      </c>
      <c r="AR553" s="95">
        <f t="shared" ref="AR553" si="7129">(F553/F501-1)*100</f>
        <v>-15.333333333333332</v>
      </c>
      <c r="AS553" s="95">
        <f t="shared" ref="AS553" si="7130">(G553/G501-1)*100</f>
        <v>-17.532467532467543</v>
      </c>
      <c r="AT553" s="95">
        <f t="shared" ref="AT553" si="7131">(H553/H501-1)*100</f>
        <v>0</v>
      </c>
      <c r="AU553" s="95">
        <f t="shared" ref="AU553" si="7132">(I553/I501-1)*100</f>
        <v>0</v>
      </c>
    </row>
    <row r="554" spans="1:47" x14ac:dyDescent="0.3">
      <c r="A554" s="13">
        <f t="shared" si="475"/>
        <v>41457</v>
      </c>
      <c r="B554" s="95">
        <f>TWK!B499</f>
        <v>380</v>
      </c>
      <c r="C554" s="95">
        <f>TWK!C499</f>
        <v>310</v>
      </c>
      <c r="D554" s="95">
        <f>TWK!D499</f>
        <v>306.66666666666669</v>
      </c>
      <c r="E554" s="95">
        <f>TWK!E499</f>
        <v>225</v>
      </c>
      <c r="F554" s="95">
        <f>TWK!F499</f>
        <v>210</v>
      </c>
      <c r="G554" s="95">
        <f>TWK!G499</f>
        <v>210</v>
      </c>
      <c r="H554" s="95">
        <f>TWK!H499</f>
        <v>191.66666666666666</v>
      </c>
      <c r="I554" s="95">
        <f>TWK!I499</f>
        <v>262.80931586608443</v>
      </c>
      <c r="K554" s="95">
        <f t="shared" ref="K554" si="7133">AVERAGE(B551:B554)</f>
        <v>370.41666666666669</v>
      </c>
      <c r="L554" s="95">
        <f t="shared" ref="L554" si="7134">AVERAGE(C551:C554)</f>
        <v>312.5</v>
      </c>
      <c r="M554" s="95">
        <f t="shared" ref="M554" si="7135">AVERAGE(D551:D554)</f>
        <v>304.375</v>
      </c>
      <c r="N554" s="95">
        <f t="shared" ref="N554" si="7136">AVERAGE(E551:E554)</f>
        <v>223.95833333333334</v>
      </c>
      <c r="O554" s="95">
        <f t="shared" ref="O554" si="7137">AVERAGE(F551:F554)</f>
        <v>200.41666666666666</v>
      </c>
      <c r="P554" s="95">
        <f t="shared" ref="P554" si="7138">AVERAGE(G551:G554)</f>
        <v>200.41666666666666</v>
      </c>
      <c r="Q554" s="95">
        <f t="shared" ref="Q554" si="7139">AVERAGE(H551:H554)</f>
        <v>192.08333333333331</v>
      </c>
      <c r="R554" s="95">
        <f t="shared" ref="R554" si="7140">AVERAGE(I551:I554)</f>
        <v>219.95997088791847</v>
      </c>
      <c r="T554" s="95">
        <f t="shared" ref="T554" si="7141">AVERAGE(K398,K450,K502)</f>
        <v>442.81944444444451</v>
      </c>
      <c r="U554" s="95">
        <f t="shared" ref="U554" si="7142">AVERAGE(L398,L450,L502)</f>
        <v>371.4305555555556</v>
      </c>
      <c r="V554" s="95">
        <f t="shared" ref="V554" si="7143">(M398+M450+M502)/3</f>
        <v>347.47916666666669</v>
      </c>
      <c r="W554" s="95">
        <f t="shared" ref="W554" si="7144">(N398+N450+N502)/3</f>
        <v>265.27083333333331</v>
      </c>
      <c r="X554" s="95">
        <f t="shared" ref="X554" si="7145">(O398+O450+O502)/3</f>
        <v>300.67361111111109</v>
      </c>
      <c r="Y554" s="95">
        <f t="shared" ref="Y554" si="7146">(P398+P450+P502)/3</f>
        <v>300.95138888888891</v>
      </c>
      <c r="Z554" s="95">
        <f t="shared" ref="Z554" si="7147">(Q398+Q450+Q502)/3</f>
        <v>236.4375</v>
      </c>
      <c r="AA554" s="95">
        <f t="shared" ref="AA554" si="7148">(R398+R450+R502)/3</f>
        <v>288.82532751091702</v>
      </c>
      <c r="AC554" s="115">
        <f>+AF554-'Figure 8_data'!I766</f>
        <v>0</v>
      </c>
      <c r="AD554" s="95">
        <f t="shared" ref="AD554" si="7149">(B554/T554-1)*100</f>
        <v>-14.186243452623671</v>
      </c>
      <c r="AE554" s="95">
        <f t="shared" ref="AE554" si="7150">(C554/U554-1)*100</f>
        <v>-16.538907377631539</v>
      </c>
      <c r="AF554" s="95">
        <f t="shared" ref="AF554" si="7151">(D554/V554-1)*100</f>
        <v>-11.745308471730919</v>
      </c>
      <c r="AG554" s="95">
        <f t="shared" ref="AG554" si="7152">(E554/W554-1)*100</f>
        <v>-15.181025681300554</v>
      </c>
      <c r="AH554" s="95">
        <f t="shared" ref="AH554" si="7153">(F554/X554-1)*100</f>
        <v>-30.156823798415587</v>
      </c>
      <c r="AI554" s="95">
        <f t="shared" ref="AI554" si="7154">(G554/Y554-1)*100</f>
        <v>-30.221288967856573</v>
      </c>
      <c r="AJ554" s="95">
        <f t="shared" ref="AJ554" si="7155">(H554/Z554-1)*100</f>
        <v>-18.935589038681822</v>
      </c>
      <c r="AK554" s="95">
        <f t="shared" ref="AK554" si="7156">(I554/AA554-1)*100</f>
        <v>-9.0075243293368139</v>
      </c>
      <c r="AM554" s="115">
        <f>AP554-'Figure 8_data'!H766</f>
        <v>0</v>
      </c>
      <c r="AN554" s="95">
        <f t="shared" ref="AN554" si="7157">(B554/B502-1)*100</f>
        <v>-5.0000000000000044</v>
      </c>
      <c r="AO554" s="95">
        <f t="shared" ref="AO554" si="7158">(C554/C502-1)*100</f>
        <v>-4.0247678018575872</v>
      </c>
      <c r="AP554" s="95">
        <f t="shared" ref="AP554" si="7159">(D554/D502-1)*100</f>
        <v>-4.1666666666666625</v>
      </c>
      <c r="AQ554" s="95">
        <f t="shared" ref="AQ554" si="7160">(E554/E502-1)*100</f>
        <v>-23.208191126279864</v>
      </c>
      <c r="AR554" s="95">
        <f t="shared" ref="AR554" si="7161">(F554/F502-1)*100</f>
        <v>-20.75471698113207</v>
      </c>
      <c r="AS554" s="95">
        <f t="shared" ref="AS554" si="7162">(G554/G502-1)*100</f>
        <v>-20.75471698113207</v>
      </c>
      <c r="AT554" s="95">
        <f t="shared" ref="AT554" si="7163">(H554/H502-1)*100</f>
        <v>-14.050822122571006</v>
      </c>
      <c r="AU554" s="95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5">
        <f>TWK!B500</f>
        <v>363.33333333333331</v>
      </c>
      <c r="C555" s="95">
        <f>TWK!C500</f>
        <v>298.33333333333331</v>
      </c>
      <c r="D555" s="95">
        <f>TWK!D500</f>
        <v>288.33333333333331</v>
      </c>
      <c r="E555" s="95">
        <f>TWK!E500</f>
        <v>226.66666666666666</v>
      </c>
      <c r="F555" s="95">
        <f>TWK!F500</f>
        <v>211.66666666666666</v>
      </c>
      <c r="G555" s="95">
        <f>TWK!G500</f>
        <v>211.66666666666666</v>
      </c>
      <c r="H555" s="95">
        <f>TWK!H500</f>
        <v>191.66666666666666</v>
      </c>
      <c r="I555" s="95">
        <f>TWK!I500</f>
        <v>262.80931586608443</v>
      </c>
      <c r="K555" s="95">
        <f t="shared" ref="K555" si="7165">AVERAGE(B552:B555)</f>
        <v>372.5</v>
      </c>
      <c r="L555" s="95">
        <f t="shared" ref="L555" si="7166">AVERAGE(C552:C555)</f>
        <v>310.83333333333331</v>
      </c>
      <c r="M555" s="95">
        <f t="shared" ref="M555" si="7167">AVERAGE(D552:D555)</f>
        <v>303.33333333333331</v>
      </c>
      <c r="N555" s="95">
        <f t="shared" ref="N555" si="7168">AVERAGE(E552:E555)</f>
        <v>226.25</v>
      </c>
      <c r="O555" s="95">
        <f t="shared" ref="O555" si="7169">AVERAGE(F552:F555)</f>
        <v>205.83333333333331</v>
      </c>
      <c r="P555" s="95">
        <f t="shared" ref="P555" si="7170">AVERAGE(G552:G555)</f>
        <v>205.83333333333331</v>
      </c>
      <c r="Q555" s="95">
        <f t="shared" ref="Q555" si="7171">AVERAGE(H552:H555)</f>
        <v>193.12499999999997</v>
      </c>
      <c r="R555" s="95">
        <f t="shared" ref="R555" si="7172">AVERAGE(I552:I555)</f>
        <v>242.81295487627369</v>
      </c>
      <c r="T555" s="95">
        <f t="shared" ref="T555" si="7173">AVERAGE(K399,K451,K503)</f>
        <v>470.84027777777783</v>
      </c>
      <c r="U555" s="95">
        <f t="shared" ref="U555" si="7174">AVERAGE(L399,L451,L503)</f>
        <v>384.90972222222223</v>
      </c>
      <c r="V555" s="95">
        <f t="shared" ref="V555" si="7175">(M399+M451+M503)/3</f>
        <v>360.8819444444444</v>
      </c>
      <c r="W555" s="95">
        <f t="shared" ref="W555" si="7176">(N399+N451+N503)/3</f>
        <v>281.48611111111109</v>
      </c>
      <c r="X555" s="95">
        <f t="shared" ref="X555" si="7177">(O399+O451+O503)/3</f>
        <v>306.40277777777777</v>
      </c>
      <c r="Y555" s="95">
        <f t="shared" ref="Y555" si="7178">(P399+P451+P503)/3</f>
        <v>306.6805555555556</v>
      </c>
      <c r="Z555" s="95">
        <f t="shared" ref="Z555" si="7179">(Q399+Q451+Q503)/3</f>
        <v>247.02777777777774</v>
      </c>
      <c r="AA555" s="95">
        <f t="shared" ref="AA555" si="7180">(R399+R451+R503)/3</f>
        <v>338.24490538573508</v>
      </c>
      <c r="AC555" s="115">
        <f>+AF555-'Figure 8_data'!I767</f>
        <v>0</v>
      </c>
      <c r="AD555" s="95">
        <f t="shared" ref="AD555" si="7181">(B555/T555-1)*100</f>
        <v>-22.83299656347253</v>
      </c>
      <c r="AE555" s="95">
        <f t="shared" ref="AE555" si="7182">(C555/U555-1)*100</f>
        <v>-22.49264798744295</v>
      </c>
      <c r="AF555" s="95">
        <f t="shared" ref="AF555" si="7183">(D555/V555-1)*100</f>
        <v>-20.103142378817317</v>
      </c>
      <c r="AG555" s="95">
        <f t="shared" ref="AG555" si="7184">(E555/W555-1)*100</f>
        <v>-19.4750086347264</v>
      </c>
      <c r="AH555" s="95">
        <f t="shared" ref="AH555" si="7185">(F555/X555-1)*100</f>
        <v>-30.91881601015367</v>
      </c>
      <c r="AI555" s="95">
        <f t="shared" ref="AI555" si="7186">(G555/Y555-1)*100</f>
        <v>-30.981386712558322</v>
      </c>
      <c r="AJ555" s="95">
        <f t="shared" ref="AJ555" si="7187">(H555/Z555-1)*100</f>
        <v>-22.41088496570336</v>
      </c>
      <c r="AK555" s="95">
        <f t="shared" ref="AK555" si="7188">(I555/AA555-1)*100</f>
        <v>-22.302062298210746</v>
      </c>
      <c r="AM555" s="115">
        <f>AP555-'Figure 8_data'!H767</f>
        <v>0</v>
      </c>
      <c r="AN555" s="95">
        <f t="shared" ref="AN555" si="7189">(B555/B503-1)*100</f>
        <v>-23.508771929824569</v>
      </c>
      <c r="AO555" s="95">
        <f t="shared" ref="AO555" si="7190">(C555/C503-1)*100</f>
        <v>-16.355140186915897</v>
      </c>
      <c r="AP555" s="95">
        <f t="shared" ref="AP555" si="7191">(D555/D503-1)*100</f>
        <v>-18.39622641509434</v>
      </c>
      <c r="AQ555" s="95">
        <f t="shared" ref="AQ555" si="7192">(E555/E503-1)*100</f>
        <v>-29.896907216494839</v>
      </c>
      <c r="AR555" s="95">
        <f t="shared" ref="AR555" si="7193">(F555/F503-1)*100</f>
        <v>-25.730994152046783</v>
      </c>
      <c r="AS555" s="95">
        <f t="shared" ref="AS555" si="7194">(G555/G503-1)*100</f>
        <v>-25.730994152046783</v>
      </c>
      <c r="AT555" s="95">
        <f t="shared" ref="AT555" si="7195">(H555/H503-1)*100</f>
        <v>-23.333333333333339</v>
      </c>
      <c r="AU555" s="95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5">
        <f>TWK!B501</f>
        <v>356.66666666666703</v>
      </c>
      <c r="C556" s="95">
        <f>TWK!C501</f>
        <v>300</v>
      </c>
      <c r="D556" s="95">
        <f>TWK!D501</f>
        <v>281.66666666666669</v>
      </c>
      <c r="E556" s="95">
        <f>TWK!E501</f>
        <v>223.33333333333334</v>
      </c>
      <c r="F556" s="95">
        <f>TWK!F501</f>
        <v>200</v>
      </c>
      <c r="G556" s="95">
        <f>TWK!G501</f>
        <v>200</v>
      </c>
      <c r="H556" s="95">
        <f>TWK!H501</f>
        <v>185</v>
      </c>
      <c r="I556" s="95">
        <f>TWK!I501</f>
        <v>253.66812227074237</v>
      </c>
      <c r="K556" s="95">
        <f t="shared" ref="K556" si="7197">AVERAGE(B553:B556)</f>
        <v>371.66666666666674</v>
      </c>
      <c r="L556" s="95">
        <f t="shared" ref="L556" si="7198">AVERAGE(C553:C556)</f>
        <v>310.83333333333331</v>
      </c>
      <c r="M556" s="95">
        <f t="shared" ref="M556" si="7199">AVERAGE(D553:D556)</f>
        <v>300</v>
      </c>
      <c r="N556" s="95">
        <f t="shared" ref="N556" si="7200">AVERAGE(E553:E556)</f>
        <v>227.08333333333334</v>
      </c>
      <c r="O556" s="95">
        <f t="shared" ref="O556" si="7201">AVERAGE(F553:F556)</f>
        <v>208.33333333333331</v>
      </c>
      <c r="P556" s="95">
        <f t="shared" ref="P556" si="7202">AVERAGE(G553:G556)</f>
        <v>208.33333333333331</v>
      </c>
      <c r="Q556" s="95">
        <f t="shared" ref="Q556" si="7203">AVERAGE(H553:H556)</f>
        <v>191.25</v>
      </c>
      <c r="R556" s="95">
        <f t="shared" ref="R556" si="7204">AVERAGE(I553:I556)</f>
        <v>262.23799126637556</v>
      </c>
      <c r="T556" s="95">
        <f t="shared" ref="T556" si="7205">AVERAGE(K400,K452,K504)</f>
        <v>488.58333333333331</v>
      </c>
      <c r="U556" s="95">
        <f t="shared" ref="U556" si="7206">AVERAGE(L400,L452,L504)</f>
        <v>404.42361111111109</v>
      </c>
      <c r="V556" s="95">
        <f t="shared" ref="V556" si="7207">(M400+M452+M504)/3</f>
        <v>380.86111111111109</v>
      </c>
      <c r="W556" s="95">
        <f t="shared" ref="W556" si="7208">(N400+N452+N504)/3</f>
        <v>300.20833333333331</v>
      </c>
      <c r="X556" s="95">
        <f t="shared" ref="X556" si="7209">(O400+O452+O504)/3</f>
        <v>327.65277777777777</v>
      </c>
      <c r="Y556" s="95">
        <f t="shared" ref="Y556" si="7210">(P400+P452+P504)/3</f>
        <v>327.51388888888891</v>
      </c>
      <c r="Z556" s="95">
        <f t="shared" ref="Z556" si="7211">(Q400+Q452+Q504)/3</f>
        <v>264.97916666666663</v>
      </c>
      <c r="AA556" s="95">
        <f t="shared" ref="AA556" si="7212">(R400+R452+R504)/3</f>
        <v>362.85947355652593</v>
      </c>
      <c r="AC556" s="115">
        <f>+AF556-'Figure 8_data'!I768</f>
        <v>0</v>
      </c>
      <c r="AD556" s="95">
        <f t="shared" ref="AD556" si="7213">(B556/T556-1)*100</f>
        <v>-26.999829438853752</v>
      </c>
      <c r="AE556" s="95">
        <f t="shared" ref="AE556" si="7214">(C556/U556-1)*100</f>
        <v>-25.820354757284882</v>
      </c>
      <c r="AF556" s="95">
        <f t="shared" ref="AF556" si="7215">(D556/V556-1)*100</f>
        <v>-26.044781562249277</v>
      </c>
      <c r="AG556" s="95">
        <f t="shared" ref="AG556" si="7216">(E556/W556-1)*100</f>
        <v>-25.60721721027064</v>
      </c>
      <c r="AH556" s="95">
        <f t="shared" ref="AH556" si="7217">(F556/X556-1)*100</f>
        <v>-38.959772794709849</v>
      </c>
      <c r="AI556" s="95">
        <f t="shared" ref="AI556" si="7218">(G556/Y556-1)*100</f>
        <v>-38.933887451762018</v>
      </c>
      <c r="AJ556" s="95">
        <f t="shared" ref="AJ556" si="7219">(H556/Z556-1)*100</f>
        <v>-30.18319050239797</v>
      </c>
      <c r="AK556" s="95">
        <f t="shared" ref="AK556" si="7220">(I556/AA556-1)*100</f>
        <v>-30.091911399076043</v>
      </c>
      <c r="AM556" s="115">
        <f>AP556-'Figure 8_data'!H768</f>
        <v>0</v>
      </c>
      <c r="AN556" s="95">
        <f t="shared" ref="AN556" si="7221">(B556/B504-1)*100</f>
        <v>-30.406504065040586</v>
      </c>
      <c r="AO556" s="95">
        <f t="shared" ref="AO556" si="7222">(C556/C504-1)*100</f>
        <v>-27.27272727272727</v>
      </c>
      <c r="AP556" s="95">
        <f t="shared" ref="AP556" si="7223">(D556/D504-1)*100</f>
        <v>-31.090723751274208</v>
      </c>
      <c r="AQ556" s="95">
        <f t="shared" ref="AQ556" si="7224">(E556/E504-1)*100</f>
        <v>-41.228070175438589</v>
      </c>
      <c r="AR556" s="95">
        <f t="shared" ref="AR556" si="7225">(F556/F504-1)*100</f>
        <v>-42.857142857142861</v>
      </c>
      <c r="AS556" s="95">
        <f t="shared" ref="AS556" si="7226">(G556/G504-1)*100</f>
        <v>-42.028985507246375</v>
      </c>
      <c r="AT556" s="95">
        <f t="shared" ref="AT556" si="7227">(H556/H504-1)*100</f>
        <v>-40.800000000000004</v>
      </c>
      <c r="AU556" s="95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5">
        <f>TWK!B502</f>
        <v>340</v>
      </c>
      <c r="C557" s="95">
        <f>TWK!C502</f>
        <v>293.33333333333331</v>
      </c>
      <c r="D557" s="95">
        <f>TWK!D502</f>
        <v>265</v>
      </c>
      <c r="E557" s="95">
        <f>TWK!E502</f>
        <v>220</v>
      </c>
      <c r="F557" s="95">
        <f>TWK!F502</f>
        <v>200</v>
      </c>
      <c r="G557" s="95">
        <f>TWK!G502</f>
        <v>200</v>
      </c>
      <c r="H557" s="95">
        <f>TWK!H502</f>
        <v>185</v>
      </c>
      <c r="I557" s="95">
        <f>TWK!I502</f>
        <v>253.66812227074237</v>
      </c>
      <c r="K557" s="95">
        <f t="shared" ref="K557" si="7229">AVERAGE(B554:B557)</f>
        <v>360.00000000000006</v>
      </c>
      <c r="L557" s="95">
        <f t="shared" ref="L557" si="7230">AVERAGE(C554:C557)</f>
        <v>300.41666666666663</v>
      </c>
      <c r="M557" s="95">
        <f t="shared" ref="M557" si="7231">AVERAGE(D554:D557)</f>
        <v>285.41666666666669</v>
      </c>
      <c r="N557" s="95">
        <f t="shared" ref="N557" si="7232">AVERAGE(E554:E557)</f>
        <v>223.75</v>
      </c>
      <c r="O557" s="95">
        <f t="shared" ref="O557" si="7233">AVERAGE(F554:F557)</f>
        <v>205.41666666666666</v>
      </c>
      <c r="P557" s="95">
        <f t="shared" ref="P557" si="7234">AVERAGE(G554:G557)</f>
        <v>205.41666666666666</v>
      </c>
      <c r="Q557" s="95">
        <f t="shared" ref="Q557" si="7235">AVERAGE(H554:H557)</f>
        <v>188.33333333333331</v>
      </c>
      <c r="R557" s="95">
        <f t="shared" ref="R557" si="7236">AVERAGE(I554:I557)</f>
        <v>258.23871906841339</v>
      </c>
      <c r="T557" s="95">
        <f t="shared" ref="T557" si="7237">AVERAGE(K401,K453,K505)</f>
        <v>466.25</v>
      </c>
      <c r="U557" s="95">
        <f t="shared" ref="U557" si="7238">AVERAGE(L401,L453,L505)</f>
        <v>384.34027777777783</v>
      </c>
      <c r="V557" s="95">
        <f t="shared" ref="V557" si="7239">(M401+M453+M505)/3</f>
        <v>391.1944444444444</v>
      </c>
      <c r="W557" s="95">
        <f t="shared" ref="W557" si="7240">(N401+N453+N505)/3</f>
        <v>312.15277777777777</v>
      </c>
      <c r="X557" s="95">
        <f t="shared" ref="X557" si="7241">(O401+O453+O505)/3</f>
        <v>346.01388888888891</v>
      </c>
      <c r="Y557" s="95">
        <f t="shared" ref="Y557" si="7242">(P401+P453+P505)/3</f>
        <v>345.31944444444451</v>
      </c>
      <c r="Z557" s="95">
        <f t="shared" ref="Z557" si="7243">(Q401+Q453+Q505)/3</f>
        <v>279.28472222222223</v>
      </c>
      <c r="AA557" s="95">
        <f t="shared" ref="AA557" si="7244">(R401+R453+R505)/3</f>
        <v>381.15156477438137</v>
      </c>
      <c r="AC557" s="115">
        <f>+AF557-'Figure 8_data'!I769</f>
        <v>0</v>
      </c>
      <c r="AD557" s="95">
        <f t="shared" ref="AD557" si="7245">(B557/T557-1)*100</f>
        <v>-27.077747989276133</v>
      </c>
      <c r="AE557" s="95">
        <f t="shared" ref="AE557" si="7246">(C557/U557-1)*100</f>
        <v>-23.678742433824208</v>
      </c>
      <c r="AF557" s="95">
        <f t="shared" ref="AF557" si="7247">(D557/V557-1)*100</f>
        <v>-32.258751686430443</v>
      </c>
      <c r="AG557" s="95">
        <f t="shared" ref="AG557" si="7248">(E557/W557-1)*100</f>
        <v>-29.521690767519459</v>
      </c>
      <c r="AH557" s="95">
        <f t="shared" ref="AH557" si="7249">(F557/X557-1)*100</f>
        <v>-42.198852004977326</v>
      </c>
      <c r="AI557" s="95">
        <f t="shared" ref="AI557" si="7250">(G557/Y557-1)*100</f>
        <v>-42.082612717692967</v>
      </c>
      <c r="AJ557" s="95">
        <f t="shared" ref="AJ557" si="7251">(H557/Z557-1)*100</f>
        <v>-33.759355496431851</v>
      </c>
      <c r="AK557" s="95">
        <f t="shared" ref="AK557" si="7252">(I557/AA557-1)*100</f>
        <v>-33.446915685391843</v>
      </c>
      <c r="AM557" s="115">
        <f>AP557-'Figure 8_data'!H769</f>
        <v>0</v>
      </c>
      <c r="AN557" s="95">
        <f t="shared" ref="AN557" si="7253">(B557/B505-1)*100</f>
        <v>-28.919860627177695</v>
      </c>
      <c r="AO557" s="95">
        <f t="shared" ref="AO557" si="7254">(C557/C505-1)*100</f>
        <v>-20.720720720720731</v>
      </c>
      <c r="AP557" s="95">
        <f t="shared" ref="AP557" si="7255">(D557/D505-1)*100</f>
        <v>-25.700934579439259</v>
      </c>
      <c r="AQ557" s="95">
        <f t="shared" ref="AQ557" si="7256">(E557/E505-1)*100</f>
        <v>-34.975369458128078</v>
      </c>
      <c r="AR557" s="95">
        <f t="shared" ref="AR557" si="7257">(F557/F505-1)*100</f>
        <v>-39.516129032258064</v>
      </c>
      <c r="AS557" s="95">
        <f t="shared" ref="AS557" si="7258">(G557/G505-1)*100</f>
        <v>-39.516129032258064</v>
      </c>
      <c r="AT557" s="95">
        <f t="shared" ref="AT557" si="7259">(H557/H505-1)*100</f>
        <v>-38.674033149171272</v>
      </c>
      <c r="AU557" s="95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5">
        <f>TWK!B503</f>
        <v>328.33333333333331</v>
      </c>
      <c r="C558" s="95">
        <f>TWK!C503</f>
        <v>278.33333333333331</v>
      </c>
      <c r="D558" s="95">
        <f>TWK!D503</f>
        <v>258.33333333333331</v>
      </c>
      <c r="E558" s="95">
        <f>TWK!E503</f>
        <v>216.66666666666666</v>
      </c>
      <c r="F558" s="95">
        <f>TWK!F503</f>
        <v>206.66666666666666</v>
      </c>
      <c r="G558" s="95">
        <f>TWK!G503</f>
        <v>206.66666666666666</v>
      </c>
      <c r="H558" s="95">
        <f>TWK!H503</f>
        <v>188.33333333333334</v>
      </c>
      <c r="I558" s="95">
        <f>TWK!I503</f>
        <v>258.23871906841345</v>
      </c>
      <c r="K558" s="95">
        <f t="shared" ref="K558" si="7261">AVERAGE(B555:B558)</f>
        <v>347.08333333333343</v>
      </c>
      <c r="L558" s="95">
        <f t="shared" ref="L558" si="7262">AVERAGE(C555:C558)</f>
        <v>292.49999999999994</v>
      </c>
      <c r="M558" s="95">
        <f t="shared" ref="M558" si="7263">AVERAGE(D555:D558)</f>
        <v>273.33333333333331</v>
      </c>
      <c r="N558" s="95">
        <f t="shared" ref="N558" si="7264">AVERAGE(E555:E558)</f>
        <v>221.66666666666666</v>
      </c>
      <c r="O558" s="95">
        <f t="shared" ref="O558" si="7265">AVERAGE(F555:F558)</f>
        <v>204.58333333333331</v>
      </c>
      <c r="P558" s="95">
        <f t="shared" ref="P558" si="7266">AVERAGE(G555:G558)</f>
        <v>204.58333333333331</v>
      </c>
      <c r="Q558" s="95">
        <f t="shared" ref="Q558" si="7267">AVERAGE(H555:H558)</f>
        <v>187.5</v>
      </c>
      <c r="R558" s="95">
        <f t="shared" ref="R558" si="7268">AVERAGE(I555:I558)</f>
        <v>257.09606986899564</v>
      </c>
      <c r="T558" s="95">
        <f t="shared" ref="T558" si="7269">AVERAGE(K402,K454,K506)</f>
        <v>452.4305555555556</v>
      </c>
      <c r="U558" s="95">
        <f t="shared" ref="U558" si="7270">AVERAGE(L402,L454,L506)</f>
        <v>376.25</v>
      </c>
      <c r="V558" s="95">
        <f t="shared" ref="V558" si="7271">(M402+M454+M506)/3</f>
        <v>389.77083333333331</v>
      </c>
      <c r="W558" s="95">
        <f t="shared" ref="W558" si="7272">(N402+N454+N506)/3</f>
        <v>314.31249999999994</v>
      </c>
      <c r="X558" s="95">
        <f t="shared" ref="X558" si="7273">(O402+O454+O506)/3</f>
        <v>360.29861111111114</v>
      </c>
      <c r="Y558" s="95">
        <f t="shared" ref="Y558" si="7274">(P402+P454+P506)/3</f>
        <v>359.88194444444451</v>
      </c>
      <c r="Z558" s="95">
        <f t="shared" ref="Z558" si="7275">(Q402+Q454+Q506)/3</f>
        <v>288.68055555555554</v>
      </c>
      <c r="AA558" s="95">
        <f t="shared" ref="AA558" si="7276">(R402+R454+R506)/3</f>
        <v>394.12845705967976</v>
      </c>
      <c r="AC558" s="115">
        <f>+AF558-'Figure 8_data'!I770</f>
        <v>0</v>
      </c>
      <c r="AD558" s="95">
        <f t="shared" ref="AD558" si="7277">(B558/T558-1)*100</f>
        <v>-27.429009976976214</v>
      </c>
      <c r="AE558" s="95">
        <f t="shared" ref="AE558" si="7278">(C558/U558-1)*100</f>
        <v>-26.024363233665561</v>
      </c>
      <c r="AF558" s="95">
        <f t="shared" ref="AF558" si="7279">(D558/V558-1)*100</f>
        <v>-33.721738200865893</v>
      </c>
      <c r="AG558" s="95">
        <f t="shared" ref="AG558" si="7280">(E558/W558-1)*100</f>
        <v>-31.066481076423401</v>
      </c>
      <c r="AH558" s="95">
        <f t="shared" ref="AH558" si="7281">(F558/X558-1)*100</f>
        <v>-42.640171154328009</v>
      </c>
      <c r="AI558" s="95">
        <f t="shared" ref="AI558" si="7282">(G558/Y558-1)*100</f>
        <v>-42.573760685409965</v>
      </c>
      <c r="AJ558" s="95">
        <f t="shared" ref="AJ558" si="7283">(H558/Z558-1)*100</f>
        <v>-34.760644695693998</v>
      </c>
      <c r="AK558" s="95">
        <f t="shared" ref="AK558" si="7284">(I558/AA558-1)*100</f>
        <v>-34.478540069155571</v>
      </c>
      <c r="AM558" s="115">
        <f>AP558-'Figure 8_data'!H770</f>
        <v>0</v>
      </c>
      <c r="AN558" s="95">
        <f t="shared" ref="AN558" si="7285">(B558/B506-1)*100</f>
        <v>-26.217228464419485</v>
      </c>
      <c r="AO558" s="95">
        <f t="shared" ref="AO558" si="7286">(C558/C506-1)*100</f>
        <v>-21.962616822429915</v>
      </c>
      <c r="AP558" s="95">
        <f t="shared" ref="AP558" si="7287">(D558/D506-1)*100</f>
        <v>-27.230046948356811</v>
      </c>
      <c r="AQ558" s="95">
        <f t="shared" ref="AQ558" si="7288">(E558/E506-1)*100</f>
        <v>-34.343434343434339</v>
      </c>
      <c r="AR558" s="95">
        <f t="shared" ref="AR558" si="7289">(F558/F506-1)*100</f>
        <v>-38</v>
      </c>
      <c r="AS558" s="95">
        <f t="shared" ref="AS558" si="7290">(G558/G506-1)*100</f>
        <v>-38</v>
      </c>
      <c r="AT558" s="95">
        <f t="shared" ref="AT558" si="7291">(H558/H506-1)*100</f>
        <v>-39.572192513368989</v>
      </c>
      <c r="AU558" s="95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5">
        <f>TWK!B504</f>
        <v>336.66666666666669</v>
      </c>
      <c r="C559" s="95">
        <f>TWK!C504</f>
        <v>296.66666666666669</v>
      </c>
      <c r="D559" s="95">
        <f>TWK!D504</f>
        <v>285</v>
      </c>
      <c r="E559" s="95">
        <f>TWK!E504</f>
        <v>230</v>
      </c>
      <c r="F559" s="95">
        <f>TWK!F504</f>
        <v>276.66666666666669</v>
      </c>
      <c r="G559" s="95">
        <f>TWK!G504</f>
        <v>276.66666666666669</v>
      </c>
      <c r="H559" s="95">
        <f>TWK!H504</f>
        <v>203.33333333333334</v>
      </c>
      <c r="I559" s="95">
        <f>TWK!I504</f>
        <v>278.806404657933</v>
      </c>
      <c r="K559" s="95">
        <f t="shared" ref="K559" si="7293">AVERAGE(B556:B559)</f>
        <v>340.41666666666674</v>
      </c>
      <c r="L559" s="95">
        <f t="shared" ref="L559" si="7294">AVERAGE(C556:C559)</f>
        <v>292.08333333333331</v>
      </c>
      <c r="M559" s="95">
        <f t="shared" ref="M559" si="7295">AVERAGE(D556:D559)</f>
        <v>272.5</v>
      </c>
      <c r="N559" s="95">
        <f t="shared" ref="N559" si="7296">AVERAGE(E556:E559)</f>
        <v>222.5</v>
      </c>
      <c r="O559" s="95">
        <f t="shared" ref="O559" si="7297">AVERAGE(F556:F559)</f>
        <v>220.83333333333331</v>
      </c>
      <c r="P559" s="95">
        <f t="shared" ref="P559" si="7298">AVERAGE(G556:G559)</f>
        <v>220.83333333333331</v>
      </c>
      <c r="Q559" s="95">
        <f t="shared" ref="Q559" si="7299">AVERAGE(H556:H559)</f>
        <v>190.41666666666669</v>
      </c>
      <c r="R559" s="95">
        <f t="shared" ref="R559" si="7300">AVERAGE(I556:I559)</f>
        <v>261.09534206695781</v>
      </c>
      <c r="T559" s="95">
        <f t="shared" ref="T559" si="7301">AVERAGE(K403,K455,K507)</f>
        <v>438.72916666666669</v>
      </c>
      <c r="U559" s="95">
        <f t="shared" ref="U559" si="7302">AVERAGE(L403,L455,L507)</f>
        <v>375.8125</v>
      </c>
      <c r="V559" s="95">
        <f t="shared" ref="V559" si="7303">(M403+M455+M507)/3</f>
        <v>383.52777777777783</v>
      </c>
      <c r="W559" s="95">
        <f t="shared" ref="W559" si="7304">(N403+N455+N507)/3</f>
        <v>316.74305555555549</v>
      </c>
      <c r="X559" s="95">
        <f t="shared" ref="X559" si="7305">(O403+O455+O507)/3</f>
        <v>372.45138888888891</v>
      </c>
      <c r="Y559" s="95">
        <f t="shared" ref="Y559" si="7306">(P403+P455+P507)/3</f>
        <v>372.03472222222223</v>
      </c>
      <c r="Z559" s="95">
        <f t="shared" ref="Z559" si="7307">(Q403+Q455+Q507)/3</f>
        <v>301.11111111111114</v>
      </c>
      <c r="AA559" s="95">
        <f t="shared" ref="AA559" si="7308">(R403+R455+R507)/3</f>
        <v>411.58442503639009</v>
      </c>
      <c r="AC559" s="115">
        <f>+AF559-'Figure 8_data'!I771</f>
        <v>0</v>
      </c>
      <c r="AD559" s="95">
        <f t="shared" ref="AD559" si="7309">(B559/T559-1)*100</f>
        <v>-23.263212878104376</v>
      </c>
      <c r="AE559" s="95">
        <f t="shared" ref="AE559" si="7310">(C559/U559-1)*100</f>
        <v>-21.059925716503123</v>
      </c>
      <c r="AF559" s="95">
        <f t="shared" ref="AF559" si="7311">(D559/V559-1)*100</f>
        <v>-25.689867458535531</v>
      </c>
      <c r="AG559" s="95">
        <f t="shared" ref="AG559" si="7312">(E559/W559-1)*100</f>
        <v>-27.38593760277125</v>
      </c>
      <c r="AH559" s="95">
        <f t="shared" ref="AH559" si="7313">(F559/X559-1)*100</f>
        <v>-25.71737549642944</v>
      </c>
      <c r="AI559" s="95">
        <f t="shared" ref="AI559" si="7314">(G559/Y559-1)*100</f>
        <v>-25.634181397345678</v>
      </c>
      <c r="AJ559" s="95">
        <f t="shared" ref="AJ559" si="7315">(H559/Z559-1)*100</f>
        <v>-32.47232472324724</v>
      </c>
      <c r="AK559" s="95">
        <f t="shared" ref="AK559" si="7316">(I559/AA559-1)*100</f>
        <v>-32.260214989116164</v>
      </c>
      <c r="AM559" s="115">
        <f>AP559-'Figure 8_data'!H771</f>
        <v>0</v>
      </c>
      <c r="AN559" s="95">
        <f t="shared" ref="AN559" si="7317">(B559/B507-1)*100</f>
        <v>-14.767932489451475</v>
      </c>
      <c r="AO559" s="95">
        <f t="shared" ref="AO559" si="7318">(C559/C507-1)*100</f>
        <v>-7.8674948240165516</v>
      </c>
      <c r="AP559" s="95">
        <f t="shared" ref="AP559" si="7319">(D559/D507-1)*100</f>
        <v>-6.5573770491803245</v>
      </c>
      <c r="AQ559" s="95">
        <f t="shared" ref="AQ559" si="7320">(E559/E507-1)*100</f>
        <v>-26.517571884984026</v>
      </c>
      <c r="AR559" s="95">
        <f t="shared" ref="AR559" si="7321">(F559/F507-1)*100</f>
        <v>-15.650406504065039</v>
      </c>
      <c r="AS559" s="95">
        <f t="shared" ref="AS559" si="7322">(G559/G507-1)*100</f>
        <v>-15.650406504065039</v>
      </c>
      <c r="AT559" s="95">
        <f t="shared" ref="AT559" si="7323">(H559/H507-1)*100</f>
        <v>-37.435897435897438</v>
      </c>
      <c r="AU559" s="95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5">
        <f>TWK!B505</f>
        <v>370</v>
      </c>
      <c r="C560" s="95">
        <f>TWK!C505</f>
        <v>353.33333333333331</v>
      </c>
      <c r="D560" s="95">
        <f>TWK!D505</f>
        <v>351.66666666666669</v>
      </c>
      <c r="E560" s="95">
        <f>TWK!E505</f>
        <v>308.33333333333331</v>
      </c>
      <c r="F560" s="95">
        <f>TWK!F505</f>
        <v>360</v>
      </c>
      <c r="G560" s="95">
        <f>TWK!G505</f>
        <v>360</v>
      </c>
      <c r="H560" s="95">
        <f>TWK!H505</f>
        <v>278.33333333333331</v>
      </c>
      <c r="I560" s="95">
        <f>TWK!I505</f>
        <v>381.64483260553129</v>
      </c>
      <c r="K560" s="95">
        <f t="shared" ref="K560" si="7325">AVERAGE(B557:B560)</f>
        <v>343.75</v>
      </c>
      <c r="L560" s="95">
        <f t="shared" ref="L560" si="7326">AVERAGE(C557:C560)</f>
        <v>305.41666666666663</v>
      </c>
      <c r="M560" s="95">
        <f t="shared" ref="M560" si="7327">AVERAGE(D557:D560)</f>
        <v>290</v>
      </c>
      <c r="N560" s="95">
        <f t="shared" ref="N560" si="7328">AVERAGE(E557:E560)</f>
        <v>243.75</v>
      </c>
      <c r="O560" s="95">
        <f t="shared" ref="O560" si="7329">AVERAGE(F557:F560)</f>
        <v>260.83333333333331</v>
      </c>
      <c r="P560" s="95">
        <f t="shared" ref="P560" si="7330">AVERAGE(G557:G560)</f>
        <v>260.83333333333331</v>
      </c>
      <c r="Q560" s="95">
        <f t="shared" ref="Q560" si="7331">AVERAGE(H557:H560)</f>
        <v>213.75</v>
      </c>
      <c r="R560" s="95">
        <f t="shared" ref="R560" si="7332">AVERAGE(I557:I560)</f>
        <v>293.08951965065501</v>
      </c>
      <c r="T560" s="95">
        <f t="shared" ref="T560" si="7333">AVERAGE(K404,K456,K508)</f>
        <v>452.59722222222223</v>
      </c>
      <c r="U560" s="95">
        <f t="shared" ref="U560" si="7334">AVERAGE(L404,L456,L508)</f>
        <v>404.52083333333331</v>
      </c>
      <c r="V560" s="95">
        <f t="shared" ref="V560" si="7335">(M404+M456+M508)/3</f>
        <v>380.17361111111114</v>
      </c>
      <c r="W560" s="95">
        <f t="shared" ref="W560" si="7336">(N404+N456+N508)/3</f>
        <v>324.02083333333331</v>
      </c>
      <c r="X560" s="95">
        <f t="shared" ref="X560" si="7337">(O404+O456+O508)/3</f>
        <v>377.67361111111109</v>
      </c>
      <c r="Y560" s="95">
        <f t="shared" ref="Y560" si="7338">(P404+P456+P508)/3</f>
        <v>377.67361111111109</v>
      </c>
      <c r="Z560" s="95">
        <f t="shared" ref="Z560" si="7339">(Q404+Q456+Q508)/3</f>
        <v>316.8680555555556</v>
      </c>
      <c r="AA560" s="95">
        <f t="shared" ref="AA560" si="7340">(R404+R456+R508)/3</f>
        <v>429.38361232411449</v>
      </c>
      <c r="AC560" s="115">
        <f>+AF560-'Figure 8_data'!I772</f>
        <v>0</v>
      </c>
      <c r="AD560" s="95">
        <f t="shared" ref="AD560" si="7341">(B560/T560-1)*100</f>
        <v>-18.249608739681467</v>
      </c>
      <c r="AE560" s="95">
        <f t="shared" ref="AE560" si="7342">(C560/U560-1)*100</f>
        <v>-12.653860019570484</v>
      </c>
      <c r="AF560" s="95">
        <f t="shared" ref="AF560" si="7343">(D560/V560-1)*100</f>
        <v>-7.4984016805187732</v>
      </c>
      <c r="AG560" s="95">
        <f t="shared" ref="AG560" si="7344">(E560/W560-1)*100</f>
        <v>-4.8415096765897285</v>
      </c>
      <c r="AH560" s="95">
        <f t="shared" ref="AH560" si="7345">(F560/X560-1)*100</f>
        <v>-4.679599154178538</v>
      </c>
      <c r="AI560" s="95">
        <f t="shared" ref="AI560" si="7346">(G560/Y560-1)*100</f>
        <v>-4.679599154178538</v>
      </c>
      <c r="AJ560" s="95">
        <f t="shared" ref="AJ560" si="7347">(H560/Z560-1)*100</f>
        <v>-12.16112559994742</v>
      </c>
      <c r="AK560" s="95">
        <f t="shared" ref="AK560" si="7348">(I560/AA560-1)*100</f>
        <v>-11.117978969944531</v>
      </c>
      <c r="AM560" s="115">
        <f>AP560-'Figure 8_data'!H772</f>
        <v>0</v>
      </c>
      <c r="AN560" s="95">
        <f t="shared" ref="AN560" si="7349">(B560/B508-1)*100</f>
        <v>-7.4999999999999956</v>
      </c>
      <c r="AO560" s="95">
        <f t="shared" ref="AO560" si="7350">(C560/C508-1)*100</f>
        <v>-4.0723981900452451</v>
      </c>
      <c r="AP560" s="95">
        <f t="shared" ref="AP560" si="7351">(D560/D508-1)*100</f>
        <v>-3.6529680365296802</v>
      </c>
      <c r="AQ560" s="95">
        <f t="shared" ref="AQ560" si="7352">(E560/E508-1)*100</f>
        <v>-11.483253588516751</v>
      </c>
      <c r="AR560" s="95">
        <f t="shared" ref="AR560" si="7353">(F560/F508-1)*100</f>
        <v>3.3492822966507241</v>
      </c>
      <c r="AS560" s="95">
        <f t="shared" ref="AS560" si="7354">(G560/G508-1)*100</f>
        <v>3.3492822966507241</v>
      </c>
      <c r="AT560" s="95">
        <f t="shared" ref="AT560" si="7355">(H560/H508-1)*100</f>
        <v>-28.017241379310352</v>
      </c>
      <c r="AU560" s="95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5">
        <f>TWK!B506</f>
        <v>368.33333333333331</v>
      </c>
      <c r="C561" s="95">
        <f>TWK!C506</f>
        <v>358.33333333333331</v>
      </c>
      <c r="D561" s="95">
        <f>TWK!D506</f>
        <v>355</v>
      </c>
      <c r="E561" s="95">
        <f>TWK!E506</f>
        <v>308.33333333333331</v>
      </c>
      <c r="F561" s="95">
        <f>TWK!F506</f>
        <v>363.33333333333331</v>
      </c>
      <c r="G561" s="95">
        <f>TWK!G506</f>
        <v>363.33333333333331</v>
      </c>
      <c r="H561" s="95">
        <f>TWK!H506</f>
        <v>290</v>
      </c>
      <c r="I561" s="95">
        <f>TWK!I506</f>
        <v>397.64192139737992</v>
      </c>
      <c r="K561" s="95">
        <f t="shared" ref="K561" si="7357">AVERAGE(B558:B561)</f>
        <v>350.83333333333331</v>
      </c>
      <c r="L561" s="95">
        <f t="shared" ref="L561" si="7358">AVERAGE(C558:C561)</f>
        <v>321.66666666666663</v>
      </c>
      <c r="M561" s="95">
        <f t="shared" ref="M561" si="7359">AVERAGE(D558:D561)</f>
        <v>312.5</v>
      </c>
      <c r="N561" s="95">
        <f t="shared" ref="N561" si="7360">AVERAGE(E558:E561)</f>
        <v>265.83333333333331</v>
      </c>
      <c r="O561" s="95">
        <f t="shared" ref="O561" si="7361">AVERAGE(F558:F561)</f>
        <v>301.66666666666669</v>
      </c>
      <c r="P561" s="95">
        <f t="shared" ref="P561" si="7362">AVERAGE(G558:G561)</f>
        <v>301.66666666666669</v>
      </c>
      <c r="Q561" s="95">
        <f t="shared" ref="Q561" si="7363">AVERAGE(H558:H561)</f>
        <v>240</v>
      </c>
      <c r="R561" s="95">
        <f t="shared" ref="R561" si="7364">AVERAGE(I558:I561)</f>
        <v>329.08296943231443</v>
      </c>
      <c r="T561" s="95">
        <f t="shared" ref="T561" si="7365">AVERAGE(K405,K457,K509)</f>
        <v>446.45138888888891</v>
      </c>
      <c r="U561" s="95">
        <f t="shared" ref="U561" si="7366">AVERAGE(L405,L457,L509)</f>
        <v>403.51388888888891</v>
      </c>
      <c r="V561" s="95">
        <f t="shared" ref="V561" si="7367">(M405+M457+M509)/3</f>
        <v>387.36111111111114</v>
      </c>
      <c r="W561" s="95">
        <f t="shared" ref="W561" si="7368">(N405+N457+N509)/3</f>
        <v>346.10416666666669</v>
      </c>
      <c r="X561" s="95">
        <f t="shared" ref="X561" si="7369">(O405+O457+O509)/3</f>
        <v>396.33333333333331</v>
      </c>
      <c r="Y561" s="95">
        <f t="shared" ref="Y561" si="7370">(P405+P457+P509)/3</f>
        <v>396.33333333333331</v>
      </c>
      <c r="Z561" s="95">
        <f t="shared" ref="Z561" si="7371">(Q405+Q457+Q509)/3</f>
        <v>342.63194444444451</v>
      </c>
      <c r="AA561" s="95">
        <f t="shared" ref="AA561" si="7372">(R405+R457+R509)/3</f>
        <v>455.65483988355163</v>
      </c>
      <c r="AC561" s="115">
        <f>+AF561-'Figure 8_data'!I773</f>
        <v>0</v>
      </c>
      <c r="AD561" s="95">
        <f t="shared" ref="AD561" si="7373">(B561/T561-1)*100</f>
        <v>-17.497550125215831</v>
      </c>
      <c r="AE561" s="95">
        <f t="shared" ref="AE561" si="7374">(C561/U561-1)*100</f>
        <v>-11.196778301724441</v>
      </c>
      <c r="AF561" s="95">
        <f t="shared" ref="AF561" si="7375">(D561/V561-1)*100</f>
        <v>-8.3542488347077892</v>
      </c>
      <c r="AG561" s="95">
        <f t="shared" ref="AG561" si="7376">(E561/W561-1)*100</f>
        <v>-10.913140311804014</v>
      </c>
      <c r="AH561" s="95">
        <f t="shared" ref="AH561" si="7377">(F561/X561-1)*100</f>
        <v>-8.3263246425567701</v>
      </c>
      <c r="AI561" s="95">
        <f t="shared" ref="AI561" si="7378">(G561/Y561-1)*100</f>
        <v>-8.3263246425567701</v>
      </c>
      <c r="AJ561" s="95">
        <f t="shared" ref="AJ561" si="7379">(H561/Z561-1)*100</f>
        <v>-15.361073390218705</v>
      </c>
      <c r="AK561" s="95">
        <f t="shared" ref="AK561" si="7380">(I561/AA561-1)*100</f>
        <v>-12.731768305368519</v>
      </c>
      <c r="AM561" s="115">
        <f>AP561-'Figure 8_data'!H773</f>
        <v>0</v>
      </c>
      <c r="AN561" s="95">
        <f t="shared" ref="AN561" si="7381">(B561/B509-1)*100</f>
        <v>-8.298755186721996</v>
      </c>
      <c r="AO561" s="95">
        <f t="shared" ref="AO561" si="7382">(C561/C509-1)*100</f>
        <v>3.3653846153846034</v>
      </c>
      <c r="AP561" s="95">
        <f t="shared" ref="AP561" si="7383">(D561/D509-1)*100</f>
        <v>7.575757575757569</v>
      </c>
      <c r="AQ561" s="95">
        <f t="shared" ref="AQ561" si="7384">(E561/E509-1)*100</f>
        <v>-12.735849056603776</v>
      </c>
      <c r="AR561" s="95">
        <f t="shared" ref="AR561" si="7385">(F561/F509-1)*100</f>
        <v>5.8252427184465994</v>
      </c>
      <c r="AS561" s="95">
        <f t="shared" ref="AS561" si="7386">(G561/G509-1)*100</f>
        <v>5.8252427184465994</v>
      </c>
      <c r="AT561" s="95">
        <f t="shared" ref="AT561" si="7387">(H561/H509-1)*100</f>
        <v>-23.684210526315784</v>
      </c>
      <c r="AU561" s="95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5">
        <f>TWK!B507</f>
        <v>383.33333333333331</v>
      </c>
      <c r="C562" s="95">
        <f>TWK!C507</f>
        <v>383.33333333333331</v>
      </c>
      <c r="D562" s="95">
        <f>TWK!D507</f>
        <v>391.66666666666669</v>
      </c>
      <c r="E562" s="95">
        <f>TWK!E507</f>
        <v>355</v>
      </c>
      <c r="F562" s="95">
        <f>TWK!F507</f>
        <v>391.66666666666669</v>
      </c>
      <c r="G562" s="95">
        <f>TWK!G507</f>
        <v>391.66666666666669</v>
      </c>
      <c r="H562" s="95">
        <f>TWK!H507</f>
        <v>325</v>
      </c>
      <c r="I562" s="95">
        <f>TWK!I507</f>
        <v>445.63318777292574</v>
      </c>
      <c r="K562" s="95">
        <f t="shared" ref="K562" si="7389">AVERAGE(B559:B562)</f>
        <v>364.58333333333331</v>
      </c>
      <c r="L562" s="95">
        <f t="shared" ref="L562" si="7390">AVERAGE(C559:C562)</f>
        <v>347.91666666666663</v>
      </c>
      <c r="M562" s="95">
        <f t="shared" ref="M562" si="7391">AVERAGE(D559:D562)</f>
        <v>345.83333333333337</v>
      </c>
      <c r="N562" s="95">
        <f t="shared" ref="N562" si="7392">AVERAGE(E559:E562)</f>
        <v>300.41666666666663</v>
      </c>
      <c r="O562" s="95">
        <f t="shared" ref="O562" si="7393">AVERAGE(F559:F562)</f>
        <v>347.91666666666669</v>
      </c>
      <c r="P562" s="95">
        <f t="shared" ref="P562" si="7394">AVERAGE(G559:G562)</f>
        <v>347.91666666666669</v>
      </c>
      <c r="Q562" s="95">
        <f t="shared" ref="Q562" si="7395">AVERAGE(H559:H562)</f>
        <v>274.16666666666663</v>
      </c>
      <c r="R562" s="95">
        <f t="shared" ref="R562" si="7396">AVERAGE(I559:I562)</f>
        <v>375.9315866084425</v>
      </c>
      <c r="T562" s="95">
        <f t="shared" ref="T562" si="7397">AVERAGE(K406,K458,K510)</f>
        <v>457.59722222222223</v>
      </c>
      <c r="U562" s="95">
        <f t="shared" ref="U562" si="7398">AVERAGE(L406,L458,L510)</f>
        <v>435.52777777777777</v>
      </c>
      <c r="V562" s="95">
        <f t="shared" ref="V562" si="7399">(M406+M458+M510)/3</f>
        <v>413.54166666666669</v>
      </c>
      <c r="W562" s="95">
        <f t="shared" ref="W562" si="7400">(N406+N458+N510)/3</f>
        <v>388.63888888888886</v>
      </c>
      <c r="X562" s="95">
        <f t="shared" ref="X562" si="7401">(O406+O458+O510)/3</f>
        <v>431.75</v>
      </c>
      <c r="Y562" s="95">
        <f t="shared" ref="Y562" si="7402">(P406+P458+P510)/3</f>
        <v>431.75</v>
      </c>
      <c r="Z562" s="95">
        <f t="shared" ref="Z562" si="7403">(Q406+Q458+Q510)/3</f>
        <v>387.73611111111114</v>
      </c>
      <c r="AA562" s="95">
        <f t="shared" ref="AA562" si="7404">(R406+R458+R510)/3</f>
        <v>515.02316836487137</v>
      </c>
      <c r="AC562" s="115">
        <f>+AF562-'Figure 8_data'!I774</f>
        <v>0</v>
      </c>
      <c r="AD562" s="95">
        <f t="shared" ref="AD562" si="7405">(B562/T562-1)*100</f>
        <v>-16.229095213524758</v>
      </c>
      <c r="AE562" s="95">
        <f t="shared" ref="AE562" si="7406">(C562/U562-1)*100</f>
        <v>-11.984182664710763</v>
      </c>
      <c r="AF562" s="95">
        <f t="shared" ref="AF562" si="7407">(D562/V562-1)*100</f>
        <v>-5.2896725440806041</v>
      </c>
      <c r="AG562" s="95">
        <f t="shared" ref="AG562" si="7408">(E562/W562-1)*100</f>
        <v>-8.6555642913301316</v>
      </c>
      <c r="AH562" s="95">
        <f t="shared" ref="AH562" si="7409">(F562/X562-1)*100</f>
        <v>-9.2839220227755259</v>
      </c>
      <c r="AI562" s="95">
        <f t="shared" ref="AI562" si="7410">(G562/Y562-1)*100</f>
        <v>-9.2839220227755259</v>
      </c>
      <c r="AJ562" s="95">
        <f t="shared" ref="AJ562" si="7411">(H562/Z562-1)*100</f>
        <v>-16.180105312175385</v>
      </c>
      <c r="AK562" s="95">
        <f t="shared" ref="AK562" si="7412">(I562/AA562-1)*100</f>
        <v>-13.473176519854324</v>
      </c>
      <c r="AM562" s="115">
        <f>AP562-'Figure 8_data'!H774</f>
        <v>0</v>
      </c>
      <c r="AN562" s="95">
        <f t="shared" ref="AN562" si="7413">(B562/B510-1)*100</f>
        <v>-9.8039215686274606</v>
      </c>
      <c r="AO562" s="95">
        <f t="shared" ref="AO562" si="7414">(C562/C510-1)*100</f>
        <v>-7.0707070707070718</v>
      </c>
      <c r="AP562" s="95">
        <f t="shared" ref="AP562" si="7415">(D562/D510-1)*100</f>
        <v>-10.476190476190473</v>
      </c>
      <c r="AQ562" s="95">
        <f t="shared" ref="AQ562" si="7416">(E562/E510-1)*100</f>
        <v>-29.000000000000004</v>
      </c>
      <c r="AR562" s="95">
        <f t="shared" ref="AR562" si="7417">(F562/F510-1)*100</f>
        <v>-10.476190476190473</v>
      </c>
      <c r="AS562" s="95">
        <f t="shared" ref="AS562" si="7418">(G562/G510-1)*100</f>
        <v>-10.476190476190473</v>
      </c>
      <c r="AT562" s="95">
        <f t="shared" ref="AT562" si="7419">(H562/H510-1)*100</f>
        <v>-38.095238095238095</v>
      </c>
      <c r="AU562" s="95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5">
        <f>TWK!B508</f>
        <v>418.75</v>
      </c>
      <c r="C563" s="95">
        <f>TWK!C508</f>
        <v>421.25</v>
      </c>
      <c r="D563" s="95">
        <f>TWK!D508</f>
        <v>425</v>
      </c>
      <c r="E563" s="95">
        <f>TWK!E508</f>
        <v>387.5</v>
      </c>
      <c r="F563" s="95">
        <f>TWK!F508</f>
        <v>431.25</v>
      </c>
      <c r="G563" s="95">
        <f>TWK!G508</f>
        <v>431.25</v>
      </c>
      <c r="H563" s="95">
        <f>TWK!H508</f>
        <v>387.5</v>
      </c>
      <c r="I563" s="95">
        <f>TWK!I508</f>
        <v>525.61863173216886</v>
      </c>
      <c r="K563" s="95">
        <f t="shared" ref="K563" si="7421">AVERAGE(B560:B563)</f>
        <v>385.10416666666663</v>
      </c>
      <c r="L563" s="95">
        <f t="shared" ref="L563" si="7422">AVERAGE(C560:C563)</f>
        <v>379.0625</v>
      </c>
      <c r="M563" s="95">
        <f t="shared" ref="M563" si="7423">AVERAGE(D560:D563)</f>
        <v>380.83333333333337</v>
      </c>
      <c r="N563" s="95">
        <f t="shared" ref="N563" si="7424">AVERAGE(E560:E563)</f>
        <v>339.79166666666663</v>
      </c>
      <c r="O563" s="95">
        <f t="shared" ref="O563" si="7425">AVERAGE(F560:F563)</f>
        <v>386.5625</v>
      </c>
      <c r="P563" s="95">
        <f t="shared" ref="P563" si="7426">AVERAGE(G560:G563)</f>
        <v>386.5625</v>
      </c>
      <c r="Q563" s="95">
        <f t="shared" ref="Q563" si="7427">AVERAGE(H560:H563)</f>
        <v>320.20833333333331</v>
      </c>
      <c r="R563" s="95">
        <f t="shared" ref="R563" si="7428">AVERAGE(I560:I563)</f>
        <v>437.63464337700145</v>
      </c>
      <c r="T563" s="95">
        <f t="shared" ref="T563" si="7429">AVERAGE(K407,K459,K511)</f>
        <v>462.6180555555556</v>
      </c>
      <c r="U563" s="95">
        <f t="shared" ref="U563" si="7430">AVERAGE(L407,L459,L511)</f>
        <v>445.625</v>
      </c>
      <c r="V563" s="95">
        <f t="shared" ref="V563" si="7431">(M407+M459+M511)/3</f>
        <v>441.90277777777777</v>
      </c>
      <c r="W563" s="95">
        <f t="shared" ref="W563" si="7432">(N407+N459+N511)/3</f>
        <v>427.77083333333331</v>
      </c>
      <c r="X563" s="95">
        <f t="shared" ref="X563" si="7433">(O407+O459+O511)/3</f>
        <v>469.18055555555549</v>
      </c>
      <c r="Y563" s="95">
        <f t="shared" ref="Y563" si="7434">(P407+P459+P511)/3</f>
        <v>469.18055555555549</v>
      </c>
      <c r="Z563" s="95">
        <f t="shared" ref="Z563" si="7435">(Q407+Q459+Q511)/3</f>
        <v>428.4305555555556</v>
      </c>
      <c r="AA563" s="95">
        <f t="shared" ref="AA563" si="7436">(R407+R459+R511)/3</f>
        <v>570.73277535177101</v>
      </c>
      <c r="AC563" s="115">
        <f>+AF563-'Figure 8_data'!I775</f>
        <v>0</v>
      </c>
      <c r="AD563" s="95">
        <f t="shared" ref="AD563" si="7437">(B563/T563-1)*100</f>
        <v>-9.4825645105603762</v>
      </c>
      <c r="AE563" s="95">
        <f t="shared" ref="AE563" si="7438">(C563/U563-1)*100</f>
        <v>-5.4698457223001373</v>
      </c>
      <c r="AF563" s="95">
        <f t="shared" ref="AF563" si="7439">(D563/V563-1)*100</f>
        <v>-3.8249992142565303</v>
      </c>
      <c r="AG563" s="95">
        <f t="shared" ref="AG563" si="7440">(E563/W563-1)*100</f>
        <v>-9.4141138654848291</v>
      </c>
      <c r="AH563" s="95">
        <f t="shared" ref="AH563" si="7441">(F563/X563-1)*100</f>
        <v>-8.0844261567152955</v>
      </c>
      <c r="AI563" s="95">
        <f t="shared" ref="AI563" si="7442">(G563/Y563-1)*100</f>
        <v>-8.0844261567152955</v>
      </c>
      <c r="AJ563" s="95">
        <f t="shared" ref="AJ563" si="7443">(H563/Z563-1)*100</f>
        <v>-9.5536032677407956</v>
      </c>
      <c r="AK563" s="95">
        <f t="shared" ref="AK563" si="7444">(I563/AA563-1)*100</f>
        <v>-7.9046001154911893</v>
      </c>
      <c r="AM563" s="115">
        <f>AP563-'Figure 8_data'!H775</f>
        <v>0</v>
      </c>
      <c r="AN563" s="95">
        <f t="shared" ref="AN563" si="7445">(B563/B511-1)*100</f>
        <v>-11.842105263157897</v>
      </c>
      <c r="AO563" s="95">
        <f t="shared" ref="AO563" si="7446">(C563/C511-1)*100</f>
        <v>-14.8989898989899</v>
      </c>
      <c r="AP563" s="95">
        <f t="shared" ref="AP563" si="7447">(D563/D511-1)*100</f>
        <v>-15.000000000000002</v>
      </c>
      <c r="AQ563" s="95">
        <f t="shared" ref="AQ563" si="7448">(E563/E511-1)*100</f>
        <v>-27.34375</v>
      </c>
      <c r="AR563" s="95">
        <f t="shared" ref="AR563" si="7449">(F563/F511-1)*100</f>
        <v>-12.878787878787879</v>
      </c>
      <c r="AS563" s="95">
        <f t="shared" ref="AS563" si="7450">(G563/G511-1)*100</f>
        <v>-12.878787878787879</v>
      </c>
      <c r="AT563" s="95">
        <f t="shared" ref="AT563" si="7451">(H563/H511-1)*100</f>
        <v>-34.042553191489368</v>
      </c>
      <c r="AU563" s="95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5">
        <f>TWK!B509</f>
        <v>446.66666666666669</v>
      </c>
      <c r="C564" s="95">
        <f>TWK!C509</f>
        <v>446.66666666666669</v>
      </c>
      <c r="D564" s="95">
        <f>TWK!D509</f>
        <v>453.33333333333331</v>
      </c>
      <c r="E564" s="95">
        <f>TWK!E509</f>
        <v>441.66666666666669</v>
      </c>
      <c r="F564" s="95">
        <f>TWK!F509</f>
        <v>458.33333333333331</v>
      </c>
      <c r="G564" s="95">
        <f>TWK!G509</f>
        <v>458.33333333333331</v>
      </c>
      <c r="H564" s="95">
        <f>TWK!H509</f>
        <v>425</v>
      </c>
      <c r="I564" s="95">
        <f>TWK!I509</f>
        <v>582.75109170305677</v>
      </c>
      <c r="K564" s="95">
        <f t="shared" ref="K564" si="7453">AVERAGE(B561:B564)</f>
        <v>404.27083333333331</v>
      </c>
      <c r="L564" s="95">
        <f t="shared" ref="L564" si="7454">AVERAGE(C561:C564)</f>
        <v>402.39583333333331</v>
      </c>
      <c r="M564" s="95">
        <f t="shared" ref="M564" si="7455">AVERAGE(D561:D564)</f>
        <v>406.25</v>
      </c>
      <c r="N564" s="95">
        <f t="shared" ref="N564" si="7456">AVERAGE(E561:E564)</f>
        <v>373.125</v>
      </c>
      <c r="O564" s="95">
        <f t="shared" ref="O564" si="7457">AVERAGE(F561:F564)</f>
        <v>411.14583333333331</v>
      </c>
      <c r="P564" s="95">
        <f t="shared" ref="P564" si="7458">AVERAGE(G561:G564)</f>
        <v>411.14583333333331</v>
      </c>
      <c r="Q564" s="95">
        <f t="shared" ref="Q564" si="7459">AVERAGE(H561:H564)</f>
        <v>356.875</v>
      </c>
      <c r="R564" s="95">
        <f t="shared" ref="R564" si="7460">AVERAGE(I561:I564)</f>
        <v>487.91120815138282</v>
      </c>
      <c r="T564" s="95">
        <f t="shared" ref="T564" si="7461">AVERAGE(K408,K460,K512)</f>
        <v>479.6875</v>
      </c>
      <c r="U564" s="95">
        <f t="shared" ref="U564" si="7462">AVERAGE(L408,L460,L512)</f>
        <v>469.9305555555556</v>
      </c>
      <c r="V564" s="95">
        <f t="shared" ref="V564" si="7463">(M408+M460+M512)/3</f>
        <v>465.59027777777777</v>
      </c>
      <c r="W564" s="95">
        <f t="shared" ref="W564" si="7464">(N408+N460+N512)/3</f>
        <v>458.57638888888886</v>
      </c>
      <c r="X564" s="95">
        <f t="shared" ref="X564" si="7465">(O408+O460+O512)/3</f>
        <v>502.43055555555549</v>
      </c>
      <c r="Y564" s="95">
        <f t="shared" ref="Y564" si="7466">(P408+P460+P512)/3</f>
        <v>502.43055555555549</v>
      </c>
      <c r="Z564" s="95">
        <f t="shared" ref="Z564" si="7467">(Q408+Q460+Q512)/3</f>
        <v>465.34722222222217</v>
      </c>
      <c r="AA564" s="95">
        <f t="shared" ref="AA564" si="7468">(R408+R460+R512)/3</f>
        <v>611.73241145075201</v>
      </c>
      <c r="AC564" s="115">
        <f>+AF564-'Figure 8_data'!I776</f>
        <v>0</v>
      </c>
      <c r="AD564" s="95">
        <f t="shared" ref="AD564" si="7469">(B564/T564-1)*100</f>
        <v>-6.8838219326818662</v>
      </c>
      <c r="AE564" s="95">
        <f t="shared" ref="AE564" si="7470">(C564/U564-1)*100</f>
        <v>-4.9504950495049549</v>
      </c>
      <c r="AF564" s="95">
        <f t="shared" ref="AF564" si="7471">(D564/V564-1)*100</f>
        <v>-2.6325602207472598</v>
      </c>
      <c r="AG564" s="95">
        <f t="shared" ref="AG564" si="7472">(E564/W564-1)*100</f>
        <v>-3.6874384795941406</v>
      </c>
      <c r="AH564" s="95">
        <f t="shared" ref="AH564" si="7473">(F564/X564-1)*100</f>
        <v>-8.7767795438838832</v>
      </c>
      <c r="AI564" s="95">
        <f t="shared" ref="AI564" si="7474">(G564/Y564-1)*100</f>
        <v>-8.7767795438838832</v>
      </c>
      <c r="AJ564" s="95">
        <f t="shared" ref="AJ564" si="7475">(H564/Z564-1)*100</f>
        <v>-8.6703477092971113</v>
      </c>
      <c r="AK564" s="95">
        <f t="shared" ref="AK564" si="7476">(I564/AA564-1)*100</f>
        <v>-4.7375812046585359</v>
      </c>
      <c r="AM564" s="115">
        <f>AP564-'Figure 8_data'!H776</f>
        <v>0</v>
      </c>
      <c r="AN564" s="95">
        <f t="shared" ref="AN564" si="7477">(B564/B512-1)*100</f>
        <v>-16.899224806201552</v>
      </c>
      <c r="AO564" s="95">
        <f t="shared" ref="AO564" si="7478">(C564/C512-1)*100</f>
        <v>-18.042813455657491</v>
      </c>
      <c r="AP564" s="95">
        <f t="shared" ref="AP564" si="7479">(D564/D512-1)*100</f>
        <v>-17.575757575757578</v>
      </c>
      <c r="AQ564" s="95">
        <f t="shared" ref="AQ564" si="7480">(E564/E512-1)*100</f>
        <v>-26.388888888888886</v>
      </c>
      <c r="AR564" s="95">
        <f t="shared" ref="AR564" si="7481">(F564/F512-1)*100</f>
        <v>-21.98581560283688</v>
      </c>
      <c r="AS564" s="95">
        <f t="shared" ref="AS564" si="7482">(G564/G512-1)*100</f>
        <v>-21.98581560283688</v>
      </c>
      <c r="AT564" s="95">
        <f t="shared" ref="AT564" si="7483">(H564/H512-1)*100</f>
        <v>-39.285714285714292</v>
      </c>
      <c r="AU564" s="95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5">
        <f>TWK!B510</f>
        <v>550</v>
      </c>
      <c r="C565" s="95">
        <f>TWK!C510</f>
        <v>555</v>
      </c>
      <c r="D565" s="95">
        <f>TWK!D510</f>
        <v>550</v>
      </c>
      <c r="E565" s="95">
        <f>TWK!E510</f>
        <v>538.33333333333337</v>
      </c>
      <c r="F565" s="95">
        <f>TWK!F510</f>
        <v>630</v>
      </c>
      <c r="G565" s="95">
        <f>TWK!G510</f>
        <v>630</v>
      </c>
      <c r="H565" s="95">
        <f>TWK!H510</f>
        <v>558.33333333333337</v>
      </c>
      <c r="I565" s="95">
        <f>TWK!I510</f>
        <v>765.57496360989808</v>
      </c>
      <c r="K565" s="95">
        <f t="shared" ref="K565" si="7485">AVERAGE(B562:B565)</f>
        <v>449.6875</v>
      </c>
      <c r="L565" s="95">
        <f t="shared" ref="L565" si="7486">AVERAGE(C562:C565)</f>
        <v>451.5625</v>
      </c>
      <c r="M565" s="95">
        <f t="shared" ref="M565" si="7487">AVERAGE(D562:D565)</f>
        <v>455</v>
      </c>
      <c r="N565" s="95">
        <f t="shared" ref="N565" si="7488">AVERAGE(E562:E565)</f>
        <v>430.625</v>
      </c>
      <c r="O565" s="95">
        <f t="shared" ref="O565" si="7489">AVERAGE(F562:F565)</f>
        <v>477.8125</v>
      </c>
      <c r="P565" s="95">
        <f t="shared" ref="P565" si="7490">AVERAGE(G562:G565)</f>
        <v>477.8125</v>
      </c>
      <c r="Q565" s="95">
        <f t="shared" ref="Q565" si="7491">AVERAGE(H562:H565)</f>
        <v>423.95833333333337</v>
      </c>
      <c r="R565" s="95">
        <f t="shared" ref="R565" si="7492">AVERAGE(I562:I565)</f>
        <v>579.89446870451229</v>
      </c>
      <c r="T565" s="95">
        <f t="shared" ref="T565" si="7493">AVERAGE(K409,K461,K513)</f>
        <v>510.9375</v>
      </c>
      <c r="U565" s="95">
        <f t="shared" ref="U565" si="7494">AVERAGE(L409,L461,L513)</f>
        <v>509.20138888888886</v>
      </c>
      <c r="V565" s="95">
        <f t="shared" ref="V565" si="7495">(M409+M461+M513)/3</f>
        <v>504.51388888888886</v>
      </c>
      <c r="W565" s="95">
        <f t="shared" ref="W565" si="7496">(N409+N461+N513)/3</f>
        <v>486.5625</v>
      </c>
      <c r="X565" s="95">
        <f t="shared" ref="X565" si="7497">(O409+O461+O513)/3</f>
        <v>533.92361111111109</v>
      </c>
      <c r="Y565" s="95">
        <f t="shared" ref="Y565" si="7498">(P409+P461+P513)/3</f>
        <v>533.92361111111109</v>
      </c>
      <c r="Z565" s="95">
        <f t="shared" ref="Z565" si="7499">(Q409+Q461+Q513)/3</f>
        <v>502.04861111111109</v>
      </c>
      <c r="AA565" s="95">
        <f t="shared" ref="AA565" si="7500">(R409+R461+R513)/3</f>
        <v>672.43565016982041</v>
      </c>
      <c r="AC565" s="115">
        <f>+AF565-'Figure 8_data'!I777</f>
        <v>0</v>
      </c>
      <c r="AD565" s="95">
        <f t="shared" ref="AD565" si="7501">(B565/T565-1)*100</f>
        <v>7.6452599388379117</v>
      </c>
      <c r="AE565" s="95">
        <f t="shared" ref="AE565" si="7502">(C565/U565-1)*100</f>
        <v>8.9942038868053196</v>
      </c>
      <c r="AF565" s="95">
        <f t="shared" ref="AF565" si="7503">(D565/V565-1)*100</f>
        <v>9.0158293186510807</v>
      </c>
      <c r="AG565" s="95">
        <f t="shared" ref="AG565" si="7504">(E565/W565-1)*100</f>
        <v>10.640119888674814</v>
      </c>
      <c r="AH565" s="95">
        <f t="shared" ref="AH565" si="7505">(F565/X565-1)*100</f>
        <v>17.994407231579636</v>
      </c>
      <c r="AI565" s="95">
        <f t="shared" ref="AI565" si="7506">(G565/Y565-1)*100</f>
        <v>17.994407231579636</v>
      </c>
      <c r="AJ565" s="95">
        <f t="shared" ref="AJ565" si="7507">(H565/Z565-1)*100</f>
        <v>11.211010443322511</v>
      </c>
      <c r="AK565" s="95">
        <f t="shared" ref="AK565" si="7508">(I565/AA565-1)*100</f>
        <v>13.851037406561616</v>
      </c>
      <c r="AM565" s="115">
        <f>AP565-'Figure 8_data'!H777</f>
        <v>0</v>
      </c>
      <c r="AN565" s="95">
        <f t="shared" ref="AN565" si="7509">(B565/B513-1)*100</f>
        <v>-8.3333333333333375</v>
      </c>
      <c r="AO565" s="95">
        <f t="shared" ref="AO565" si="7510">(C565/C513-1)*100</f>
        <v>-6.7226890756302504</v>
      </c>
      <c r="AP565" s="95">
        <f t="shared" ref="AP565" si="7511">(D565/D513-1)*100</f>
        <v>-12</v>
      </c>
      <c r="AQ565" s="95">
        <f t="shared" ref="AQ565" si="7512">(E565/E513-1)*100</f>
        <v>-12.108843537414959</v>
      </c>
      <c r="AR565" s="95">
        <f t="shared" ref="AR565" si="7513">(F565/F513-1)*100</f>
        <v>0.80000000000000071</v>
      </c>
      <c r="AS565" s="95">
        <f t="shared" ref="AS565" si="7514">(G565/G513-1)*100</f>
        <v>0.80000000000000071</v>
      </c>
      <c r="AT565" s="95">
        <f t="shared" ref="AT565" si="7515">(H565/H513-1)*100</f>
        <v>-25.555555555555554</v>
      </c>
      <c r="AU565" s="95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5">
        <f>TWK!B511</f>
        <v>555</v>
      </c>
      <c r="C566" s="95">
        <f>TWK!C511</f>
        <v>570</v>
      </c>
      <c r="D566" s="95">
        <f>TWK!D511</f>
        <v>558.33333333333337</v>
      </c>
      <c r="E566" s="95">
        <f>TWK!E511</f>
        <v>591.66666666666663</v>
      </c>
      <c r="F566" s="95">
        <f>TWK!F511</f>
        <v>675</v>
      </c>
      <c r="G566" s="95">
        <f>TWK!G511</f>
        <v>675</v>
      </c>
      <c r="H566" s="95">
        <f>TWK!H511</f>
        <v>616.66666666666663</v>
      </c>
      <c r="I566" s="95">
        <f>TWK!I511</f>
        <v>845.56040756914115</v>
      </c>
      <c r="K566" s="95">
        <f t="shared" ref="K566" si="7517">AVERAGE(B563:B566)</f>
        <v>492.60416666666669</v>
      </c>
      <c r="L566" s="95">
        <f t="shared" ref="L566" si="7518">AVERAGE(C563:C566)</f>
        <v>498.22916666666669</v>
      </c>
      <c r="M566" s="95">
        <f t="shared" ref="M566" si="7519">AVERAGE(D563:D566)</f>
        <v>496.66666666666663</v>
      </c>
      <c r="N566" s="95">
        <f t="shared" ref="N566" si="7520">AVERAGE(E563:E566)</f>
        <v>489.79166666666663</v>
      </c>
      <c r="O566" s="95">
        <f t="shared" ref="O566" si="7521">AVERAGE(F563:F566)</f>
        <v>548.64583333333326</v>
      </c>
      <c r="P566" s="95">
        <f t="shared" ref="P566" si="7522">AVERAGE(G563:G566)</f>
        <v>548.64583333333326</v>
      </c>
      <c r="Q566" s="95">
        <f t="shared" ref="Q566" si="7523">AVERAGE(H563:H566)</f>
        <v>496.875</v>
      </c>
      <c r="R566" s="95">
        <f t="shared" ref="R566" si="7524">AVERAGE(I563:I566)</f>
        <v>679.87627365356627</v>
      </c>
      <c r="T566" s="95">
        <f t="shared" ref="T566" si="7525">AVERAGE(K410,K462,K514)</f>
        <v>542.53472222222217</v>
      </c>
      <c r="U566" s="95">
        <f t="shared" ref="U566" si="7526">AVERAGE(L410,L462,L514)</f>
        <v>544.34027777777783</v>
      </c>
      <c r="V566" s="95">
        <f t="shared" ref="V566" si="7527">(M410+M462+M514)/3</f>
        <v>531.875</v>
      </c>
      <c r="W566" s="95">
        <f t="shared" ref="W566" si="7528">(N410+N462+N514)/3</f>
        <v>499.82638888888891</v>
      </c>
      <c r="X566" s="95">
        <f t="shared" ref="X566" si="7529">(O410+O462+O514)/3</f>
        <v>556.25</v>
      </c>
      <c r="Y566" s="95">
        <f t="shared" ref="Y566" si="7530">(P410+P462+P514)/3</f>
        <v>556.25</v>
      </c>
      <c r="Z566" s="95">
        <f t="shared" ref="Z566" si="7531">(Q410+Q462+Q514)/3</f>
        <v>507.67361111111109</v>
      </c>
      <c r="AA566" s="95">
        <f t="shared" ref="AA566" si="7532">(R410+R462+R514)/3</f>
        <v>682.62609170305677</v>
      </c>
      <c r="AC566" s="115">
        <f>+AF566-'Figure 8_data'!I778</f>
        <v>0</v>
      </c>
      <c r="AD566" s="95">
        <f t="shared" ref="AD566" si="7533">(B566/T566-1)*100</f>
        <v>2.2976000000000107</v>
      </c>
      <c r="AE566" s="95">
        <f t="shared" ref="AE566" si="7534">(C566/U566-1)*100</f>
        <v>4.7139121005294271</v>
      </c>
      <c r="AF566" s="95">
        <f t="shared" ref="AF566" si="7535">(D566/V566-1)*100</f>
        <v>4.9745397571484551</v>
      </c>
      <c r="AG566" s="95">
        <f t="shared" ref="AG566" si="7536">(E566/W566-1)*100</f>
        <v>18.3744355679055</v>
      </c>
      <c r="AH566" s="95">
        <f t="shared" ref="AH566" si="7537">(F566/X566-1)*100</f>
        <v>21.348314606741582</v>
      </c>
      <c r="AI566" s="95">
        <f t="shared" ref="AI566" si="7538">(G566/Y566-1)*100</f>
        <v>21.348314606741582</v>
      </c>
      <c r="AJ566" s="95">
        <f t="shared" ref="AJ566" si="7539">(H566/Z566-1)*100</f>
        <v>21.46911975925039</v>
      </c>
      <c r="AK566" s="95">
        <f t="shared" ref="AK566" si="7540">(I566/AA566-1)*100</f>
        <v>23.868750088292991</v>
      </c>
      <c r="AM566" s="115">
        <f>AP566-'Figure 8_data'!H778</f>
        <v>0</v>
      </c>
      <c r="AN566" s="95">
        <f t="shared" ref="AN566" si="7541">(B566/B514-1)*100</f>
        <v>-9.9999999999999982</v>
      </c>
      <c r="AO566" s="95">
        <f t="shared" ref="AO566" si="7542">(C566/C514-1)*100</f>
        <v>-5.7851239669421517</v>
      </c>
      <c r="AP566" s="95">
        <f t="shared" ref="AP566" si="7543">(D566/D514-1)*100</f>
        <v>-8.2191780821917799</v>
      </c>
      <c r="AQ566" s="95">
        <f t="shared" ref="AQ566" si="7544">(E566/E514-1)*100</f>
        <v>-1.3888888888888951</v>
      </c>
      <c r="AR566" s="95">
        <f t="shared" ref="AR566" si="7545">(F566/F514-1)*100</f>
        <v>8.0000000000000071</v>
      </c>
      <c r="AS566" s="95">
        <f t="shared" ref="AS566" si="7546">(G566/G514-1)*100</f>
        <v>8.0000000000000071</v>
      </c>
      <c r="AT566" s="95">
        <f t="shared" ref="AT566" si="7547">(H566/H514-1)*100</f>
        <v>9.1445427728613424</v>
      </c>
      <c r="AU566" s="95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5">
        <f>TWK!B512</f>
        <v>610</v>
      </c>
      <c r="C567" s="95">
        <f>TWK!C512</f>
        <v>610</v>
      </c>
      <c r="D567" s="95">
        <f>TWK!D512</f>
        <v>595</v>
      </c>
      <c r="E567" s="95">
        <f>TWK!E512</f>
        <v>590</v>
      </c>
      <c r="F567" s="95">
        <f>TWK!F512</f>
        <v>660</v>
      </c>
      <c r="G567" s="95">
        <f>TWK!G512</f>
        <v>660</v>
      </c>
      <c r="H567" s="95">
        <f>TWK!H512</f>
        <v>575</v>
      </c>
      <c r="I567" s="95">
        <f>TWK!I512</f>
        <v>788</v>
      </c>
      <c r="K567" s="95">
        <f t="shared" ref="K567:K570" si="7549">AVERAGE(B564:B567)</f>
        <v>540.41666666666674</v>
      </c>
      <c r="L567" s="95">
        <f t="shared" ref="L567:L570" si="7550">AVERAGE(C564:C567)</f>
        <v>545.41666666666674</v>
      </c>
      <c r="M567" s="95">
        <f t="shared" ref="M567:M570" si="7551">AVERAGE(D564:D567)</f>
        <v>539.16666666666663</v>
      </c>
      <c r="N567" s="95">
        <f t="shared" ref="N567:N570" si="7552">AVERAGE(E564:E567)</f>
        <v>540.41666666666663</v>
      </c>
      <c r="O567" s="95">
        <f t="shared" ref="O567:O570" si="7553">AVERAGE(F564:F567)</f>
        <v>605.83333333333326</v>
      </c>
      <c r="P567" s="95">
        <f t="shared" ref="P567:P570" si="7554">AVERAGE(G564:G567)</f>
        <v>605.83333333333326</v>
      </c>
      <c r="Q567" s="95">
        <f t="shared" ref="Q567:Q570" si="7555">AVERAGE(H564:H567)</f>
        <v>543.75</v>
      </c>
      <c r="R567" s="95">
        <f t="shared" ref="R567:R570" si="7556">AVERAGE(I564:I567)</f>
        <v>745.47161572052403</v>
      </c>
      <c r="T567" s="95">
        <f t="shared" ref="T567:T570" si="7557">AVERAGE(K411,K463,K515)</f>
        <v>578.50694444444446</v>
      </c>
      <c r="U567" s="95">
        <f t="shared" ref="U567:U570" si="7558">AVERAGE(L411,L463,L515)</f>
        <v>568.8888888888888</v>
      </c>
      <c r="V567" s="95">
        <f t="shared" ref="V567:V570" si="7559">(M411+M463+M515)/3</f>
        <v>563.85416666666674</v>
      </c>
      <c r="W567" s="95">
        <f t="shared" ref="W567:W570" si="7560">(N411+N463+N515)/3</f>
        <v>513.50694444444446</v>
      </c>
      <c r="X567" s="95">
        <f t="shared" ref="X567:X570" si="7561">(O411+O463+O515)/3</f>
        <v>577.70833333333337</v>
      </c>
      <c r="Y567" s="95">
        <f t="shared" ref="Y567:Y570" si="7562">(P411+P463+P515)/3</f>
        <v>577.70833333333337</v>
      </c>
      <c r="Z567" s="95">
        <f t="shared" ref="Z567:Z570" si="7563">(Q411+Q463+Q515)/3</f>
        <v>514.65277777777783</v>
      </c>
      <c r="AA567" s="95">
        <f t="shared" ref="AA567:AA570" si="7564">(R411+R463+R515)/3</f>
        <v>692.25497331392523</v>
      </c>
      <c r="AC567" s="115">
        <f>+AF567-'Figure 8_data'!I779</f>
        <v>0</v>
      </c>
      <c r="AD567" s="95">
        <f t="shared" ref="AD567:AD570" si="7565">(B567/T567-1)*100</f>
        <v>5.4438509093091669</v>
      </c>
      <c r="AE567" s="95">
        <f t="shared" ref="AE567:AE570" si="7566">(C567/U567-1)*100</f>
        <v>7.2265625000000222</v>
      </c>
      <c r="AF567" s="95">
        <f t="shared" ref="AF567:AF570" si="7567">(D567/V567-1)*100</f>
        <v>5.5237391464991514</v>
      </c>
      <c r="AG567" s="95">
        <f t="shared" ref="AG567:AG570" si="7568">(E567/W567-1)*100</f>
        <v>14.89620664007032</v>
      </c>
      <c r="AH567" s="95">
        <f t="shared" ref="AH567:AH570" si="7569">(F567/X567-1)*100</f>
        <v>14.244500540930382</v>
      </c>
      <c r="AI567" s="95">
        <f t="shared" ref="AI567:AI570" si="7570">(G567/Y567-1)*100</f>
        <v>14.244500540930382</v>
      </c>
      <c r="AJ567" s="95">
        <f t="shared" ref="AJ567:AJ570" si="7571">(H567/Z567-1)*100</f>
        <v>11.725812980704342</v>
      </c>
      <c r="AK567" s="95">
        <f t="shared" ref="AK567:AK570" si="7572">(I567/AA567-1)*100</f>
        <v>13.830890405558138</v>
      </c>
      <c r="AM567" s="115">
        <f>AP567-'Figure 8_data'!H779</f>
        <v>0</v>
      </c>
      <c r="AN567" s="95">
        <f t="shared" ref="AN567:AN570" si="7573">(B567/B515-1)*100</f>
        <v>-12.440191387559807</v>
      </c>
      <c r="AO567" s="95">
        <f t="shared" ref="AO567:AO570" si="7574">(C567/C515-1)*100</f>
        <v>-11.594202898550721</v>
      </c>
      <c r="AP567" s="95">
        <f t="shared" ref="AP567:AP570" si="7575">(D567/D515-1)*100</f>
        <v>-6.0526315789473761</v>
      </c>
      <c r="AQ567" s="95">
        <f t="shared" ref="AQ567:AQ570" si="7576">(E567/E515-1)*100</f>
        <v>-1.6666666666666718</v>
      </c>
      <c r="AR567" s="95">
        <f t="shared" ref="AR567:AR570" si="7577">(F567/F515-1)*100</f>
        <v>5.8823529411764719</v>
      </c>
      <c r="AS567" s="95">
        <f t="shared" ref="AS567:AS570" si="7578">(G567/G515-1)*100</f>
        <v>5.8823529411764719</v>
      </c>
      <c r="AT567" s="95">
        <f t="shared" ref="AT567:AT570" si="7579">(H567/H515-1)*100</f>
        <v>2.3738872403560984</v>
      </c>
      <c r="AU567" s="95">
        <f t="shared" ref="AU567:AU570" si="7580">(I567/I515-1)*100</f>
        <v>2.318320134570695</v>
      </c>
    </row>
    <row r="568" spans="1:47" x14ac:dyDescent="0.3">
      <c r="A568" s="13">
        <f t="shared" ref="A568:A613" si="7581">7+A567</f>
        <v>41555</v>
      </c>
      <c r="B568" s="95">
        <f>TWK!B513</f>
        <v>575</v>
      </c>
      <c r="C568" s="95">
        <f>TWK!C513</f>
        <v>570</v>
      </c>
      <c r="D568" s="95">
        <f>TWK!D513</f>
        <v>550</v>
      </c>
      <c r="E568" s="95">
        <f>TWK!E513</f>
        <v>525</v>
      </c>
      <c r="F568" s="95">
        <f>TWK!F513</f>
        <v>590</v>
      </c>
      <c r="G568" s="95">
        <f>TWK!G513</f>
        <v>590</v>
      </c>
      <c r="H568" s="95">
        <f>TWK!H513</f>
        <v>475</v>
      </c>
      <c r="I568" s="95">
        <f>TWK!I513</f>
        <v>651</v>
      </c>
      <c r="K568" s="95">
        <f t="shared" si="7549"/>
        <v>572.5</v>
      </c>
      <c r="L568" s="95">
        <f t="shared" si="7550"/>
        <v>576.25</v>
      </c>
      <c r="M568" s="95">
        <f t="shared" si="7551"/>
        <v>563.33333333333337</v>
      </c>
      <c r="N568" s="95">
        <f t="shared" si="7552"/>
        <v>561.25</v>
      </c>
      <c r="O568" s="95">
        <f t="shared" si="7553"/>
        <v>638.75</v>
      </c>
      <c r="P568" s="95">
        <f t="shared" si="7554"/>
        <v>638.75</v>
      </c>
      <c r="Q568" s="95">
        <f t="shared" si="7555"/>
        <v>556.25</v>
      </c>
      <c r="R568" s="95">
        <f t="shared" si="7556"/>
        <v>762.53384279475983</v>
      </c>
      <c r="T568" s="95">
        <f t="shared" si="7557"/>
        <v>592.77777777777771</v>
      </c>
      <c r="U568" s="95">
        <f t="shared" si="7558"/>
        <v>576.04166666666663</v>
      </c>
      <c r="V568" s="95">
        <f t="shared" si="7559"/>
        <v>574.06250000000011</v>
      </c>
      <c r="W568" s="95">
        <f t="shared" si="7560"/>
        <v>514.8611111111112</v>
      </c>
      <c r="X568" s="95">
        <f t="shared" si="7561"/>
        <v>588.19444444444446</v>
      </c>
      <c r="Y568" s="95">
        <f t="shared" si="7562"/>
        <v>588.19444444444446</v>
      </c>
      <c r="Z568" s="95">
        <f t="shared" si="7563"/>
        <v>503.54166666666669</v>
      </c>
      <c r="AA568" s="95">
        <f t="shared" si="7564"/>
        <v>690.44577874818049</v>
      </c>
      <c r="AC568" s="115">
        <f>+AF568-'Figure 8_data'!I780</f>
        <v>0</v>
      </c>
      <c r="AD568" s="95">
        <f t="shared" si="7565"/>
        <v>-2.9990627928772162</v>
      </c>
      <c r="AE568" s="95">
        <f t="shared" si="7566"/>
        <v>-1.0488245931283835</v>
      </c>
      <c r="AF568" s="95">
        <f t="shared" si="7567"/>
        <v>-4.1916167664670878</v>
      </c>
      <c r="AG568" s="95">
        <f t="shared" si="7568"/>
        <v>1.9692473698408319</v>
      </c>
      <c r="AH568" s="95">
        <f t="shared" si="7569"/>
        <v>0.30696576151121313</v>
      </c>
      <c r="AI568" s="95">
        <f t="shared" si="7570"/>
        <v>0.30696576151121313</v>
      </c>
      <c r="AJ568" s="95">
        <f t="shared" si="7571"/>
        <v>-5.668183698800167</v>
      </c>
      <c r="AK568" s="95">
        <f t="shared" si="7572"/>
        <v>-5.7130885526880952</v>
      </c>
      <c r="AM568" s="115">
        <f>AP568-'Figure 8_data'!H780</f>
        <v>0</v>
      </c>
      <c r="AN568" s="95">
        <f t="shared" si="7573"/>
        <v>0</v>
      </c>
      <c r="AO568" s="95">
        <f t="shared" si="7574"/>
        <v>6.0465116279069697</v>
      </c>
      <c r="AP568" s="95">
        <f t="shared" si="7575"/>
        <v>7.3170731707317138</v>
      </c>
      <c r="AQ568" s="95">
        <f t="shared" si="7576"/>
        <v>6.0606060606060552</v>
      </c>
      <c r="AR568" s="95">
        <f t="shared" si="7577"/>
        <v>15.121951219512187</v>
      </c>
      <c r="AS568" s="95">
        <f t="shared" si="7578"/>
        <v>15.121951219512187</v>
      </c>
      <c r="AT568" s="95">
        <f t="shared" si="7579"/>
        <v>0</v>
      </c>
      <c r="AU568" s="95">
        <f t="shared" si="7580"/>
        <v>-4.7603084143477137E-2</v>
      </c>
    </row>
    <row r="569" spans="1:47" x14ac:dyDescent="0.3">
      <c r="A569" s="13">
        <f t="shared" si="7581"/>
        <v>41562</v>
      </c>
      <c r="B569" s="95">
        <f>TWK!B514</f>
        <v>615</v>
      </c>
      <c r="C569" s="95">
        <f>TWK!C514</f>
        <v>625</v>
      </c>
      <c r="D569" s="95">
        <f>TWK!D514</f>
        <v>625</v>
      </c>
      <c r="E569" s="95">
        <f>TWK!E514</f>
        <v>545</v>
      </c>
      <c r="F569" s="95">
        <f>TWK!F514</f>
        <v>630</v>
      </c>
      <c r="G569" s="95">
        <f>TWK!G514</f>
        <v>630</v>
      </c>
      <c r="H569" s="95">
        <f>TWK!H514</f>
        <v>480</v>
      </c>
      <c r="I569" s="95">
        <f>TWK!I514</f>
        <v>658</v>
      </c>
      <c r="K569" s="95">
        <f t="shared" si="7549"/>
        <v>588.75</v>
      </c>
      <c r="L569" s="95">
        <f t="shared" si="7550"/>
        <v>593.75</v>
      </c>
      <c r="M569" s="95">
        <f t="shared" si="7551"/>
        <v>582.08333333333337</v>
      </c>
      <c r="N569" s="95">
        <f t="shared" si="7552"/>
        <v>562.91666666666663</v>
      </c>
      <c r="O569" s="95">
        <f t="shared" si="7553"/>
        <v>638.75</v>
      </c>
      <c r="P569" s="95">
        <f t="shared" si="7554"/>
        <v>638.75</v>
      </c>
      <c r="Q569" s="95">
        <f t="shared" si="7555"/>
        <v>536.66666666666663</v>
      </c>
      <c r="R569" s="95">
        <f t="shared" si="7556"/>
        <v>735.64010189228532</v>
      </c>
      <c r="T569" s="95">
        <f t="shared" si="7557"/>
        <v>583.44444444444446</v>
      </c>
      <c r="U569" s="95">
        <f t="shared" si="7558"/>
        <v>565.75</v>
      </c>
      <c r="V569" s="95">
        <f t="shared" si="7559"/>
        <v>562.40972222222229</v>
      </c>
      <c r="W569" s="95">
        <f t="shared" si="7560"/>
        <v>508.82638888888891</v>
      </c>
      <c r="X569" s="95">
        <f t="shared" si="7561"/>
        <v>583.86805555555554</v>
      </c>
      <c r="Y569" s="95">
        <f t="shared" si="7562"/>
        <v>583.84722222222217</v>
      </c>
      <c r="Z569" s="95">
        <f t="shared" si="7563"/>
        <v>477.95833333333331</v>
      </c>
      <c r="AA569" s="95">
        <f t="shared" si="7564"/>
        <v>654.86499272197955</v>
      </c>
      <c r="AC569" s="115">
        <f>+AF569-'Figure 8_data'!I781</f>
        <v>0</v>
      </c>
      <c r="AD569" s="95">
        <f t="shared" si="7565"/>
        <v>5.4084936202628109</v>
      </c>
      <c r="AE569" s="95">
        <f t="shared" si="7566"/>
        <v>10.472823685373388</v>
      </c>
      <c r="AF569" s="95">
        <f t="shared" si="7567"/>
        <v>11.12894662106263</v>
      </c>
      <c r="AG569" s="95">
        <f t="shared" si="7568"/>
        <v>7.1092246591420771</v>
      </c>
      <c r="AH569" s="95">
        <f t="shared" si="7569"/>
        <v>7.9010906668886882</v>
      </c>
      <c r="AI569" s="95">
        <f t="shared" si="7570"/>
        <v>7.9049408854104719</v>
      </c>
      <c r="AJ569" s="95">
        <f t="shared" si="7571"/>
        <v>0.42716415308168276</v>
      </c>
      <c r="AK569" s="95">
        <f t="shared" si="7572"/>
        <v>0.47872573932981055</v>
      </c>
      <c r="AM569" s="115">
        <f>AP569-'Figure 8_data'!H781</f>
        <v>0</v>
      </c>
      <c r="AN569" s="95">
        <f t="shared" si="7573"/>
        <v>17.142857142857149</v>
      </c>
      <c r="AO569" s="95">
        <f t="shared" si="7574"/>
        <v>25</v>
      </c>
      <c r="AP569" s="95">
        <f t="shared" si="7575"/>
        <v>25</v>
      </c>
      <c r="AQ569" s="95">
        <f t="shared" si="7576"/>
        <v>9.0000000000000071</v>
      </c>
      <c r="AR569" s="95">
        <f t="shared" si="7577"/>
        <v>14.54545454545455</v>
      </c>
      <c r="AS569" s="95">
        <f t="shared" si="7578"/>
        <v>14.54545454545455</v>
      </c>
      <c r="AT569" s="95">
        <f t="shared" si="7579"/>
        <v>12.941176470588234</v>
      </c>
      <c r="AU569" s="95">
        <f t="shared" si="7580"/>
        <v>12.912701386286995</v>
      </c>
    </row>
    <row r="570" spans="1:47" x14ac:dyDescent="0.3">
      <c r="A570" s="13">
        <f t="shared" si="7581"/>
        <v>41569</v>
      </c>
      <c r="B570" s="95">
        <f>TWK!B515</f>
        <v>616.66666666666663</v>
      </c>
      <c r="C570" s="95">
        <f>TWK!C515</f>
        <v>630.66666666666663</v>
      </c>
      <c r="D570" s="95">
        <f>TWK!D515</f>
        <v>640.66666666666663</v>
      </c>
      <c r="E570" s="95">
        <f>TWK!E515</f>
        <v>568.33333333333337</v>
      </c>
      <c r="F570" s="95">
        <f>TWK!F515</f>
        <v>694</v>
      </c>
      <c r="G570" s="95">
        <f>TWK!G515</f>
        <v>694</v>
      </c>
      <c r="H570" s="95">
        <f>TWK!H515</f>
        <v>511.66666666666669</v>
      </c>
      <c r="I570" s="95">
        <f>TWK!I515</f>
        <v>700</v>
      </c>
      <c r="K570" s="95">
        <f t="shared" si="7549"/>
        <v>604.16666666666663</v>
      </c>
      <c r="L570" s="95">
        <f t="shared" si="7550"/>
        <v>608.91666666666663</v>
      </c>
      <c r="M570" s="95">
        <f t="shared" si="7551"/>
        <v>602.66666666666663</v>
      </c>
      <c r="N570" s="95">
        <f t="shared" si="7552"/>
        <v>557.08333333333337</v>
      </c>
      <c r="O570" s="95">
        <f t="shared" si="7553"/>
        <v>643.5</v>
      </c>
      <c r="P570" s="95">
        <f t="shared" si="7554"/>
        <v>643.5</v>
      </c>
      <c r="Q570" s="95">
        <f t="shared" si="7555"/>
        <v>510.41666666666669</v>
      </c>
      <c r="R570" s="95">
        <f t="shared" si="7556"/>
        <v>699.25</v>
      </c>
      <c r="T570" s="95">
        <f t="shared" si="7557"/>
        <v>602.39583333333337</v>
      </c>
      <c r="U570" s="95">
        <f t="shared" si="7558"/>
        <v>566.73611111111109</v>
      </c>
      <c r="V570" s="95">
        <f t="shared" si="7559"/>
        <v>549.14583333333337</v>
      </c>
      <c r="W570" s="95">
        <f t="shared" si="7560"/>
        <v>502.22916666666669</v>
      </c>
      <c r="X570" s="95">
        <f t="shared" si="7561"/>
        <v>562.47916666666663</v>
      </c>
      <c r="Y570" s="95">
        <f t="shared" si="7562"/>
        <v>562.45833333333337</v>
      </c>
      <c r="Z570" s="95">
        <f t="shared" si="7563"/>
        <v>475.63194444444451</v>
      </c>
      <c r="AA570" s="95">
        <f t="shared" si="7564"/>
        <v>651.67509704027168</v>
      </c>
      <c r="AC570" s="115">
        <f>+AF570-'Figure 8_data'!I782</f>
        <v>0</v>
      </c>
      <c r="AD570" s="95">
        <f t="shared" si="7565"/>
        <v>2.3690126232059461</v>
      </c>
      <c r="AE570" s="95">
        <f t="shared" si="7566"/>
        <v>11.280480333292498</v>
      </c>
      <c r="AF570" s="95">
        <f t="shared" si="7567"/>
        <v>16.666034371561889</v>
      </c>
      <c r="AG570" s="95">
        <f t="shared" si="7568"/>
        <v>13.16215207201228</v>
      </c>
      <c r="AH570" s="95">
        <f t="shared" si="7569"/>
        <v>23.382347494351642</v>
      </c>
      <c r="AI570" s="95">
        <f t="shared" si="7570"/>
        <v>23.386917549448107</v>
      </c>
      <c r="AJ570" s="95">
        <f t="shared" si="7571"/>
        <v>7.5761778919857914</v>
      </c>
      <c r="AK570" s="95">
        <f t="shared" si="7572"/>
        <v>7.415490200439856</v>
      </c>
      <c r="AM570" s="115">
        <f>AP570-'Figure 8_data'!H782</f>
        <v>0</v>
      </c>
      <c r="AN570" s="95">
        <f t="shared" si="7573"/>
        <v>-3.645833333333337</v>
      </c>
      <c r="AO570" s="95">
        <f t="shared" si="7574"/>
        <v>12.118518518518506</v>
      </c>
      <c r="AP570" s="95">
        <f t="shared" si="7575"/>
        <v>9.0496453900709142</v>
      </c>
      <c r="AQ570" s="95">
        <f t="shared" si="7576"/>
        <v>-7.2108843537414868</v>
      </c>
      <c r="AR570" s="95">
        <f t="shared" si="7577"/>
        <v>21.754385964912281</v>
      </c>
      <c r="AS570" s="95">
        <f t="shared" si="7578"/>
        <v>21.754385964912281</v>
      </c>
      <c r="AT570" s="95">
        <f t="shared" si="7579"/>
        <v>-22.767295597484271</v>
      </c>
      <c r="AU570" s="95">
        <f t="shared" si="7580"/>
        <v>-22.941954092056239</v>
      </c>
    </row>
    <row r="571" spans="1:47" x14ac:dyDescent="0.3">
      <c r="A571" s="13">
        <f t="shared" si="7581"/>
        <v>41576</v>
      </c>
      <c r="B571" s="95">
        <f>TWK!B516</f>
        <v>563.33333333333337</v>
      </c>
      <c r="C571" s="95">
        <f>TWK!C516</f>
        <v>591.66666666666663</v>
      </c>
      <c r="D571" s="95">
        <f>TWK!D516</f>
        <v>618.33333333333337</v>
      </c>
      <c r="E571" s="95">
        <f>TWK!E516</f>
        <v>560</v>
      </c>
      <c r="F571" s="95">
        <f>TWK!F516</f>
        <v>725</v>
      </c>
      <c r="G571" s="95">
        <f>TWK!G516</f>
        <v>725</v>
      </c>
      <c r="H571" s="95">
        <f>TWK!H516</f>
        <v>600</v>
      </c>
      <c r="I571" s="95">
        <f>TWK!I516</f>
        <v>0</v>
      </c>
      <c r="K571" s="95">
        <f t="shared" ref="K571" si="7582">AVERAGE(B568:B571)</f>
        <v>592.5</v>
      </c>
      <c r="L571" s="95">
        <f t="shared" ref="L571" si="7583">AVERAGE(C568:C571)</f>
        <v>604.33333333333326</v>
      </c>
      <c r="M571" s="95">
        <f t="shared" ref="M571" si="7584">AVERAGE(D568:D571)</f>
        <v>608.5</v>
      </c>
      <c r="N571" s="95">
        <f t="shared" ref="N571" si="7585">AVERAGE(E568:E571)</f>
        <v>549.58333333333337</v>
      </c>
      <c r="O571" s="95">
        <f t="shared" ref="O571" si="7586">AVERAGE(F568:F571)</f>
        <v>659.75</v>
      </c>
      <c r="P571" s="95">
        <f t="shared" ref="P571" si="7587">AVERAGE(G568:G571)</f>
        <v>659.75</v>
      </c>
      <c r="Q571" s="95">
        <f t="shared" ref="Q571" si="7588">AVERAGE(H568:H571)</f>
        <v>516.66666666666674</v>
      </c>
      <c r="R571" s="95">
        <f t="shared" ref="R571" si="7589">AVERAGE(I568:I571)</f>
        <v>502.25</v>
      </c>
      <c r="T571" s="95">
        <f t="shared" ref="T571" si="7590">AVERAGE(K415,K467,K519)</f>
        <v>599.2986111111112</v>
      </c>
      <c r="U571" s="95">
        <f t="shared" ref="U571" si="7591">AVERAGE(L415,L467,L519)</f>
        <v>565.625</v>
      </c>
      <c r="V571" s="95">
        <f t="shared" ref="V571" si="7592">(M415+M467+M519)/3</f>
        <v>518.86805555555554</v>
      </c>
      <c r="W571" s="95">
        <f t="shared" ref="W571" si="7593">(N415+N467+N519)/3</f>
        <v>486.56944444444451</v>
      </c>
      <c r="X571" s="95">
        <f t="shared" ref="X571" si="7594">(O415+O467+O519)/3</f>
        <v>527.24305555555554</v>
      </c>
      <c r="Y571" s="95">
        <f t="shared" ref="Y571" si="7595">(P415+P467+P519)/3</f>
        <v>527.22222222222217</v>
      </c>
      <c r="Z571" s="95">
        <f t="shared" ref="Z571" si="7596">(Q415+Q467+Q519)/3</f>
        <v>453.34722222222217</v>
      </c>
      <c r="AA571" s="95">
        <f t="shared" ref="AA571" si="7597">(R415+R467+R519)/3</f>
        <v>621.16387675885483</v>
      </c>
      <c r="AC571" s="115">
        <f>+AF571-'Figure 8_data'!I783</f>
        <v>0</v>
      </c>
      <c r="AD571" s="95">
        <f t="shared" ref="AD571" si="7598">(B571/T571-1)*100</f>
        <v>-6.001228287697435</v>
      </c>
      <c r="AE571" s="95">
        <f t="shared" ref="AE571" si="7599">(C571/U571-1)*100</f>
        <v>4.6040515653775316</v>
      </c>
      <c r="AF571" s="95">
        <f t="shared" ref="AF571" si="7600">(D571/V571-1)*100</f>
        <v>19.16966687634676</v>
      </c>
      <c r="AG571" s="95">
        <f t="shared" ref="AG571" si="7601">(E571/W571-1)*100</f>
        <v>15.091485171124353</v>
      </c>
      <c r="AH571" s="95">
        <f t="shared" ref="AH571" si="7602">(F571/X571-1)*100</f>
        <v>37.507738103078125</v>
      </c>
      <c r="AI571" s="95">
        <f t="shared" ref="AI571" si="7603">(G571/Y571-1)*100</f>
        <v>37.513171759747109</v>
      </c>
      <c r="AJ571" s="95">
        <f t="shared" ref="AJ571" si="7604">(H571/Z571-1)*100</f>
        <v>32.3488863699029</v>
      </c>
      <c r="AK571" s="95">
        <f t="shared" ref="AK571" si="7605">(I571/AA571-1)*100</f>
        <v>-100</v>
      </c>
      <c r="AM571" s="115">
        <f>AP571-'Figure 8_data'!H783</f>
        <v>0</v>
      </c>
      <c r="AN571" s="95">
        <f t="shared" ref="AN571" si="7606">(B571/B519-1)*100</f>
        <v>-8.8948787061994601</v>
      </c>
      <c r="AO571" s="95">
        <f t="shared" ref="AO571" si="7607">(C571/C519-1)*100</f>
        <v>7.575757575757569</v>
      </c>
      <c r="AP571" s="95">
        <f t="shared" ref="AP571" si="7608">(D571/D519-1)*100</f>
        <v>13.109756097560998</v>
      </c>
      <c r="AQ571" s="95">
        <f t="shared" ref="AQ571" si="7609">(E571/E519-1)*100</f>
        <v>-11.578947368421055</v>
      </c>
      <c r="AR571" s="95">
        <f t="shared" ref="AR571" si="7610">(F571/F519-1)*100</f>
        <v>27.941176470588246</v>
      </c>
      <c r="AS571" s="95">
        <f t="shared" ref="AS571" si="7611">(G571/G519-1)*100</f>
        <v>27.941176470588246</v>
      </c>
      <c r="AT571" s="95">
        <f t="shared" ref="AT571" si="7612">(H571/H519-1)*100</f>
        <v>-2.7027027027026973</v>
      </c>
      <c r="AU571" s="95">
        <f t="shared" ref="AU571" si="7613">(I571/I519-1)*100</f>
        <v>-100</v>
      </c>
    </row>
    <row r="572" spans="1:47" x14ac:dyDescent="0.3">
      <c r="A572" s="13">
        <f t="shared" si="7581"/>
        <v>41583</v>
      </c>
      <c r="B572" s="95">
        <f>TWK!B517</f>
        <v>503.33333333333331</v>
      </c>
      <c r="C572" s="95">
        <f>TWK!C517</f>
        <v>546.66666666666663</v>
      </c>
      <c r="D572" s="95">
        <f>TWK!D517</f>
        <v>583.33333333333337</v>
      </c>
      <c r="E572" s="95">
        <f>TWK!E517</f>
        <v>540</v>
      </c>
      <c r="F572" s="95">
        <f>TWK!F517</f>
        <v>575</v>
      </c>
      <c r="G572" s="95">
        <f>TWK!G517</f>
        <v>575</v>
      </c>
      <c r="H572" s="95">
        <f>TWK!H517</f>
        <v>456.66666666666669</v>
      </c>
      <c r="I572" s="95">
        <f>TWK!I517</f>
        <v>570.49490538573502</v>
      </c>
      <c r="K572" s="95">
        <f t="shared" ref="K572" si="7614">AVERAGE(B569:B572)</f>
        <v>574.58333333333337</v>
      </c>
      <c r="L572" s="95">
        <f t="shared" ref="L572" si="7615">AVERAGE(C569:C572)</f>
        <v>598.49999999999989</v>
      </c>
      <c r="M572" s="95">
        <f t="shared" ref="M572" si="7616">AVERAGE(D569:D572)</f>
        <v>616.83333333333337</v>
      </c>
      <c r="N572" s="95">
        <f t="shared" ref="N572" si="7617">AVERAGE(E569:E572)</f>
        <v>553.33333333333337</v>
      </c>
      <c r="O572" s="95">
        <f t="shared" ref="O572" si="7618">AVERAGE(F569:F572)</f>
        <v>656</v>
      </c>
      <c r="P572" s="95">
        <f t="shared" ref="P572" si="7619">AVERAGE(G569:G572)</f>
        <v>656</v>
      </c>
      <c r="Q572" s="95">
        <f t="shared" ref="Q572" si="7620">AVERAGE(H569:H572)</f>
        <v>512.08333333333337</v>
      </c>
      <c r="R572" s="95">
        <f t="shared" ref="R572" si="7621">AVERAGE(I569:I572)</f>
        <v>482.12372634643373</v>
      </c>
      <c r="T572" s="95">
        <f t="shared" ref="T572" si="7622">AVERAGE(K416,K468,K520)</f>
        <v>582.08333333333337</v>
      </c>
      <c r="U572" s="95">
        <f t="shared" ref="U572" si="7623">AVERAGE(L416,L468,L520)</f>
        <v>529.30555555555554</v>
      </c>
      <c r="V572" s="95">
        <f t="shared" ref="V572" si="7624">(M416+M468+M520)/3</f>
        <v>507.65277777777777</v>
      </c>
      <c r="W572" s="95">
        <f t="shared" ref="W572" si="7625">(N416+N468+N520)/3</f>
        <v>478.13194444444451</v>
      </c>
      <c r="X572" s="95">
        <f t="shared" ref="X572" si="7626">(O416+O468+O520)/3</f>
        <v>494.95138888888886</v>
      </c>
      <c r="Y572" s="95">
        <f t="shared" ref="Y572" si="7627">(P416+P468+P520)/3</f>
        <v>494.93055555555549</v>
      </c>
      <c r="Z572" s="95">
        <f t="shared" ref="Z572" si="7628">(Q416+Q468+Q520)/3</f>
        <v>422.93055555555549</v>
      </c>
      <c r="AA572" s="95">
        <f t="shared" ref="AA572" si="7629">(R416+R468+R520)/3</f>
        <v>579.45718098010673</v>
      </c>
      <c r="AC572" s="115">
        <f>+AF572-'Figure 8_data'!I784</f>
        <v>0</v>
      </c>
      <c r="AD572" s="95">
        <f t="shared" ref="AD572" si="7630">(B572/T572-1)*100</f>
        <v>-13.528990694345033</v>
      </c>
      <c r="AE572" s="95">
        <f t="shared" ref="AE572" si="7631">(C572/U572-1)*100</f>
        <v>3.2799790081343483</v>
      </c>
      <c r="AF572" s="95">
        <f t="shared" ref="AF572" si="7632">(D572/V572-1)*100</f>
        <v>14.90793685535281</v>
      </c>
      <c r="AG572" s="95">
        <f t="shared" ref="AG572" si="7633">(E572/W572-1)*100</f>
        <v>12.939536099693516</v>
      </c>
      <c r="AH572" s="95">
        <f t="shared" ref="AH572" si="7634">(F572/X572-1)*100</f>
        <v>16.173024848119223</v>
      </c>
      <c r="AI572" s="95">
        <f t="shared" ref="AI572" si="7635">(G572/Y572-1)*100</f>
        <v>16.177914971236152</v>
      </c>
      <c r="AJ572" s="95">
        <f t="shared" ref="AJ572" si="7636">(H572/Z572-1)*100</f>
        <v>7.9767495320350879</v>
      </c>
      <c r="AK572" s="95">
        <f t="shared" ref="AK572" si="7637">(I572/AA572-1)*100</f>
        <v>-1.5466674481818821</v>
      </c>
      <c r="AM572" s="115">
        <f>AP572-'Figure 8_data'!H784</f>
        <v>0</v>
      </c>
      <c r="AN572" s="95">
        <f t="shared" ref="AN572" si="7638">(B572/B520-1)*100</f>
        <v>-14.326241134751772</v>
      </c>
      <c r="AO572" s="95">
        <f t="shared" ref="AO572" si="7639">(C572/C520-1)*100</f>
        <v>-12.53333333333334</v>
      </c>
      <c r="AP572" s="95">
        <f t="shared" ref="AP572" si="7640">(D572/D520-1)*100</f>
        <v>-1.9607843137254832</v>
      </c>
      <c r="AQ572" s="95">
        <f t="shared" ref="AQ572" si="7641">(E572/E520-1)*100</f>
        <v>-13.600000000000001</v>
      </c>
      <c r="AR572" s="95">
        <f t="shared" ref="AR572" si="7642">(F572/F520-1)*100</f>
        <v>14.999999999999991</v>
      </c>
      <c r="AS572" s="95">
        <f t="shared" ref="AS572" si="7643">(G572/G520-1)*100</f>
        <v>14.999999999999991</v>
      </c>
      <c r="AT572" s="95">
        <f t="shared" ref="AT572" si="7644">(H572/H520-1)*100</f>
        <v>7.4509803921568585</v>
      </c>
      <c r="AU572" s="95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5">
        <f>TWK!B518</f>
        <v>475</v>
      </c>
      <c r="C573" s="95">
        <f>TWK!C518</f>
        <v>536.66666666666663</v>
      </c>
      <c r="D573" s="95">
        <f>TWK!D518</f>
        <v>691.66666666666663</v>
      </c>
      <c r="E573" s="95">
        <f>TWK!E518</f>
        <v>600</v>
      </c>
      <c r="F573" s="95">
        <f>TWK!F518</f>
        <v>750</v>
      </c>
      <c r="G573" s="95">
        <f>TWK!G518</f>
        <v>750</v>
      </c>
      <c r="H573" s="95">
        <f>TWK!H518</f>
        <v>566.66666666666663</v>
      </c>
      <c r="I573" s="95">
        <f>TWK!I518</f>
        <v>675.61863173216886</v>
      </c>
      <c r="K573" s="95">
        <f t="shared" ref="K573" si="7646">AVERAGE(B570:B573)</f>
        <v>539.58333333333326</v>
      </c>
      <c r="L573" s="95">
        <f t="shared" ref="L573" si="7647">AVERAGE(C570:C573)</f>
        <v>576.41666666666663</v>
      </c>
      <c r="M573" s="95">
        <f t="shared" ref="M573" si="7648">AVERAGE(D570:D573)</f>
        <v>633.5</v>
      </c>
      <c r="N573" s="95">
        <f t="shared" ref="N573" si="7649">AVERAGE(E570:E573)</f>
        <v>567.08333333333337</v>
      </c>
      <c r="O573" s="95">
        <f t="shared" ref="O573" si="7650">AVERAGE(F570:F573)</f>
        <v>686</v>
      </c>
      <c r="P573" s="95">
        <f t="shared" ref="P573" si="7651">AVERAGE(G570:G573)</f>
        <v>686</v>
      </c>
      <c r="Q573" s="95">
        <f t="shared" ref="Q573" si="7652">AVERAGE(H570:H573)</f>
        <v>533.75</v>
      </c>
      <c r="R573" s="95">
        <f t="shared" ref="R573" si="7653">AVERAGE(I570:I573)</f>
        <v>486.52838427947597</v>
      </c>
      <c r="T573" s="95">
        <f t="shared" ref="T573" si="7654">AVERAGE(K417,K469,K521)</f>
        <v>554.44444444444446</v>
      </c>
      <c r="U573" s="95">
        <f t="shared" ref="U573" si="7655">AVERAGE(L417,L469,L521)</f>
        <v>506.28472222222223</v>
      </c>
      <c r="V573" s="95">
        <f t="shared" ref="V573" si="7656">(M417+M469+M521)/3</f>
        <v>494.16666666666669</v>
      </c>
      <c r="W573" s="95">
        <f t="shared" ref="W573" si="7657">(N417+N469+N521)/3</f>
        <v>454.89583333333331</v>
      </c>
      <c r="X573" s="95">
        <f t="shared" ref="X573" si="7658">(O417+O469+O521)/3</f>
        <v>463.1319444444444</v>
      </c>
      <c r="Y573" s="95">
        <f t="shared" ref="Y573" si="7659">(P417+P469+P521)/3</f>
        <v>463.1319444444444</v>
      </c>
      <c r="Z573" s="95">
        <f t="shared" ref="Z573" si="7660">(Q417+Q469+Q521)/3</f>
        <v>396.08333333333331</v>
      </c>
      <c r="AA573" s="95">
        <f t="shared" ref="AA573" si="7661">(R417+R469+R521)/3</f>
        <v>543.14628820960695</v>
      </c>
      <c r="AC573" s="115">
        <f>+AF573-'Figure 8_data'!I785</f>
        <v>0</v>
      </c>
      <c r="AD573" s="95">
        <f t="shared" ref="AD573" si="7662">(B573/T573-1)*100</f>
        <v>-14.328657314629256</v>
      </c>
      <c r="AE573" s="95">
        <f t="shared" ref="AE573" si="7663">(C573/U573-1)*100</f>
        <v>6.0009601536245682</v>
      </c>
      <c r="AF573" s="95">
        <f t="shared" ref="AF573" si="7664">(D573/V573-1)*100</f>
        <v>39.966273187183802</v>
      </c>
      <c r="AG573" s="95">
        <f t="shared" ref="AG573" si="7665">(E573/W573-1)*100</f>
        <v>31.898328371880027</v>
      </c>
      <c r="AH573" s="95">
        <f t="shared" ref="AH573" si="7666">(F573/X573-1)*100</f>
        <v>61.940891574575296</v>
      </c>
      <c r="AI573" s="95">
        <f t="shared" ref="AI573" si="7667">(G573/Y573-1)*100</f>
        <v>61.940891574575296</v>
      </c>
      <c r="AJ573" s="95">
        <f t="shared" ref="AJ573" si="7668">(H573/Z573-1)*100</f>
        <v>43.067536292867658</v>
      </c>
      <c r="AK573" s="95">
        <f t="shared" ref="AK573" si="7669">(I573/AA573-1)*100</f>
        <v>24.389809227866643</v>
      </c>
      <c r="AM573" s="115">
        <f>AP573-'Figure 8_data'!H785</f>
        <v>0</v>
      </c>
      <c r="AN573" s="95">
        <f t="shared" ref="AN573" si="7670">(B573/B521-1)*100</f>
        <v>-13.636363636363635</v>
      </c>
      <c r="AO573" s="95">
        <f t="shared" ref="AO573" si="7671">(C573/C521-1)*100</f>
        <v>-3.880597014925391</v>
      </c>
      <c r="AP573" s="95">
        <f t="shared" ref="AP573" si="7672">(D573/D521-1)*100</f>
        <v>29.687499999999979</v>
      </c>
      <c r="AQ573" s="95">
        <f t="shared" ref="AQ573" si="7673">(E573/E521-1)*100</f>
        <v>19.999999999999996</v>
      </c>
      <c r="AR573" s="95">
        <f t="shared" ref="AR573" si="7674">(F573/F521-1)*100</f>
        <v>79.999999999999986</v>
      </c>
      <c r="AS573" s="95">
        <f t="shared" ref="AS573" si="7675">(G573/G521-1)*100</f>
        <v>79.999999999999986</v>
      </c>
      <c r="AT573" s="95">
        <f t="shared" ref="AT573" si="7676">(H573/H521-1)*100</f>
        <v>47.826086956521728</v>
      </c>
      <c r="AU573" s="95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5">
        <f>TWK!B519</f>
        <v>520</v>
      </c>
      <c r="C574" s="95">
        <f>TWK!C519</f>
        <v>545</v>
      </c>
      <c r="D574" s="95">
        <f>TWK!D519</f>
        <v>650</v>
      </c>
      <c r="E574" s="95">
        <f>TWK!E519</f>
        <v>616.66666666666663</v>
      </c>
      <c r="F574" s="95">
        <f>TWK!F519</f>
        <v>700</v>
      </c>
      <c r="G574" s="95">
        <f>TWK!G519</f>
        <v>700</v>
      </c>
      <c r="H574" s="95">
        <f>TWK!H519</f>
        <v>558.33333333333337</v>
      </c>
      <c r="I574" s="95">
        <f>TWK!I519</f>
        <v>765.57496360989808</v>
      </c>
      <c r="K574" s="95">
        <f t="shared" ref="K574" si="7678">AVERAGE(B571:B574)</f>
        <v>515.41666666666674</v>
      </c>
      <c r="L574" s="95">
        <f t="shared" ref="L574" si="7679">AVERAGE(C571:C574)</f>
        <v>555</v>
      </c>
      <c r="M574" s="95">
        <f t="shared" ref="M574" si="7680">AVERAGE(D571:D574)</f>
        <v>635.83333333333337</v>
      </c>
      <c r="N574" s="95">
        <f t="shared" ref="N574" si="7681">AVERAGE(E571:E574)</f>
        <v>579.16666666666663</v>
      </c>
      <c r="O574" s="95">
        <f t="shared" ref="O574" si="7682">AVERAGE(F571:F574)</f>
        <v>687.5</v>
      </c>
      <c r="P574" s="95">
        <f t="shared" ref="P574" si="7683">AVERAGE(G571:G574)</f>
        <v>687.5</v>
      </c>
      <c r="Q574" s="95">
        <f t="shared" ref="Q574" si="7684">AVERAGE(H571:H574)</f>
        <v>545.41666666666674</v>
      </c>
      <c r="R574" s="95">
        <f t="shared" ref="R574" si="7685">AVERAGE(I571:I574)</f>
        <v>502.92212518195049</v>
      </c>
      <c r="T574" s="95">
        <f t="shared" ref="T574" si="7686">AVERAGE(K418,K470,K522)</f>
        <v>568.64583333333337</v>
      </c>
      <c r="U574" s="95">
        <f t="shared" ref="U574" si="7687">AVERAGE(L418,L470,L522)</f>
        <v>495.20138888888891</v>
      </c>
      <c r="V574" s="95">
        <f t="shared" ref="V574" si="7688">(M418+M470+M522)/3</f>
        <v>486.8125</v>
      </c>
      <c r="W574" s="95">
        <f t="shared" ref="W574" si="7689">(N418+N470+N522)/3</f>
        <v>433.36111111111114</v>
      </c>
      <c r="X574" s="95">
        <f t="shared" ref="X574" si="7690">(O418+O470+O522)/3</f>
        <v>449.49305555555549</v>
      </c>
      <c r="Y574" s="95">
        <f t="shared" ref="Y574" si="7691">(P418+P470+P522)/3</f>
        <v>449.49305555555549</v>
      </c>
      <c r="Z574" s="95">
        <f t="shared" ref="Z574" si="7692">(Q418+Q470+Q522)/3</f>
        <v>359.86805555555549</v>
      </c>
      <c r="AA574" s="95">
        <f t="shared" ref="AA574" si="7693">(R418+R470+R522)/3</f>
        <v>493.48247210092194</v>
      </c>
      <c r="AC574" s="115">
        <f>+AF574-'Figure 8_data'!I786</f>
        <v>0</v>
      </c>
      <c r="AD574" s="95">
        <f t="shared" ref="AD574" si="7694">(B574/T574-1)*100</f>
        <v>-8.5546803443854245</v>
      </c>
      <c r="AE574" s="95">
        <f t="shared" ref="AE574" si="7695">(C574/U574-1)*100</f>
        <v>10.056234135943566</v>
      </c>
      <c r="AF574" s="95">
        <f t="shared" ref="AF574" si="7696">(D574/V574-1)*100</f>
        <v>33.521633072281418</v>
      </c>
      <c r="AG574" s="95">
        <f t="shared" ref="AG574" si="7697">(E574/W574-1)*100</f>
        <v>42.298570604448415</v>
      </c>
      <c r="AH574" s="95">
        <f t="shared" ref="AH574" si="7698">(F574/X574-1)*100</f>
        <v>55.730993248567074</v>
      </c>
      <c r="AI574" s="95">
        <f t="shared" ref="AI574" si="7699">(G574/Y574-1)*100</f>
        <v>55.730993248567074</v>
      </c>
      <c r="AJ574" s="95">
        <f t="shared" ref="AJ574" si="7700">(H574/Z574-1)*100</f>
        <v>55.149456783929331</v>
      </c>
      <c r="AK574" s="95">
        <f t="shared" ref="AK574" si="7701">(I574/AA574-1)*100</f>
        <v>55.137214975556525</v>
      </c>
      <c r="AM574" s="115">
        <f>AP574-'Figure 8_data'!H786</f>
        <v>0</v>
      </c>
      <c r="AN574" s="95">
        <f t="shared" ref="AN574" si="7702">(B574/B522-1)*100</f>
        <v>-16.800000000000004</v>
      </c>
      <c r="AO574" s="95">
        <f t="shared" ref="AO574" si="7703">(C574/C522-1)*100</f>
        <v>-9.1666666666666679</v>
      </c>
      <c r="AP574" s="95">
        <f t="shared" ref="AP574" si="7704">(D574/D522-1)*100</f>
        <v>8.333333333333325</v>
      </c>
      <c r="AQ574" s="95">
        <f t="shared" ref="AQ574" si="7705">(E574/E522-1)*100</f>
        <v>15.624999999999979</v>
      </c>
      <c r="AR574" s="95">
        <f t="shared" ref="AR574" si="7706">(F574/F522-1)*100</f>
        <v>31.25</v>
      </c>
      <c r="AS574" s="95">
        <f t="shared" ref="AS574" si="7707">(G574/G522-1)*100</f>
        <v>31.25</v>
      </c>
      <c r="AT574" s="95">
        <f t="shared" ref="AT574" si="7708">(H574/H522-1)*100</f>
        <v>45.652173913043505</v>
      </c>
      <c r="AU574" s="95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5">
        <f>TWK!B520</f>
        <v>500</v>
      </c>
      <c r="C575" s="95">
        <f>TWK!C520</f>
        <v>542.5</v>
      </c>
      <c r="D575" s="95">
        <f>TWK!D520</f>
        <v>530</v>
      </c>
      <c r="E575" s="95">
        <f>TWK!E520</f>
        <v>460</v>
      </c>
      <c r="F575" s="95">
        <f>TWK!F520</f>
        <v>537.5</v>
      </c>
      <c r="G575" s="95">
        <f>TWK!G520</f>
        <v>537.5</v>
      </c>
      <c r="H575" s="95">
        <f>TWK!H520</f>
        <v>362.5</v>
      </c>
      <c r="I575" s="95">
        <f>TWK!I520</f>
        <v>502.76564774381376</v>
      </c>
      <c r="K575" s="95">
        <f t="shared" ref="K575" si="7710">AVERAGE(B572:B575)</f>
        <v>499.58333333333331</v>
      </c>
      <c r="L575" s="95">
        <f t="shared" ref="L575" si="7711">AVERAGE(C572:C575)</f>
        <v>542.70833333333326</v>
      </c>
      <c r="M575" s="95">
        <f t="shared" ref="M575" si="7712">AVERAGE(D572:D575)</f>
        <v>613.75</v>
      </c>
      <c r="N575" s="95">
        <f t="shared" ref="N575" si="7713">AVERAGE(E572:E575)</f>
        <v>554.16666666666663</v>
      </c>
      <c r="O575" s="95">
        <f t="shared" ref="O575" si="7714">AVERAGE(F572:F575)</f>
        <v>640.625</v>
      </c>
      <c r="P575" s="95">
        <f t="shared" ref="P575" si="7715">AVERAGE(G572:G575)</f>
        <v>640.625</v>
      </c>
      <c r="Q575" s="95">
        <f t="shared" ref="Q575" si="7716">AVERAGE(H572:H575)</f>
        <v>486.04166666666663</v>
      </c>
      <c r="R575" s="95">
        <f t="shared" ref="R575" si="7717">AVERAGE(I572:I575)</f>
        <v>628.61353711790389</v>
      </c>
      <c r="T575" s="95">
        <f t="shared" ref="T575" si="7718">AVERAGE(K419,K471,K523)</f>
        <v>414.01041666666669</v>
      </c>
      <c r="U575" s="95">
        <f t="shared" ref="U575" si="7719">AVERAGE(L419,L471,L523)</f>
        <v>524.48958333333337</v>
      </c>
      <c r="V575" s="95">
        <f t="shared" ref="V575" si="7720">(M419+M471+M523)/3</f>
        <v>487.54861111111114</v>
      </c>
      <c r="W575" s="95">
        <f t="shared" ref="W575" si="7721">(N419+N471+N523)/3</f>
        <v>412.01388888888886</v>
      </c>
      <c r="X575" s="95">
        <f t="shared" ref="X575" si="7722">(O419+O471+O523)/3</f>
        <v>445.22222222222223</v>
      </c>
      <c r="Y575" s="95">
        <f t="shared" ref="Y575" si="7723">(P419+P471+P523)/3</f>
        <v>445.22222222222223</v>
      </c>
      <c r="Z575" s="95">
        <f t="shared" ref="Z575" si="7724">(Q419+Q471+Q523)/3</f>
        <v>333.09027777777777</v>
      </c>
      <c r="AA575" s="95">
        <f t="shared" ref="AA575" si="7725">(R419+R471+R523)/3</f>
        <v>456.72749878699659</v>
      </c>
      <c r="AC575" s="115">
        <f>+AF575-'Figure 8_data'!I787</f>
        <v>0</v>
      </c>
      <c r="AD575" s="95">
        <f t="shared" ref="AD575" si="7726">(B575/T575-1)*100</f>
        <v>20.769908164549001</v>
      </c>
      <c r="AE575" s="95">
        <f t="shared" ref="AE575" si="7727">(C575/U575-1)*100</f>
        <v>3.4338940636730042</v>
      </c>
      <c r="AF575" s="95">
        <f t="shared" ref="AF575" si="7728">(D575/V575-1)*100</f>
        <v>8.7071089777372546</v>
      </c>
      <c r="AG575" s="95">
        <f t="shared" ref="AG575" si="7729">(E575/W575-1)*100</f>
        <v>11.646721725939656</v>
      </c>
      <c r="AH575" s="95">
        <f t="shared" ref="AH575" si="7730">(F575/X575-1)*100</f>
        <v>20.726229099076619</v>
      </c>
      <c r="AI575" s="95">
        <f t="shared" ref="AI575" si="7731">(G575/Y575-1)*100</f>
        <v>20.726229099076619</v>
      </c>
      <c r="AJ575" s="95">
        <f t="shared" ref="AJ575" si="7732">(H575/Z575-1)*100</f>
        <v>8.8293547378296644</v>
      </c>
      <c r="AK575" s="95">
        <f t="shared" ref="AK575" si="7733">(I575/AA575-1)*100</f>
        <v>10.080003739448129</v>
      </c>
      <c r="AM575" s="115">
        <f>AP575-'Figure 8_data'!H787</f>
        <v>0</v>
      </c>
      <c r="AN575" s="95" t="e">
        <f t="shared" ref="AN575" si="7734">(B575/B523-1)*100</f>
        <v>#DIV/0!</v>
      </c>
      <c r="AO575" s="95">
        <f t="shared" ref="AO575" si="7735">(C575/C523-1)*100</f>
        <v>-7.7380952380952328</v>
      </c>
      <c r="AP575" s="95">
        <f t="shared" ref="AP575" si="7736">(D575/D523-1)*100</f>
        <v>-13.539967373572592</v>
      </c>
      <c r="AQ575" s="95">
        <f t="shared" ref="AQ575" si="7737">(E575/E523-1)*100</f>
        <v>-10.331384015594548</v>
      </c>
      <c r="AR575" s="95">
        <f t="shared" ref="AR575" si="7738">(F575/F523-1)*100</f>
        <v>5.807086614173218</v>
      </c>
      <c r="AS575" s="95">
        <f t="shared" ref="AS575" si="7739">(G575/G523-1)*100</f>
        <v>5.807086614173218</v>
      </c>
      <c r="AT575" s="95">
        <f t="shared" ref="AT575" si="7740">(H575/H523-1)*100</f>
        <v>3.5714285714285809</v>
      </c>
      <c r="AU575" s="95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5">
        <f>TWK!B521</f>
        <v>0</v>
      </c>
      <c r="C576" s="95">
        <f>TWK!C521</f>
        <v>0</v>
      </c>
      <c r="D576" s="95">
        <f>TWK!D521</f>
        <v>541.66666666666663</v>
      </c>
      <c r="E576" s="95">
        <f>TWK!E521</f>
        <v>461.66666666666669</v>
      </c>
      <c r="F576" s="95">
        <f>TWK!F521</f>
        <v>541.66666666666663</v>
      </c>
      <c r="G576" s="95">
        <f>TWK!G521</f>
        <v>541.66666666666663</v>
      </c>
      <c r="H576" s="95">
        <f>TWK!H521</f>
        <v>336.66666666666669</v>
      </c>
      <c r="I576" s="95">
        <f>TWK!I521</f>
        <v>461.63027656477442</v>
      </c>
      <c r="K576" s="95">
        <f t="shared" ref="K576" si="7742">AVERAGE(B573:B576)</f>
        <v>373.75</v>
      </c>
      <c r="L576" s="95">
        <f t="shared" ref="L576" si="7743">AVERAGE(C573:C576)</f>
        <v>406.04166666666663</v>
      </c>
      <c r="M576" s="95">
        <f t="shared" ref="M576" si="7744">AVERAGE(D573:D576)</f>
        <v>603.33333333333326</v>
      </c>
      <c r="N576" s="95">
        <f t="shared" ref="N576" si="7745">AVERAGE(E573:E576)</f>
        <v>534.58333333333326</v>
      </c>
      <c r="O576" s="95">
        <f t="shared" ref="O576" si="7746">AVERAGE(F573:F576)</f>
        <v>632.29166666666663</v>
      </c>
      <c r="P576" s="95">
        <f t="shared" ref="P576" si="7747">AVERAGE(G573:G576)</f>
        <v>632.29166666666663</v>
      </c>
      <c r="Q576" s="95">
        <f t="shared" ref="Q576" si="7748">AVERAGE(H573:H576)</f>
        <v>456.04166666666669</v>
      </c>
      <c r="R576" s="95">
        <f t="shared" ref="R576" si="7749">AVERAGE(I573:I576)</f>
        <v>601.39737991266384</v>
      </c>
      <c r="T576" s="95">
        <f t="shared" ref="T576" si="7750">AVERAGE(K420,K472,K524)</f>
        <v>263.28125</v>
      </c>
      <c r="U576" s="95">
        <f t="shared" ref="U576" si="7751">AVERAGE(L420,L472,L524)</f>
        <v>380.94791666666669</v>
      </c>
      <c r="V576" s="95">
        <f t="shared" ref="V576" si="7752">(M420+M472+M524)/3</f>
        <v>492.32638888888886</v>
      </c>
      <c r="W576" s="95">
        <f t="shared" ref="W576" si="7753">(N420+N472+N524)/3</f>
        <v>401.6805555555556</v>
      </c>
      <c r="X576" s="95">
        <f t="shared" ref="X576" si="7754">(O420+O472+O524)/3</f>
        <v>449.22222222222223</v>
      </c>
      <c r="Y576" s="95">
        <f t="shared" ref="Y576" si="7755">(P420+P472+P524)/3</f>
        <v>449.22222222222223</v>
      </c>
      <c r="Z576" s="95">
        <f t="shared" ref="Z576" si="7756">(Q420+Q472+Q524)/3</f>
        <v>336.0069444444444</v>
      </c>
      <c r="AA576" s="95">
        <f t="shared" ref="AA576" si="7757">(R420+R472+R524)/3</f>
        <v>460.69001698204755</v>
      </c>
      <c r="AC576" s="115">
        <f>+AF576-'Figure 8_data'!I788</f>
        <v>0</v>
      </c>
      <c r="AD576" s="95">
        <f t="shared" ref="AD576" si="7758">(B576/T576-1)*100</f>
        <v>-100</v>
      </c>
      <c r="AE576" s="95">
        <f t="shared" ref="AE576" si="7759">(C576/U576-1)*100</f>
        <v>-100</v>
      </c>
      <c r="AF576" s="95">
        <f t="shared" ref="AF576" si="7760">(D576/V576-1)*100</f>
        <v>10.021863318992885</v>
      </c>
      <c r="AG576" s="95">
        <f t="shared" ref="AG576" si="7761">(E576/W576-1)*100</f>
        <v>14.933785138826462</v>
      </c>
      <c r="AH576" s="95">
        <f t="shared" ref="AH576" si="7762">(F576/X576-1)*100</f>
        <v>20.578778135048225</v>
      </c>
      <c r="AI576" s="95">
        <f t="shared" ref="AI576" si="7763">(G576/Y576-1)*100</f>
        <v>20.578778135048225</v>
      </c>
      <c r="AJ576" s="95">
        <f t="shared" ref="AJ576" si="7764">(H576/Z576-1)*100</f>
        <v>0.19634184147980793</v>
      </c>
      <c r="AK576" s="95">
        <f t="shared" ref="AK576" si="7765">(I576/AA576-1)*100</f>
        <v>0.20409810242609794</v>
      </c>
      <c r="AM576" s="115">
        <f>AP576-'Figure 8_data'!H788</f>
        <v>0</v>
      </c>
      <c r="AN576" s="95" t="e">
        <f t="shared" ref="AN576" si="7766">(B576/B524-1)*100</f>
        <v>#DIV/0!</v>
      </c>
      <c r="AO576" s="95" t="e">
        <f t="shared" ref="AO576" si="7767">(C576/C524-1)*100</f>
        <v>#DIV/0!</v>
      </c>
      <c r="AP576" s="95">
        <f t="shared" ref="AP576" si="7768">(D576/D524-1)*100</f>
        <v>-5.7971014492753659</v>
      </c>
      <c r="AQ576" s="95">
        <f t="shared" ref="AQ576" si="7769">(E576/E524-1)*100</f>
        <v>-12.063492063492065</v>
      </c>
      <c r="AR576" s="95">
        <f t="shared" ref="AR576" si="7770">(F576/F524-1)*100</f>
        <v>3.1746031746031633</v>
      </c>
      <c r="AS576" s="95">
        <f t="shared" ref="AS576" si="7771">(G576/G524-1)*100</f>
        <v>3.1746031746031633</v>
      </c>
      <c r="AT576" s="95">
        <f t="shared" ref="AT576" si="7772">(H576/H524-1)*100</f>
        <v>-14.1156462585034</v>
      </c>
      <c r="AU576" s="95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5">
        <f>TWK!B522</f>
        <v>0</v>
      </c>
      <c r="C577" s="95">
        <f>TWK!C522</f>
        <v>0</v>
      </c>
      <c r="D577" s="95">
        <f>TWK!D522</f>
        <v>538.33333333333337</v>
      </c>
      <c r="E577" s="95">
        <f>TWK!E522</f>
        <v>430</v>
      </c>
      <c r="F577" s="95">
        <f>TWK!F522</f>
        <v>510</v>
      </c>
      <c r="G577" s="95">
        <f>TWK!G522</f>
        <v>510</v>
      </c>
      <c r="H577" s="95">
        <f>TWK!H522</f>
        <v>315</v>
      </c>
      <c r="I577" s="95">
        <f>TWK!I522</f>
        <v>431.92139737991266</v>
      </c>
      <c r="K577" s="95">
        <f t="shared" ref="K577" si="7774">AVERAGE(B574:B577)</f>
        <v>255</v>
      </c>
      <c r="L577" s="95">
        <f t="shared" ref="L577" si="7775">AVERAGE(C574:C577)</f>
        <v>271.875</v>
      </c>
      <c r="M577" s="95">
        <f t="shared" ref="M577" si="7776">AVERAGE(D574:D577)</f>
        <v>565</v>
      </c>
      <c r="N577" s="95">
        <f t="shared" ref="N577" si="7777">AVERAGE(E574:E577)</f>
        <v>492.08333333333331</v>
      </c>
      <c r="O577" s="95">
        <f t="shared" ref="O577" si="7778">AVERAGE(F574:F577)</f>
        <v>572.29166666666663</v>
      </c>
      <c r="P577" s="95">
        <f t="shared" ref="P577" si="7779">AVERAGE(G574:G577)</f>
        <v>572.29166666666663</v>
      </c>
      <c r="Q577" s="95">
        <f t="shared" ref="Q577" si="7780">AVERAGE(H574:H577)</f>
        <v>393.125</v>
      </c>
      <c r="R577" s="95">
        <f t="shared" ref="R577" si="7781">AVERAGE(I574:I577)</f>
        <v>540.4730713245998</v>
      </c>
      <c r="T577" s="95">
        <f t="shared" ref="T577" si="7782">AVERAGE(K421,K473,K525)</f>
        <v>134.375</v>
      </c>
      <c r="U577" s="95">
        <f t="shared" ref="U577" si="7783">AVERAGE(L421,L473,L525)</f>
        <v>260.0625</v>
      </c>
      <c r="V577" s="95">
        <f t="shared" ref="V577" si="7784">(M421+M473+M525)/3</f>
        <v>506.875</v>
      </c>
      <c r="W577" s="95">
        <f t="shared" ref="W577" si="7785">(N421+N473+N525)/3</f>
        <v>408.66666666666669</v>
      </c>
      <c r="X577" s="95">
        <f t="shared" ref="X577" si="7786">(O421+O473+O525)/3</f>
        <v>457.25</v>
      </c>
      <c r="Y577" s="95">
        <f t="shared" ref="Y577" si="7787">(P421+P473+P525)/3</f>
        <v>457.25</v>
      </c>
      <c r="Z577" s="95">
        <f t="shared" ref="Z577" si="7788">(Q421+Q473+Q525)/3</f>
        <v>346.875</v>
      </c>
      <c r="AA577" s="95">
        <f t="shared" ref="AA577" si="7789">(R421+R473+R525)/3</f>
        <v>484.04407245673627</v>
      </c>
      <c r="AC577" s="115">
        <f>+AF577-'Figure 8_data'!I789</f>
        <v>0</v>
      </c>
      <c r="AD577" s="95">
        <f t="shared" ref="AD577" si="7790">(B577/T577-1)*100</f>
        <v>-100</v>
      </c>
      <c r="AE577" s="95">
        <f t="shared" ref="AE577" si="7791">(C577/U577-1)*100</f>
        <v>-100</v>
      </c>
      <c r="AF577" s="95">
        <f t="shared" ref="AF577" si="7792">(D577/V577-1)*100</f>
        <v>6.2063296341964724</v>
      </c>
      <c r="AG577" s="95">
        <f t="shared" ref="AG577" si="7793">(E577/W577-1)*100</f>
        <v>5.2202283849918318</v>
      </c>
      <c r="AH577" s="95">
        <f t="shared" ref="AH577" si="7794">(F577/X577-1)*100</f>
        <v>11.536358665937673</v>
      </c>
      <c r="AI577" s="95">
        <f t="shared" ref="AI577" si="7795">(G577/Y577-1)*100</f>
        <v>11.536358665937673</v>
      </c>
      <c r="AJ577" s="95">
        <f t="shared" ref="AJ577" si="7796">(H577/Z577-1)*100</f>
        <v>-9.1891891891891841</v>
      </c>
      <c r="AK577" s="95">
        <f t="shared" ref="AK577" si="7797">(I577/AA577-1)*100</f>
        <v>-10.768167206816138</v>
      </c>
      <c r="AM577" s="115">
        <f>AP577-'Figure 8_data'!H789</f>
        <v>0</v>
      </c>
      <c r="AN577" s="95" t="e">
        <f t="shared" ref="AN577" si="7798">(B577/B525-1)*100</f>
        <v>#DIV/0!</v>
      </c>
      <c r="AO577" s="95" t="e">
        <f t="shared" ref="AO577" si="7799">(C577/C525-1)*100</f>
        <v>#DIV/0!</v>
      </c>
      <c r="AP577" s="95">
        <f t="shared" ref="AP577" si="7800">(D577/D525-1)*100</f>
        <v>-10.277777777777775</v>
      </c>
      <c r="AQ577" s="95">
        <f t="shared" ref="AQ577" si="7801">(E577/E525-1)*100</f>
        <v>-14.000000000000002</v>
      </c>
      <c r="AR577" s="95">
        <f t="shared" ref="AR577" si="7802">(F577/F525-1)*100</f>
        <v>-1.9230769230769273</v>
      </c>
      <c r="AS577" s="95">
        <f t="shared" ref="AS577" si="7803">(G577/G525-1)*100</f>
        <v>-1.9230769230769273</v>
      </c>
      <c r="AT577" s="95">
        <f t="shared" ref="AT577" si="7804">(H577/H525-1)*100</f>
        <v>-28.082191780821919</v>
      </c>
      <c r="AU577" s="95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5">
        <f>TWK!B523</f>
        <v>0</v>
      </c>
      <c r="C578" s="95">
        <f>TWK!C523</f>
        <v>0</v>
      </c>
      <c r="D578" s="95">
        <f>TWK!D523</f>
        <v>576.66666666666663</v>
      </c>
      <c r="E578" s="95">
        <f>TWK!E523</f>
        <v>475</v>
      </c>
      <c r="F578" s="95">
        <f>TWK!F523</f>
        <v>430</v>
      </c>
      <c r="G578" s="95">
        <f>TWK!G523</f>
        <v>430</v>
      </c>
      <c r="H578" s="95">
        <f>TWK!H523</f>
        <v>298.33333333333331</v>
      </c>
      <c r="I578" s="95">
        <f>TWK!I523</f>
        <v>409.0684133915575</v>
      </c>
      <c r="K578" s="95">
        <f t="shared" ref="K578" si="7806">AVERAGE(B575:B578)</f>
        <v>125</v>
      </c>
      <c r="L578" s="95">
        <f t="shared" ref="L578" si="7807">AVERAGE(C575:C578)</f>
        <v>135.625</v>
      </c>
      <c r="M578" s="95">
        <f t="shared" ref="M578" si="7808">AVERAGE(D575:D578)</f>
        <v>546.66666666666663</v>
      </c>
      <c r="N578" s="95">
        <f t="shared" ref="N578" si="7809">AVERAGE(E575:E578)</f>
        <v>456.66666666666669</v>
      </c>
      <c r="O578" s="95">
        <f t="shared" ref="O578" si="7810">AVERAGE(F575:F578)</f>
        <v>504.79166666666663</v>
      </c>
      <c r="P578" s="95">
        <f t="shared" ref="P578" si="7811">AVERAGE(G575:G578)</f>
        <v>504.79166666666663</v>
      </c>
      <c r="Q578" s="95">
        <f t="shared" ref="Q578" si="7812">AVERAGE(H575:H578)</f>
        <v>328.125</v>
      </c>
      <c r="R578" s="95">
        <f t="shared" ref="R578" si="7813">AVERAGE(I575:I578)</f>
        <v>451.34643377001458</v>
      </c>
      <c r="T578" s="95">
        <f t="shared" ref="T578" si="7814">AVERAGE(K422,K474,K526)</f>
        <v>0</v>
      </c>
      <c r="U578" s="95">
        <f t="shared" ref="U578" si="7815">AVERAGE(L422,L474,L526)</f>
        <v>130.21875</v>
      </c>
      <c r="V578" s="95">
        <f t="shared" ref="V578" si="7816">(M422+M474+M526)/3</f>
        <v>503.75</v>
      </c>
      <c r="W578" s="95">
        <f t="shared" ref="W578" si="7817">(N422+N474+N526)/3</f>
        <v>402.42361111111114</v>
      </c>
      <c r="X578" s="95">
        <f t="shared" ref="X578" si="7818">(O422+O474+O526)/3</f>
        <v>443.1805555555556</v>
      </c>
      <c r="Y578" s="95">
        <f t="shared" ref="Y578" si="7819">(P422+P474+P526)/3</f>
        <v>443.1805555555556</v>
      </c>
      <c r="Z578" s="95">
        <f t="shared" ref="Z578" si="7820">(Q422+Q474+Q526)/3</f>
        <v>342.96527777777777</v>
      </c>
      <c r="AA578" s="95">
        <f t="shared" ref="AA578" si="7821">(R422+R474+R526)/3</f>
        <v>478.65876192786681</v>
      </c>
      <c r="AC578" s="115">
        <f>+AF578-'Figure 8_data'!I790</f>
        <v>0</v>
      </c>
      <c r="AD578" s="95" t="e">
        <f t="shared" ref="AD578" si="7822">(B578/T578-1)*100</f>
        <v>#DIV/0!</v>
      </c>
      <c r="AE578" s="95">
        <f t="shared" ref="AE578" si="7823">(C578/U578-1)*100</f>
        <v>-100</v>
      </c>
      <c r="AF578" s="95">
        <f t="shared" ref="AF578" si="7824">(D578/V578-1)*100</f>
        <v>14.474772539288661</v>
      </c>
      <c r="AG578" s="95">
        <f t="shared" ref="AG578" si="7825">(E578/W578-1)*100</f>
        <v>18.034823724309291</v>
      </c>
      <c r="AH578" s="95">
        <f t="shared" ref="AH578" si="7826">(F578/X578-1)*100</f>
        <v>-2.9740825472437393</v>
      </c>
      <c r="AI578" s="95">
        <f t="shared" ref="AI578" si="7827">(G578/Y578-1)*100</f>
        <v>-2.9740825472437393</v>
      </c>
      <c r="AJ578" s="95">
        <f t="shared" ref="AJ578" si="7828">(H578/Z578-1)*100</f>
        <v>-13.013546074878013</v>
      </c>
      <c r="AK578" s="95">
        <f t="shared" ref="AK578" si="7829">(I578/AA578-1)*100</f>
        <v>-14.538613741452089</v>
      </c>
      <c r="AM578" s="115">
        <f>AP578-'Figure 8_data'!H790</f>
        <v>0</v>
      </c>
      <c r="AN578" s="95" t="e">
        <f t="shared" ref="AN578" si="7830">(B578/B526-1)*100</f>
        <v>#DIV/0!</v>
      </c>
      <c r="AO578" s="95" t="e">
        <f t="shared" ref="AO578" si="7831">(C578/C526-1)*100</f>
        <v>#DIV/0!</v>
      </c>
      <c r="AP578" s="95">
        <f t="shared" ref="AP578" si="7832">(D578/D526-1)*100</f>
        <v>0.28985507246375164</v>
      </c>
      <c r="AQ578" s="95">
        <f t="shared" ref="AQ578" si="7833">(E578/E526-1)*100</f>
        <v>-5.0000000000000044</v>
      </c>
      <c r="AR578" s="95">
        <f t="shared" ref="AR578" si="7834">(F578/F526-1)*100</f>
        <v>-3.3707865168539297</v>
      </c>
      <c r="AS578" s="95">
        <f t="shared" ref="AS578" si="7835">(G578/G526-1)*100</f>
        <v>-3.3707865168539297</v>
      </c>
      <c r="AT578" s="95">
        <f t="shared" ref="AT578" si="7836">(H578/H526-1)*100</f>
        <v>-15.486307837582636</v>
      </c>
      <c r="AU578" s="95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5">
        <f>TWK!B524</f>
        <v>0</v>
      </c>
      <c r="C579" s="95">
        <f>TWK!C524</f>
        <v>0</v>
      </c>
      <c r="D579" s="95">
        <f>TWK!D524</f>
        <v>590</v>
      </c>
      <c r="E579" s="95">
        <f>TWK!E524</f>
        <v>490</v>
      </c>
      <c r="F579" s="95">
        <f>TWK!F524</f>
        <v>428.33333333333331</v>
      </c>
      <c r="G579" s="95">
        <f>TWK!G524</f>
        <v>428.33333333333331</v>
      </c>
      <c r="H579" s="95">
        <f>TWK!H524</f>
        <v>308.33333333333331</v>
      </c>
      <c r="I579" s="95">
        <f>TWK!I524</f>
        <v>422.78020378457057</v>
      </c>
      <c r="K579" s="95">
        <f t="shared" ref="K579" si="7838">AVERAGE(B576:B579)</f>
        <v>0</v>
      </c>
      <c r="L579" s="95">
        <f t="shared" ref="L579" si="7839">AVERAGE(C576:C579)</f>
        <v>0</v>
      </c>
      <c r="M579" s="95">
        <f t="shared" ref="M579" si="7840">AVERAGE(D576:D579)</f>
        <v>561.66666666666663</v>
      </c>
      <c r="N579" s="95">
        <f t="shared" ref="N579" si="7841">AVERAGE(E576:E579)</f>
        <v>464.16666666666669</v>
      </c>
      <c r="O579" s="95">
        <f t="shared" ref="O579" si="7842">AVERAGE(F576:F579)</f>
        <v>477.49999999999994</v>
      </c>
      <c r="P579" s="95">
        <f t="shared" ref="P579" si="7843">AVERAGE(G576:G579)</f>
        <v>477.49999999999994</v>
      </c>
      <c r="Q579" s="95">
        <f t="shared" ref="Q579" si="7844">AVERAGE(H576:H579)</f>
        <v>314.58333333333331</v>
      </c>
      <c r="R579" s="95">
        <f t="shared" ref="R579" si="7845">AVERAGE(I576:I579)</f>
        <v>431.35007278020379</v>
      </c>
      <c r="T579" s="95">
        <f t="shared" ref="T579" si="7846">AVERAGE(K423,K475,K527)</f>
        <v>0</v>
      </c>
      <c r="U579" s="95">
        <f t="shared" ref="U579" si="7847">AVERAGE(L423,L475,L527)</f>
        <v>0</v>
      </c>
      <c r="V579" s="95">
        <f t="shared" ref="V579" si="7848">(M423+M475+M527)/3</f>
        <v>495.72916666666669</v>
      </c>
      <c r="W579" s="95">
        <f t="shared" ref="W579" si="7849">(N423+N475+N527)/3</f>
        <v>395.09027777777783</v>
      </c>
      <c r="X579" s="95">
        <f t="shared" ref="X579" si="7850">(O423+O475+O527)/3</f>
        <v>425.29861111111109</v>
      </c>
      <c r="Y579" s="95">
        <f t="shared" ref="Y579" si="7851">(P423+P475+P527)/3</f>
        <v>425.29861111111109</v>
      </c>
      <c r="Z579" s="95">
        <f t="shared" ref="Z579" si="7852">(Q423+Q475+Q527)/3</f>
        <v>333.07638888888891</v>
      </c>
      <c r="AA579" s="95">
        <f t="shared" ref="AA579" si="7853">(R423+R475+R527)/3</f>
        <v>464.99379346595498</v>
      </c>
      <c r="AC579" s="115">
        <f>+AF579-'Figure 8_data'!I791</f>
        <v>0</v>
      </c>
      <c r="AD579" s="95" t="e">
        <f t="shared" ref="AD579" si="7854">(B579/T579-1)*100</f>
        <v>#DIV/0!</v>
      </c>
      <c r="AE579" s="95" t="e">
        <f t="shared" ref="AE579" si="7855">(C579/U579-1)*100</f>
        <v>#DIV/0!</v>
      </c>
      <c r="AF579" s="95">
        <f t="shared" ref="AF579" si="7856">(D579/V579-1)*100</f>
        <v>19.016600126076909</v>
      </c>
      <c r="AG579" s="95">
        <f t="shared" ref="AG579" si="7857">(E579/W579-1)*100</f>
        <v>24.022287451883351</v>
      </c>
      <c r="AH579" s="95">
        <f t="shared" ref="AH579" si="7858">(F579/X579-1)*100</f>
        <v>0.71355093643354905</v>
      </c>
      <c r="AI579" s="95">
        <f t="shared" ref="AI579" si="7859">(G579/Y579-1)*100</f>
        <v>0.71355093643354905</v>
      </c>
      <c r="AJ579" s="95">
        <f t="shared" ref="AJ579" si="7860">(H579/Z579-1)*100</f>
        <v>-7.4286429122448645</v>
      </c>
      <c r="AK579" s="95">
        <f t="shared" ref="AK579" si="7861">(I579/AA579-1)*100</f>
        <v>-9.0783125010624683</v>
      </c>
      <c r="AM579" s="115">
        <f>AP579-'Figure 8_data'!H791</f>
        <v>0</v>
      </c>
      <c r="AN579" s="95" t="e">
        <f t="shared" ref="AN579" si="7862">(B579/B527-1)*100</f>
        <v>#DIV/0!</v>
      </c>
      <c r="AO579" s="95" t="e">
        <f t="shared" ref="AO579" si="7863">(C579/C527-1)*100</f>
        <v>#DIV/0!</v>
      </c>
      <c r="AP579" s="95">
        <f t="shared" ref="AP579" si="7864">(D579/D527-1)*100</f>
        <v>4.7957371225577194</v>
      </c>
      <c r="AQ579" s="95">
        <f t="shared" ref="AQ579" si="7865">(E579/E527-1)*100</f>
        <v>-2.0000000000000018</v>
      </c>
      <c r="AR579" s="95">
        <f t="shared" ref="AR579" si="7866">(F579/F527-1)*100</f>
        <v>3.7126715092816731</v>
      </c>
      <c r="AS579" s="95">
        <f t="shared" ref="AS579" si="7867">(G579/G527-1)*100</f>
        <v>3.7126715092816731</v>
      </c>
      <c r="AT579" s="95">
        <f t="shared" ref="AT579" si="7868">(H579/H527-1)*100</f>
        <v>-1.4909478168264156</v>
      </c>
      <c r="AU579" s="95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5">
        <f>TWK!B525</f>
        <v>0</v>
      </c>
      <c r="C580" s="95">
        <f>TWK!C525</f>
        <v>0</v>
      </c>
      <c r="D580" s="95">
        <f>TWK!D525</f>
        <v>586.66666666666663</v>
      </c>
      <c r="E580" s="95">
        <f>TWK!E525</f>
        <v>450</v>
      </c>
      <c r="F580" s="95">
        <f>TWK!F525</f>
        <v>433.33333333333331</v>
      </c>
      <c r="G580" s="95">
        <f>TWK!G525</f>
        <v>433.33333333333331</v>
      </c>
      <c r="H580" s="95">
        <f>TWK!H525</f>
        <v>298.33333333333331</v>
      </c>
      <c r="I580" s="95">
        <f>TWK!I525</f>
        <v>409.0684133915575</v>
      </c>
      <c r="K580" s="95">
        <f t="shared" ref="K580" si="7870">AVERAGE(B577:B580)</f>
        <v>0</v>
      </c>
      <c r="L580" s="95">
        <f t="shared" ref="L580" si="7871">AVERAGE(C577:C580)</f>
        <v>0</v>
      </c>
      <c r="M580" s="95">
        <f t="shared" ref="M580" si="7872">AVERAGE(D577:D580)</f>
        <v>572.91666666666663</v>
      </c>
      <c r="N580" s="95">
        <f t="shared" ref="N580" si="7873">AVERAGE(E577:E580)</f>
        <v>461.25</v>
      </c>
      <c r="O580" s="95">
        <f t="shared" ref="O580" si="7874">AVERAGE(F577:F580)</f>
        <v>450.41666666666663</v>
      </c>
      <c r="P580" s="95">
        <f t="shared" ref="P580" si="7875">AVERAGE(G577:G580)</f>
        <v>450.41666666666663</v>
      </c>
      <c r="Q580" s="95">
        <f t="shared" ref="Q580" si="7876">AVERAGE(H577:H580)</f>
        <v>304.99999999999994</v>
      </c>
      <c r="R580" s="95">
        <f t="shared" ref="R580" si="7877">AVERAGE(I577:I580)</f>
        <v>418.20960698689953</v>
      </c>
      <c r="T580" s="95">
        <f t="shared" ref="T580" si="7878">AVERAGE(K424,K476,K528)</f>
        <v>0</v>
      </c>
      <c r="U580" s="95">
        <f t="shared" ref="U580" si="7879">AVERAGE(L424,L476,L528)</f>
        <v>0</v>
      </c>
      <c r="V580" s="95">
        <f t="shared" ref="V580" si="7880">(M424+M476+M528)/3</f>
        <v>470.8819444444444</v>
      </c>
      <c r="W580" s="95">
        <f t="shared" ref="W580" si="7881">(N424+N476+N528)/3</f>
        <v>372.88888888888891</v>
      </c>
      <c r="X580" s="95">
        <f t="shared" ref="X580" si="7882">(O424+O476+O528)/3</f>
        <v>397.47916666666669</v>
      </c>
      <c r="Y580" s="95">
        <f t="shared" ref="Y580" si="7883">(P424+P476+P528)/3</f>
        <v>397.47916666666669</v>
      </c>
      <c r="Z580" s="95">
        <f t="shared" ref="Z580" si="7884">(Q424+Q476+Q528)/3</f>
        <v>304.8125</v>
      </c>
      <c r="AA580" s="95">
        <f t="shared" ref="AA580" si="7885">(R424+R476+R528)/3</f>
        <v>426.27569545528058</v>
      </c>
      <c r="AC580" s="115">
        <f>+AF580-'Figure 8_data'!I792</f>
        <v>0</v>
      </c>
      <c r="AD580" s="95" t="e">
        <f t="shared" ref="AD580" si="7886">(B580/T580-1)*100</f>
        <v>#DIV/0!</v>
      </c>
      <c r="AE580" s="95" t="e">
        <f t="shared" ref="AE580" si="7887">(C580/U580-1)*100</f>
        <v>#DIV/0!</v>
      </c>
      <c r="AF580" s="95">
        <f t="shared" ref="AF580" si="7888">(D580/V580-1)*100</f>
        <v>24.58890675004055</v>
      </c>
      <c r="AG580" s="95">
        <f t="shared" ref="AG580" si="7889">(E580/W580-1)*100</f>
        <v>20.679380214541119</v>
      </c>
      <c r="AH580" s="95">
        <f t="shared" ref="AH580" si="7890">(F580/X580-1)*100</f>
        <v>9.0203889092719702</v>
      </c>
      <c r="AI580" s="95">
        <f t="shared" ref="AI580" si="7891">(G580/Y580-1)*100</f>
        <v>9.0203889092719702</v>
      </c>
      <c r="AJ580" s="95">
        <f t="shared" ref="AJ580" si="7892">(H580/Z580-1)*100</f>
        <v>-2.1256236757569602</v>
      </c>
      <c r="AK580" s="95">
        <f t="shared" ref="AK580" si="7893">(I580/AA580-1)*100</f>
        <v>-4.036655677810808</v>
      </c>
      <c r="AM580" s="115">
        <f>AP580-'Figure 8_data'!H792</f>
        <v>0</v>
      </c>
      <c r="AN580" s="95" t="e">
        <f t="shared" ref="AN580" si="7894">(B580/B528-1)*100</f>
        <v>#DIV/0!</v>
      </c>
      <c r="AO580" s="95" t="e">
        <f t="shared" ref="AO580" si="7895">(C580/C528-1)*100</f>
        <v>#DIV/0!</v>
      </c>
      <c r="AP580" s="95">
        <f t="shared" ref="AP580" si="7896">(D580/D528-1)*100</f>
        <v>17.333333333333336</v>
      </c>
      <c r="AQ580" s="95">
        <f t="shared" ref="AQ580" si="7897">(E580/E528-1)*100</f>
        <v>0</v>
      </c>
      <c r="AR580" s="95">
        <f t="shared" ref="AR580" si="7898">(F580/F528-1)*100</f>
        <v>23.809523809523814</v>
      </c>
      <c r="AS580" s="95">
        <f t="shared" ref="AS580" si="7899">(G580/G528-1)*100</f>
        <v>23.809523809523814</v>
      </c>
      <c r="AT580" s="95">
        <f t="shared" ref="AT580" si="7900">(H580/H528-1)*100</f>
        <v>19.333333333333336</v>
      </c>
      <c r="AU580" s="95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5">
        <f>TWK!B526</f>
        <v>0</v>
      </c>
      <c r="C581" s="95">
        <f>TWK!C526</f>
        <v>0</v>
      </c>
      <c r="D581" s="95">
        <f>TWK!D526</f>
        <v>567.5</v>
      </c>
      <c r="E581" s="95">
        <f>TWK!E526</f>
        <v>425</v>
      </c>
      <c r="F581" s="95">
        <f>TWK!F526</f>
        <v>411.66666666666669</v>
      </c>
      <c r="G581" s="95">
        <f>TWK!G526</f>
        <v>411.66666666666669</v>
      </c>
      <c r="H581" s="95">
        <f>TWK!H526</f>
        <v>270</v>
      </c>
      <c r="I581" s="95">
        <f>TWK!I526</f>
        <v>370.21834061135377</v>
      </c>
      <c r="K581" s="95">
        <f t="shared" ref="K581" si="7902">AVERAGE(B578:B581)</f>
        <v>0</v>
      </c>
      <c r="L581" s="95">
        <f t="shared" ref="L581" si="7903">AVERAGE(C578:C581)</f>
        <v>0</v>
      </c>
      <c r="M581" s="95">
        <f t="shared" ref="M581" si="7904">AVERAGE(D578:D581)</f>
        <v>580.20833333333326</v>
      </c>
      <c r="N581" s="95">
        <f t="shared" ref="N581" si="7905">AVERAGE(E578:E581)</f>
        <v>460</v>
      </c>
      <c r="O581" s="95">
        <f t="shared" ref="O581" si="7906">AVERAGE(F578:F581)</f>
        <v>425.83333333333331</v>
      </c>
      <c r="P581" s="95">
        <f t="shared" ref="P581" si="7907">AVERAGE(G578:G581)</f>
        <v>425.83333333333331</v>
      </c>
      <c r="Q581" s="95">
        <f t="shared" ref="Q581" si="7908">AVERAGE(H578:H581)</f>
        <v>293.75</v>
      </c>
      <c r="R581" s="95">
        <f t="shared" ref="R581" si="7909">AVERAGE(I578:I581)</f>
        <v>402.78384279475983</v>
      </c>
      <c r="T581" s="95">
        <f t="shared" ref="T581" si="7910">AVERAGE(K425,K477,K529)</f>
        <v>0</v>
      </c>
      <c r="U581" s="95">
        <f t="shared" ref="U581" si="7911">AVERAGE(L425,L477,L529)</f>
        <v>0</v>
      </c>
      <c r="V581" s="95">
        <f t="shared" ref="V581" si="7912">(M425+M477+M529)/3</f>
        <v>439.59722222222217</v>
      </c>
      <c r="W581" s="95">
        <f t="shared" ref="W581" si="7913">(N425+N477+N529)/3</f>
        <v>350.79861111111114</v>
      </c>
      <c r="X581" s="95">
        <f t="shared" ref="X581" si="7914">(O425+O477+O529)/3</f>
        <v>371.46527777777777</v>
      </c>
      <c r="Y581" s="95">
        <f t="shared" ref="Y581" si="7915">(P425+P477+P529)/3</f>
        <v>371.46527777777777</v>
      </c>
      <c r="Z581" s="95">
        <f t="shared" ref="Z581" si="7916">(Q425+Q477+Q529)/3</f>
        <v>277.59027777777777</v>
      </c>
      <c r="AA581" s="95">
        <f t="shared" ref="AA581" si="7917">(R425+R477+R529)/3</f>
        <v>380.4971494420185</v>
      </c>
      <c r="AC581" s="115">
        <f>+AF581-'Figure 8_data'!I793</f>
        <v>0</v>
      </c>
      <c r="AD581" s="95" t="e">
        <f t="shared" ref="AD581" si="7918">(B581/T581-1)*100</f>
        <v>#DIV/0!</v>
      </c>
      <c r="AE581" s="95" t="e">
        <f t="shared" ref="AE581" si="7919">(C581/U581-1)*100</f>
        <v>#DIV/0!</v>
      </c>
      <c r="AF581" s="95">
        <f t="shared" ref="AF581" si="7920">(D581/V581-1)*100</f>
        <v>29.095447221256855</v>
      </c>
      <c r="AG581" s="95">
        <f t="shared" ref="AG581" si="7921">(E581/W581-1)*100</f>
        <v>21.152133029793131</v>
      </c>
      <c r="AH581" s="95">
        <f t="shared" ref="AH581" si="7922">(F581/X581-1)*100</f>
        <v>10.822381335177877</v>
      </c>
      <c r="AI581" s="95">
        <f t="shared" ref="AI581" si="7923">(G581/Y581-1)*100</f>
        <v>10.822381335177877</v>
      </c>
      <c r="AJ581" s="95">
        <f t="shared" ref="AJ581" si="7924">(H581/Z581-1)*100</f>
        <v>-2.7343456833362478</v>
      </c>
      <c r="AK581" s="95">
        <f t="shared" ref="AK581" si="7925">(I581/AA581-1)*100</f>
        <v>-2.7014154628328013</v>
      </c>
      <c r="AM581" s="115">
        <f>AP581-'Figure 8_data'!H793</f>
        <v>0</v>
      </c>
      <c r="AN581" s="95" t="e">
        <f t="shared" ref="AN581" si="7926">(B581/B529-1)*100</f>
        <v>#DIV/0!</v>
      </c>
      <c r="AO581" s="95" t="e">
        <f t="shared" ref="AO581" si="7927">(C581/C529-1)*100</f>
        <v>#DIV/0!</v>
      </c>
      <c r="AP581" s="95">
        <f t="shared" ref="AP581" si="7928">(D581/D529-1)*100</f>
        <v>52.348993288590592</v>
      </c>
      <c r="AQ581" s="95">
        <f t="shared" ref="AQ581" si="7929">(E581/E529-1)*100</f>
        <v>25</v>
      </c>
      <c r="AR581" s="95">
        <f t="shared" ref="AR581" si="7930">(F581/F529-1)*100</f>
        <v>49.696969696969703</v>
      </c>
      <c r="AS581" s="95">
        <f t="shared" ref="AS581" si="7931">(G581/G529-1)*100</f>
        <v>49.696969696969703</v>
      </c>
      <c r="AT581" s="95">
        <f t="shared" ref="AT581" si="7932">(H581/H529-1)*100</f>
        <v>40.259740259740262</v>
      </c>
      <c r="AU581" s="95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5">
        <f>TWK!B527</f>
        <v>0</v>
      </c>
      <c r="C582" s="95">
        <f>TWK!C527</f>
        <v>0</v>
      </c>
      <c r="D582" s="95">
        <f>TWK!D527</f>
        <v>560</v>
      </c>
      <c r="E582" s="95">
        <f>TWK!E527</f>
        <v>385</v>
      </c>
      <c r="F582" s="95">
        <f>TWK!F527</f>
        <v>395</v>
      </c>
      <c r="G582" s="95">
        <f>TWK!G527</f>
        <v>395</v>
      </c>
      <c r="H582" s="95">
        <f>TWK!H527</f>
        <v>260</v>
      </c>
      <c r="I582" s="95">
        <f>TWK!I527</f>
        <v>356.50655021834064</v>
      </c>
      <c r="K582" s="95">
        <f t="shared" ref="K582" si="7934">AVERAGE(B579:B582)</f>
        <v>0</v>
      </c>
      <c r="L582" s="95">
        <f t="shared" ref="L582" si="7935">AVERAGE(C579:C582)</f>
        <v>0</v>
      </c>
      <c r="M582" s="95">
        <f t="shared" ref="M582" si="7936">AVERAGE(D579:D582)</f>
        <v>576.04166666666663</v>
      </c>
      <c r="N582" s="95">
        <f t="shared" ref="N582" si="7937">AVERAGE(E579:E582)</f>
        <v>437.5</v>
      </c>
      <c r="O582" s="95">
        <f t="shared" ref="O582" si="7938">AVERAGE(F579:F582)</f>
        <v>417.08333333333331</v>
      </c>
      <c r="P582" s="95">
        <f t="shared" ref="P582" si="7939">AVERAGE(G579:G582)</f>
        <v>417.08333333333331</v>
      </c>
      <c r="Q582" s="95">
        <f t="shared" ref="Q582" si="7940">AVERAGE(H579:H582)</f>
        <v>284.16666666666663</v>
      </c>
      <c r="R582" s="95">
        <f t="shared" ref="R582" si="7941">AVERAGE(I579:I582)</f>
        <v>389.64337700145563</v>
      </c>
      <c r="T582" s="95">
        <f t="shared" ref="T582" si="7942">AVERAGE(K426,K478,K530)</f>
        <v>0</v>
      </c>
      <c r="U582" s="95">
        <f t="shared" ref="U582" si="7943">AVERAGE(L426,L478,L530)</f>
        <v>0</v>
      </c>
      <c r="V582" s="95">
        <f t="shared" ref="V582" si="7944">(M426+M478+M530)/3</f>
        <v>416.36111111111109</v>
      </c>
      <c r="W582" s="95">
        <f t="shared" ref="W582" si="7945">(N426+N478+N530)/3</f>
        <v>336.94444444444446</v>
      </c>
      <c r="X582" s="95">
        <f t="shared" ref="X582" si="7946">(O426+O478+O530)/3</f>
        <v>358.02777777777777</v>
      </c>
      <c r="Y582" s="95">
        <f t="shared" ref="Y582" si="7947">(P426+P478+P530)/3</f>
        <v>358.02777777777777</v>
      </c>
      <c r="Z582" s="95">
        <f t="shared" ref="Z582" si="7948">(Q426+Q478+Q530)/3</f>
        <v>265.73611111111114</v>
      </c>
      <c r="AA582" s="95">
        <f t="shared" ref="AA582" si="7949">(R426+R478+R530)/3</f>
        <v>364.27353226589031</v>
      </c>
      <c r="AC582" s="115">
        <f>+AF582-'Figure 8_data'!I794</f>
        <v>0</v>
      </c>
      <c r="AD582" s="95" t="e">
        <f t="shared" ref="AD582" si="7950">(B582/T582-1)*100</f>
        <v>#DIV/0!</v>
      </c>
      <c r="AE582" s="95" t="e">
        <f t="shared" ref="AE582" si="7951">(C582/U582-1)*100</f>
        <v>#DIV/0!</v>
      </c>
      <c r="AF582" s="95">
        <f t="shared" ref="AF582" si="7952">(D582/V582-1)*100</f>
        <v>34.498632330375621</v>
      </c>
      <c r="AG582" s="95">
        <f t="shared" ref="AG582" si="7953">(E582/W582-1)*100</f>
        <v>14.262159934047801</v>
      </c>
      <c r="AH582" s="95">
        <f t="shared" ref="AH582" si="7954">(F582/X582-1)*100</f>
        <v>10.326635115214522</v>
      </c>
      <c r="AI582" s="95">
        <f t="shared" ref="AI582" si="7955">(G582/Y582-1)*100</f>
        <v>10.326635115214522</v>
      </c>
      <c r="AJ582" s="95">
        <f t="shared" ref="AJ582" si="7956">(H582/Z582-1)*100</f>
        <v>-2.1585741911880119</v>
      </c>
      <c r="AK582" s="95">
        <f t="shared" ref="AK582" si="7957">(I582/AA582-1)*100</f>
        <v>-2.1321840209571952</v>
      </c>
      <c r="AM582" s="115">
        <f>AP582-'Figure 8_data'!H794</f>
        <v>0</v>
      </c>
      <c r="AN582" s="95" t="e">
        <f t="shared" ref="AN582" si="7958">(B582/B530-1)*100</f>
        <v>#DIV/0!</v>
      </c>
      <c r="AO582" s="95" t="e">
        <f t="shared" ref="AO582" si="7959">(C582/C530-1)*100</f>
        <v>#DIV/0!</v>
      </c>
      <c r="AP582" s="95">
        <f t="shared" ref="AP582" si="7960">(D582/D530-1)*100</f>
        <v>61.151079136690647</v>
      </c>
      <c r="AQ582" s="95">
        <f t="shared" ref="AQ582" si="7961">(E582/E530-1)*100</f>
        <v>36.283185840707958</v>
      </c>
      <c r="AR582" s="95">
        <f t="shared" ref="AR582" si="7962">(F582/F530-1)*100</f>
        <v>59.595959595959599</v>
      </c>
      <c r="AS582" s="95">
        <f t="shared" ref="AS582" si="7963">(G582/G530-1)*100</f>
        <v>59.595959595959599</v>
      </c>
      <c r="AT582" s="95">
        <f t="shared" ref="AT582" si="7964">(H582/H530-1)*100</f>
        <v>33.333333333333329</v>
      </c>
      <c r="AU582" s="95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5">
        <f>TWK!B528</f>
        <v>0</v>
      </c>
      <c r="C583" s="95">
        <f>TWK!C528</f>
        <v>0</v>
      </c>
      <c r="D583" s="95">
        <f>TWK!D528</f>
        <v>555</v>
      </c>
      <c r="E583" s="95">
        <f>TWK!E528</f>
        <v>443.33333333333331</v>
      </c>
      <c r="F583" s="95">
        <f>TWK!F528</f>
        <v>443.33333333333331</v>
      </c>
      <c r="G583" s="95">
        <f>TWK!G528</f>
        <v>443.33333333333331</v>
      </c>
      <c r="H583" s="95">
        <f>TWK!H528</f>
        <v>308.33333333333331</v>
      </c>
      <c r="I583" s="95">
        <f>TWK!I528</f>
        <v>422.78020378457063</v>
      </c>
      <c r="K583" s="95">
        <f t="shared" ref="K583" si="7966">AVERAGE(B580:B583)</f>
        <v>0</v>
      </c>
      <c r="L583" s="95">
        <f t="shared" ref="L583" si="7967">AVERAGE(C580:C583)</f>
        <v>0</v>
      </c>
      <c r="M583" s="95">
        <f t="shared" ref="M583" si="7968">AVERAGE(D580:D583)</f>
        <v>567.29166666666663</v>
      </c>
      <c r="N583" s="95">
        <f t="shared" ref="N583" si="7969">AVERAGE(E580:E583)</f>
        <v>425.83333333333331</v>
      </c>
      <c r="O583" s="95">
        <f t="shared" ref="O583" si="7970">AVERAGE(F580:F583)</f>
        <v>420.83333333333331</v>
      </c>
      <c r="P583" s="95">
        <f t="shared" ref="P583" si="7971">AVERAGE(G580:G583)</f>
        <v>420.83333333333331</v>
      </c>
      <c r="Q583" s="95">
        <f t="shared" ref="Q583" si="7972">AVERAGE(H580:H583)</f>
        <v>284.16666666666663</v>
      </c>
      <c r="R583" s="95">
        <f t="shared" ref="R583" si="7973">AVERAGE(I580:I583)</f>
        <v>389.64337700145563</v>
      </c>
      <c r="T583" s="95">
        <f t="shared" ref="T583" si="7974">AVERAGE(K427,K479,K531)</f>
        <v>0</v>
      </c>
      <c r="U583" s="95">
        <f t="shared" ref="U583" si="7975">AVERAGE(L427,L479,L531)</f>
        <v>0</v>
      </c>
      <c r="V583" s="95">
        <f t="shared" ref="V583" si="7976">(M427+M479+M531)/3</f>
        <v>398.54861111111109</v>
      </c>
      <c r="W583" s="95">
        <f t="shared" ref="W583" si="7977">(N427+N479+N531)/3</f>
        <v>329.09722222222223</v>
      </c>
      <c r="X583" s="95">
        <f t="shared" ref="X583" si="7978">(O427+O479+O531)/3</f>
        <v>343.08333333333331</v>
      </c>
      <c r="Y583" s="95">
        <f t="shared" ref="Y583" si="7979">(P427+P479+P531)/3</f>
        <v>343.08333333333331</v>
      </c>
      <c r="Z583" s="95">
        <f t="shared" ref="Z583" si="7980">(Q427+Q479+Q531)/3</f>
        <v>258.95138888888891</v>
      </c>
      <c r="AA583" s="95">
        <f t="shared" ref="AA583" si="7981">(R427+R479+R531)/3</f>
        <v>355.02759582726839</v>
      </c>
      <c r="AC583" s="115">
        <f>+AF583-'Figure 8_data'!I795</f>
        <v>0</v>
      </c>
      <c r="AD583" s="95" t="e">
        <f t="shared" ref="AD583" si="7982">(B583/T583-1)*100</f>
        <v>#DIV/0!</v>
      </c>
      <c r="AE583" s="95" t="e">
        <f t="shared" ref="AE583" si="7983">(C583/U583-1)*100</f>
        <v>#DIV/0!</v>
      </c>
      <c r="AF583" s="95">
        <f t="shared" ref="AF583" si="7984">(D583/V583-1)*100</f>
        <v>39.255283929535992</v>
      </c>
      <c r="AG583" s="95">
        <f t="shared" ref="AG583" si="7985">(E583/W583-1)*100</f>
        <v>34.711964549483</v>
      </c>
      <c r="AH583" s="95">
        <f t="shared" ref="AH583" si="7986">(F583/X583-1)*100</f>
        <v>29.220306048093271</v>
      </c>
      <c r="AI583" s="95">
        <f t="shared" ref="AI583" si="7987">(G583/Y583-1)*100</f>
        <v>29.220306048093271</v>
      </c>
      <c r="AJ583" s="95">
        <f t="shared" ref="AJ583" si="7988">(H583/Z583-1)*100</f>
        <v>19.069967014401001</v>
      </c>
      <c r="AK583" s="95">
        <f t="shared" ref="AK583" si="7989">(I583/AA583-1)*100</f>
        <v>19.083758207422829</v>
      </c>
      <c r="AM583" s="115">
        <f>AP583-'Figure 8_data'!H795</f>
        <v>0</v>
      </c>
      <c r="AN583" s="95" t="e">
        <f t="shared" ref="AN583" si="7990">(B583/B531-1)*100</f>
        <v>#DIV/0!</v>
      </c>
      <c r="AO583" s="95" t="e">
        <f t="shared" ref="AO583" si="7991">(C583/C531-1)*100</f>
        <v>#DIV/0!</v>
      </c>
      <c r="AP583" s="95">
        <f t="shared" ref="AP583" si="7992">(D583/D531-1)*100</f>
        <v>66.666666666666671</v>
      </c>
      <c r="AQ583" s="95">
        <f t="shared" ref="AQ583" si="7993">(E583/E531-1)*100</f>
        <v>58.333333333333329</v>
      </c>
      <c r="AR583" s="95">
        <f t="shared" ref="AR583" si="7994">(F583/F531-1)*100</f>
        <v>91.091954022988503</v>
      </c>
      <c r="AS583" s="95">
        <f t="shared" ref="AS583" si="7995">(G583/G531-1)*100</f>
        <v>91.091954022988503</v>
      </c>
      <c r="AT583" s="95">
        <f t="shared" ref="AT583" si="7996">(H583/H531-1)*100</f>
        <v>64.884135472370758</v>
      </c>
      <c r="AU583" s="95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5">
        <f>TWK!B529</f>
        <v>0</v>
      </c>
      <c r="C584" s="95">
        <f>TWK!C529</f>
        <v>0</v>
      </c>
      <c r="D584" s="95">
        <f>TWK!D529</f>
        <v>590</v>
      </c>
      <c r="E584" s="95">
        <f>TWK!E529</f>
        <v>491.66666666666669</v>
      </c>
      <c r="F584" s="95">
        <f>TWK!F529</f>
        <v>475</v>
      </c>
      <c r="G584" s="95">
        <f>TWK!G529</f>
        <v>475</v>
      </c>
      <c r="H584" s="95">
        <f>TWK!H529</f>
        <v>325</v>
      </c>
      <c r="I584" s="95">
        <f>TWK!I529</f>
        <v>445.63318777292579</v>
      </c>
      <c r="K584" s="95">
        <f t="shared" ref="K584" si="7998">AVERAGE(B581:B584)</f>
        <v>0</v>
      </c>
      <c r="L584" s="95">
        <f t="shared" ref="L584" si="7999">AVERAGE(C581:C584)</f>
        <v>0</v>
      </c>
      <c r="M584" s="95">
        <f t="shared" ref="M584" si="8000">AVERAGE(D581:D584)</f>
        <v>568.125</v>
      </c>
      <c r="N584" s="95">
        <f t="shared" ref="N584" si="8001">AVERAGE(E581:E584)</f>
        <v>436.25</v>
      </c>
      <c r="O584" s="95">
        <f t="shared" ref="O584" si="8002">AVERAGE(F581:F584)</f>
        <v>431.25</v>
      </c>
      <c r="P584" s="95">
        <f t="shared" ref="P584" si="8003">AVERAGE(G581:G584)</f>
        <v>431.25</v>
      </c>
      <c r="Q584" s="95">
        <f t="shared" ref="Q584" si="8004">AVERAGE(H581:H584)</f>
        <v>290.83333333333331</v>
      </c>
      <c r="R584" s="95">
        <f t="shared" ref="R584" si="8005">AVERAGE(I581:I584)</f>
        <v>398.78457059679772</v>
      </c>
      <c r="T584" s="95">
        <f t="shared" ref="T584" si="8006">AVERAGE(K428,K480,K532)</f>
        <v>0</v>
      </c>
      <c r="U584" s="95">
        <f t="shared" ref="U584" si="8007">AVERAGE(L428,L480,L532)</f>
        <v>0</v>
      </c>
      <c r="V584" s="95">
        <f t="shared" ref="V584" si="8008">(M428+M480+M532)/3</f>
        <v>405.72916666666669</v>
      </c>
      <c r="W584" s="95">
        <f t="shared" ref="W584" si="8009">(N428+N480+N532)/3</f>
        <v>337.73611111111114</v>
      </c>
      <c r="X584" s="95">
        <f t="shared" ref="X584" si="8010">(O428+O480+O532)/3</f>
        <v>340.6944444444444</v>
      </c>
      <c r="Y584" s="95">
        <f t="shared" ref="Y584" si="8011">(P428+P480+P532)/3</f>
        <v>340.6944444444444</v>
      </c>
      <c r="Z584" s="95">
        <f t="shared" ref="Z584" si="8012">(Q428+Q480+Q532)/3</f>
        <v>265.78472222222223</v>
      </c>
      <c r="AA584" s="95">
        <f t="shared" ref="AA584" si="8013">(R428+R480+R532)/3</f>
        <v>364.40059437166428</v>
      </c>
      <c r="AC584" s="115">
        <f>+AF584-'Figure 8_data'!I796</f>
        <v>0</v>
      </c>
      <c r="AD584" s="95" t="e">
        <f t="shared" ref="AD584" si="8014">(B584/T584-1)*100</f>
        <v>#DIV/0!</v>
      </c>
      <c r="AE584" s="95" t="e">
        <f t="shared" ref="AE584" si="8015">(C584/U584-1)*100</f>
        <v>#DIV/0!</v>
      </c>
      <c r="AF584" s="95">
        <f t="shared" ref="AF584" si="8016">(D584/V584-1)*100</f>
        <v>45.417201540436444</v>
      </c>
      <c r="AG584" s="95">
        <f t="shared" ref="AG584" si="8017">(E584/W584-1)*100</f>
        <v>45.577168236213339</v>
      </c>
      <c r="AH584" s="95">
        <f t="shared" ref="AH584" si="8018">(F584/X584-1)*100</f>
        <v>39.421116999592364</v>
      </c>
      <c r="AI584" s="95">
        <f t="shared" ref="AI584" si="8019">(G584/Y584-1)*100</f>
        <v>39.421116999592364</v>
      </c>
      <c r="AJ584" s="95">
        <f t="shared" ref="AJ584" si="8020">(H584/Z584-1)*100</f>
        <v>22.279413685888215</v>
      </c>
      <c r="AK584" s="95">
        <f t="shared" ref="AK584" si="8021">(I584/AA584-1)*100</f>
        <v>22.29211331044365</v>
      </c>
      <c r="AM584" s="115">
        <f>AP584-'Figure 8_data'!H796</f>
        <v>0</v>
      </c>
      <c r="AN584" s="95" t="e">
        <f t="shared" ref="AN584" si="8022">(B584/B532-1)*100</f>
        <v>#DIV/0!</v>
      </c>
      <c r="AO584" s="95" t="e">
        <f t="shared" ref="AO584" si="8023">(C584/C532-1)*100</f>
        <v>#DIV/0!</v>
      </c>
      <c r="AP584" s="95">
        <f t="shared" ref="AP584" si="8024">(D584/D532-1)*100</f>
        <v>78.787878787878782</v>
      </c>
      <c r="AQ584" s="95">
        <f t="shared" ref="AQ584" si="8025">(E584/E532-1)*100</f>
        <v>80.428134556574932</v>
      </c>
      <c r="AR584" s="95">
        <f t="shared" ref="AR584" si="8026">(F584/F532-1)*100</f>
        <v>111.11111111111111</v>
      </c>
      <c r="AS584" s="95">
        <f t="shared" ref="AS584" si="8027">(G584/G532-1)*100</f>
        <v>111.11111111111111</v>
      </c>
      <c r="AT584" s="95">
        <f t="shared" ref="AT584" si="8028">(H584/H532-1)*100</f>
        <v>78.082191780821915</v>
      </c>
      <c r="AU584" s="95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5">
        <f>TWK!B530</f>
        <v>0</v>
      </c>
      <c r="C585" s="95">
        <f>TWK!C530</f>
        <v>0</v>
      </c>
      <c r="D585" s="95">
        <f>TWK!D530</f>
        <v>0</v>
      </c>
      <c r="E585" s="95">
        <f>TWK!E530</f>
        <v>491.66666666666669</v>
      </c>
      <c r="F585" s="95">
        <f>TWK!F530</f>
        <v>491.66666666666669</v>
      </c>
      <c r="G585" s="95">
        <f>TWK!G530</f>
        <v>491.66666666666669</v>
      </c>
      <c r="H585" s="95">
        <f>TWK!H530</f>
        <v>341.66666666666669</v>
      </c>
      <c r="I585" s="95">
        <f>TWK!I530</f>
        <v>468.48617176128096</v>
      </c>
      <c r="K585" s="95">
        <f t="shared" ref="K585" si="8030">AVERAGE(B582:B585)</f>
        <v>0</v>
      </c>
      <c r="L585" s="95">
        <f t="shared" ref="L585" si="8031">AVERAGE(C582:C585)</f>
        <v>0</v>
      </c>
      <c r="M585" s="95">
        <f t="shared" ref="M585" si="8032">AVERAGE(D582:D585)</f>
        <v>426.25</v>
      </c>
      <c r="N585" s="95">
        <f t="shared" ref="N585" si="8033">AVERAGE(E582:E585)</f>
        <v>452.91666666666669</v>
      </c>
      <c r="O585" s="95">
        <f t="shared" ref="O585" si="8034">AVERAGE(F582:F585)</f>
        <v>451.25</v>
      </c>
      <c r="P585" s="95">
        <f t="shared" ref="P585" si="8035">AVERAGE(G582:G585)</f>
        <v>451.25</v>
      </c>
      <c r="Q585" s="95">
        <f t="shared" ref="Q585" si="8036">AVERAGE(H582:H585)</f>
        <v>308.75</v>
      </c>
      <c r="R585" s="95">
        <f t="shared" ref="R585" si="8037">AVERAGE(I582:I585)</f>
        <v>423.3515283842795</v>
      </c>
      <c r="T585" s="95">
        <f t="shared" ref="T585" si="8038">AVERAGE(K429,K481,K533)</f>
        <v>0</v>
      </c>
      <c r="U585" s="95">
        <f t="shared" ref="U585" si="8039">AVERAGE(L429,L481,L533)</f>
        <v>0</v>
      </c>
      <c r="V585" s="95">
        <f t="shared" ref="V585" si="8040">(M429+M481+M533)/3</f>
        <v>411.5625</v>
      </c>
      <c r="W585" s="95">
        <f t="shared" ref="W585" si="8041">(N429+N481+N533)/3</f>
        <v>336.52083333333331</v>
      </c>
      <c r="X585" s="95">
        <f t="shared" ref="X585" si="8042">(O429+O481+O533)/3</f>
        <v>336.00694444444446</v>
      </c>
      <c r="Y585" s="95">
        <f t="shared" ref="Y585" si="8043">(P429+P481+P533)/3</f>
        <v>336.00694444444446</v>
      </c>
      <c r="Z585" s="95">
        <f t="shared" ref="Z585" si="8044">(Q429+Q481+Q533)/3</f>
        <v>269.60416666666663</v>
      </c>
      <c r="AA585" s="95">
        <f t="shared" ref="AA585" si="8045">(R429+R481+R533)/3</f>
        <v>369.59012615235321</v>
      </c>
      <c r="AC585" s="115">
        <f>+AF585-'Figure 8_data'!I797</f>
        <v>0</v>
      </c>
      <c r="AD585" s="95" t="e">
        <f t="shared" ref="AD585" si="8046">(B585/T585-1)*100</f>
        <v>#DIV/0!</v>
      </c>
      <c r="AE585" s="95" t="e">
        <f t="shared" ref="AE585" si="8047">(C585/U585-1)*100</f>
        <v>#DIV/0!</v>
      </c>
      <c r="AF585" s="95">
        <f t="shared" ref="AF585" si="8048">(D585/V585-1)*100</f>
        <v>-100</v>
      </c>
      <c r="AG585" s="95">
        <f t="shared" ref="AG585" si="8049">(E585/W585-1)*100</f>
        <v>46.102891103819729</v>
      </c>
      <c r="AH585" s="95">
        <f t="shared" ref="AH585" si="8050">(F585/X585-1)*100</f>
        <v>46.326340808101676</v>
      </c>
      <c r="AI585" s="95">
        <f t="shared" ref="AI585" si="8051">(G585/Y585-1)*100</f>
        <v>46.326340808101676</v>
      </c>
      <c r="AJ585" s="95">
        <f t="shared" ref="AJ585" si="8052">(H585/Z585-1)*100</f>
        <v>26.729000850011619</v>
      </c>
      <c r="AK585" s="95">
        <f t="shared" ref="AK585" si="8053">(I585/AA585-1)*100</f>
        <v>26.758302944532829</v>
      </c>
      <c r="AM585" s="115">
        <f>AP585-'Figure 8_data'!H797</f>
        <v>0</v>
      </c>
      <c r="AN585" s="95" t="e">
        <f t="shared" ref="AN585" si="8054">(B585/B533-1)*100</f>
        <v>#DIV/0!</v>
      </c>
      <c r="AO585" s="95" t="e">
        <f t="shared" ref="AO585" si="8055">(C585/C533-1)*100</f>
        <v>#DIV/0!</v>
      </c>
      <c r="AP585" s="95">
        <f t="shared" ref="AP585" si="8056">(D585/D533-1)*100</f>
        <v>-100</v>
      </c>
      <c r="AQ585" s="95">
        <f t="shared" ref="AQ585" si="8057">(E585/E533-1)*100</f>
        <v>97.986577181208048</v>
      </c>
      <c r="AR585" s="95">
        <f t="shared" ref="AR585" si="8058">(F585/F533-1)*100</f>
        <v>136</v>
      </c>
      <c r="AS585" s="95">
        <f t="shared" ref="AS585" si="8059">(G585/G533-1)*100</f>
        <v>136</v>
      </c>
      <c r="AT585" s="95">
        <f t="shared" ref="AT585" si="8060">(H585/H533-1)*100</f>
        <v>78.260869565217405</v>
      </c>
      <c r="AU585" s="95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5">
        <f>TWK!B531</f>
        <v>0</v>
      </c>
      <c r="C586" s="95">
        <f>TWK!C531</f>
        <v>0</v>
      </c>
      <c r="D586" s="95">
        <f>TWK!D531</f>
        <v>597</v>
      </c>
      <c r="E586" s="95">
        <f>TWK!E531</f>
        <v>457</v>
      </c>
      <c r="F586" s="95">
        <f>TWK!F531</f>
        <v>472</v>
      </c>
      <c r="G586" s="95">
        <f>TWK!G531</f>
        <v>472</v>
      </c>
      <c r="H586" s="95">
        <f>TWK!H531</f>
        <v>315</v>
      </c>
      <c r="I586" s="95">
        <f>TWK!I531</f>
        <v>432</v>
      </c>
      <c r="K586" s="95">
        <f t="shared" ref="K586" si="8062">AVERAGE(B583:B586)</f>
        <v>0</v>
      </c>
      <c r="L586" s="95">
        <f t="shared" ref="L586" si="8063">AVERAGE(C583:C586)</f>
        <v>0</v>
      </c>
      <c r="M586" s="95">
        <f t="shared" ref="M586" si="8064">AVERAGE(D583:D586)</f>
        <v>435.5</v>
      </c>
      <c r="N586" s="95">
        <f t="shared" ref="N586" si="8065">AVERAGE(E583:E586)</f>
        <v>470.91666666666669</v>
      </c>
      <c r="O586" s="95">
        <f t="shared" ref="O586" si="8066">AVERAGE(F583:F586)</f>
        <v>470.5</v>
      </c>
      <c r="P586" s="95">
        <f t="shared" ref="P586" si="8067">AVERAGE(G583:G586)</f>
        <v>470.5</v>
      </c>
      <c r="Q586" s="95">
        <f t="shared" ref="Q586" si="8068">AVERAGE(H583:H586)</f>
        <v>322.5</v>
      </c>
      <c r="R586" s="95">
        <f t="shared" ref="R586" si="8069">AVERAGE(I583:I586)</f>
        <v>442.22489082969435</v>
      </c>
      <c r="T586" s="95">
        <f t="shared" ref="T586" si="8070">AVERAGE(K430,K482,K534)</f>
        <v>0</v>
      </c>
      <c r="U586" s="95">
        <f t="shared" ref="U586" si="8071">AVERAGE(L430,L482,L534)</f>
        <v>0</v>
      </c>
      <c r="V586" s="95">
        <f t="shared" ref="V586" si="8072">(M430+M482+M534)/3</f>
        <v>425.34722222222217</v>
      </c>
      <c r="W586" s="95">
        <f t="shared" ref="W586" si="8073">(N430+N482+N534)/3</f>
        <v>344.75</v>
      </c>
      <c r="X586" s="95">
        <f t="shared" ref="X586" si="8074">(O430+O482+O534)/3</f>
        <v>340.62500000000006</v>
      </c>
      <c r="Y586" s="95">
        <f t="shared" ref="Y586" si="8075">(P430+P482+P534)/3</f>
        <v>340.34722222222223</v>
      </c>
      <c r="Z586" s="95">
        <f t="shared" ref="Z586" si="8076">(Q430+Q482+Q534)/3</f>
        <v>276.96527777777777</v>
      </c>
      <c r="AA586" s="95">
        <f t="shared" ref="AA586" si="8077">(R430+R482+R534)/3</f>
        <v>379.68352741387679</v>
      </c>
      <c r="AC586" s="115">
        <f>+AF586-'Figure 8_data'!I798</f>
        <v>0</v>
      </c>
      <c r="AD586" s="95" t="e">
        <f t="shared" ref="AD586" si="8078">(B586/T586-1)*100</f>
        <v>#DIV/0!</v>
      </c>
      <c r="AE586" s="95" t="e">
        <f t="shared" ref="AE586" si="8079">(C586/U586-1)*100</f>
        <v>#DIV/0!</v>
      </c>
      <c r="AF586" s="95">
        <f t="shared" ref="AF586" si="8080">(D586/V586-1)*100</f>
        <v>40.355918367346952</v>
      </c>
      <c r="AG586" s="95">
        <f t="shared" ref="AG586" si="8081">(E586/W586-1)*100</f>
        <v>32.559825960841195</v>
      </c>
      <c r="AH586" s="95">
        <f t="shared" ref="AH586" si="8082">(F586/X586-1)*100</f>
        <v>38.568807339449521</v>
      </c>
      <c r="AI586" s="95">
        <f t="shared" ref="AI586" si="8083">(G586/Y586-1)*100</f>
        <v>38.681901652723937</v>
      </c>
      <c r="AJ586" s="95">
        <f t="shared" ref="AJ586" si="8084">(H586/Z586-1)*100</f>
        <v>13.732668054058127</v>
      </c>
      <c r="AK586" s="95">
        <f t="shared" ref="AK586" si="8085">(I586/AA586-1)*100</f>
        <v>13.778968221893727</v>
      </c>
      <c r="AM586" s="115">
        <f>AP586-'Figure 8_data'!H798</f>
        <v>0</v>
      </c>
      <c r="AN586" s="95" t="e">
        <f t="shared" ref="AN586" si="8086">(B586/B534-1)*100</f>
        <v>#DIV/0!</v>
      </c>
      <c r="AO586" s="95" t="e">
        <f t="shared" ref="AO586" si="8087">(C586/C534-1)*100</f>
        <v>#DIV/0!</v>
      </c>
      <c r="AP586" s="95">
        <f t="shared" ref="AP586" si="8088">(D586/D534-1)*100</f>
        <v>83.692307692307693</v>
      </c>
      <c r="AQ586" s="95">
        <f t="shared" ref="AQ586" si="8089">(E586/E534-1)*100</f>
        <v>82.800000000000011</v>
      </c>
      <c r="AR586" s="95">
        <f t="shared" ref="AR586" si="8090">(F586/F534-1)*100</f>
        <v>119.53488372093024</v>
      </c>
      <c r="AS586" s="95">
        <f t="shared" ref="AS586" si="8091">(G586/G534-1)*100</f>
        <v>122.992125984252</v>
      </c>
      <c r="AT586" s="95">
        <f t="shared" ref="AT586" si="8092">(H586/H534-1)*100</f>
        <v>71.818181818181799</v>
      </c>
      <c r="AU586" s="95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5">
        <f>TWK!B532</f>
        <v>0</v>
      </c>
      <c r="C587" s="95">
        <f>TWK!C532</f>
        <v>0</v>
      </c>
      <c r="D587" s="95">
        <f>TWK!D532</f>
        <v>600</v>
      </c>
      <c r="E587" s="95">
        <f>TWK!E532</f>
        <v>463.33333333333331</v>
      </c>
      <c r="F587" s="95">
        <f>TWK!F532</f>
        <v>456.66666666666669</v>
      </c>
      <c r="G587" s="95">
        <f>TWK!G532</f>
        <v>456.66666666666669</v>
      </c>
      <c r="H587" s="95">
        <f>TWK!H532</f>
        <v>308.33333333333331</v>
      </c>
      <c r="I587" s="95">
        <f>TWK!I532</f>
        <v>422.78020378457057</v>
      </c>
      <c r="K587" s="95">
        <f t="shared" ref="K587" si="8094">AVERAGE(B584:B587)</f>
        <v>0</v>
      </c>
      <c r="L587" s="95">
        <f t="shared" ref="L587" si="8095">AVERAGE(C584:C587)</f>
        <v>0</v>
      </c>
      <c r="M587" s="95">
        <f t="shared" ref="M587" si="8096">AVERAGE(D584:D587)</f>
        <v>446.75</v>
      </c>
      <c r="N587" s="95">
        <f t="shared" ref="N587" si="8097">AVERAGE(E584:E587)</f>
        <v>475.91666666666669</v>
      </c>
      <c r="O587" s="95">
        <f t="shared" ref="O587" si="8098">AVERAGE(F584:F587)</f>
        <v>473.83333333333337</v>
      </c>
      <c r="P587" s="95">
        <f t="shared" ref="P587" si="8099">AVERAGE(G584:G587)</f>
        <v>473.83333333333337</v>
      </c>
      <c r="Q587" s="95">
        <f t="shared" ref="Q587" si="8100">AVERAGE(H584:H587)</f>
        <v>322.5</v>
      </c>
      <c r="R587" s="95">
        <f t="shared" ref="R587" si="8101">AVERAGE(I584:I587)</f>
        <v>442.22489082969435</v>
      </c>
      <c r="T587" s="95">
        <f t="shared" ref="T587" si="8102">AVERAGE(K431,K483,K535)</f>
        <v>0</v>
      </c>
      <c r="U587" s="95">
        <f t="shared" ref="U587" si="8103">AVERAGE(L431,L483,L535)</f>
        <v>0</v>
      </c>
      <c r="V587" s="95">
        <f t="shared" ref="V587" si="8104">(M431+M483+M535)/3</f>
        <v>433.11805555555549</v>
      </c>
      <c r="W587" s="95">
        <f t="shared" ref="W587" si="8105">(N431+N483+N535)/3</f>
        <v>344.95833333333331</v>
      </c>
      <c r="X587" s="95">
        <f t="shared" ref="X587" si="8106">(O431+O483+O535)/3</f>
        <v>345</v>
      </c>
      <c r="Y587" s="95">
        <f t="shared" ref="Y587" si="8107">(P431+P483+P535)/3</f>
        <v>344.72222222222223</v>
      </c>
      <c r="Z587" s="95">
        <f t="shared" ref="Z587" si="8108">(Q431+Q483+Q535)/3</f>
        <v>284.02777777777777</v>
      </c>
      <c r="AA587" s="95">
        <f t="shared" ref="AA587" si="8109">(R431+R483+R535)/3</f>
        <v>382.38191411935958</v>
      </c>
      <c r="AC587" s="115">
        <f>+AF587-'Figure 8_data'!I799</f>
        <v>0</v>
      </c>
      <c r="AD587" s="95" t="e">
        <f t="shared" ref="AD587" si="8110">(B587/T587-1)*100</f>
        <v>#DIV/0!</v>
      </c>
      <c r="AE587" s="95" t="e">
        <f t="shared" ref="AE587" si="8111">(C587/U587-1)*100</f>
        <v>#DIV/0!</v>
      </c>
      <c r="AF587" s="95">
        <f t="shared" ref="AF587" si="8112">(D587/V587-1)*100</f>
        <v>38.530359633792457</v>
      </c>
      <c r="AG587" s="95">
        <f t="shared" ref="AG587" si="8113">(E587/W587-1)*100</f>
        <v>34.315738615774862</v>
      </c>
      <c r="AH587" s="95">
        <f t="shared" ref="AH587" si="8114">(F587/X587-1)*100</f>
        <v>32.367149758454119</v>
      </c>
      <c r="AI587" s="95">
        <f t="shared" ref="AI587" si="8115">(G587/Y587-1)*100</f>
        <v>32.47381144238517</v>
      </c>
      <c r="AJ587" s="95">
        <f t="shared" ref="AJ587" si="8116">(H587/Z587-1)*100</f>
        <v>8.5574572127139259</v>
      </c>
      <c r="AK587" s="95">
        <f t="shared" ref="AK587" si="8117">(I587/AA587-1)*100</f>
        <v>10.564905967963956</v>
      </c>
      <c r="AM587" s="115">
        <f>AP587-'Figure 8_data'!H799</f>
        <v>0</v>
      </c>
      <c r="AN587" s="95" t="e">
        <f t="shared" ref="AN587" si="8118">(B587/B535-1)*100</f>
        <v>#DIV/0!</v>
      </c>
      <c r="AO587" s="95" t="e">
        <f t="shared" ref="AO587" si="8119">(C587/C535-1)*100</f>
        <v>#DIV/0!</v>
      </c>
      <c r="AP587" s="95">
        <f t="shared" ref="AP587" si="8120">(D587/D535-1)*100</f>
        <v>84.615384615384627</v>
      </c>
      <c r="AQ587" s="95">
        <f t="shared" ref="AQ587" si="8121">(E587/E535-1)*100</f>
        <v>85.333333333333329</v>
      </c>
      <c r="AR587" s="95">
        <f t="shared" ref="AR587" si="8122">(F587/F535-1)*100</f>
        <v>107.57575757575756</v>
      </c>
      <c r="AS587" s="95">
        <f t="shared" ref="AS587" si="8123">(G587/G535-1)*100</f>
        <v>107.57575757575756</v>
      </c>
      <c r="AT587" s="95">
        <f t="shared" ref="AT587" si="8124">(H587/H535-1)*100</f>
        <v>66.666666666666657</v>
      </c>
      <c r="AU587" s="95">
        <f t="shared" ref="AU587" si="8125">(I587/I535-1)*100</f>
        <v>150</v>
      </c>
    </row>
    <row r="588" spans="1:47" x14ac:dyDescent="0.3">
      <c r="A588" s="13">
        <f t="shared" si="7581"/>
        <v>41695</v>
      </c>
      <c r="B588" s="95">
        <f>TWK!B533</f>
        <v>0</v>
      </c>
      <c r="C588" s="95">
        <f>TWK!C533</f>
        <v>0</v>
      </c>
      <c r="D588" s="95">
        <f>TWK!D533</f>
        <v>591.66666666666663</v>
      </c>
      <c r="E588" s="95">
        <f>TWK!E533</f>
        <v>485</v>
      </c>
      <c r="F588" s="95">
        <f>TWK!F533</f>
        <v>483.33333333333331</v>
      </c>
      <c r="G588" s="95">
        <f>TWK!G533</f>
        <v>483.33333333333331</v>
      </c>
      <c r="H588" s="95">
        <f>TWK!H533</f>
        <v>363.33333333333331</v>
      </c>
      <c r="I588" s="95">
        <f>TWK!I533</f>
        <v>498.19505094614266</v>
      </c>
      <c r="K588" s="95">
        <f t="shared" ref="K588" si="8126">AVERAGE(B585:B588)</f>
        <v>0</v>
      </c>
      <c r="L588" s="95">
        <f t="shared" ref="L588" si="8127">AVERAGE(C585:C588)</f>
        <v>0</v>
      </c>
      <c r="M588" s="95">
        <f t="shared" ref="M588" si="8128">AVERAGE(D585:D588)</f>
        <v>447.16666666666663</v>
      </c>
      <c r="N588" s="95">
        <f t="shared" ref="N588" si="8129">AVERAGE(E585:E588)</f>
        <v>474.25</v>
      </c>
      <c r="O588" s="95">
        <f t="shared" ref="O588" si="8130">AVERAGE(F585:F588)</f>
        <v>475.91666666666669</v>
      </c>
      <c r="P588" s="95">
        <f t="shared" ref="P588" si="8131">AVERAGE(G585:G588)</f>
        <v>475.91666666666669</v>
      </c>
      <c r="Q588" s="95">
        <f t="shared" ref="Q588" si="8132">AVERAGE(H585:H588)</f>
        <v>332.08333333333331</v>
      </c>
      <c r="R588" s="95">
        <f t="shared" ref="R588" si="8133">AVERAGE(I585:I588)</f>
        <v>455.36535662299855</v>
      </c>
      <c r="T588" s="95">
        <f t="shared" ref="T588" si="8134">AVERAGE(K432,K484,K536)</f>
        <v>0</v>
      </c>
      <c r="U588" s="95">
        <f t="shared" ref="U588" si="8135">AVERAGE(L432,L484,L536)</f>
        <v>0</v>
      </c>
      <c r="V588" s="95">
        <f t="shared" ref="V588" si="8136">(M432+M484+M536)/3</f>
        <v>421.8819444444444</v>
      </c>
      <c r="W588" s="95">
        <f t="shared" ref="W588" si="8137">(N432+N484+N536)/3</f>
        <v>329.35416666666669</v>
      </c>
      <c r="X588" s="95">
        <f t="shared" ref="X588" si="8138">(O432+O484+O536)/3</f>
        <v>340.85416666666669</v>
      </c>
      <c r="Y588" s="95">
        <f t="shared" ref="Y588" si="8139">(P432+P484+P536)/3</f>
        <v>340.88888888888891</v>
      </c>
      <c r="Z588" s="95">
        <f t="shared" ref="Z588" si="8140">(Q432+Q484+Q536)/3</f>
        <v>277.4305555555556</v>
      </c>
      <c r="AA588" s="95">
        <f t="shared" ref="AA588" si="8141">(R432+R484+R536)/3</f>
        <v>373.26388888888886</v>
      </c>
      <c r="AC588" s="115">
        <f>+AF588-'Figure 8_data'!I800</f>
        <v>0</v>
      </c>
      <c r="AD588" s="95" t="e">
        <f t="shared" ref="AD588" si="8142">(B588/T588-1)*100</f>
        <v>#DIV/0!</v>
      </c>
      <c r="AE588" s="95" t="e">
        <f t="shared" ref="AE588" si="8143">(C588/U588-1)*100</f>
        <v>#DIV/0!</v>
      </c>
      <c r="AF588" s="95">
        <f t="shared" ref="AF588" si="8144">(D588/V588-1)*100</f>
        <v>40.244605027077739</v>
      </c>
      <c r="AG588" s="95">
        <f t="shared" ref="AG588" si="8145">(E588/W588-1)*100</f>
        <v>47.257891074704283</v>
      </c>
      <c r="AH588" s="95">
        <f t="shared" ref="AH588" si="8146">(F588/X588-1)*100</f>
        <v>41.800623433775421</v>
      </c>
      <c r="AI588" s="95">
        <f t="shared" ref="AI588" si="8147">(G588/Y588-1)*100</f>
        <v>41.78617992177314</v>
      </c>
      <c r="AJ588" s="95">
        <f t="shared" ref="AJ588" si="8148">(H588/Z588-1)*100</f>
        <v>30.963704630788456</v>
      </c>
      <c r="AK588" s="95">
        <f t="shared" ref="AK588" si="8149">(I588/AA588-1)*100</f>
        <v>33.469929927896835</v>
      </c>
      <c r="AM588" s="115">
        <f>AP588-'Figure 8_data'!H800</f>
        <v>0</v>
      </c>
      <c r="AN588" s="95" t="e">
        <f t="shared" ref="AN588" si="8150">(B588/B536-1)*100</f>
        <v>#DIV/0!</v>
      </c>
      <c r="AO588" s="95" t="e">
        <f t="shared" ref="AO588" si="8151">(C588/C536-1)*100</f>
        <v>#DIV/0!</v>
      </c>
      <c r="AP588" s="95">
        <f t="shared" ref="AP588" si="8152">(D588/D536-1)*100</f>
        <v>81.122448979591823</v>
      </c>
      <c r="AQ588" s="95">
        <f t="shared" ref="AQ588" si="8153">(E588/E536-1)*100</f>
        <v>90.944881889763778</v>
      </c>
      <c r="AR588" s="95">
        <f t="shared" ref="AR588" si="8154">(F588/F536-1)*100</f>
        <v>119.69696969696967</v>
      </c>
      <c r="AS588" s="95">
        <f t="shared" ref="AS588" si="8155">(G588/G536-1)*100</f>
        <v>119.69696969696967</v>
      </c>
      <c r="AT588" s="95">
        <f t="shared" ref="AT588" si="8156">(H588/H536-1)*100</f>
        <v>96.396396396396383</v>
      </c>
      <c r="AU588" s="95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5">
        <f>TWK!B534</f>
        <v>0</v>
      </c>
      <c r="C589" s="95">
        <f>TWK!C534</f>
        <v>0</v>
      </c>
      <c r="D589" s="95">
        <f>TWK!D534</f>
        <v>620</v>
      </c>
      <c r="E589" s="95">
        <f>TWK!E534</f>
        <v>595</v>
      </c>
      <c r="F589" s="95">
        <f>TWK!F534</f>
        <v>591.66666666666663</v>
      </c>
      <c r="G589" s="95">
        <f>TWK!G534</f>
        <v>591.66666666666663</v>
      </c>
      <c r="H589" s="95">
        <f>TWK!H534</f>
        <v>500</v>
      </c>
      <c r="I589" s="95">
        <f>TWK!I534</f>
        <v>685.58951965065501</v>
      </c>
      <c r="K589" s="95">
        <f t="shared" ref="K589" si="8158">AVERAGE(B586:B589)</f>
        <v>0</v>
      </c>
      <c r="L589" s="95">
        <f t="shared" ref="L589" si="8159">AVERAGE(C586:C589)</f>
        <v>0</v>
      </c>
      <c r="M589" s="95">
        <f t="shared" ref="M589" si="8160">AVERAGE(D586:D589)</f>
        <v>602.16666666666663</v>
      </c>
      <c r="N589" s="95">
        <f t="shared" ref="N589" si="8161">AVERAGE(E586:E589)</f>
        <v>500.08333333333331</v>
      </c>
      <c r="O589" s="95">
        <f t="shared" ref="O589" si="8162">AVERAGE(F586:F589)</f>
        <v>500.91666666666663</v>
      </c>
      <c r="P589" s="95">
        <f t="shared" ref="P589" si="8163">AVERAGE(G586:G589)</f>
        <v>500.91666666666663</v>
      </c>
      <c r="Q589" s="95">
        <f t="shared" ref="Q589" si="8164">AVERAGE(H586:H589)</f>
        <v>371.66666666666663</v>
      </c>
      <c r="R589" s="95">
        <f t="shared" ref="R589" si="8165">AVERAGE(I586:I589)</f>
        <v>509.64119359534209</v>
      </c>
      <c r="T589" s="95">
        <f t="shared" ref="T589" si="8166">AVERAGE(K433,K485,K537)</f>
        <v>0</v>
      </c>
      <c r="U589" s="95">
        <f t="shared" ref="U589" si="8167">AVERAGE(L433,L485,L537)</f>
        <v>86.25</v>
      </c>
      <c r="V589" s="95">
        <f t="shared" ref="V589" si="8168">(M433+M485+M537)/3</f>
        <v>426.00694444444451</v>
      </c>
      <c r="W589" s="95">
        <f t="shared" ref="W589" si="8169">(N433+N485+N537)/3</f>
        <v>333.65972222222223</v>
      </c>
      <c r="X589" s="95">
        <f t="shared" ref="X589" si="8170">(O433+O485+O537)/3</f>
        <v>341.82638888888891</v>
      </c>
      <c r="Y589" s="95">
        <f t="shared" ref="Y589" si="8171">(P433+P485+P537)/3</f>
        <v>341.86111111111114</v>
      </c>
      <c r="Z589" s="95">
        <f t="shared" ref="Z589" si="8172">(Q433+Q485+Q537)/3</f>
        <v>281.00000000000006</v>
      </c>
      <c r="AA589" s="95">
        <f t="shared" ref="AA589" si="8173">(R433+R485+R537)/3</f>
        <v>378.18437651625419</v>
      </c>
      <c r="AC589" s="115">
        <f>+AF589-'Figure 8_data'!I801</f>
        <v>0</v>
      </c>
      <c r="AD589" s="95" t="e">
        <f t="shared" ref="AD589" si="8174">(B589/T589-1)*100</f>
        <v>#DIV/0!</v>
      </c>
      <c r="AE589" s="95">
        <f t="shared" ref="AE589" si="8175">(C589/U589-1)*100</f>
        <v>-100</v>
      </c>
      <c r="AF589" s="95">
        <f t="shared" ref="AF589" si="8176">(D589/V589-1)*100</f>
        <v>45.537533621321998</v>
      </c>
      <c r="AG589" s="95">
        <f t="shared" ref="AG589" si="8177">(E589/W589-1)*100</f>
        <v>78.325389722563315</v>
      </c>
      <c r="AH589" s="95">
        <f t="shared" ref="AH589" si="8178">(F589/X589-1)*100</f>
        <v>73.089815736545887</v>
      </c>
      <c r="AI589" s="95">
        <f t="shared" ref="AI589" si="8179">(G589/Y589-1)*100</f>
        <v>73.072235313236348</v>
      </c>
      <c r="AJ589" s="95">
        <f t="shared" ref="AJ589" si="8180">(H589/Z589-1)*100</f>
        <v>77.935943060498175</v>
      </c>
      <c r="AK589" s="95">
        <f t="shared" ref="AK589" si="8181">(I589/AA589-1)*100</f>
        <v>81.284463934270619</v>
      </c>
      <c r="AM589" s="115">
        <f>AP589-'Figure 8_data'!H801</f>
        <v>0</v>
      </c>
      <c r="AN589" s="95" t="e">
        <f t="shared" ref="AN589" si="8182">(B589/B537-1)*100</f>
        <v>#DIV/0!</v>
      </c>
      <c r="AO589" s="95">
        <f t="shared" ref="AO589" si="8183">(C589/C537-1)*100</f>
        <v>-100</v>
      </c>
      <c r="AP589" s="95">
        <f t="shared" ref="AP589" si="8184">(D589/D537-1)*100</f>
        <v>90.769230769230774</v>
      </c>
      <c r="AQ589" s="95">
        <f t="shared" ref="AQ589" si="8185">(E589/E537-1)*100</f>
        <v>138</v>
      </c>
      <c r="AR589" s="95">
        <f t="shared" ref="AR589" si="8186">(F589/F537-1)*100</f>
        <v>157.24637681159419</v>
      </c>
      <c r="AS589" s="95">
        <f t="shared" ref="AS589" si="8187">(G589/G537-1)*100</f>
        <v>157.24637681159419</v>
      </c>
      <c r="AT589" s="95">
        <f t="shared" ref="AT589" si="8188">(H589/H537-1)*100</f>
        <v>170.27027027027026</v>
      </c>
      <c r="AU589" s="95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5">
        <f>TWK!B535</f>
        <v>0</v>
      </c>
      <c r="C590" s="95">
        <f>TWK!C535</f>
        <v>0</v>
      </c>
      <c r="D590" s="95">
        <f>TWK!D535</f>
        <v>625</v>
      </c>
      <c r="E590" s="95">
        <f>TWK!E535</f>
        <v>595</v>
      </c>
      <c r="F590" s="95">
        <f>TWK!F535</f>
        <v>612.5</v>
      </c>
      <c r="G590" s="95">
        <f>TWK!G535</f>
        <v>612.5</v>
      </c>
      <c r="H590" s="95">
        <f>TWK!H535</f>
        <v>500</v>
      </c>
      <c r="I590" s="95">
        <f>TWK!I535</f>
        <v>685.58951965065501</v>
      </c>
      <c r="K590" s="95">
        <f t="shared" ref="K590" si="8190">AVERAGE(B587:B590)</f>
        <v>0</v>
      </c>
      <c r="L590" s="95">
        <f t="shared" ref="L590" si="8191">AVERAGE(C587:C590)</f>
        <v>0</v>
      </c>
      <c r="M590" s="95">
        <f t="shared" ref="M590" si="8192">AVERAGE(D587:D590)</f>
        <v>609.16666666666663</v>
      </c>
      <c r="N590" s="95">
        <f t="shared" ref="N590" si="8193">AVERAGE(E587:E590)</f>
        <v>534.58333333333326</v>
      </c>
      <c r="O590" s="95">
        <f t="shared" ref="O590" si="8194">AVERAGE(F587:F590)</f>
        <v>536.04166666666663</v>
      </c>
      <c r="P590" s="95">
        <f t="shared" ref="P590" si="8195">AVERAGE(G587:G590)</f>
        <v>536.04166666666663</v>
      </c>
      <c r="Q590" s="95">
        <f t="shared" ref="Q590" si="8196">AVERAGE(H587:H590)</f>
        <v>417.91666666666663</v>
      </c>
      <c r="R590" s="95">
        <f t="shared" ref="R590" si="8197">AVERAGE(I587:I590)</f>
        <v>573.03857350800581</v>
      </c>
      <c r="T590" s="95">
        <f t="shared" ref="T590" si="8198">AVERAGE(K434,K486,K538)</f>
        <v>0</v>
      </c>
      <c r="U590" s="95">
        <f t="shared" ref="U590" si="8199">AVERAGE(L434,L486,L538)</f>
        <v>275.625</v>
      </c>
      <c r="V590" s="95">
        <f t="shared" ref="V590" si="8200">(M434+M486+M538)/3</f>
        <v>417.1875</v>
      </c>
      <c r="W590" s="95">
        <f t="shared" ref="W590" si="8201">(N434+N486+N538)/3</f>
        <v>325.5625</v>
      </c>
      <c r="X590" s="95">
        <f t="shared" ref="X590" si="8202">(O434+O486+O538)/3</f>
        <v>339.09027777777777</v>
      </c>
      <c r="Y590" s="95">
        <f t="shared" ref="Y590" si="8203">(P434+P486+P538)/3</f>
        <v>339.40277777777777</v>
      </c>
      <c r="Z590" s="95">
        <f t="shared" ref="Z590" si="8204">(Q434+Q486+Q538)/3</f>
        <v>274.32638888888891</v>
      </c>
      <c r="AA590" s="95">
        <f t="shared" ref="AA590" si="8205">(R434+R486+R538)/3</f>
        <v>369.02783842794753</v>
      </c>
      <c r="AC590" s="115">
        <f>+AF590-'Figure 8_data'!I802</f>
        <v>0</v>
      </c>
      <c r="AD590" s="95" t="e">
        <f t="shared" ref="AD590" si="8206">(B590/T590-1)*100</f>
        <v>#DIV/0!</v>
      </c>
      <c r="AE590" s="95">
        <f t="shared" ref="AE590" si="8207">(C590/U590-1)*100</f>
        <v>-100</v>
      </c>
      <c r="AF590" s="95">
        <f t="shared" ref="AF590" si="8208">(D590/V590-1)*100</f>
        <v>49.812734082397014</v>
      </c>
      <c r="AG590" s="95">
        <f t="shared" ref="AG590" si="8209">(E590/W590-1)*100</f>
        <v>82.760606642349785</v>
      </c>
      <c r="AH590" s="95">
        <f t="shared" ref="AH590" si="8210">(F590/X590-1)*100</f>
        <v>80.630363103893174</v>
      </c>
      <c r="AI590" s="95">
        <f t="shared" ref="AI590" si="8211">(G590/Y590-1)*100</f>
        <v>80.464050415353768</v>
      </c>
      <c r="AJ590" s="95">
        <f t="shared" ref="AJ590" si="8212">(H590/Z590-1)*100</f>
        <v>82.264638128749695</v>
      </c>
      <c r="AK590" s="95">
        <f t="shared" ref="AK590" si="8213">(I590/AA590-1)*100</f>
        <v>85.782601814338719</v>
      </c>
      <c r="AM590" s="115">
        <f>AP590-'Figure 8_data'!H802</f>
        <v>0</v>
      </c>
      <c r="AN590" s="95" t="e">
        <f t="shared" ref="AN590" si="8214">(B590/B538-1)*100</f>
        <v>#DIV/0!</v>
      </c>
      <c r="AO590" s="95">
        <f t="shared" ref="AO590" si="8215">(C590/C538-1)*100</f>
        <v>-100</v>
      </c>
      <c r="AP590" s="95">
        <f t="shared" ref="AP590" si="8216">(D590/D538-1)*100</f>
        <v>92.307692307692307</v>
      </c>
      <c r="AQ590" s="95">
        <f t="shared" ref="AQ590" si="8217">(E590/E538-1)*100</f>
        <v>138</v>
      </c>
      <c r="AR590" s="95">
        <f t="shared" ref="AR590" si="8218">(F590/F538-1)*100</f>
        <v>174.25373134328356</v>
      </c>
      <c r="AS590" s="95">
        <f t="shared" ref="AS590" si="8219">(G590/G538-1)*100</f>
        <v>174.25373134328356</v>
      </c>
      <c r="AT590" s="95">
        <f t="shared" ref="AT590" si="8220">(H590/H538-1)*100</f>
        <v>170.27027027027026</v>
      </c>
      <c r="AU590" s="95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5">
        <f>TWK!B536</f>
        <v>0</v>
      </c>
      <c r="C591" s="95">
        <f>TWK!C536</f>
        <v>0</v>
      </c>
      <c r="D591" s="95">
        <f>TWK!D536</f>
        <v>578.33333333333337</v>
      </c>
      <c r="E591" s="95">
        <f>TWK!E536</f>
        <v>463.33333333333331</v>
      </c>
      <c r="F591" s="95">
        <f>TWK!F536</f>
        <v>483.33333333333331</v>
      </c>
      <c r="G591" s="95">
        <f>TWK!G536</f>
        <v>483.33333333333331</v>
      </c>
      <c r="H591" s="95">
        <f>TWK!H536</f>
        <v>376.66666666666669</v>
      </c>
      <c r="I591" s="95">
        <f>TWK!I536</f>
        <v>516.47743813682689</v>
      </c>
      <c r="K591" s="95">
        <f t="shared" ref="K591" si="8222">AVERAGE(B588:B591)</f>
        <v>0</v>
      </c>
      <c r="L591" s="95">
        <f t="shared" ref="L591" si="8223">AVERAGE(C588:C591)</f>
        <v>0</v>
      </c>
      <c r="M591" s="95">
        <f t="shared" ref="M591" si="8224">AVERAGE(D588:D591)</f>
        <v>603.75</v>
      </c>
      <c r="N591" s="95">
        <f t="shared" ref="N591" si="8225">AVERAGE(E588:E591)</f>
        <v>534.58333333333337</v>
      </c>
      <c r="O591" s="95">
        <f t="shared" ref="O591" si="8226">AVERAGE(F588:F591)</f>
        <v>542.70833333333337</v>
      </c>
      <c r="P591" s="95">
        <f t="shared" ref="P591" si="8227">AVERAGE(G588:G591)</f>
        <v>542.70833333333337</v>
      </c>
      <c r="Q591" s="95">
        <f t="shared" ref="Q591" si="8228">AVERAGE(H588:H591)</f>
        <v>435</v>
      </c>
      <c r="R591" s="95">
        <f t="shared" ref="R591" si="8229">AVERAGE(I588:I591)</f>
        <v>596.46288209606996</v>
      </c>
      <c r="T591" s="95">
        <f t="shared" ref="T591" si="8230">AVERAGE(K435,K487,K539)</f>
        <v>216.5</v>
      </c>
      <c r="U591" s="95">
        <f t="shared" ref="U591" si="8231">AVERAGE(L435,L487,L539)</f>
        <v>377.83333333333331</v>
      </c>
      <c r="V591" s="95">
        <f t="shared" ref="V591" si="8232">(M435+M487+M539)/3</f>
        <v>408.25</v>
      </c>
      <c r="W591" s="95">
        <f t="shared" ref="W591" si="8233">(N435+N487+N539)/3</f>
        <v>316.64583333333331</v>
      </c>
      <c r="X591" s="95">
        <f t="shared" ref="X591" si="8234">(O435+O487+O539)/3</f>
        <v>333.54861111111114</v>
      </c>
      <c r="Y591" s="95">
        <f t="shared" ref="Y591" si="8235">(P435+P487+P539)/3</f>
        <v>333.86111111111114</v>
      </c>
      <c r="Z591" s="95">
        <f t="shared" ref="Z591" si="8236">(Q435+Q487+Q539)/3</f>
        <v>267.2430555555556</v>
      </c>
      <c r="AA591" s="95">
        <f t="shared" ref="AA591" si="8237">(R435+R487+R539)/3</f>
        <v>366.38858563803979</v>
      </c>
      <c r="AC591" s="115">
        <f>+AF591-'Figure 8_data'!I803</f>
        <v>0</v>
      </c>
      <c r="AD591" s="95">
        <f t="shared" ref="AD591" si="8238">(B591/T591-1)*100</f>
        <v>-100</v>
      </c>
      <c r="AE591" s="95">
        <f t="shared" ref="AE591" si="8239">(C591/U591-1)*100</f>
        <v>-100</v>
      </c>
      <c r="AF591" s="95">
        <f t="shared" ref="AF591" si="8240">(D591/V591-1)*100</f>
        <v>41.661563584404981</v>
      </c>
      <c r="AG591" s="95">
        <f t="shared" ref="AG591" si="8241">(E591/W591-1)*100</f>
        <v>46.325416145799061</v>
      </c>
      <c r="AH591" s="95">
        <f t="shared" ref="AH591" si="8242">(F591/X591-1)*100</f>
        <v>44.906414607232811</v>
      </c>
      <c r="AI591" s="95">
        <f t="shared" ref="AI591" si="8243">(G591/Y591-1)*100</f>
        <v>44.770779598968289</v>
      </c>
      <c r="AJ591" s="95">
        <f t="shared" ref="AJ591" si="8244">(H591/Z591-1)*100</f>
        <v>40.945352493308704</v>
      </c>
      <c r="AK591" s="95">
        <f t="shared" ref="AK591" si="8245">(I591/AA591-1)*100</f>
        <v>40.964390917751437</v>
      </c>
      <c r="AM591" s="115">
        <f>AP591-'Figure 8_data'!H803</f>
        <v>0</v>
      </c>
      <c r="AN591" s="95" t="e">
        <f t="shared" ref="AN591" si="8246">(B591/B539-1)*100</f>
        <v>#DIV/0!</v>
      </c>
      <c r="AO591" s="95">
        <f t="shared" ref="AO591" si="8247">(C591/C539-1)*100</f>
        <v>-100</v>
      </c>
      <c r="AP591" s="95">
        <f t="shared" ref="AP591" si="8248">(D591/D539-1)*100</f>
        <v>88.382193268186768</v>
      </c>
      <c r="AQ591" s="95">
        <f t="shared" ref="AQ591" si="8249">(E591/E539-1)*100</f>
        <v>85.333333333333329</v>
      </c>
      <c r="AR591" s="95">
        <f t="shared" ref="AR591" si="8250">(F591/F539-1)*100</f>
        <v>132.37179487179483</v>
      </c>
      <c r="AS591" s="95">
        <f t="shared" ref="AS591" si="8251">(G591/G539-1)*100</f>
        <v>132.37179487179483</v>
      </c>
      <c r="AT591" s="95">
        <f t="shared" ref="AT591" si="8252">(H591/H539-1)*100</f>
        <v>103.60360360360362</v>
      </c>
      <c r="AU591" s="95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5">
        <f>TWK!B537</f>
        <v>0</v>
      </c>
      <c r="C592" s="95">
        <f>TWK!C537</f>
        <v>467.5</v>
      </c>
      <c r="D592" s="95">
        <f>TWK!D537</f>
        <v>468.75</v>
      </c>
      <c r="E592" s="95">
        <f>TWK!E537</f>
        <v>350</v>
      </c>
      <c r="F592" s="95">
        <f>TWK!F537</f>
        <v>381.25</v>
      </c>
      <c r="G592" s="95">
        <f>TWK!G537</f>
        <v>381.25</v>
      </c>
      <c r="H592" s="95">
        <f>TWK!H537</f>
        <v>281.25</v>
      </c>
      <c r="I592" s="95">
        <f>TWK!I537</f>
        <v>388.50072780203783</v>
      </c>
      <c r="K592" s="95">
        <f t="shared" ref="K592" si="8254">AVERAGE(B589:B592)</f>
        <v>0</v>
      </c>
      <c r="L592" s="95">
        <f t="shared" ref="L592" si="8255">AVERAGE(C589:C592)</f>
        <v>116.875</v>
      </c>
      <c r="M592" s="95">
        <f t="shared" ref="M592" si="8256">AVERAGE(D589:D592)</f>
        <v>573.02083333333337</v>
      </c>
      <c r="N592" s="95">
        <f t="shared" ref="N592" si="8257">AVERAGE(E589:E592)</f>
        <v>500.83333333333331</v>
      </c>
      <c r="O592" s="95">
        <f t="shared" ref="O592" si="8258">AVERAGE(F589:F592)</f>
        <v>517.1875</v>
      </c>
      <c r="P592" s="95">
        <f t="shared" ref="P592" si="8259">AVERAGE(G589:G592)</f>
        <v>517.1875</v>
      </c>
      <c r="Q592" s="95">
        <f t="shared" ref="Q592" si="8260">AVERAGE(H589:H592)</f>
        <v>414.47916666666669</v>
      </c>
      <c r="R592" s="95">
        <f t="shared" ref="R592" si="8261">AVERAGE(I589:I592)</f>
        <v>569.0393013100437</v>
      </c>
      <c r="T592" s="95">
        <f t="shared" ref="T592" si="8262">AVERAGE(K436,K488,K540)</f>
        <v>212.5</v>
      </c>
      <c r="U592" s="95">
        <f t="shared" ref="U592" si="8263">AVERAGE(L436,L488,L540)</f>
        <v>402.16666666666669</v>
      </c>
      <c r="V592" s="95">
        <f t="shared" ref="V592" si="8264">(M436+M488+M540)/3</f>
        <v>403.73611111111109</v>
      </c>
      <c r="W592" s="95">
        <f t="shared" ref="W592" si="8265">(N436+N488+N540)/3</f>
        <v>313.59027777777777</v>
      </c>
      <c r="X592" s="95">
        <f t="shared" ref="X592" si="8266">(O436+O488+O540)/3</f>
        <v>331.70833333333337</v>
      </c>
      <c r="Y592" s="95">
        <f t="shared" ref="Y592" si="8267">(P436+P488+P540)/3</f>
        <v>331.70833333333337</v>
      </c>
      <c r="Z592" s="95">
        <f t="shared" ref="Z592" si="8268">(Q436+Q488+Q540)/3</f>
        <v>264.71527777777777</v>
      </c>
      <c r="AA592" s="95">
        <f t="shared" ref="AA592" si="8269">(R436+R488+R540)/3</f>
        <v>363.01971130519161</v>
      </c>
      <c r="AC592" s="115">
        <f>+AF592-'Figure 8_data'!I804</f>
        <v>0</v>
      </c>
      <c r="AD592" s="95">
        <f t="shared" ref="AD592" si="8270">(B592/T592-1)*100</f>
        <v>-100</v>
      </c>
      <c r="AE592" s="95">
        <f t="shared" ref="AE592" si="8271">(C592/U592-1)*100</f>
        <v>16.24533775383339</v>
      </c>
      <c r="AF592" s="95">
        <f t="shared" ref="AF592" si="8272">(D592/V592-1)*100</f>
        <v>16.10306512091919</v>
      </c>
      <c r="AG592" s="95">
        <f t="shared" ref="AG592" si="8273">(E592/W592-1)*100</f>
        <v>11.610603007285691</v>
      </c>
      <c r="AH592" s="95">
        <f t="shared" ref="AH592" si="8274">(F592/X592-1)*100</f>
        <v>14.935309634468009</v>
      </c>
      <c r="AI592" s="95">
        <f t="shared" ref="AI592" si="8275">(G592/Y592-1)*100</f>
        <v>14.935309634468009</v>
      </c>
      <c r="AJ592" s="95">
        <f t="shared" ref="AJ592" si="8276">(H592/Z592-1)*100</f>
        <v>6.2462289147144467</v>
      </c>
      <c r="AK592" s="95">
        <f t="shared" ref="AK592" si="8277">(I592/AA592-1)*100</f>
        <v>7.0191826237843813</v>
      </c>
      <c r="AM592" s="115">
        <f>AP592-'Figure 8_data'!H804</f>
        <v>0</v>
      </c>
      <c r="AN592" s="95" t="e">
        <f t="shared" ref="AN592" si="8278">(B592/B540-1)*100</f>
        <v>#DIV/0!</v>
      </c>
      <c r="AO592" s="95">
        <f t="shared" ref="AO592" si="8279">(C592/C540-1)*100</f>
        <v>56.703910614525157</v>
      </c>
      <c r="AP592" s="95">
        <f t="shared" ref="AP592" si="8280">(D592/D540-1)*100</f>
        <v>59.801136363636374</v>
      </c>
      <c r="AQ592" s="95">
        <f t="shared" ref="AQ592" si="8281">(E592/E540-1)*100</f>
        <v>42.857142857142861</v>
      </c>
      <c r="AR592" s="95">
        <f t="shared" ref="AR592" si="8282">(F592/F540-1)*100</f>
        <v>85.975609756097569</v>
      </c>
      <c r="AS592" s="95">
        <f t="shared" ref="AS592" si="8283">(G592/G540-1)*100</f>
        <v>85.975609756097569</v>
      </c>
      <c r="AT592" s="95">
        <f t="shared" ref="AT592" si="8284">(H592/H540-1)*100</f>
        <v>59.198113207547173</v>
      </c>
      <c r="AU592" s="95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5">
        <f>TWK!B538</f>
        <v>0</v>
      </c>
      <c r="C593" s="95">
        <f>TWK!C538</f>
        <v>421.25</v>
      </c>
      <c r="D593" s="95">
        <f>TWK!D538</f>
        <v>416.25</v>
      </c>
      <c r="E593" s="95">
        <f>TWK!E538</f>
        <v>300</v>
      </c>
      <c r="F593" s="95">
        <f>TWK!F538</f>
        <v>336.25</v>
      </c>
      <c r="G593" s="95">
        <f>TWK!G538</f>
        <v>336.25</v>
      </c>
      <c r="H593" s="95">
        <f>TWK!H538</f>
        <v>250</v>
      </c>
      <c r="I593" s="95">
        <f>TWK!I538</f>
        <v>342.7947598253275</v>
      </c>
      <c r="K593" s="95">
        <f t="shared" ref="K593" si="8286">AVERAGE(B590:B593)</f>
        <v>0</v>
      </c>
      <c r="L593" s="95">
        <f t="shared" ref="L593" si="8287">AVERAGE(C590:C593)</f>
        <v>222.1875</v>
      </c>
      <c r="M593" s="95">
        <f t="shared" ref="M593" si="8288">AVERAGE(D590:D593)</f>
        <v>522.08333333333337</v>
      </c>
      <c r="N593" s="95">
        <f t="shared" ref="N593" si="8289">AVERAGE(E590:E593)</f>
        <v>427.08333333333331</v>
      </c>
      <c r="O593" s="95">
        <f t="shared" ref="O593" si="8290">AVERAGE(F590:F593)</f>
        <v>453.33333333333331</v>
      </c>
      <c r="P593" s="95">
        <f t="shared" ref="P593" si="8291">AVERAGE(G590:G593)</f>
        <v>453.33333333333331</v>
      </c>
      <c r="Q593" s="95">
        <f t="shared" ref="Q593" si="8292">AVERAGE(H590:H593)</f>
        <v>351.97916666666669</v>
      </c>
      <c r="R593" s="95">
        <f t="shared" ref="R593" si="8293">AVERAGE(I590:I593)</f>
        <v>483.34061135371178</v>
      </c>
      <c r="T593" s="95">
        <f t="shared" ref="T593" si="8294">AVERAGE(K437,K489,K541)</f>
        <v>214</v>
      </c>
      <c r="U593" s="95">
        <f t="shared" ref="U593" si="8295">AVERAGE(L437,L489,L541)</f>
        <v>381.25</v>
      </c>
      <c r="V593" s="95">
        <f t="shared" ref="V593" si="8296">(M437+M489+M541)/3</f>
        <v>383.22222222222223</v>
      </c>
      <c r="W593" s="95">
        <f t="shared" ref="W593" si="8297">(N437+N489+N541)/3</f>
        <v>297.76388888888886</v>
      </c>
      <c r="X593" s="95">
        <f t="shared" ref="X593" si="8298">(O437+O489+O541)/3</f>
        <v>328.11111111111114</v>
      </c>
      <c r="Y593" s="95">
        <f t="shared" ref="Y593" si="8299">(P437+P489+P541)/3</f>
        <v>328.11111111111114</v>
      </c>
      <c r="Z593" s="95">
        <f t="shared" ref="Z593" si="8300">(Q437+Q489+Q541)/3</f>
        <v>252.2847222222222</v>
      </c>
      <c r="AA593" s="95">
        <f t="shared" ref="AA593" si="8301">(R437+R489+R541)/3</f>
        <v>345.93916787967009</v>
      </c>
      <c r="AC593" s="115">
        <f>+AF593-'Figure 8_data'!I805</f>
        <v>0</v>
      </c>
      <c r="AD593" s="95">
        <f t="shared" ref="AD593" si="8302">(B593/T593-1)*100</f>
        <v>-100</v>
      </c>
      <c r="AE593" s="95">
        <f t="shared" ref="AE593" si="8303">(C593/U593-1)*100</f>
        <v>10.491803278688527</v>
      </c>
      <c r="AF593" s="95">
        <f t="shared" ref="AF593" si="8304">(D593/V593-1)*100</f>
        <v>8.6184401275732014</v>
      </c>
      <c r="AG593" s="95">
        <f t="shared" ref="AG593" si="8305">(E593/W593-1)*100</f>
        <v>0.75096786230701706</v>
      </c>
      <c r="AH593" s="95">
        <f t="shared" ref="AH593" si="8306">(F593/X593-1)*100</f>
        <v>2.4805282763291414</v>
      </c>
      <c r="AI593" s="95">
        <f t="shared" ref="AI593" si="8307">(G593/Y593-1)*100</f>
        <v>2.4805282763291414</v>
      </c>
      <c r="AJ593" s="95">
        <f t="shared" ref="AJ593" si="8308">(H593/Z593-1)*100</f>
        <v>-0.90561259599768462</v>
      </c>
      <c r="AK593" s="95">
        <f t="shared" ref="AK593" si="8309">(I593/AA593-1)*100</f>
        <v>-0.90894826209338975</v>
      </c>
      <c r="AM593" s="115">
        <f>AP593-'Figure 8_data'!H805</f>
        <v>0</v>
      </c>
      <c r="AN593" s="95" t="e">
        <f t="shared" ref="AN593" si="8310">(B593/B541-1)*100</f>
        <v>#DIV/0!</v>
      </c>
      <c r="AO593" s="95">
        <f t="shared" ref="AO593" si="8311">(C593/C541-1)*100</f>
        <v>45.258620689655181</v>
      </c>
      <c r="AP593" s="95">
        <f t="shared" ref="AP593" si="8312">(D593/D541-1)*100</f>
        <v>58.571428571428562</v>
      </c>
      <c r="AQ593" s="95">
        <f t="shared" ref="AQ593" si="8313">(E593/E541-1)*100</f>
        <v>29.032258064516125</v>
      </c>
      <c r="AR593" s="95">
        <f t="shared" ref="AR593" si="8314">(F593/F541-1)*100</f>
        <v>73.772609819121442</v>
      </c>
      <c r="AS593" s="95">
        <f t="shared" ref="AS593" si="8315">(G593/G541-1)*100</f>
        <v>73.772609819121442</v>
      </c>
      <c r="AT593" s="95">
        <f t="shared" ref="AT593" si="8316">(H593/H541-1)*100</f>
        <v>38.888888888888886</v>
      </c>
      <c r="AU593" s="95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5">
        <f>TWK!B539</f>
        <v>0</v>
      </c>
      <c r="C594" s="95">
        <f>TWK!C539</f>
        <v>390</v>
      </c>
      <c r="D594" s="95">
        <f>TWK!D539</f>
        <v>370</v>
      </c>
      <c r="E594" s="95">
        <f>TWK!E539</f>
        <v>251.66666666666666</v>
      </c>
      <c r="F594" s="95">
        <f>TWK!F539</f>
        <v>311.66666666666669</v>
      </c>
      <c r="G594" s="95">
        <f>TWK!G539</f>
        <v>311.66666666666669</v>
      </c>
      <c r="H594" s="95">
        <f>TWK!H539</f>
        <v>221.66666666666666</v>
      </c>
      <c r="I594" s="95">
        <f>TWK!I539</f>
        <v>303.94468704512371</v>
      </c>
      <c r="K594" s="95">
        <f t="shared" ref="K594" si="8318">AVERAGE(B591:B594)</f>
        <v>0</v>
      </c>
      <c r="L594" s="95">
        <f t="shared" ref="L594" si="8319">AVERAGE(C591:C594)</f>
        <v>319.6875</v>
      </c>
      <c r="M594" s="95">
        <f t="shared" ref="M594" si="8320">AVERAGE(D591:D594)</f>
        <v>458.33333333333337</v>
      </c>
      <c r="N594" s="95">
        <f t="shared" ref="N594" si="8321">AVERAGE(E591:E594)</f>
        <v>341.25</v>
      </c>
      <c r="O594" s="95">
        <f t="shared" ref="O594" si="8322">AVERAGE(F591:F594)</f>
        <v>378.125</v>
      </c>
      <c r="P594" s="95">
        <f t="shared" ref="P594" si="8323">AVERAGE(G591:G594)</f>
        <v>378.125</v>
      </c>
      <c r="Q594" s="95">
        <f t="shared" ref="Q594" si="8324">AVERAGE(H591:H594)</f>
        <v>282.39583333333337</v>
      </c>
      <c r="R594" s="95">
        <f t="shared" ref="R594" si="8325">AVERAGE(I591:I594)</f>
        <v>387.92940320232901</v>
      </c>
      <c r="T594" s="95">
        <f t="shared" ref="T594" si="8326">AVERAGE(K438,K490,K542)</f>
        <v>258.125</v>
      </c>
      <c r="U594" s="95">
        <f t="shared" ref="U594" si="8327">AVERAGE(L438,L490,L542)</f>
        <v>359.8194444444444</v>
      </c>
      <c r="V594" s="95">
        <f t="shared" ref="V594" si="8328">(M438+M490+M542)/3</f>
        <v>367.1805555555556</v>
      </c>
      <c r="W594" s="95">
        <f t="shared" ref="W594" si="8329">(N438+N490+N542)/3</f>
        <v>281.24305555555554</v>
      </c>
      <c r="X594" s="95">
        <f t="shared" ref="X594" si="8330">(O438+O490+O542)/3</f>
        <v>316.85416666666669</v>
      </c>
      <c r="Y594" s="95">
        <f t="shared" ref="Y594" si="8331">(P438+P490+P542)/3</f>
        <v>316.85416666666669</v>
      </c>
      <c r="Z594" s="95">
        <f t="shared" ref="Z594" si="8332">(Q438+Q490+Q542)/3</f>
        <v>240.13888888888889</v>
      </c>
      <c r="AA594" s="95">
        <f t="shared" ref="AA594" si="8333">(R438+R490+R542)/3</f>
        <v>326.45972828723916</v>
      </c>
      <c r="AC594" s="115">
        <f>+AF594-'Figure 8_data'!I806</f>
        <v>0</v>
      </c>
      <c r="AD594" s="95">
        <f t="shared" ref="AD594" si="8334">(B594/T594-1)*100</f>
        <v>-100</v>
      </c>
      <c r="AE594" s="95">
        <f t="shared" ref="AE594" si="8335">(C594/U594-1)*100</f>
        <v>8.387694445516658</v>
      </c>
      <c r="AF594" s="95">
        <f t="shared" ref="AF594" si="8336">(D594/V594-1)*100</f>
        <v>0.76786322199946522</v>
      </c>
      <c r="AG594" s="95">
        <f t="shared" ref="AG594" si="8337">(E594/W594-1)*100</f>
        <v>-10.516309044667771</v>
      </c>
      <c r="AH594" s="95">
        <f t="shared" ref="AH594" si="8338">(F594/X594-1)*100</f>
        <v>-1.6371885068051761</v>
      </c>
      <c r="AI594" s="95">
        <f t="shared" ref="AI594" si="8339">(G594/Y594-1)*100</f>
        <v>-1.6371885068051761</v>
      </c>
      <c r="AJ594" s="95">
        <f t="shared" ref="AJ594" si="8340">(H594/Z594-1)*100</f>
        <v>-7.6923076923076987</v>
      </c>
      <c r="AK594" s="95">
        <f t="shared" ref="AK594" si="8341">(I594/AA594-1)*100</f>
        <v>-6.8967285368519704</v>
      </c>
      <c r="AM594" s="115">
        <f>AP594-'Figure 8_data'!H806</f>
        <v>0</v>
      </c>
      <c r="AN594" s="95">
        <f t="shared" ref="AN594" si="8342">(B594/B542-1)*100</f>
        <v>-100</v>
      </c>
      <c r="AO594" s="95">
        <f t="shared" ref="AO594" si="8343">(C594/C542-1)*100</f>
        <v>33.333333333333329</v>
      </c>
      <c r="AP594" s="95">
        <f t="shared" ref="AP594" si="8344">(D594/D542-1)*100</f>
        <v>29.824561403508774</v>
      </c>
      <c r="AQ594" s="95">
        <f t="shared" ref="AQ594" si="8345">(E594/E542-1)*100</f>
        <v>10.622710622710629</v>
      </c>
      <c r="AR594" s="95">
        <f t="shared" ref="AR594" si="8346">(F594/F542-1)*100</f>
        <v>57.805907172995788</v>
      </c>
      <c r="AS594" s="95">
        <f t="shared" ref="AS594" si="8347">(G594/G542-1)*100</f>
        <v>57.805907172995788</v>
      </c>
      <c r="AT594" s="95">
        <f t="shared" ref="AT594" si="8348">(H594/H542-1)*100</f>
        <v>23.148148148148138</v>
      </c>
      <c r="AU594" s="95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5">
        <f>TWK!B540</f>
        <v>0</v>
      </c>
      <c r="C595" s="95">
        <f>TWK!C540</f>
        <v>388.75</v>
      </c>
      <c r="D595" s="95">
        <f>TWK!D540</f>
        <v>383.75</v>
      </c>
      <c r="E595" s="95">
        <f>TWK!E540</f>
        <v>263.75</v>
      </c>
      <c r="F595" s="95">
        <f>TWK!F540</f>
        <v>296.25</v>
      </c>
      <c r="G595" s="95">
        <f>TWK!G540</f>
        <v>296.25</v>
      </c>
      <c r="H595" s="95">
        <f>TWK!H540</f>
        <v>216.25</v>
      </c>
      <c r="I595" s="95">
        <f>TWK!I540</f>
        <v>294.80349344978168</v>
      </c>
      <c r="K595" s="95">
        <f t="shared" ref="K595" si="8350">AVERAGE(B592:B595)</f>
        <v>0</v>
      </c>
      <c r="L595" s="95">
        <f t="shared" ref="L595" si="8351">AVERAGE(C592:C595)</f>
        <v>416.875</v>
      </c>
      <c r="M595" s="95">
        <f t="shared" ref="M595" si="8352">AVERAGE(D592:D595)</f>
        <v>409.6875</v>
      </c>
      <c r="N595" s="95">
        <f t="shared" ref="N595" si="8353">AVERAGE(E592:E595)</f>
        <v>291.35416666666663</v>
      </c>
      <c r="O595" s="95">
        <f t="shared" ref="O595" si="8354">AVERAGE(F592:F595)</f>
        <v>331.35416666666669</v>
      </c>
      <c r="P595" s="95">
        <f t="shared" ref="P595" si="8355">AVERAGE(G592:G595)</f>
        <v>331.35416666666669</v>
      </c>
      <c r="Q595" s="95">
        <f t="shared" ref="Q595" si="8356">AVERAGE(H592:H595)</f>
        <v>242.29166666666666</v>
      </c>
      <c r="R595" s="95">
        <f t="shared" ref="R595" si="8357">AVERAGE(I592:I595)</f>
        <v>332.51091703056767</v>
      </c>
      <c r="T595" s="95">
        <f t="shared" ref="T595" si="8358">AVERAGE(K439,K491,K543)</f>
        <v>304.83333333333337</v>
      </c>
      <c r="U595" s="95">
        <f t="shared" ref="U595" si="8359">AVERAGE(L439,L491,L543)</f>
        <v>324.0625</v>
      </c>
      <c r="V595" s="95">
        <f t="shared" ref="V595" si="8360">(M439+M491+M543)/3</f>
        <v>355.04861111111114</v>
      </c>
      <c r="W595" s="95">
        <f t="shared" ref="W595" si="8361">(N439+N491+N543)/3</f>
        <v>271.15972222222223</v>
      </c>
      <c r="X595" s="95">
        <f t="shared" ref="X595" si="8362">(O439+O491+O543)/3</f>
        <v>311.63194444444446</v>
      </c>
      <c r="Y595" s="95">
        <f t="shared" ref="Y595" si="8363">(P439+P491+P543)/3</f>
        <v>312.04861111111114</v>
      </c>
      <c r="Z595" s="95">
        <f t="shared" ref="Z595" si="8364">(Q439+Q491+Q543)/3</f>
        <v>231.44444444444443</v>
      </c>
      <c r="AA595" s="95">
        <f t="shared" ref="AA595" si="8365">(R439+R491+R543)/3</f>
        <v>314.42200388161086</v>
      </c>
      <c r="AC595" s="115">
        <f>+AF595-'Figure 8_data'!I807</f>
        <v>0</v>
      </c>
      <c r="AD595" s="95">
        <f t="shared" ref="AD595" si="8366">(B595/T595-1)*100</f>
        <v>-100</v>
      </c>
      <c r="AE595" s="95">
        <f t="shared" ref="AE595" si="8367">(C595/U595-1)*100</f>
        <v>19.961427193828342</v>
      </c>
      <c r="AF595" s="95">
        <f t="shared" ref="AF595" si="8368">(D595/V595-1)*100</f>
        <v>8.0837913431259345</v>
      </c>
      <c r="AG595" s="95">
        <f t="shared" ref="AG595" si="8369">(E595/W595-1)*100</f>
        <v>-2.7326042973851994</v>
      </c>
      <c r="AH595" s="95">
        <f t="shared" ref="AH595" si="8370">(F595/X595-1)*100</f>
        <v>-4.9359331476323209</v>
      </c>
      <c r="AI595" s="95">
        <f t="shared" ref="AI595" si="8371">(G595/Y595-1)*100</f>
        <v>-5.0628685879604003</v>
      </c>
      <c r="AJ595" s="95">
        <f t="shared" ref="AJ595" si="8372">(H595/Z595-1)*100</f>
        <v>-6.5650504080652876</v>
      </c>
      <c r="AK595" s="95">
        <f t="shared" ref="AK595" si="8373">(I595/AA595-1)*100</f>
        <v>-6.2395475474471329</v>
      </c>
      <c r="AM595" s="115">
        <f>AP595-'Figure 8_data'!H807</f>
        <v>0</v>
      </c>
      <c r="AN595" s="95">
        <f t="shared" ref="AN595" si="8374">(B595/B543-1)*100</f>
        <v>-100</v>
      </c>
      <c r="AO595" s="95">
        <f t="shared" ref="AO595" si="8375">(C595/C543-1)*100</f>
        <v>24.732620320855613</v>
      </c>
      <c r="AP595" s="95">
        <f t="shared" ref="AP595" si="8376">(D595/D543-1)*100</f>
        <v>40.396341463414643</v>
      </c>
      <c r="AQ595" s="95">
        <f t="shared" ref="AQ595" si="8377">(E595/E543-1)*100</f>
        <v>17.222222222222229</v>
      </c>
      <c r="AR595" s="95">
        <f t="shared" ref="AR595" si="8378">(F595/F543-1)*100</f>
        <v>50.63559322033899</v>
      </c>
      <c r="AS595" s="95">
        <f t="shared" ref="AS595" si="8379">(G595/G543-1)*100</f>
        <v>50.63559322033899</v>
      </c>
      <c r="AT595" s="95">
        <f t="shared" ref="AT595" si="8380">(H595/H543-1)*100</f>
        <v>19.036697247706424</v>
      </c>
      <c r="AU595" s="95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5">
        <f>TWK!B541</f>
        <v>475</v>
      </c>
      <c r="C596" s="95">
        <f>TWK!C541</f>
        <v>402</v>
      </c>
      <c r="D596" s="95">
        <f>TWK!D541</f>
        <v>377</v>
      </c>
      <c r="E596" s="95">
        <f>TWK!E541</f>
        <v>238</v>
      </c>
      <c r="F596" s="95">
        <f>TWK!F541</f>
        <v>282</v>
      </c>
      <c r="G596" s="95">
        <f>TWK!G541</f>
        <v>282</v>
      </c>
      <c r="H596" s="95">
        <f>TWK!H541</f>
        <v>208</v>
      </c>
      <c r="I596" s="95">
        <f>TWK!I541</f>
        <v>285.6622998544396</v>
      </c>
      <c r="K596" s="95">
        <f t="shared" ref="K596:K601" si="8382">AVERAGEIF(B593:B596,"&lt;&gt;0")</f>
        <v>475</v>
      </c>
      <c r="L596" s="95">
        <f t="shared" ref="L596" si="8383">AVERAGE(C593:C596)</f>
        <v>400.5</v>
      </c>
      <c r="M596" s="95">
        <f t="shared" ref="M596" si="8384">AVERAGE(D593:D596)</f>
        <v>386.75</v>
      </c>
      <c r="N596" s="95">
        <f t="shared" ref="N596" si="8385">AVERAGE(E593:E596)</f>
        <v>263.35416666666663</v>
      </c>
      <c r="O596" s="95">
        <f t="shared" ref="O596" si="8386">AVERAGE(F593:F596)</f>
        <v>306.54166666666669</v>
      </c>
      <c r="P596" s="95">
        <f t="shared" ref="P596" si="8387">AVERAGE(G593:G596)</f>
        <v>306.54166666666669</v>
      </c>
      <c r="Q596" s="95">
        <f t="shared" ref="Q596" si="8388">AVERAGE(H593:H596)</f>
        <v>223.97916666666666</v>
      </c>
      <c r="R596" s="95">
        <f t="shared" ref="R596" si="8389">AVERAGE(I593:I596)</f>
        <v>306.80131004366814</v>
      </c>
      <c r="T596" s="95">
        <f t="shared" ref="T596:T601" si="8390">AVERAGE(K440,K492,K544)</f>
        <v>356.04166666666663</v>
      </c>
      <c r="U596" s="95">
        <f t="shared" ref="U596" si="8391">AVERAGE(L440,L492,L544)</f>
        <v>326.61458333333337</v>
      </c>
      <c r="V596" s="95">
        <f t="shared" ref="V596:W596" si="8392">(M440+M492+M544)/3</f>
        <v>342.77777777777777</v>
      </c>
      <c r="W596" s="95">
        <f t="shared" si="8392"/>
        <v>261.04861111111109</v>
      </c>
      <c r="X596" s="95">
        <f t="shared" ref="X596" si="8393">(O440+O492+O544)/3</f>
        <v>270.49305555555554</v>
      </c>
      <c r="Y596" s="95">
        <f t="shared" ref="Y596" si="8394">(P440+P492+P544)/3</f>
        <v>270.90972222222223</v>
      </c>
      <c r="Z596" s="95">
        <f t="shared" ref="Z596" si="8395">(Q440+Q492+Q544)/3</f>
        <v>202.83333333333334</v>
      </c>
      <c r="AA596" s="95">
        <f t="shared" ref="AA596" si="8396">(R440+R492+R544)/3</f>
        <v>275.17831149927218</v>
      </c>
      <c r="AC596" s="115">
        <f>+AF596-'Figure 8_data'!I808</f>
        <v>0</v>
      </c>
      <c r="AD596" s="95">
        <f t="shared" ref="AD596" si="8397">(B596/T596-1)*100</f>
        <v>33.41135166764191</v>
      </c>
      <c r="AE596" s="95">
        <f t="shared" ref="AE596" si="8398">(C596/U596-1)*100</f>
        <v>23.080848349545512</v>
      </c>
      <c r="AF596" s="95">
        <f t="shared" ref="AF596" si="8399">(D596/V596-1)*100</f>
        <v>9.9837925445705125</v>
      </c>
      <c r="AG596" s="95">
        <f t="shared" ref="AG596" si="8400">(E596/W596-1)*100</f>
        <v>-8.8292410417387011</v>
      </c>
      <c r="AH596" s="95">
        <f t="shared" ref="AH596" si="8401">(F596/X596-1)*100</f>
        <v>4.2540627968473244</v>
      </c>
      <c r="AI596" s="95">
        <f t="shared" ref="AI596" si="8402">(G596/Y596-1)*100</f>
        <v>4.0937171566993946</v>
      </c>
      <c r="AJ596" s="95">
        <f t="shared" ref="AJ596" si="8403">(H596/Z596-1)*100</f>
        <v>2.5472473294987585</v>
      </c>
      <c r="AK596" s="95">
        <f t="shared" ref="AK596" si="8404">(I596/AA596-1)*100</f>
        <v>3.8098890490485315</v>
      </c>
      <c r="AM596" s="115">
        <f>AP596-'Figure 8_data'!H808</f>
        <v>0</v>
      </c>
      <c r="AN596" s="95">
        <f t="shared" ref="AN596" si="8405">(B596/B544-1)*100</f>
        <v>16.326530612244895</v>
      </c>
      <c r="AO596" s="95">
        <f t="shared" ref="AO596" si="8406">(C596/C544-1)*100</f>
        <v>28.811748998664875</v>
      </c>
      <c r="AP596" s="95">
        <f t="shared" ref="AP596" si="8407">(D596/D544-1)*100</f>
        <v>34.442793462109968</v>
      </c>
      <c r="AQ596" s="95">
        <f t="shared" ref="AQ596" si="8408">(E596/E544-1)*100</f>
        <v>6.7264573991031362</v>
      </c>
      <c r="AR596" s="95">
        <f t="shared" ref="AR596" si="8409">(F596/F544-1)*100</f>
        <v>44.615384615384613</v>
      </c>
      <c r="AS596" s="95">
        <f t="shared" ref="AS596" si="8410">(G596/G544-1)*100</f>
        <v>44.615384615384613</v>
      </c>
      <c r="AT596" s="95">
        <f t="shared" ref="AT596" si="8411">(H596/H544-1)*100</f>
        <v>15.555555555555545</v>
      </c>
      <c r="AU596" s="95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5">
        <f>TWK!B542</f>
        <v>463.33333333333331</v>
      </c>
      <c r="C597" s="95">
        <f>TWK!C542</f>
        <v>375</v>
      </c>
      <c r="D597" s="95">
        <f>TWK!D542</f>
        <v>360</v>
      </c>
      <c r="E597" s="95">
        <f>TWK!E542</f>
        <v>243.33333333333334</v>
      </c>
      <c r="F597" s="95">
        <f>TWK!F542</f>
        <v>272.5</v>
      </c>
      <c r="G597" s="95">
        <f>TWK!G542</f>
        <v>272.5</v>
      </c>
      <c r="H597" s="95">
        <f>TWK!H542</f>
        <v>206.66666666666666</v>
      </c>
      <c r="I597" s="95">
        <f>TWK!I542</f>
        <v>283.3770014556041</v>
      </c>
      <c r="K597" s="95">
        <f t="shared" si="8382"/>
        <v>469.16666666666663</v>
      </c>
      <c r="L597" s="95">
        <f t="shared" ref="L597" si="8413">AVERAGE(C594:C597)</f>
        <v>388.9375</v>
      </c>
      <c r="M597" s="95">
        <f t="shared" ref="M597" si="8414">AVERAGE(D594:D597)</f>
        <v>372.6875</v>
      </c>
      <c r="N597" s="95">
        <f t="shared" ref="N597" si="8415">AVERAGE(E594:E597)</f>
        <v>249.1875</v>
      </c>
      <c r="O597" s="95">
        <f t="shared" ref="O597" si="8416">AVERAGE(F594:F597)</f>
        <v>290.60416666666669</v>
      </c>
      <c r="P597" s="95">
        <f t="shared" ref="P597" si="8417">AVERAGE(G594:G597)</f>
        <v>290.60416666666669</v>
      </c>
      <c r="Q597" s="95">
        <f t="shared" ref="Q597" si="8418">AVERAGE(H594:H597)</f>
        <v>213.14583333333331</v>
      </c>
      <c r="R597" s="95">
        <f t="shared" ref="R597" si="8419">AVERAGE(I594:I597)</f>
        <v>291.94687045123732</v>
      </c>
      <c r="T597" s="95">
        <f t="shared" si="8390"/>
        <v>411</v>
      </c>
      <c r="U597" s="95">
        <f t="shared" ref="U597" si="8420">AVERAGE(L441,L493,L545)</f>
        <v>376.72916666666669</v>
      </c>
      <c r="V597" s="95">
        <f t="shared" ref="V597" si="8421">(M441+M493+M545)/3</f>
        <v>344.29861111111109</v>
      </c>
      <c r="W597" s="95">
        <f t="shared" ref="W597" si="8422">(N441+N493+N545)/3</f>
        <v>257.35416666666669</v>
      </c>
      <c r="X597" s="95">
        <f t="shared" ref="X597" si="8423">(O441+O493+O545)/3</f>
        <v>261.9375</v>
      </c>
      <c r="Y597" s="95">
        <f t="shared" ref="Y597" si="8424">(P441+P493+P545)/3</f>
        <v>262.35416666666669</v>
      </c>
      <c r="Z597" s="95">
        <f t="shared" ref="Z597" si="8425">(Q441+Q493+Q545)/3</f>
        <v>175.05555555555554</v>
      </c>
      <c r="AA597" s="95">
        <f t="shared" ref="AA597" si="8426">(R441+R493+R545)/3</f>
        <v>237.09000485201355</v>
      </c>
      <c r="AC597" s="115">
        <f>+AF597-'Figure 8_data'!I809</f>
        <v>0</v>
      </c>
      <c r="AD597" s="95">
        <f t="shared" ref="AD597" si="8427">(B597/T597-1)*100</f>
        <v>12.733171127331699</v>
      </c>
      <c r="AE597" s="95">
        <f t="shared" ref="AE597" si="8428">(C597/U597-1)*100</f>
        <v>-0.4589946358458219</v>
      </c>
      <c r="AF597" s="95">
        <f t="shared" ref="AF597" si="8429">(D597/V597-1)*100</f>
        <v>4.5603985558401838</v>
      </c>
      <c r="AG597" s="95">
        <f t="shared" ref="AG597" si="8430">(E597/W597-1)*100</f>
        <v>-5.4480692949081195</v>
      </c>
      <c r="AH597" s="95">
        <f t="shared" ref="AH597" si="8431">(F597/X597-1)*100</f>
        <v>4.0324504891434021</v>
      </c>
      <c r="AI597" s="95">
        <f t="shared" ref="AI597" si="8432">(G597/Y597-1)*100</f>
        <v>3.8672278249821224</v>
      </c>
      <c r="AJ597" s="95">
        <f t="shared" ref="AJ597" si="8433">(H597/Z597-1)*100</f>
        <v>18.057759441447164</v>
      </c>
      <c r="AK597" s="95">
        <f t="shared" ref="AK597" si="8434">(I597/AA597-1)*100</f>
        <v>19.522964130217922</v>
      </c>
      <c r="AM597" s="115">
        <f>AP597-'Figure 8_data'!H809</f>
        <v>0</v>
      </c>
      <c r="AN597" s="95">
        <f t="shared" ref="AN597" si="8435">(B597/B545-1)*100</f>
        <v>9.0196078431372442</v>
      </c>
      <c r="AO597" s="95">
        <f t="shared" ref="AO597" si="8436">(C597/C545-1)*100</f>
        <v>19.999999999999996</v>
      </c>
      <c r="AP597" s="95">
        <f t="shared" ref="AP597" si="8437">(D597/D545-1)*100</f>
        <v>28.38038632986628</v>
      </c>
      <c r="AQ597" s="95">
        <f t="shared" ref="AQ597" si="8438">(E597/E545-1)*100</f>
        <v>10.60606060606062</v>
      </c>
      <c r="AR597" s="95">
        <f t="shared" ref="AR597" si="8439">(F597/F545-1)*100</f>
        <v>41.558441558441551</v>
      </c>
      <c r="AS597" s="95">
        <f t="shared" ref="AS597" si="8440">(G597/G545-1)*100</f>
        <v>41.558441558441551</v>
      </c>
      <c r="AT597" s="95">
        <f t="shared" ref="AT597" si="8441">(H597/H545-1)*100</f>
        <v>14.814814814814813</v>
      </c>
      <c r="AU597" s="95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5">
        <f>TWK!B543</f>
        <v>453.33333333333331</v>
      </c>
      <c r="C598" s="95">
        <f>TWK!C543</f>
        <v>373.33333333333331</v>
      </c>
      <c r="D598" s="95">
        <f>TWK!D543</f>
        <v>365</v>
      </c>
      <c r="E598" s="95">
        <f>TWK!E543</f>
        <v>243.33333333333334</v>
      </c>
      <c r="F598" s="95">
        <f>TWK!F543</f>
        <v>246.66666666666666</v>
      </c>
      <c r="G598" s="95">
        <f>TWK!G543</f>
        <v>246.66666666666666</v>
      </c>
      <c r="H598" s="95">
        <f>TWK!H543</f>
        <v>203.33333333333334</v>
      </c>
      <c r="I598" s="95">
        <f>TWK!I543</f>
        <v>278.806404657933</v>
      </c>
      <c r="K598" s="95">
        <f t="shared" si="8382"/>
        <v>463.88888888888886</v>
      </c>
      <c r="L598" s="95">
        <f t="shared" ref="L598" si="8443">AVERAGE(C595:C598)</f>
        <v>384.77083333333331</v>
      </c>
      <c r="M598" s="95">
        <f t="shared" ref="M598" si="8444">AVERAGE(D595:D598)</f>
        <v>371.4375</v>
      </c>
      <c r="N598" s="95">
        <f t="shared" ref="N598" si="8445">AVERAGE(E595:E598)</f>
        <v>247.10416666666669</v>
      </c>
      <c r="O598" s="95">
        <f t="shared" ref="O598" si="8446">AVERAGE(F595:F598)</f>
        <v>274.35416666666669</v>
      </c>
      <c r="P598" s="95">
        <f t="shared" ref="P598" si="8447">AVERAGE(G595:G598)</f>
        <v>274.35416666666669</v>
      </c>
      <c r="Q598" s="95">
        <f t="shared" ref="Q598" si="8448">AVERAGE(H595:H598)</f>
        <v>208.5625</v>
      </c>
      <c r="R598" s="95">
        <f t="shared" ref="R598" si="8449">AVERAGE(I595:I598)</f>
        <v>285.6622998544396</v>
      </c>
      <c r="T598" s="95">
        <f t="shared" si="8390"/>
        <v>465.375</v>
      </c>
      <c r="U598" s="95">
        <f t="shared" ref="U598" si="8450">AVERAGE(L442,L494,L546)</f>
        <v>374.4375</v>
      </c>
      <c r="V598" s="95">
        <f t="shared" ref="V598" si="8451">(M442+M494+M546)/3</f>
        <v>346.6944444444444</v>
      </c>
      <c r="W598" s="95">
        <f t="shared" ref="W598" si="8452">(N442+N494+N546)/3</f>
        <v>258.04166666666669</v>
      </c>
      <c r="X598" s="95">
        <f t="shared" ref="X598" si="8453">(O442+O494+O546)/3</f>
        <v>258.29166666666669</v>
      </c>
      <c r="Y598" s="95">
        <f t="shared" ref="Y598" si="8454">(P442+P494+P546)/3</f>
        <v>259.125</v>
      </c>
      <c r="Z598" s="95">
        <f t="shared" ref="Z598" si="8455">(Q442+Q494+Q546)/3</f>
        <v>176.7222222222222</v>
      </c>
      <c r="AA598" s="95">
        <f t="shared" ref="AA598" si="8456">(R442+R494+R546)/3</f>
        <v>207.93134400776322</v>
      </c>
      <c r="AC598" s="115">
        <f>+AF598-'Figure 8_data'!I810</f>
        <v>0</v>
      </c>
      <c r="AD598" s="95">
        <f t="shared" ref="AD598" si="8457">(B598/T598-1)*100</f>
        <v>-2.5875190258751957</v>
      </c>
      <c r="AE598" s="95">
        <f t="shared" ref="AE598" si="8458">(C598/U598-1)*100</f>
        <v>-0.29488677460636215</v>
      </c>
      <c r="AF598" s="95">
        <f t="shared" ref="AF598" si="8459">(D598/V598-1)*100</f>
        <v>5.280025638971253</v>
      </c>
      <c r="AG598" s="95">
        <f t="shared" ref="AG598" si="8460">(E598/W598-1)*100</f>
        <v>-5.6999838527369668</v>
      </c>
      <c r="AH598" s="95">
        <f t="shared" ref="AH598" si="8461">(F598/X598-1)*100</f>
        <v>-4.5007259235360646</v>
      </c>
      <c r="AI598" s="95">
        <f t="shared" ref="AI598" si="8462">(G598/Y598-1)*100</f>
        <v>-4.80784692072681</v>
      </c>
      <c r="AJ598" s="95">
        <f t="shared" ref="AJ598" si="8463">(H598/Z598-1)*100</f>
        <v>15.058157812008833</v>
      </c>
      <c r="AK598" s="95">
        <f t="shared" ref="AK598" si="8464">(I598/AA598-1)*100</f>
        <v>34.085799323994003</v>
      </c>
      <c r="AM598" s="115">
        <f>AP598-'Figure 8_data'!H810</f>
        <v>0</v>
      </c>
      <c r="AN598" s="95">
        <f t="shared" ref="AN598" si="8465">(B598/B546-1)*100</f>
        <v>16.98924731182796</v>
      </c>
      <c r="AO598" s="95">
        <f t="shared" ref="AO598" si="8466">(C598/C546-1)*100</f>
        <v>22.404371584699454</v>
      </c>
      <c r="AP598" s="95">
        <f t="shared" ref="AP598:AP603" si="8467">(D598/D546-1)*100</f>
        <v>26.956521739130434</v>
      </c>
      <c r="AQ598" s="95">
        <f t="shared" ref="AQ598" si="8468">(E598/E546-1)*100</f>
        <v>10.60606060606062</v>
      </c>
      <c r="AR598" s="95">
        <f t="shared" ref="AR598" si="8469">(F598/F546-1)*100</f>
        <v>29.824561403508774</v>
      </c>
      <c r="AS598" s="95">
        <f t="shared" ref="AS598" si="8470">(G598/G546-1)*100</f>
        <v>29.824561403508774</v>
      </c>
      <c r="AT598" s="95">
        <f t="shared" ref="AT598" si="8471">(H598/H546-1)*100</f>
        <v>12.962962962962976</v>
      </c>
      <c r="AU598" s="95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5">
        <f>TWK!B544</f>
        <v>442.5</v>
      </c>
      <c r="C599" s="95">
        <f>TWK!C544</f>
        <v>360</v>
      </c>
      <c r="D599" s="95">
        <f>TWK!D544</f>
        <v>355</v>
      </c>
      <c r="E599" s="95">
        <f>TWK!E544</f>
        <v>247.5</v>
      </c>
      <c r="F599" s="95">
        <f>TWK!F544</f>
        <v>247.5</v>
      </c>
      <c r="G599" s="95">
        <f>TWK!G544</f>
        <v>247.5</v>
      </c>
      <c r="H599" s="95">
        <f>TWK!H544</f>
        <v>202.5</v>
      </c>
      <c r="I599" s="95">
        <f>TWK!I544</f>
        <v>277.66375545851531</v>
      </c>
      <c r="K599" s="95">
        <f t="shared" si="8382"/>
        <v>458.54166666666663</v>
      </c>
      <c r="L599" s="95">
        <f t="shared" ref="L599" si="8473">AVERAGE(C596:C599)</f>
        <v>377.58333333333331</v>
      </c>
      <c r="M599" s="95">
        <f t="shared" ref="M599" si="8474">AVERAGE(D596:D599)</f>
        <v>364.25</v>
      </c>
      <c r="N599" s="95">
        <f t="shared" ref="N599" si="8475">AVERAGE(E596:E599)</f>
        <v>243.04166666666669</v>
      </c>
      <c r="O599" s="95">
        <f t="shared" ref="O599" si="8476">AVERAGE(F596:F599)</f>
        <v>262.16666666666663</v>
      </c>
      <c r="P599" s="95">
        <f t="shared" ref="P599" si="8477">AVERAGE(G596:G599)</f>
        <v>262.16666666666663</v>
      </c>
      <c r="Q599" s="95">
        <f t="shared" ref="Q599" si="8478">AVERAGE(H596:H599)</f>
        <v>205.125</v>
      </c>
      <c r="R599" s="95">
        <f t="shared" ref="R599" si="8479">AVERAGE(I596:I599)</f>
        <v>281.37736535662305</v>
      </c>
      <c r="T599" s="95">
        <f t="shared" si="8390"/>
        <v>460.83333333333331</v>
      </c>
      <c r="U599" s="95">
        <f t="shared" ref="U599" si="8480">AVERAGE(L443,L495,L547)</f>
        <v>367.74305555555549</v>
      </c>
      <c r="V599" s="95">
        <f t="shared" ref="V599" si="8481">(M443+M495+M547)/3</f>
        <v>349.01388888888886</v>
      </c>
      <c r="W599" s="95">
        <f t="shared" ref="W599" si="8482">(N443+N495+N547)/3</f>
        <v>259.95833333333331</v>
      </c>
      <c r="X599" s="95">
        <f t="shared" ref="X599" si="8483">(O443+O495+O547)/3</f>
        <v>257.98611111111114</v>
      </c>
      <c r="Y599" s="95">
        <f t="shared" ref="Y599" si="8484">(P443+P495+P547)/3</f>
        <v>258.40277777777777</v>
      </c>
      <c r="Z599" s="95">
        <f t="shared" ref="Z599" si="8485">(Q443+Q495+Q547)/3</f>
        <v>179.56944444444446</v>
      </c>
      <c r="AA599" s="95">
        <f t="shared" ref="AA599" si="8486">(R443+R495+R547)/3</f>
        <v>178.53954391072295</v>
      </c>
      <c r="AC599" s="115">
        <f>+AF599-'Figure 8_data'!I811</f>
        <v>0</v>
      </c>
      <c r="AD599" s="95">
        <f t="shared" ref="AD599" si="8487">(B599/T599-1)*100</f>
        <v>-3.9783001808318175</v>
      </c>
      <c r="AE599" s="95">
        <f t="shared" ref="AE599" si="8488">(C599/U599-1)*100</f>
        <v>-2.1055613256538375</v>
      </c>
      <c r="AF599" s="95">
        <f t="shared" ref="AF599" si="8489">(D599/V599-1)*100</f>
        <v>1.7151498268932475</v>
      </c>
      <c r="AG599" s="95">
        <f t="shared" ref="AG599" si="8490">(E599/W599-1)*100</f>
        <v>-4.7924346850456772</v>
      </c>
      <c r="AH599" s="95">
        <f t="shared" ref="AH599" si="8491">(F599/X599-1)*100</f>
        <v>-4.0646029609690544</v>
      </c>
      <c r="AI599" s="95">
        <f t="shared" ref="AI599" si="8492">(G599/Y599-1)*100</f>
        <v>-4.2192958882020903</v>
      </c>
      <c r="AJ599" s="95">
        <f t="shared" ref="AJ599" si="8493">(H599/Z599-1)*100</f>
        <v>12.769742439477128</v>
      </c>
      <c r="AK599" s="95">
        <f t="shared" ref="AK599" si="8494">(I599/AA599-1)*100</f>
        <v>55.519471696062197</v>
      </c>
      <c r="AM599" s="115">
        <f>AP599-'Figure 8_data'!H811</f>
        <v>0</v>
      </c>
      <c r="AN599" s="95">
        <f t="shared" ref="AN599" si="8495">(B599/B547-1)*100</f>
        <v>22.068965517241381</v>
      </c>
      <c r="AO599" s="95">
        <f t="shared" ref="AO599" si="8496">(C599/C547-1)*100</f>
        <v>24.137931034482762</v>
      </c>
      <c r="AP599" s="95">
        <f t="shared" si="8467"/>
        <v>27.927927927927932</v>
      </c>
      <c r="AQ599" s="95">
        <f t="shared" ref="AQ599" si="8497">(E599/E547-1)*100</f>
        <v>12.5</v>
      </c>
      <c r="AR599" s="95">
        <f t="shared" ref="AR599" si="8498">(F599/F547-1)*100</f>
        <v>30.263157894736835</v>
      </c>
      <c r="AS599" s="95">
        <f t="shared" ref="AS599" si="8499">(G599/G547-1)*100</f>
        <v>30.263157894736835</v>
      </c>
      <c r="AT599" s="95">
        <f t="shared" ref="AT599" si="8500">(H599/H547-1)*100</f>
        <v>14.084507042253524</v>
      </c>
      <c r="AU599" s="95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5">
        <f>TWK!B545</f>
        <v>462.5</v>
      </c>
      <c r="C600" s="95">
        <f>TWK!C545</f>
        <v>367.5</v>
      </c>
      <c r="D600" s="95">
        <f>TWK!D545</f>
        <v>372.5</v>
      </c>
      <c r="E600" s="95">
        <f>TWK!E545</f>
        <v>242.5</v>
      </c>
      <c r="F600" s="95">
        <f>TWK!F545</f>
        <v>230</v>
      </c>
      <c r="G600" s="95">
        <f>TWK!G545</f>
        <v>230</v>
      </c>
      <c r="H600" s="95">
        <f>TWK!H545</f>
        <v>200</v>
      </c>
      <c r="I600" s="95">
        <f>TWK!I545</f>
        <v>274.23580786026201</v>
      </c>
      <c r="K600" s="95">
        <f t="shared" si="8382"/>
        <v>455.41666666666663</v>
      </c>
      <c r="L600" s="95">
        <f t="shared" ref="L600" si="8502">AVERAGE(C597:C600)</f>
        <v>368.95833333333331</v>
      </c>
      <c r="M600" s="95">
        <f t="shared" ref="M600" si="8503">AVERAGE(D597:D600)</f>
        <v>363.125</v>
      </c>
      <c r="N600" s="95">
        <f t="shared" ref="N600" si="8504">AVERAGE(E597:E600)</f>
        <v>244.16666666666669</v>
      </c>
      <c r="O600" s="95">
        <f t="shared" ref="O600" si="8505">AVERAGE(F597:F600)</f>
        <v>249.16666666666666</v>
      </c>
      <c r="P600" s="95">
        <f t="shared" ref="P600" si="8506">AVERAGE(G597:G600)</f>
        <v>249.16666666666666</v>
      </c>
      <c r="Q600" s="95">
        <f t="shared" ref="Q600" si="8507">AVERAGE(H597:H600)</f>
        <v>203.125</v>
      </c>
      <c r="R600" s="95">
        <f t="shared" ref="R600" si="8508">AVERAGE(I597:I600)</f>
        <v>278.52074235807862</v>
      </c>
      <c r="T600" s="95">
        <f t="shared" si="8390"/>
        <v>444.1944444444444</v>
      </c>
      <c r="U600" s="95">
        <f t="shared" ref="U600" si="8509">AVERAGE(L444,L496,L548)</f>
        <v>367.29166666666669</v>
      </c>
      <c r="V600" s="95">
        <f t="shared" ref="V600" si="8510">(M444+M496+M548)/3</f>
        <v>352.29166666666669</v>
      </c>
      <c r="W600" s="95">
        <f t="shared" ref="W600" si="8511">(N444+N496+N548)/3</f>
        <v>262.75694444444446</v>
      </c>
      <c r="X600" s="95">
        <f t="shared" ref="X600" si="8512">(O444+O496+O548)/3</f>
        <v>293.98611111111114</v>
      </c>
      <c r="Y600" s="95">
        <f t="shared" ref="Y600" si="8513">(P444+P496+P548)/3</f>
        <v>294.40277777777777</v>
      </c>
      <c r="Z600" s="95">
        <f t="shared" ref="Z600" si="8514">(Q444+Q496+Q548)/3</f>
        <v>204.56944444444446</v>
      </c>
      <c r="AA600" s="95">
        <f t="shared" ref="AA600" si="8515">(R444+R496+R548)/3</f>
        <v>179.09958757884522</v>
      </c>
      <c r="AC600" s="115">
        <f>+AF600-'Figure 8_data'!I812</f>
        <v>0</v>
      </c>
      <c r="AD600" s="95">
        <f t="shared" ref="AD600" si="8516">(B600/T600-1)*100</f>
        <v>4.121068100806724</v>
      </c>
      <c r="AE600" s="95">
        <f t="shared" ref="AE600" si="8517">(C600/U600-1)*100</f>
        <v>5.6721497447531632E-2</v>
      </c>
      <c r="AF600" s="95">
        <f t="shared" ref="AF600" si="8518">(D600/V600-1)*100</f>
        <v>5.7362507392075601</v>
      </c>
      <c r="AG600" s="95">
        <f t="shared" ref="AG600" si="8519">(E600/W600-1)*100</f>
        <v>-7.7093849935248588</v>
      </c>
      <c r="AH600" s="95">
        <f t="shared" ref="AH600" si="8520">(F600/X600-1)*100</f>
        <v>-21.765011574620885</v>
      </c>
      <c r="AI600" s="95">
        <f t="shared" ref="AI600" si="8521">(G600/Y600-1)*100</f>
        <v>-21.875737132613104</v>
      </c>
      <c r="AJ600" s="95">
        <f t="shared" ref="AJ600" si="8522">(H600/Z600-1)*100</f>
        <v>-2.2336886414556334</v>
      </c>
      <c r="AK600" s="95">
        <f t="shared" ref="AK600" si="8523">(I600/AA600-1)*100</f>
        <v>53.119173286501777</v>
      </c>
      <c r="AM600" s="115">
        <f>AP600-'Figure 8_data'!H812</f>
        <v>0</v>
      </c>
      <c r="AN600" s="95">
        <f t="shared" ref="AN600" si="8524">(B600/B548-1)*100</f>
        <v>34.70873786407769</v>
      </c>
      <c r="AO600" s="95">
        <f t="shared" ref="AO600" si="8525">(C600/C548-1)*100</f>
        <v>28.197674418604635</v>
      </c>
      <c r="AP600" s="95">
        <f t="shared" si="8467"/>
        <v>36.280487804878049</v>
      </c>
      <c r="AQ600" s="95">
        <f t="shared" ref="AQ600" si="8526">(E600/E548-1)*100</f>
        <v>11.068702290076327</v>
      </c>
      <c r="AR600" s="95">
        <f t="shared" ref="AR600" si="8527">(F600/F548-1)*100</f>
        <v>21.052631578947366</v>
      </c>
      <c r="AS600" s="95">
        <f t="shared" ref="AS600" si="8528">(G600/G548-1)*100</f>
        <v>21.052631578947366</v>
      </c>
      <c r="AT600" s="95">
        <f t="shared" ref="AT600" si="8529">(H600/H548-1)*100</f>
        <v>11.111111111111116</v>
      </c>
      <c r="AU600" s="95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5">
        <f>TWK!B546</f>
        <v>446.66666666666669</v>
      </c>
      <c r="C601" s="95">
        <f>TWK!C546</f>
        <v>360</v>
      </c>
      <c r="D601" s="95">
        <f>TWK!D546</f>
        <v>360</v>
      </c>
      <c r="E601" s="95">
        <f>TWK!E546</f>
        <v>238.33333333333334</v>
      </c>
      <c r="F601" s="95">
        <f>TWK!F546</f>
        <v>231.66666666666666</v>
      </c>
      <c r="G601" s="95">
        <f>TWK!G546</f>
        <v>231.66666666666666</v>
      </c>
      <c r="H601" s="95">
        <f>TWK!H546</f>
        <v>200</v>
      </c>
      <c r="I601" s="95">
        <f>TWK!I546</f>
        <v>274</v>
      </c>
      <c r="K601" s="95">
        <f t="shared" si="8382"/>
        <v>451.25</v>
      </c>
      <c r="L601" s="95">
        <f t="shared" ref="L601" si="8531">AVERAGE(C598:C601)</f>
        <v>365.20833333333331</v>
      </c>
      <c r="M601" s="95">
        <f t="shared" ref="M601" si="8532">AVERAGE(D598:D601)</f>
        <v>363.125</v>
      </c>
      <c r="N601" s="95">
        <f t="shared" ref="N601" si="8533">AVERAGE(E598:E601)</f>
        <v>242.91666666666669</v>
      </c>
      <c r="O601" s="95">
        <f t="shared" ref="O601" si="8534">AVERAGE(F598:F601)</f>
        <v>238.95833333333331</v>
      </c>
      <c r="P601" s="95">
        <f t="shared" ref="P601" si="8535">AVERAGE(G598:G601)</f>
        <v>238.95833333333331</v>
      </c>
      <c r="Q601" s="95">
        <f t="shared" ref="Q601" si="8536">AVERAGE(H598:H601)</f>
        <v>201.45833333333334</v>
      </c>
      <c r="R601" s="95">
        <f t="shared" ref="R601" si="8537">AVERAGE(I598:I601)</f>
        <v>276.17649199417758</v>
      </c>
      <c r="T601" s="95">
        <f t="shared" si="8390"/>
        <v>442.75</v>
      </c>
      <c r="U601" s="95">
        <f t="shared" ref="U601" si="8538">AVERAGE(L445,L497,L549)</f>
        <v>375.69444444444451</v>
      </c>
      <c r="V601" s="95">
        <f t="shared" ref="V601" si="8539">(M445+M497+M549)/3</f>
        <v>354.42361111111109</v>
      </c>
      <c r="W601" s="95">
        <f t="shared" ref="W601" si="8540">(N445+N497+N549)/3</f>
        <v>264.1875</v>
      </c>
      <c r="X601" s="95">
        <f t="shared" ref="X601" si="8541">(O445+O497+O549)/3</f>
        <v>297.01388888888891</v>
      </c>
      <c r="Y601" s="95">
        <f t="shared" ref="Y601" si="8542">(P445+P497+P549)/3</f>
        <v>297.4305555555556</v>
      </c>
      <c r="Z601" s="95">
        <f t="shared" ref="Z601" si="8543">(Q445+Q497+Q549)/3</f>
        <v>229.6527777777778</v>
      </c>
      <c r="AA601" s="95">
        <f t="shared" ref="AA601" si="8544">(R445+R497+R549)/3</f>
        <v>178.3572295002426</v>
      </c>
      <c r="AC601" s="115">
        <f>+AF601-'Figure 8_data'!I813</f>
        <v>0</v>
      </c>
      <c r="AD601" s="95">
        <f t="shared" ref="AD601" si="8545">(B601/T601-1)*100</f>
        <v>0.88462262375306189</v>
      </c>
      <c r="AE601" s="95">
        <f t="shared" ref="AE601" si="8546">(C601/U601-1)*100</f>
        <v>-4.1774491682070369</v>
      </c>
      <c r="AF601" s="95">
        <f t="shared" ref="AF601" si="8547">(D601/V601-1)*100</f>
        <v>1.5733683406156329</v>
      </c>
      <c r="AG601" s="95">
        <f t="shared" ref="AG601" si="8548">(E601/W601-1)*100</f>
        <v>-9.7862944562731595</v>
      </c>
      <c r="AH601" s="95">
        <f t="shared" ref="AH601" si="8549">(F601/X601-1)*100</f>
        <v>-22.00140285246669</v>
      </c>
      <c r="AI601" s="95">
        <f t="shared" ref="AI601" si="8550">(G601/Y601-1)*100</f>
        <v>-22.110670091057681</v>
      </c>
      <c r="AJ601" s="95">
        <f t="shared" ref="AJ601" si="8551">(H601/Z601-1)*100</f>
        <v>-12.912004838221957</v>
      </c>
      <c r="AK601" s="95">
        <f t="shared" ref="AK601" si="8552">(I601/AA601-1)*100</f>
        <v>53.624274590802237</v>
      </c>
      <c r="AM601" s="115">
        <f>AP601-'Figure 8_data'!H813</f>
        <v>0</v>
      </c>
      <c r="AN601" s="95">
        <f t="shared" ref="AN601" si="8553">(B601/B549-1)*100</f>
        <v>23.502304147465438</v>
      </c>
      <c r="AO601" s="95">
        <f t="shared" ref="AO601" si="8554">(C601/C549-1)*100</f>
        <v>21.34831460674156</v>
      </c>
      <c r="AP601" s="95">
        <f t="shared" si="8467"/>
        <v>16.129032258064523</v>
      </c>
      <c r="AQ601" s="95">
        <f t="shared" ref="AQ601" si="8555">(E601/E549-1)*100</f>
        <v>10.000000000000009</v>
      </c>
      <c r="AR601" s="95">
        <f t="shared" ref="AR601" si="8556">(F601/F549-1)*100</f>
        <v>21.92982456140351</v>
      </c>
      <c r="AS601" s="95">
        <f t="shared" ref="AS601" si="8557">(G601/G549-1)*100</f>
        <v>21.92982456140351</v>
      </c>
      <c r="AT601" s="95">
        <f t="shared" ref="AT601" si="8558">(H601/H549-1)*100</f>
        <v>11.111111111111116</v>
      </c>
      <c r="AU601" s="95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5">
        <f>TWK!B547</f>
        <v>420</v>
      </c>
      <c r="C602" s="95">
        <f>TWK!C547</f>
        <v>355</v>
      </c>
      <c r="D602" s="95">
        <f>TWK!D547</f>
        <v>353.33333333333331</v>
      </c>
      <c r="E602" s="95">
        <f>TWK!E547</f>
        <v>240</v>
      </c>
      <c r="F602" s="95">
        <f>TWK!F547</f>
        <v>231.66666666666666</v>
      </c>
      <c r="G602" s="95">
        <f>TWK!G547</f>
        <v>231.66666666666666</v>
      </c>
      <c r="H602" s="95">
        <f>TWK!H547</f>
        <v>200</v>
      </c>
      <c r="I602" s="95">
        <f>TWK!I547</f>
        <v>274.23580786026201</v>
      </c>
      <c r="K602" s="95">
        <f t="shared" ref="K602" si="8560">AVERAGEIF(B599:B602,"&lt;&gt;0")</f>
        <v>442.91666666666669</v>
      </c>
      <c r="L602" s="95">
        <f t="shared" ref="L602" si="8561">AVERAGE(C599:C602)</f>
        <v>360.625</v>
      </c>
      <c r="M602" s="95">
        <f t="shared" ref="M602" si="8562">AVERAGE(D599:D602)</f>
        <v>360.20833333333331</v>
      </c>
      <c r="N602" s="95">
        <f t="shared" ref="N602" si="8563">AVERAGE(E599:E602)</f>
        <v>242.08333333333334</v>
      </c>
      <c r="O602" s="95">
        <f t="shared" ref="O602" si="8564">AVERAGE(F599:F602)</f>
        <v>235.20833333333331</v>
      </c>
      <c r="P602" s="95">
        <f t="shared" ref="P602" si="8565">AVERAGE(G599:G602)</f>
        <v>235.20833333333331</v>
      </c>
      <c r="Q602" s="95">
        <f t="shared" ref="Q602" si="8566">AVERAGE(H599:H602)</f>
        <v>200.625</v>
      </c>
      <c r="R602" s="95">
        <f t="shared" ref="R602" si="8567">AVERAGE(I599:I602)</f>
        <v>275.03384279475983</v>
      </c>
      <c r="T602" s="95">
        <f t="shared" ref="T602" si="8568">AVERAGE(K446,K498,K550)</f>
        <v>434.9305555555556</v>
      </c>
      <c r="U602" s="95">
        <f t="shared" ref="U602" si="8569">AVERAGE(L446,L498,L550)</f>
        <v>363.0555555555556</v>
      </c>
      <c r="V602" s="95">
        <f t="shared" ref="V602" si="8570">(M446+M498+M550)/3</f>
        <v>353.10416666666669</v>
      </c>
      <c r="W602" s="95">
        <f t="shared" ref="W602" si="8571">(N446+N498+N550)/3</f>
        <v>264.02083333333331</v>
      </c>
      <c r="X602" s="95">
        <f t="shared" ref="X602" si="8572">(O446+O498+O550)/3</f>
        <v>296.87500000000006</v>
      </c>
      <c r="Y602" s="95">
        <f t="shared" ref="Y602" si="8573">(P446+P498+P550)/3</f>
        <v>296.87500000000006</v>
      </c>
      <c r="Z602" s="95">
        <f t="shared" ref="Z602" si="8574">(Q446+Q498+Q550)/3</f>
        <v>230.3125</v>
      </c>
      <c r="AA602" s="95">
        <f t="shared" ref="AA602" si="8575">(R446+R498+R550)/3</f>
        <v>177.97197962154291</v>
      </c>
      <c r="AC602" s="115">
        <f>+AF602-'Figure 8_data'!I814</f>
        <v>0</v>
      </c>
      <c r="AD602" s="95">
        <f t="shared" ref="AD602" si="8576">(B602/T602-1)*100</f>
        <v>-3.4328596519240029</v>
      </c>
      <c r="AE602" s="95">
        <f t="shared" ref="AE602" si="8577">(C602/U602-1)*100</f>
        <v>-2.2188217291507439</v>
      </c>
      <c r="AF602" s="95">
        <f t="shared" ref="AF602" si="8578">(D602/V602-1)*100</f>
        <v>6.490058410524302E-2</v>
      </c>
      <c r="AG602" s="95">
        <f t="shared" ref="AG602" si="8579">(E602/W602-1)*100</f>
        <v>-9.0980825376785202</v>
      </c>
      <c r="AH602" s="95">
        <f t="shared" ref="AH602" si="8580">(F602/X602-1)*100</f>
        <v>-21.964912280701775</v>
      </c>
      <c r="AI602" s="95">
        <f t="shared" ref="AI602" si="8581">(G602/Y602-1)*100</f>
        <v>-21.964912280701775</v>
      </c>
      <c r="AJ602" s="95">
        <f t="shared" ref="AJ602" si="8582">(H602/Z602-1)*100</f>
        <v>-13.161465400271366</v>
      </c>
      <c r="AK602" s="95">
        <f t="shared" ref="AK602" si="8583">(I602/AA602-1)*100</f>
        <v>54.089317005645476</v>
      </c>
      <c r="AM602" s="115">
        <f>AP602-'Figure 8_data'!H814</f>
        <v>0</v>
      </c>
      <c r="AN602" s="95">
        <f t="shared" ref="AN602" si="8584">(B602/B550-1)*100</f>
        <v>5.8823529411764719</v>
      </c>
      <c r="AO602" s="95">
        <f t="shared" ref="AO602" si="8585">(C602/C550-1)*100</f>
        <v>12.105263157894729</v>
      </c>
      <c r="AP602" s="95">
        <f t="shared" si="8467"/>
        <v>12.169312169312164</v>
      </c>
      <c r="AQ602" s="95">
        <f t="shared" ref="AQ602" si="8586">(E602/E550-1)*100</f>
        <v>8.2706766917293173</v>
      </c>
      <c r="AR602" s="95">
        <f t="shared" ref="AR602" si="8587">(F602/F550-1)*100</f>
        <v>19.82758620689653</v>
      </c>
      <c r="AS602" s="95">
        <f t="shared" ref="AS602" si="8588">(G602/G550-1)*100</f>
        <v>19.82758620689653</v>
      </c>
      <c r="AT602" s="95">
        <f t="shared" ref="AT602" si="8589">(H602/H550-1)*100</f>
        <v>10.091743119266061</v>
      </c>
      <c r="AU602" s="95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5">
        <f>TWK!B548</f>
        <v>421.66666666666669</v>
      </c>
      <c r="C603" s="95">
        <f>TWK!C548</f>
        <v>363.33333333333331</v>
      </c>
      <c r="D603" s="95">
        <f>TWK!D548</f>
        <v>373.33333333333331</v>
      </c>
      <c r="E603" s="95">
        <f>TWK!E548</f>
        <v>245</v>
      </c>
      <c r="F603" s="95">
        <f>TWK!F548</f>
        <v>231.66666666666666</v>
      </c>
      <c r="G603" s="95">
        <f>TWK!G548</f>
        <v>231.66666666666666</v>
      </c>
      <c r="H603" s="95">
        <f>TWK!H548</f>
        <v>200</v>
      </c>
      <c r="I603" s="95">
        <f>TWK!I548</f>
        <v>274.23580786026201</v>
      </c>
      <c r="K603" s="95">
        <f t="shared" ref="K603" si="8591">AVERAGEIF(B600:B603,"&lt;&gt;0")</f>
        <v>437.70833333333337</v>
      </c>
      <c r="L603" s="95">
        <f t="shared" ref="L603" si="8592">AVERAGE(C600:C603)</f>
        <v>361.45833333333331</v>
      </c>
      <c r="M603" s="95">
        <f t="shared" ref="M603" si="8593">AVERAGE(D600:D603)</f>
        <v>364.79166666666663</v>
      </c>
      <c r="N603" s="95">
        <f t="shared" ref="N603" si="8594">AVERAGE(E600:E603)</f>
        <v>241.45833333333334</v>
      </c>
      <c r="O603" s="95">
        <f t="shared" ref="O603" si="8595">AVERAGE(F600:F603)</f>
        <v>231.24999999999997</v>
      </c>
      <c r="P603" s="95">
        <f t="shared" ref="P603" si="8596">AVERAGE(G600:G603)</f>
        <v>231.24999999999997</v>
      </c>
      <c r="Q603" s="95">
        <f t="shared" ref="Q603" si="8597">AVERAGE(H600:H603)</f>
        <v>200</v>
      </c>
      <c r="R603" s="95">
        <f t="shared" ref="R603" si="8598">AVERAGE(I600:I603)</f>
        <v>274.17685589519647</v>
      </c>
      <c r="T603" s="95">
        <f t="shared" ref="T603" si="8599">AVERAGE(K447,K499,K551)</f>
        <v>428.47222222222223</v>
      </c>
      <c r="U603" s="95">
        <f t="shared" ref="U603" si="8600">AVERAGE(L447,L499,L551)</f>
        <v>365.41666666666669</v>
      </c>
      <c r="V603" s="95">
        <f t="shared" ref="V603" si="8601">(M447+M499+M551)/3</f>
        <v>351.4375</v>
      </c>
      <c r="W603" s="95">
        <f t="shared" ref="W603" si="8602">(N447+N499+N551)/3</f>
        <v>262.97916666666663</v>
      </c>
      <c r="X603" s="95">
        <f t="shared" ref="X603" si="8603">(O447+O499+O551)/3</f>
        <v>293.50694444444446</v>
      </c>
      <c r="Y603" s="95">
        <f t="shared" ref="Y603" si="8604">(P447+P499+P551)/3</f>
        <v>293.50694444444446</v>
      </c>
      <c r="Z603" s="95">
        <f t="shared" ref="Z603" si="8605">(Q447+Q499+Q551)/3</f>
        <v>231.01388888888889</v>
      </c>
      <c r="AA603" s="95">
        <f t="shared" ref="AA603" si="8606">(R447+R499+R551)/3</f>
        <v>169.87821445900047</v>
      </c>
      <c r="AC603" s="115">
        <f>+AF603-'Figure 8_data'!I815</f>
        <v>0</v>
      </c>
      <c r="AD603" s="95">
        <f t="shared" ref="AD603" si="8607">(B603/T603-1)*100</f>
        <v>-1.588330632090762</v>
      </c>
      <c r="AE603" s="95">
        <f t="shared" ref="AE603" si="8608">(C603/U603-1)*100</f>
        <v>-0.57012542759408147</v>
      </c>
      <c r="AF603" s="95">
        <f t="shared" ref="AF603" si="8609">(D603/V603-1)*100</f>
        <v>6.230363388464033</v>
      </c>
      <c r="AG603" s="95">
        <f t="shared" ref="AG603" si="8610">(E603/W603-1)*100</f>
        <v>-6.8367266101560524</v>
      </c>
      <c r="AH603" s="95">
        <f t="shared" ref="AH603" si="8611">(F603/X603-1)*100</f>
        <v>-21.069442801372297</v>
      </c>
      <c r="AI603" s="95">
        <f t="shared" ref="AI603" si="8612">(G603/Y603-1)*100</f>
        <v>-21.069442801372297</v>
      </c>
      <c r="AJ603" s="95">
        <f t="shared" ref="AJ603" si="8613">(H603/Z603-1)*100</f>
        <v>-13.425118739854502</v>
      </c>
      <c r="AK603" s="95">
        <f t="shared" ref="AK603" si="8614">(I603/AA603-1)*100</f>
        <v>61.430827804260858</v>
      </c>
      <c r="AM603" s="115">
        <f>AP603-'Figure 8_data'!H815</f>
        <v>0</v>
      </c>
      <c r="AN603" s="95">
        <f t="shared" ref="AN603" si="8615">(B603/B551-1)*100</f>
        <v>18.779342723004699</v>
      </c>
      <c r="AO603" s="95">
        <f t="shared" ref="AO603" si="8616">(C603/C551-1)*100</f>
        <v>19.125683060109289</v>
      </c>
      <c r="AP603" s="95">
        <f t="shared" si="8467"/>
        <v>27.635327635327634</v>
      </c>
      <c r="AQ603" s="95">
        <f t="shared" ref="AQ603" si="8617">(E603/E551-1)*100</f>
        <v>12.643678160919535</v>
      </c>
      <c r="AR603" s="95">
        <f t="shared" ref="AR603" si="8618">(F603/F551-1)*100</f>
        <v>21.92982456140351</v>
      </c>
      <c r="AS603" s="95">
        <f t="shared" ref="AS603" si="8619">(G603/G551-1)*100</f>
        <v>21.92982456140351</v>
      </c>
      <c r="AT603" s="95">
        <f t="shared" ref="AT603" si="8620">(H603/H551-1)*100</f>
        <v>6.6666666666666652</v>
      </c>
      <c r="AU603" s="95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5">
        <f>TWK!B549</f>
        <v>430</v>
      </c>
      <c r="C604" s="95">
        <f>TWK!C549</f>
        <v>366.66666666666669</v>
      </c>
      <c r="D604" s="95">
        <f>TWK!D549</f>
        <v>366.66666666666669</v>
      </c>
      <c r="E604" s="95">
        <f>TWK!E549</f>
        <v>248.33333333333334</v>
      </c>
      <c r="F604" s="95">
        <f>TWK!F549</f>
        <v>226.66666666666666</v>
      </c>
      <c r="G604" s="95">
        <f>TWK!G549</f>
        <v>226.66666666666666</v>
      </c>
      <c r="H604" s="95">
        <f>TWK!H549</f>
        <v>206.66666666666666</v>
      </c>
      <c r="I604" s="95">
        <f>TWK!I549</f>
        <v>283.3770014556041</v>
      </c>
      <c r="K604" s="95">
        <f t="shared" ref="K604" si="8622">AVERAGEIF(B601:B604,"&lt;&gt;0")</f>
        <v>429.58333333333337</v>
      </c>
      <c r="L604" s="95">
        <f t="shared" ref="L604" si="8623">AVERAGE(C601:C604)</f>
        <v>361.25</v>
      </c>
      <c r="M604" s="95">
        <f t="shared" ref="M604" si="8624">AVERAGE(D601:D604)</f>
        <v>363.33333333333331</v>
      </c>
      <c r="N604" s="95">
        <f t="shared" ref="N604" si="8625">AVERAGE(E601:E604)</f>
        <v>242.91666666666669</v>
      </c>
      <c r="O604" s="95">
        <f t="shared" ref="O604" si="8626">AVERAGE(F601:F604)</f>
        <v>230.41666666666666</v>
      </c>
      <c r="P604" s="95">
        <f t="shared" ref="P604" si="8627">AVERAGE(G601:G604)</f>
        <v>230.41666666666666</v>
      </c>
      <c r="Q604" s="95">
        <f t="shared" ref="Q604" si="8628">AVERAGE(H601:H604)</f>
        <v>201.66666666666666</v>
      </c>
      <c r="R604" s="95">
        <f t="shared" ref="R604" si="8629">AVERAGE(I601:I604)</f>
        <v>276.46215429403202</v>
      </c>
      <c r="T604" s="95">
        <f t="shared" ref="T604" si="8630">AVERAGE(K448,K500,K552)</f>
        <v>433.61111111111114</v>
      </c>
      <c r="U604" s="95">
        <f t="shared" ref="U604" si="8631">AVERAGE(L448,L500,L552)</f>
        <v>367.63888888888886</v>
      </c>
      <c r="V604" s="95">
        <f t="shared" ref="V604" si="8632">(M448+M500+M552)/3</f>
        <v>349.48611111111114</v>
      </c>
      <c r="W604" s="95">
        <f t="shared" ref="W604" si="8633">(N448+N500+N552)/3</f>
        <v>264.79166666666669</v>
      </c>
      <c r="X604" s="95">
        <f t="shared" ref="X604" si="8634">(O448+O500+O552)/3</f>
        <v>289.03472222222223</v>
      </c>
      <c r="Y604" s="95">
        <f t="shared" ref="Y604" si="8635">(P448+P500+P552)/3</f>
        <v>289.03472222222223</v>
      </c>
      <c r="Z604" s="95">
        <f t="shared" ref="Z604" si="8636">(Q448+Q500+Q552)/3</f>
        <v>233.37499999999997</v>
      </c>
      <c r="AA604" s="95">
        <f t="shared" ref="AA604" si="8637">(R448+R500+R552)/3</f>
        <v>199.48750606501699</v>
      </c>
      <c r="AC604" s="115">
        <f>+AF604-'Figure 8_data'!I816</f>
        <v>0</v>
      </c>
      <c r="AD604" s="95">
        <f t="shared" ref="AD604" si="8638">(B604/T604-1)*100</f>
        <v>-0.83279948750801802</v>
      </c>
      <c r="AE604" s="95">
        <f t="shared" ref="AE604" si="8639">(C604/U604-1)*100</f>
        <v>-0.26445032111823696</v>
      </c>
      <c r="AF604" s="95">
        <f t="shared" ref="AF604" si="8640">(D604/V604-1)*100</f>
        <v>4.9159480189166604</v>
      </c>
      <c r="AG604" s="95">
        <f t="shared" ref="AG604" si="8641">(E604/W604-1)*100</f>
        <v>-6.2155782848151038</v>
      </c>
      <c r="AH604" s="95">
        <f t="shared" ref="AH604" si="8642">(F604/X604-1)*100</f>
        <v>-21.578049542298359</v>
      </c>
      <c r="AI604" s="95">
        <f t="shared" ref="AI604" si="8643">(G604/Y604-1)*100</f>
        <v>-21.578049542298359</v>
      </c>
      <c r="AJ604" s="95">
        <f t="shared" ref="AJ604" si="8644">(H604/Z604-1)*100</f>
        <v>-11.444384931262263</v>
      </c>
      <c r="AK604" s="95">
        <f t="shared" ref="AK604" si="8645">(I604/AA604-1)*100</f>
        <v>42.05250596658712</v>
      </c>
      <c r="AM604" s="115">
        <f>AP604-'Figure 8_data'!H816</f>
        <v>0</v>
      </c>
      <c r="AN604" s="95">
        <f t="shared" ref="AN604" si="8646">(B604/B552-1)*100</f>
        <v>19.444444444444443</v>
      </c>
      <c r="AO604" s="95">
        <f t="shared" ref="AO604" si="8647">(C604/C552-1)*100</f>
        <v>22.222222222222232</v>
      </c>
      <c r="AP604" s="95">
        <f t="shared" ref="AP604" si="8648">(D604/D552-1)*100</f>
        <v>24.293785310734471</v>
      </c>
      <c r="AQ604" s="95">
        <f t="shared" ref="AQ604" si="8649">(E604/E552-1)*100</f>
        <v>12.87878787878789</v>
      </c>
      <c r="AR604" s="95">
        <f t="shared" ref="AR604" si="8650">(F604/F552-1)*100</f>
        <v>19.298245614035082</v>
      </c>
      <c r="AS604" s="95">
        <f t="shared" ref="AS604" si="8651">(G604/G552-1)*100</f>
        <v>19.298245614035082</v>
      </c>
      <c r="AT604" s="95">
        <f t="shared" ref="AT604" si="8652">(H604/H552-1)*100</f>
        <v>7.3593073593073655</v>
      </c>
      <c r="AU604" s="95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5">
        <f>TWK!B550</f>
        <v>0</v>
      </c>
      <c r="C605" s="95">
        <f>TWK!C550</f>
        <v>370</v>
      </c>
      <c r="D605" s="95">
        <f>TWK!D550</f>
        <v>368.75</v>
      </c>
      <c r="E605" s="95">
        <f>TWK!E550</f>
        <v>248.75</v>
      </c>
      <c r="F605" s="95">
        <f>TWK!F550</f>
        <v>237.5</v>
      </c>
      <c r="G605" s="95">
        <f>TWK!G550</f>
        <v>231.25</v>
      </c>
      <c r="H605" s="95">
        <f>TWK!H550</f>
        <v>213.75</v>
      </c>
      <c r="I605" s="95">
        <f>TWK!I550</f>
        <v>294.80349344978163</v>
      </c>
      <c r="K605" s="95">
        <f t="shared" ref="K605" si="8654">AVERAGEIF(B602:B605,"&lt;&gt;0")</f>
        <v>423.88888888888891</v>
      </c>
      <c r="L605" s="95">
        <f t="shared" ref="L605" si="8655">AVERAGE(C602:C605)</f>
        <v>363.75</v>
      </c>
      <c r="M605" s="95">
        <f t="shared" ref="M605" si="8656">AVERAGE(D602:D605)</f>
        <v>365.52083333333331</v>
      </c>
      <c r="N605" s="95">
        <f t="shared" ref="N605" si="8657">AVERAGE(E602:E605)</f>
        <v>245.52083333333334</v>
      </c>
      <c r="O605" s="95">
        <f t="shared" ref="O605" si="8658">AVERAGE(F602:F605)</f>
        <v>231.875</v>
      </c>
      <c r="P605" s="95">
        <f t="shared" ref="P605" si="8659">AVERAGE(G602:G605)</f>
        <v>230.3125</v>
      </c>
      <c r="Q605" s="95">
        <f t="shared" ref="Q605" si="8660">AVERAGE(H602:H605)</f>
        <v>205.10416666666666</v>
      </c>
      <c r="R605" s="95">
        <f t="shared" ref="R605" si="8661">AVERAGE(I602:I605)</f>
        <v>281.66302765647742</v>
      </c>
      <c r="T605" s="95">
        <f t="shared" ref="T605" si="8662">AVERAGE(K449,K501,K553)</f>
        <v>433.19444444444451</v>
      </c>
      <c r="U605" s="95">
        <f t="shared" ref="U605" si="8663">AVERAGE(L449,L501,L553)</f>
        <v>363.0555555555556</v>
      </c>
      <c r="V605" s="95">
        <f t="shared" ref="V605" si="8664">(M449+M501+M553)/3</f>
        <v>344.09722222222223</v>
      </c>
      <c r="W605" s="95">
        <f t="shared" ref="W605" si="8665">(N449+N501+N553)/3</f>
        <v>264.9305555555556</v>
      </c>
      <c r="X605" s="95">
        <f t="shared" ref="X605" si="8666">(O449+O501+O553)/3</f>
        <v>286.21527777777777</v>
      </c>
      <c r="Y605" s="95">
        <f t="shared" ref="Y605" si="8667">(P449+P501+P553)/3</f>
        <v>286.77083333333331</v>
      </c>
      <c r="Z605" s="95">
        <f t="shared" ref="Z605" si="8668">(Q449+Q501+Q553)/3</f>
        <v>233.68055555555551</v>
      </c>
      <c r="AA605" s="95">
        <f t="shared" ref="AA605" si="8669">(R449+R501+R553)/3</f>
        <v>235.10007278020376</v>
      </c>
      <c r="AC605" s="115">
        <f>+AF605-'Figure 8_data'!I817</f>
        <v>0</v>
      </c>
      <c r="AD605" s="95">
        <f t="shared" ref="AD605" si="8670">(B605/T605-1)*100</f>
        <v>-100</v>
      </c>
      <c r="AE605" s="95">
        <f t="shared" ref="AE605" si="8671">(C605/U605-1)*100</f>
        <v>1.9127773527161329</v>
      </c>
      <c r="AF605" s="95">
        <f t="shared" ref="AF605" si="8672">(D605/V605-1)*100</f>
        <v>7.1644803229061527</v>
      </c>
      <c r="AG605" s="95">
        <f t="shared" ref="AG605" si="8673">(E605/W605-1)*100</f>
        <v>-6.1074705111402565</v>
      </c>
      <c r="AH605" s="95">
        <f t="shared" ref="AH605" si="8674">(F605/X605-1)*100</f>
        <v>-17.020502244328519</v>
      </c>
      <c r="AI605" s="95">
        <f t="shared" ref="AI605" si="8675">(G605/Y605-1)*100</f>
        <v>-19.360697420995276</v>
      </c>
      <c r="AJ605" s="95">
        <f t="shared" ref="AJ605" si="8676">(H605/Z605-1)*100</f>
        <v>-8.5289747399702627</v>
      </c>
      <c r="AK605" s="95">
        <f t="shared" ref="AK605" si="8677">(I605/AA605-1)*100</f>
        <v>25.394896719319561</v>
      </c>
      <c r="AM605" s="115">
        <f>AP605-'Figure 8_data'!H817</f>
        <v>0</v>
      </c>
      <c r="AN605" s="95">
        <f t="shared" ref="AN605" si="8678">(B605/B553-1)*100</f>
        <v>-100</v>
      </c>
      <c r="AO605" s="95">
        <f t="shared" ref="AO605" si="8679">(C605/C553-1)*100</f>
        <v>10.447761194029859</v>
      </c>
      <c r="AP605" s="95">
        <f t="shared" ref="AP605" si="8680">(D605/D553-1)*100</f>
        <v>14.046391752577335</v>
      </c>
      <c r="AQ605" s="95">
        <f t="shared" ref="AQ605" si="8681">(E605/E553-1)*100</f>
        <v>6.6071428571428559</v>
      </c>
      <c r="AR605" s="95">
        <f t="shared" ref="AR605" si="8682">(F605/F553-1)*100</f>
        <v>12.204724409448819</v>
      </c>
      <c r="AS605" s="95">
        <f t="shared" ref="AS605" si="8683">(G605/G553-1)*100</f>
        <v>9.2519685039370145</v>
      </c>
      <c r="AT605" s="95">
        <f t="shared" ref="AT605" si="8684">(H605/H553-1)*100</f>
        <v>8.686440677966111</v>
      </c>
      <c r="AU605" s="95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5">
        <f>TWK!B551</f>
        <v>0</v>
      </c>
      <c r="C606" s="95">
        <f>TWK!C551</f>
        <v>0</v>
      </c>
      <c r="D606" s="95">
        <f>TWK!D551</f>
        <v>378.33333333333331</v>
      </c>
      <c r="E606" s="95">
        <f>TWK!E551</f>
        <v>260</v>
      </c>
      <c r="F606" s="95">
        <f>TWK!F551</f>
        <v>243.33333333333334</v>
      </c>
      <c r="G606" s="95">
        <f>TWK!G551</f>
        <v>243.33333333333334</v>
      </c>
      <c r="H606" s="95">
        <f>TWK!H551</f>
        <v>213.33333333333334</v>
      </c>
      <c r="I606" s="95">
        <f>TWK!I551</f>
        <v>292.51819505094613</v>
      </c>
      <c r="K606" s="95">
        <f t="shared" ref="K606" si="8686">AVERAGEIF(B603:B606,"&lt;&gt;0")</f>
        <v>425.83333333333337</v>
      </c>
      <c r="L606" s="95">
        <f t="shared" ref="L606" si="8687">AVERAGE(C603:C606)</f>
        <v>275</v>
      </c>
      <c r="M606" s="95">
        <f t="shared" ref="M606" si="8688">AVERAGE(D603:D606)</f>
        <v>371.77083333333331</v>
      </c>
      <c r="N606" s="95">
        <f t="shared" ref="N606" si="8689">AVERAGE(E603:E606)</f>
        <v>250.52083333333334</v>
      </c>
      <c r="O606" s="95">
        <f t="shared" ref="O606" si="8690">AVERAGE(F603:F606)</f>
        <v>234.79166666666666</v>
      </c>
      <c r="P606" s="95">
        <f t="shared" ref="P606" si="8691">AVERAGE(G603:G606)</f>
        <v>233.22916666666666</v>
      </c>
      <c r="Q606" s="95">
        <f t="shared" ref="Q606" si="8692">AVERAGE(H603:H606)</f>
        <v>208.4375</v>
      </c>
      <c r="R606" s="95">
        <f t="shared" ref="R606" si="8693">AVERAGE(I603:I606)</f>
        <v>286.23362445414847</v>
      </c>
      <c r="T606" s="95">
        <f t="shared" ref="T606" si="8694">AVERAGE(K450,K502,K554)</f>
        <v>439.58333333333331</v>
      </c>
      <c r="U606" s="95">
        <f t="shared" ref="U606" si="8695">AVERAGE(L450,L502,L554)</f>
        <v>370.72222222222223</v>
      </c>
      <c r="V606" s="95">
        <f t="shared" ref="V606" si="8696">(M450+M502+M554)/3</f>
        <v>347.4305555555556</v>
      </c>
      <c r="W606" s="95">
        <f t="shared" ref="W606" si="8697">(N450+N502+N554)/3</f>
        <v>271.15277777777777</v>
      </c>
      <c r="X606" s="95">
        <f t="shared" ref="X606" si="8698">(O450+O502+O554)/3</f>
        <v>286.6319444444444</v>
      </c>
      <c r="Y606" s="95">
        <f t="shared" ref="Y606" si="8699">(P450+P502+P554)/3</f>
        <v>286.90972222222223</v>
      </c>
      <c r="Z606" s="95">
        <f t="shared" ref="Z606" si="8700">(Q450+Q502+Q554)/3</f>
        <v>236.04861111111109</v>
      </c>
      <c r="AA606" s="95">
        <f t="shared" ref="AA606" si="8701">(R450+R502+R554)/3</f>
        <v>273.84764677341099</v>
      </c>
      <c r="AC606" s="115">
        <f>+AF606-'Figure 8_data'!I818</f>
        <v>0</v>
      </c>
      <c r="AD606" s="95">
        <f t="shared" ref="AD606" si="8702">(B606/T606-1)*100</f>
        <v>-100</v>
      </c>
      <c r="AE606" s="95">
        <f t="shared" ref="AE606" si="8703">(C606/U606-1)*100</f>
        <v>-100</v>
      </c>
      <c r="AF606" s="95">
        <f t="shared" ref="AF606" si="8704">(D606/V606-1)*100</f>
        <v>8.8946632020787231</v>
      </c>
      <c r="AG606" s="95">
        <f t="shared" ref="AG606" si="8705">(E606/W606-1)*100</f>
        <v>-4.1130973723300652</v>
      </c>
      <c r="AH606" s="95">
        <f t="shared" ref="AH606" si="8706">(F606/X606-1)*100</f>
        <v>-15.10599636583887</v>
      </c>
      <c r="AI606" s="95">
        <f t="shared" ref="AI606" si="8707">(G606/Y606-1)*100</f>
        <v>-15.188188309330751</v>
      </c>
      <c r="AJ606" s="95">
        <f t="shared" ref="AJ606" si="8708">(H606/Z606-1)*100</f>
        <v>-9.6231355358771253</v>
      </c>
      <c r="AK606" s="95">
        <f t="shared" ref="AK606" si="8709">(I606/AA606-1)*100</f>
        <v>6.8178596739900676</v>
      </c>
      <c r="AM606" s="115">
        <f>AP606-'Figure 8_data'!H818</f>
        <v>0</v>
      </c>
      <c r="AN606" s="95">
        <f t="shared" ref="AN606" si="8710">(B606/B554-1)*100</f>
        <v>-100</v>
      </c>
      <c r="AO606" s="95">
        <f t="shared" ref="AO606" si="8711">(C606/C554-1)*100</f>
        <v>-100</v>
      </c>
      <c r="AP606" s="95">
        <f t="shared" ref="AP606" si="8712">(D606/D554-1)*100</f>
        <v>23.369565217391287</v>
      </c>
      <c r="AQ606" s="95">
        <f t="shared" ref="AQ606" si="8713">(E606/E554-1)*100</f>
        <v>15.555555555555545</v>
      </c>
      <c r="AR606" s="95">
        <f t="shared" ref="AR606" si="8714">(F606/F554-1)*100</f>
        <v>15.873015873015884</v>
      </c>
      <c r="AS606" s="95">
        <f t="shared" ref="AS606" si="8715">(G606/G554-1)*100</f>
        <v>15.873015873015884</v>
      </c>
      <c r="AT606" s="95">
        <f t="shared" ref="AT606" si="8716">(H606/H554-1)*100</f>
        <v>11.304347826086957</v>
      </c>
      <c r="AU606" s="95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5">
        <f>TWK!B552</f>
        <v>0</v>
      </c>
      <c r="C607" s="95">
        <f>TWK!C552</f>
        <v>0</v>
      </c>
      <c r="D607" s="95">
        <f>TWK!D552</f>
        <v>345</v>
      </c>
      <c r="E607" s="95">
        <f>TWK!E552</f>
        <v>245</v>
      </c>
      <c r="F607" s="95">
        <f>TWK!F552</f>
        <v>242.5</v>
      </c>
      <c r="G607" s="95">
        <f>TWK!G552</f>
        <v>242.5</v>
      </c>
      <c r="H607" s="95">
        <f>TWK!H552</f>
        <v>207.5</v>
      </c>
      <c r="I607" s="95">
        <f>TWK!I552</f>
        <v>284.51965065502185</v>
      </c>
      <c r="K607" s="95">
        <f t="shared" ref="K607" si="8718">AVERAGEIF(B604:B607,"&lt;&gt;0")</f>
        <v>430</v>
      </c>
      <c r="L607" s="95">
        <f t="shared" ref="L607" si="8719">AVERAGE(C604:C607)</f>
        <v>184.16666666666669</v>
      </c>
      <c r="M607" s="95">
        <f t="shared" ref="M607" si="8720">AVERAGE(D604:D607)</f>
        <v>364.6875</v>
      </c>
      <c r="N607" s="95">
        <f t="shared" ref="N607" si="8721">AVERAGE(E604:E607)</f>
        <v>250.52083333333334</v>
      </c>
      <c r="O607" s="95">
        <f t="shared" ref="O607" si="8722">AVERAGE(F604:F607)</f>
        <v>237.5</v>
      </c>
      <c r="P607" s="95">
        <f t="shared" ref="P607" si="8723">AVERAGE(G604:G607)</f>
        <v>235.9375</v>
      </c>
      <c r="Q607" s="95">
        <f t="shared" ref="Q607" si="8724">AVERAGE(H604:H607)</f>
        <v>210.3125</v>
      </c>
      <c r="R607" s="95">
        <f t="shared" ref="R607" si="8725">AVERAGE(I604:I607)</f>
        <v>288.80458515283846</v>
      </c>
      <c r="T607" s="95">
        <f t="shared" ref="T607" si="8726">AVERAGE(K451,K503,K555)</f>
        <v>460.27777777777783</v>
      </c>
      <c r="U607" s="95">
        <f t="shared" ref="U607" si="8727">AVERAGE(L451,L503,L555)</f>
        <v>376.25</v>
      </c>
      <c r="V607" s="95">
        <f t="shared" ref="V607" si="8728">(M451+M503+M555)/3</f>
        <v>353.09027777777777</v>
      </c>
      <c r="W607" s="95">
        <f t="shared" ref="W607" si="8729">(N451+N503+N555)/3</f>
        <v>280.42361111111109</v>
      </c>
      <c r="X607" s="95">
        <f t="shared" ref="X607" si="8730">(O451+O503+O555)/3</f>
        <v>290.41666666666669</v>
      </c>
      <c r="Y607" s="95">
        <f t="shared" ref="Y607" si="8731">(P451+P503+P555)/3</f>
        <v>290.6944444444444</v>
      </c>
      <c r="Z607" s="95">
        <f t="shared" ref="Z607" si="8732">(Q451+Q503+Q555)/3</f>
        <v>240.52777777777774</v>
      </c>
      <c r="AA607" s="95">
        <f t="shared" ref="AA607" si="8733">(R451+R503+R555)/3</f>
        <v>322.02935468219312</v>
      </c>
      <c r="AC607" s="115">
        <f>+AF607-'Figure 8_data'!I819</f>
        <v>0</v>
      </c>
      <c r="AD607" s="95">
        <f t="shared" ref="AD607" si="8734">(B607/T607-1)*100</f>
        <v>-100</v>
      </c>
      <c r="AE607" s="95">
        <f t="shared" ref="AE607" si="8735">(C607/U607-1)*100</f>
        <v>-100</v>
      </c>
      <c r="AF607" s="95">
        <f t="shared" ref="AF607" si="8736">(D607/V607-1)*100</f>
        <v>-2.2912774117415657</v>
      </c>
      <c r="AG607" s="95">
        <f t="shared" ref="AG607" si="8737">(E607/W607-1)*100</f>
        <v>-12.632178499789493</v>
      </c>
      <c r="AH607" s="95">
        <f t="shared" ref="AH607" si="8738">(F607/X607-1)*100</f>
        <v>-16.499282639885227</v>
      </c>
      <c r="AI607" s="95">
        <f t="shared" ref="AI607" si="8739">(G607/Y607-1)*100</f>
        <v>-16.579073100812213</v>
      </c>
      <c r="AJ607" s="95">
        <f t="shared" ref="AJ607" si="8740">(H607/Z607-1)*100</f>
        <v>-13.731377757246788</v>
      </c>
      <c r="AK607" s="95">
        <f t="shared" ref="AK607" si="8741">(I607/AA607-1)*100</f>
        <v>-11.647914540023574</v>
      </c>
      <c r="AM607" s="115">
        <f>AP607-'Figure 8_data'!H819</f>
        <v>0</v>
      </c>
      <c r="AN607" s="95">
        <f t="shared" ref="AN607" si="8742">(B607/B555-1)*100</f>
        <v>-100</v>
      </c>
      <c r="AO607" s="95">
        <f t="shared" ref="AO607" si="8743">(C607/C555-1)*100</f>
        <v>-100</v>
      </c>
      <c r="AP607" s="95">
        <f t="shared" ref="AP607" si="8744">(D607/D555-1)*100</f>
        <v>19.653179190751445</v>
      </c>
      <c r="AQ607" s="95">
        <f t="shared" ref="AQ607" si="8745">(E607/E555-1)*100</f>
        <v>8.0882352941176414</v>
      </c>
      <c r="AR607" s="95">
        <f t="shared" ref="AR607" si="8746">(F607/F555-1)*100</f>
        <v>14.566929133858263</v>
      </c>
      <c r="AS607" s="95">
        <f t="shared" ref="AS607" si="8747">(G607/G555-1)*100</f>
        <v>14.566929133858263</v>
      </c>
      <c r="AT607" s="95">
        <f t="shared" ref="AT607" si="8748">(H607/H555-1)*100</f>
        <v>8.2608695652173871</v>
      </c>
      <c r="AU607" s="95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5">
        <f>TWK!B553</f>
        <v>508.33333333333331</v>
      </c>
      <c r="C608" s="95">
        <f>TWK!C553</f>
        <v>401.66666666666669</v>
      </c>
      <c r="D608" s="95">
        <f>TWK!D553</f>
        <v>405</v>
      </c>
      <c r="E608" s="95">
        <f>TWK!E553</f>
        <v>280</v>
      </c>
      <c r="F608" s="95">
        <f>TWK!F553</f>
        <v>286.66666666666669</v>
      </c>
      <c r="G608" s="95">
        <f>TWK!G553</f>
        <v>286.66666666666669</v>
      </c>
      <c r="H608" s="95">
        <f>TWK!H553</f>
        <v>226.66666666666666</v>
      </c>
      <c r="I608" s="95">
        <f>TWK!I553</f>
        <v>310.80058224163025</v>
      </c>
      <c r="K608" s="95">
        <f t="shared" ref="K608" si="8750">AVERAGEIF(B605:B608,"&lt;&gt;0")</f>
        <v>508.33333333333331</v>
      </c>
      <c r="L608" s="95">
        <f t="shared" ref="L608" si="8751">AVERAGE(C605:C608)</f>
        <v>192.91666666666669</v>
      </c>
      <c r="M608" s="95">
        <f t="shared" ref="M608" si="8752">AVERAGE(D605:D608)</f>
        <v>374.27083333333331</v>
      </c>
      <c r="N608" s="95">
        <f t="shared" ref="N608" si="8753">AVERAGE(E605:E608)</f>
        <v>258.4375</v>
      </c>
      <c r="O608" s="95">
        <f t="shared" ref="O608" si="8754">AVERAGE(F605:F608)</f>
        <v>252.5</v>
      </c>
      <c r="P608" s="95">
        <f t="shared" ref="P608" si="8755">AVERAGE(G605:G608)</f>
        <v>250.9375</v>
      </c>
      <c r="Q608" s="95">
        <f t="shared" ref="Q608" si="8756">AVERAGE(H605:H608)</f>
        <v>215.3125</v>
      </c>
      <c r="R608" s="95">
        <f t="shared" ref="R608" si="8757">AVERAGE(I605:I608)</f>
        <v>295.66048034934499</v>
      </c>
      <c r="T608" s="95">
        <f t="shared" ref="T608" si="8758">AVERAGE(K452,K504,K556)</f>
        <v>466.38888888888891</v>
      </c>
      <c r="U608" s="95">
        <f t="shared" ref="U608" si="8759">AVERAGE(L452,L504,L556)</f>
        <v>385.55555555555549</v>
      </c>
      <c r="V608" s="95">
        <f t="shared" ref="V608" si="8760">(M452+M504+M556)/3</f>
        <v>361.40277777777777</v>
      </c>
      <c r="W608" s="95">
        <f t="shared" ref="W608" si="8761">(N452+N504+N556)/3</f>
        <v>289.00694444444446</v>
      </c>
      <c r="X608" s="95">
        <f t="shared" ref="X608" si="8762">(O452+O504+O556)/3</f>
        <v>298.47222222222217</v>
      </c>
      <c r="Y608" s="95">
        <f t="shared" ref="Y608" si="8763">(P452+P504+P556)/3</f>
        <v>298.33333333333331</v>
      </c>
      <c r="Z608" s="95">
        <f t="shared" ref="Z608" si="8764">(Q452+Q504+Q556)/3</f>
        <v>247.54166666666666</v>
      </c>
      <c r="AA608" s="95">
        <f t="shared" ref="AA608" si="8765">(R452+R504+R556)/3</f>
        <v>338.97865114022312</v>
      </c>
      <c r="AC608" s="115">
        <f>+AF608-'Figure 8_data'!I820</f>
        <v>0</v>
      </c>
      <c r="AD608" s="95">
        <f t="shared" ref="AD608" si="8766">(B608/T608-1)*100</f>
        <v>8.9934484812388185</v>
      </c>
      <c r="AE608" s="95">
        <f t="shared" ref="AE608" si="8767">(C608/U608-1)*100</f>
        <v>4.1786743515850322</v>
      </c>
      <c r="AF608" s="95">
        <f t="shared" ref="AF608" si="8768">(D608/V608-1)*100</f>
        <v>12.063333461435001</v>
      </c>
      <c r="AG608" s="95">
        <f t="shared" ref="AG608" si="8769">(E608/W608-1)*100</f>
        <v>-3.1165148857438152</v>
      </c>
      <c r="AH608" s="95">
        <f t="shared" ref="AH608" si="8770">(F608/X608-1)*100</f>
        <v>-3.9553280595625684</v>
      </c>
      <c r="AI608" s="95">
        <f t="shared" ref="AI608" si="8771">(G608/Y608-1)*100</f>
        <v>-3.9106145251396551</v>
      </c>
      <c r="AJ608" s="95">
        <f t="shared" ref="AJ608" si="8772">(H608/Z608-1)*100</f>
        <v>-8.4329237502103975</v>
      </c>
      <c r="AK608" s="95">
        <f t="shared" ref="AK608" si="8773">(I608/AA608-1)*100</f>
        <v>-8.3126382159496632</v>
      </c>
      <c r="AM608" s="115">
        <f>AP608-'Figure 8_data'!H820</f>
        <v>0</v>
      </c>
      <c r="AN608" s="95">
        <f t="shared" ref="AN608" si="8774">(B608/B556-1)*100</f>
        <v>42.523364485981155</v>
      </c>
      <c r="AO608" s="95">
        <f t="shared" ref="AO608" si="8775">(C608/C556-1)*100</f>
        <v>33.8888888888889</v>
      </c>
      <c r="AP608" s="95">
        <f t="shared" ref="AP608" si="8776">(D608/D556-1)*100</f>
        <v>43.786982248520687</v>
      </c>
      <c r="AQ608" s="95">
        <f t="shared" ref="AQ608" si="8777">(E608/E556-1)*100</f>
        <v>25.373134328358194</v>
      </c>
      <c r="AR608" s="95">
        <f t="shared" ref="AR608" si="8778">(F608/F556-1)*100</f>
        <v>43.333333333333336</v>
      </c>
      <c r="AS608" s="95">
        <f t="shared" ref="AS608" si="8779">(G608/G556-1)*100</f>
        <v>43.333333333333336</v>
      </c>
      <c r="AT608" s="95">
        <f t="shared" ref="AT608" si="8780">(H608/H556-1)*100</f>
        <v>22.522522522522515</v>
      </c>
      <c r="AU608" s="95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5">
        <f>TWK!B554</f>
        <v>595</v>
      </c>
      <c r="C609" s="95">
        <f>TWK!C554</f>
        <v>538.33333333333337</v>
      </c>
      <c r="D609" s="95">
        <f>TWK!D554</f>
        <v>546.66666666666663</v>
      </c>
      <c r="E609" s="95">
        <f>TWK!E554</f>
        <v>395</v>
      </c>
      <c r="F609" s="95">
        <f>TWK!F554</f>
        <v>446.66666666666669</v>
      </c>
      <c r="G609" s="95">
        <f>TWK!G554</f>
        <v>446.66666666666669</v>
      </c>
      <c r="H609" s="95">
        <f>TWK!H554</f>
        <v>322.66666666666669</v>
      </c>
      <c r="I609" s="95">
        <f>TWK!I554</f>
        <v>442.43377001455605</v>
      </c>
      <c r="K609" s="95">
        <f t="shared" ref="K609" si="8782">AVERAGEIF(B606:B609,"&lt;&gt;0")</f>
        <v>551.66666666666663</v>
      </c>
      <c r="L609" s="95">
        <f t="shared" ref="L609" si="8783">AVERAGE(C606:C609)</f>
        <v>235</v>
      </c>
      <c r="M609" s="95">
        <f t="shared" ref="M609" si="8784">AVERAGE(D606:D609)</f>
        <v>418.75</v>
      </c>
      <c r="N609" s="95">
        <f t="shared" ref="N609" si="8785">AVERAGE(E606:E609)</f>
        <v>295</v>
      </c>
      <c r="O609" s="95">
        <f t="shared" ref="O609" si="8786">AVERAGE(F606:F609)</f>
        <v>304.79166666666669</v>
      </c>
      <c r="P609" s="95">
        <f t="shared" ref="P609" si="8787">AVERAGE(G606:G609)</f>
        <v>304.79166666666669</v>
      </c>
      <c r="Q609" s="95">
        <f t="shared" ref="Q609" si="8788">AVERAGE(H606:H609)</f>
        <v>242.54166666666669</v>
      </c>
      <c r="R609" s="95">
        <f t="shared" ref="R609" si="8789">AVERAGE(I606:I609)</f>
        <v>332.56804949053861</v>
      </c>
      <c r="T609" s="95">
        <f t="shared" ref="T609" si="8790">AVERAGE(K453,K505,K557)</f>
        <v>434.4444444444444</v>
      </c>
      <c r="U609" s="95">
        <f t="shared" ref="U609" si="8791">AVERAGE(L453,L505,L557)</f>
        <v>355.69444444444451</v>
      </c>
      <c r="V609" s="95">
        <f t="shared" ref="V609" si="8792">(M453+M505+M557)/3</f>
        <v>359.1805555555556</v>
      </c>
      <c r="W609" s="95">
        <f t="shared" ref="W609" si="8793">(N453+N505+N557)/3</f>
        <v>291.64583333333331</v>
      </c>
      <c r="X609" s="95">
        <f t="shared" ref="X609" si="8794">(O453+O505+O557)/3</f>
        <v>301.72222222222223</v>
      </c>
      <c r="Y609" s="95">
        <f t="shared" ref="Y609" si="8795">(P453+P505+P557)/3</f>
        <v>301.02777777777777</v>
      </c>
      <c r="Z609" s="95">
        <f t="shared" ref="Z609" si="8796">(Q453+Q505+Q557)/3</f>
        <v>252.54166666666666</v>
      </c>
      <c r="AA609" s="95">
        <f t="shared" ref="AA609" si="8797">(R453+R505+R557)/3</f>
        <v>345.83454633672972</v>
      </c>
      <c r="AC609" s="115">
        <f>+AF609-'Figure 8_data'!I821</f>
        <v>0</v>
      </c>
      <c r="AD609" s="95">
        <f t="shared" ref="AD609" si="8798">(B609/T609-1)*100</f>
        <v>36.956521739130444</v>
      </c>
      <c r="AE609" s="95">
        <f t="shared" ref="AE609" si="8799">(C609/U609-1)*100</f>
        <v>51.347130027333044</v>
      </c>
      <c r="AF609" s="95">
        <f t="shared" ref="AF609" si="8800">(D609/V609-1)*100</f>
        <v>52.198290862688964</v>
      </c>
      <c r="AG609" s="95">
        <f t="shared" ref="AG609" si="8801">(E609/W609-1)*100</f>
        <v>35.438245588970638</v>
      </c>
      <c r="AH609" s="95">
        <f t="shared" ref="AH609" si="8802">(F609/X609-1)*100</f>
        <v>48.03903516847727</v>
      </c>
      <c r="AI609" s="95">
        <f t="shared" ref="AI609" si="8803">(G609/Y609-1)*100</f>
        <v>48.380548122174048</v>
      </c>
      <c r="AJ609" s="95">
        <f t="shared" ref="AJ609" si="8804">(H609/Z609-1)*100</f>
        <v>27.767695099818535</v>
      </c>
      <c r="AK609" s="95">
        <f t="shared" ref="AK609" si="8805">(I609/AA609-1)*100</f>
        <v>27.932207670129717</v>
      </c>
      <c r="AM609" s="115">
        <f>AP609-'Figure 8_data'!H821</f>
        <v>0</v>
      </c>
      <c r="AN609" s="95">
        <f t="shared" ref="AN609" si="8806">(B609/B557-1)*100</f>
        <v>75</v>
      </c>
      <c r="AO609" s="95">
        <f t="shared" ref="AO609" si="8807">(C609/C557-1)*100</f>
        <v>83.522727272727295</v>
      </c>
      <c r="AP609" s="95">
        <f t="shared" ref="AP609" si="8808">(D609/D557-1)*100</f>
        <v>106.28930817610063</v>
      </c>
      <c r="AQ609" s="95">
        <f t="shared" ref="AQ609" si="8809">(E609/E557-1)*100</f>
        <v>79.545454545454547</v>
      </c>
      <c r="AR609" s="95">
        <f t="shared" ref="AR609" si="8810">(F609/F557-1)*100</f>
        <v>123.33333333333334</v>
      </c>
      <c r="AS609" s="95">
        <f t="shared" ref="AS609" si="8811">(G609/G557-1)*100</f>
        <v>123.33333333333334</v>
      </c>
      <c r="AT609" s="95">
        <f t="shared" ref="AT609" si="8812">(H609/H557-1)*100</f>
        <v>74.414414414414438</v>
      </c>
      <c r="AU609" s="95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5">
        <f>TWK!B555</f>
        <v>0</v>
      </c>
      <c r="C610" s="95">
        <f>TWK!C555</f>
        <v>568.33333333333337</v>
      </c>
      <c r="D610" s="95">
        <f>TWK!D555</f>
        <v>560</v>
      </c>
      <c r="E610" s="95">
        <f>TWK!E555</f>
        <v>408.33333333333331</v>
      </c>
      <c r="F610" s="95">
        <f>TWK!F555</f>
        <v>455</v>
      </c>
      <c r="G610" s="95">
        <f>TWK!G555</f>
        <v>455</v>
      </c>
      <c r="H610" s="95">
        <f>TWK!H555</f>
        <v>366.66666666666669</v>
      </c>
      <c r="I610" s="95">
        <f>TWK!I555</f>
        <v>502.76564774381364</v>
      </c>
      <c r="K610" s="95">
        <f t="shared" ref="K610" si="8814">AVERAGEIF(B607:B610,"&lt;&gt;0")</f>
        <v>551.66666666666663</v>
      </c>
      <c r="L610" s="95">
        <f t="shared" ref="L610" si="8815">AVERAGE(C607:C610)</f>
        <v>377.08333333333337</v>
      </c>
      <c r="M610" s="95">
        <f t="shared" ref="M610" si="8816">AVERAGE(D607:D610)</f>
        <v>464.16666666666663</v>
      </c>
      <c r="N610" s="95">
        <f t="shared" ref="N610" si="8817">AVERAGE(E607:E610)</f>
        <v>332.08333333333331</v>
      </c>
      <c r="O610" s="95">
        <f t="shared" ref="O610" si="8818">AVERAGE(F607:F610)</f>
        <v>357.70833333333337</v>
      </c>
      <c r="P610" s="95">
        <f t="shared" ref="P610" si="8819">AVERAGE(G607:G610)</f>
        <v>357.70833333333337</v>
      </c>
      <c r="Q610" s="95">
        <f t="shared" ref="Q610" si="8820">AVERAGE(H607:H610)</f>
        <v>280.875</v>
      </c>
      <c r="R610" s="95">
        <f t="shared" ref="R610" si="8821">AVERAGE(I607:I610)</f>
        <v>385.12991266375542</v>
      </c>
      <c r="T610" s="95">
        <f t="shared" ref="T610" si="8822">AVERAGE(K454,K506,K558)</f>
        <v>412.36111111111114</v>
      </c>
      <c r="U610" s="95">
        <f t="shared" ref="U610" si="8823">AVERAGE(L454,L506,L558)</f>
        <v>340.27777777777777</v>
      </c>
      <c r="V610" s="95">
        <f t="shared" ref="V610" si="8824">(M454+M506+M558)/3</f>
        <v>349.875</v>
      </c>
      <c r="W610" s="95">
        <f t="shared" ref="W610" si="8825">(N454+N506+N558)/3</f>
        <v>287.09027777777777</v>
      </c>
      <c r="X610" s="95">
        <f t="shared" ref="X610" si="8826">(O454+O506+O558)/3</f>
        <v>303.66666666666669</v>
      </c>
      <c r="Y610" s="95">
        <f t="shared" ref="Y610" si="8827">(P454+P506+P558)/3</f>
        <v>303.25</v>
      </c>
      <c r="Z610" s="95">
        <f t="shared" ref="Z610" si="8828">(Q454+Q506+Q558)/3</f>
        <v>254.51388888888891</v>
      </c>
      <c r="AA610" s="95">
        <f t="shared" ref="AA610" si="8829">(R454+R506+R558)/3</f>
        <v>348.60322658903442</v>
      </c>
      <c r="AC610" s="115">
        <f>+AF610-'Figure 8_data'!I822</f>
        <v>0</v>
      </c>
      <c r="AD610" s="95">
        <f t="shared" ref="AD610" si="8830">(B610/T610-1)*100</f>
        <v>-100</v>
      </c>
      <c r="AE610" s="95">
        <f t="shared" ref="AE610" si="8831">(C610/U610-1)*100</f>
        <v>67.020408163265316</v>
      </c>
      <c r="AF610" s="95">
        <f t="shared" ref="AF610" si="8832">(D610/V610-1)*100</f>
        <v>60.057163272597357</v>
      </c>
      <c r="AG610" s="95">
        <f t="shared" ref="AG610" si="8833">(E610/W610-1)*100</f>
        <v>42.231682833022901</v>
      </c>
      <c r="AH610" s="95">
        <f t="shared" ref="AH610" si="8834">(F610/X610-1)*100</f>
        <v>49.835345773874849</v>
      </c>
      <c r="AI610" s="95">
        <f t="shared" ref="AI610" si="8835">(G610/Y610-1)*100</f>
        <v>50.041220115416316</v>
      </c>
      <c r="AJ610" s="95">
        <f t="shared" ref="AJ610" si="8836">(H610/Z610-1)*100</f>
        <v>44.065484311050461</v>
      </c>
      <c r="AK610" s="95">
        <f t="shared" ref="AK610" si="8837">(I610/AA610-1)*100</f>
        <v>44.22288992078667</v>
      </c>
      <c r="AM610" s="115">
        <f>AP610-'Figure 8_data'!H822</f>
        <v>0</v>
      </c>
      <c r="AN610" s="95">
        <f t="shared" ref="AN610" si="8838">(B610/B558-1)*100</f>
        <v>-100</v>
      </c>
      <c r="AO610" s="95">
        <f t="shared" ref="AO610" si="8839">(C610/C558-1)*100</f>
        <v>104.19161676646711</v>
      </c>
      <c r="AP610" s="95">
        <f t="shared" ref="AP610" si="8840">(D610/D558-1)*100</f>
        <v>116.77419354838712</v>
      </c>
      <c r="AQ610" s="95">
        <f t="shared" ref="AQ610" si="8841">(E610/E558-1)*100</f>
        <v>88.461538461538453</v>
      </c>
      <c r="AR610" s="95">
        <f t="shared" ref="AR610" si="8842">(F610/F558-1)*100</f>
        <v>120.16129032258065</v>
      </c>
      <c r="AS610" s="95">
        <f t="shared" ref="AS610" si="8843">(G610/G558-1)*100</f>
        <v>120.16129032258065</v>
      </c>
      <c r="AT610" s="95">
        <f t="shared" ref="AT610" si="8844">(H610/H558-1)*100</f>
        <v>94.69026548672565</v>
      </c>
      <c r="AU610" s="95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5">
        <f>TWK!B556</f>
        <v>0</v>
      </c>
      <c r="C611" s="95">
        <f>TWK!C556</f>
        <v>495</v>
      </c>
      <c r="D611" s="95">
        <f>TWK!D556</f>
        <v>467.5</v>
      </c>
      <c r="E611" s="95">
        <f>TWK!E556</f>
        <v>417.5</v>
      </c>
      <c r="F611" s="95">
        <f>TWK!F556</f>
        <v>460</v>
      </c>
      <c r="G611" s="95">
        <f>TWK!G556</f>
        <v>460</v>
      </c>
      <c r="H611" s="95">
        <f>TWK!H556</f>
        <v>387.5</v>
      </c>
      <c r="I611" s="95">
        <f>TWK!I556</f>
        <v>531.33187772925771</v>
      </c>
      <c r="K611" s="95">
        <f t="shared" ref="K611" si="8846">AVERAGEIF(B608:B611,"&lt;&gt;0")</f>
        <v>551.66666666666663</v>
      </c>
      <c r="L611" s="95">
        <f t="shared" ref="L611" si="8847">AVERAGE(C608:C611)</f>
        <v>500.83333333333337</v>
      </c>
      <c r="M611" s="95">
        <f t="shared" ref="M611" si="8848">AVERAGE(D608:D611)</f>
        <v>494.79166666666663</v>
      </c>
      <c r="N611" s="95">
        <f t="shared" ref="N611" si="8849">AVERAGE(E608:E611)</f>
        <v>375.20833333333331</v>
      </c>
      <c r="O611" s="95">
        <f t="shared" ref="O611" si="8850">AVERAGE(F608:F611)</f>
        <v>412.08333333333337</v>
      </c>
      <c r="P611" s="95">
        <f t="shared" ref="P611" si="8851">AVERAGE(G608:G611)</f>
        <v>412.08333333333337</v>
      </c>
      <c r="Q611" s="95">
        <f t="shared" ref="Q611" si="8852">AVERAGE(H608:H611)</f>
        <v>325.875</v>
      </c>
      <c r="R611" s="95">
        <f t="shared" ref="R611" si="8853">AVERAGE(I608:I611)</f>
        <v>446.83296943231443</v>
      </c>
      <c r="T611" s="95">
        <f t="shared" ref="T611" si="8854">AVERAGE(K455,K507,K559)</f>
        <v>396.25</v>
      </c>
      <c r="U611" s="95">
        <f t="shared" ref="U611" si="8855">AVERAGE(L455,L507,L559)</f>
        <v>335.80555555555549</v>
      </c>
      <c r="V611" s="95">
        <f t="shared" ref="V611" si="8856">(M455+M507+M559)/3</f>
        <v>339.5625</v>
      </c>
      <c r="W611" s="95">
        <f t="shared" ref="W611" si="8857">(N455+N507+N559)/3</f>
        <v>282.86111111111109</v>
      </c>
      <c r="X611" s="95">
        <f t="shared" ref="X611" si="8858">(O455+O507+O559)/3</f>
        <v>309.1944444444444</v>
      </c>
      <c r="Y611" s="95">
        <f t="shared" ref="Y611" si="8859">(P455+P507+P559)/3</f>
        <v>308.77777777777777</v>
      </c>
      <c r="Z611" s="95">
        <f t="shared" ref="Z611" si="8860">(Q455+Q507+Q559)/3</f>
        <v>258.95833333333331</v>
      </c>
      <c r="AA611" s="95">
        <f t="shared" ref="AA611" si="8861">(R455+R507+R559)/3</f>
        <v>355.10880640465797</v>
      </c>
      <c r="AC611" s="115">
        <f>+AF611-'Figure 8_data'!I823</f>
        <v>0</v>
      </c>
      <c r="AD611" s="95">
        <f t="shared" ref="AD611" si="8862">(B611/T611-1)*100</f>
        <v>-100</v>
      </c>
      <c r="AE611" s="95">
        <f t="shared" ref="AE611" si="8863">(C611/U611-1)*100</f>
        <v>47.406733393994571</v>
      </c>
      <c r="AF611" s="95">
        <f t="shared" ref="AF611" si="8864">(D611/V611-1)*100</f>
        <v>37.677158107859384</v>
      </c>
      <c r="AG611" s="95">
        <f t="shared" ref="AG611" si="8865">(E611/W611-1)*100</f>
        <v>47.59893940881863</v>
      </c>
      <c r="AH611" s="95">
        <f t="shared" ref="AH611" si="8866">(F611/X611-1)*100</f>
        <v>48.773695085796454</v>
      </c>
      <c r="AI611" s="95">
        <f t="shared" ref="AI611" si="8867">(G611/Y611-1)*100</f>
        <v>48.974451241453764</v>
      </c>
      <c r="AJ611" s="95">
        <f t="shared" ref="AJ611" si="8868">(H611/Z611-1)*100</f>
        <v>49.637972646822213</v>
      </c>
      <c r="AK611" s="95">
        <f t="shared" ref="AK611" si="8869">(I611/AA611-1)*100</f>
        <v>49.625091844043958</v>
      </c>
      <c r="AM611" s="115">
        <f>AP611-'Figure 8_data'!H823</f>
        <v>0</v>
      </c>
      <c r="AN611" s="95">
        <f t="shared" ref="AN611" si="8870">(B611/B559-1)*100</f>
        <v>-100</v>
      </c>
      <c r="AO611" s="95">
        <f t="shared" ref="AO611" si="8871">(C611/C559-1)*100</f>
        <v>66.853932584269657</v>
      </c>
      <c r="AP611" s="95">
        <f t="shared" ref="AP611" si="8872">(D611/D559-1)*100</f>
        <v>64.035087719298247</v>
      </c>
      <c r="AQ611" s="95">
        <f t="shared" ref="AQ611" si="8873">(E611/E559-1)*100</f>
        <v>81.521739130434796</v>
      </c>
      <c r="AR611" s="95">
        <f t="shared" ref="AR611" si="8874">(F611/F559-1)*100</f>
        <v>66.265060240963834</v>
      </c>
      <c r="AS611" s="95">
        <f t="shared" ref="AS611" si="8875">(G611/G559-1)*100</f>
        <v>66.265060240963834</v>
      </c>
      <c r="AT611" s="95">
        <f t="shared" ref="AT611" si="8876">(H611/H559-1)*100</f>
        <v>90.573770491803259</v>
      </c>
      <c r="AU611" s="95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5">
        <f>TWK!B557</f>
        <v>631.66666666666663</v>
      </c>
      <c r="C612" s="95">
        <f>TWK!C557</f>
        <v>470</v>
      </c>
      <c r="D612" s="95">
        <f>TWK!D557</f>
        <v>441.66666666666669</v>
      </c>
      <c r="E612" s="95">
        <f>TWK!E557</f>
        <v>388.33333333333331</v>
      </c>
      <c r="F612" s="95">
        <f>TWK!F557</f>
        <v>442.5</v>
      </c>
      <c r="G612" s="95">
        <f>TWK!G557</f>
        <v>442.5</v>
      </c>
      <c r="H612" s="95">
        <f>TWK!H557</f>
        <v>377.5</v>
      </c>
      <c r="I612" s="95">
        <f>TWK!I557</f>
        <v>530.18922852983985</v>
      </c>
      <c r="K612" s="95">
        <f t="shared" ref="K612" si="8878">AVERAGEIF(B609:B612,"&lt;&gt;0")</f>
        <v>613.33333333333326</v>
      </c>
      <c r="L612" s="95">
        <f t="shared" ref="L612" si="8879">AVERAGE(C609:C612)</f>
        <v>517.91666666666674</v>
      </c>
      <c r="M612" s="95">
        <f t="shared" ref="M612" si="8880">AVERAGE(D609:D612)</f>
        <v>503.95833333333331</v>
      </c>
      <c r="N612" s="95">
        <f t="shared" ref="N612" si="8881">AVERAGE(E609:E612)</f>
        <v>402.29166666666663</v>
      </c>
      <c r="O612" s="95">
        <f t="shared" ref="O612" si="8882">AVERAGE(F609:F612)</f>
        <v>451.04166666666669</v>
      </c>
      <c r="P612" s="95">
        <f t="shared" ref="P612" si="8883">AVERAGE(G609:G612)</f>
        <v>451.04166666666669</v>
      </c>
      <c r="Q612" s="95">
        <f t="shared" ref="Q612" si="8884">AVERAGE(H609:H612)</f>
        <v>363.58333333333337</v>
      </c>
      <c r="R612" s="95">
        <f t="shared" ref="R612" si="8885">AVERAGE(I609:I612)</f>
        <v>501.68013100436679</v>
      </c>
      <c r="T612" s="95">
        <f t="shared" ref="T612" si="8886">AVERAGE(K456,K508,K560)</f>
        <v>414.58333333333331</v>
      </c>
      <c r="U612" s="95">
        <f t="shared" ref="U612" si="8887">AVERAGE(L456,L508,L560)</f>
        <v>368.33333333333331</v>
      </c>
      <c r="V612" s="95">
        <f t="shared" ref="V612" si="8888">(M456+M508+M560)/3</f>
        <v>341.04166666666669</v>
      </c>
      <c r="W612" s="95">
        <f t="shared" ref="W612" si="8889">(N456+N508+N560)/3</f>
        <v>291.63888888888886</v>
      </c>
      <c r="X612" s="95">
        <f t="shared" ref="X612" si="8890">(O456+O508+O560)/3</f>
        <v>323.08333333333331</v>
      </c>
      <c r="Y612" s="95">
        <f t="shared" ref="Y612" si="8891">(P456+P508+P560)/3</f>
        <v>323.08333333333331</v>
      </c>
      <c r="Z612" s="95">
        <f t="shared" ref="Z612" si="8892">(Q456+Q508+Q560)/3</f>
        <v>275.97222222222223</v>
      </c>
      <c r="AA612" s="95">
        <f t="shared" ref="AA612" si="8893">(R456+R508+R560)/3</f>
        <v>378.43789422610388</v>
      </c>
      <c r="AC612" s="115">
        <f>+AF612-'Figure 8_data'!I824</f>
        <v>0</v>
      </c>
      <c r="AD612" s="95">
        <f t="shared" ref="AD612" si="8894">(B612/T612-1)*100</f>
        <v>52.361809045226138</v>
      </c>
      <c r="AE612" s="95">
        <f t="shared" ref="AE612" si="8895">(C612/U612-1)*100</f>
        <v>27.601809954751143</v>
      </c>
      <c r="AF612" s="95">
        <f t="shared" ref="AF612" si="8896">(D612/V612-1)*100</f>
        <v>29.50519242516798</v>
      </c>
      <c r="AG612" s="95">
        <f t="shared" ref="AG612" si="8897">(E612/W612-1)*100</f>
        <v>33.155538622725977</v>
      </c>
      <c r="AH612" s="95">
        <f t="shared" ref="AH612" si="8898">(F612/X612-1)*100</f>
        <v>36.961568222852726</v>
      </c>
      <c r="AI612" s="95">
        <f t="shared" ref="AI612" si="8899">(G612/Y612-1)*100</f>
        <v>36.961568222852726</v>
      </c>
      <c r="AJ612" s="95">
        <f t="shared" ref="AJ612" si="8900">(H612/Z612-1)*100</f>
        <v>36.789129340714631</v>
      </c>
      <c r="AK612" s="95">
        <f t="shared" ref="AK612" si="8901">(I612/AA612-1)*100</f>
        <v>40.099402469740419</v>
      </c>
      <c r="AM612" s="115">
        <f>AP612-'Figure 8_data'!H824</f>
        <v>0</v>
      </c>
      <c r="AN612" s="95">
        <f t="shared" ref="AN612" si="8902">(B612/B560-1)*100</f>
        <v>70.720720720720706</v>
      </c>
      <c r="AO612" s="95">
        <f t="shared" ref="AO612" si="8903">(C612/C560-1)*100</f>
        <v>33.018867924528308</v>
      </c>
      <c r="AP612" s="95">
        <f t="shared" ref="AP612" si="8904">(D612/D560-1)*100</f>
        <v>25.592417061611371</v>
      </c>
      <c r="AQ612" s="95">
        <f t="shared" ref="AQ612" si="8905">(E612/E560-1)*100</f>
        <v>25.945945945945947</v>
      </c>
      <c r="AR612" s="95">
        <f t="shared" ref="AR612" si="8906">(F612/F560-1)*100</f>
        <v>22.916666666666675</v>
      </c>
      <c r="AS612" s="95">
        <f t="shared" ref="AS612" si="8907">(G612/G560-1)*100</f>
        <v>22.916666666666675</v>
      </c>
      <c r="AT612" s="95">
        <f t="shared" ref="AT612" si="8908">(H612/H560-1)*100</f>
        <v>35.628742514970078</v>
      </c>
      <c r="AU612" s="95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5">
        <f>TWK!B558</f>
        <v>555</v>
      </c>
      <c r="C613" s="95">
        <f>TWK!C558</f>
        <v>488.33333333333331</v>
      </c>
      <c r="D613" s="95">
        <f>TWK!D558</f>
        <v>466.66666666666669</v>
      </c>
      <c r="E613" s="95">
        <f>TWK!E558</f>
        <v>400</v>
      </c>
      <c r="F613" s="95">
        <f>TWK!F558</f>
        <v>450</v>
      </c>
      <c r="G613" s="95">
        <f>TWK!G558</f>
        <v>450</v>
      </c>
      <c r="H613" s="95">
        <f>TWK!H558</f>
        <v>408</v>
      </c>
      <c r="I613" s="95">
        <f>TWK!I558</f>
        <v>605.60407569141182</v>
      </c>
      <c r="K613" s="95">
        <f t="shared" ref="K613" si="8910">AVERAGEIF(B610:B613,"&lt;&gt;0")</f>
        <v>593.33333333333326</v>
      </c>
      <c r="L613" s="95">
        <f t="shared" ref="L613" si="8911">AVERAGE(C610:C613)</f>
        <v>505.41666666666669</v>
      </c>
      <c r="M613" s="95">
        <f t="shared" ref="M613" si="8912">AVERAGE(D610:D613)</f>
        <v>483.95833333333337</v>
      </c>
      <c r="N613" s="95">
        <f t="shared" ref="N613" si="8913">AVERAGE(E610:E613)</f>
        <v>403.54166666666663</v>
      </c>
      <c r="O613" s="95">
        <f t="shared" ref="O613" si="8914">AVERAGE(F610:F613)</f>
        <v>451.875</v>
      </c>
      <c r="P613" s="95">
        <f t="shared" ref="P613" si="8915">AVERAGE(G610:G613)</f>
        <v>451.875</v>
      </c>
      <c r="Q613" s="95">
        <f t="shared" ref="Q613" si="8916">AVERAGE(H610:H613)</f>
        <v>384.91666666666669</v>
      </c>
      <c r="R613" s="95">
        <f t="shared" ref="R613" si="8917">AVERAGE(I610:I613)</f>
        <v>542.47270742358069</v>
      </c>
      <c r="T613" s="95">
        <f t="shared" ref="T613" si="8918">AVERAGE(K457,K509,K561)</f>
        <v>409.16666666666669</v>
      </c>
      <c r="U613" s="95">
        <f t="shared" ref="U613" si="8919">AVERAGE(L457,L509,L561)</f>
        <v>367.77777777777783</v>
      </c>
      <c r="V613" s="95">
        <f t="shared" ref="V613" si="8920">(M457+M509+M561)/3</f>
        <v>350.06944444444451</v>
      </c>
      <c r="W613" s="95">
        <f t="shared" ref="W613" si="8921">(N457+N509+N561)/3</f>
        <v>308.4444444444444</v>
      </c>
      <c r="X613" s="95">
        <f t="shared" ref="X613" si="8922">(O457+O509+O561)/3</f>
        <v>342.47222222222223</v>
      </c>
      <c r="Y613" s="95">
        <f t="shared" ref="Y613" si="8923">(P457+P509+P561)/3</f>
        <v>342.47222222222223</v>
      </c>
      <c r="Z613" s="95">
        <f t="shared" ref="Z613" si="8924">(Q457+Q509+Q561)/3</f>
        <v>298.19444444444446</v>
      </c>
      <c r="AA613" s="95">
        <f t="shared" ref="AA613" si="8925">(R457+R509+R561)/3</f>
        <v>408.52765647743814</v>
      </c>
      <c r="AC613" s="115">
        <f>+AF613-'Figure 8_data'!I825</f>
        <v>0</v>
      </c>
      <c r="AD613" s="95">
        <f t="shared" ref="AD613" si="8926">(B613/T613-1)*100</f>
        <v>35.641547861507128</v>
      </c>
      <c r="AE613" s="95">
        <f t="shared" ref="AE613" si="8927">(C613/U613-1)*100</f>
        <v>32.779456193353454</v>
      </c>
      <c r="AF613" s="95">
        <f t="shared" ref="AF613" si="8928">(D613/V613-1)*100</f>
        <v>33.306883554850209</v>
      </c>
      <c r="AG613" s="95">
        <f t="shared" ref="AG613" si="8929">(E613/W613-1)*100</f>
        <v>29.68299711815563</v>
      </c>
      <c r="AH613" s="95">
        <f t="shared" ref="AH613" si="8930">(F613/X613-1)*100</f>
        <v>31.397518046881334</v>
      </c>
      <c r="AI613" s="95">
        <f t="shared" ref="AI613" si="8931">(G613/Y613-1)*100</f>
        <v>31.397518046881334</v>
      </c>
      <c r="AJ613" s="95">
        <f t="shared" ref="AJ613" si="8932">(H613/Z613-1)*100</f>
        <v>36.823474615742889</v>
      </c>
      <c r="AK613" s="95">
        <f t="shared" ref="AK613" si="8933">(I613/AA613-1)*100</f>
        <v>48.240655458502026</v>
      </c>
      <c r="AM613" s="115">
        <f>AP613-'Figure 8_data'!H825</f>
        <v>0</v>
      </c>
      <c r="AN613" s="95">
        <f t="shared" ref="AN613" si="8934">(B613/B561-1)*100</f>
        <v>50.678733031674206</v>
      </c>
      <c r="AO613" s="95">
        <f t="shared" ref="AO613" si="8935">(C613/C561-1)*100</f>
        <v>36.279069767441861</v>
      </c>
      <c r="AP613" s="95">
        <f t="shared" ref="AP613" si="8936">(D613/D561-1)*100</f>
        <v>31.455399061032875</v>
      </c>
      <c r="AQ613" s="95">
        <f t="shared" ref="AQ613" si="8937">(E613/E561-1)*100</f>
        <v>29.729729729729737</v>
      </c>
      <c r="AR613" s="95">
        <f t="shared" ref="AR613" si="8938">(F613/F561-1)*100</f>
        <v>23.853211009174323</v>
      </c>
      <c r="AS613" s="95">
        <f t="shared" ref="AS613" si="8939">(G613/G561-1)*100</f>
        <v>23.853211009174323</v>
      </c>
      <c r="AT613" s="95">
        <f t="shared" ref="AT613" si="8940">(H613/H561-1)*100</f>
        <v>40.689655172413786</v>
      </c>
      <c r="AU613" s="95">
        <f t="shared" ref="AU613" si="8941">(I613/I561-1)*100</f>
        <v>52.298850574712617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41870</v>
      </c>
      <c r="C6" s="36">
        <f>+TWK!B558</f>
        <v>555</v>
      </c>
      <c r="D6" s="36">
        <f>+TWK!C558</f>
        <v>488.33333333333331</v>
      </c>
      <c r="E6" s="36">
        <f>+TWK!D558</f>
        <v>466.66666666666669</v>
      </c>
      <c r="F6" s="36">
        <f>+TWK!E558</f>
        <v>400</v>
      </c>
      <c r="G6" s="36">
        <f>+TWK!F558</f>
        <v>450</v>
      </c>
      <c r="H6" s="36">
        <f>+TWK!G558</f>
        <v>450</v>
      </c>
      <c r="I6" s="36">
        <f>+TWK!H558</f>
        <v>408</v>
      </c>
      <c r="J6" s="15"/>
      <c r="N6" s="130"/>
    </row>
    <row r="7" spans="1:14" s="3" customFormat="1" ht="13.5" customHeight="1" x14ac:dyDescent="0.3">
      <c r="A7" s="34"/>
      <c r="B7" s="37">
        <f>+B6-7</f>
        <v>41863</v>
      </c>
      <c r="C7" s="45">
        <f>+TWK!B557</f>
        <v>631.66666666666663</v>
      </c>
      <c r="D7" s="45">
        <f>+TWK!C557</f>
        <v>470</v>
      </c>
      <c r="E7" s="45">
        <f>+TWK!D557</f>
        <v>441.66666666666669</v>
      </c>
      <c r="F7" s="45">
        <f>+TWK!E557</f>
        <v>388.33333333333331</v>
      </c>
      <c r="G7" s="45">
        <f>+TWK!F557</f>
        <v>442.5</v>
      </c>
      <c r="H7" s="45">
        <f>+TWK!G557</f>
        <v>442.5</v>
      </c>
      <c r="I7" s="45">
        <f>+TWK!H557</f>
        <v>377.5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41870</v>
      </c>
      <c r="C9" s="39">
        <f t="shared" ref="C9:I10" si="0">(ROUND(C6,0))*C$24/100</f>
        <v>34.354500000000002</v>
      </c>
      <c r="D9" s="39">
        <f t="shared" si="0"/>
        <v>25.961600000000004</v>
      </c>
      <c r="E9" s="39">
        <f t="shared" si="0"/>
        <v>21.668799999999997</v>
      </c>
      <c r="F9" s="39">
        <f t="shared" si="0"/>
        <v>15.96</v>
      </c>
      <c r="G9" s="39">
        <f t="shared" si="0"/>
        <v>21.105</v>
      </c>
      <c r="H9" s="39">
        <f t="shared" si="0"/>
        <v>18.18</v>
      </c>
      <c r="I9" s="39">
        <f t="shared" si="0"/>
        <v>12.811200000000001</v>
      </c>
      <c r="J9" s="15"/>
    </row>
    <row r="10" spans="1:14" s="3" customFormat="1" ht="13.5" customHeight="1" x14ac:dyDescent="0.3">
      <c r="A10" s="34"/>
      <c r="B10" s="37">
        <f>B7</f>
        <v>41863</v>
      </c>
      <c r="C10" s="142" t="s">
        <v>57</v>
      </c>
      <c r="D10" s="39">
        <f t="shared" ref="D10:F10" si="1">(ROUND(D7,0))*D$24/100</f>
        <v>25.004000000000001</v>
      </c>
      <c r="E10" s="39">
        <f t="shared" si="1"/>
        <v>20.508799999999997</v>
      </c>
      <c r="F10" s="39">
        <f t="shared" si="1"/>
        <v>15.481200000000001</v>
      </c>
      <c r="G10" s="39">
        <f t="shared" si="0"/>
        <v>20.776700000000002</v>
      </c>
      <c r="H10" s="39">
        <f t="shared" si="0"/>
        <v>17.897200000000002</v>
      </c>
      <c r="I10" s="39">
        <f t="shared" si="0"/>
        <v>11.869200000000001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58">
        <f>+'Table 9_data'!AN613</f>
        <v>50.678733031674206</v>
      </c>
      <c r="D14" s="58">
        <f>+'Table 9_data'!AO613</f>
        <v>36.279069767441861</v>
      </c>
      <c r="E14" s="58">
        <f>+'Table 9_data'!AP613</f>
        <v>31.455399061032875</v>
      </c>
      <c r="F14" s="58">
        <f>+'Table 9_data'!AQ613</f>
        <v>29.729729729729737</v>
      </c>
      <c r="G14" s="58">
        <f>+'Table 9_data'!AR613</f>
        <v>23.853211009174323</v>
      </c>
      <c r="H14" s="58">
        <f>+'Table 9_data'!AS613</f>
        <v>23.853211009174323</v>
      </c>
      <c r="I14" s="58">
        <f>+'Table 9_data'!AT613</f>
        <v>40.689655172413786</v>
      </c>
      <c r="J14" s="58"/>
    </row>
    <row r="15" spans="1:14" ht="13.25" customHeight="1" x14ac:dyDescent="0.3">
      <c r="A15" s="34"/>
      <c r="B15" s="44" t="s">
        <v>39</v>
      </c>
      <c r="C15" s="45">
        <f>+'Table 9_data'!AD613</f>
        <v>35.641547861507128</v>
      </c>
      <c r="D15" s="45">
        <f>+'Table 9_data'!AE613</f>
        <v>32.779456193353454</v>
      </c>
      <c r="E15" s="45">
        <f>+'Table 9_data'!AF613</f>
        <v>33.306883554850209</v>
      </c>
      <c r="F15" s="45">
        <f>+'Table 9_data'!AG613</f>
        <v>29.68299711815563</v>
      </c>
      <c r="G15" s="45">
        <f>+'Table 9_data'!AH613</f>
        <v>31.397518046881334</v>
      </c>
      <c r="H15" s="45">
        <f>+'Table 9_data'!AI613</f>
        <v>31.397518046881334</v>
      </c>
      <c r="I15" s="45">
        <f>+'Table 9_data'!AJ613</f>
        <v>36.823474615742889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68</v>
      </c>
      <c r="C17" s="45">
        <f>+NXTMONTH!C558</f>
        <v>666.66666666666663</v>
      </c>
      <c r="D17" s="45">
        <f>+NXTMONTH!D558</f>
        <v>633.33333333333337</v>
      </c>
      <c r="E17" s="45">
        <f>+NXTMONTH!E558</f>
        <v>625</v>
      </c>
      <c r="F17" s="45">
        <f>+NXTMONTH!F558</f>
        <v>591.66666666666663</v>
      </c>
      <c r="G17" s="45">
        <f>+NXTMONTH!G558</f>
        <v>625</v>
      </c>
      <c r="H17" s="45">
        <f>+NXTMONTH!H558</f>
        <v>625</v>
      </c>
      <c r="I17" s="45">
        <f>+NXTMONTH!I558</f>
        <v>633.33333333333337</v>
      </c>
      <c r="J17" s="45"/>
    </row>
    <row r="18" spans="1:10" ht="13" x14ac:dyDescent="0.3">
      <c r="A18" s="46"/>
      <c r="B18" s="47" t="s">
        <v>69</v>
      </c>
      <c r="C18" s="59">
        <f>+THREEMONTH!C558</f>
        <v>641.66666666666663</v>
      </c>
      <c r="D18" s="59">
        <f>+THREEMONTH!D558</f>
        <v>666.66666666666663</v>
      </c>
      <c r="E18" s="59">
        <f>+THREEMONTH!E558</f>
        <v>666.66666666666663</v>
      </c>
      <c r="F18" s="59">
        <f>+THREEMONTH!F558</f>
        <v>591.66666666666663</v>
      </c>
      <c r="G18" s="59">
        <f>+THREEMONTH!G558</f>
        <v>633.33333333333337</v>
      </c>
      <c r="H18" s="59">
        <f>+THREEMONTH!H558</f>
        <v>633.33333333333337</v>
      </c>
      <c r="I18" s="59">
        <f>+THREEMONTH!I558</f>
        <v>541.66666666666663</v>
      </c>
      <c r="J18" s="59"/>
    </row>
    <row r="19" spans="1:10" ht="12.65" customHeight="1" x14ac:dyDescent="0.3">
      <c r="A19" s="48" t="s">
        <v>70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ht="14" x14ac:dyDescent="0.3">
      <c r="A28" s="66"/>
      <c r="B28" s="66"/>
      <c r="C28" s="66"/>
      <c r="D28" s="66"/>
      <c r="E28" s="66"/>
      <c r="F28" s="66"/>
      <c r="G28" s="66"/>
      <c r="H28" s="66"/>
      <c r="I28" s="66"/>
    </row>
    <row r="29" spans="1:10" ht="14" x14ac:dyDescent="0.3">
      <c r="A29" s="66"/>
      <c r="B29" s="71"/>
      <c r="C29" s="71"/>
      <c r="D29" s="71"/>
      <c r="E29" s="71"/>
      <c r="F29" s="71"/>
      <c r="G29" s="71"/>
      <c r="H29" s="71"/>
      <c r="I29" s="71"/>
    </row>
    <row r="30" spans="1:10" ht="14" x14ac:dyDescent="0.3">
      <c r="A30" s="66"/>
      <c r="B30" s="71"/>
      <c r="C30" s="71"/>
      <c r="D30" s="71"/>
      <c r="E30" s="71"/>
      <c r="F30" s="71"/>
      <c r="G30" s="71"/>
      <c r="H30" s="71"/>
      <c r="I30" s="71"/>
    </row>
    <row r="31" spans="1:10" ht="14" x14ac:dyDescent="0.3">
      <c r="A31" s="66"/>
      <c r="B31" s="71"/>
      <c r="C31" s="71"/>
      <c r="D31" s="71"/>
      <c r="E31" s="71"/>
      <c r="F31" s="71"/>
      <c r="G31" s="71"/>
      <c r="H31" s="71"/>
      <c r="I31" s="71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2014-08-20T14:17:48Z</dcterms:modified>
</cp:coreProperties>
</file>