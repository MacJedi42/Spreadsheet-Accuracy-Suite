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gif" ContentType="image/gif"/>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tabRatio="908"/>
  </bookViews>
  <sheets>
    <sheet name="Overview pointwise" sheetId="14" r:id="rId1"/>
    <sheet name="BDO&amp;Saba " sheetId="15" r:id="rId2"/>
    <sheet name="Front page" sheetId="1" r:id="rId3"/>
    <sheet name="Panchayat" sheetId="5" r:id="rId4"/>
    <sheet name="Admn. Structure" sheetId="12" r:id="rId5"/>
    <sheet name="Backward village List" sheetId="7" r:id="rId6"/>
    <sheet name="MGNREGA" sheetId="2" r:id="rId7"/>
    <sheet name="Mid Day Meal" sheetId="11" r:id="rId8"/>
    <sheet name="Relief" sheetId="3" r:id="rId9"/>
    <sheet name="SGSY" sheetId="4" r:id="rId10"/>
    <sheet name="SGSY Bank details" sheetId="6" r:id="rId11"/>
    <sheet name="SGSY-WBSSP" sheetId="8" r:id="rId12"/>
    <sheet name="SGSY-BSKP" sheetId="9" r:id="rId13"/>
    <sheet name="BSKPAchiev" sheetId="10" r:id="rId14"/>
    <sheet name="SASPFUW" sheetId="16" r:id="rId15"/>
    <sheet name="RTI" sheetId="17" r:id="rId16"/>
    <sheet name="Health " sheetId="19" r:id="rId17"/>
    <sheet name="CHCMI" sheetId="20" r:id="rId18"/>
    <sheet name="Sheet1" sheetId="18" r:id="rId19"/>
  </sheets>
  <externalReferences>
    <externalReference r:id="rId20"/>
  </externalReferences>
  <calcPr calcId="124519"/>
</workbook>
</file>

<file path=xl/calcChain.xml><?xml version="1.0" encoding="utf-8"?>
<calcChain xmlns="http://schemas.openxmlformats.org/spreadsheetml/2006/main">
  <c r="E9" i="15"/>
  <c r="E10"/>
  <c r="E11"/>
  <c r="E12"/>
  <c r="E13"/>
  <c r="E14"/>
  <c r="E15"/>
  <c r="E16"/>
  <c r="E17"/>
  <c r="E18"/>
  <c r="E19"/>
  <c r="E20"/>
  <c r="E21"/>
  <c r="E22"/>
  <c r="E23"/>
  <c r="E24"/>
  <c r="E25"/>
  <c r="E8"/>
  <c r="D28" i="7"/>
  <c r="D27"/>
  <c r="D26"/>
  <c r="D25"/>
  <c r="D24"/>
  <c r="D23"/>
  <c r="D22"/>
  <c r="D21"/>
  <c r="D20"/>
  <c r="D19"/>
  <c r="D18"/>
  <c r="D17"/>
  <c r="D16"/>
  <c r="D15"/>
  <c r="D14"/>
  <c r="D13"/>
  <c r="D12"/>
  <c r="D11"/>
  <c r="D10"/>
  <c r="D9"/>
  <c r="D8"/>
  <c r="D7"/>
</calcChain>
</file>

<file path=xl/sharedStrings.xml><?xml version="1.0" encoding="utf-8"?>
<sst xmlns="http://schemas.openxmlformats.org/spreadsheetml/2006/main" count="855" uniqueCount="731">
  <si>
    <t>SURI-I DEVELOPMENT BLOCK</t>
  </si>
  <si>
    <t>Name of Panchayat Samity</t>
  </si>
  <si>
    <t>SURI-I PANCHAYAT SAMITY</t>
  </si>
  <si>
    <t>Male</t>
  </si>
  <si>
    <t>Female</t>
  </si>
  <si>
    <t>Total area of Block ( in sqkm)</t>
  </si>
  <si>
    <t>9612 ( 38.48%)</t>
  </si>
  <si>
    <t>Total BPL  Household</t>
  </si>
  <si>
    <t>Total Sansad</t>
  </si>
  <si>
    <t>60 Nos.</t>
  </si>
  <si>
    <t>Block Name /</t>
  </si>
  <si>
    <t>Total No. of Gram Panchayat</t>
  </si>
  <si>
    <t>07</t>
  </si>
  <si>
    <t>17 Nos.</t>
  </si>
  <si>
    <t>01 No.</t>
  </si>
  <si>
    <t>No. of  Sthayee Samity</t>
  </si>
  <si>
    <t>No. of Gram Unnayan Samity</t>
  </si>
  <si>
    <t>No. of  Educational Instituion</t>
  </si>
  <si>
    <t>Primary</t>
  </si>
  <si>
    <t xml:space="preserve">High </t>
  </si>
  <si>
    <t>MSK</t>
  </si>
  <si>
    <t>SSK</t>
  </si>
  <si>
    <t>College</t>
  </si>
  <si>
    <t>Name of the Municipality under this Block</t>
  </si>
  <si>
    <t>SURI MUNICIPALITY</t>
  </si>
  <si>
    <t>Technical College</t>
  </si>
  <si>
    <t>02</t>
  </si>
  <si>
    <t>01</t>
  </si>
  <si>
    <t>A)</t>
  </si>
  <si>
    <t>B)</t>
  </si>
  <si>
    <t>C)</t>
  </si>
  <si>
    <t>D)</t>
  </si>
  <si>
    <t>E)</t>
  </si>
  <si>
    <t>F)</t>
  </si>
  <si>
    <t>Total  No. of Panchayat Samity Seat</t>
  </si>
  <si>
    <t>Zilla Parishad  Seat under this PS/ Block</t>
  </si>
  <si>
    <t>Block/ PS Address</t>
  </si>
  <si>
    <t>Kalipur, Karidhya, Po- Barabgan, Dist-Birbhum.Pin-731102</t>
  </si>
  <si>
    <t>Phone No.</t>
  </si>
  <si>
    <t>('03462) 225409/225419</t>
  </si>
  <si>
    <t>03462-225409 ( Fax)</t>
  </si>
  <si>
    <t>Email  ID</t>
  </si>
  <si>
    <t>bdosuri1@gmail.com / bdosuri1@rediffmail.com</t>
  </si>
  <si>
    <t>Application  for registration of Job Cards</t>
  </si>
  <si>
    <t>Job Cards issued</t>
  </si>
  <si>
    <t xml:space="preserve">No. of  household demanded Job </t>
  </si>
  <si>
    <t>No. of  Household  provided with employment</t>
  </si>
  <si>
    <t>Total persondays generated</t>
  </si>
  <si>
    <t>Average no. of days employment provided to per household</t>
  </si>
  <si>
    <t>Persondays generated by Women</t>
  </si>
  <si>
    <t xml:space="preserve">No. of Scheme completed </t>
  </si>
  <si>
    <t>No. of Schemes  ongoing</t>
  </si>
  <si>
    <t>100Days work provided to households</t>
  </si>
  <si>
    <t>42 Birbhum PC</t>
  </si>
  <si>
    <t>Parliamentary Constituency under</t>
  </si>
  <si>
    <t>Assembly Constituncy under</t>
  </si>
  <si>
    <t>285 Suri AC</t>
  </si>
  <si>
    <t>Total No. of Mouza</t>
  </si>
  <si>
    <t xml:space="preserve">Economic Structure </t>
  </si>
  <si>
    <t>Agriculture Based</t>
  </si>
  <si>
    <t>Name of water reservoir for agriculture</t>
  </si>
  <si>
    <t>Tilpara Mihirlal Barrage</t>
  </si>
  <si>
    <t>NAME OF THE FLOOD PRONE VILLAGES: -</t>
  </si>
  <si>
    <t>Sl.No.</t>
  </si>
  <si>
    <t>Name of the G.P.</t>
  </si>
  <si>
    <t>Name of the Village</t>
  </si>
  <si>
    <t>Name of the Rivers Caused damaged</t>
  </si>
  <si>
    <t>KHATANGA</t>
  </si>
  <si>
    <r>
      <t>a)</t>
    </r>
    <r>
      <rPr>
        <sz val="7"/>
        <color theme="1"/>
        <rFont val="Times New Roman"/>
        <family val="1"/>
      </rPr>
      <t xml:space="preserve">      </t>
    </r>
    <r>
      <rPr>
        <sz val="11"/>
        <color theme="1"/>
        <rFont val="Cambria"/>
        <family val="1"/>
      </rPr>
      <t>Raipur, b) Bhandirban, c) Khatanga, d) Dhannyagram, e) Ranpur</t>
    </r>
  </si>
  <si>
    <t>i)Mayurakshi,</t>
  </si>
  <si>
    <t>ii)Khuskurnumi (Siddheswari)</t>
  </si>
  <si>
    <t>TILPARA</t>
  </si>
  <si>
    <r>
      <t>a)</t>
    </r>
    <r>
      <rPr>
        <sz val="7"/>
        <color theme="1"/>
        <rFont val="Times New Roman"/>
        <family val="1"/>
      </rPr>
      <t xml:space="preserve">      </t>
    </r>
    <r>
      <rPr>
        <sz val="11"/>
        <color theme="1"/>
        <rFont val="Cambria"/>
        <family val="1"/>
      </rPr>
      <t>Bansjhore, b) Joka, c) Narsinghapur, d) Ajoypur, e) Durgapur</t>
    </r>
  </si>
  <si>
    <t>Mayurakshi River.</t>
  </si>
  <si>
    <t>ALUNDA</t>
  </si>
  <si>
    <r>
      <t>a)</t>
    </r>
    <r>
      <rPr>
        <sz val="7"/>
        <color theme="1"/>
        <rFont val="Times New Roman"/>
        <family val="1"/>
      </rPr>
      <t xml:space="preserve">      </t>
    </r>
    <r>
      <rPr>
        <sz val="11"/>
        <color theme="1"/>
        <rFont val="Cambria"/>
        <family val="1"/>
      </rPr>
      <t>Shaktipur, b) Junidpur, c) Chhoto Alunda, d) Khakhuriya, e) Kukudihi, f) Dhallah, g) Karamsal</t>
    </r>
  </si>
  <si>
    <t>NAGARI</t>
  </si>
  <si>
    <r>
      <t>a)</t>
    </r>
    <r>
      <rPr>
        <sz val="7"/>
        <color theme="1"/>
        <rFont val="Times New Roman"/>
        <family val="1"/>
      </rPr>
      <t xml:space="preserve">      </t>
    </r>
    <r>
      <rPr>
        <sz val="11"/>
        <color theme="1"/>
        <rFont val="Cambria"/>
        <family val="1"/>
      </rPr>
      <t>Kamarsal</t>
    </r>
  </si>
  <si>
    <t>MALLICKPUR</t>
  </si>
  <si>
    <r>
      <t>a)</t>
    </r>
    <r>
      <rPr>
        <sz val="7"/>
        <color theme="1"/>
        <rFont val="Times New Roman"/>
        <family val="1"/>
      </rPr>
      <t xml:space="preserve">      </t>
    </r>
    <r>
      <rPr>
        <sz val="11"/>
        <color theme="1"/>
        <rFont val="Cambria"/>
        <family val="1"/>
      </rPr>
      <t>Adda Adibasi Para, b) Garui Niddhupara, c) Adda Kharighata Para, d) Mallickpur, e) Gajalpur, f) Chandanpur.</t>
    </r>
  </si>
  <si>
    <t>Sl. No.</t>
  </si>
  <si>
    <t>Telephone No. STD Code (03462)</t>
  </si>
  <si>
    <t>Latitude</t>
  </si>
  <si>
    <t>Longitude</t>
  </si>
  <si>
    <t>Langulia High School</t>
  </si>
  <si>
    <t>Khatanga G.P. Office</t>
  </si>
  <si>
    <t>Hukmapur Pry. School</t>
  </si>
  <si>
    <t>Tarapurdanga Pry. School</t>
  </si>
  <si>
    <t>SS Ramkrishna Shilpa Vidyapith</t>
  </si>
  <si>
    <t>255-571</t>
  </si>
  <si>
    <t>Ranpur Pry. School</t>
  </si>
  <si>
    <t>Bansjore Pry. School</t>
  </si>
  <si>
    <t>Ajoypur High School</t>
  </si>
  <si>
    <t>Alunda High School</t>
  </si>
  <si>
    <t>Itagoriya High School</t>
  </si>
  <si>
    <t>228-748</t>
  </si>
  <si>
    <t>Kakhuriya Pry. School</t>
  </si>
  <si>
    <t>228-226</t>
  </si>
  <si>
    <t>Kukhudihi Pry.School</t>
  </si>
  <si>
    <t xml:space="preserve">Dhallah I.C.D.S </t>
  </si>
  <si>
    <t>Karamsal Pry. School</t>
  </si>
  <si>
    <t>Nowadihi Vidyasagar MSK</t>
  </si>
  <si>
    <t>Adda High School</t>
  </si>
  <si>
    <t>03462-256420</t>
  </si>
  <si>
    <t>Mallickpur Pry. School</t>
  </si>
  <si>
    <t>Gajalpur Pry. School</t>
  </si>
  <si>
    <t>Chandanpur Pry. School</t>
  </si>
  <si>
    <t>Kamardangal Pry. School</t>
  </si>
  <si>
    <t>Liara Pry. School</t>
  </si>
  <si>
    <t>Sector Office</t>
  </si>
  <si>
    <t>Code No.</t>
  </si>
  <si>
    <t>B.D.O, Office, Suri-I</t>
  </si>
  <si>
    <t>225-409</t>
  </si>
  <si>
    <t>Sabhapati, Suri-I PS</t>
  </si>
  <si>
    <t>03462 (225-419)</t>
  </si>
  <si>
    <t>A.D.O., Suri-I</t>
  </si>
  <si>
    <t>225-004</t>
  </si>
  <si>
    <t>B.M.O.H., Barachaturi</t>
  </si>
  <si>
    <t>Medical Officer (H.O)</t>
  </si>
  <si>
    <t>256-694</t>
  </si>
  <si>
    <t>G)</t>
  </si>
  <si>
    <t>Food and Supply Office, Dangalpara, Suri</t>
  </si>
  <si>
    <t>Places</t>
  </si>
  <si>
    <t>No. of Boats</t>
  </si>
  <si>
    <t>ALUNDA  G.P.</t>
  </si>
  <si>
    <t>Persimuliya Ghat</t>
  </si>
  <si>
    <t>KHATANGA  G.P.</t>
  </si>
  <si>
    <t>Bhandirban Ghat</t>
  </si>
  <si>
    <r>
      <t>a)</t>
    </r>
    <r>
      <rPr>
        <sz val="7"/>
        <color theme="1"/>
        <rFont val="Times New Roman"/>
        <family val="1"/>
      </rPr>
      <t xml:space="preserve">      </t>
    </r>
    <r>
      <rPr>
        <sz val="11"/>
        <color theme="1"/>
        <rFont val="Cambria"/>
        <family val="1"/>
      </rPr>
      <t>Languliya High School.</t>
    </r>
  </si>
  <si>
    <r>
      <t>b)</t>
    </r>
    <r>
      <rPr>
        <sz val="7"/>
        <color theme="1"/>
        <rFont val="Times New Roman"/>
        <family val="1"/>
      </rPr>
      <t xml:space="preserve">     </t>
    </r>
    <r>
      <rPr>
        <sz val="11"/>
        <color theme="1"/>
        <rFont val="Cambria"/>
        <family val="1"/>
      </rPr>
      <t>Football ground of Irrigation Colony.</t>
    </r>
  </si>
  <si>
    <r>
      <t>c)</t>
    </r>
    <r>
      <rPr>
        <sz val="7"/>
        <color theme="1"/>
        <rFont val="Times New Roman"/>
        <family val="1"/>
      </rPr>
      <t xml:space="preserve">      </t>
    </r>
    <r>
      <rPr>
        <sz val="11"/>
        <color theme="1"/>
        <rFont val="Cambria"/>
        <family val="1"/>
      </rPr>
      <t>Itagoria N.B. Pry. School</t>
    </r>
  </si>
  <si>
    <t>The existing communication system between Block and G.Ps through Telephone, Mobile, SPL messenger.</t>
  </si>
  <si>
    <t>03462</t>
  </si>
  <si>
    <t>WARNING SYSTEM</t>
  </si>
  <si>
    <t>REQUIREMENT OF BOATS: -</t>
  </si>
  <si>
    <t xml:space="preserve"> PLACES FOR AID DROPPING: -</t>
  </si>
  <si>
    <r>
      <t xml:space="preserve"> </t>
    </r>
    <r>
      <rPr>
        <b/>
        <u/>
        <sz val="11"/>
        <color theme="1"/>
        <rFont val="Cambria"/>
        <family val="1"/>
      </rPr>
      <t xml:space="preserve">COMMUNICATION OF MASSAGE: - </t>
    </r>
  </si>
  <si>
    <t xml:space="preserve"> DRINKING WATER: -</t>
  </si>
  <si>
    <t>--</t>
  </si>
  <si>
    <t xml:space="preserve">Activities of  Disaster Management Section </t>
  </si>
  <si>
    <t>Disasater Management</t>
  </si>
  <si>
    <t>Distribution of Relief Materials, Normal and Special Gratuitus Relief (GR), Starvation (Cash) GR</t>
  </si>
  <si>
    <t>Ex-gratia grant  for natural calamity</t>
  </si>
  <si>
    <t>Economic Rehabilitation Grant ( ER Grant)</t>
  </si>
  <si>
    <t>Rescue  Shelter</t>
  </si>
  <si>
    <t>TELECOMMUNICATION AND TELEPHONE NUMBERS FOR EMERGENCY SITUATION</t>
  </si>
  <si>
    <t>Shyamal Kr. Saha, 
( Distributor)</t>
  </si>
  <si>
    <t>255-434/                  256-237</t>
  </si>
  <si>
    <t>After receiving the message from the B.D.O. Suri-I, Prodhan would inform the public through miking. It was decided that on receiving the message of flood/Natural calamity, Prodhans would utilize the services of the G.P. Karmee to alert the people of flood Prone area.</t>
  </si>
  <si>
    <t xml:space="preserve">Prodhans would arrange to supply water from high level sources deploying the Boat during flood if necessary. P.H.E. authority may be requested to make arrangement to disinfect the Tube Wells immediately after the flood water subside. </t>
  </si>
  <si>
    <t>17952 (6.73%)</t>
  </si>
  <si>
    <t>Report as on 31/08/2011</t>
  </si>
  <si>
    <t>Work completed by Block</t>
  </si>
  <si>
    <t>SC</t>
  </si>
  <si>
    <t>ST</t>
  </si>
  <si>
    <t>OTHER</t>
  </si>
  <si>
    <t>No of BPL Job Cards issued</t>
  </si>
  <si>
    <t>No of APL Job Cards issued</t>
  </si>
  <si>
    <t>Total  available Fund</t>
  </si>
  <si>
    <t>Rs.37461630</t>
  </si>
  <si>
    <t xml:space="preserve">Total Expenses </t>
  </si>
  <si>
    <t>Rs.33361184</t>
  </si>
  <si>
    <t>Wage Payment</t>
  </si>
  <si>
    <t>Rs. 3689090</t>
  </si>
  <si>
    <t>Materials Payment</t>
  </si>
  <si>
    <t>Rs.19671994</t>
  </si>
  <si>
    <t>Ratio (Wages : Materials )</t>
  </si>
  <si>
    <t xml:space="preserve">MIS </t>
  </si>
  <si>
    <t>Offline</t>
  </si>
  <si>
    <t>Online</t>
  </si>
  <si>
    <t xml:space="preserve">Total Muster Rolls Used </t>
  </si>
  <si>
    <t>Total Muster Verified</t>
  </si>
  <si>
    <t>MGNREGA</t>
  </si>
  <si>
    <t>PANCHAYAT SECTION</t>
  </si>
  <si>
    <t>Swarnajayanti Gram Swarozgar Yojana (SGSY)</t>
  </si>
  <si>
    <t>This scheme is financed on sharing basis between Centre and State as 75:25 percent respectively.</t>
  </si>
  <si>
    <t>Ministry/Department</t>
  </si>
  <si>
    <t xml:space="preserve"> </t>
  </si>
  <si>
    <t>Description:-</t>
  </si>
  <si>
    <t>Beneficiaries:-</t>
  </si>
  <si>
    <t>Individual, Community, Women,</t>
  </si>
  <si>
    <t>Benefit Type:-</t>
  </si>
  <si>
    <t>Eligibility criteria</t>
  </si>
  <si>
    <t>Under Swarnjayanti Gram Swarozgar Yojana (SGSY), the beneficiaries are known as Swarozgaris. The Swarozgaris can be either individuals or groups. SGSY lays emphasis on the group approach, under which the rural poor are organized into Self Help Groups. In either case, the list of BPL households identified through BPL census, duly approved by the Gram Sabha will form the basis for identification of families for assistance under the SGSY. The Self Help Groups should also be drawn from the BPL list approved by the Gram Sabha.</t>
  </si>
  <si>
    <t>Swarnajayanti Gram Swarozgar Yojana (SGSY) is a scheme to assist poor of rural areas and reduce the unemployment there. The scheme aims to promote self-employment among poor section of the society. The main objective of the scheme is to bring the poor families above the poverty line through bank credit, government subsidy and proper training for several enterprises. Swarnajayanti Gram Swarozgar Yojana is being implemented by the District Rural Development Agencies ((DRDAs) with active involvement of Panchayati Raj Institutions (PRIs), various banks, the Line Departments and the Non-Government Organisations (NGOs) etc. Swarnajayanti Gram Swarozgar Yojana is monitored from the centre level down to the grass root level. Families belonging to Below the Poverty Line (BPL) are main target group under this scheme. The 50% of the benefits are reserved for Schedule Caste/Schedule Tribe, 40% for women and 3% for disabled persons.</t>
  </si>
  <si>
    <t xml:space="preserve">How  to avail </t>
  </si>
  <si>
    <t xml:space="preserve">SGSY will focus on organization of the poor at grassroots level through a process of social mobilization for poverty eradication. SGSY's approach to organize the poor stems from the conviction that there is a tremendous potential within the poor to help themselves and that the potential can be harnessed by organizing them. Social mobilization enables the poor build their own organizations ( Self Help Groups) in which they participate fully and directly and take decisions on all issues concerning poverty eradication. Simultaneously, SHGs have the advantage the assistance- be it in terms of credit or technology or marked guidance etc, - reaching the poor faster and more effectively. Self Help Groups consists of 10-20 persons under SGSY all members of the group should belong to families below Poverty Line, however if necessary a maximum of 20% and in exceptional cases, where assessor required, up to a maximum 30 % of members may be taken from families manually above the BPL but living contiguously and acceptable to BPL number of group. </t>
  </si>
  <si>
    <t>Loan &amp; Subsidy</t>
  </si>
  <si>
    <t>Name of G.P</t>
  </si>
  <si>
    <t>Bank</t>
  </si>
  <si>
    <t>Khatanga</t>
  </si>
  <si>
    <t>Nagari</t>
  </si>
  <si>
    <t>Tilpara</t>
  </si>
  <si>
    <t>Karidhya</t>
  </si>
  <si>
    <t>Alunda</t>
  </si>
  <si>
    <t>PBGB,Suri</t>
  </si>
  <si>
    <t>Mallickpur</t>
  </si>
  <si>
    <t>Allahabad, Karidhya</t>
  </si>
  <si>
    <t>Bhurkuna</t>
  </si>
  <si>
    <t>PBGB, Barachaturi</t>
  </si>
  <si>
    <t>Name Bank with Branch</t>
  </si>
  <si>
    <t>PBGB, Karidhya</t>
  </si>
  <si>
    <t>Phone No. 
 ( '03462)</t>
  </si>
  <si>
    <t>UBI ,Suri</t>
  </si>
  <si>
    <t>U.C.O. ,Suri</t>
  </si>
  <si>
    <t>U.C.O., Patharchapri</t>
  </si>
  <si>
    <t>Allahabad ,Suri</t>
  </si>
  <si>
    <t>Allahabad ,Karidhya</t>
  </si>
  <si>
    <t>C.B.I. ,Chota Alunda</t>
  </si>
  <si>
    <t>S.B.I. ,Suri</t>
  </si>
  <si>
    <t>S.B.I., Suri</t>
  </si>
  <si>
    <t>C.B.I. ,Bhurkuna</t>
  </si>
  <si>
    <t>C.B.I. ,Kachujore</t>
  </si>
  <si>
    <t>Bank of India, Suri</t>
  </si>
  <si>
    <t>228-777</t>
  </si>
  <si>
    <t>255-548</t>
  </si>
  <si>
    <t>255-743</t>
  </si>
  <si>
    <t>255-556</t>
  </si>
  <si>
    <t>255-305</t>
  </si>
  <si>
    <t>Union Bank  of India,Suri</t>
  </si>
  <si>
    <t>255-719</t>
  </si>
  <si>
    <t>255-489</t>
  </si>
  <si>
    <t>228-202</t>
  </si>
  <si>
    <t>255-716</t>
  </si>
  <si>
    <t>255-560</t>
  </si>
  <si>
    <t>220-032</t>
  </si>
  <si>
    <t>220-027</t>
  </si>
  <si>
    <t>256-229/255-029</t>
  </si>
  <si>
    <t>Name of the Bank &amp; Branch associated with SGSY,BSKP &amp; other Scheme</t>
  </si>
  <si>
    <t>Name of the GP</t>
  </si>
  <si>
    <t>Name of identified backword villages</t>
  </si>
  <si>
    <t>No. of families</t>
  </si>
  <si>
    <t>Maheshpur</t>
  </si>
  <si>
    <t>Purba Bankati</t>
  </si>
  <si>
    <t>Barihat</t>
  </si>
  <si>
    <t xml:space="preserve">Itekola </t>
  </si>
  <si>
    <t>Turukbarihat</t>
  </si>
  <si>
    <t>Agar</t>
  </si>
  <si>
    <t>Sanmara</t>
  </si>
  <si>
    <t>Haridaspur</t>
  </si>
  <si>
    <t>Dhannyagram</t>
  </si>
  <si>
    <t>Muriliachalk</t>
  </si>
  <si>
    <t>Panchkath</t>
  </si>
  <si>
    <t>Mollickpur</t>
  </si>
  <si>
    <t>Nimtikuri</t>
  </si>
  <si>
    <t>Changuria</t>
  </si>
  <si>
    <t>Momrezpur</t>
  </si>
  <si>
    <t>Amgachi</t>
  </si>
  <si>
    <t>Arajitokipur</t>
  </si>
  <si>
    <t>Latabuni</t>
  </si>
  <si>
    <t>Sahabazar</t>
  </si>
  <si>
    <t>Sirsha</t>
  </si>
  <si>
    <t>Uporjol</t>
  </si>
  <si>
    <t>Maliana</t>
  </si>
  <si>
    <t>Durgapur</t>
  </si>
  <si>
    <t>LIST OF BACKWARD VILLAGES UNDER SURI-I</t>
  </si>
  <si>
    <t>West Bengal Swarojgar Sahayak Prokalpa (WBSSP)</t>
  </si>
  <si>
    <t>Provided that in no case the subsidy will exceed 7% on the amount of credit at the end of each six monthly cycle.</t>
  </si>
  <si>
    <t>Scheme &amp;  Benefit</t>
  </si>
  <si>
    <r>
      <t>The State Government in the Department of Self Help Group &amp; Self Employment has announced the interest subsidy scheme known as "</t>
    </r>
    <r>
      <rPr>
        <b/>
        <sz val="11"/>
        <color theme="9" tint="-0.499984740745262"/>
        <rFont val="Cambria"/>
        <family val="1"/>
      </rPr>
      <t>The West Bengal Swanirbhar Sahayak Prakalpa</t>
    </r>
    <r>
      <rPr>
        <sz val="11"/>
        <color theme="1"/>
        <rFont val="Cambria"/>
        <family val="1"/>
      </rPr>
      <t xml:space="preserve">" w.e.f. </t>
    </r>
    <r>
      <rPr>
        <b/>
        <sz val="11"/>
        <color theme="1"/>
        <rFont val="Cambria"/>
        <family val="1"/>
      </rPr>
      <t>01.04.2009.</t>
    </r>
    <r>
      <rPr>
        <sz val="11"/>
        <color theme="1"/>
        <rFont val="Cambria"/>
        <family val="1"/>
      </rPr>
      <t xml:space="preserve">under the scheme, all Self Help Groups under Bank Linkage Programme and Groups under the BSKP are entitled to benefit. Besides, all Self Help Groups covered by the project based group scheme of S.G.S.Y. &amp; S.J.S.R.Y. will be benefited under the scheme. The objective of the scheme is to provide interest subsidy, which will be the difference between 4% and the actual interest, charged by the Banks on the loan to Self Help Groups, covered under the scheme. In effect, these categories of Self Help Groups will have to pay only 4% interest on their loans.   </t>
    </r>
  </si>
  <si>
    <t>Department of Rural Development</t>
  </si>
  <si>
    <t xml:space="preserve">Both: Central &amp; State Government </t>
  </si>
  <si>
    <t xml:space="preserve">Swarnajayanti Gram Swarozgar Yojana (SGSY) </t>
  </si>
  <si>
    <t>Name of the Scheme         :-</t>
  </si>
  <si>
    <t>Sponsored by                       :-</t>
  </si>
  <si>
    <t>Funding Pattern                  :-</t>
  </si>
  <si>
    <r>
      <t>Bangla Swanirvar Karmasansthan Prakalpa</t>
    </r>
    <r>
      <rPr>
        <b/>
        <sz val="12"/>
        <color rgb="FF7030A0"/>
        <rFont val="Cambria"/>
        <family val="1"/>
      </rPr>
      <t xml:space="preserve"> </t>
    </r>
  </si>
  <si>
    <t>(BSKP)</t>
  </si>
  <si>
    <t>In appreciation of the long- felt need to inculcate a spirit of drive and enterprise among the unemployed youth of this State Government of West Bengal have come forward with this Prakalpa. It is designed to educate and motivate the youth of the possibility and the facility available to start an enterprise on their own in an individual capacity or in a group. It is called “Atma Maryada” for individual youth and for groups of entrepreneur it is known as “Atma Samman”.</t>
  </si>
  <si>
    <t>The scheme was set in motion in the financial year 2000-2001 and was later extended to cover rural areas as well from 2006-2007.It shall be a continuing scheme.</t>
  </si>
  <si>
    <t>More than one member of the same family members shall not be eligible for constituting the group and shall not be eligible for subsidy under the scheme for group of entrepreneurs (Atma Samman).</t>
  </si>
  <si>
    <t>The scheme is meant for unemployed youth which means any person who is not gainfully employed and is within the age group of 18 and 45 years as on the date on which he or she makes an application for assistance under the scheme and registered with any employment exchange.The State Govt in the Department of Self-Group and Self Employment may relax the age limit for a maximum period of two years which is up to the age of 47 years of age on consideration of merit as a special case under exceptional circumstances.</t>
  </si>
  <si>
    <t>The motivator shall guide and assist the applicant in filling up the form and in the preparation of the project, if necessary. Any project over and above two and a half  lakh rupees should preferably be vetted by a technically qualified person who may be either a Government employee or a private practitioner .Having satisfied himself about the viability, sincerity, capability and bona fide of the applicant and the feasibility of the project prepared the motivator shall deposit the application along with the project report to the office of the Block Self Help Group and Self-Employment Officer and Designated Officer at Municipality or Borough level as applicable.</t>
  </si>
  <si>
    <t>10% of the project cost shall be provided by the entrepreneur as margin money.</t>
  </si>
  <si>
    <t>The balance 70% of the project cost or the amount as may be required after deducting the entrepreneur’s own contribution and govt subsidy from the total project cost will be provided by Bank of West Bengal Financial Corporation or any other financial institutions as term loans or and working capital loan.</t>
  </si>
  <si>
    <t>No Government subsidy will be provided on working capital which may be required subsequent to the initial operationalisation of the scheme whether in manufacture trade or service sector. The banks however may extend loan for working capital etc for subsequent requirement after the project has been operationalised.</t>
  </si>
  <si>
    <t>For any queries the applicant is requested to contact the</t>
  </si>
  <si>
    <t>SHG &amp; SE Supervisor</t>
  </si>
  <si>
    <t>Suri-I Development Block ,</t>
  </si>
  <si>
    <t>Kalipur , Barobagan</t>
  </si>
  <si>
    <t>Post &amp; District:- Birbhum</t>
  </si>
  <si>
    <t>Pin-731102,West Bengal.</t>
  </si>
  <si>
    <t>(Contact Telephone No. :- 03462-225409 )</t>
  </si>
  <si>
    <r>
      <t>Work-areas:</t>
    </r>
    <r>
      <rPr>
        <b/>
        <sz val="11"/>
        <color theme="1"/>
        <rFont val="Cambria"/>
        <family val="1"/>
      </rPr>
      <t xml:space="preserve"> </t>
    </r>
    <r>
      <rPr>
        <sz val="11"/>
        <color theme="1"/>
        <rFont val="Cambria"/>
        <family val="1"/>
      </rPr>
      <t>It aims at generating self-employment in the urban and rural areas of the State through promotion of tiny units of production manufacturing, trade service or any other sector including agro- based industries, horticulture animal husbandry other than direct agriculture.</t>
    </r>
  </si>
  <si>
    <r>
      <t>Eligibility-</t>
    </r>
    <r>
      <rPr>
        <sz val="11"/>
        <color theme="1"/>
        <rFont val="Cambria"/>
        <family val="1"/>
      </rPr>
      <t>An individual entrepreneur or a group of entrepreneurs preferably registered with any employment exchange of the State and whose family income (respective family income of individual members in case of a group) does not exceed Rs.15000/- per month and who intend to generate income by setting up any viable unit of industry, trade services etc or receiving or improving an existing unit, will be eligible under this scheme.</t>
    </r>
  </si>
  <si>
    <r>
      <t>Applicability-</t>
    </r>
    <r>
      <rPr>
        <sz val="11"/>
        <color theme="1"/>
        <rFont val="Cambria"/>
        <family val="1"/>
      </rPr>
      <t>The scheme will be applicable to all eligible entrepreneurs, individually or in groups (subject to a minimum of five members and all of them belonging to the same area) who want to generate income by setting up viable tiny scale units or to run, revive or improve any existing unit. The project cost for an individual applicant will be subject to a maximum limit of five lakhs and for groups of five and more the maximum project cost will be limited to a maximum of twenty five lakhs.</t>
    </r>
  </si>
  <si>
    <r>
      <t xml:space="preserve">Employees of Central//or State govt or Govt Undertakings and their families </t>
    </r>
    <r>
      <rPr>
        <b/>
        <sz val="11"/>
        <color theme="1"/>
        <rFont val="Cambria"/>
        <family val="1"/>
      </rPr>
      <t>will not be</t>
    </r>
    <r>
      <rPr>
        <sz val="11"/>
        <color theme="1"/>
        <rFont val="Cambria"/>
        <family val="1"/>
      </rPr>
      <t xml:space="preserve"> eligible to come under the purview of this scheme.</t>
    </r>
  </si>
  <si>
    <r>
      <t>The Application procedure</t>
    </r>
    <r>
      <rPr>
        <sz val="11"/>
        <color theme="1"/>
        <rFont val="Cambria"/>
        <family val="1"/>
      </rPr>
      <t>: Any eligible unemployed youth can apply in the prescribed form as shown in Annexure1 available (attached down below) with the Block or Municipal or Borough Self Group and Self Employment Offices and submit the filled- up application to the motivator earmarked for the area to which the applicant belongs.</t>
    </r>
  </si>
  <si>
    <r>
      <t>Motivator</t>
    </r>
    <r>
      <rPr>
        <b/>
        <sz val="11"/>
        <color theme="1"/>
        <rFont val="Cambria"/>
        <family val="1"/>
      </rPr>
      <t xml:space="preserve"> </t>
    </r>
    <r>
      <rPr>
        <sz val="11"/>
        <color theme="1"/>
        <rFont val="Cambria"/>
        <family val="1"/>
      </rPr>
      <t>means a person or a group of persons or an organization not being prospective entrepreneur under the scheme and engaged as such to motivate and assist the prospective entrepreneurs to avail of the scheme provide guidance for appropriate implementation of the project and play decisive role in motivating the beneficiaries to repay the loan.</t>
    </r>
  </si>
  <si>
    <r>
      <t>Funding Pattern</t>
    </r>
    <r>
      <rPr>
        <sz val="11"/>
        <color theme="1"/>
        <rFont val="Cambria"/>
        <family val="1"/>
      </rPr>
      <t>—The State Government shall provide a subsidy or grant of 20% of the project cost, subject to a maximum of one lakh only in case of individual schemes and a maximum of two lakhs fifty thousand only in case of group scheme (Atma Samman).</t>
    </r>
  </si>
  <si>
    <r>
      <t>Disbursement of loan</t>
    </r>
    <r>
      <rPr>
        <sz val="11"/>
        <color theme="1"/>
        <rFont val="Cambria"/>
        <family val="1"/>
      </rPr>
      <t>-On receipt of Grant Subsidy and the entrepreneur’s contribution the Bank or WBFC or any other financial institution shall arrange to disburse the amount to the entrepreneur in accordance with disbursement schedule and inform the District Self Help Group and Self Employment Officer in prescribed Form.</t>
    </r>
  </si>
  <si>
    <r>
      <t>Training</t>
    </r>
    <r>
      <rPr>
        <sz val="11"/>
        <color theme="1"/>
        <rFont val="Cambria"/>
        <family val="1"/>
      </rPr>
      <t>—The Department may arrange vocational training for the unemployment youth as and when necessary to impart needed skills for successful implementation of projects under the scheme.</t>
    </r>
  </si>
  <si>
    <r>
      <t>Interest</t>
    </r>
    <r>
      <rPr>
        <u/>
        <sz val="11"/>
        <color rgb="FF0070C0"/>
        <rFont val="Cambria"/>
        <family val="1"/>
      </rPr>
      <t>-</t>
    </r>
    <r>
      <rPr>
        <sz val="11"/>
        <color theme="1"/>
        <rFont val="Cambria"/>
        <family val="1"/>
      </rPr>
      <t>The interest chargeable on the bank loan shall be prevailing publicized rate of interest of the Bank WBFC or FI (Financial Institution) as may be decided by the Bank from time to time.</t>
    </r>
  </si>
  <si>
    <r>
      <t>Recovery of Loan</t>
    </r>
    <r>
      <rPr>
        <sz val="11"/>
        <color theme="1"/>
        <rFont val="Cambria"/>
        <family val="1"/>
      </rPr>
      <t>—Any demand arising out of non recovery of loan or default in repayment of the loan under this scheme shall be treated as a Public Demand within the meaning of the Public Demand Recovery.</t>
    </r>
  </si>
  <si>
    <r>
      <t>Repayment of Loan</t>
    </r>
    <r>
      <rPr>
        <sz val="11"/>
        <color theme="1"/>
        <rFont val="Cambria"/>
        <family val="1"/>
      </rPr>
      <t>—The bank or WBFC or the financial institution shall determine the period of initial moratorium and repayment of loans depending upon the profitability of the project.</t>
    </r>
  </si>
  <si>
    <t>No. of Cases  Sponsored 
( since 2008-09)</t>
  </si>
  <si>
    <t>4,17,56,093</t>
  </si>
  <si>
    <t>Subsidy  in Sanctioned Cases 
( in Rs.)</t>
  </si>
  <si>
    <t>Total Project  cost of Sanctioned Caes</t>
  </si>
  <si>
    <t>No. of Cases  Sancationed 
(since 2008-09)</t>
  </si>
  <si>
    <t>68,94,276</t>
  </si>
  <si>
    <t>18,92,964</t>
  </si>
  <si>
    <t>Recovery of Loan (in Rs.)</t>
  </si>
  <si>
    <t>Subsidy Released</t>
  </si>
  <si>
    <t>Amount of  Subsidy Released</t>
  </si>
  <si>
    <t>30,32,372</t>
  </si>
  <si>
    <t>Attachment of Attya Maryada &amp; Attaya Sanman  Application Form</t>
  </si>
  <si>
    <t>****</t>
  </si>
  <si>
    <t xml:space="preserve">Social Audit Completed in  Sansad </t>
  </si>
  <si>
    <t>50 Nos.</t>
  </si>
  <si>
    <t>41:59</t>
  </si>
  <si>
    <t>Mid Day Meal ( MDM)</t>
  </si>
  <si>
    <t>Non Govt. Primary</t>
  </si>
  <si>
    <t>Upper Primary</t>
  </si>
  <si>
    <t>H)</t>
  </si>
  <si>
    <r>
      <t xml:space="preserve">Total Voter under 285 Suri AC 
( </t>
    </r>
    <r>
      <rPr>
        <i/>
        <sz val="11"/>
        <color theme="1"/>
        <rFont val="Cambria"/>
        <family val="1"/>
        <scheme val="major"/>
      </rPr>
      <t>including Suri Municipality)</t>
    </r>
  </si>
  <si>
    <t>Total -   1,10,148</t>
  </si>
  <si>
    <t>Male- 57434       Female-52714</t>
  </si>
  <si>
    <t xml:space="preserve">Block Profile </t>
  </si>
  <si>
    <t>Criteria of  Mid Day Meal ( Cooked)</t>
  </si>
  <si>
    <t>Student from Class-I to Class- VIII in Government, Local Body and Govt. aided Schools, SSKs, MSKs, Madrasa, NCLP run schools</t>
  </si>
  <si>
    <t>No. of  Educational Instituion where running Cooked MDM successfully</t>
  </si>
  <si>
    <t>Purpose of  Mid Day Meal ( Cooked)</t>
  </si>
  <si>
    <t>A) Improving  the nurtrituional status of children in Class I to ClassVIII</t>
  </si>
  <si>
    <t>B) Encouraging poor children belonging to disadvantages section to attend school more regularly and help them concentrate on classroom activities.</t>
  </si>
  <si>
    <t>Attachment of  School List</t>
  </si>
  <si>
    <t>15.538 sqkm</t>
  </si>
  <si>
    <t>114 Nos.</t>
  </si>
  <si>
    <t>attachment</t>
  </si>
  <si>
    <t xml:space="preserve">Total Population ( as per census 2011)
 </t>
  </si>
  <si>
    <t>Total  Household (As Per Rural House Hold Survey)</t>
  </si>
  <si>
    <t>10Nos.</t>
  </si>
  <si>
    <t>Evacuation Plan</t>
  </si>
  <si>
    <t>Name of section</t>
  </si>
  <si>
    <t>Officials associated with the section</t>
  </si>
  <si>
    <t>Brief overview of functions of the section</t>
  </si>
  <si>
    <t>Establishment &amp; Accounts</t>
  </si>
  <si>
    <t>All matters relating to establishment  &amp; accounts</t>
  </si>
  <si>
    <t>Panchayat &amp; Rural Development</t>
  </si>
  <si>
    <t>All programmes of Panchayat &amp; Rural Development Department</t>
  </si>
  <si>
    <t>MIS</t>
  </si>
  <si>
    <t>Election</t>
  </si>
  <si>
    <t>All works relating to electoral roll and election</t>
  </si>
  <si>
    <t>Social Welfare</t>
  </si>
  <si>
    <t>Old Age Pension, Widow Pension,  Disability pension and other programmes under Social Welfare Department</t>
  </si>
  <si>
    <t>Disaster Management</t>
  </si>
  <si>
    <t>Disaster management, Normal GR, Special GR, distribution of relief materials and other programmes of Disaster management department</t>
  </si>
  <si>
    <t>Small Savings</t>
  </si>
  <si>
    <t>All works relating to small savings</t>
  </si>
  <si>
    <t>Minimum Wage</t>
  </si>
  <si>
    <t>SASPSUW &amp; other programmes under Labour Welfare department</t>
  </si>
  <si>
    <t>Cottage &amp; Small Scale Industries</t>
  </si>
  <si>
    <t>Implementation of PMEGP &amp; other programmes relating to development of cottage &amp; small scale industries</t>
  </si>
  <si>
    <t>Minority</t>
  </si>
  <si>
    <t>MSDP, minority scholarships and other programmes of Minority affairs department</t>
  </si>
  <si>
    <t>Backward Classes Welfare</t>
  </si>
  <si>
    <t>Issuance of SC, ST, OBC certificate, disbursement of ST pensions, book grants, hostel grants and all other issues relating to backward classes welfare</t>
  </si>
  <si>
    <t>Implementation of MGNREGS</t>
  </si>
  <si>
    <t>MDM</t>
  </si>
  <si>
    <t>Implementation of cooked mid day meal programme</t>
  </si>
  <si>
    <t>Mass Education &amp; Literacy</t>
  </si>
  <si>
    <t>SSK MSK related issues, Sakshar Bharat Mission and other literacy related works</t>
  </si>
  <si>
    <t>Block Plan</t>
  </si>
  <si>
    <t>Preparation of Annual Plan, Annual Action Plan, BEUP, MPLADS, PUP and other schemes of Development &amp; Planning Department</t>
  </si>
  <si>
    <t>RWS</t>
  </si>
  <si>
    <t>Agri Irrigation</t>
  </si>
  <si>
    <t>Departmental works</t>
  </si>
  <si>
    <t>SGSY</t>
  </si>
  <si>
    <t>SGSY, SAHAY &amp; related works</t>
  </si>
  <si>
    <t>Residential &amp; Income Certificate</t>
  </si>
  <si>
    <t>Issuance of residential &amp; income certificate</t>
  </si>
  <si>
    <t>Public Grievance &amp; Right To Information</t>
  </si>
  <si>
    <t>Redressal of public grievances and to act as SPIO under RTI</t>
  </si>
  <si>
    <t>SHG &amp; SE</t>
  </si>
  <si>
    <t>Implementation of BSKP, WBSSP &amp; other programmes of SHG &amp; SE department</t>
  </si>
  <si>
    <t>Suri I Panchayat Samity : Administrative Structure &amp; Function</t>
  </si>
  <si>
    <t>Name of Sthayee Samity</t>
  </si>
  <si>
    <t>Members</t>
  </si>
  <si>
    <t>Officials</t>
  </si>
  <si>
    <t>Responsibility</t>
  </si>
  <si>
    <t>Artha Sanstha</t>
  </si>
  <si>
    <t>Purta Karya</t>
  </si>
  <si>
    <t>Krishi Sech</t>
  </si>
  <si>
    <t>Siksha Sanskriti</t>
  </si>
  <si>
    <t>Janaswastha</t>
  </si>
  <si>
    <t>Kshudra Silpa Bidyut -O- achiracharit sakti</t>
  </si>
  <si>
    <t>Ban-o-Bhumi</t>
  </si>
  <si>
    <t>Matsya- O- Prani</t>
  </si>
  <si>
    <t>Sishu-o-Nari Unnayan Samaj Kalyan -O- Tran</t>
  </si>
  <si>
    <t>Khadya-o-Sarbaraha</t>
  </si>
  <si>
    <t xml:space="preserve"> Jt Block Development Officer &amp; Drawing &amp; Disbursing Officer                </t>
  </si>
  <si>
    <t>Accountant cum Head Clerk</t>
  </si>
  <si>
    <t>UDA(PS) &amp; Accounts Clerk in Charge</t>
  </si>
  <si>
    <t>OCM, RLI &amp; Correspondence Clerk in Charge</t>
  </si>
  <si>
    <t>Cashier cum Store Keeper</t>
  </si>
  <si>
    <t>Orderly Peon to BDO</t>
  </si>
  <si>
    <t>Office Peon</t>
  </si>
  <si>
    <t>Night guard</t>
  </si>
  <si>
    <t>Suri I Development Block :    Administrative structure &amp; function :</t>
  </si>
  <si>
    <t>SAE(RWP)</t>
  </si>
  <si>
    <t>Panchayat Peon</t>
  </si>
  <si>
    <t>Panchayat Development Officer</t>
  </si>
  <si>
    <t>OC, Election &amp; BDMO</t>
  </si>
  <si>
    <t>OCM, RLI</t>
  </si>
  <si>
    <t>Election Clerk</t>
  </si>
  <si>
    <t>Asst OCM, RLI</t>
  </si>
  <si>
    <t>BDMO</t>
  </si>
  <si>
    <t>LDC (Relief)</t>
  </si>
  <si>
    <t>Peon (Relief)</t>
  </si>
  <si>
    <t>Savings Development Officer</t>
  </si>
  <si>
    <t>Minimum Wage Inspector</t>
  </si>
  <si>
    <t>Computer Assistant</t>
  </si>
  <si>
    <t>IDO</t>
  </si>
  <si>
    <t>1. Nirmalya Mukhopadhyay</t>
  </si>
  <si>
    <t>2. Jayashree Pramanik</t>
  </si>
  <si>
    <t>1. Apurba Sarkar</t>
  </si>
  <si>
    <t>1. Abdus Sattar</t>
  </si>
  <si>
    <t>3. Harinarayan Das</t>
  </si>
  <si>
    <t>2. Shiuli Nath</t>
  </si>
  <si>
    <t>1. Nirmalya Majumdar</t>
  </si>
  <si>
    <t>UDC(BP)</t>
  </si>
  <si>
    <t>2. Samar Sinha</t>
  </si>
  <si>
    <t xml:space="preserve"> Inspector, BCW</t>
  </si>
  <si>
    <t>Addl Inspector, BCW</t>
  </si>
  <si>
    <t xml:space="preserve">2. Dhirendra Nath Das </t>
  </si>
  <si>
    <t xml:space="preserve">3. Firoz Hussain </t>
  </si>
  <si>
    <t xml:space="preserve">4. Swarup Roy </t>
  </si>
  <si>
    <t xml:space="preserve">6. Prasanta Mudi </t>
  </si>
  <si>
    <t xml:space="preserve">7. Pradip Sarkar </t>
  </si>
  <si>
    <t xml:space="preserve">8. Imdadul Haque </t>
  </si>
  <si>
    <t xml:space="preserve">9. Sri Debnath Das </t>
  </si>
  <si>
    <t xml:space="preserve">1. Swapan Banerjee </t>
  </si>
  <si>
    <t xml:space="preserve">2. Anindya Biswas </t>
  </si>
  <si>
    <t xml:space="preserve">3. Joynath Das </t>
  </si>
  <si>
    <t xml:space="preserve">1. Nirmalya Majumdar </t>
  </si>
  <si>
    <t xml:space="preserve">2. Tapas Das </t>
  </si>
  <si>
    <t xml:space="preserve">2. Rabindra Nath Biswas </t>
  </si>
  <si>
    <t xml:space="preserve">3. Ashoke Mukherjee  </t>
  </si>
  <si>
    <t>1. Somenath Das</t>
  </si>
  <si>
    <t xml:space="preserve">2. Monoranjan Das </t>
  </si>
  <si>
    <t>1. Anindya Biswas PDO &amp; Secretary</t>
  </si>
  <si>
    <t>2. Sanjib Saha Dy Secretary</t>
  </si>
  <si>
    <t>3. Firoz Hussain UDA(PS)</t>
  </si>
  <si>
    <t>4. Dipankar  Roy  Cashier &amp; Store Keeper</t>
  </si>
  <si>
    <t>5. Sanjoy Paul DEO</t>
  </si>
  <si>
    <t>6. Dulal Das Peon</t>
  </si>
  <si>
    <r>
      <t>Schematic works under 13</t>
    </r>
    <r>
      <rPr>
        <vertAlign val="superscript"/>
        <sz val="11"/>
        <color theme="1"/>
        <rFont val="Cambria"/>
        <family val="1"/>
        <scheme val="major"/>
      </rPr>
      <t>th</t>
    </r>
    <r>
      <rPr>
        <sz val="11"/>
        <color theme="1"/>
        <rFont val="Cambria"/>
        <family val="1"/>
        <scheme val="major"/>
      </rPr>
      <t xml:space="preserve"> FC, 3</t>
    </r>
    <r>
      <rPr>
        <vertAlign val="superscript"/>
        <sz val="11"/>
        <color theme="1"/>
        <rFont val="Cambria"/>
        <family val="1"/>
        <scheme val="major"/>
      </rPr>
      <t>rd</t>
    </r>
    <r>
      <rPr>
        <sz val="11"/>
        <color theme="1"/>
        <rFont val="Cambria"/>
        <family val="1"/>
        <scheme val="major"/>
      </rPr>
      <t xml:space="preserve"> SFC, BRGF, PUP and other available funds</t>
    </r>
  </si>
  <si>
    <r>
      <t>Schematic works under 13</t>
    </r>
    <r>
      <rPr>
        <vertAlign val="superscript"/>
        <sz val="11"/>
        <color theme="1"/>
        <rFont val="Cambria"/>
        <family val="1"/>
        <scheme val="major"/>
      </rPr>
      <t>th</t>
    </r>
    <r>
      <rPr>
        <sz val="11"/>
        <color theme="1"/>
        <rFont val="Cambria"/>
        <family val="1"/>
        <scheme val="major"/>
      </rPr>
      <t xml:space="preserve"> FC, 3</t>
    </r>
    <r>
      <rPr>
        <vertAlign val="superscript"/>
        <sz val="11"/>
        <color theme="1"/>
        <rFont val="Cambria"/>
        <family val="1"/>
        <scheme val="major"/>
      </rPr>
      <t>rd</t>
    </r>
    <r>
      <rPr>
        <sz val="11"/>
        <color theme="1"/>
        <rFont val="Cambria"/>
        <family val="1"/>
        <scheme val="major"/>
      </rPr>
      <t xml:space="preserve"> SFC, BRGF, PUP and other available funds &amp; works relating to provision of safe drinking water</t>
    </r>
  </si>
  <si>
    <t xml:space="preserve">3. Dhananjoy Chowdhury </t>
  </si>
  <si>
    <t xml:space="preserve">4. Mosaddeq Hossain Asst </t>
  </si>
  <si>
    <t>OCM ,RLI</t>
  </si>
  <si>
    <t xml:space="preserve">1. Gopinath Sengupta </t>
  </si>
  <si>
    <t>Asst Programme Officer</t>
  </si>
  <si>
    <t xml:space="preserve">2. Nandagopal Das </t>
  </si>
  <si>
    <t>Block Social Audit Co ordinator</t>
  </si>
  <si>
    <t xml:space="preserve">3. Sourav Paul </t>
  </si>
  <si>
    <t>Programme Assistant</t>
  </si>
  <si>
    <t xml:space="preserve">1. Pannalal Chatterjee </t>
  </si>
  <si>
    <t>Supervisor</t>
  </si>
  <si>
    <t xml:space="preserve">2. Sasthi Kumar Das </t>
  </si>
  <si>
    <t>Asst. Accountant</t>
  </si>
  <si>
    <t xml:space="preserve">1. Arun Kumar Sen </t>
  </si>
  <si>
    <t>EOME</t>
  </si>
  <si>
    <t xml:space="preserve">2. Ranju Sharma </t>
  </si>
  <si>
    <t>Academic Supervisor</t>
  </si>
  <si>
    <t xml:space="preserve">3. Jagannath Pan </t>
  </si>
  <si>
    <t>Co ordinator Sakshar Bharat Mission</t>
  </si>
  <si>
    <t xml:space="preserve">1. Monoj Banerjee </t>
  </si>
  <si>
    <t>SAE(BP)</t>
  </si>
  <si>
    <t xml:space="preserve">2. Samar Sinha </t>
  </si>
  <si>
    <t xml:space="preserve">1. Arijit Ghosh </t>
  </si>
  <si>
    <t>SAE(RWS)</t>
  </si>
  <si>
    <t xml:space="preserve">2. Dilip Bal </t>
  </si>
  <si>
    <t>Mechanic(RWS)</t>
  </si>
  <si>
    <t xml:space="preserve">3. Asish Biswas </t>
  </si>
  <si>
    <t xml:space="preserve">1. Subhankar Dutta </t>
  </si>
  <si>
    <t>SAE(AI)</t>
  </si>
  <si>
    <t xml:space="preserve">1.Pritilata Sarkar </t>
  </si>
  <si>
    <t>Woman Development Officer</t>
  </si>
  <si>
    <t xml:space="preserve">2. Mitali Das </t>
  </si>
  <si>
    <t>Lady Gram Sevika</t>
  </si>
  <si>
    <t xml:space="preserve">3. Tripti Garain </t>
  </si>
  <si>
    <t xml:space="preserve">1. Dilip Bal </t>
  </si>
  <si>
    <t xml:space="preserve">2. Asish Biswas </t>
  </si>
  <si>
    <t xml:space="preserve">1. Debottam Dutta Chowdhury </t>
  </si>
  <si>
    <t>Jt Block Development Officer</t>
  </si>
  <si>
    <t>Supervisor SHG &amp; SE</t>
  </si>
  <si>
    <t>1.Sanjoy Paul</t>
  </si>
  <si>
    <t>DEO</t>
  </si>
  <si>
    <t>1. Ashis Banerjee</t>
  </si>
  <si>
    <t>BWO in charge</t>
  </si>
  <si>
    <t>All kinds of software related works including RHS, MGNREGA,Election,MDM ,SGSY and all types of Report- Returns</t>
  </si>
  <si>
    <t xml:space="preserve">Disaster Management  </t>
  </si>
  <si>
    <t>Name of the RLI Scheme</t>
  </si>
  <si>
    <t>Kankhuria I</t>
  </si>
  <si>
    <t>Kankhuria II</t>
  </si>
  <si>
    <t>Kankhuria III</t>
  </si>
  <si>
    <t>Dhalla</t>
  </si>
  <si>
    <t>Changuria II</t>
  </si>
  <si>
    <t>Muramath</t>
  </si>
  <si>
    <t>Vacant</t>
  </si>
  <si>
    <t>Bansjore</t>
  </si>
  <si>
    <t>Kukhudihi</t>
  </si>
  <si>
    <t>Khatanga I</t>
  </si>
  <si>
    <t>Khatanga II</t>
  </si>
  <si>
    <t>Raipur</t>
  </si>
  <si>
    <t>Ajoypur</t>
  </si>
  <si>
    <t>Panchpakuria</t>
  </si>
  <si>
    <t>2. Md Nasiruddin</t>
  </si>
  <si>
    <t>Designation of officials</t>
  </si>
  <si>
    <t>Name  of officials</t>
  </si>
  <si>
    <t>1. Dhananjoy Chowdhury</t>
  </si>
  <si>
    <t>2. Arunava Ghosh</t>
  </si>
  <si>
    <t>1. Saukat Ali</t>
  </si>
  <si>
    <t>2. Kalyan Sarkar</t>
  </si>
  <si>
    <t>1. Abdus Salam</t>
  </si>
  <si>
    <t>2. Ashoke Mukherjee</t>
  </si>
  <si>
    <t>1. Aminul Islam</t>
  </si>
  <si>
    <t>2. Rabindra Nath Biswas</t>
  </si>
  <si>
    <t>1. Subhas Sarkar</t>
  </si>
  <si>
    <t>2. Sanjoy Kr Das</t>
  </si>
  <si>
    <t>1. Md Haresh</t>
  </si>
  <si>
    <t>2. Samapta Mondal</t>
  </si>
  <si>
    <t>1. Kinu Chandra Das</t>
  </si>
  <si>
    <t>1. Swarup Roy</t>
  </si>
  <si>
    <t>2. Swarup Dey</t>
  </si>
  <si>
    <t>1. Firoz Khan</t>
  </si>
  <si>
    <t xml:space="preserve">1. Md Mosadek Hossain </t>
  </si>
  <si>
    <t>2. Anisur Rahaman</t>
  </si>
  <si>
    <t>1. Nikhil Mondal</t>
  </si>
  <si>
    <t>Operator Cum Mechanic</t>
  </si>
  <si>
    <t>Assistant Operator</t>
  </si>
  <si>
    <t>Vaccant</t>
  </si>
  <si>
    <t>Name of  Department</t>
  </si>
  <si>
    <t>RLI  Section</t>
  </si>
  <si>
    <t>RIVER LIFT IRRIGATION SCHEMES 
( RLI)</t>
  </si>
  <si>
    <t>Sabhapati –</t>
  </si>
  <si>
    <t>Sahakari Sabhapati –</t>
  </si>
  <si>
    <t>Jt Executive Officer -</t>
  </si>
  <si>
    <t xml:space="preserve">Executive Officer – </t>
  </si>
  <si>
    <t>Smt. Tapati Das</t>
  </si>
  <si>
    <t>Officials attached to
 Suri I Panchayat Samity</t>
  </si>
  <si>
    <t>Designation  with charge</t>
  </si>
  <si>
    <t>1. Sathi Chakraborty</t>
  </si>
  <si>
    <t xml:space="preserve">This is an employment guranteed as well as demand oriented programme which provide atleast 100 days works to the rural House Hold. So a Job Card holder willing to work must submit form 4 (a) to the concerned PIA.
</t>
  </si>
  <si>
    <t xml:space="preserve"> The Scheme also provides creation of durable asset and strengthening the livelihood resource base of the rural poor.</t>
  </si>
  <si>
    <t>Harvesting of water by excavation of new and re-excavation of derelict tank, flood control, plantation, irrigation canal and development of all weather roads are special features of this scheme. Development of land for IAY, SC ,ST, BPL beneficiaries and  other durable community assets adds special features to this scheme.</t>
  </si>
  <si>
    <t>Scheme Purpose:-</t>
  </si>
  <si>
    <t xml:space="preserve">Eligibility Criteria for Job </t>
  </si>
  <si>
    <t>To Provide 100 days employment to every Rural House Hold whose adult member, by appplication, volunteer to do unskilled manual work .
Present wages rate unskilled Rs.130=00 semi skilled Rs.195=00 and skilled worker Rs.260=00.</t>
  </si>
  <si>
    <t xml:space="preserve">How to apply </t>
  </si>
  <si>
    <t>To apply for registration in form I to the GP for Job Card * Such registered family on getting Job Card  may apply for work in form 4(a) * GP is bound to provide work within specific time.* Job Card  holder shall be eligible to get unemployment allowance as per guidelines.</t>
  </si>
  <si>
    <t>Intensive Publicity including publicity of rights &amp; duties of the Job Card holders and regular Social Audit of the schemes may improve the present status and mode of work of the programme as as whole.</t>
  </si>
  <si>
    <t>Publicity &amp; Audit</t>
  </si>
  <si>
    <t>Foreward</t>
  </si>
  <si>
    <t>Sabhapati</t>
  </si>
  <si>
    <t>Block Profile</t>
  </si>
  <si>
    <t>Administrative Structure</t>
  </si>
  <si>
    <t>MGNREGS</t>
  </si>
  <si>
    <t>Important Schemes</t>
  </si>
  <si>
    <t>IAY</t>
  </si>
  <si>
    <t>NFBS</t>
  </si>
  <si>
    <t>NSAP Pension</t>
  </si>
  <si>
    <t>AABY</t>
  </si>
  <si>
    <t>SAHAY</t>
  </si>
  <si>
    <t>IGNOAPS</t>
  </si>
  <si>
    <t>IGNWPS</t>
  </si>
  <si>
    <t>IGNDPS</t>
  </si>
  <si>
    <t xml:space="preserve">BSKP </t>
  </si>
  <si>
    <t>WBSSP</t>
  </si>
  <si>
    <t>SBM</t>
  </si>
  <si>
    <t>Health &amp; Sanitation</t>
  </si>
  <si>
    <t>Other Line Department</t>
  </si>
  <si>
    <t>ADA</t>
  </si>
  <si>
    <t>BL&amp;LRO</t>
  </si>
  <si>
    <t>Departmental Activities</t>
  </si>
  <si>
    <t>CI</t>
  </si>
  <si>
    <t>MWI</t>
  </si>
  <si>
    <t>SvDO</t>
  </si>
  <si>
    <t xml:space="preserve">SI of Schools </t>
  </si>
  <si>
    <t>Sadar Central Circle</t>
  </si>
  <si>
    <t>Sadar West Circle</t>
  </si>
  <si>
    <t>CDPO</t>
  </si>
  <si>
    <t>BMOH</t>
  </si>
  <si>
    <t>BYO</t>
  </si>
  <si>
    <t>BWO</t>
  </si>
  <si>
    <t>RTI</t>
  </si>
  <si>
    <t>Report- Returns</t>
  </si>
  <si>
    <t>Importanat  Contact No.</t>
  </si>
  <si>
    <t>Notice Board</t>
  </si>
  <si>
    <t>News</t>
  </si>
  <si>
    <t>Dowload Section</t>
  </si>
  <si>
    <t>BCW</t>
  </si>
  <si>
    <t>NSAP Pension List</t>
  </si>
  <si>
    <t>RHS/ BPL List</t>
  </si>
  <si>
    <t>Tender Form</t>
  </si>
  <si>
    <t>BCW  Form</t>
  </si>
  <si>
    <t>Social Welfare Pension List</t>
  </si>
  <si>
    <t>IAY Permanent wait list</t>
  </si>
  <si>
    <t>Minority Scholarship Form</t>
  </si>
  <si>
    <t>Minority  Loan Form</t>
  </si>
  <si>
    <t>Election Form</t>
  </si>
  <si>
    <t>Residential/ Income/Life  Certificate Form</t>
  </si>
  <si>
    <t>Places of Interest</t>
  </si>
  <si>
    <t>Patharchapri ( Nagari GP)</t>
  </si>
  <si>
    <t>Bhandirbon  ( Khatanga GP)</t>
  </si>
  <si>
    <t>BhuinphoreTala ( Karidhya GP)</t>
  </si>
  <si>
    <t>Tilpara Water Reservoir 
( Tilpara GP)</t>
  </si>
  <si>
    <t>Success Stories</t>
  </si>
  <si>
    <t>Photo Gallery</t>
  </si>
  <si>
    <t>Block Seup</t>
  </si>
  <si>
    <t>Panchayat Samity  Setup</t>
  </si>
  <si>
    <t>Gram Panchayat  Setup</t>
  </si>
  <si>
    <t>BSKP Loan Form</t>
  </si>
  <si>
    <t>WBSSP Report Form</t>
  </si>
  <si>
    <t>Archaive</t>
  </si>
  <si>
    <t>Govt. Order</t>
  </si>
  <si>
    <t>Block/PS Office Order</t>
  </si>
  <si>
    <t>Form Download</t>
  </si>
  <si>
    <t>List Download</t>
  </si>
  <si>
    <t>List of BDOs</t>
  </si>
  <si>
    <t>List  of Sabhapatis</t>
  </si>
  <si>
    <t>BL&amp;LRO Related Form</t>
  </si>
  <si>
    <t>Widow Pension Form</t>
  </si>
  <si>
    <t>Disable Pension Form</t>
  </si>
  <si>
    <t>BLDO</t>
  </si>
  <si>
    <t>Sl No</t>
  </si>
  <si>
    <t>From</t>
  </si>
  <si>
    <t>To</t>
  </si>
  <si>
    <t xml:space="preserve"> Name of BDO/EOs</t>
  </si>
  <si>
    <t xml:space="preserve"> Name of Sabhapatis</t>
  </si>
  <si>
    <t>List of  Sabhapatis under Sur-I Panchayat Samity</t>
  </si>
  <si>
    <t>Sri K.P. Mondal</t>
  </si>
  <si>
    <t>W.B.C.S.</t>
  </si>
  <si>
    <t>Sri Sabyaschi Sen</t>
  </si>
  <si>
    <t>I.A.S.</t>
  </si>
  <si>
    <t xml:space="preserve">Sri Debiprasad Patra </t>
  </si>
  <si>
    <t>Sri Milan Kr. Paramanik</t>
  </si>
  <si>
    <t>Sri Pratick Ch. Chakraborty</t>
  </si>
  <si>
    <t xml:space="preserve">Sri Barid Baran Mukherjee </t>
  </si>
  <si>
    <t>Sri Debasis Das</t>
  </si>
  <si>
    <t>Sri Saikat Kr. Dutta</t>
  </si>
  <si>
    <t>Sri Sadhan Ch. Guin</t>
  </si>
  <si>
    <t>Smt. Subha Lakshmi Basu</t>
  </si>
  <si>
    <t>Sri Biswa Ranjan Mukherjee</t>
  </si>
  <si>
    <t>Sri Amalendu Goswami</t>
  </si>
  <si>
    <t>Smt. Nurzahat Jainab</t>
  </si>
  <si>
    <t>Smt.Srabanti Das</t>
  </si>
  <si>
    <t xml:space="preserve">Sri Binayak Ghosh Choudhury </t>
  </si>
  <si>
    <t>30.06.1978</t>
  </si>
  <si>
    <t>25.09.1978</t>
  </si>
  <si>
    <t>15.12.1978</t>
  </si>
  <si>
    <t>25.01.1979</t>
  </si>
  <si>
    <t>06.11.1980</t>
  </si>
  <si>
    <t>08.01.1981</t>
  </si>
  <si>
    <t>08.05.1986</t>
  </si>
  <si>
    <t>01.07.1991</t>
  </si>
  <si>
    <t>04.09.1992</t>
  </si>
  <si>
    <t>20.10.1997</t>
  </si>
  <si>
    <t>23.04.2002</t>
  </si>
  <si>
    <t>17.02.2004</t>
  </si>
  <si>
    <t>19.09.2005</t>
  </si>
  <si>
    <t>25.12.2005</t>
  </si>
  <si>
    <t>01.10.2007</t>
  </si>
  <si>
    <t>10.11.2009</t>
  </si>
  <si>
    <t>30.12.2009</t>
  </si>
  <si>
    <t>08.08.2010</t>
  </si>
  <si>
    <t>30.04.2010</t>
  </si>
  <si>
    <t xml:space="preserve">Till date </t>
  </si>
  <si>
    <t>Sri Dhatri Saran Sinha</t>
  </si>
  <si>
    <t>Sri Asit Roy</t>
  </si>
  <si>
    <t>Smt. Kamala Chattraj</t>
  </si>
  <si>
    <t>17.08.1983</t>
  </si>
  <si>
    <t>18.08.1983</t>
  </si>
  <si>
    <t>01.07.2008</t>
  </si>
  <si>
    <t>02.07.2008</t>
  </si>
  <si>
    <t>29.07.2009</t>
  </si>
  <si>
    <t>30.07.2009</t>
  </si>
  <si>
    <t>19.08.2009</t>
  </si>
  <si>
    <t>20.08.2009</t>
  </si>
  <si>
    <t>Till date</t>
  </si>
  <si>
    <t>23.08.2011</t>
  </si>
  <si>
    <t>24.08.2011</t>
  </si>
  <si>
    <t>18.09.2011</t>
  </si>
  <si>
    <t>19.09.2011</t>
  </si>
  <si>
    <t xml:space="preserve">1. Sanjit Kr. De </t>
  </si>
  <si>
    <t>2. Sanjit Kr. Dey</t>
  </si>
  <si>
    <t>Sri Shaktipada Banerjee</t>
  </si>
  <si>
    <t>Sri Chand Gopal Mondal</t>
  </si>
  <si>
    <t>Sri Nisith Kr. Gunguly</t>
  </si>
  <si>
    <t>BDO in Charge</t>
  </si>
  <si>
    <t>Smt.Rekha Roy</t>
  </si>
  <si>
    <t>Smt.Sikha Mahara</t>
  </si>
  <si>
    <t>Smt.Tapti Das</t>
  </si>
  <si>
    <t>http://www.wbmdfc.org</t>
  </si>
  <si>
    <t>http://www.wbprd.gov.in</t>
  </si>
  <si>
    <t>http://www.wbprd.org/rhs</t>
  </si>
  <si>
    <t>http://www.wbfin.nic.in</t>
  </si>
  <si>
    <t>http://www.birbhum.nic.in</t>
  </si>
  <si>
    <t>Important Hyperlink</t>
  </si>
  <si>
    <t>http://www.wbsrdagpms.org</t>
  </si>
  <si>
    <t>Sri Binayak Ghosh Choudhury, WBCS(Executive)</t>
  </si>
  <si>
    <t>Smt. Sathi Chakraborty</t>
  </si>
  <si>
    <t>List of BDO/ Executive Officers under 
Suri-I Development Block / Panchayat Samity</t>
  </si>
  <si>
    <t>1) Every willing worker subject to the elighbility criteria employed in any industry under un-organised sector and in any of the self employed occupations.
2) All wage employed and self employed workers between age of 18 and 60 years in the un-organised sector having an average family income of not more than Rs. 6500/- per month are eligible to be covered under the Scheme.</t>
  </si>
  <si>
    <t>1) All eligible workers willing to join this scheme will apply at Block Level in form-1
2) 3 copies pass port photographs duly attested one of which to be affixed on the application form by a member of P.S., or the prodhan of G.P. Three copies of photograph attached to the application should be attested on the frontby same person who is certifying the eligibility of the applicant.
3) Any documents in support of age proof.</t>
  </si>
  <si>
    <t>State Assisted scheme of provident fund for un-organised worker (SASPFUW) is introduced in the year 2001. At present 79 of the un-organised sector and 33 of the self employed occupation are covered this scheme.</t>
  </si>
  <si>
    <t>How to apply :-</t>
  </si>
  <si>
    <t>Publicity is necessary for un-organised workers about social security scheme (SASPFUW)</t>
  </si>
  <si>
    <t>Publicity :-</t>
  </si>
  <si>
    <r>
      <t xml:space="preserve">State Assisted scheme of provident fund for un-organised worker </t>
    </r>
    <r>
      <rPr>
        <b/>
        <sz val="14"/>
        <color theme="0"/>
        <rFont val="Cambria"/>
        <family val="1"/>
        <scheme val="major"/>
      </rPr>
      <t>(SASPFUW )</t>
    </r>
  </si>
  <si>
    <t>Right To Information Act
(RTI Act)</t>
  </si>
  <si>
    <t>How to apply</t>
  </si>
  <si>
    <t>People belonging to APL  or BPL families will apply in white paper with Rs.10/- ( Rupees Ten) Stamp Paper to ask about any informations. Applicant  if belongs to BPL families will get informations without being any cost but applicant if belongs to APL  shall bear costs as lspecified in the act.</t>
  </si>
  <si>
    <t>SPIO</t>
  </si>
  <si>
    <t xml:space="preserve">Introduction </t>
  </si>
  <si>
    <r>
      <t xml:space="preserve">RTI Act has beein introduced in the year </t>
    </r>
    <r>
      <rPr>
        <b/>
        <i/>
        <sz val="11"/>
        <color rgb="FFFF0000"/>
        <rFont val="Cambria"/>
        <family val="1"/>
        <scheme val="major"/>
      </rPr>
      <t xml:space="preserve">2005. </t>
    </r>
    <r>
      <rPr>
        <b/>
        <i/>
        <sz val="11"/>
        <rFont val="Cambria"/>
        <family val="1"/>
        <scheme val="major"/>
      </rPr>
      <t>Any Citizen of India is given a right to know about detial information regarding funcations Govt./ Semi Govt./ Quasi Govt. Instituions / PRI Bodies.</t>
    </r>
  </si>
  <si>
    <t>As per the of  Government of West Bengal , JT. BDO's are functioning as SPIO  if the matter is related  with other than PRI bodies  and PDO shall act as SPIO  if the matter is related with PRI bodies at Block/ Panchayat Samity level.                     Applicants are informed  as and when required under  the provision of the act in the office.</t>
  </si>
  <si>
    <t>Concept of Primary health care along with Total Sanitation Campaign has been intoroduced  in the year 2002. The main objective  of the programme to save people from the attack  of different bacterias and viruses  like Coli which may bring colon and stomach cancer if people do open  delegation in regular basis  without using  proper santiation. In two direction  low cost santiation has been launced and costructed  at the homes of vilalges by Sanitation Mart.</t>
  </si>
  <si>
    <t>Eligibility</t>
  </si>
  <si>
    <t>People shall apply to the Sanitary Mart by paying Rs.300/- and register their name for construction of house hold  sanitation at their houses. People belonging to to BPL families shall get subsidy of  previously Rs.2200/- and now Rs.3200/- to construct house hold latrines.                                                                     However,  people belonging to the APL families shall bear the cost of Rs.3500/- at present to get house hold sanitation through Sanitary Mart.</t>
  </si>
  <si>
    <t xml:space="preserve">Present status </t>
  </si>
  <si>
    <t>The target of construction of House Hold Latrines a the Block is 17,797 Nos. At  present  16157 has been installed out of the this 7314 nos. of HHL installed in BPL families  and 8843 nos. installed in APL families.                                                    However , 5000nos. of BPL families  are added with balance640 nos. of beneficiaries  and prsent target is now 5640.</t>
  </si>
  <si>
    <t>CHCMI</t>
  </si>
  <si>
    <t>Comprehensive Health Care Management Initiatives
(CHCMI)</t>
  </si>
  <si>
    <t>This is named as Comprehensive Health Care Management Initiatives. This is actually a  concept  of convergence between the fucntion of line deaprtments and fucntion of PRI bodies  in health care.</t>
  </si>
  <si>
    <t>In this regard multisectoral activies are already initiated  from Panchayat Samity level to Gram Sansad Level. In every month of 04th Statusday GP Level meeting are held  in presence of Panchayat functionaries,  Health Supervisors, ICDS Supervisors etc. and grass root plannings are adoped here to work properly in the health care managment.</t>
  </si>
  <si>
    <t>Presently members of Self Help Groups are trained in the Block and one SHG is funding at respective Gram Sansad alongwith Health workers to cater the benefit of Primary health care to the door-step of rural people  under the block.</t>
  </si>
  <si>
    <t>Purpose of Scheme</t>
  </si>
  <si>
    <t>At present  47 nos. of trained dai's are functioning at this block. Rate of institutional child birth has increased considerably  due to introduction of " Janani Suraksha Yojana Scheme".</t>
  </si>
  <si>
    <t xml:space="preserve">Block Development Officer &amp; Executive Officer </t>
  </si>
</sst>
</file>

<file path=xl/styles.xml><?xml version="1.0" encoding="utf-8"?>
<styleSheet xmlns="http://schemas.openxmlformats.org/spreadsheetml/2006/main">
  <fonts count="69">
    <font>
      <sz val="11"/>
      <color theme="1"/>
      <name val="Calibri"/>
      <family val="2"/>
      <scheme val="minor"/>
    </font>
    <font>
      <sz val="11"/>
      <color theme="1"/>
      <name val="Cambria"/>
      <family val="1"/>
    </font>
    <font>
      <sz val="11"/>
      <color theme="1"/>
      <name val="Cambria"/>
      <family val="1"/>
      <scheme val="major"/>
    </font>
    <font>
      <i/>
      <sz val="11"/>
      <color theme="1"/>
      <name val="Cambria"/>
      <family val="1"/>
      <scheme val="major"/>
    </font>
    <font>
      <b/>
      <sz val="12"/>
      <color rgb="FF3366FF"/>
      <name val="Cambria"/>
      <family val="1"/>
      <scheme val="major"/>
    </font>
    <font>
      <sz val="11"/>
      <color rgb="FF000000"/>
      <name val="Cambria"/>
      <family val="1"/>
    </font>
    <font>
      <b/>
      <sz val="11"/>
      <color theme="1"/>
      <name val="Cambria"/>
      <family val="1"/>
    </font>
    <font>
      <sz val="7"/>
      <color theme="1"/>
      <name val="Times New Roman"/>
      <family val="1"/>
    </font>
    <font>
      <b/>
      <sz val="14"/>
      <color theme="1"/>
      <name val="Calibri"/>
      <family val="2"/>
      <scheme val="minor"/>
    </font>
    <font>
      <b/>
      <u/>
      <sz val="11"/>
      <color theme="1"/>
      <name val="Cambria"/>
      <family val="1"/>
    </font>
    <font>
      <b/>
      <i/>
      <sz val="11"/>
      <color theme="1"/>
      <name val="Calibri"/>
      <family val="2"/>
      <scheme val="minor"/>
    </font>
    <font>
      <b/>
      <sz val="11"/>
      <color theme="1"/>
      <name val="Cambria"/>
      <family val="1"/>
      <scheme val="major"/>
    </font>
    <font>
      <b/>
      <i/>
      <u/>
      <sz val="11"/>
      <color theme="1"/>
      <name val="Cambria"/>
      <family val="1"/>
      <scheme val="major"/>
    </font>
    <font>
      <b/>
      <sz val="11"/>
      <color theme="1"/>
      <name val="Calibri"/>
      <family val="2"/>
      <scheme val="minor"/>
    </font>
    <font>
      <b/>
      <sz val="10"/>
      <color rgb="FF3366FF"/>
      <name val="Cambria"/>
      <family val="1"/>
      <scheme val="major"/>
    </font>
    <font>
      <b/>
      <u/>
      <sz val="20"/>
      <color theme="1"/>
      <name val="Times New Roman"/>
      <family val="1"/>
    </font>
    <font>
      <b/>
      <u/>
      <sz val="14"/>
      <color theme="1"/>
      <name val="Cambria"/>
      <family val="1"/>
    </font>
    <font>
      <b/>
      <u/>
      <sz val="12"/>
      <color theme="1"/>
      <name val="Cambria"/>
      <family val="1"/>
    </font>
    <font>
      <sz val="12"/>
      <color theme="1"/>
      <name val="Calibri"/>
      <family val="2"/>
      <scheme val="minor"/>
    </font>
    <font>
      <sz val="12"/>
      <color theme="1"/>
      <name val="Cambria"/>
      <family val="1"/>
    </font>
    <font>
      <b/>
      <u/>
      <sz val="12"/>
      <color theme="1"/>
      <name val="Cambria"/>
      <family val="1"/>
      <scheme val="major"/>
    </font>
    <font>
      <b/>
      <u/>
      <sz val="11"/>
      <color theme="1"/>
      <name val="Cambria"/>
      <family val="1"/>
      <scheme val="major"/>
    </font>
    <font>
      <b/>
      <sz val="10"/>
      <color theme="1"/>
      <name val="Cambria"/>
      <family val="1"/>
      <scheme val="major"/>
    </font>
    <font>
      <b/>
      <sz val="12"/>
      <color theme="1"/>
      <name val="Calibri"/>
      <family val="2"/>
      <scheme val="minor"/>
    </font>
    <font>
      <b/>
      <sz val="12"/>
      <color theme="1"/>
      <name val="Cambria"/>
      <family val="1"/>
      <scheme val="major"/>
    </font>
    <font>
      <b/>
      <sz val="10"/>
      <name val="Cambria"/>
      <family val="1"/>
      <scheme val="major"/>
    </font>
    <font>
      <b/>
      <sz val="9"/>
      <name val="Cambria"/>
      <family val="1"/>
      <scheme val="major"/>
    </font>
    <font>
      <sz val="11"/>
      <name val="Cambria"/>
      <family val="1"/>
      <scheme val="major"/>
    </font>
    <font>
      <b/>
      <sz val="11"/>
      <name val="Cambria"/>
      <family val="1"/>
      <scheme val="major"/>
    </font>
    <font>
      <b/>
      <sz val="12"/>
      <color theme="0"/>
      <name val="Cambria"/>
      <family val="1"/>
      <scheme val="major"/>
    </font>
    <font>
      <b/>
      <sz val="12"/>
      <name val="Cambria"/>
      <family val="1"/>
      <scheme val="major"/>
    </font>
    <font>
      <b/>
      <sz val="9"/>
      <color theme="1"/>
      <name val="Cambria"/>
      <family val="1"/>
      <scheme val="major"/>
    </font>
    <font>
      <b/>
      <sz val="14"/>
      <color theme="1"/>
      <name val="Cambria"/>
      <family val="1"/>
    </font>
    <font>
      <b/>
      <u val="double"/>
      <sz val="16"/>
      <color theme="9" tint="-0.499984740745262"/>
      <name val="Bodoni MT Black"/>
      <family val="1"/>
    </font>
    <font>
      <b/>
      <sz val="11"/>
      <color theme="9" tint="-0.499984740745262"/>
      <name val="Cambria"/>
      <family val="1"/>
    </font>
    <font>
      <b/>
      <sz val="14"/>
      <color theme="1"/>
      <name val="Times New Roman"/>
      <family val="1"/>
    </font>
    <font>
      <b/>
      <sz val="16"/>
      <color theme="9" tint="-0.499984740745262"/>
      <name val="Bodoni MT Black"/>
      <family val="1"/>
    </font>
    <font>
      <b/>
      <sz val="18"/>
      <color rgb="FF7030A0"/>
      <name val="Cambria"/>
      <family val="1"/>
    </font>
    <font>
      <b/>
      <sz val="12"/>
      <color rgb="FF7030A0"/>
      <name val="Cambria"/>
      <family val="1"/>
    </font>
    <font>
      <b/>
      <sz val="13.5"/>
      <color rgb="FF7030A0"/>
      <name val="Cambria"/>
      <family val="1"/>
    </font>
    <font>
      <b/>
      <sz val="14"/>
      <color rgb="FFFF0000"/>
      <name val="Bodoni MT Condensed"/>
      <family val="1"/>
    </font>
    <font>
      <b/>
      <sz val="14"/>
      <color rgb="FF1509B7"/>
      <name val="Bodoni MT Condensed"/>
      <family val="1"/>
    </font>
    <font>
      <sz val="11"/>
      <color rgb="FF1509B7"/>
      <name val="Bodoni MT Condensed"/>
      <family val="1"/>
    </font>
    <font>
      <b/>
      <u/>
      <sz val="11"/>
      <color rgb="FF0070C0"/>
      <name val="Cambria"/>
      <family val="1"/>
    </font>
    <font>
      <u/>
      <sz val="11"/>
      <color rgb="FF0070C0"/>
      <name val="Cambria"/>
      <family val="1"/>
    </font>
    <font>
      <b/>
      <sz val="14"/>
      <color theme="1"/>
      <name val="Cambria"/>
      <family val="1"/>
      <scheme val="major"/>
    </font>
    <font>
      <b/>
      <i/>
      <sz val="11"/>
      <color theme="1"/>
      <name val="Cambria"/>
      <family val="1"/>
      <scheme val="major"/>
    </font>
    <font>
      <b/>
      <i/>
      <sz val="12"/>
      <color theme="1"/>
      <name val="Cambria"/>
      <family val="1"/>
      <scheme val="major"/>
    </font>
    <font>
      <b/>
      <sz val="14"/>
      <color rgb="FF3366FF"/>
      <name val="Cambria"/>
      <family val="1"/>
      <scheme val="major"/>
    </font>
    <font>
      <b/>
      <i/>
      <sz val="11"/>
      <color theme="1"/>
      <name val="Cambria"/>
      <family val="1"/>
    </font>
    <font>
      <sz val="10"/>
      <color theme="1"/>
      <name val="Cambria"/>
      <family val="1"/>
      <scheme val="major"/>
    </font>
    <font>
      <vertAlign val="superscript"/>
      <sz val="11"/>
      <color theme="1"/>
      <name val="Cambria"/>
      <family val="1"/>
      <scheme val="major"/>
    </font>
    <font>
      <sz val="11"/>
      <color rgb="FF000000"/>
      <name val="Cambria"/>
      <family val="1"/>
      <scheme val="major"/>
    </font>
    <font>
      <b/>
      <i/>
      <sz val="11"/>
      <color theme="1"/>
      <name val="Bodoni MT"/>
      <family val="1"/>
    </font>
    <font>
      <b/>
      <sz val="10.5"/>
      <color theme="1"/>
      <name val="Cambria"/>
      <family val="1"/>
      <scheme val="major"/>
    </font>
    <font>
      <b/>
      <sz val="11"/>
      <color theme="1"/>
      <name val="Bodoni MT"/>
      <family val="1"/>
    </font>
    <font>
      <i/>
      <sz val="12"/>
      <color theme="1"/>
      <name val="Bodoni MT"/>
      <family val="1"/>
    </font>
    <font>
      <sz val="11"/>
      <color theme="1"/>
      <name val="Bodoni MT"/>
      <family val="1"/>
    </font>
    <font>
      <u/>
      <sz val="11"/>
      <color theme="10"/>
      <name val="Calibri"/>
      <family val="2"/>
    </font>
    <font>
      <b/>
      <sz val="10"/>
      <color rgb="FF000000"/>
      <name val="Cambria"/>
      <family val="1"/>
      <scheme val="major"/>
    </font>
    <font>
      <b/>
      <sz val="11"/>
      <color theme="0"/>
      <name val="Cambria"/>
      <family val="1"/>
      <scheme val="major"/>
    </font>
    <font>
      <b/>
      <sz val="14"/>
      <color theme="0"/>
      <name val="Cambria"/>
      <family val="1"/>
      <scheme val="major"/>
    </font>
    <font>
      <sz val="11"/>
      <color theme="0"/>
      <name val="Cambria"/>
      <family val="1"/>
      <scheme val="major"/>
    </font>
    <font>
      <b/>
      <sz val="10"/>
      <color theme="0"/>
      <name val="Cambria"/>
      <family val="1"/>
      <scheme val="major"/>
    </font>
    <font>
      <b/>
      <i/>
      <sz val="11"/>
      <color rgb="FFFF0000"/>
      <name val="Cambria"/>
      <family val="1"/>
      <scheme val="major"/>
    </font>
    <font>
      <b/>
      <i/>
      <sz val="11"/>
      <name val="Cambria"/>
      <family val="1"/>
      <scheme val="major"/>
    </font>
    <font>
      <b/>
      <sz val="14"/>
      <color theme="1"/>
      <name val="Bodoni MT"/>
      <family val="1"/>
    </font>
    <font>
      <b/>
      <i/>
      <sz val="14"/>
      <color theme="1"/>
      <name val="Cambria"/>
      <family val="1"/>
      <scheme val="major"/>
    </font>
    <font>
      <b/>
      <i/>
      <sz val="13"/>
      <color theme="1"/>
      <name val="Cambria"/>
      <family val="1"/>
      <scheme val="major"/>
    </font>
  </fonts>
  <fills count="20">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2" tint="-9.9978637043366805E-2"/>
        <bgColor indexed="64"/>
      </patternFill>
    </fill>
    <fill>
      <patternFill patternType="solid">
        <fgColor rgb="FF00FFCC"/>
        <bgColor indexed="64"/>
      </patternFill>
    </fill>
    <fill>
      <patternFill patternType="solid">
        <fgColor theme="8"/>
        <bgColor indexed="64"/>
      </patternFill>
    </fill>
    <fill>
      <patternFill patternType="solid">
        <fgColor rgb="FF00B050"/>
        <bgColor indexed="64"/>
      </patternFill>
    </fill>
    <fill>
      <patternFill patternType="solid">
        <fgColor theme="6" tint="0.39997558519241921"/>
        <bgColor indexed="64"/>
      </patternFill>
    </fill>
    <fill>
      <patternFill patternType="solid">
        <fgColor rgb="FF92D050"/>
        <bgColor indexed="64"/>
      </patternFill>
    </fill>
    <fill>
      <patternFill patternType="solid">
        <fgColor theme="9" tint="0.59999389629810485"/>
        <bgColor indexed="64"/>
      </patternFill>
    </fill>
    <fill>
      <patternFill patternType="solid">
        <fgColor rgb="FF9AF0A8"/>
        <bgColor indexed="64"/>
      </patternFill>
    </fill>
    <fill>
      <patternFill patternType="solid">
        <fgColor rgb="FF663300"/>
        <bgColor indexed="64"/>
      </patternFill>
    </fill>
    <fill>
      <patternFill patternType="solid">
        <fgColor rgb="FF3399FF"/>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79998168889431442"/>
        <bgColor indexed="64"/>
      </patternFill>
    </fill>
  </fills>
  <borders count="31">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right/>
      <top/>
      <bottom style="medium">
        <color rgb="FF000000"/>
      </bottom>
      <diagonal/>
    </border>
    <border>
      <left/>
      <right style="medium">
        <color indexed="64"/>
      </right>
      <top style="medium">
        <color rgb="FF000000"/>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8" fillId="0" borderId="0" applyNumberFormat="0" applyFill="0" applyBorder="0" applyAlignment="0" applyProtection="0">
      <alignment vertical="top"/>
      <protection locked="0"/>
    </xf>
  </cellStyleXfs>
  <cellXfs count="302">
    <xf numFmtId="0" fontId="0" fillId="0" borderId="0" xfId="0"/>
    <xf numFmtId="0" fontId="2" fillId="0" borderId="0" xfId="0" applyFont="1" applyAlignment="1">
      <alignment wrapText="1"/>
    </xf>
    <xf numFmtId="0" fontId="0" fillId="0" borderId="0" xfId="0" applyAlignment="1">
      <alignment wrapText="1"/>
    </xf>
    <xf numFmtId="0" fontId="2" fillId="0" borderId="0" xfId="0" applyFont="1" applyAlignment="1">
      <alignmen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xf numFmtId="0" fontId="2" fillId="0" borderId="0" xfId="0" applyFont="1" applyAlignment="1">
      <alignment horizontal="left" wrapText="1"/>
    </xf>
    <xf numFmtId="0" fontId="2" fillId="0" borderId="0" xfId="0" quotePrefix="1" applyFont="1" applyAlignment="1">
      <alignment horizontal="left" wrapText="1"/>
    </xf>
    <xf numFmtId="0" fontId="3" fillId="0" borderId="0" xfId="0" applyFont="1" applyAlignment="1">
      <alignment horizontal="right" vertical="center" wrapText="1"/>
    </xf>
    <xf numFmtId="0" fontId="2" fillId="0" borderId="0" xfId="0" applyFont="1" applyAlignment="1"/>
    <xf numFmtId="0" fontId="6" fillId="0" borderId="0" xfId="0" applyFont="1"/>
    <xf numFmtId="0" fontId="6" fillId="0" borderId="1" xfId="0" applyFont="1" applyBorder="1" applyAlignment="1">
      <alignment horizontal="center" vertical="top" wrapText="1"/>
    </xf>
    <xf numFmtId="0" fontId="6" fillId="0" borderId="2" xfId="0" applyFont="1" applyBorder="1" applyAlignment="1">
      <alignment horizontal="center" vertical="top" wrapText="1"/>
    </xf>
    <xf numFmtId="0" fontId="6" fillId="0" borderId="0" xfId="0" applyFont="1" applyAlignment="1">
      <alignment vertical="center" wrapText="1"/>
    </xf>
    <xf numFmtId="0" fontId="0" fillId="0" borderId="0" xfId="0"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9" xfId="0" applyFont="1" applyBorder="1" applyAlignment="1">
      <alignment vertical="top" wrapText="1"/>
    </xf>
    <xf numFmtId="0" fontId="1" fillId="0" borderId="9" xfId="0" applyFont="1" applyBorder="1" applyAlignment="1">
      <alignment horizontal="left" vertical="top" wrapText="1"/>
    </xf>
    <xf numFmtId="0" fontId="9" fillId="0" borderId="0" xfId="0" applyFont="1"/>
    <xf numFmtId="0" fontId="1" fillId="0" borderId="4" xfId="0" applyFont="1" applyBorder="1" applyAlignment="1">
      <alignment horizontal="center" vertical="top" wrapText="1"/>
    </xf>
    <xf numFmtId="0" fontId="1" fillId="0" borderId="0" xfId="0" applyFont="1" applyAlignment="1">
      <alignment horizontal="justify"/>
    </xf>
    <xf numFmtId="0" fontId="1" fillId="0" borderId="3" xfId="0" applyFont="1" applyBorder="1" applyAlignment="1">
      <alignment horizontal="center" vertical="top" wrapText="1"/>
    </xf>
    <xf numFmtId="0" fontId="6" fillId="0" borderId="0" xfId="0" applyFont="1" applyAlignment="1">
      <alignment horizontal="justify"/>
    </xf>
    <xf numFmtId="0" fontId="1" fillId="0" borderId="4" xfId="0" quotePrefix="1" applyFont="1" applyBorder="1" applyAlignment="1">
      <alignment horizontal="center" vertical="center" wrapText="1"/>
    </xf>
    <xf numFmtId="0" fontId="1" fillId="0" borderId="4" xfId="0" applyFont="1" applyBorder="1" applyAlignment="1">
      <alignment horizontal="left" vertical="center" wrapText="1"/>
    </xf>
    <xf numFmtId="0" fontId="1" fillId="0" borderId="4" xfId="0" applyFont="1" applyBorder="1" applyAlignment="1">
      <alignment horizontal="center" vertical="center" wrapText="1"/>
    </xf>
    <xf numFmtId="0" fontId="1" fillId="0" borderId="9" xfId="0" quotePrefix="1" applyFont="1" applyBorder="1" applyAlignment="1">
      <alignment horizontal="left" vertical="top" wrapText="1"/>
    </xf>
    <xf numFmtId="0" fontId="1" fillId="0" borderId="5" xfId="0" applyFont="1" applyBorder="1" applyAlignment="1">
      <alignment horizontal="left" vertical="center" wrapText="1"/>
    </xf>
    <xf numFmtId="0" fontId="0" fillId="0" borderId="0" xfId="0" applyAlignment="1">
      <alignment vertical="center"/>
    </xf>
    <xf numFmtId="0" fontId="11" fillId="0" borderId="0" xfId="0" applyFont="1" applyAlignment="1">
      <alignment horizontal="left" vertical="center"/>
    </xf>
    <xf numFmtId="0" fontId="6" fillId="0" borderId="1" xfId="0" applyFont="1" applyBorder="1" applyAlignment="1">
      <alignment horizontal="right" vertical="center" wrapText="1"/>
    </xf>
    <xf numFmtId="0" fontId="6" fillId="0" borderId="2" xfId="0" applyFont="1" applyBorder="1" applyAlignment="1">
      <alignment vertical="center" wrapText="1"/>
    </xf>
    <xf numFmtId="0" fontId="6" fillId="0" borderId="8" xfId="0" applyFont="1" applyBorder="1" applyAlignment="1">
      <alignment vertical="center" wrapText="1"/>
    </xf>
    <xf numFmtId="0" fontId="6" fillId="0" borderId="8" xfId="0" applyFont="1" applyBorder="1" applyAlignment="1">
      <alignment horizontal="righ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3" fillId="0" borderId="0" xfId="0" applyFont="1" applyAlignment="1">
      <alignment vertical="center"/>
    </xf>
    <xf numFmtId="0" fontId="0" fillId="3" borderId="0" xfId="0" applyFill="1"/>
    <xf numFmtId="0" fontId="14" fillId="0" borderId="0" xfId="0" applyFont="1" applyAlignment="1">
      <alignment horizontal="left" wrapText="1"/>
    </xf>
    <xf numFmtId="46" fontId="2" fillId="0" borderId="0" xfId="0" applyNumberFormat="1" applyFont="1" applyAlignment="1">
      <alignment horizontal="left" wrapText="1"/>
    </xf>
    <xf numFmtId="9" fontId="2" fillId="0" borderId="0" xfId="0" applyNumberFormat="1" applyFont="1" applyAlignment="1">
      <alignment horizontal="left" wrapText="1"/>
    </xf>
    <xf numFmtId="0" fontId="2" fillId="0" borderId="0" xfId="0" applyFont="1" applyAlignment="1">
      <alignment horizontal="right"/>
    </xf>
    <xf numFmtId="0" fontId="0" fillId="0" borderId="0" xfId="0" applyAlignment="1"/>
    <xf numFmtId="0" fontId="17" fillId="0" borderId="0" xfId="0" applyFont="1" applyAlignment="1">
      <alignment horizontal="center"/>
    </xf>
    <xf numFmtId="0" fontId="18" fillId="0" borderId="0" xfId="0" applyFont="1" applyAlignment="1"/>
    <xf numFmtId="0" fontId="19" fillId="0" borderId="0" xfId="0" applyFont="1" applyAlignment="1">
      <alignment horizontal="left"/>
    </xf>
    <xf numFmtId="0" fontId="19" fillId="0" borderId="0" xfId="0" applyFont="1" applyAlignment="1"/>
    <xf numFmtId="0" fontId="19" fillId="0" borderId="0" xfId="0" applyFont="1" applyAlignment="1">
      <alignment horizontal="justify"/>
    </xf>
    <xf numFmtId="0" fontId="19" fillId="0" borderId="0" xfId="0" applyFont="1" applyAlignment="1">
      <alignment wrapText="1"/>
    </xf>
    <xf numFmtId="0" fontId="19" fillId="0" borderId="0" xfId="0" applyFont="1" applyAlignment="1">
      <alignment horizontal="left" vertical="top" wrapText="1"/>
    </xf>
    <xf numFmtId="0" fontId="20" fillId="0" borderId="0" xfId="0" applyFont="1" applyAlignment="1">
      <alignment horizontal="left" vertical="center"/>
    </xf>
    <xf numFmtId="0" fontId="11" fillId="0" borderId="0" xfId="0" applyFont="1" applyAlignment="1">
      <alignment vertical="center"/>
    </xf>
    <xf numFmtId="0" fontId="11" fillId="0" borderId="0" xfId="0" applyFont="1" applyAlignment="1">
      <alignment vertical="top"/>
    </xf>
    <xf numFmtId="0" fontId="22" fillId="0" borderId="0" xfId="0" applyFont="1" applyAlignment="1">
      <alignment horizontal="left" vertical="center"/>
    </xf>
    <xf numFmtId="0" fontId="2" fillId="0" borderId="0" xfId="0" applyFont="1" applyAlignment="1">
      <alignment horizontal="left" vertical="center"/>
    </xf>
    <xf numFmtId="0" fontId="22" fillId="0" borderId="0" xfId="0" applyFont="1" applyAlignment="1">
      <alignment horizontal="left" vertical="top"/>
    </xf>
    <xf numFmtId="0" fontId="18" fillId="0" borderId="0" xfId="0" applyFont="1" applyAlignment="1">
      <alignment horizontal="left"/>
    </xf>
    <xf numFmtId="0" fontId="11" fillId="0" borderId="0" xfId="0" applyFont="1" applyAlignment="1">
      <alignment horizontal="right" vertical="center"/>
    </xf>
    <xf numFmtId="0" fontId="23" fillId="0" borderId="0" xfId="0" applyFont="1" applyAlignment="1">
      <alignment horizontal="left"/>
    </xf>
    <xf numFmtId="0" fontId="24" fillId="0" borderId="0" xfId="0" applyFont="1" applyAlignment="1">
      <alignment horizontal="left"/>
    </xf>
    <xf numFmtId="0" fontId="1" fillId="0" borderId="0" xfId="0" applyFont="1"/>
    <xf numFmtId="0" fontId="2" fillId="0" borderId="0" xfId="0" applyFont="1"/>
    <xf numFmtId="0" fontId="25" fillId="0" borderId="11" xfId="0" applyFont="1" applyBorder="1" applyAlignment="1">
      <alignment horizontal="center" vertical="center" wrapText="1"/>
    </xf>
    <xf numFmtId="0" fontId="27" fillId="0" borderId="13" xfId="0" applyFont="1" applyBorder="1" applyAlignment="1">
      <alignment horizontal="left" vertical="center" wrapText="1"/>
    </xf>
    <xf numFmtId="0" fontId="28" fillId="0" borderId="13" xfId="0" applyFont="1" applyBorder="1" applyAlignment="1">
      <alignment horizontal="left" vertical="center" wrapText="1"/>
    </xf>
    <xf numFmtId="0" fontId="29" fillId="0" borderId="0" xfId="0" applyFont="1" applyAlignment="1">
      <alignment horizontal="left"/>
    </xf>
    <xf numFmtId="0" fontId="30" fillId="0" borderId="0" xfId="0" applyFont="1" applyAlignment="1">
      <alignment horizontal="left"/>
    </xf>
    <xf numFmtId="0" fontId="26" fillId="0" borderId="14" xfId="0" applyFont="1" applyBorder="1" applyAlignment="1">
      <alignment horizontal="center"/>
    </xf>
    <xf numFmtId="0" fontId="26" fillId="0" borderId="14" xfId="0" applyFont="1" applyBorder="1" applyAlignment="1">
      <alignment horizontal="center" vertical="center"/>
    </xf>
    <xf numFmtId="0" fontId="13" fillId="0" borderId="0" xfId="0" applyFont="1" applyAlignment="1">
      <alignment horizontal="center" vertical="center"/>
    </xf>
    <xf numFmtId="0" fontId="28" fillId="0" borderId="14" xfId="0" applyFont="1" applyBorder="1" applyAlignment="1">
      <alignment horizontal="center"/>
    </xf>
    <xf numFmtId="0" fontId="0" fillId="0" borderId="0" xfId="0" applyFont="1"/>
    <xf numFmtId="0" fontId="31" fillId="2" borderId="11" xfId="0" applyFont="1" applyFill="1" applyBorder="1" applyAlignment="1">
      <alignment horizontal="center" vertical="center"/>
    </xf>
    <xf numFmtId="0" fontId="11" fillId="2" borderId="11" xfId="0" applyFont="1" applyFill="1" applyBorder="1" applyAlignment="1">
      <alignment horizontal="center" vertical="center" wrapText="1"/>
    </xf>
    <xf numFmtId="0" fontId="28" fillId="2" borderId="11" xfId="0" applyFont="1" applyFill="1" applyBorder="1" applyAlignment="1">
      <alignment horizontal="center" vertical="center" wrapText="1"/>
    </xf>
    <xf numFmtId="0" fontId="28" fillId="4" borderId="11"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28" fillId="3" borderId="13" xfId="0" applyFont="1" applyFill="1" applyBorder="1" applyAlignment="1">
      <alignment horizontal="center" vertical="center" wrapText="1"/>
    </xf>
    <xf numFmtId="0" fontId="28" fillId="3" borderId="11"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28" fillId="5" borderId="11" xfId="0" applyFont="1" applyFill="1" applyBorder="1" applyAlignment="1">
      <alignment horizontal="center" vertical="center" wrapText="1"/>
    </xf>
    <xf numFmtId="0" fontId="31" fillId="4" borderId="13" xfId="0" applyFont="1" applyFill="1" applyBorder="1" applyAlignment="1">
      <alignment horizontal="center" vertical="center"/>
    </xf>
    <xf numFmtId="0" fontId="11" fillId="7" borderId="13" xfId="0" applyFont="1" applyFill="1" applyBorder="1" applyAlignment="1">
      <alignment horizontal="center" vertical="center" wrapText="1"/>
    </xf>
    <xf numFmtId="0" fontId="28" fillId="7" borderId="11"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28" fillId="8" borderId="11" xfId="0" applyFont="1" applyFill="1" applyBorder="1" applyAlignment="1">
      <alignment horizontal="center" vertical="center" wrapText="1"/>
    </xf>
    <xf numFmtId="0" fontId="11" fillId="9" borderId="13" xfId="0" applyFont="1" applyFill="1" applyBorder="1" applyAlignment="1">
      <alignment horizontal="center" vertical="center" wrapText="1"/>
    </xf>
    <xf numFmtId="0" fontId="28" fillId="9" borderId="11" xfId="0" applyFont="1" applyFill="1" applyBorder="1" applyAlignment="1">
      <alignment horizontal="center" vertical="center" wrapText="1"/>
    </xf>
    <xf numFmtId="0" fontId="33" fillId="0" borderId="0" xfId="0" applyFont="1" applyAlignment="1">
      <alignment horizontal="center" wrapText="1"/>
    </xf>
    <xf numFmtId="0" fontId="37" fillId="0" borderId="0" xfId="0" applyFont="1" applyAlignment="1">
      <alignment horizontal="center"/>
    </xf>
    <xf numFmtId="0" fontId="39" fillId="0" borderId="0" xfId="0" applyFont="1" applyAlignment="1">
      <alignment horizontal="center"/>
    </xf>
    <xf numFmtId="0" fontId="40" fillId="0" borderId="0" xfId="0" applyFont="1" applyAlignment="1">
      <alignment horizontal="justify"/>
    </xf>
    <xf numFmtId="0" fontId="41" fillId="0" borderId="0" xfId="0" applyFont="1" applyAlignment="1">
      <alignment horizontal="justify"/>
    </xf>
    <xf numFmtId="0" fontId="42" fillId="0" borderId="0" xfId="0" applyFont="1"/>
    <xf numFmtId="0" fontId="43" fillId="0" borderId="0" xfId="0" applyFont="1" applyAlignment="1">
      <alignment horizontal="justify"/>
    </xf>
    <xf numFmtId="0" fontId="24" fillId="0" borderId="0" xfId="0" applyFont="1" applyFill="1" applyBorder="1" applyAlignment="1">
      <alignment horizontal="left"/>
    </xf>
    <xf numFmtId="0" fontId="24" fillId="0" borderId="0" xfId="0" applyFont="1" applyFill="1" applyBorder="1" applyAlignment="1">
      <alignment horizontal="left" vertical="center"/>
    </xf>
    <xf numFmtId="0" fontId="1" fillId="0" borderId="0" xfId="0" applyFont="1" applyAlignment="1">
      <alignment horizontal="center"/>
    </xf>
    <xf numFmtId="0" fontId="11" fillId="0" borderId="0" xfId="0" applyFont="1" applyAlignment="1">
      <alignment vertical="center" wrapText="1"/>
    </xf>
    <xf numFmtId="0" fontId="11" fillId="0" borderId="0" xfId="0" applyFont="1" applyAlignment="1">
      <alignment horizontal="left" wrapText="1"/>
    </xf>
    <xf numFmtId="0" fontId="11" fillId="0" borderId="0" xfId="0" quotePrefix="1" applyFont="1" applyAlignment="1">
      <alignment horizontal="left" wrapText="1"/>
    </xf>
    <xf numFmtId="0" fontId="21" fillId="0" borderId="0" xfId="0" applyFont="1" applyAlignment="1">
      <alignment vertical="center" wrapText="1"/>
    </xf>
    <xf numFmtId="0" fontId="0" fillId="6" borderId="0" xfId="0" applyFill="1"/>
    <xf numFmtId="0" fontId="21" fillId="0" borderId="0" xfId="0" applyFont="1" applyAlignment="1">
      <alignment horizontal="center" vertical="center" wrapText="1"/>
    </xf>
    <xf numFmtId="0" fontId="46" fillId="0" borderId="0" xfId="0" applyFont="1" applyAlignment="1">
      <alignment horizontal="right" vertical="center" wrapText="1"/>
    </xf>
    <xf numFmtId="0" fontId="11" fillId="0" borderId="0" xfId="0" quotePrefix="1" applyFont="1" applyAlignment="1">
      <alignment horizontal="left" vertical="center" wrapText="1"/>
    </xf>
    <xf numFmtId="0" fontId="11" fillId="6" borderId="0" xfId="0" applyFont="1" applyFill="1" applyAlignment="1">
      <alignment horizontal="left" vertical="center" wrapText="1"/>
    </xf>
    <xf numFmtId="0" fontId="49" fillId="6" borderId="0" xfId="0" applyFont="1" applyFill="1" applyBorder="1" applyAlignment="1">
      <alignment vertical="top" wrapText="1"/>
    </xf>
    <xf numFmtId="0" fontId="50" fillId="0" borderId="5" xfId="0" applyFont="1" applyBorder="1" applyAlignment="1">
      <alignment vertical="top" wrapText="1"/>
    </xf>
    <xf numFmtId="0" fontId="50" fillId="0" borderId="4" xfId="0" applyFont="1" applyBorder="1" applyAlignment="1">
      <alignment vertical="top" wrapText="1"/>
    </xf>
    <xf numFmtId="0" fontId="2" fillId="0" borderId="5" xfId="0" applyFont="1" applyBorder="1" applyAlignment="1">
      <alignment vertical="top"/>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16" xfId="0" applyFont="1" applyBorder="1" applyAlignment="1">
      <alignment vertical="top" wrapText="1"/>
    </xf>
    <xf numFmtId="0" fontId="2" fillId="0" borderId="15"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4" xfId="0" applyFont="1" applyBorder="1" applyAlignment="1">
      <alignment horizontal="left" vertical="top" wrapText="1"/>
    </xf>
    <xf numFmtId="0" fontId="2" fillId="0" borderId="5" xfId="0" applyFont="1" applyBorder="1" applyAlignment="1">
      <alignment vertical="center" wrapText="1"/>
    </xf>
    <xf numFmtId="0" fontId="2" fillId="0" borderId="4" xfId="0" applyFont="1" applyBorder="1" applyAlignment="1">
      <alignment vertical="center" wrapText="1"/>
    </xf>
    <xf numFmtId="0" fontId="2" fillId="0" borderId="20" xfId="0" applyFont="1" applyBorder="1" applyAlignment="1">
      <alignment vertical="center" wrapText="1"/>
    </xf>
    <xf numFmtId="0" fontId="2" fillId="0" borderId="17" xfId="0" applyFont="1" applyBorder="1" applyAlignment="1">
      <alignment vertical="center" wrapText="1"/>
    </xf>
    <xf numFmtId="0" fontId="2" fillId="0" borderId="21" xfId="0" applyFont="1" applyBorder="1" applyAlignment="1">
      <alignment vertical="top"/>
    </xf>
    <xf numFmtId="0" fontId="2" fillId="0" borderId="22" xfId="0" applyFont="1" applyBorder="1" applyAlignment="1">
      <alignment vertical="top"/>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vertical="center"/>
    </xf>
    <xf numFmtId="0" fontId="11" fillId="0" borderId="0" xfId="0" applyFont="1" applyAlignment="1">
      <alignment horizontal="center" vertical="center" wrapText="1"/>
    </xf>
    <xf numFmtId="0" fontId="50" fillId="0" borderId="5" xfId="0" applyFont="1" applyBorder="1" applyAlignment="1">
      <alignment horizontal="left" vertical="top" wrapText="1"/>
    </xf>
    <xf numFmtId="0" fontId="0" fillId="0" borderId="5" xfId="0" applyBorder="1" applyAlignment="1">
      <alignment vertical="top" wrapText="1"/>
    </xf>
    <xf numFmtId="0" fontId="0" fillId="0" borderId="4" xfId="0" applyBorder="1" applyAlignment="1">
      <alignment vertical="top" wrapText="1"/>
    </xf>
    <xf numFmtId="0" fontId="0" fillId="0" borderId="3" xfId="0" applyBorder="1" applyAlignment="1">
      <alignment vertical="top" wrapText="1"/>
    </xf>
    <xf numFmtId="0" fontId="0" fillId="0" borderId="6" xfId="0" applyBorder="1" applyAlignment="1">
      <alignment vertical="top" wrapText="1"/>
    </xf>
    <xf numFmtId="0" fontId="2" fillId="0" borderId="24" xfId="0" applyFont="1" applyBorder="1" applyAlignment="1">
      <alignment vertical="top" wrapText="1"/>
    </xf>
    <xf numFmtId="0" fontId="2" fillId="0" borderId="24" xfId="0" applyFont="1" applyBorder="1" applyAlignment="1">
      <alignment vertical="center" wrapText="1"/>
    </xf>
    <xf numFmtId="0" fontId="0" fillId="0" borderId="7" xfId="0" applyBorder="1" applyAlignment="1">
      <alignment vertical="top" wrapText="1"/>
    </xf>
    <xf numFmtId="0" fontId="2" fillId="0" borderId="17" xfId="0" applyFont="1" applyBorder="1" applyAlignment="1">
      <alignment wrapText="1"/>
    </xf>
    <xf numFmtId="0" fontId="11" fillId="0" borderId="0" xfId="0" applyFont="1" applyAlignment="1">
      <alignment wrapText="1"/>
    </xf>
    <xf numFmtId="0" fontId="22" fillId="0" borderId="0" xfId="0" applyFont="1" applyAlignment="1">
      <alignment wrapText="1"/>
    </xf>
    <xf numFmtId="0" fontId="22" fillId="0" borderId="15" xfId="0" applyFont="1" applyBorder="1" applyAlignment="1">
      <alignment vertical="top" wrapText="1"/>
    </xf>
    <xf numFmtId="0" fontId="22" fillId="0" borderId="7" xfId="0" applyFont="1" applyBorder="1" applyAlignment="1">
      <alignment vertical="top" wrapText="1"/>
    </xf>
    <xf numFmtId="0" fontId="22" fillId="0" borderId="17" xfId="0" applyFont="1" applyBorder="1" applyAlignment="1">
      <alignment wrapText="1"/>
    </xf>
    <xf numFmtId="0" fontId="22" fillId="0" borderId="4" xfId="0" applyFont="1" applyBorder="1" applyAlignment="1">
      <alignment vertical="top" wrapText="1"/>
    </xf>
    <xf numFmtId="0" fontId="11" fillId="0" borderId="0" xfId="0" applyFont="1"/>
    <xf numFmtId="0" fontId="11" fillId="0" borderId="0" xfId="0" applyFont="1" applyAlignment="1">
      <alignment horizontal="left" wrapText="1"/>
    </xf>
    <xf numFmtId="0" fontId="52" fillId="0" borderId="3" xfId="0" applyFont="1" applyBorder="1" applyAlignment="1">
      <alignment vertical="top" wrapText="1"/>
    </xf>
    <xf numFmtId="0" fontId="50" fillId="0" borderId="0" xfId="0" applyFont="1" applyAlignment="1">
      <alignment wrapText="1"/>
    </xf>
    <xf numFmtId="0" fontId="50" fillId="0" borderId="21" xfId="0" applyFont="1" applyBorder="1" applyAlignment="1">
      <alignment vertical="top" wrapText="1"/>
    </xf>
    <xf numFmtId="0" fontId="50" fillId="0" borderId="22" xfId="0" applyFont="1" applyBorder="1" applyAlignment="1">
      <alignment vertical="top" wrapText="1"/>
    </xf>
    <xf numFmtId="0" fontId="50" fillId="0" borderId="0" xfId="0" applyFont="1" applyBorder="1" applyAlignment="1">
      <alignment vertical="top" wrapText="1"/>
    </xf>
    <xf numFmtId="0" fontId="50" fillId="0" borderId="19" xfId="0" applyFont="1" applyBorder="1" applyAlignment="1">
      <alignment vertical="top" wrapText="1"/>
    </xf>
    <xf numFmtId="0" fontId="50" fillId="0" borderId="24" xfId="0" applyFont="1" applyBorder="1" applyAlignment="1">
      <alignment vertical="top" wrapText="1"/>
    </xf>
    <xf numFmtId="0" fontId="11" fillId="0" borderId="0" xfId="0" applyFont="1" applyAlignment="1">
      <alignment horizontal="right" vertical="center" wrapText="1"/>
    </xf>
    <xf numFmtId="0" fontId="2" fillId="0" borderId="0" xfId="0" applyFont="1" applyAlignment="1">
      <alignment horizontal="left"/>
    </xf>
    <xf numFmtId="0" fontId="2" fillId="0" borderId="0" xfId="0" applyFont="1" applyAlignment="1">
      <alignment vertical="top" wrapText="1"/>
    </xf>
    <xf numFmtId="0" fontId="12" fillId="0" borderId="0" xfId="0" applyFont="1" applyBorder="1" applyAlignment="1">
      <alignment vertical="top" wrapText="1"/>
    </xf>
    <xf numFmtId="0" fontId="2" fillId="11" borderId="0" xfId="0" applyFont="1" applyFill="1" applyAlignment="1">
      <alignment wrapText="1"/>
    </xf>
    <xf numFmtId="0" fontId="2" fillId="0" borderId="0" xfId="0" applyFont="1" applyAlignment="1">
      <alignment horizontal="center" wrapText="1"/>
    </xf>
    <xf numFmtId="0" fontId="53" fillId="12" borderId="0" xfId="0" applyFont="1" applyFill="1" applyAlignment="1">
      <alignment wrapText="1"/>
    </xf>
    <xf numFmtId="0" fontId="53" fillId="13" borderId="0" xfId="0" applyFont="1" applyFill="1" applyAlignment="1">
      <alignment wrapText="1"/>
    </xf>
    <xf numFmtId="0" fontId="54" fillId="0" borderId="0" xfId="0" applyFont="1" applyAlignment="1">
      <alignment wrapText="1"/>
    </xf>
    <xf numFmtId="0" fontId="56" fillId="0" borderId="0" xfId="0" applyFont="1" applyAlignment="1">
      <alignment wrapText="1"/>
    </xf>
    <xf numFmtId="0" fontId="11" fillId="0" borderId="0" xfId="0" applyFont="1" applyBorder="1" applyAlignment="1">
      <alignment horizontal="left" vertical="center" wrapText="1" indent="1"/>
    </xf>
    <xf numFmtId="0" fontId="11" fillId="0" borderId="0" xfId="0" applyFont="1" applyAlignment="1">
      <alignment horizontal="center" wrapText="1"/>
    </xf>
    <xf numFmtId="0" fontId="57" fillId="0" borderId="0" xfId="0" applyFont="1" applyAlignment="1">
      <alignment horizontal="center" wrapText="1"/>
    </xf>
    <xf numFmtId="0" fontId="55" fillId="0" borderId="0" xfId="0" applyFont="1" applyAlignment="1">
      <alignment horizontal="center" wrapText="1"/>
    </xf>
    <xf numFmtId="0" fontId="57" fillId="0" borderId="13" xfId="0" applyFont="1" applyBorder="1" applyAlignment="1">
      <alignment horizontal="center" wrapText="1"/>
    </xf>
    <xf numFmtId="0" fontId="55" fillId="0" borderId="13" xfId="0" applyFont="1" applyBorder="1" applyAlignment="1">
      <alignment horizontal="center" wrapText="1"/>
    </xf>
    <xf numFmtId="0" fontId="55" fillId="0" borderId="29" xfId="0" applyFont="1" applyBorder="1" applyAlignment="1">
      <alignment horizontal="center" wrapText="1"/>
    </xf>
    <xf numFmtId="0" fontId="55" fillId="0" borderId="30" xfId="0" applyFont="1" applyBorder="1" applyAlignment="1">
      <alignment horizontal="center" wrapText="1"/>
    </xf>
    <xf numFmtId="0" fontId="57" fillId="0" borderId="13" xfId="0" applyFont="1" applyBorder="1" applyAlignment="1">
      <alignment horizontal="center" vertical="center" wrapText="1"/>
    </xf>
    <xf numFmtId="0" fontId="57" fillId="0" borderId="30" xfId="0" applyFont="1" applyBorder="1" applyAlignment="1">
      <alignment horizontal="center" vertical="center" wrapText="1"/>
    </xf>
    <xf numFmtId="0" fontId="57" fillId="0" borderId="29" xfId="0" applyFont="1" applyBorder="1" applyAlignment="1">
      <alignment horizontal="left" vertical="center" wrapText="1"/>
    </xf>
    <xf numFmtId="0" fontId="55" fillId="0" borderId="29" xfId="0" applyFont="1" applyBorder="1" applyAlignment="1">
      <alignment horizontal="left" vertical="center" wrapText="1"/>
    </xf>
    <xf numFmtId="0" fontId="57" fillId="0" borderId="13" xfId="0" applyFont="1" applyBorder="1" applyAlignment="1">
      <alignment horizontal="left" wrapText="1"/>
    </xf>
    <xf numFmtId="0" fontId="55" fillId="0" borderId="13" xfId="0" applyFont="1" applyBorder="1" applyAlignment="1">
      <alignment horizontal="left" wrapText="1"/>
    </xf>
    <xf numFmtId="0" fontId="58" fillId="0" borderId="0" xfId="1" applyAlignment="1" applyProtection="1">
      <alignment wrapText="1"/>
    </xf>
    <xf numFmtId="0" fontId="55" fillId="14" borderId="0" xfId="0" applyFont="1" applyFill="1" applyAlignment="1">
      <alignment wrapText="1"/>
    </xf>
    <xf numFmtId="0" fontId="59" fillId="0" borderId="18" xfId="0" applyFont="1" applyBorder="1" applyAlignment="1">
      <alignment horizontal="center" vertical="center" wrapText="1"/>
    </xf>
    <xf numFmtId="0" fontId="59" fillId="0" borderId="19" xfId="0" applyFont="1" applyBorder="1" applyAlignment="1">
      <alignment horizontal="center" vertical="center" wrapText="1"/>
    </xf>
    <xf numFmtId="0" fontId="59" fillId="0" borderId="20" xfId="0" applyFont="1" applyBorder="1" applyAlignment="1">
      <alignment horizontal="center" vertical="center" wrapText="1"/>
    </xf>
    <xf numFmtId="0" fontId="60" fillId="0" borderId="0" xfId="0" applyFont="1" applyAlignment="1">
      <alignment horizontal="right" vertical="center" wrapText="1"/>
    </xf>
    <xf numFmtId="0" fontId="62" fillId="0" borderId="0" xfId="0" applyFont="1" applyAlignment="1"/>
    <xf numFmtId="0" fontId="63" fillId="0" borderId="0" xfId="0" applyFont="1" applyAlignment="1">
      <alignment horizontal="left" wrapText="1"/>
    </xf>
    <xf numFmtId="0" fontId="60" fillId="0" borderId="0" xfId="0" applyFont="1" applyAlignment="1">
      <alignment horizontal="left" wrapText="1"/>
    </xf>
    <xf numFmtId="0" fontId="60" fillId="0" borderId="0" xfId="0" quotePrefix="1" applyFont="1" applyAlignment="1">
      <alignment horizontal="left" wrapText="1"/>
    </xf>
    <xf numFmtId="0" fontId="60" fillId="0" borderId="0" xfId="0" applyFont="1" applyAlignment="1"/>
    <xf numFmtId="49" fontId="60" fillId="0" borderId="0" xfId="0" applyNumberFormat="1" applyFont="1" applyAlignment="1">
      <alignment horizontal="left" wrapText="1"/>
    </xf>
    <xf numFmtId="0" fontId="60" fillId="0" borderId="0" xfId="0" applyFont="1" applyAlignment="1">
      <alignment horizontal="right"/>
    </xf>
    <xf numFmtId="9" fontId="60" fillId="0" borderId="0" xfId="0" applyNumberFormat="1" applyFont="1" applyAlignment="1">
      <alignment horizontal="left" wrapText="1"/>
    </xf>
    <xf numFmtId="0" fontId="54" fillId="0" borderId="0" xfId="0" applyFont="1" applyAlignment="1">
      <alignment horizontal="left" vertical="center" wrapText="1"/>
    </xf>
    <xf numFmtId="0" fontId="54" fillId="0" borderId="0" xfId="0" applyFont="1" applyAlignment="1">
      <alignment horizontal="center" vertical="top" wrapText="1"/>
    </xf>
    <xf numFmtId="0" fontId="60" fillId="15" borderId="0" xfId="0" applyFont="1" applyFill="1" applyAlignment="1">
      <alignment horizontal="center" vertical="center" wrapText="1"/>
    </xf>
    <xf numFmtId="0" fontId="11" fillId="14" borderId="0" xfId="0" applyFont="1" applyFill="1" applyAlignment="1">
      <alignment horizontal="center" vertical="center" wrapText="1"/>
    </xf>
    <xf numFmtId="0" fontId="55" fillId="0" borderId="29" xfId="0" applyFont="1" applyBorder="1" applyAlignment="1">
      <alignment horizontal="center" wrapText="1"/>
    </xf>
    <xf numFmtId="0" fontId="55" fillId="0" borderId="30" xfId="0" applyFont="1" applyBorder="1" applyAlignment="1">
      <alignment horizontal="center" wrapText="1"/>
    </xf>
    <xf numFmtId="0" fontId="48" fillId="6" borderId="0" xfId="0" applyFont="1" applyFill="1" applyAlignment="1">
      <alignment horizontal="center" vertical="center" wrapText="1"/>
    </xf>
    <xf numFmtId="0" fontId="4" fillId="2" borderId="0" xfId="0" applyFont="1" applyFill="1" applyAlignment="1">
      <alignment horizontal="center"/>
    </xf>
    <xf numFmtId="0" fontId="11" fillId="0" borderId="6"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3" xfId="0" applyFont="1" applyBorder="1" applyAlignment="1">
      <alignment horizontal="center" vertical="center" wrapText="1"/>
    </xf>
    <xf numFmtId="0" fontId="2" fillId="0" borderId="6" xfId="0" applyFont="1" applyBorder="1" applyAlignment="1">
      <alignment vertical="top" wrapText="1"/>
    </xf>
    <xf numFmtId="0" fontId="2" fillId="0" borderId="3" xfId="0" applyFont="1" applyBorder="1" applyAlignment="1">
      <alignment vertical="top" wrapText="1"/>
    </xf>
    <xf numFmtId="0" fontId="2" fillId="0" borderId="15" xfId="0" applyFont="1" applyBorder="1" applyAlignment="1">
      <alignment vertical="top" wrapText="1"/>
    </xf>
    <xf numFmtId="0" fontId="2" fillId="0" borderId="6" xfId="0" applyFont="1" applyBorder="1" applyAlignment="1">
      <alignment vertical="center" wrapText="1"/>
    </xf>
    <xf numFmtId="0" fontId="2" fillId="0" borderId="15" xfId="0" applyFont="1" applyBorder="1" applyAlignment="1">
      <alignment vertical="center" wrapText="1"/>
    </xf>
    <xf numFmtId="0" fontId="2" fillId="0" borderId="3" xfId="0" applyFont="1" applyBorder="1" applyAlignment="1">
      <alignment vertical="center" wrapText="1"/>
    </xf>
    <xf numFmtId="0" fontId="11" fillId="0" borderId="25" xfId="0" applyFont="1" applyBorder="1" applyAlignment="1">
      <alignment horizontal="center" wrapText="1"/>
    </xf>
    <xf numFmtId="0" fontId="11" fillId="0" borderId="26" xfId="0" applyFont="1" applyBorder="1" applyAlignment="1">
      <alignment horizontal="center" wrapText="1"/>
    </xf>
    <xf numFmtId="0" fontId="11" fillId="0" borderId="27" xfId="0" applyFont="1" applyBorder="1" applyAlignment="1">
      <alignment horizontal="center" wrapText="1"/>
    </xf>
    <xf numFmtId="0" fontId="24" fillId="0" borderId="21" xfId="0" applyFont="1" applyBorder="1" applyAlignment="1">
      <alignment horizontal="center" vertical="center" wrapText="1"/>
    </xf>
    <xf numFmtId="0" fontId="24" fillId="0" borderId="28" xfId="0" applyFont="1" applyBorder="1" applyAlignment="1">
      <alignment horizontal="center" vertical="center" wrapText="1"/>
    </xf>
    <xf numFmtId="0" fontId="24" fillId="0" borderId="22" xfId="0" applyFont="1" applyBorder="1" applyAlignment="1">
      <alignment horizontal="center" vertical="center" wrapText="1"/>
    </xf>
    <xf numFmtId="0" fontId="11"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vertical="center" wrapText="1"/>
    </xf>
    <xf numFmtId="0" fontId="2" fillId="0" borderId="21" xfId="0" applyFont="1" applyBorder="1" applyAlignment="1">
      <alignment horizontal="left" vertical="center" wrapText="1"/>
    </xf>
    <xf numFmtId="0" fontId="2" fillId="0" borderId="22" xfId="0" applyFont="1" applyBorder="1" applyAlignment="1">
      <alignment horizontal="left" vertical="center" wrapText="1"/>
    </xf>
    <xf numFmtId="0" fontId="2" fillId="0" borderId="6" xfId="0" applyFont="1" applyBorder="1" applyAlignment="1">
      <alignment horizontal="left" vertical="center" wrapText="1"/>
    </xf>
    <xf numFmtId="0" fontId="2" fillId="0" borderId="15" xfId="0" applyFont="1" applyBorder="1" applyAlignment="1">
      <alignment horizontal="left" vertical="center" wrapText="1"/>
    </xf>
    <xf numFmtId="0" fontId="2" fillId="0" borderId="23" xfId="0" applyFont="1" applyBorder="1" applyAlignment="1">
      <alignment vertical="top" wrapText="1"/>
    </xf>
    <xf numFmtId="0" fontId="31" fillId="8" borderId="10" xfId="0" applyFont="1" applyFill="1" applyBorder="1" applyAlignment="1">
      <alignment horizontal="center" vertical="center"/>
    </xf>
    <xf numFmtId="0" fontId="31" fillId="8" borderId="12" xfId="0" applyFont="1" applyFill="1" applyBorder="1" applyAlignment="1">
      <alignment horizontal="center" vertical="center"/>
    </xf>
    <xf numFmtId="0" fontId="31" fillId="8" borderId="11" xfId="0" applyFont="1" applyFill="1" applyBorder="1" applyAlignment="1">
      <alignment horizontal="center" vertical="center"/>
    </xf>
    <xf numFmtId="0" fontId="31" fillId="9" borderId="10" xfId="0" applyFont="1" applyFill="1" applyBorder="1" applyAlignment="1">
      <alignment horizontal="center" vertical="center"/>
    </xf>
    <xf numFmtId="0" fontId="31" fillId="9" borderId="11" xfId="0" applyFont="1" applyFill="1" applyBorder="1" applyAlignment="1">
      <alignment horizontal="center" vertical="center"/>
    </xf>
    <xf numFmtId="0" fontId="11" fillId="9" borderId="0" xfId="0" applyFont="1" applyFill="1" applyAlignment="1">
      <alignment horizontal="center" vertical="center"/>
    </xf>
    <xf numFmtId="0" fontId="26" fillId="0" borderId="10" xfId="0" applyFont="1" applyBorder="1" applyAlignment="1">
      <alignment horizontal="center" vertical="center" wrapText="1"/>
    </xf>
    <xf numFmtId="0" fontId="26" fillId="0" borderId="11" xfId="0" applyFont="1" applyBorder="1" applyAlignment="1">
      <alignment horizontal="center" vertical="center" wrapText="1"/>
    </xf>
    <xf numFmtId="0" fontId="28" fillId="0" borderId="13" xfId="0" applyFont="1" applyBorder="1" applyAlignment="1">
      <alignment horizontal="center" vertical="center" wrapText="1"/>
    </xf>
    <xf numFmtId="0" fontId="31" fillId="3" borderId="10" xfId="0" applyFont="1" applyFill="1" applyBorder="1" applyAlignment="1">
      <alignment horizontal="center" vertical="center"/>
    </xf>
    <xf numFmtId="0" fontId="31" fillId="3" borderId="12" xfId="0" applyFont="1" applyFill="1" applyBorder="1" applyAlignment="1">
      <alignment horizontal="center" vertical="center"/>
    </xf>
    <xf numFmtId="0" fontId="31" fillId="3" borderId="11" xfId="0" applyFont="1" applyFill="1" applyBorder="1" applyAlignment="1">
      <alignment horizontal="center" vertical="center"/>
    </xf>
    <xf numFmtId="0" fontId="31" fillId="5" borderId="10" xfId="0" applyFont="1" applyFill="1" applyBorder="1" applyAlignment="1">
      <alignment horizontal="center" vertical="center"/>
    </xf>
    <xf numFmtId="0" fontId="31" fillId="5" borderId="12" xfId="0" applyFont="1" applyFill="1" applyBorder="1" applyAlignment="1">
      <alignment horizontal="center" vertical="center"/>
    </xf>
    <xf numFmtId="0" fontId="31" fillId="5" borderId="11" xfId="0" applyFont="1" applyFill="1" applyBorder="1" applyAlignment="1">
      <alignment horizontal="center" vertical="center"/>
    </xf>
    <xf numFmtId="0" fontId="31" fillId="7" borderId="10" xfId="0" applyFont="1" applyFill="1" applyBorder="1" applyAlignment="1">
      <alignment horizontal="center" vertical="center"/>
    </xf>
    <xf numFmtId="0" fontId="31" fillId="7" borderId="12" xfId="0" applyFont="1" applyFill="1" applyBorder="1" applyAlignment="1">
      <alignment horizontal="center" vertical="center"/>
    </xf>
    <xf numFmtId="0" fontId="31" fillId="7" borderId="11" xfId="0" applyFont="1" applyFill="1" applyBorder="1" applyAlignment="1">
      <alignment horizontal="center" vertical="center"/>
    </xf>
    <xf numFmtId="0" fontId="11" fillId="0" borderId="0" xfId="0" applyFont="1" applyBorder="1" applyAlignment="1">
      <alignment horizontal="left" vertical="center" wrapText="1" indent="1"/>
    </xf>
    <xf numFmtId="0" fontId="47" fillId="11" borderId="0" xfId="0" applyFont="1" applyFill="1" applyAlignment="1">
      <alignment horizontal="left" wrapText="1"/>
    </xf>
    <xf numFmtId="0" fontId="48" fillId="2"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wrapText="1"/>
    </xf>
    <xf numFmtId="0" fontId="2" fillId="0" borderId="0" xfId="0" applyFont="1" applyAlignment="1">
      <alignment horizontal="center" wrapText="1"/>
    </xf>
    <xf numFmtId="0" fontId="45" fillId="2" borderId="0" xfId="0" applyFont="1" applyFill="1" applyAlignment="1">
      <alignment horizontal="center"/>
    </xf>
    <xf numFmtId="0" fontId="12" fillId="6" borderId="0" xfId="0" applyFont="1" applyFill="1" applyAlignment="1">
      <alignment horizontal="left"/>
    </xf>
    <xf numFmtId="0" fontId="47" fillId="6" borderId="0" xfId="0" applyFont="1" applyFill="1" applyAlignment="1">
      <alignment horizontal="center" vertical="center" wrapText="1"/>
    </xf>
    <xf numFmtId="0" fontId="21" fillId="0" borderId="0" xfId="0" applyFont="1" applyAlignment="1">
      <alignment horizontal="center" vertical="center" wrapText="1"/>
    </xf>
    <xf numFmtId="0" fontId="11" fillId="0" borderId="0" xfId="0" applyFont="1" applyAlignment="1">
      <alignment horizontal="left" vertical="center" wrapText="1"/>
    </xf>
    <xf numFmtId="0" fontId="8" fillId="2" borderId="0" xfId="0" applyFont="1" applyFill="1" applyAlignment="1">
      <alignment horizontal="center"/>
    </xf>
    <xf numFmtId="0" fontId="12" fillId="3" borderId="0" xfId="0" applyFont="1" applyFill="1" applyAlignment="1">
      <alignment horizontal="left"/>
    </xf>
    <xf numFmtId="0" fontId="1" fillId="0" borderId="6" xfId="0" applyFont="1" applyBorder="1" applyAlignment="1">
      <alignment horizontal="left" vertical="center" wrapText="1"/>
    </xf>
    <xf numFmtId="0" fontId="1" fillId="0" borderId="3" xfId="0" applyFont="1" applyBorder="1" applyAlignment="1">
      <alignment horizontal="left" vertical="center" wrapText="1"/>
    </xf>
    <xf numFmtId="0" fontId="6"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vertical="center" wrapText="1"/>
    </xf>
    <xf numFmtId="0" fontId="1" fillId="0" borderId="3" xfId="0" applyFont="1" applyBorder="1" applyAlignment="1">
      <alignment vertical="center" wrapText="1"/>
    </xf>
    <xf numFmtId="0" fontId="11" fillId="0" borderId="0" xfId="0" applyFont="1" applyAlignment="1">
      <alignment horizontal="left" vertical="center"/>
    </xf>
    <xf numFmtId="0" fontId="1" fillId="0" borderId="0" xfId="0" applyFont="1" applyAlignment="1">
      <alignment horizontal="left" wrapText="1" inden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1" fillId="0" borderId="0" xfId="0" applyFont="1" applyAlignment="1">
      <alignment horizontal="left"/>
    </xf>
    <xf numFmtId="0" fontId="9" fillId="0" borderId="0" xfId="0" applyFont="1" applyAlignment="1">
      <alignment horizontal="left"/>
    </xf>
    <xf numFmtId="0" fontId="6" fillId="0" borderId="0" xfId="0" applyFont="1" applyAlignment="1">
      <alignment horizontal="left"/>
    </xf>
    <xf numFmtId="0" fontId="1" fillId="0" borderId="0" xfId="0" applyFont="1" applyAlignment="1">
      <alignment horizontal="justify" vertical="top"/>
    </xf>
    <xf numFmtId="0" fontId="15" fillId="2" borderId="0" xfId="0" applyFont="1" applyFill="1" applyAlignment="1">
      <alignment horizontal="center"/>
    </xf>
    <xf numFmtId="0" fontId="16" fillId="0" borderId="0" xfId="0" applyFont="1" applyAlignment="1">
      <alignment horizontal="center"/>
    </xf>
    <xf numFmtId="0" fontId="25" fillId="0" borderId="10"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1" xfId="0" applyFont="1" applyBorder="1" applyAlignment="1">
      <alignment horizontal="center" vertical="center" wrapText="1"/>
    </xf>
    <xf numFmtId="0" fontId="11" fillId="2" borderId="0" xfId="0" applyFont="1" applyFill="1" applyAlignment="1">
      <alignment horizontal="center"/>
    </xf>
    <xf numFmtId="0" fontId="0" fillId="0" borderId="12" xfId="0" applyBorder="1"/>
    <xf numFmtId="0" fontId="36" fillId="3" borderId="0" xfId="0" applyFont="1" applyFill="1" applyAlignment="1">
      <alignment horizontal="center" wrapText="1"/>
    </xf>
    <xf numFmtId="0" fontId="1" fillId="0" borderId="0" xfId="0" applyFont="1" applyAlignment="1">
      <alignment horizontal="left" vertical="top" wrapText="1" indent="1"/>
    </xf>
    <xf numFmtId="0" fontId="32" fillId="10" borderId="0" xfId="0" applyFont="1" applyFill="1" applyAlignment="1">
      <alignment horizontal="center" wrapText="1"/>
    </xf>
    <xf numFmtId="0" fontId="35" fillId="9" borderId="0" xfId="0" applyFont="1" applyFill="1" applyAlignment="1">
      <alignment horizontal="center" vertical="center" wrapText="1"/>
    </xf>
    <xf numFmtId="0" fontId="10" fillId="6" borderId="0" xfId="0" applyFont="1" applyFill="1" applyAlignment="1">
      <alignment horizontal="center" wrapText="1"/>
    </xf>
    <xf numFmtId="0" fontId="37" fillId="0" borderId="0" xfId="0" applyFont="1" applyAlignment="1">
      <alignment horizontal="center"/>
    </xf>
    <xf numFmtId="0" fontId="39" fillId="0" borderId="0" xfId="0" applyFont="1" applyAlignment="1">
      <alignment horizontal="center"/>
    </xf>
    <xf numFmtId="0" fontId="45" fillId="16" borderId="0" xfId="0" applyFont="1" applyFill="1" applyBorder="1" applyAlignment="1">
      <alignment horizontal="center" vertical="center" wrapText="1"/>
    </xf>
    <xf numFmtId="0" fontId="11" fillId="0" borderId="0" xfId="0" applyFont="1" applyBorder="1" applyAlignment="1">
      <alignment vertical="center" wrapText="1"/>
    </xf>
    <xf numFmtId="0" fontId="47" fillId="4" borderId="0" xfId="0" applyFont="1" applyFill="1" applyAlignment="1">
      <alignment horizontal="left" wrapText="1"/>
    </xf>
    <xf numFmtId="0" fontId="47" fillId="3" borderId="0" xfId="0" applyFont="1" applyFill="1" applyAlignment="1">
      <alignment horizontal="left" vertical="center" wrapText="1"/>
    </xf>
    <xf numFmtId="0" fontId="47" fillId="3" borderId="0" xfId="0" applyFont="1" applyFill="1" applyAlignment="1">
      <alignment horizontal="left" wrapText="1"/>
    </xf>
    <xf numFmtId="0" fontId="47" fillId="17" borderId="0" xfId="0" applyFont="1" applyFill="1" applyAlignment="1">
      <alignment horizontal="left" wrapText="1"/>
    </xf>
    <xf numFmtId="0" fontId="46" fillId="4" borderId="0" xfId="0" applyFont="1" applyFill="1" applyAlignment="1">
      <alignment horizontal="left" vertical="center" wrapText="1"/>
    </xf>
    <xf numFmtId="0" fontId="66" fillId="13" borderId="0" xfId="0" applyFont="1" applyFill="1" applyBorder="1" applyAlignment="1">
      <alignment horizontal="center" vertical="center" wrapText="1"/>
    </xf>
    <xf numFmtId="0" fontId="47" fillId="18" borderId="0" xfId="0" applyFont="1" applyFill="1" applyAlignment="1">
      <alignment horizontal="left" vertical="center" wrapText="1"/>
    </xf>
    <xf numFmtId="0" fontId="47" fillId="19" borderId="0" xfId="0" applyFont="1" applyFill="1" applyAlignment="1">
      <alignment horizontal="left" vertical="center" wrapText="1"/>
    </xf>
    <xf numFmtId="0" fontId="66" fillId="7" borderId="0" xfId="0" applyFont="1" applyFill="1" applyBorder="1" applyAlignment="1">
      <alignment horizontal="center" vertical="center" wrapText="1"/>
    </xf>
    <xf numFmtId="0" fontId="47" fillId="4" borderId="0" xfId="0" applyFont="1" applyFill="1" applyAlignment="1">
      <alignment horizontal="left" vertical="center" wrapText="1"/>
    </xf>
    <xf numFmtId="0" fontId="67" fillId="12" borderId="0" xfId="0" applyFont="1" applyFill="1" applyAlignment="1">
      <alignment horizontal="left" vertical="center" wrapText="1"/>
    </xf>
    <xf numFmtId="0" fontId="0" fillId="0" borderId="0" xfId="0" applyAlignment="1">
      <alignment horizontal="center"/>
    </xf>
    <xf numFmtId="0" fontId="68" fillId="12"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colors>
    <mruColors>
      <color rgb="FF00FFCC"/>
      <color rgb="FFFFFF00"/>
      <color rgb="FF000099"/>
      <color rgb="FF3399FF"/>
      <color rgb="FF663300"/>
      <color rgb="FF9AF0A8"/>
      <color rgb="FFFF9900"/>
      <color rgb="FFFFCC99"/>
      <color rgb="FF3366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447675</xdr:colOff>
      <xdr:row>15</xdr:row>
      <xdr:rowOff>76200</xdr:rowOff>
    </xdr:from>
    <xdr:to>
      <xdr:col>2</xdr:col>
      <xdr:colOff>493394</xdr:colOff>
      <xdr:row>16</xdr:row>
      <xdr:rowOff>171450</xdr:rowOff>
    </xdr:to>
    <xdr:sp macro="" textlink="">
      <xdr:nvSpPr>
        <xdr:cNvPr id="4" name="Right Brace 3"/>
        <xdr:cNvSpPr/>
      </xdr:nvSpPr>
      <xdr:spPr>
        <a:xfrm>
          <a:off x="2762250" y="9763125"/>
          <a:ext cx="45719" cy="295275"/>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1133475</xdr:colOff>
      <xdr:row>2</xdr:row>
      <xdr:rowOff>104775</xdr:rowOff>
    </xdr:from>
    <xdr:to>
      <xdr:col>0</xdr:col>
      <xdr:colOff>5476874</xdr:colOff>
      <xdr:row>9</xdr:row>
      <xdr:rowOff>73569</xdr:rowOff>
    </xdr:to>
    <xdr:pic>
      <xdr:nvPicPr>
        <xdr:cNvPr id="4" name="Picture 3" descr="indx_bg.jpg"/>
        <xdr:cNvPicPr>
          <a:picLocks noChangeAspect="1"/>
        </xdr:cNvPicPr>
      </xdr:nvPicPr>
      <xdr:blipFill>
        <a:blip xmlns:r="http://schemas.openxmlformats.org/officeDocument/2006/relationships" r:embed="rId1"/>
        <a:stretch>
          <a:fillRect/>
        </a:stretch>
      </xdr:blipFill>
      <xdr:spPr>
        <a:xfrm>
          <a:off x="1133475" y="609600"/>
          <a:ext cx="4343399" cy="1473744"/>
        </a:xfrm>
        <a:prstGeom prst="rect">
          <a:avLst/>
        </a:prstGeom>
      </xdr:spPr>
    </xdr:pic>
    <xdr:clientData/>
  </xdr:twoCellAnchor>
  <xdr:twoCellAnchor editAs="oneCell">
    <xdr:from>
      <xdr:col>0</xdr:col>
      <xdr:colOff>1291947</xdr:colOff>
      <xdr:row>2</xdr:row>
      <xdr:rowOff>22498</xdr:rowOff>
    </xdr:from>
    <xdr:to>
      <xdr:col>0</xdr:col>
      <xdr:colOff>5308919</xdr:colOff>
      <xdr:row>9</xdr:row>
      <xdr:rowOff>133350</xdr:rowOff>
    </xdr:to>
    <xdr:pic>
      <xdr:nvPicPr>
        <xdr:cNvPr id="5" name="Picture 4" descr="indx_text.gif"/>
        <xdr:cNvPicPr>
          <a:picLocks noChangeAspect="1"/>
        </xdr:cNvPicPr>
      </xdr:nvPicPr>
      <xdr:blipFill>
        <a:blip xmlns:r="http://schemas.openxmlformats.org/officeDocument/2006/relationships" r:embed="rId2"/>
        <a:stretch>
          <a:fillRect/>
        </a:stretch>
      </xdr:blipFill>
      <xdr:spPr>
        <a:xfrm>
          <a:off x="1291947" y="527323"/>
          <a:ext cx="4016972" cy="16158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695326</xdr:colOff>
      <xdr:row>2</xdr:row>
      <xdr:rowOff>95250</xdr:rowOff>
    </xdr:from>
    <xdr:to>
      <xdr:col>5</xdr:col>
      <xdr:colOff>180975</xdr:colOff>
      <xdr:row>9</xdr:row>
      <xdr:rowOff>35469</xdr:rowOff>
    </xdr:to>
    <xdr:pic>
      <xdr:nvPicPr>
        <xdr:cNvPr id="2" name="Picture 1" descr="indx_bg.jpg"/>
        <xdr:cNvPicPr>
          <a:picLocks noChangeAspect="1"/>
        </xdr:cNvPicPr>
      </xdr:nvPicPr>
      <xdr:blipFill>
        <a:blip xmlns:r="http://schemas.openxmlformats.org/officeDocument/2006/relationships" r:embed="rId1"/>
        <a:stretch>
          <a:fillRect/>
        </a:stretch>
      </xdr:blipFill>
      <xdr:spPr>
        <a:xfrm>
          <a:off x="695326" y="600075"/>
          <a:ext cx="4714874" cy="1473744"/>
        </a:xfrm>
        <a:prstGeom prst="rect">
          <a:avLst/>
        </a:prstGeom>
      </xdr:spPr>
    </xdr:pic>
    <xdr:clientData/>
  </xdr:twoCellAnchor>
  <xdr:twoCellAnchor editAs="oneCell">
    <xdr:from>
      <xdr:col>1</xdr:col>
      <xdr:colOff>190500</xdr:colOff>
      <xdr:row>2</xdr:row>
      <xdr:rowOff>12973</xdr:rowOff>
    </xdr:from>
    <xdr:to>
      <xdr:col>4</xdr:col>
      <xdr:colOff>476250</xdr:colOff>
      <xdr:row>9</xdr:row>
      <xdr:rowOff>95250</xdr:rowOff>
    </xdr:to>
    <xdr:pic>
      <xdr:nvPicPr>
        <xdr:cNvPr id="3" name="Picture 2" descr="indx_text.gif"/>
        <xdr:cNvPicPr>
          <a:picLocks noChangeAspect="1"/>
        </xdr:cNvPicPr>
      </xdr:nvPicPr>
      <xdr:blipFill>
        <a:blip xmlns:r="http://schemas.openxmlformats.org/officeDocument/2006/relationships" r:embed="rId2"/>
        <a:stretch>
          <a:fillRect/>
        </a:stretch>
      </xdr:blipFill>
      <xdr:spPr>
        <a:xfrm>
          <a:off x="914400" y="517798"/>
          <a:ext cx="4181475" cy="16158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Website%20making\SGSY\SGSY_Bank%20_Monthly%20report_june201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P&amp;Bank branch of SGSY.nnn.f_"/>
      <sheetName val="Backward village report,.cancel"/>
      <sheetName val="Backward village report (2)"/>
      <sheetName val="Due for Ist Grading"/>
      <sheetName val="Sheet1"/>
      <sheetName val="alunda"/>
      <sheetName val="NAGARI"/>
      <sheetName val="Sheet4"/>
    </sheetNames>
    <sheetDataSet>
      <sheetData sheetId="0"/>
      <sheetData sheetId="1"/>
      <sheetData sheetId="2">
        <row r="6">
          <cell r="F6">
            <v>72</v>
          </cell>
        </row>
        <row r="7">
          <cell r="F7">
            <v>50</v>
          </cell>
        </row>
        <row r="8">
          <cell r="F8">
            <v>40</v>
          </cell>
        </row>
        <row r="9">
          <cell r="F9">
            <v>56</v>
          </cell>
        </row>
        <row r="10">
          <cell r="F10">
            <v>82</v>
          </cell>
        </row>
        <row r="11">
          <cell r="F11">
            <v>64</v>
          </cell>
        </row>
        <row r="12">
          <cell r="F12">
            <v>35</v>
          </cell>
        </row>
        <row r="13">
          <cell r="F13">
            <v>45</v>
          </cell>
        </row>
        <row r="14">
          <cell r="F14">
            <v>79</v>
          </cell>
        </row>
        <row r="15">
          <cell r="F15">
            <v>51</v>
          </cell>
        </row>
        <row r="16">
          <cell r="F16">
            <v>24</v>
          </cell>
        </row>
        <row r="17">
          <cell r="F17">
            <v>70</v>
          </cell>
        </row>
        <row r="18">
          <cell r="F18">
            <v>245</v>
          </cell>
        </row>
        <row r="19">
          <cell r="F19">
            <v>22</v>
          </cell>
        </row>
        <row r="20">
          <cell r="F20">
            <v>45</v>
          </cell>
        </row>
        <row r="21">
          <cell r="F21">
            <v>22</v>
          </cell>
        </row>
        <row r="22">
          <cell r="F22">
            <v>67</v>
          </cell>
        </row>
        <row r="23">
          <cell r="F23">
            <v>55</v>
          </cell>
        </row>
        <row r="24">
          <cell r="F24">
            <v>22</v>
          </cell>
        </row>
        <row r="25">
          <cell r="F25">
            <v>89</v>
          </cell>
        </row>
        <row r="26">
          <cell r="F26">
            <v>66</v>
          </cell>
        </row>
        <row r="27">
          <cell r="F27">
            <v>132</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wbprd.org/rhs" TargetMode="External"/><Relationship Id="rId7" Type="http://schemas.openxmlformats.org/officeDocument/2006/relationships/printerSettings" Target="../printerSettings/printerSettings1.bin"/><Relationship Id="rId2" Type="http://schemas.openxmlformats.org/officeDocument/2006/relationships/hyperlink" Target="http://www.wbprd.gov.in/" TargetMode="External"/><Relationship Id="rId1" Type="http://schemas.openxmlformats.org/officeDocument/2006/relationships/hyperlink" Target="http://www.wbmdfc.org/" TargetMode="External"/><Relationship Id="rId6" Type="http://schemas.openxmlformats.org/officeDocument/2006/relationships/hyperlink" Target="http://www.wbsrdagpms.org/" TargetMode="External"/><Relationship Id="rId5" Type="http://schemas.openxmlformats.org/officeDocument/2006/relationships/hyperlink" Target="http://www.birbhum.nic.in/" TargetMode="External"/><Relationship Id="rId4" Type="http://schemas.openxmlformats.org/officeDocument/2006/relationships/hyperlink" Target="http://www.wbfin.nic.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tabColor rgb="FFFF9900"/>
  </sheetPr>
  <dimension ref="B1:D87"/>
  <sheetViews>
    <sheetView tabSelected="1" workbookViewId="0">
      <selection activeCell="F7" sqref="F7"/>
    </sheetView>
  </sheetViews>
  <sheetFormatPr defaultRowHeight="14.25"/>
  <cols>
    <col min="1" max="1" width="2.7109375" style="1" customWidth="1"/>
    <col min="2" max="2" width="23" style="166" customWidth="1"/>
    <col min="3" max="3" width="27.5703125" style="1" customWidth="1"/>
    <col min="4" max="4" width="22" style="1" customWidth="1"/>
    <col min="5" max="5" width="9.140625" style="1"/>
    <col min="6" max="6" width="40.28515625" style="1" customWidth="1"/>
    <col min="7" max="16384" width="9.140625" style="1"/>
  </cols>
  <sheetData>
    <row r="1" spans="2:4">
      <c r="B1" s="166" t="s">
        <v>715</v>
      </c>
    </row>
    <row r="2" spans="2:4">
      <c r="B2" s="166" t="s">
        <v>554</v>
      </c>
      <c r="C2" s="1" t="s">
        <v>555</v>
      </c>
    </row>
    <row r="3" spans="2:4" ht="15" customHeight="1">
      <c r="C3" s="249" t="s">
        <v>730</v>
      </c>
      <c r="D3" s="249"/>
    </row>
    <row r="4" spans="2:4" ht="15">
      <c r="B4" s="166" t="s">
        <v>556</v>
      </c>
      <c r="D4" s="183" t="s">
        <v>620</v>
      </c>
    </row>
    <row r="5" spans="2:4" ht="15">
      <c r="D5" s="183" t="s">
        <v>621</v>
      </c>
    </row>
    <row r="6" spans="2:4" ht="16.5">
      <c r="B6" s="196" t="s">
        <v>557</v>
      </c>
      <c r="C6" s="167" t="s">
        <v>610</v>
      </c>
    </row>
    <row r="7" spans="2:4" ht="16.5" customHeight="1">
      <c r="B7" s="196"/>
      <c r="C7" s="167" t="s">
        <v>611</v>
      </c>
    </row>
    <row r="8" spans="2:4" ht="16.5">
      <c r="B8" s="196"/>
      <c r="C8" s="167" t="s">
        <v>612</v>
      </c>
    </row>
    <row r="9" spans="2:4">
      <c r="B9" s="166" t="s">
        <v>558</v>
      </c>
    </row>
    <row r="10" spans="2:4">
      <c r="B10" s="166" t="s">
        <v>341</v>
      </c>
    </row>
    <row r="11" spans="2:4">
      <c r="B11" s="166" t="s">
        <v>358</v>
      </c>
    </row>
    <row r="12" spans="2:4">
      <c r="B12" s="166" t="s">
        <v>559</v>
      </c>
    </row>
    <row r="13" spans="2:4">
      <c r="C13" s="1" t="s">
        <v>560</v>
      </c>
    </row>
    <row r="14" spans="2:4">
      <c r="C14" s="162" t="s">
        <v>562</v>
      </c>
      <c r="D14" s="162" t="s">
        <v>565</v>
      </c>
    </row>
    <row r="15" spans="2:4">
      <c r="D15" s="162" t="s">
        <v>566</v>
      </c>
    </row>
    <row r="16" spans="2:4">
      <c r="D16" s="162" t="s">
        <v>567</v>
      </c>
    </row>
    <row r="17" spans="2:3">
      <c r="C17" s="1" t="s">
        <v>561</v>
      </c>
    </row>
    <row r="18" spans="2:3">
      <c r="C18" s="1" t="s">
        <v>564</v>
      </c>
    </row>
    <row r="19" spans="2:3">
      <c r="C19" s="1" t="s">
        <v>563</v>
      </c>
    </row>
    <row r="20" spans="2:3">
      <c r="C20" s="1" t="s">
        <v>367</v>
      </c>
    </row>
    <row r="21" spans="2:3">
      <c r="C21" s="1" t="s">
        <v>568</v>
      </c>
    </row>
    <row r="22" spans="2:3">
      <c r="C22" s="1" t="s">
        <v>569</v>
      </c>
    </row>
    <row r="23" spans="2:3">
      <c r="C23" s="1" t="s">
        <v>570</v>
      </c>
    </row>
    <row r="24" spans="2:3">
      <c r="B24" s="1"/>
    </row>
    <row r="25" spans="2:3">
      <c r="B25" s="166" t="s">
        <v>571</v>
      </c>
    </row>
    <row r="26" spans="2:3">
      <c r="B26" s="166" t="s">
        <v>723</v>
      </c>
    </row>
    <row r="27" spans="2:3">
      <c r="B27" s="197" t="s">
        <v>575</v>
      </c>
      <c r="C27" s="1" t="s">
        <v>406</v>
      </c>
    </row>
    <row r="28" spans="2:3">
      <c r="B28" s="197"/>
      <c r="C28" s="1" t="s">
        <v>592</v>
      </c>
    </row>
    <row r="29" spans="2:3">
      <c r="B29" s="197"/>
      <c r="C29" s="1" t="s">
        <v>412</v>
      </c>
    </row>
    <row r="30" spans="2:3">
      <c r="B30" s="197"/>
      <c r="C30" s="1" t="s">
        <v>462</v>
      </c>
    </row>
    <row r="31" spans="2:3">
      <c r="B31" s="197"/>
      <c r="C31" s="1" t="s">
        <v>585</v>
      </c>
    </row>
    <row r="32" spans="2:3">
      <c r="B32" s="197"/>
      <c r="C32" s="1" t="s">
        <v>577</v>
      </c>
    </row>
    <row r="33" spans="2:4">
      <c r="B33" s="197"/>
      <c r="C33" s="1" t="s">
        <v>576</v>
      </c>
    </row>
    <row r="34" spans="2:4">
      <c r="B34" s="197"/>
      <c r="C34" s="1" t="s">
        <v>578</v>
      </c>
    </row>
    <row r="35" spans="2:4">
      <c r="B35" s="166" t="s">
        <v>572</v>
      </c>
    </row>
    <row r="36" spans="2:4">
      <c r="C36" s="1" t="s">
        <v>573</v>
      </c>
    </row>
    <row r="37" spans="2:4" ht="16.5" customHeight="1">
      <c r="C37" s="1" t="s">
        <v>574</v>
      </c>
    </row>
    <row r="38" spans="2:4" ht="18.75" customHeight="1">
      <c r="C38" s="162" t="s">
        <v>579</v>
      </c>
      <c r="D38" s="162" t="s">
        <v>580</v>
      </c>
    </row>
    <row r="39" spans="2:4">
      <c r="D39" s="162" t="s">
        <v>581</v>
      </c>
    </row>
    <row r="40" spans="2:4">
      <c r="C40" s="1" t="s">
        <v>582</v>
      </c>
    </row>
    <row r="41" spans="2:4">
      <c r="C41" s="1" t="s">
        <v>583</v>
      </c>
    </row>
    <row r="42" spans="2:4">
      <c r="C42" s="1" t="s">
        <v>625</v>
      </c>
    </row>
    <row r="43" spans="2:4">
      <c r="C43" s="1" t="s">
        <v>584</v>
      </c>
    </row>
    <row r="44" spans="2:4">
      <c r="B44" s="166" t="s">
        <v>586</v>
      </c>
    </row>
    <row r="45" spans="2:4">
      <c r="B45" s="166" t="s">
        <v>587</v>
      </c>
    </row>
    <row r="46" spans="2:4">
      <c r="B46" s="166" t="s">
        <v>588</v>
      </c>
    </row>
    <row r="47" spans="2:4">
      <c r="B47" s="166" t="s">
        <v>589</v>
      </c>
    </row>
    <row r="48" spans="2:4">
      <c r="B48" s="166" t="s">
        <v>590</v>
      </c>
    </row>
    <row r="51" spans="2:4" ht="15">
      <c r="B51" s="166" t="s">
        <v>591</v>
      </c>
      <c r="C51" s="164" t="s">
        <v>618</v>
      </c>
      <c r="D51" s="165" t="s">
        <v>619</v>
      </c>
    </row>
    <row r="53" spans="2:4">
      <c r="C53" s="1" t="s">
        <v>595</v>
      </c>
      <c r="D53" s="1" t="s">
        <v>594</v>
      </c>
    </row>
    <row r="54" spans="2:4" ht="12" customHeight="1">
      <c r="C54" s="1" t="s">
        <v>601</v>
      </c>
      <c r="D54" s="1" t="s">
        <v>598</v>
      </c>
    </row>
    <row r="55" spans="2:4">
      <c r="C55" s="1" t="s">
        <v>596</v>
      </c>
      <c r="D55" s="1" t="s">
        <v>593</v>
      </c>
    </row>
    <row r="56" spans="2:4" ht="28.5">
      <c r="C56" s="1" t="s">
        <v>602</v>
      </c>
      <c r="D56" s="1" t="s">
        <v>597</v>
      </c>
    </row>
    <row r="57" spans="2:4">
      <c r="C57" s="1" t="s">
        <v>623</v>
      </c>
    </row>
    <row r="58" spans="2:4">
      <c r="C58" s="1" t="s">
        <v>624</v>
      </c>
    </row>
    <row r="59" spans="2:4">
      <c r="C59" s="1" t="s">
        <v>599</v>
      </c>
    </row>
    <row r="60" spans="2:4">
      <c r="C60" s="1" t="s">
        <v>600</v>
      </c>
    </row>
    <row r="61" spans="2:4">
      <c r="C61" s="1" t="s">
        <v>613</v>
      </c>
    </row>
    <row r="62" spans="2:4">
      <c r="C62" s="1" t="s">
        <v>614</v>
      </c>
    </row>
    <row r="63" spans="2:4" ht="13.5" customHeight="1">
      <c r="C63" s="1" t="s">
        <v>622</v>
      </c>
    </row>
    <row r="64" spans="2:4" ht="13.5" customHeight="1"/>
    <row r="67" spans="2:3">
      <c r="B67" s="166" t="s">
        <v>615</v>
      </c>
      <c r="C67" s="1" t="s">
        <v>616</v>
      </c>
    </row>
    <row r="68" spans="2:3">
      <c r="C68" s="1" t="s">
        <v>617</v>
      </c>
    </row>
    <row r="70" spans="2:3">
      <c r="B70" s="166" t="s">
        <v>603</v>
      </c>
      <c r="C70" s="1" t="s">
        <v>604</v>
      </c>
    </row>
    <row r="71" spans="2:3" ht="16.5" customHeight="1">
      <c r="C71" s="1" t="s">
        <v>605</v>
      </c>
    </row>
    <row r="72" spans="2:3" ht="16.5" customHeight="1">
      <c r="C72" s="1" t="s">
        <v>606</v>
      </c>
    </row>
    <row r="73" spans="2:3" ht="28.5">
      <c r="C73" s="1" t="s">
        <v>607</v>
      </c>
    </row>
    <row r="74" spans="2:3">
      <c r="B74" s="166" t="s">
        <v>608</v>
      </c>
    </row>
    <row r="75" spans="2:3">
      <c r="B75" s="166" t="s">
        <v>609</v>
      </c>
    </row>
    <row r="76" spans="2:3" ht="16.5" customHeight="1">
      <c r="B76" s="166" t="s">
        <v>699</v>
      </c>
      <c r="C76" s="182" t="s">
        <v>698</v>
      </c>
    </row>
    <row r="77" spans="2:3" ht="15">
      <c r="C77" s="182" t="s">
        <v>694</v>
      </c>
    </row>
    <row r="78" spans="2:3" ht="15">
      <c r="C78" s="182" t="s">
        <v>695</v>
      </c>
    </row>
    <row r="79" spans="2:3" ht="15">
      <c r="C79" s="182" t="s">
        <v>696</v>
      </c>
    </row>
    <row r="80" spans="2:3" ht="15">
      <c r="C80" s="182"/>
    </row>
    <row r="81" spans="3:3" ht="15">
      <c r="C81" s="182" t="s">
        <v>697</v>
      </c>
    </row>
    <row r="82" spans="3:3" ht="12.75" customHeight="1">
      <c r="C82" s="182" t="s">
        <v>700</v>
      </c>
    </row>
    <row r="83" spans="3:3" ht="15">
      <c r="C83" s="182"/>
    </row>
    <row r="84" spans="3:3" ht="15">
      <c r="C84" s="182"/>
    </row>
    <row r="85" spans="3:3" ht="15">
      <c r="C85" s="182"/>
    </row>
    <row r="86" spans="3:3" ht="15">
      <c r="C86" s="182"/>
    </row>
    <row r="87" spans="3:3" ht="15">
      <c r="C87" s="182"/>
    </row>
  </sheetData>
  <mergeCells count="3">
    <mergeCell ref="B6:B8"/>
    <mergeCell ref="B27:B34"/>
    <mergeCell ref="C3:D3"/>
  </mergeCells>
  <hyperlinks>
    <hyperlink ref="C77" r:id="rId1"/>
    <hyperlink ref="C78" r:id="rId2"/>
    <hyperlink ref="C79" r:id="rId3"/>
    <hyperlink ref="C81" r:id="rId4"/>
    <hyperlink ref="C76" r:id="rId5"/>
    <hyperlink ref="C82" r:id="rId6"/>
  </hyperlinks>
  <pageMargins left="0.7" right="0.7" top="0.75" bottom="0.75" header="0.3" footer="0.3"/>
  <pageSetup orientation="portrait" verticalDpi="0" r:id="rId7"/>
</worksheet>
</file>

<file path=xl/worksheets/sheet2.xml><?xml version="1.0" encoding="utf-8"?>
<worksheet xmlns="http://schemas.openxmlformats.org/spreadsheetml/2006/main" xmlns:r="http://schemas.openxmlformats.org/officeDocument/2006/relationships">
  <sheetPr>
    <tabColor rgb="FF00FFCC"/>
  </sheetPr>
  <dimension ref="B3:K26"/>
  <sheetViews>
    <sheetView workbookViewId="0">
      <selection activeCell="N4" sqref="N4"/>
    </sheetView>
  </sheetViews>
  <sheetFormatPr defaultRowHeight="15"/>
  <cols>
    <col min="1" max="1" width="4.7109375" style="1" customWidth="1"/>
    <col min="2" max="2" width="6.28515625" style="170" customWidth="1"/>
    <col min="3" max="3" width="27.7109375" style="1" customWidth="1"/>
    <col min="4" max="4" width="16" style="1" customWidth="1"/>
    <col min="5" max="5" width="12" style="1" customWidth="1"/>
    <col min="6" max="6" width="13.42578125" style="1" customWidth="1"/>
    <col min="7" max="7" width="3.85546875" style="1" customWidth="1"/>
    <col min="8" max="8" width="6.28515625" style="1" customWidth="1"/>
    <col min="9" max="9" width="21.5703125" style="1" customWidth="1"/>
    <col min="10" max="10" width="14.140625" style="1" customWidth="1"/>
    <col min="11" max="11" width="13.85546875" style="1" customWidth="1"/>
    <col min="12" max="16384" width="9.140625" style="1"/>
  </cols>
  <sheetData>
    <row r="3" spans="2:11" ht="33.75" customHeight="1">
      <c r="B3" s="198" t="s">
        <v>703</v>
      </c>
      <c r="C3" s="198"/>
      <c r="D3" s="198"/>
      <c r="E3" s="198"/>
      <c r="F3" s="198"/>
      <c r="H3" s="199" t="s">
        <v>631</v>
      </c>
      <c r="I3" s="199"/>
      <c r="J3" s="199"/>
      <c r="K3" s="199"/>
    </row>
    <row r="4" spans="2:11">
      <c r="H4" s="163"/>
    </row>
    <row r="5" spans="2:11" s="169" customFormat="1" ht="19.5" customHeight="1">
      <c r="B5" s="174" t="s">
        <v>626</v>
      </c>
      <c r="C5" s="200" t="s">
        <v>629</v>
      </c>
      <c r="D5" s="201"/>
      <c r="E5" s="175" t="s">
        <v>627</v>
      </c>
      <c r="F5" s="173" t="s">
        <v>628</v>
      </c>
      <c r="G5" s="173"/>
      <c r="H5" s="173" t="s">
        <v>626</v>
      </c>
      <c r="I5" s="173" t="s">
        <v>630</v>
      </c>
      <c r="J5" s="173" t="s">
        <v>627</v>
      </c>
      <c r="K5" s="173" t="s">
        <v>628</v>
      </c>
    </row>
    <row r="6" spans="2:11">
      <c r="B6" s="171"/>
      <c r="C6" s="171"/>
      <c r="D6" s="171"/>
      <c r="E6" s="171"/>
      <c r="F6" s="171"/>
      <c r="G6" s="171"/>
      <c r="H6" s="171"/>
      <c r="I6" s="171"/>
      <c r="J6" s="171"/>
      <c r="K6" s="171"/>
    </row>
    <row r="7" spans="2:11" ht="15" customHeight="1">
      <c r="B7" s="176">
        <v>1</v>
      </c>
      <c r="C7" s="178" t="s">
        <v>632</v>
      </c>
      <c r="D7" s="177" t="s">
        <v>633</v>
      </c>
      <c r="E7" s="176" t="s">
        <v>649</v>
      </c>
      <c r="F7" s="176" t="s">
        <v>650</v>
      </c>
      <c r="G7" s="170"/>
      <c r="H7" s="172">
        <v>1</v>
      </c>
      <c r="I7" s="180" t="s">
        <v>669</v>
      </c>
      <c r="J7" s="176" t="s">
        <v>649</v>
      </c>
      <c r="K7" s="172" t="s">
        <v>672</v>
      </c>
    </row>
    <row r="8" spans="2:11">
      <c r="B8" s="176">
        <v>2</v>
      </c>
      <c r="C8" s="178" t="s">
        <v>634</v>
      </c>
      <c r="D8" s="177" t="s">
        <v>635</v>
      </c>
      <c r="E8" s="176" t="str">
        <f>F7</f>
        <v>25.09.1978</v>
      </c>
      <c r="F8" s="176" t="s">
        <v>651</v>
      </c>
      <c r="G8" s="170"/>
      <c r="H8" s="172">
        <v>2</v>
      </c>
      <c r="I8" s="180" t="s">
        <v>670</v>
      </c>
      <c r="J8" s="172" t="s">
        <v>673</v>
      </c>
      <c r="K8" s="172" t="s">
        <v>674</v>
      </c>
    </row>
    <row r="9" spans="2:11">
      <c r="B9" s="176">
        <v>3</v>
      </c>
      <c r="C9" s="178" t="s">
        <v>632</v>
      </c>
      <c r="D9" s="177" t="s">
        <v>633</v>
      </c>
      <c r="E9" s="176" t="str">
        <f t="shared" ref="E9:E25" si="0">F8</f>
        <v>15.12.1978</v>
      </c>
      <c r="F9" s="176" t="s">
        <v>652</v>
      </c>
      <c r="G9" s="170"/>
      <c r="H9" s="172">
        <v>3</v>
      </c>
      <c r="I9" s="180" t="s">
        <v>671</v>
      </c>
      <c r="J9" s="172" t="s">
        <v>675</v>
      </c>
      <c r="K9" s="172" t="s">
        <v>676</v>
      </c>
    </row>
    <row r="10" spans="2:11">
      <c r="B10" s="176">
        <v>4</v>
      </c>
      <c r="C10" s="178" t="s">
        <v>687</v>
      </c>
      <c r="D10" s="177" t="s">
        <v>633</v>
      </c>
      <c r="E10" s="176" t="str">
        <f t="shared" si="0"/>
        <v>25.01.1979</v>
      </c>
      <c r="F10" s="176" t="s">
        <v>653</v>
      </c>
      <c r="G10" s="170"/>
      <c r="H10" s="172">
        <v>4</v>
      </c>
      <c r="I10" s="180" t="s">
        <v>691</v>
      </c>
      <c r="J10" s="172" t="s">
        <v>677</v>
      </c>
      <c r="K10" s="172" t="s">
        <v>678</v>
      </c>
    </row>
    <row r="11" spans="2:11">
      <c r="B11" s="176">
        <v>5</v>
      </c>
      <c r="C11" s="178" t="s">
        <v>636</v>
      </c>
      <c r="D11" s="177" t="s">
        <v>635</v>
      </c>
      <c r="E11" s="176" t="str">
        <f t="shared" si="0"/>
        <v>06.11.1980</v>
      </c>
      <c r="F11" s="176" t="s">
        <v>654</v>
      </c>
      <c r="G11" s="170"/>
      <c r="H11" s="172">
        <v>5</v>
      </c>
      <c r="I11" s="180" t="s">
        <v>692</v>
      </c>
      <c r="J11" s="172" t="s">
        <v>679</v>
      </c>
      <c r="K11" s="172" t="s">
        <v>681</v>
      </c>
    </row>
    <row r="12" spans="2:11">
      <c r="B12" s="176">
        <v>6</v>
      </c>
      <c r="C12" s="178" t="s">
        <v>637</v>
      </c>
      <c r="D12" s="177" t="s">
        <v>633</v>
      </c>
      <c r="E12" s="176" t="str">
        <f t="shared" si="0"/>
        <v>08.01.1981</v>
      </c>
      <c r="F12" s="176" t="s">
        <v>655</v>
      </c>
      <c r="G12" s="170"/>
      <c r="H12" s="172">
        <v>6</v>
      </c>
      <c r="I12" s="180" t="s">
        <v>691</v>
      </c>
      <c r="J12" s="172" t="s">
        <v>682</v>
      </c>
      <c r="K12" s="172" t="s">
        <v>683</v>
      </c>
    </row>
    <row r="13" spans="2:11">
      <c r="B13" s="176">
        <v>7</v>
      </c>
      <c r="C13" s="178" t="s">
        <v>638</v>
      </c>
      <c r="D13" s="177" t="s">
        <v>633</v>
      </c>
      <c r="E13" s="176" t="str">
        <f t="shared" si="0"/>
        <v>08.05.1986</v>
      </c>
      <c r="F13" s="176" t="s">
        <v>656</v>
      </c>
      <c r="G13" s="170"/>
      <c r="H13" s="172">
        <v>7</v>
      </c>
      <c r="I13" s="181" t="s">
        <v>693</v>
      </c>
      <c r="J13" s="172" t="s">
        <v>684</v>
      </c>
      <c r="K13" s="172" t="s">
        <v>680</v>
      </c>
    </row>
    <row r="14" spans="2:11">
      <c r="B14" s="176">
        <v>8</v>
      </c>
      <c r="C14" s="178" t="s">
        <v>639</v>
      </c>
      <c r="D14" s="177" t="s">
        <v>633</v>
      </c>
      <c r="E14" s="176" t="str">
        <f t="shared" si="0"/>
        <v>01.07.1991</v>
      </c>
      <c r="F14" s="176" t="s">
        <v>657</v>
      </c>
      <c r="G14" s="170"/>
      <c r="H14" s="170"/>
      <c r="I14" s="170"/>
      <c r="J14" s="170"/>
      <c r="K14" s="170"/>
    </row>
    <row r="15" spans="2:11">
      <c r="B15" s="176">
        <v>9</v>
      </c>
      <c r="C15" s="178" t="s">
        <v>640</v>
      </c>
      <c r="D15" s="177" t="s">
        <v>633</v>
      </c>
      <c r="E15" s="176" t="str">
        <f t="shared" si="0"/>
        <v>04.09.1992</v>
      </c>
      <c r="F15" s="176" t="s">
        <v>658</v>
      </c>
      <c r="G15" s="170"/>
      <c r="H15" s="170"/>
      <c r="I15" s="170"/>
      <c r="J15" s="170"/>
      <c r="K15" s="170"/>
    </row>
    <row r="16" spans="2:11">
      <c r="B16" s="176">
        <v>10</v>
      </c>
      <c r="C16" s="178" t="s">
        <v>641</v>
      </c>
      <c r="D16" s="177" t="s">
        <v>633</v>
      </c>
      <c r="E16" s="176" t="str">
        <f t="shared" si="0"/>
        <v>20.10.1997</v>
      </c>
      <c r="F16" s="176" t="s">
        <v>659</v>
      </c>
      <c r="G16" s="170"/>
      <c r="H16" s="170"/>
      <c r="I16" s="170"/>
      <c r="J16" s="170"/>
      <c r="K16" s="170"/>
    </row>
    <row r="17" spans="2:11">
      <c r="B17" s="176">
        <v>11</v>
      </c>
      <c r="C17" s="178" t="s">
        <v>642</v>
      </c>
      <c r="D17" s="177" t="s">
        <v>633</v>
      </c>
      <c r="E17" s="176" t="str">
        <f t="shared" si="0"/>
        <v>23.04.2002</v>
      </c>
      <c r="F17" s="176" t="s">
        <v>660</v>
      </c>
      <c r="G17" s="170"/>
      <c r="H17" s="170"/>
      <c r="I17" s="170"/>
      <c r="J17" s="170"/>
      <c r="K17" s="170"/>
    </row>
    <row r="18" spans="2:11">
      <c r="B18" s="176">
        <v>12</v>
      </c>
      <c r="C18" s="178" t="s">
        <v>688</v>
      </c>
      <c r="D18" s="177" t="s">
        <v>633</v>
      </c>
      <c r="E18" s="176" t="str">
        <f t="shared" si="0"/>
        <v>17.02.2004</v>
      </c>
      <c r="F18" s="176" t="s">
        <v>661</v>
      </c>
      <c r="G18" s="170"/>
      <c r="H18" s="170"/>
      <c r="I18" s="170"/>
      <c r="J18" s="170"/>
      <c r="K18" s="170"/>
    </row>
    <row r="19" spans="2:11">
      <c r="B19" s="176">
        <v>13</v>
      </c>
      <c r="C19" s="178" t="s">
        <v>689</v>
      </c>
      <c r="D19" s="177" t="s">
        <v>690</v>
      </c>
      <c r="E19" s="176" t="str">
        <f t="shared" si="0"/>
        <v>19.09.2005</v>
      </c>
      <c r="F19" s="176" t="s">
        <v>662</v>
      </c>
      <c r="G19" s="170"/>
      <c r="H19" s="170"/>
      <c r="I19" s="170"/>
      <c r="J19" s="170"/>
      <c r="K19" s="170"/>
    </row>
    <row r="20" spans="2:11">
      <c r="B20" s="176">
        <v>14</v>
      </c>
      <c r="C20" s="178" t="s">
        <v>643</v>
      </c>
      <c r="D20" s="177" t="s">
        <v>633</v>
      </c>
      <c r="E20" s="176" t="str">
        <f t="shared" si="0"/>
        <v>25.12.2005</v>
      </c>
      <c r="F20" s="176" t="s">
        <v>663</v>
      </c>
      <c r="G20" s="170"/>
      <c r="H20" s="170"/>
      <c r="I20" s="170"/>
      <c r="J20" s="170"/>
      <c r="K20" s="170"/>
    </row>
    <row r="21" spans="2:11">
      <c r="B21" s="176">
        <v>15</v>
      </c>
      <c r="C21" s="178" t="s">
        <v>644</v>
      </c>
      <c r="D21" s="177" t="s">
        <v>633</v>
      </c>
      <c r="E21" s="176" t="str">
        <f t="shared" si="0"/>
        <v>01.10.2007</v>
      </c>
      <c r="F21" s="176" t="s">
        <v>664</v>
      </c>
      <c r="G21" s="170"/>
      <c r="H21" s="170"/>
      <c r="I21" s="170"/>
      <c r="J21" s="170"/>
      <c r="K21" s="170"/>
    </row>
    <row r="22" spans="2:11" ht="16.5" customHeight="1">
      <c r="B22" s="176">
        <v>16</v>
      </c>
      <c r="C22" s="178" t="s">
        <v>645</v>
      </c>
      <c r="D22" s="177" t="s">
        <v>690</v>
      </c>
      <c r="E22" s="176" t="str">
        <f t="shared" si="0"/>
        <v>10.11.2009</v>
      </c>
      <c r="F22" s="176" t="s">
        <v>665</v>
      </c>
      <c r="G22" s="170"/>
      <c r="H22" s="170"/>
      <c r="I22" s="170"/>
      <c r="J22" s="170"/>
      <c r="K22" s="170"/>
    </row>
    <row r="23" spans="2:11">
      <c r="B23" s="176">
        <v>17</v>
      </c>
      <c r="C23" s="178" t="s">
        <v>647</v>
      </c>
      <c r="D23" s="177" t="s">
        <v>633</v>
      </c>
      <c r="E23" s="176" t="str">
        <f t="shared" si="0"/>
        <v>30.12.2009</v>
      </c>
      <c r="F23" s="176" t="s">
        <v>666</v>
      </c>
      <c r="G23" s="170"/>
      <c r="H23" s="170"/>
      <c r="I23" s="170"/>
      <c r="J23" s="170"/>
      <c r="K23" s="170"/>
    </row>
    <row r="24" spans="2:11">
      <c r="B24" s="176">
        <v>18</v>
      </c>
      <c r="C24" s="178" t="s">
        <v>646</v>
      </c>
      <c r="D24" s="177" t="s">
        <v>633</v>
      </c>
      <c r="E24" s="176" t="str">
        <f t="shared" si="0"/>
        <v>08.08.2010</v>
      </c>
      <c r="F24" s="176" t="s">
        <v>667</v>
      </c>
      <c r="G24" s="170"/>
      <c r="H24" s="170"/>
      <c r="I24" s="170"/>
      <c r="J24" s="170"/>
      <c r="K24" s="170"/>
    </row>
    <row r="25" spans="2:11" ht="16.5" customHeight="1">
      <c r="B25" s="176">
        <v>19</v>
      </c>
      <c r="C25" s="179" t="s">
        <v>648</v>
      </c>
      <c r="D25" s="177" t="s">
        <v>633</v>
      </c>
      <c r="E25" s="176" t="str">
        <f t="shared" si="0"/>
        <v>30.04.2010</v>
      </c>
      <c r="F25" s="176" t="s">
        <v>668</v>
      </c>
      <c r="G25" s="170"/>
      <c r="H25" s="170"/>
      <c r="I25" s="170"/>
      <c r="J25" s="170"/>
      <c r="K25" s="170"/>
    </row>
    <row r="26" spans="2:11">
      <c r="C26" s="170"/>
      <c r="D26" s="170"/>
      <c r="E26" s="170"/>
      <c r="F26" s="170"/>
      <c r="G26" s="170"/>
      <c r="H26" s="170"/>
      <c r="I26" s="170"/>
      <c r="J26" s="170"/>
      <c r="K26" s="170"/>
    </row>
  </sheetData>
  <mergeCells count="3">
    <mergeCell ref="B3:F3"/>
    <mergeCell ref="H3:K3"/>
    <mergeCell ref="C5:D5"/>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sheetPr>
    <tabColor rgb="FF00B050"/>
  </sheetPr>
  <dimension ref="A2:D39"/>
  <sheetViews>
    <sheetView topLeftCell="A10" workbookViewId="0">
      <selection activeCell="D26" sqref="D26"/>
    </sheetView>
  </sheetViews>
  <sheetFormatPr defaultColWidth="31.28515625" defaultRowHeight="14.25"/>
  <cols>
    <col min="1" max="1" width="6.85546875" style="4" customWidth="1"/>
    <col min="2" max="2" width="44.28515625" style="3" customWidth="1"/>
    <col min="3" max="3" width="34.85546875" style="5" customWidth="1"/>
    <col min="4" max="4" width="31.28515625" style="3"/>
    <col min="5" max="16384" width="31.28515625" style="1"/>
  </cols>
  <sheetData>
    <row r="2" spans="1:4" ht="18">
      <c r="B2" s="202" t="s">
        <v>318</v>
      </c>
      <c r="C2" s="202"/>
    </row>
    <row r="4" spans="1:4">
      <c r="A4" s="4">
        <v>1</v>
      </c>
      <c r="B4" s="3" t="s">
        <v>10</v>
      </c>
      <c r="C4" s="38" t="s">
        <v>0</v>
      </c>
    </row>
    <row r="5" spans="1:4">
      <c r="B5" s="3" t="s">
        <v>1</v>
      </c>
      <c r="C5" s="38" t="s">
        <v>2</v>
      </c>
    </row>
    <row r="6" spans="1:4" ht="28.5">
      <c r="A6" s="4">
        <v>2</v>
      </c>
      <c r="B6" s="3" t="s">
        <v>36</v>
      </c>
      <c r="C6" s="38" t="s">
        <v>37</v>
      </c>
    </row>
    <row r="7" spans="1:4">
      <c r="A7" s="4">
        <v>3</v>
      </c>
      <c r="B7" s="3" t="s">
        <v>38</v>
      </c>
      <c r="C7" s="38" t="s">
        <v>39</v>
      </c>
    </row>
    <row r="8" spans="1:4">
      <c r="C8" s="109" t="s">
        <v>40</v>
      </c>
    </row>
    <row r="9" spans="1:4" ht="28.5">
      <c r="A9" s="4">
        <v>4</v>
      </c>
      <c r="B9" s="3" t="s">
        <v>41</v>
      </c>
      <c r="C9" s="38" t="s">
        <v>42</v>
      </c>
    </row>
    <row r="10" spans="1:4">
      <c r="A10" s="4">
        <v>5</v>
      </c>
      <c r="B10" s="3" t="s">
        <v>5</v>
      </c>
      <c r="C10" s="38" t="s">
        <v>326</v>
      </c>
    </row>
    <row r="11" spans="1:4">
      <c r="A11" s="4">
        <v>6</v>
      </c>
      <c r="B11" s="3" t="s">
        <v>57</v>
      </c>
      <c r="C11" s="110" t="s">
        <v>327</v>
      </c>
      <c r="D11" s="3" t="s">
        <v>328</v>
      </c>
    </row>
    <row r="12" spans="1:4">
      <c r="A12" s="4">
        <v>7</v>
      </c>
      <c r="B12" s="132" t="s">
        <v>60</v>
      </c>
      <c r="C12" s="38" t="s">
        <v>61</v>
      </c>
    </row>
    <row r="13" spans="1:4">
      <c r="A13" s="4">
        <v>8</v>
      </c>
      <c r="B13" s="132" t="s">
        <v>58</v>
      </c>
      <c r="C13" s="38" t="s">
        <v>59</v>
      </c>
    </row>
    <row r="14" spans="1:4" ht="24.75" customHeight="1">
      <c r="A14" s="4">
        <v>9</v>
      </c>
      <c r="B14" s="3" t="s">
        <v>329</v>
      </c>
      <c r="C14" s="38">
        <v>110874</v>
      </c>
    </row>
    <row r="15" spans="1:4">
      <c r="B15" s="4" t="s">
        <v>3</v>
      </c>
      <c r="C15" s="38">
        <v>56657</v>
      </c>
    </row>
    <row r="16" spans="1:4">
      <c r="B16" s="4" t="s">
        <v>4</v>
      </c>
      <c r="C16" s="38">
        <v>54217</v>
      </c>
    </row>
    <row r="17" spans="1:3" ht="28.5">
      <c r="A17" s="4">
        <v>10</v>
      </c>
      <c r="B17" s="3" t="s">
        <v>330</v>
      </c>
      <c r="C17" s="38">
        <v>24977</v>
      </c>
    </row>
    <row r="18" spans="1:3">
      <c r="A18" s="4">
        <v>11</v>
      </c>
      <c r="B18" s="3" t="s">
        <v>7</v>
      </c>
      <c r="C18" s="38" t="s">
        <v>6</v>
      </c>
    </row>
    <row r="19" spans="1:3">
      <c r="A19" s="4">
        <v>12</v>
      </c>
      <c r="B19" s="3" t="s">
        <v>54</v>
      </c>
      <c r="C19" s="38" t="s">
        <v>53</v>
      </c>
    </row>
    <row r="20" spans="1:3">
      <c r="A20" s="4">
        <v>13</v>
      </c>
      <c r="B20" s="3" t="s">
        <v>55</v>
      </c>
      <c r="C20" s="38" t="s">
        <v>56</v>
      </c>
    </row>
    <row r="21" spans="1:3" ht="28.5">
      <c r="A21" s="4">
        <v>16</v>
      </c>
      <c r="B21" s="3" t="s">
        <v>315</v>
      </c>
      <c r="C21" s="38" t="s">
        <v>316</v>
      </c>
    </row>
    <row r="22" spans="1:3">
      <c r="C22" s="38" t="s">
        <v>317</v>
      </c>
    </row>
    <row r="23" spans="1:3">
      <c r="A23" s="4">
        <v>14</v>
      </c>
      <c r="B23" s="3" t="s">
        <v>11</v>
      </c>
      <c r="C23" s="109" t="s">
        <v>12</v>
      </c>
    </row>
    <row r="24" spans="1:3">
      <c r="A24" s="4">
        <v>15</v>
      </c>
      <c r="B24" s="3" t="s">
        <v>23</v>
      </c>
      <c r="C24" s="38" t="s">
        <v>24</v>
      </c>
    </row>
    <row r="25" spans="1:3">
      <c r="A25" s="4">
        <v>16</v>
      </c>
      <c r="B25" s="3" t="s">
        <v>8</v>
      </c>
      <c r="C25" s="38" t="s">
        <v>9</v>
      </c>
    </row>
    <row r="26" spans="1:3">
      <c r="A26" s="4">
        <v>17</v>
      </c>
      <c r="B26" s="3" t="s">
        <v>34</v>
      </c>
      <c r="C26" s="38" t="s">
        <v>13</v>
      </c>
    </row>
    <row r="27" spans="1:3">
      <c r="A27" s="4">
        <v>18</v>
      </c>
      <c r="B27" s="3" t="s">
        <v>35</v>
      </c>
      <c r="C27" s="109" t="s">
        <v>14</v>
      </c>
    </row>
    <row r="28" spans="1:3">
      <c r="A28" s="4">
        <v>19</v>
      </c>
      <c r="B28" s="3" t="s">
        <v>15</v>
      </c>
      <c r="C28" s="38" t="s">
        <v>331</v>
      </c>
    </row>
    <row r="29" spans="1:3">
      <c r="A29" s="4">
        <v>20</v>
      </c>
      <c r="B29" s="3" t="s">
        <v>16</v>
      </c>
      <c r="C29" s="103" t="s">
        <v>9</v>
      </c>
    </row>
    <row r="30" spans="1:3">
      <c r="A30" s="4">
        <v>21</v>
      </c>
      <c r="B30" s="105" t="s">
        <v>17</v>
      </c>
      <c r="C30" s="38"/>
    </row>
    <row r="31" spans="1:3">
      <c r="A31" s="8" t="s">
        <v>28</v>
      </c>
      <c r="B31" s="3" t="s">
        <v>22</v>
      </c>
      <c r="C31" s="109" t="s">
        <v>26</v>
      </c>
    </row>
    <row r="32" spans="1:3">
      <c r="A32" s="8" t="s">
        <v>29</v>
      </c>
      <c r="B32" s="3" t="s">
        <v>25</v>
      </c>
      <c r="C32" s="109" t="s">
        <v>26</v>
      </c>
    </row>
    <row r="33" spans="1:4">
      <c r="A33" s="8" t="s">
        <v>30</v>
      </c>
      <c r="B33" s="3" t="s">
        <v>19</v>
      </c>
      <c r="C33" s="38">
        <v>29</v>
      </c>
    </row>
    <row r="34" spans="1:4">
      <c r="A34" s="8" t="s">
        <v>31</v>
      </c>
      <c r="B34" s="3" t="s">
        <v>18</v>
      </c>
      <c r="C34" s="103">
        <v>120</v>
      </c>
      <c r="D34" s="3" t="s">
        <v>177</v>
      </c>
    </row>
    <row r="35" spans="1:4">
      <c r="A35" s="8" t="s">
        <v>32</v>
      </c>
      <c r="B35" s="3" t="s">
        <v>312</v>
      </c>
      <c r="C35" s="104" t="s">
        <v>26</v>
      </c>
    </row>
    <row r="36" spans="1:4">
      <c r="A36" s="8" t="s">
        <v>33</v>
      </c>
      <c r="B36" s="3" t="s">
        <v>313</v>
      </c>
      <c r="C36" s="103">
        <v>26</v>
      </c>
    </row>
    <row r="37" spans="1:4">
      <c r="A37" s="8" t="s">
        <v>120</v>
      </c>
      <c r="B37" s="3" t="s">
        <v>21</v>
      </c>
      <c r="C37" s="38">
        <v>22</v>
      </c>
    </row>
    <row r="38" spans="1:4">
      <c r="A38" s="8" t="s">
        <v>314</v>
      </c>
      <c r="B38" s="3" t="s">
        <v>20</v>
      </c>
      <c r="C38" s="104" t="s">
        <v>27</v>
      </c>
    </row>
    <row r="39" spans="1:4">
      <c r="C39" s="38"/>
    </row>
  </sheetData>
  <mergeCells count="1">
    <mergeCell ref="B2:C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sheetPr>
    <tabColor rgb="FFFF0000"/>
  </sheetPr>
  <dimension ref="A2:I29"/>
  <sheetViews>
    <sheetView topLeftCell="A10" workbookViewId="0">
      <selection activeCell="B5" sqref="B5:F7"/>
    </sheetView>
  </sheetViews>
  <sheetFormatPr defaultRowHeight="14.25"/>
  <cols>
    <col min="1" max="1" width="4.140625" style="1" customWidth="1"/>
    <col min="2" max="2" width="32.42578125" style="9" customWidth="1"/>
    <col min="3" max="3" width="22.42578125" style="6" customWidth="1"/>
    <col min="4" max="4" width="21" style="1" customWidth="1"/>
    <col min="5" max="16384" width="9.140625" style="1"/>
  </cols>
  <sheetData>
    <row r="2" spans="1:9" ht="17.25" customHeight="1">
      <c r="B2" s="203" t="s">
        <v>173</v>
      </c>
      <c r="C2" s="203"/>
      <c r="D2" s="203"/>
      <c r="E2" s="203"/>
      <c r="F2" s="203"/>
    </row>
    <row r="3" spans="1:9" ht="17.25" customHeight="1">
      <c r="B3" s="1"/>
      <c r="C3" s="1"/>
    </row>
    <row r="4" spans="1:9">
      <c r="C4" s="41"/>
    </row>
    <row r="5" spans="1:9" ht="56.25" customHeight="1">
      <c r="B5" s="1"/>
      <c r="C5" s="1"/>
      <c r="G5" s="9"/>
      <c r="H5" s="9"/>
      <c r="I5" s="9"/>
    </row>
    <row r="6" spans="1:9" ht="30.75" customHeight="1">
      <c r="B6" s="1"/>
      <c r="C6" s="1"/>
      <c r="G6" s="9"/>
      <c r="H6" s="9"/>
      <c r="I6" s="9"/>
    </row>
    <row r="7" spans="1:9" ht="16.5" customHeight="1">
      <c r="B7" s="1"/>
      <c r="C7" s="1"/>
      <c r="G7" s="9"/>
      <c r="H7" s="9"/>
      <c r="I7" s="9"/>
    </row>
    <row r="8" spans="1:9" ht="16.5" customHeight="1"/>
    <row r="9" spans="1:9" ht="16.5" customHeight="1"/>
    <row r="10" spans="1:9" ht="16.5" customHeight="1"/>
    <row r="11" spans="1:9" ht="16.5" customHeight="1">
      <c r="A11" s="1">
        <v>6</v>
      </c>
    </row>
    <row r="12" spans="1:9" ht="16.5" customHeight="1">
      <c r="A12" s="1">
        <v>7</v>
      </c>
    </row>
    <row r="13" spans="1:9" ht="16.5" customHeight="1">
      <c r="A13" s="1">
        <v>8</v>
      </c>
      <c r="C13" s="7"/>
    </row>
    <row r="14" spans="1:9" ht="16.5" customHeight="1">
      <c r="A14" s="1">
        <v>9</v>
      </c>
      <c r="C14" s="7"/>
    </row>
    <row r="15" spans="1:9" ht="16.5" customHeight="1">
      <c r="A15" s="1">
        <v>10</v>
      </c>
    </row>
    <row r="16" spans="1:9" ht="16.5" customHeight="1">
      <c r="A16" s="1">
        <v>11</v>
      </c>
    </row>
    <row r="17" spans="1:3" ht="16.5" customHeight="1">
      <c r="A17" s="1">
        <v>12</v>
      </c>
      <c r="C17" s="7"/>
    </row>
    <row r="18" spans="1:3" ht="16.5" customHeight="1">
      <c r="A18" s="1">
        <v>13</v>
      </c>
      <c r="C18" s="7"/>
    </row>
    <row r="19" spans="1:3">
      <c r="A19" s="1">
        <v>14</v>
      </c>
      <c r="C19" s="7"/>
    </row>
    <row r="20" spans="1:3">
      <c r="A20" s="1">
        <v>15</v>
      </c>
    </row>
    <row r="21" spans="1:3">
      <c r="A21" s="1">
        <v>16</v>
      </c>
    </row>
    <row r="24" spans="1:3">
      <c r="A24" s="1">
        <v>17</v>
      </c>
      <c r="C24" s="42"/>
    </row>
    <row r="25" spans="1:3">
      <c r="A25" s="1">
        <v>18</v>
      </c>
    </row>
    <row r="26" spans="1:3">
      <c r="B26" s="44"/>
      <c r="C26" s="43"/>
    </row>
    <row r="27" spans="1:3">
      <c r="B27" s="44"/>
      <c r="C27" s="43"/>
    </row>
    <row r="28" spans="1:3">
      <c r="A28" s="1">
        <v>19</v>
      </c>
    </row>
    <row r="29" spans="1:3">
      <c r="A29" s="1">
        <v>20</v>
      </c>
    </row>
  </sheetData>
  <mergeCells count="1">
    <mergeCell ref="B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theme="9" tint="-0.249977111117893"/>
  </sheetPr>
  <dimension ref="B2:F107"/>
  <sheetViews>
    <sheetView topLeftCell="A91" workbookViewId="0">
      <selection activeCell="I99" sqref="I99"/>
    </sheetView>
  </sheetViews>
  <sheetFormatPr defaultRowHeight="14.25"/>
  <cols>
    <col min="1" max="1" width="3.85546875" style="1" customWidth="1"/>
    <col min="2" max="2" width="24.140625" style="1" customWidth="1"/>
    <col min="3" max="3" width="25.7109375" style="1" customWidth="1"/>
    <col min="4" max="4" width="28" style="152" customWidth="1"/>
    <col min="5" max="5" width="30.7109375" style="3" customWidth="1"/>
    <col min="6" max="16384" width="9.140625" style="1"/>
  </cols>
  <sheetData>
    <row r="2" spans="2:5" ht="20.25" customHeight="1">
      <c r="B2" s="221" t="s">
        <v>398</v>
      </c>
      <c r="C2" s="221"/>
      <c r="D2" s="221"/>
      <c r="E2" s="221"/>
    </row>
    <row r="3" spans="2:5" ht="15" thickBot="1"/>
    <row r="4" spans="2:5" s="131" customFormat="1" ht="29.25" thickBot="1">
      <c r="B4" s="130" t="s">
        <v>333</v>
      </c>
      <c r="C4" s="129" t="s">
        <v>334</v>
      </c>
      <c r="D4" s="129" t="s">
        <v>542</v>
      </c>
      <c r="E4" s="129" t="s">
        <v>335</v>
      </c>
    </row>
    <row r="5" spans="2:5" ht="25.5">
      <c r="B5" s="207" t="s">
        <v>336</v>
      </c>
      <c r="C5" s="134" t="s">
        <v>543</v>
      </c>
      <c r="D5" s="112" t="s">
        <v>390</v>
      </c>
      <c r="E5" s="210" t="s">
        <v>337</v>
      </c>
    </row>
    <row r="6" spans="2:5">
      <c r="B6" s="209"/>
      <c r="C6" s="112" t="s">
        <v>424</v>
      </c>
      <c r="D6" s="112" t="s">
        <v>391</v>
      </c>
      <c r="E6" s="211"/>
    </row>
    <row r="7" spans="2:5" ht="25.5">
      <c r="B7" s="209"/>
      <c r="C7" s="112" t="s">
        <v>425</v>
      </c>
      <c r="D7" s="112" t="s">
        <v>392</v>
      </c>
      <c r="E7" s="211"/>
    </row>
    <row r="8" spans="2:5" ht="15" customHeight="1">
      <c r="B8" s="209"/>
      <c r="C8" s="112" t="s">
        <v>426</v>
      </c>
      <c r="D8" s="112" t="s">
        <v>393</v>
      </c>
      <c r="E8" s="211"/>
    </row>
    <row r="9" spans="2:5">
      <c r="B9" s="209"/>
      <c r="C9" s="112" t="s">
        <v>427</v>
      </c>
      <c r="D9" s="112" t="s">
        <v>394</v>
      </c>
      <c r="E9" s="211"/>
    </row>
    <row r="10" spans="2:5">
      <c r="B10" s="209"/>
      <c r="C10" s="112" t="s">
        <v>428</v>
      </c>
      <c r="D10" s="112" t="s">
        <v>395</v>
      </c>
      <c r="E10" s="211"/>
    </row>
    <row r="11" spans="2:5">
      <c r="B11" s="209"/>
      <c r="C11" s="112" t="s">
        <v>429</v>
      </c>
      <c r="D11" s="112" t="s">
        <v>396</v>
      </c>
      <c r="E11" s="211"/>
    </row>
    <row r="12" spans="2:5" ht="15" thickBot="1">
      <c r="B12" s="208"/>
      <c r="C12" s="113" t="s">
        <v>430</v>
      </c>
      <c r="D12" s="113" t="s">
        <v>397</v>
      </c>
      <c r="E12" s="212"/>
    </row>
    <row r="13" spans="2:5" s="9" customFormat="1" ht="28.5">
      <c r="B13" s="207" t="s">
        <v>338</v>
      </c>
      <c r="C13" s="114" t="s">
        <v>431</v>
      </c>
      <c r="D13" s="112" t="s">
        <v>399</v>
      </c>
      <c r="E13" s="123" t="s">
        <v>339</v>
      </c>
    </row>
    <row r="14" spans="2:5" s="9" customFormat="1" ht="47.25">
      <c r="B14" s="209"/>
      <c r="C14" s="114" t="s">
        <v>432</v>
      </c>
      <c r="D14" s="112" t="s">
        <v>401</v>
      </c>
      <c r="E14" s="123" t="s">
        <v>446</v>
      </c>
    </row>
    <row r="15" spans="2:5" s="9" customFormat="1" ht="15" thickBot="1">
      <c r="B15" s="226"/>
      <c r="C15" s="114" t="s">
        <v>433</v>
      </c>
      <c r="D15" s="113" t="s">
        <v>400</v>
      </c>
      <c r="E15" s="124"/>
    </row>
    <row r="16" spans="2:5" ht="32.25" customHeight="1">
      <c r="B16" s="222" t="s">
        <v>340</v>
      </c>
      <c r="C16" s="127" t="s">
        <v>487</v>
      </c>
      <c r="D16" s="153" t="s">
        <v>488</v>
      </c>
      <c r="E16" s="224" t="s">
        <v>491</v>
      </c>
    </row>
    <row r="17" spans="2:5" ht="32.25" customHeight="1" thickBot="1">
      <c r="B17" s="223"/>
      <c r="C17" s="128" t="s">
        <v>686</v>
      </c>
      <c r="D17" s="154" t="s">
        <v>486</v>
      </c>
      <c r="E17" s="225"/>
    </row>
    <row r="18" spans="2:5">
      <c r="B18" s="209" t="s">
        <v>341</v>
      </c>
      <c r="C18" s="117" t="s">
        <v>434</v>
      </c>
      <c r="D18" s="112" t="s">
        <v>402</v>
      </c>
      <c r="E18" s="210" t="s">
        <v>342</v>
      </c>
    </row>
    <row r="19" spans="2:5">
      <c r="B19" s="209"/>
      <c r="C19" s="117" t="s">
        <v>435</v>
      </c>
      <c r="D19" s="152" t="s">
        <v>404</v>
      </c>
      <c r="E19" s="211"/>
    </row>
    <row r="20" spans="2:5">
      <c r="B20" s="209"/>
      <c r="C20" s="117" t="s">
        <v>436</v>
      </c>
      <c r="D20" s="112" t="s">
        <v>403</v>
      </c>
      <c r="E20" s="211"/>
    </row>
    <row r="21" spans="2:5" ht="15" thickBot="1">
      <c r="B21" s="208"/>
      <c r="C21" s="116" t="s">
        <v>437</v>
      </c>
      <c r="D21" s="113" t="s">
        <v>405</v>
      </c>
      <c r="E21" s="212"/>
    </row>
    <row r="22" spans="2:5" ht="57.75" thickBot="1">
      <c r="B22" s="115" t="s">
        <v>343</v>
      </c>
      <c r="C22" s="122" t="s">
        <v>489</v>
      </c>
      <c r="D22" s="113" t="s">
        <v>490</v>
      </c>
      <c r="E22" s="124" t="s">
        <v>344</v>
      </c>
    </row>
    <row r="23" spans="2:5">
      <c r="B23" s="207" t="s">
        <v>345</v>
      </c>
      <c r="C23" s="117" t="s">
        <v>419</v>
      </c>
      <c r="D23" s="112" t="s">
        <v>406</v>
      </c>
      <c r="E23" s="210" t="s">
        <v>346</v>
      </c>
    </row>
    <row r="24" spans="2:5">
      <c r="B24" s="209"/>
      <c r="C24" s="117" t="s">
        <v>418</v>
      </c>
      <c r="D24" s="112" t="s">
        <v>407</v>
      </c>
      <c r="E24" s="211"/>
    </row>
    <row r="25" spans="2:5" ht="15" thickBot="1">
      <c r="B25" s="208"/>
      <c r="C25" s="116" t="s">
        <v>417</v>
      </c>
      <c r="D25" s="113" t="s">
        <v>408</v>
      </c>
      <c r="E25" s="212"/>
    </row>
    <row r="26" spans="2:5" ht="29.25" thickBot="1">
      <c r="B26" s="115" t="s">
        <v>347</v>
      </c>
      <c r="C26" s="116" t="s">
        <v>416</v>
      </c>
      <c r="D26" s="113" t="s">
        <v>409</v>
      </c>
      <c r="E26" s="124" t="s">
        <v>348</v>
      </c>
    </row>
    <row r="27" spans="2:5">
      <c r="B27" s="207" t="s">
        <v>349</v>
      </c>
      <c r="C27" s="117" t="s">
        <v>415</v>
      </c>
      <c r="D27" s="112" t="s">
        <v>410</v>
      </c>
      <c r="E27" s="210" t="s">
        <v>350</v>
      </c>
    </row>
    <row r="28" spans="2:5" ht="15" thickBot="1">
      <c r="B28" s="208"/>
      <c r="C28" s="116" t="s">
        <v>414</v>
      </c>
      <c r="D28" s="113" t="s">
        <v>411</v>
      </c>
      <c r="E28" s="212"/>
    </row>
    <row r="29" spans="2:5" ht="57.75" thickBot="1">
      <c r="B29" s="115" t="s">
        <v>351</v>
      </c>
      <c r="C29" s="116" t="s">
        <v>413</v>
      </c>
      <c r="D29" s="113" t="s">
        <v>412</v>
      </c>
      <c r="E29" s="124" t="s">
        <v>352</v>
      </c>
    </row>
    <row r="30" spans="2:5" ht="18.75" customHeight="1">
      <c r="B30" s="207" t="s">
        <v>353</v>
      </c>
      <c r="C30" s="117" t="s">
        <v>413</v>
      </c>
      <c r="D30" s="112" t="s">
        <v>412</v>
      </c>
      <c r="E30" s="210" t="s">
        <v>354</v>
      </c>
    </row>
    <row r="31" spans="2:5" ht="15" thickBot="1">
      <c r="B31" s="208"/>
      <c r="C31" s="116" t="s">
        <v>421</v>
      </c>
      <c r="D31" s="113" t="s">
        <v>420</v>
      </c>
      <c r="E31" s="212"/>
    </row>
    <row r="32" spans="2:5">
      <c r="B32" s="207" t="s">
        <v>355</v>
      </c>
      <c r="C32" s="117" t="s">
        <v>438</v>
      </c>
      <c r="D32" s="112" t="s">
        <v>422</v>
      </c>
      <c r="E32" s="210" t="s">
        <v>356</v>
      </c>
    </row>
    <row r="33" spans="2:5">
      <c r="B33" s="209"/>
      <c r="C33" s="117" t="s">
        <v>439</v>
      </c>
      <c r="D33" s="112" t="s">
        <v>423</v>
      </c>
      <c r="E33" s="211"/>
    </row>
    <row r="34" spans="2:5">
      <c r="B34" s="209"/>
      <c r="C34" s="117" t="s">
        <v>448</v>
      </c>
      <c r="D34" s="112" t="s">
        <v>450</v>
      </c>
      <c r="E34" s="211"/>
    </row>
    <row r="35" spans="2:5" ht="15" thickBot="1">
      <c r="B35" s="208"/>
      <c r="C35" s="116" t="s">
        <v>449</v>
      </c>
      <c r="D35" s="113" t="s">
        <v>450</v>
      </c>
      <c r="E35" s="212"/>
    </row>
    <row r="36" spans="2:5">
      <c r="B36" s="207" t="s">
        <v>558</v>
      </c>
      <c r="C36" s="117" t="s">
        <v>451</v>
      </c>
      <c r="D36" s="112" t="s">
        <v>452</v>
      </c>
      <c r="E36" s="210" t="s">
        <v>357</v>
      </c>
    </row>
    <row r="37" spans="2:5">
      <c r="B37" s="209"/>
      <c r="C37" s="117" t="s">
        <v>453</v>
      </c>
      <c r="D37" s="112" t="s">
        <v>454</v>
      </c>
      <c r="E37" s="211"/>
    </row>
    <row r="38" spans="2:5" ht="15" thickBot="1">
      <c r="B38" s="208"/>
      <c r="C38" s="116" t="s">
        <v>455</v>
      </c>
      <c r="D38" s="113" t="s">
        <v>456</v>
      </c>
      <c r="E38" s="212"/>
    </row>
    <row r="39" spans="2:5">
      <c r="B39" s="207" t="s">
        <v>358</v>
      </c>
      <c r="C39" s="117" t="s">
        <v>457</v>
      </c>
      <c r="D39" s="112" t="s">
        <v>458</v>
      </c>
      <c r="E39" s="210" t="s">
        <v>359</v>
      </c>
    </row>
    <row r="40" spans="2:5" ht="15" thickBot="1">
      <c r="B40" s="208"/>
      <c r="C40" s="116" t="s">
        <v>459</v>
      </c>
      <c r="D40" s="113" t="s">
        <v>460</v>
      </c>
      <c r="E40" s="212"/>
    </row>
    <row r="41" spans="2:5">
      <c r="B41" s="207" t="s">
        <v>360</v>
      </c>
      <c r="C41" s="117" t="s">
        <v>461</v>
      </c>
      <c r="D41" s="112" t="s">
        <v>462</v>
      </c>
      <c r="E41" s="210" t="s">
        <v>361</v>
      </c>
    </row>
    <row r="42" spans="2:5">
      <c r="B42" s="209"/>
      <c r="C42" s="117" t="s">
        <v>463</v>
      </c>
      <c r="D42" s="112" t="s">
        <v>464</v>
      </c>
      <c r="E42" s="211"/>
    </row>
    <row r="43" spans="2:5" ht="26.25" thickBot="1">
      <c r="B43" s="208"/>
      <c r="C43" s="116" t="s">
        <v>465</v>
      </c>
      <c r="D43" s="113" t="s">
        <v>466</v>
      </c>
      <c r="E43" s="211"/>
    </row>
    <row r="44" spans="2:5" ht="48" thickBot="1">
      <c r="B44" s="207" t="s">
        <v>362</v>
      </c>
      <c r="C44" s="117" t="s">
        <v>467</v>
      </c>
      <c r="D44" s="155" t="s">
        <v>468</v>
      </c>
      <c r="E44" s="126" t="s">
        <v>446</v>
      </c>
    </row>
    <row r="45" spans="2:5" ht="72" thickBot="1">
      <c r="B45" s="208"/>
      <c r="C45" s="116" t="s">
        <v>469</v>
      </c>
      <c r="D45" s="113" t="s">
        <v>420</v>
      </c>
      <c r="E45" s="124" t="s">
        <v>363</v>
      </c>
    </row>
    <row r="46" spans="2:5" ht="48" customHeight="1">
      <c r="B46" s="207" t="s">
        <v>364</v>
      </c>
      <c r="C46" s="117" t="s">
        <v>470</v>
      </c>
      <c r="D46" s="112" t="s">
        <v>471</v>
      </c>
      <c r="E46" s="210" t="s">
        <v>447</v>
      </c>
    </row>
    <row r="47" spans="2:5">
      <c r="B47" s="209"/>
      <c r="C47" s="117" t="s">
        <v>472</v>
      </c>
      <c r="D47" s="112" t="s">
        <v>473</v>
      </c>
      <c r="E47" s="211"/>
    </row>
    <row r="48" spans="2:5" ht="15" thickBot="1">
      <c r="B48" s="208"/>
      <c r="C48" s="116" t="s">
        <v>474</v>
      </c>
      <c r="D48" s="113" t="s">
        <v>473</v>
      </c>
      <c r="E48" s="212"/>
    </row>
    <row r="49" spans="2:5" ht="47.25">
      <c r="B49" s="207" t="s">
        <v>365</v>
      </c>
      <c r="C49" s="207" t="s">
        <v>475</v>
      </c>
      <c r="D49" s="112" t="s">
        <v>476</v>
      </c>
      <c r="E49" s="123" t="s">
        <v>446</v>
      </c>
    </row>
    <row r="50" spans="2:5" ht="15" thickBot="1">
      <c r="B50" s="208"/>
      <c r="C50" s="208"/>
      <c r="D50" s="113"/>
      <c r="E50" s="124" t="s">
        <v>366</v>
      </c>
    </row>
    <row r="51" spans="2:5">
      <c r="B51" s="207" t="s">
        <v>367</v>
      </c>
      <c r="C51" s="117" t="s">
        <v>477</v>
      </c>
      <c r="D51" s="112" t="s">
        <v>478</v>
      </c>
      <c r="E51" s="210" t="s">
        <v>368</v>
      </c>
    </row>
    <row r="52" spans="2:5">
      <c r="B52" s="209"/>
      <c r="C52" s="117" t="s">
        <v>479</v>
      </c>
      <c r="D52" s="112" t="s">
        <v>480</v>
      </c>
      <c r="E52" s="211"/>
    </row>
    <row r="53" spans="2:5" ht="15" thickBot="1">
      <c r="B53" s="208"/>
      <c r="C53" s="116" t="s">
        <v>481</v>
      </c>
      <c r="D53" s="113" t="s">
        <v>480</v>
      </c>
      <c r="E53" s="212"/>
    </row>
    <row r="54" spans="2:5">
      <c r="B54" s="207" t="s">
        <v>369</v>
      </c>
      <c r="C54" s="117" t="s">
        <v>482</v>
      </c>
      <c r="D54" s="112" t="s">
        <v>473</v>
      </c>
      <c r="E54" s="210" t="s">
        <v>370</v>
      </c>
    </row>
    <row r="55" spans="2:5" ht="15" thickBot="1">
      <c r="B55" s="208"/>
      <c r="C55" s="116" t="s">
        <v>483</v>
      </c>
      <c r="D55" s="113" t="s">
        <v>473</v>
      </c>
      <c r="E55" s="212"/>
    </row>
    <row r="56" spans="2:5" ht="29.25" thickBot="1">
      <c r="B56" s="119" t="s">
        <v>371</v>
      </c>
      <c r="C56" s="117" t="s">
        <v>484</v>
      </c>
      <c r="D56" s="112" t="s">
        <v>485</v>
      </c>
      <c r="E56" s="123" t="s">
        <v>372</v>
      </c>
    </row>
    <row r="57" spans="2:5" ht="43.5" thickBot="1">
      <c r="B57" s="120" t="s">
        <v>373</v>
      </c>
      <c r="C57" s="121" t="s">
        <v>685</v>
      </c>
      <c r="D57" s="156" t="s">
        <v>486</v>
      </c>
      <c r="E57" s="125" t="s">
        <v>374</v>
      </c>
    </row>
    <row r="58" spans="2:5" ht="15" thickBot="1">
      <c r="B58" s="139"/>
      <c r="C58" s="139"/>
      <c r="D58" s="157"/>
      <c r="E58" s="140"/>
    </row>
    <row r="59" spans="2:5" ht="15.75" customHeight="1" thickBot="1">
      <c r="B59" s="213" t="s">
        <v>534</v>
      </c>
      <c r="C59" s="214"/>
      <c r="D59" s="214"/>
      <c r="E59" s="215"/>
    </row>
    <row r="60" spans="2:5" s="144" customFormat="1" ht="13.5" thickBot="1">
      <c r="B60" s="145" t="s">
        <v>533</v>
      </c>
      <c r="C60" s="146" t="s">
        <v>510</v>
      </c>
      <c r="D60" s="147" t="s">
        <v>509</v>
      </c>
      <c r="E60" s="148" t="s">
        <v>493</v>
      </c>
    </row>
    <row r="61" spans="2:5" ht="15" customHeight="1">
      <c r="B61" s="216" t="s">
        <v>535</v>
      </c>
      <c r="C61" s="135" t="s">
        <v>511</v>
      </c>
      <c r="D61" s="135" t="s">
        <v>530</v>
      </c>
      <c r="E61" s="138" t="s">
        <v>494</v>
      </c>
    </row>
    <row r="62" spans="2:5" ht="15.75" thickBot="1">
      <c r="B62" s="217"/>
      <c r="C62" s="136" t="s">
        <v>512</v>
      </c>
      <c r="D62" s="136" t="s">
        <v>531</v>
      </c>
      <c r="E62" s="137"/>
    </row>
    <row r="63" spans="2:5" ht="15">
      <c r="B63" s="217"/>
      <c r="C63" s="135" t="s">
        <v>515</v>
      </c>
      <c r="D63" s="135" t="s">
        <v>530</v>
      </c>
      <c r="E63" s="138" t="s">
        <v>495</v>
      </c>
    </row>
    <row r="64" spans="2:5" ht="15.75" thickBot="1">
      <c r="B64" s="217"/>
      <c r="C64" s="136" t="s">
        <v>514</v>
      </c>
      <c r="D64" s="136" t="s">
        <v>531</v>
      </c>
      <c r="E64" s="137"/>
    </row>
    <row r="65" spans="2:5" ht="15.75" thickBot="1">
      <c r="B65" s="217"/>
      <c r="C65" s="135" t="s">
        <v>513</v>
      </c>
      <c r="D65" s="135" t="s">
        <v>530</v>
      </c>
      <c r="E65" s="136" t="s">
        <v>496</v>
      </c>
    </row>
    <row r="66" spans="2:5" ht="15.75" thickBot="1">
      <c r="B66" s="217"/>
      <c r="C66" s="136" t="s">
        <v>516</v>
      </c>
      <c r="D66" s="136" t="s">
        <v>531</v>
      </c>
      <c r="E66" s="136" t="s">
        <v>497</v>
      </c>
    </row>
    <row r="67" spans="2:5" ht="15">
      <c r="B67" s="217"/>
      <c r="C67" s="135" t="s">
        <v>517</v>
      </c>
      <c r="D67" s="135" t="s">
        <v>530</v>
      </c>
      <c r="E67" s="138" t="s">
        <v>498</v>
      </c>
    </row>
    <row r="68" spans="2:5" ht="15.75" thickBot="1">
      <c r="B68" s="217"/>
      <c r="C68" s="136" t="s">
        <v>518</v>
      </c>
      <c r="D68" s="135" t="s">
        <v>531</v>
      </c>
      <c r="E68" s="137"/>
    </row>
    <row r="69" spans="2:5" ht="15.75" thickBot="1">
      <c r="B69" s="217"/>
      <c r="C69" s="141" t="s">
        <v>500</v>
      </c>
      <c r="D69" s="142" t="s">
        <v>532</v>
      </c>
      <c r="E69" s="136" t="s">
        <v>499</v>
      </c>
    </row>
    <row r="70" spans="2:5" ht="15">
      <c r="B70" s="217"/>
      <c r="C70" s="135" t="s">
        <v>519</v>
      </c>
      <c r="D70" s="135" t="s">
        <v>530</v>
      </c>
      <c r="E70" s="138" t="s">
        <v>501</v>
      </c>
    </row>
    <row r="71" spans="2:5" ht="15.75" thickBot="1">
      <c r="B71" s="217"/>
      <c r="C71" s="136" t="s">
        <v>520</v>
      </c>
      <c r="D71" s="136" t="s">
        <v>531</v>
      </c>
      <c r="E71" s="137"/>
    </row>
    <row r="72" spans="2:5" ht="15">
      <c r="B72" s="217"/>
      <c r="C72" s="135" t="s">
        <v>521</v>
      </c>
      <c r="D72" s="135" t="s">
        <v>530</v>
      </c>
      <c r="E72" s="138" t="s">
        <v>502</v>
      </c>
    </row>
    <row r="73" spans="2:5" ht="15.75" thickBot="1">
      <c r="B73" s="217"/>
      <c r="C73" s="136" t="s">
        <v>522</v>
      </c>
      <c r="D73" s="136" t="s">
        <v>531</v>
      </c>
      <c r="E73" s="137"/>
    </row>
    <row r="74" spans="2:5" ht="15.75" thickBot="1">
      <c r="B74" s="217"/>
      <c r="C74" s="136" t="s">
        <v>523</v>
      </c>
      <c r="D74" s="135" t="s">
        <v>530</v>
      </c>
      <c r="E74" s="136" t="s">
        <v>503</v>
      </c>
    </row>
    <row r="75" spans="2:5" ht="15.75" thickBot="1">
      <c r="B75" s="217"/>
      <c r="C75" s="135" t="s">
        <v>524</v>
      </c>
      <c r="D75" s="136" t="s">
        <v>530</v>
      </c>
      <c r="E75" s="138" t="s">
        <v>504</v>
      </c>
    </row>
    <row r="76" spans="2:5" ht="15.75" thickBot="1">
      <c r="B76" s="217"/>
      <c r="C76" s="136" t="s">
        <v>525</v>
      </c>
      <c r="D76" s="135" t="s">
        <v>531</v>
      </c>
      <c r="E76" s="137"/>
    </row>
    <row r="77" spans="2:5" ht="15.75" thickBot="1">
      <c r="B77" s="217"/>
      <c r="C77" s="136" t="s">
        <v>526</v>
      </c>
      <c r="D77" s="136" t="s">
        <v>531</v>
      </c>
      <c r="E77" s="136" t="s">
        <v>505</v>
      </c>
    </row>
    <row r="78" spans="2:5" ht="15">
      <c r="B78" s="217"/>
      <c r="C78" s="135" t="s">
        <v>527</v>
      </c>
      <c r="D78" s="135" t="s">
        <v>530</v>
      </c>
      <c r="E78" s="138" t="s">
        <v>506</v>
      </c>
    </row>
    <row r="79" spans="2:5" ht="15.75" thickBot="1">
      <c r="B79" s="217"/>
      <c r="C79" s="136" t="s">
        <v>528</v>
      </c>
      <c r="D79" s="136" t="s">
        <v>531</v>
      </c>
      <c r="E79" s="137"/>
    </row>
    <row r="80" spans="2:5" ht="15">
      <c r="B80" s="217"/>
      <c r="C80" s="135" t="s">
        <v>529</v>
      </c>
      <c r="D80" s="135" t="s">
        <v>530</v>
      </c>
      <c r="E80" s="138" t="s">
        <v>507</v>
      </c>
    </row>
    <row r="81" spans="2:6" ht="15.75" thickBot="1">
      <c r="B81" s="218"/>
      <c r="C81" s="136" t="s">
        <v>508</v>
      </c>
      <c r="D81" s="136" t="s">
        <v>531</v>
      </c>
      <c r="E81" s="137"/>
    </row>
    <row r="83" spans="2:6" ht="42.75" customHeight="1">
      <c r="B83" s="221" t="s">
        <v>375</v>
      </c>
      <c r="C83" s="221"/>
      <c r="D83" s="221"/>
      <c r="E83" s="221"/>
    </row>
    <row r="84" spans="2:6" ht="20.25" customHeight="1">
      <c r="B84" s="149" t="s">
        <v>536</v>
      </c>
      <c r="C84" s="103" t="s">
        <v>540</v>
      </c>
      <c r="D84" s="150"/>
      <c r="E84" s="133"/>
    </row>
    <row r="85" spans="2:6" ht="20.25" customHeight="1">
      <c r="B85" s="149" t="s">
        <v>539</v>
      </c>
      <c r="C85" s="219" t="s">
        <v>701</v>
      </c>
      <c r="D85" s="219"/>
      <c r="E85" s="133"/>
    </row>
    <row r="86" spans="2:6" ht="20.25" customHeight="1">
      <c r="B86" s="149" t="s">
        <v>537</v>
      </c>
      <c r="C86" s="220"/>
      <c r="D86" s="220"/>
      <c r="E86" s="133"/>
    </row>
    <row r="87" spans="2:6">
      <c r="B87" s="149" t="s">
        <v>538</v>
      </c>
      <c r="C87" s="143" t="s">
        <v>702</v>
      </c>
      <c r="D87" s="143"/>
    </row>
    <row r="88" spans="2:6" ht="15" thickBot="1">
      <c r="B88" s="64"/>
      <c r="D88" s="1"/>
    </row>
    <row r="89" spans="2:6" ht="28.5">
      <c r="B89" s="204" t="s">
        <v>541</v>
      </c>
      <c r="C89" s="118" t="s">
        <v>440</v>
      </c>
      <c r="D89" s="155"/>
    </row>
    <row r="90" spans="2:6">
      <c r="B90" s="205"/>
      <c r="C90" s="117" t="s">
        <v>441</v>
      </c>
      <c r="D90" s="155"/>
    </row>
    <row r="91" spans="2:6">
      <c r="B91" s="205"/>
      <c r="C91" s="117" t="s">
        <v>442</v>
      </c>
      <c r="D91" s="155"/>
    </row>
    <row r="92" spans="2:6" ht="28.5">
      <c r="B92" s="205"/>
      <c r="C92" s="117" t="s">
        <v>443</v>
      </c>
      <c r="D92" s="155"/>
    </row>
    <row r="93" spans="2:6">
      <c r="B93" s="205"/>
      <c r="C93" s="117" t="s">
        <v>444</v>
      </c>
      <c r="D93" s="155"/>
    </row>
    <row r="94" spans="2:6" ht="15" thickBot="1">
      <c r="B94" s="206"/>
      <c r="C94" s="116" t="s">
        <v>445</v>
      </c>
      <c r="D94" s="155"/>
    </row>
    <row r="95" spans="2:6" ht="15" thickBot="1"/>
    <row r="96" spans="2:6" ht="29.25" customHeight="1" thickBot="1">
      <c r="B96" s="184" t="s">
        <v>376</v>
      </c>
      <c r="C96" s="185" t="s">
        <v>377</v>
      </c>
      <c r="D96" s="185"/>
      <c r="E96" s="185" t="s">
        <v>378</v>
      </c>
      <c r="F96" s="186" t="s">
        <v>379</v>
      </c>
    </row>
    <row r="97" spans="2:6" ht="27" customHeight="1" thickBot="1">
      <c r="B97" s="151" t="s">
        <v>380</v>
      </c>
      <c r="C97" s="116"/>
      <c r="D97" s="113"/>
      <c r="E97" s="124"/>
      <c r="F97" s="116"/>
    </row>
    <row r="98" spans="2:6" ht="27" customHeight="1" thickBot="1">
      <c r="B98" s="151" t="s">
        <v>381</v>
      </c>
      <c r="C98" s="116"/>
      <c r="D98" s="113"/>
      <c r="E98" s="124"/>
      <c r="F98" s="116"/>
    </row>
    <row r="99" spans="2:6" ht="27" customHeight="1" thickBot="1">
      <c r="B99" s="151" t="s">
        <v>382</v>
      </c>
      <c r="C99" s="116"/>
      <c r="D99" s="113"/>
      <c r="E99" s="124"/>
      <c r="F99" s="116"/>
    </row>
    <row r="100" spans="2:6" ht="27" customHeight="1" thickBot="1">
      <c r="B100" s="151" t="s">
        <v>383</v>
      </c>
      <c r="C100" s="116"/>
      <c r="D100" s="113"/>
      <c r="E100" s="124"/>
      <c r="F100" s="116"/>
    </row>
    <row r="101" spans="2:6" ht="27" customHeight="1" thickBot="1">
      <c r="B101" s="151" t="s">
        <v>384</v>
      </c>
      <c r="C101" s="116"/>
      <c r="D101" s="113"/>
      <c r="E101" s="124"/>
      <c r="F101" s="116"/>
    </row>
    <row r="102" spans="2:6" ht="32.25" customHeight="1" thickBot="1">
      <c r="B102" s="151" t="s">
        <v>385</v>
      </c>
      <c r="C102" s="116"/>
      <c r="D102" s="113"/>
      <c r="E102" s="124"/>
      <c r="F102" s="116"/>
    </row>
    <row r="103" spans="2:6" ht="27" customHeight="1" thickBot="1">
      <c r="B103" s="151" t="s">
        <v>386</v>
      </c>
      <c r="C103" s="116"/>
      <c r="D103" s="113"/>
      <c r="E103" s="124"/>
      <c r="F103" s="116"/>
    </row>
    <row r="104" spans="2:6" ht="27" customHeight="1" thickBot="1">
      <c r="B104" s="151" t="s">
        <v>387</v>
      </c>
      <c r="C104" s="116"/>
      <c r="D104" s="113"/>
      <c r="E104" s="124"/>
      <c r="F104" s="116"/>
    </row>
    <row r="105" spans="2:6" ht="31.5" customHeight="1" thickBot="1">
      <c r="B105" s="151" t="s">
        <v>388</v>
      </c>
      <c r="C105" s="116"/>
      <c r="D105" s="113"/>
      <c r="E105" s="124"/>
      <c r="F105" s="116"/>
    </row>
    <row r="106" spans="2:6" ht="27" customHeight="1" thickBot="1">
      <c r="B106" s="151" t="s">
        <v>389</v>
      </c>
      <c r="C106" s="116"/>
      <c r="D106" s="113"/>
      <c r="E106" s="124"/>
      <c r="F106" s="116"/>
    </row>
    <row r="107" spans="2:6" ht="15" thickBot="1">
      <c r="B107" s="115"/>
      <c r="C107" s="116"/>
      <c r="D107" s="113"/>
      <c r="E107" s="124"/>
      <c r="F107" s="116"/>
    </row>
  </sheetData>
  <mergeCells count="37">
    <mergeCell ref="B32:B35"/>
    <mergeCell ref="E32:E35"/>
    <mergeCell ref="B23:B25"/>
    <mergeCell ref="E23:E25"/>
    <mergeCell ref="B5:B12"/>
    <mergeCell ref="E5:E12"/>
    <mergeCell ref="B13:B15"/>
    <mergeCell ref="B18:B21"/>
    <mergeCell ref="E18:E21"/>
    <mergeCell ref="B2:E2"/>
    <mergeCell ref="B16:B17"/>
    <mergeCell ref="E16:E17"/>
    <mergeCell ref="B83:E83"/>
    <mergeCell ref="B54:B55"/>
    <mergeCell ref="E54:E55"/>
    <mergeCell ref="B36:B38"/>
    <mergeCell ref="E36:E38"/>
    <mergeCell ref="B39:B40"/>
    <mergeCell ref="E39:E40"/>
    <mergeCell ref="B41:B43"/>
    <mergeCell ref="E41:E43"/>
    <mergeCell ref="B27:B28"/>
    <mergeCell ref="E27:E28"/>
    <mergeCell ref="B30:B31"/>
    <mergeCell ref="E30:E31"/>
    <mergeCell ref="B89:B94"/>
    <mergeCell ref="B44:B45"/>
    <mergeCell ref="B46:B48"/>
    <mergeCell ref="E46:E48"/>
    <mergeCell ref="B49:B50"/>
    <mergeCell ref="C49:C50"/>
    <mergeCell ref="B51:B53"/>
    <mergeCell ref="E51:E53"/>
    <mergeCell ref="B59:E59"/>
    <mergeCell ref="B61:B81"/>
    <mergeCell ref="C85:D85"/>
    <mergeCell ref="C86:D86"/>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dimension ref="B2:D28"/>
  <sheetViews>
    <sheetView workbookViewId="0">
      <selection activeCell="F14" sqref="F14"/>
    </sheetView>
  </sheetViews>
  <sheetFormatPr defaultRowHeight="15"/>
  <cols>
    <col min="2" max="2" width="12.5703125" style="72" customWidth="1"/>
    <col min="3" max="3" width="33.42578125" customWidth="1"/>
    <col min="4" max="4" width="21.85546875" style="74" customWidth="1"/>
  </cols>
  <sheetData>
    <row r="2" spans="2:4">
      <c r="B2" s="232" t="s">
        <v>255</v>
      </c>
      <c r="C2" s="232"/>
      <c r="D2" s="232"/>
    </row>
    <row r="4" spans="2:4">
      <c r="B4" s="233" t="s">
        <v>229</v>
      </c>
      <c r="C4" s="233" t="s">
        <v>230</v>
      </c>
      <c r="D4" s="235" t="s">
        <v>231</v>
      </c>
    </row>
    <row r="5" spans="2:4" ht="22.5" customHeight="1">
      <c r="B5" s="234"/>
      <c r="C5" s="234"/>
      <c r="D5" s="235"/>
    </row>
    <row r="6" spans="2:4" ht="15.75" thickBot="1">
      <c r="B6" s="71">
        <v>1</v>
      </c>
      <c r="C6" s="70">
        <v>2</v>
      </c>
      <c r="D6" s="73">
        <v>3</v>
      </c>
    </row>
    <row r="7" spans="2:4" ht="15.75" thickTop="1">
      <c r="B7" s="75" t="s">
        <v>194</v>
      </c>
      <c r="C7" s="76" t="s">
        <v>232</v>
      </c>
      <c r="D7" s="77">
        <f>'[1]Backward village report (2)'!F6</f>
        <v>72</v>
      </c>
    </row>
    <row r="8" spans="2:4">
      <c r="B8" s="236" t="s">
        <v>198</v>
      </c>
      <c r="C8" s="80" t="s">
        <v>233</v>
      </c>
      <c r="D8" s="81">
        <f>'[1]Backward village report (2)'!F7</f>
        <v>50</v>
      </c>
    </row>
    <row r="9" spans="2:4">
      <c r="B9" s="237"/>
      <c r="C9" s="82" t="s">
        <v>234</v>
      </c>
      <c r="D9" s="81">
        <f>'[1]Backward village report (2)'!F8</f>
        <v>40</v>
      </c>
    </row>
    <row r="10" spans="2:4">
      <c r="B10" s="237"/>
      <c r="C10" s="82" t="s">
        <v>235</v>
      </c>
      <c r="D10" s="81">
        <f>'[1]Backward village report (2)'!F9</f>
        <v>56</v>
      </c>
    </row>
    <row r="11" spans="2:4">
      <c r="B11" s="237"/>
      <c r="C11" s="82" t="s">
        <v>236</v>
      </c>
      <c r="D11" s="81">
        <f>'[1]Backward village report (2)'!F10</f>
        <v>82</v>
      </c>
    </row>
    <row r="12" spans="2:4">
      <c r="B12" s="237"/>
      <c r="C12" s="82" t="s">
        <v>237</v>
      </c>
      <c r="D12" s="81">
        <f>'[1]Backward village report (2)'!F11</f>
        <v>64</v>
      </c>
    </row>
    <row r="13" spans="2:4">
      <c r="B13" s="238"/>
      <c r="C13" s="82" t="s">
        <v>238</v>
      </c>
      <c r="D13" s="81">
        <f>'[1]Backward village report (2)'!F12</f>
        <v>35</v>
      </c>
    </row>
    <row r="14" spans="2:4">
      <c r="B14" s="85" t="s">
        <v>193</v>
      </c>
      <c r="C14" s="79" t="s">
        <v>239</v>
      </c>
      <c r="D14" s="78">
        <f>'[1]Backward village report (2)'!F13</f>
        <v>45</v>
      </c>
    </row>
    <row r="15" spans="2:4">
      <c r="B15" s="239" t="s">
        <v>190</v>
      </c>
      <c r="C15" s="83" t="s">
        <v>240</v>
      </c>
      <c r="D15" s="84">
        <f>'[1]Backward village report (2)'!F14</f>
        <v>79</v>
      </c>
    </row>
    <row r="16" spans="2:4">
      <c r="B16" s="240"/>
      <c r="C16" s="83" t="s">
        <v>241</v>
      </c>
      <c r="D16" s="84">
        <f>'[1]Backward village report (2)'!F15</f>
        <v>51</v>
      </c>
    </row>
    <row r="17" spans="2:4">
      <c r="B17" s="241"/>
      <c r="C17" s="83" t="s">
        <v>242</v>
      </c>
      <c r="D17" s="84">
        <f>'[1]Backward village report (2)'!F16</f>
        <v>24</v>
      </c>
    </row>
    <row r="18" spans="2:4">
      <c r="B18" s="242" t="s">
        <v>243</v>
      </c>
      <c r="C18" s="86" t="s">
        <v>244</v>
      </c>
      <c r="D18" s="87">
        <f>'[1]Backward village report (2)'!F17</f>
        <v>70</v>
      </c>
    </row>
    <row r="19" spans="2:4">
      <c r="B19" s="243"/>
      <c r="C19" s="86" t="s">
        <v>245</v>
      </c>
      <c r="D19" s="87">
        <f>'[1]Backward village report (2)'!F18</f>
        <v>245</v>
      </c>
    </row>
    <row r="20" spans="2:4">
      <c r="B20" s="244"/>
      <c r="C20" s="86" t="s">
        <v>246</v>
      </c>
      <c r="D20" s="87">
        <f>'[1]Backward village report (2)'!F19</f>
        <v>22</v>
      </c>
    </row>
    <row r="21" spans="2:4">
      <c r="B21" s="227" t="s">
        <v>191</v>
      </c>
      <c r="C21" s="88" t="s">
        <v>247</v>
      </c>
      <c r="D21" s="89">
        <f>'[1]Backward village report (2)'!F20</f>
        <v>45</v>
      </c>
    </row>
    <row r="22" spans="2:4">
      <c r="B22" s="228"/>
      <c r="C22" s="88" t="s">
        <v>248</v>
      </c>
      <c r="D22" s="89">
        <f>'[1]Backward village report (2)'!F21</f>
        <v>22</v>
      </c>
    </row>
    <row r="23" spans="2:4">
      <c r="B23" s="228"/>
      <c r="C23" s="88" t="s">
        <v>249</v>
      </c>
      <c r="D23" s="89">
        <f>'[1]Backward village report (2)'!F22</f>
        <v>67</v>
      </c>
    </row>
    <row r="24" spans="2:4">
      <c r="B24" s="228"/>
      <c r="C24" s="88" t="s">
        <v>250</v>
      </c>
      <c r="D24" s="89">
        <f>'[1]Backward village report (2)'!F23</f>
        <v>55</v>
      </c>
    </row>
    <row r="25" spans="2:4">
      <c r="B25" s="228"/>
      <c r="C25" s="88" t="s">
        <v>251</v>
      </c>
      <c r="D25" s="89">
        <f>'[1]Backward village report (2)'!F24</f>
        <v>22</v>
      </c>
    </row>
    <row r="26" spans="2:4">
      <c r="B26" s="229"/>
      <c r="C26" s="88" t="s">
        <v>252</v>
      </c>
      <c r="D26" s="89">
        <f>'[1]Backward village report (2)'!F25</f>
        <v>89</v>
      </c>
    </row>
    <row r="27" spans="2:4">
      <c r="B27" s="230" t="s">
        <v>192</v>
      </c>
      <c r="C27" s="90" t="s">
        <v>253</v>
      </c>
      <c r="D27" s="91">
        <f>'[1]Backward village report (2)'!F26</f>
        <v>66</v>
      </c>
    </row>
    <row r="28" spans="2:4">
      <c r="B28" s="231"/>
      <c r="C28" s="90" t="s">
        <v>254</v>
      </c>
      <c r="D28" s="91">
        <f>'[1]Backward village report (2)'!F27</f>
        <v>132</v>
      </c>
    </row>
  </sheetData>
  <mergeCells count="9">
    <mergeCell ref="B21:B26"/>
    <mergeCell ref="B27:B28"/>
    <mergeCell ref="B2:D2"/>
    <mergeCell ref="B4:B5"/>
    <mergeCell ref="C4:C5"/>
    <mergeCell ref="D4:D5"/>
    <mergeCell ref="B8:B13"/>
    <mergeCell ref="B15:B17"/>
    <mergeCell ref="B18:B20"/>
  </mergeCell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FFFF00"/>
  </sheetPr>
  <dimension ref="A2:I50"/>
  <sheetViews>
    <sheetView workbookViewId="0">
      <selection activeCell="H21" sqref="H21"/>
    </sheetView>
  </sheetViews>
  <sheetFormatPr defaultRowHeight="14.25"/>
  <cols>
    <col min="1" max="1" width="4.140625" style="158" customWidth="1"/>
    <col min="2" max="2" width="56.140625" style="9" customWidth="1"/>
    <col min="3" max="3" width="20.85546875" style="103" customWidth="1"/>
    <col min="4" max="16384" width="9.140625" style="1"/>
  </cols>
  <sheetData>
    <row r="2" spans="1:9" ht="17.25" customHeight="1">
      <c r="B2" s="247" t="s">
        <v>172</v>
      </c>
      <c r="C2" s="247"/>
    </row>
    <row r="3" spans="1:9" ht="23.25" customHeight="1">
      <c r="B3" s="250"/>
      <c r="C3" s="250"/>
      <c r="D3" s="250"/>
    </row>
    <row r="4" spans="1:9" ht="17.25" customHeight="1">
      <c r="B4" s="246" t="s">
        <v>547</v>
      </c>
      <c r="C4" s="246"/>
      <c r="D4" s="246"/>
    </row>
    <row r="5" spans="1:9" ht="50.25" customHeight="1">
      <c r="A5" s="158" t="s">
        <v>28</v>
      </c>
      <c r="B5" s="248" t="s">
        <v>544</v>
      </c>
      <c r="C5" s="248"/>
      <c r="D5" s="248"/>
    </row>
    <row r="6" spans="1:9" ht="36" customHeight="1">
      <c r="A6" s="158" t="s">
        <v>29</v>
      </c>
      <c r="B6" s="249" t="s">
        <v>545</v>
      </c>
      <c r="C6" s="249"/>
      <c r="D6" s="249"/>
    </row>
    <row r="7" spans="1:9" ht="63" customHeight="1">
      <c r="A7" s="158" t="s">
        <v>30</v>
      </c>
      <c r="B7" s="249" t="s">
        <v>546</v>
      </c>
      <c r="C7" s="249"/>
      <c r="D7" s="249"/>
    </row>
    <row r="8" spans="1:9" ht="17.25" customHeight="1">
      <c r="B8" s="6"/>
      <c r="C8" s="6"/>
      <c r="D8" s="6"/>
    </row>
    <row r="9" spans="1:9" ht="17.25" customHeight="1">
      <c r="B9" s="246" t="s">
        <v>548</v>
      </c>
      <c r="C9" s="246"/>
      <c r="D9" s="246"/>
    </row>
    <row r="10" spans="1:9" ht="67.5" customHeight="1">
      <c r="A10" s="1"/>
      <c r="B10" s="245" t="s">
        <v>549</v>
      </c>
      <c r="C10" s="245"/>
      <c r="D10" s="245"/>
    </row>
    <row r="11" spans="1:9" ht="12.75" customHeight="1">
      <c r="B11" s="159"/>
      <c r="C11" s="6"/>
      <c r="D11" s="6"/>
    </row>
    <row r="12" spans="1:9" ht="17.25" customHeight="1">
      <c r="B12" s="246" t="s">
        <v>550</v>
      </c>
      <c r="C12" s="246"/>
      <c r="D12" s="246"/>
    </row>
    <row r="13" spans="1:9" ht="64.5" customHeight="1">
      <c r="B13" s="245" t="s">
        <v>551</v>
      </c>
      <c r="C13" s="245"/>
      <c r="D13" s="245"/>
    </row>
    <row r="14" spans="1:9" ht="17.25" customHeight="1">
      <c r="B14" s="159"/>
      <c r="C14" s="6"/>
      <c r="D14" s="6"/>
    </row>
    <row r="15" spans="1:9" ht="17.25" customHeight="1">
      <c r="B15" s="246" t="s">
        <v>553</v>
      </c>
      <c r="C15" s="246"/>
      <c r="D15" s="246"/>
    </row>
    <row r="16" spans="1:9" ht="58.5" customHeight="1">
      <c r="B16" s="245" t="s">
        <v>552</v>
      </c>
      <c r="C16" s="245"/>
      <c r="D16" s="245"/>
      <c r="E16" s="161"/>
      <c r="F16" s="161"/>
      <c r="G16" s="161"/>
      <c r="H16" s="161"/>
      <c r="I16" s="161"/>
    </row>
    <row r="17" spans="1:4" ht="17.25" customHeight="1">
      <c r="B17" s="159"/>
      <c r="C17" s="160"/>
      <c r="D17" s="6"/>
    </row>
    <row r="18" spans="1:4" ht="17.25" customHeight="1">
      <c r="B18" s="159"/>
      <c r="C18" s="6"/>
      <c r="D18" s="6"/>
    </row>
    <row r="19" spans="1:4" ht="17.25" customHeight="1">
      <c r="B19" s="159"/>
      <c r="C19" s="6"/>
      <c r="D19" s="6"/>
    </row>
    <row r="20" spans="1:4" ht="17.25" customHeight="1">
      <c r="B20" s="159"/>
      <c r="C20" s="6"/>
      <c r="D20" s="6"/>
    </row>
    <row r="21" spans="1:4" ht="17.25" customHeight="1">
      <c r="B21" s="6"/>
      <c r="C21" s="6"/>
      <c r="D21" s="6"/>
    </row>
    <row r="22" spans="1:4" ht="17.25" customHeight="1">
      <c r="B22" s="1"/>
      <c r="C22" s="1"/>
    </row>
    <row r="23" spans="1:4" ht="25.5">
      <c r="A23" s="187"/>
      <c r="B23" s="188"/>
      <c r="C23" s="189" t="s">
        <v>151</v>
      </c>
    </row>
    <row r="24" spans="1:4" ht="16.5" customHeight="1">
      <c r="A24" s="187">
        <v>1</v>
      </c>
      <c r="B24" s="188" t="s">
        <v>43</v>
      </c>
      <c r="C24" s="190">
        <v>21711</v>
      </c>
    </row>
    <row r="25" spans="1:4" ht="16.5" customHeight="1">
      <c r="A25" s="187">
        <v>2</v>
      </c>
      <c r="B25" s="188" t="s">
        <v>44</v>
      </c>
      <c r="C25" s="190">
        <v>21711</v>
      </c>
    </row>
    <row r="26" spans="1:4" ht="16.5" customHeight="1">
      <c r="A26" s="187"/>
      <c r="B26" s="188" t="s">
        <v>153</v>
      </c>
      <c r="C26" s="190">
        <v>10439</v>
      </c>
    </row>
    <row r="27" spans="1:4" ht="16.5" customHeight="1">
      <c r="A27" s="187"/>
      <c r="B27" s="188" t="s">
        <v>154</v>
      </c>
      <c r="C27" s="190">
        <v>2252</v>
      </c>
    </row>
    <row r="28" spans="1:4" ht="16.5" customHeight="1">
      <c r="A28" s="187"/>
      <c r="B28" s="188" t="s">
        <v>155</v>
      </c>
      <c r="C28" s="190">
        <v>9020</v>
      </c>
    </row>
    <row r="29" spans="1:4" ht="16.5" customHeight="1">
      <c r="A29" s="187"/>
      <c r="B29" s="188" t="s">
        <v>156</v>
      </c>
      <c r="C29" s="190">
        <v>7216</v>
      </c>
    </row>
    <row r="30" spans="1:4" ht="16.5" customHeight="1">
      <c r="A30" s="187"/>
      <c r="B30" s="188" t="s">
        <v>157</v>
      </c>
      <c r="C30" s="190">
        <v>14395</v>
      </c>
    </row>
    <row r="31" spans="1:4" ht="16.5" customHeight="1">
      <c r="A31" s="187">
        <v>3</v>
      </c>
      <c r="B31" s="188" t="s">
        <v>45</v>
      </c>
      <c r="C31" s="190">
        <v>7022</v>
      </c>
    </row>
    <row r="32" spans="1:4" ht="16.5" customHeight="1">
      <c r="A32" s="187">
        <v>4</v>
      </c>
      <c r="B32" s="188" t="s">
        <v>46</v>
      </c>
      <c r="C32" s="190">
        <v>7022</v>
      </c>
    </row>
    <row r="33" spans="1:3" ht="16.5" customHeight="1">
      <c r="A33" s="187">
        <v>5</v>
      </c>
      <c r="B33" s="188" t="s">
        <v>47</v>
      </c>
      <c r="C33" s="190">
        <v>266704</v>
      </c>
    </row>
    <row r="34" spans="1:3" ht="16.5" customHeight="1">
      <c r="A34" s="187">
        <v>6</v>
      </c>
      <c r="B34" s="188" t="s">
        <v>48</v>
      </c>
      <c r="C34" s="190">
        <v>38</v>
      </c>
    </row>
    <row r="35" spans="1:3" ht="16.5" customHeight="1">
      <c r="A35" s="187">
        <v>7</v>
      </c>
      <c r="B35" s="188" t="s">
        <v>49</v>
      </c>
      <c r="C35" s="190" t="s">
        <v>150</v>
      </c>
    </row>
    <row r="36" spans="1:3" ht="16.5" customHeight="1">
      <c r="A36" s="187">
        <v>8</v>
      </c>
      <c r="B36" s="188" t="s">
        <v>50</v>
      </c>
      <c r="C36" s="190">
        <v>134</v>
      </c>
    </row>
    <row r="37" spans="1:3" ht="16.5" customHeight="1">
      <c r="A37" s="187">
        <v>9</v>
      </c>
      <c r="B37" s="188" t="s">
        <v>51</v>
      </c>
      <c r="C37" s="190">
        <v>159</v>
      </c>
    </row>
    <row r="38" spans="1:3" ht="16.5" customHeight="1">
      <c r="A38" s="187">
        <v>10</v>
      </c>
      <c r="B38" s="188" t="s">
        <v>52</v>
      </c>
      <c r="C38" s="191" t="s">
        <v>26</v>
      </c>
    </row>
    <row r="39" spans="1:3" ht="16.5" customHeight="1">
      <c r="A39" s="187">
        <v>11</v>
      </c>
      <c r="B39" s="188" t="s">
        <v>152</v>
      </c>
      <c r="C39" s="191" t="s">
        <v>12</v>
      </c>
    </row>
    <row r="40" spans="1:3">
      <c r="A40" s="187">
        <v>12</v>
      </c>
      <c r="B40" s="188" t="s">
        <v>308</v>
      </c>
      <c r="C40" s="190" t="s">
        <v>309</v>
      </c>
    </row>
    <row r="41" spans="1:3">
      <c r="A41" s="187">
        <v>13</v>
      </c>
      <c r="B41" s="188" t="s">
        <v>158</v>
      </c>
      <c r="C41" s="190" t="s">
        <v>159</v>
      </c>
    </row>
    <row r="42" spans="1:3">
      <c r="A42" s="187">
        <v>14</v>
      </c>
      <c r="B42" s="188" t="s">
        <v>160</v>
      </c>
      <c r="C42" s="190" t="s">
        <v>161</v>
      </c>
    </row>
    <row r="43" spans="1:3">
      <c r="A43" s="187">
        <v>15</v>
      </c>
      <c r="B43" s="188" t="s">
        <v>162</v>
      </c>
      <c r="C43" s="190" t="s">
        <v>163</v>
      </c>
    </row>
    <row r="44" spans="1:3">
      <c r="A44" s="187">
        <v>16</v>
      </c>
      <c r="B44" s="188" t="s">
        <v>164</v>
      </c>
      <c r="C44" s="190" t="s">
        <v>165</v>
      </c>
    </row>
    <row r="45" spans="1:3">
      <c r="A45" s="187">
        <v>17</v>
      </c>
      <c r="B45" s="192" t="s">
        <v>166</v>
      </c>
      <c r="C45" s="193" t="s">
        <v>310</v>
      </c>
    </row>
    <row r="46" spans="1:3">
      <c r="A46" s="187">
        <v>18</v>
      </c>
      <c r="B46" s="192" t="s">
        <v>167</v>
      </c>
      <c r="C46" s="190"/>
    </row>
    <row r="47" spans="1:3">
      <c r="A47" s="187"/>
      <c r="B47" s="194" t="s">
        <v>168</v>
      </c>
      <c r="C47" s="195">
        <v>1.02</v>
      </c>
    </row>
    <row r="48" spans="1:3">
      <c r="A48" s="187"/>
      <c r="B48" s="194" t="s">
        <v>169</v>
      </c>
      <c r="C48" s="195">
        <v>0.93</v>
      </c>
    </row>
    <row r="49" spans="1:3">
      <c r="A49" s="187">
        <v>19</v>
      </c>
      <c r="B49" s="188" t="s">
        <v>170</v>
      </c>
      <c r="C49" s="190">
        <v>1689</v>
      </c>
    </row>
    <row r="50" spans="1:3">
      <c r="A50" s="187">
        <v>20</v>
      </c>
      <c r="B50" s="188" t="s">
        <v>171</v>
      </c>
      <c r="C50" s="190">
        <v>745</v>
      </c>
    </row>
  </sheetData>
  <mergeCells count="12">
    <mergeCell ref="B2:C2"/>
    <mergeCell ref="B5:D5"/>
    <mergeCell ref="B6:D6"/>
    <mergeCell ref="B7:D7"/>
    <mergeCell ref="B4:D4"/>
    <mergeCell ref="B3:D3"/>
    <mergeCell ref="B16:D16"/>
    <mergeCell ref="B15:D15"/>
    <mergeCell ref="B9:D9"/>
    <mergeCell ref="B12:D12"/>
    <mergeCell ref="B10:D10"/>
    <mergeCell ref="B13:D13"/>
  </mergeCell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sheetPr>
    <tabColor rgb="FF00FFCC"/>
  </sheetPr>
  <dimension ref="B2:G19"/>
  <sheetViews>
    <sheetView topLeftCell="A7" workbookViewId="0">
      <selection activeCell="J26" sqref="J26"/>
    </sheetView>
  </sheetViews>
  <sheetFormatPr defaultRowHeight="15"/>
  <cols>
    <col min="2" max="2" width="8.85546875" customWidth="1"/>
    <col min="3" max="3" width="13.42578125" customWidth="1"/>
    <col min="4" max="4" width="12" customWidth="1"/>
    <col min="5" max="5" width="12.140625" customWidth="1"/>
    <col min="6" max="6" width="10.85546875" customWidth="1"/>
  </cols>
  <sheetData>
    <row r="2" spans="2:7" ht="21" customHeight="1">
      <c r="B2" s="251" t="s">
        <v>311</v>
      </c>
      <c r="C2" s="251"/>
      <c r="D2" s="251"/>
      <c r="E2" s="251"/>
      <c r="F2" s="251"/>
    </row>
    <row r="5" spans="2:7">
      <c r="B5" s="252" t="s">
        <v>319</v>
      </c>
      <c r="C5" s="252"/>
      <c r="D5" s="252"/>
      <c r="E5" s="252"/>
      <c r="F5" s="106"/>
      <c r="G5" s="106"/>
    </row>
    <row r="6" spans="2:7" ht="53.25" customHeight="1">
      <c r="B6" s="221" t="s">
        <v>320</v>
      </c>
      <c r="C6" s="221"/>
      <c r="D6" s="221"/>
      <c r="E6" s="221"/>
      <c r="F6" s="221"/>
      <c r="G6" s="221"/>
    </row>
    <row r="7" spans="2:7">
      <c r="B7" s="252" t="s">
        <v>322</v>
      </c>
      <c r="C7" s="252"/>
      <c r="D7" s="252"/>
      <c r="E7" s="252"/>
      <c r="F7" s="106"/>
      <c r="G7" s="106"/>
    </row>
    <row r="8" spans="2:7" ht="30.75" customHeight="1">
      <c r="B8" s="255" t="s">
        <v>323</v>
      </c>
      <c r="C8" s="255"/>
      <c r="D8" s="255"/>
      <c r="E8" s="255"/>
      <c r="F8" s="255"/>
      <c r="G8" s="255"/>
    </row>
    <row r="9" spans="2:7" ht="53.25" customHeight="1">
      <c r="B9" s="255" t="s">
        <v>324</v>
      </c>
      <c r="C9" s="255"/>
      <c r="D9" s="255"/>
      <c r="E9" s="255"/>
      <c r="F9" s="255"/>
      <c r="G9" s="255"/>
    </row>
    <row r="10" spans="2:7" ht="35.25" customHeight="1">
      <c r="B10" s="254" t="s">
        <v>321</v>
      </c>
      <c r="C10" s="254"/>
      <c r="D10" s="254"/>
      <c r="E10" s="254"/>
    </row>
    <row r="11" spans="2:7" ht="11.25" customHeight="1">
      <c r="B11" s="107"/>
      <c r="C11" s="107"/>
      <c r="D11" s="107"/>
      <c r="E11" s="107"/>
    </row>
    <row r="12" spans="2:7">
      <c r="B12" s="108" t="s">
        <v>28</v>
      </c>
      <c r="C12" s="221" t="s">
        <v>19</v>
      </c>
      <c r="D12" s="221"/>
      <c r="E12" s="38">
        <v>29</v>
      </c>
    </row>
    <row r="13" spans="2:7">
      <c r="B13" s="108" t="s">
        <v>29</v>
      </c>
      <c r="C13" s="221" t="s">
        <v>18</v>
      </c>
      <c r="D13" s="221"/>
      <c r="E13" s="103">
        <v>120</v>
      </c>
    </row>
    <row r="14" spans="2:7">
      <c r="B14" s="108" t="s">
        <v>30</v>
      </c>
      <c r="C14" s="221" t="s">
        <v>312</v>
      </c>
      <c r="D14" s="221"/>
      <c r="E14" s="104" t="s">
        <v>26</v>
      </c>
    </row>
    <row r="15" spans="2:7">
      <c r="B15" s="108" t="s">
        <v>31</v>
      </c>
      <c r="C15" s="221" t="s">
        <v>313</v>
      </c>
      <c r="D15" s="221"/>
      <c r="E15" s="103">
        <v>26</v>
      </c>
    </row>
    <row r="16" spans="2:7">
      <c r="B16" s="108" t="s">
        <v>32</v>
      </c>
      <c r="C16" s="221" t="s">
        <v>21</v>
      </c>
      <c r="D16" s="221"/>
      <c r="E16" s="38">
        <v>22</v>
      </c>
    </row>
    <row r="17" spans="2:7">
      <c r="B17" s="108" t="s">
        <v>33</v>
      </c>
      <c r="C17" s="221" t="s">
        <v>20</v>
      </c>
      <c r="D17" s="221"/>
      <c r="E17" s="104" t="s">
        <v>27</v>
      </c>
    </row>
    <row r="18" spans="2:7">
      <c r="B18" s="8"/>
    </row>
    <row r="19" spans="2:7" ht="29.25" customHeight="1">
      <c r="B19" s="253" t="s">
        <v>325</v>
      </c>
      <c r="C19" s="253"/>
      <c r="D19" s="253"/>
      <c r="E19" s="253"/>
      <c r="F19" s="253"/>
      <c r="G19" s="253"/>
    </row>
  </sheetData>
  <mergeCells count="14">
    <mergeCell ref="B2:F2"/>
    <mergeCell ref="B5:E5"/>
    <mergeCell ref="B6:G6"/>
    <mergeCell ref="B19:G19"/>
    <mergeCell ref="B10:E10"/>
    <mergeCell ref="C12:D12"/>
    <mergeCell ref="C13:D13"/>
    <mergeCell ref="C14:D14"/>
    <mergeCell ref="C15:D15"/>
    <mergeCell ref="C16:D16"/>
    <mergeCell ref="C17:D17"/>
    <mergeCell ref="B7:E7"/>
    <mergeCell ref="B8:G8"/>
    <mergeCell ref="B9:G9"/>
  </mergeCells>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00B0F0"/>
  </sheetPr>
  <dimension ref="B2:F80"/>
  <sheetViews>
    <sheetView topLeftCell="A85" workbookViewId="0">
      <selection activeCell="J6" sqref="J6"/>
    </sheetView>
  </sheetViews>
  <sheetFormatPr defaultRowHeight="15"/>
  <cols>
    <col min="1" max="1" width="4.42578125" customWidth="1"/>
    <col min="2" max="2" width="6.42578125" customWidth="1"/>
    <col min="3" max="4" width="24.7109375" customWidth="1"/>
    <col min="5" max="5" width="16.7109375" customWidth="1"/>
    <col min="6" max="6" width="11" customWidth="1"/>
  </cols>
  <sheetData>
    <row r="2" spans="2:6" ht="18.75">
      <c r="B2" s="256" t="s">
        <v>492</v>
      </c>
      <c r="C2" s="256"/>
      <c r="D2" s="256"/>
      <c r="E2" s="256"/>
      <c r="F2" s="256"/>
    </row>
    <row r="4" spans="2:6">
      <c r="B4" s="40"/>
      <c r="C4" s="257" t="s">
        <v>139</v>
      </c>
      <c r="D4" s="257"/>
      <c r="E4" s="257"/>
      <c r="F4" s="257"/>
    </row>
    <row r="5" spans="2:6">
      <c r="B5" s="39">
        <v>1</v>
      </c>
      <c r="C5" s="265" t="s">
        <v>140</v>
      </c>
      <c r="D5" s="265"/>
      <c r="E5" s="265"/>
      <c r="F5" s="265"/>
    </row>
    <row r="6" spans="2:6" ht="30.75" customHeight="1">
      <c r="B6" s="39">
        <v>2</v>
      </c>
      <c r="C6" s="255" t="s">
        <v>141</v>
      </c>
      <c r="D6" s="255"/>
      <c r="E6" s="255"/>
      <c r="F6" s="255"/>
    </row>
    <row r="7" spans="2:6">
      <c r="B7" s="39">
        <v>3</v>
      </c>
      <c r="C7" s="265" t="s">
        <v>142</v>
      </c>
      <c r="D7" s="265"/>
      <c r="E7" s="265"/>
      <c r="F7" s="265"/>
    </row>
    <row r="8" spans="2:6">
      <c r="B8" s="39">
        <v>4</v>
      </c>
      <c r="C8" s="265" t="s">
        <v>143</v>
      </c>
      <c r="D8" s="265"/>
      <c r="E8" s="265"/>
      <c r="F8" s="265"/>
    </row>
    <row r="9" spans="2:6">
      <c r="B9" s="31"/>
      <c r="C9" s="32"/>
      <c r="D9" s="32"/>
      <c r="E9" s="32"/>
      <c r="F9" s="32"/>
    </row>
    <row r="10" spans="2:6" ht="23.25" customHeight="1" thickBot="1">
      <c r="B10" s="260" t="s">
        <v>62</v>
      </c>
      <c r="C10" s="260"/>
      <c r="D10" s="260"/>
      <c r="E10" s="260"/>
    </row>
    <row r="11" spans="2:6" ht="43.5" thickBot="1">
      <c r="B11" s="15" t="s">
        <v>63</v>
      </c>
      <c r="C11" s="16" t="s">
        <v>64</v>
      </c>
      <c r="D11" s="16" t="s">
        <v>65</v>
      </c>
      <c r="E11" s="16" t="s">
        <v>66</v>
      </c>
    </row>
    <row r="12" spans="2:6" ht="24.75" customHeight="1">
      <c r="B12" s="261">
        <v>1</v>
      </c>
      <c r="C12" s="263" t="s">
        <v>67</v>
      </c>
      <c r="D12" s="263" t="s">
        <v>68</v>
      </c>
      <c r="E12" s="30" t="s">
        <v>69</v>
      </c>
    </row>
    <row r="13" spans="2:6" ht="32.25" customHeight="1" thickBot="1">
      <c r="B13" s="262"/>
      <c r="C13" s="264"/>
      <c r="D13" s="264"/>
      <c r="E13" s="27" t="s">
        <v>70</v>
      </c>
    </row>
    <row r="14" spans="2:6" ht="24.75" customHeight="1">
      <c r="B14" s="261">
        <v>2</v>
      </c>
      <c r="C14" s="263" t="s">
        <v>71</v>
      </c>
      <c r="D14" s="263" t="s">
        <v>72</v>
      </c>
      <c r="E14" s="258" t="s">
        <v>73</v>
      </c>
    </row>
    <row r="15" spans="2:6" ht="24.75" customHeight="1" thickBot="1">
      <c r="B15" s="262"/>
      <c r="C15" s="264"/>
      <c r="D15" s="264"/>
      <c r="E15" s="259"/>
    </row>
    <row r="16" spans="2:6" ht="24.75" customHeight="1">
      <c r="B16" s="261">
        <v>3</v>
      </c>
      <c r="C16" s="263" t="s">
        <v>74</v>
      </c>
      <c r="D16" s="263" t="s">
        <v>75</v>
      </c>
      <c r="E16" s="258" t="s">
        <v>73</v>
      </c>
    </row>
    <row r="17" spans="2:6" ht="33.75" customHeight="1" thickBot="1">
      <c r="B17" s="262"/>
      <c r="C17" s="264"/>
      <c r="D17" s="264"/>
      <c r="E17" s="259"/>
    </row>
    <row r="18" spans="2:6">
      <c r="B18" s="261">
        <v>4</v>
      </c>
      <c r="C18" s="263" t="s">
        <v>76</v>
      </c>
      <c r="D18" s="263" t="s">
        <v>77</v>
      </c>
      <c r="E18" s="30" t="s">
        <v>69</v>
      </c>
    </row>
    <row r="19" spans="2:6" ht="29.25" thickBot="1">
      <c r="B19" s="262"/>
      <c r="C19" s="264"/>
      <c r="D19" s="264"/>
      <c r="E19" s="27" t="s">
        <v>70</v>
      </c>
    </row>
    <row r="20" spans="2:6">
      <c r="B20" s="261">
        <v>5</v>
      </c>
      <c r="C20" s="263" t="s">
        <v>78</v>
      </c>
      <c r="D20" s="263" t="s">
        <v>79</v>
      </c>
      <c r="E20" s="258" t="s">
        <v>73</v>
      </c>
    </row>
    <row r="21" spans="2:6" ht="15.75" thickBot="1">
      <c r="B21" s="262"/>
      <c r="C21" s="264"/>
      <c r="D21" s="264"/>
      <c r="E21" s="259"/>
    </row>
    <row r="22" spans="2:6">
      <c r="B22" s="13"/>
      <c r="C22" s="14"/>
      <c r="D22" s="14"/>
      <c r="E22" s="14"/>
    </row>
    <row r="23" spans="2:6" ht="15.75" thickBot="1"/>
    <row r="24" spans="2:6" s="31" customFormat="1" ht="29.25" thickBot="1">
      <c r="B24" s="33" t="s">
        <v>80</v>
      </c>
      <c r="C24" s="34" t="s">
        <v>144</v>
      </c>
      <c r="D24" s="35" t="s">
        <v>81</v>
      </c>
      <c r="E24" s="36" t="s">
        <v>82</v>
      </c>
      <c r="F24" s="34" t="s">
        <v>83</v>
      </c>
    </row>
    <row r="25" spans="2:6" s="2" customFormat="1" ht="15.75" thickBot="1">
      <c r="B25" s="17">
        <v>1</v>
      </c>
      <c r="C25" s="18" t="s">
        <v>84</v>
      </c>
      <c r="D25" s="20">
        <v>202143</v>
      </c>
      <c r="E25" s="19">
        <v>23.978256999999999</v>
      </c>
      <c r="F25" s="18">
        <v>87.455023999999995</v>
      </c>
    </row>
    <row r="26" spans="2:6" s="2" customFormat="1" ht="15.75" thickBot="1">
      <c r="B26" s="17">
        <v>2</v>
      </c>
      <c r="C26" s="18" t="s">
        <v>85</v>
      </c>
      <c r="D26" s="20">
        <v>9333445923</v>
      </c>
      <c r="E26" s="19">
        <v>23.963584999999998</v>
      </c>
      <c r="F26" s="18">
        <v>87.471931999999995</v>
      </c>
    </row>
    <row r="27" spans="2:6" s="2" customFormat="1" ht="15.75" thickBot="1">
      <c r="B27" s="17">
        <v>3</v>
      </c>
      <c r="C27" s="18" t="s">
        <v>86</v>
      </c>
      <c r="D27" s="29" t="s">
        <v>138</v>
      </c>
      <c r="E27" s="19">
        <v>23.965043999999999</v>
      </c>
      <c r="F27" s="18">
        <v>87.473622000000006</v>
      </c>
    </row>
    <row r="28" spans="2:6" s="2" customFormat="1" ht="15.75" thickBot="1">
      <c r="B28" s="17">
        <v>4</v>
      </c>
      <c r="C28" s="18" t="s">
        <v>87</v>
      </c>
      <c r="D28" s="20">
        <v>9932380751</v>
      </c>
      <c r="E28" s="19">
        <v>23.937754999999999</v>
      </c>
      <c r="F28" s="18">
        <v>87.492375999999993</v>
      </c>
    </row>
    <row r="29" spans="2:6" s="2" customFormat="1" ht="29.25" thickBot="1">
      <c r="B29" s="17">
        <v>5</v>
      </c>
      <c r="C29" s="18" t="s">
        <v>88</v>
      </c>
      <c r="D29" s="20" t="s">
        <v>89</v>
      </c>
      <c r="E29" s="19">
        <v>23.931929</v>
      </c>
      <c r="F29" s="18">
        <v>87.529700000000005</v>
      </c>
    </row>
    <row r="30" spans="2:6" s="2" customFormat="1" ht="15.75" thickBot="1">
      <c r="B30" s="17">
        <v>6</v>
      </c>
      <c r="C30" s="18" t="s">
        <v>90</v>
      </c>
      <c r="D30" s="20">
        <v>9800018166</v>
      </c>
      <c r="E30" s="19">
        <v>23.933088000000001</v>
      </c>
      <c r="F30" s="18">
        <v>87.503352000000007</v>
      </c>
    </row>
    <row r="31" spans="2:6" s="2" customFormat="1" ht="15.75" thickBot="1">
      <c r="B31" s="17">
        <v>7</v>
      </c>
      <c r="C31" s="18" t="s">
        <v>91</v>
      </c>
      <c r="D31" s="20">
        <v>9832282829</v>
      </c>
      <c r="E31" s="19">
        <v>23.932831</v>
      </c>
      <c r="F31" s="18">
        <v>87.544303999999997</v>
      </c>
    </row>
    <row r="32" spans="2:6" s="2" customFormat="1" ht="15.75" thickBot="1">
      <c r="B32" s="17">
        <v>8</v>
      </c>
      <c r="C32" s="18" t="s">
        <v>92</v>
      </c>
      <c r="D32" s="20">
        <v>9732009780</v>
      </c>
      <c r="E32" s="19">
        <v>23.939225</v>
      </c>
      <c r="F32" s="18">
        <v>87.553815</v>
      </c>
    </row>
    <row r="33" spans="2:6" s="2" customFormat="1" ht="15.75" thickBot="1">
      <c r="B33" s="17">
        <v>9</v>
      </c>
      <c r="C33" s="18" t="s">
        <v>93</v>
      </c>
      <c r="D33" s="29" t="s">
        <v>138</v>
      </c>
      <c r="E33" s="19">
        <v>23.933893000000001</v>
      </c>
      <c r="F33" s="18">
        <v>87.586532000000005</v>
      </c>
    </row>
    <row r="34" spans="2:6" s="2" customFormat="1" ht="15.75" thickBot="1">
      <c r="B34" s="17">
        <v>10</v>
      </c>
      <c r="C34" s="18" t="s">
        <v>94</v>
      </c>
      <c r="D34" s="20" t="s">
        <v>95</v>
      </c>
      <c r="E34" s="19">
        <v>23.927085000000002</v>
      </c>
      <c r="F34" s="18">
        <v>87.598912999999996</v>
      </c>
    </row>
    <row r="35" spans="2:6" s="2" customFormat="1" ht="15.75" thickBot="1">
      <c r="B35" s="17">
        <v>11</v>
      </c>
      <c r="C35" s="18" t="s">
        <v>96</v>
      </c>
      <c r="D35" s="20" t="s">
        <v>97</v>
      </c>
      <c r="E35" s="19">
        <v>23.924516000000001</v>
      </c>
      <c r="F35" s="18">
        <v>87.571678000000006</v>
      </c>
    </row>
    <row r="36" spans="2:6" s="2" customFormat="1" ht="15.75" thickBot="1">
      <c r="B36" s="17">
        <v>12</v>
      </c>
      <c r="C36" s="18" t="s">
        <v>98</v>
      </c>
      <c r="D36" s="29" t="s">
        <v>138</v>
      </c>
      <c r="E36" s="19">
        <v>23.924037999999999</v>
      </c>
      <c r="F36" s="18">
        <v>87.565862999999993</v>
      </c>
    </row>
    <row r="37" spans="2:6" s="2" customFormat="1" ht="15.75" thickBot="1">
      <c r="B37" s="17">
        <v>13</v>
      </c>
      <c r="C37" s="18" t="s">
        <v>99</v>
      </c>
      <c r="D37" s="29" t="s">
        <v>138</v>
      </c>
      <c r="E37" s="19">
        <v>23.928799999999999</v>
      </c>
      <c r="F37" s="18">
        <v>87.570589999999996</v>
      </c>
    </row>
    <row r="38" spans="2:6" s="2" customFormat="1" ht="15.75" thickBot="1">
      <c r="B38" s="17">
        <v>14</v>
      </c>
      <c r="C38" s="18" t="s">
        <v>100</v>
      </c>
      <c r="D38" s="20">
        <v>9233233783</v>
      </c>
      <c r="E38" s="19">
        <v>23.954422000000001</v>
      </c>
      <c r="F38" s="18">
        <v>87.464737999999997</v>
      </c>
    </row>
    <row r="39" spans="2:6" s="2" customFormat="1" ht="18" customHeight="1" thickBot="1">
      <c r="B39" s="17">
        <v>15</v>
      </c>
      <c r="C39" s="18" t="s">
        <v>101</v>
      </c>
      <c r="D39" s="29" t="s">
        <v>138</v>
      </c>
      <c r="E39" s="19">
        <v>23.951311</v>
      </c>
      <c r="F39" s="18">
        <v>87.439584999999994</v>
      </c>
    </row>
    <row r="40" spans="2:6" s="2" customFormat="1" ht="15.75" thickBot="1">
      <c r="B40" s="17">
        <v>16</v>
      </c>
      <c r="C40" s="18" t="s">
        <v>102</v>
      </c>
      <c r="D40" s="20" t="s">
        <v>103</v>
      </c>
      <c r="E40" s="19">
        <v>23.875136000000001</v>
      </c>
      <c r="F40" s="18">
        <v>87.539850999999999</v>
      </c>
    </row>
    <row r="41" spans="2:6" s="2" customFormat="1" ht="15.75" thickBot="1">
      <c r="B41" s="17">
        <v>17</v>
      </c>
      <c r="C41" s="18" t="s">
        <v>104</v>
      </c>
      <c r="D41" s="29" t="s">
        <v>138</v>
      </c>
      <c r="E41" s="19">
        <v>23.864578999999999</v>
      </c>
      <c r="F41" s="18">
        <v>87.512364000000005</v>
      </c>
    </row>
    <row r="42" spans="2:6" s="2" customFormat="1" ht="15.75" thickBot="1">
      <c r="B42" s="17">
        <v>18</v>
      </c>
      <c r="C42" s="18" t="s">
        <v>105</v>
      </c>
      <c r="D42" s="29" t="s">
        <v>138</v>
      </c>
      <c r="E42" s="19">
        <v>23.861692999999999</v>
      </c>
      <c r="F42" s="18">
        <v>87.521462</v>
      </c>
    </row>
    <row r="43" spans="2:6" s="2" customFormat="1" ht="15.75" thickBot="1">
      <c r="B43" s="17">
        <v>19</v>
      </c>
      <c r="C43" s="18" t="s">
        <v>106</v>
      </c>
      <c r="D43" s="20">
        <v>9851726195</v>
      </c>
      <c r="E43" s="19">
        <v>23.8657</v>
      </c>
      <c r="F43" s="18">
        <v>87.517786999999998</v>
      </c>
    </row>
    <row r="44" spans="2:6" s="2" customFormat="1" ht="15.75" thickBot="1">
      <c r="B44" s="17">
        <v>20</v>
      </c>
      <c r="C44" s="18" t="s">
        <v>107</v>
      </c>
      <c r="D44" s="20">
        <v>9233128577</v>
      </c>
      <c r="E44" s="19">
        <v>23.814508</v>
      </c>
      <c r="F44" s="18">
        <v>87.519267999999997</v>
      </c>
    </row>
    <row r="45" spans="2:6" s="2" customFormat="1" ht="15.75" thickBot="1">
      <c r="B45" s="17">
        <v>21</v>
      </c>
      <c r="C45" s="18" t="s">
        <v>108</v>
      </c>
      <c r="D45" s="20">
        <v>9851759673</v>
      </c>
      <c r="E45" s="19">
        <v>23.827539999999999</v>
      </c>
      <c r="F45" s="18">
        <v>87.525035000000003</v>
      </c>
    </row>
    <row r="47" spans="2:6" ht="15" customHeight="1">
      <c r="B47" s="106"/>
      <c r="C47" s="111" t="s">
        <v>332</v>
      </c>
      <c r="D47" s="111"/>
      <c r="E47" s="111"/>
      <c r="F47" s="106"/>
    </row>
    <row r="51" spans="2:5">
      <c r="B51" s="267" t="s">
        <v>145</v>
      </c>
      <c r="C51" s="267"/>
      <c r="D51" s="267"/>
      <c r="E51" s="267"/>
    </row>
    <row r="52" spans="2:5" ht="15.75" thickBot="1">
      <c r="B52" s="268"/>
      <c r="C52" s="268"/>
      <c r="D52" s="268"/>
      <c r="E52" s="268"/>
    </row>
    <row r="53" spans="2:5" ht="29.25" thickBot="1">
      <c r="B53" s="11" t="s">
        <v>63</v>
      </c>
      <c r="C53" s="12" t="s">
        <v>109</v>
      </c>
      <c r="D53" s="12" t="s">
        <v>110</v>
      </c>
      <c r="E53" s="12" t="s">
        <v>38</v>
      </c>
    </row>
    <row r="54" spans="2:5" ht="15.75" thickBot="1">
      <c r="B54" s="17" t="s">
        <v>28</v>
      </c>
      <c r="C54" s="18" t="s">
        <v>111</v>
      </c>
      <c r="D54" s="26" t="s">
        <v>132</v>
      </c>
      <c r="E54" s="27" t="s">
        <v>112</v>
      </c>
    </row>
    <row r="55" spans="2:5" ht="15.75" thickBot="1">
      <c r="B55" s="17" t="s">
        <v>29</v>
      </c>
      <c r="C55" s="18" t="s">
        <v>113</v>
      </c>
      <c r="D55" s="28" t="s">
        <v>114</v>
      </c>
      <c r="E55" s="27"/>
    </row>
    <row r="56" spans="2:5" ht="15.75" thickBot="1">
      <c r="B56" s="17" t="s">
        <v>30</v>
      </c>
      <c r="C56" s="18" t="s">
        <v>115</v>
      </c>
      <c r="D56" s="26" t="s">
        <v>132</v>
      </c>
      <c r="E56" s="27" t="s">
        <v>116</v>
      </c>
    </row>
    <row r="57" spans="2:5" ht="15.75" thickBot="1">
      <c r="B57" s="17" t="s">
        <v>31</v>
      </c>
      <c r="C57" s="18" t="s">
        <v>117</v>
      </c>
      <c r="D57" s="26" t="s">
        <v>138</v>
      </c>
      <c r="E57" s="27">
        <v>9830047893</v>
      </c>
    </row>
    <row r="58" spans="2:5" ht="15.75" thickBot="1">
      <c r="B58" s="17" t="s">
        <v>32</v>
      </c>
      <c r="C58" s="18" t="s">
        <v>118</v>
      </c>
      <c r="D58" s="26" t="s">
        <v>138</v>
      </c>
      <c r="E58" s="27">
        <v>9433273650</v>
      </c>
    </row>
    <row r="59" spans="2:5" ht="29.25" thickBot="1">
      <c r="B59" s="17" t="s">
        <v>33</v>
      </c>
      <c r="C59" s="18" t="s">
        <v>146</v>
      </c>
      <c r="D59" s="26" t="s">
        <v>132</v>
      </c>
      <c r="E59" s="27" t="s">
        <v>119</v>
      </c>
    </row>
    <row r="60" spans="2:5" ht="29.25" thickBot="1">
      <c r="B60" s="17" t="s">
        <v>120</v>
      </c>
      <c r="C60" s="18" t="s">
        <v>121</v>
      </c>
      <c r="D60" s="26" t="s">
        <v>132</v>
      </c>
      <c r="E60" s="27" t="s">
        <v>147</v>
      </c>
    </row>
    <row r="61" spans="2:5">
      <c r="B61" s="10"/>
    </row>
    <row r="62" spans="2:5">
      <c r="B62" s="21" t="s">
        <v>133</v>
      </c>
    </row>
    <row r="63" spans="2:5" ht="60" customHeight="1">
      <c r="B63" s="266" t="s">
        <v>148</v>
      </c>
      <c r="C63" s="266"/>
      <c r="D63" s="266"/>
      <c r="E63" s="266"/>
    </row>
    <row r="64" spans="2:5" ht="22.5" customHeight="1">
      <c r="B64" s="21" t="s">
        <v>134</v>
      </c>
    </row>
    <row r="65" spans="2:5" ht="15.75" thickBot="1">
      <c r="B65" s="10"/>
    </row>
    <row r="66" spans="2:5" ht="29.25" thickBot="1">
      <c r="B66" s="11" t="s">
        <v>63</v>
      </c>
      <c r="C66" s="12" t="s">
        <v>64</v>
      </c>
      <c r="D66" s="12" t="s">
        <v>122</v>
      </c>
      <c r="E66" s="12" t="s">
        <v>123</v>
      </c>
    </row>
    <row r="67" spans="2:5" ht="15.75" thickBot="1">
      <c r="B67" s="24">
        <v>1</v>
      </c>
      <c r="C67" s="18" t="s">
        <v>124</v>
      </c>
      <c r="D67" s="22" t="s">
        <v>125</v>
      </c>
      <c r="E67" s="22" t="s">
        <v>14</v>
      </c>
    </row>
    <row r="68" spans="2:5" ht="15.75" thickBot="1">
      <c r="B68" s="24">
        <v>2</v>
      </c>
      <c r="C68" s="18" t="s">
        <v>126</v>
      </c>
      <c r="D68" s="22" t="s">
        <v>127</v>
      </c>
      <c r="E68" s="22" t="s">
        <v>14</v>
      </c>
    </row>
    <row r="69" spans="2:5" ht="12.75" customHeight="1">
      <c r="B69" s="10"/>
    </row>
    <row r="70" spans="2:5" ht="15" customHeight="1">
      <c r="B70" s="21" t="s">
        <v>137</v>
      </c>
    </row>
    <row r="71" spans="2:5" ht="65.25" customHeight="1">
      <c r="B71" s="266" t="s">
        <v>149</v>
      </c>
      <c r="C71" s="266"/>
      <c r="D71" s="266"/>
      <c r="E71" s="266"/>
    </row>
    <row r="72" spans="2:5" ht="10.5" customHeight="1">
      <c r="B72" s="25"/>
    </row>
    <row r="73" spans="2:5">
      <c r="B73" s="270" t="s">
        <v>135</v>
      </c>
      <c r="C73" s="270"/>
      <c r="D73" s="270"/>
      <c r="E73" s="270"/>
    </row>
    <row r="74" spans="2:5">
      <c r="B74" s="269" t="s">
        <v>128</v>
      </c>
      <c r="C74" s="269"/>
      <c r="D74" s="269"/>
      <c r="E74" s="269"/>
    </row>
    <row r="75" spans="2:5">
      <c r="B75" s="269" t="s">
        <v>129</v>
      </c>
      <c r="C75" s="269"/>
      <c r="D75" s="269"/>
      <c r="E75" s="269"/>
    </row>
    <row r="76" spans="2:5">
      <c r="B76" s="269" t="s">
        <v>130</v>
      </c>
      <c r="C76" s="269"/>
      <c r="D76" s="269"/>
      <c r="E76" s="269"/>
    </row>
    <row r="77" spans="2:5">
      <c r="B77" s="23"/>
    </row>
    <row r="78" spans="2:5">
      <c r="B78" s="271" t="s">
        <v>136</v>
      </c>
      <c r="C78" s="271"/>
      <c r="D78" s="271"/>
      <c r="E78" s="271"/>
    </row>
    <row r="79" spans="2:5" ht="37.5" customHeight="1">
      <c r="B79" s="266" t="s">
        <v>131</v>
      </c>
      <c r="C79" s="266"/>
      <c r="D79" s="266"/>
      <c r="E79" s="266"/>
    </row>
    <row r="80" spans="2:5">
      <c r="B80" s="23"/>
    </row>
  </sheetData>
  <mergeCells count="34">
    <mergeCell ref="B75:E75"/>
    <mergeCell ref="C12:C13"/>
    <mergeCell ref="D12:D13"/>
    <mergeCell ref="B79:E79"/>
    <mergeCell ref="B71:E71"/>
    <mergeCell ref="B73:E73"/>
    <mergeCell ref="B74:E74"/>
    <mergeCell ref="B76:E76"/>
    <mergeCell ref="B78:E78"/>
    <mergeCell ref="C8:F8"/>
    <mergeCell ref="B63:E63"/>
    <mergeCell ref="B51:E52"/>
    <mergeCell ref="B20:B21"/>
    <mergeCell ref="C20:C21"/>
    <mergeCell ref="D20:D21"/>
    <mergeCell ref="B14:B15"/>
    <mergeCell ref="D14:D15"/>
    <mergeCell ref="C14:C15"/>
    <mergeCell ref="B2:F2"/>
    <mergeCell ref="C4:F4"/>
    <mergeCell ref="E20:E21"/>
    <mergeCell ref="B10:E10"/>
    <mergeCell ref="E14:E15"/>
    <mergeCell ref="B16:B17"/>
    <mergeCell ref="C16:C17"/>
    <mergeCell ref="D16:D17"/>
    <mergeCell ref="E16:E17"/>
    <mergeCell ref="B18:B19"/>
    <mergeCell ref="C18:C19"/>
    <mergeCell ref="D18:D19"/>
    <mergeCell ref="B12:B13"/>
    <mergeCell ref="C5:F5"/>
    <mergeCell ref="C6:F6"/>
    <mergeCell ref="C7:F7"/>
  </mergeCells>
  <printOptions horizontalCentered="1"/>
  <pageMargins left="0.2" right="0.2" top="0.25" bottom="0.25" header="0.3" footer="0.3"/>
  <pageSetup orientation="portrait" verticalDpi="0" r:id="rId1"/>
</worksheet>
</file>

<file path=xl/worksheets/sheet10.xml><?xml version="1.0" encoding="utf-8"?>
<worksheet xmlns="http://schemas.openxmlformats.org/spreadsheetml/2006/main" xmlns:r="http://schemas.openxmlformats.org/officeDocument/2006/relationships">
  <sheetPr>
    <tabColor rgb="FF92D050"/>
  </sheetPr>
  <dimension ref="B1:D31"/>
  <sheetViews>
    <sheetView topLeftCell="A10" workbookViewId="0">
      <selection activeCell="H15" sqref="H15"/>
    </sheetView>
  </sheetViews>
  <sheetFormatPr defaultRowHeight="15.75"/>
  <cols>
    <col min="1" max="1" width="9.140625" style="45"/>
    <col min="2" max="2" width="25.5703125" style="57" customWidth="1"/>
    <col min="3" max="3" width="66.28515625" style="47" customWidth="1"/>
    <col min="4" max="4" width="11.85546875" style="45" customWidth="1"/>
    <col min="5" max="16384" width="9.140625" style="45"/>
  </cols>
  <sheetData>
    <row r="1" spans="2:4" ht="25.5">
      <c r="B1" s="273" t="s">
        <v>174</v>
      </c>
      <c r="C1" s="273"/>
    </row>
    <row r="2" spans="2:4" ht="12" customHeight="1">
      <c r="B2" s="274"/>
      <c r="C2" s="274"/>
      <c r="D2" s="274"/>
    </row>
    <row r="3" spans="2:4">
      <c r="B3" s="53"/>
      <c r="C3" s="46"/>
    </row>
    <row r="4" spans="2:4">
      <c r="B4" s="37" t="s">
        <v>263</v>
      </c>
      <c r="C4" s="48" t="s">
        <v>262</v>
      </c>
    </row>
    <row r="5" spans="2:4">
      <c r="B5" s="37" t="s">
        <v>264</v>
      </c>
      <c r="C5" s="49" t="s">
        <v>261</v>
      </c>
    </row>
    <row r="6" spans="2:4" ht="31.5">
      <c r="B6" s="54" t="s">
        <v>265</v>
      </c>
      <c r="C6" s="51" t="s">
        <v>175</v>
      </c>
    </row>
    <row r="7" spans="2:4">
      <c r="B7" s="37" t="s">
        <v>176</v>
      </c>
      <c r="C7" s="49" t="s">
        <v>260</v>
      </c>
    </row>
    <row r="8" spans="2:4">
      <c r="B8" s="37"/>
      <c r="C8" s="49"/>
    </row>
    <row r="9" spans="2:4" ht="258.75" customHeight="1">
      <c r="B9" s="55" t="s">
        <v>178</v>
      </c>
      <c r="C9" s="52" t="s">
        <v>184</v>
      </c>
    </row>
    <row r="10" spans="2:4">
      <c r="B10" s="37" t="s">
        <v>179</v>
      </c>
      <c r="C10" s="50" t="s">
        <v>180</v>
      </c>
    </row>
    <row r="11" spans="2:4">
      <c r="B11" s="37" t="s">
        <v>181</v>
      </c>
      <c r="C11" s="50" t="s">
        <v>187</v>
      </c>
    </row>
    <row r="12" spans="2:4" ht="101.25" customHeight="1">
      <c r="B12" s="56" t="s">
        <v>182</v>
      </c>
      <c r="C12" s="272" t="s">
        <v>183</v>
      </c>
      <c r="D12" s="272"/>
    </row>
    <row r="13" spans="2:4" ht="192" customHeight="1">
      <c r="B13" s="58" t="s">
        <v>185</v>
      </c>
      <c r="C13" s="272" t="s">
        <v>186</v>
      </c>
      <c r="D13" s="272"/>
    </row>
    <row r="15" spans="2:4">
      <c r="B15" s="60"/>
      <c r="C15" s="62"/>
    </row>
    <row r="16" spans="2:4">
      <c r="B16" s="60"/>
      <c r="C16" s="62"/>
    </row>
    <row r="17" spans="2:3">
      <c r="B17" s="60"/>
      <c r="C17" s="62"/>
    </row>
    <row r="18" spans="2:3">
      <c r="B18" s="60"/>
      <c r="C18" s="61"/>
    </row>
    <row r="19" spans="2:3">
      <c r="B19" s="60"/>
      <c r="C19" s="61"/>
    </row>
    <row r="20" spans="2:3">
      <c r="B20" s="60"/>
      <c r="C20" s="61"/>
    </row>
    <row r="21" spans="2:3">
      <c r="B21" s="60"/>
      <c r="C21" s="61"/>
    </row>
    <row r="22" spans="2:3">
      <c r="B22" s="60"/>
      <c r="C22" s="69"/>
    </row>
    <row r="23" spans="2:3">
      <c r="B23" s="60"/>
      <c r="C23" s="69"/>
    </row>
    <row r="24" spans="2:3">
      <c r="B24" s="60"/>
      <c r="C24" s="68"/>
    </row>
    <row r="30" spans="2:3">
      <c r="B30" s="45"/>
      <c r="C30" s="59"/>
    </row>
    <row r="31" spans="2:3">
      <c r="B31" s="60"/>
      <c r="C31" s="59"/>
    </row>
  </sheetData>
  <mergeCells count="4">
    <mergeCell ref="C12:D12"/>
    <mergeCell ref="C13:D13"/>
    <mergeCell ref="B1:C1"/>
    <mergeCell ref="B2:D2"/>
  </mergeCells>
  <pageMargins left="0.7" right="0.7" top="0.75" bottom="0.75" header="0.3" footer="0.3"/>
  <pageSetup orientation="portrait" verticalDpi="0" r:id="rId1"/>
  <drawing r:id="rId2"/>
</worksheet>
</file>

<file path=xl/worksheets/sheet11.xml><?xml version="1.0" encoding="utf-8"?>
<worksheet xmlns="http://schemas.openxmlformats.org/spreadsheetml/2006/main" xmlns:r="http://schemas.openxmlformats.org/officeDocument/2006/relationships">
  <sheetPr>
    <tabColor rgb="FF663300"/>
  </sheetPr>
  <dimension ref="B3:D23"/>
  <sheetViews>
    <sheetView workbookViewId="0">
      <selection activeCell="J9" sqref="J9"/>
    </sheetView>
  </sheetViews>
  <sheetFormatPr defaultRowHeight="14.25"/>
  <cols>
    <col min="1" max="1" width="5.85546875" style="64" customWidth="1"/>
    <col min="2" max="2" width="16.7109375" style="64" customWidth="1"/>
    <col min="3" max="3" width="29" style="64" customWidth="1"/>
    <col min="4" max="4" width="24.7109375" style="64" customWidth="1"/>
    <col min="5" max="16384" width="9.140625" style="64"/>
  </cols>
  <sheetData>
    <row r="3" spans="2:4">
      <c r="B3" s="278" t="s">
        <v>228</v>
      </c>
      <c r="C3" s="278"/>
      <c r="D3" s="278"/>
    </row>
    <row r="5" spans="2:4">
      <c r="B5" s="233" t="s">
        <v>188</v>
      </c>
      <c r="C5" s="275" t="s">
        <v>200</v>
      </c>
      <c r="D5" s="275" t="s">
        <v>202</v>
      </c>
    </row>
    <row r="6" spans="2:4">
      <c r="B6" s="234"/>
      <c r="C6" s="277" t="s">
        <v>189</v>
      </c>
      <c r="D6" s="277"/>
    </row>
    <row r="7" spans="2:4" ht="14.25" customHeight="1">
      <c r="B7" s="275" t="s">
        <v>190</v>
      </c>
      <c r="C7" s="66" t="s">
        <v>199</v>
      </c>
      <c r="D7" s="67" t="s">
        <v>214</v>
      </c>
    </row>
    <row r="8" spans="2:4">
      <c r="B8" s="279"/>
      <c r="C8" s="66" t="s">
        <v>203</v>
      </c>
      <c r="D8" s="67" t="s">
        <v>215</v>
      </c>
    </row>
    <row r="9" spans="2:4">
      <c r="B9" s="275" t="s">
        <v>191</v>
      </c>
      <c r="C9" s="66" t="s">
        <v>204</v>
      </c>
      <c r="D9" s="67" t="s">
        <v>216</v>
      </c>
    </row>
    <row r="10" spans="2:4">
      <c r="B10" s="277"/>
      <c r="C10" s="66" t="s">
        <v>205</v>
      </c>
      <c r="D10" s="67">
        <v>8016421559</v>
      </c>
    </row>
    <row r="11" spans="2:4">
      <c r="B11" s="65" t="s">
        <v>192</v>
      </c>
      <c r="C11" s="66" t="s">
        <v>206</v>
      </c>
      <c r="D11" s="67" t="s">
        <v>217</v>
      </c>
    </row>
    <row r="12" spans="2:4">
      <c r="B12" s="275" t="s">
        <v>193</v>
      </c>
      <c r="C12" s="66" t="s">
        <v>201</v>
      </c>
      <c r="D12" s="67" t="s">
        <v>218</v>
      </c>
    </row>
    <row r="13" spans="2:4">
      <c r="B13" s="276"/>
      <c r="C13" s="66" t="s">
        <v>219</v>
      </c>
      <c r="D13" s="67" t="s">
        <v>220</v>
      </c>
    </row>
    <row r="14" spans="2:4">
      <c r="B14" s="276"/>
      <c r="C14" s="66" t="s">
        <v>207</v>
      </c>
      <c r="D14" s="67" t="s">
        <v>221</v>
      </c>
    </row>
    <row r="15" spans="2:4">
      <c r="B15" s="275" t="s">
        <v>194</v>
      </c>
      <c r="C15" s="66" t="s">
        <v>208</v>
      </c>
      <c r="D15" s="67" t="s">
        <v>222</v>
      </c>
    </row>
    <row r="16" spans="2:4">
      <c r="B16" s="276"/>
      <c r="C16" s="66" t="s">
        <v>195</v>
      </c>
      <c r="D16" s="67" t="s">
        <v>223</v>
      </c>
    </row>
    <row r="17" spans="2:4">
      <c r="B17" s="277"/>
      <c r="C17" s="66" t="s">
        <v>209</v>
      </c>
      <c r="D17" s="67" t="s">
        <v>224</v>
      </c>
    </row>
    <row r="18" spans="2:4">
      <c r="B18" s="275" t="s">
        <v>196</v>
      </c>
      <c r="C18" s="66" t="s">
        <v>195</v>
      </c>
      <c r="D18" s="67" t="s">
        <v>223</v>
      </c>
    </row>
    <row r="19" spans="2:4">
      <c r="B19" s="276"/>
      <c r="C19" s="66" t="s">
        <v>210</v>
      </c>
      <c r="D19" s="67" t="s">
        <v>224</v>
      </c>
    </row>
    <row r="20" spans="2:4">
      <c r="B20" s="277"/>
      <c r="C20" s="66" t="s">
        <v>197</v>
      </c>
      <c r="D20" s="67" t="s">
        <v>221</v>
      </c>
    </row>
    <row r="21" spans="2:4">
      <c r="B21" s="275" t="s">
        <v>198</v>
      </c>
      <c r="C21" s="66" t="s">
        <v>211</v>
      </c>
      <c r="D21" s="67" t="s">
        <v>225</v>
      </c>
    </row>
    <row r="22" spans="2:4">
      <c r="B22" s="276"/>
      <c r="C22" s="66" t="s">
        <v>212</v>
      </c>
      <c r="D22" s="67" t="s">
        <v>226</v>
      </c>
    </row>
    <row r="23" spans="2:4" ht="21" customHeight="1">
      <c r="B23" s="277"/>
      <c r="C23" s="66" t="s">
        <v>213</v>
      </c>
      <c r="D23" s="67" t="s">
        <v>227</v>
      </c>
    </row>
  </sheetData>
  <mergeCells count="10">
    <mergeCell ref="B18:B20"/>
    <mergeCell ref="B21:B23"/>
    <mergeCell ref="D5:D6"/>
    <mergeCell ref="B3:D3"/>
    <mergeCell ref="B5:B6"/>
    <mergeCell ref="C5:C6"/>
    <mergeCell ref="B7:B8"/>
    <mergeCell ref="B9:B10"/>
    <mergeCell ref="B12:B14"/>
    <mergeCell ref="B15:B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00FFCC"/>
  </sheetPr>
  <dimension ref="B2:J7"/>
  <sheetViews>
    <sheetView zoomScale="115" zoomScaleNormal="115" workbookViewId="0">
      <selection activeCell="O5" sqref="O5"/>
    </sheetView>
  </sheetViews>
  <sheetFormatPr defaultRowHeight="15"/>
  <cols>
    <col min="1" max="1" width="3.85546875" customWidth="1"/>
  </cols>
  <sheetData>
    <row r="2" spans="2:10" ht="47.25" customHeight="1">
      <c r="B2" s="280" t="s">
        <v>256</v>
      </c>
      <c r="C2" s="280"/>
      <c r="D2" s="280"/>
      <c r="E2" s="280"/>
      <c r="F2" s="280"/>
      <c r="G2" s="280"/>
      <c r="H2" s="280"/>
      <c r="I2" s="280"/>
      <c r="J2" s="280"/>
    </row>
    <row r="3" spans="2:10" ht="20.25">
      <c r="B3" s="92"/>
      <c r="C3" s="92"/>
      <c r="D3" s="92"/>
      <c r="E3" s="92"/>
      <c r="F3" s="92"/>
      <c r="G3" s="92"/>
      <c r="H3" s="92"/>
      <c r="I3" s="92"/>
      <c r="J3" s="92"/>
    </row>
    <row r="4" spans="2:10" ht="26.25" customHeight="1">
      <c r="B4" s="283" t="s">
        <v>258</v>
      </c>
      <c r="C4" s="283"/>
      <c r="D4" s="283"/>
      <c r="E4" s="283"/>
      <c r="F4" s="283"/>
      <c r="G4" s="283"/>
      <c r="H4" s="283"/>
      <c r="I4" s="283"/>
      <c r="J4" s="283"/>
    </row>
    <row r="5" spans="2:10" ht="144" customHeight="1">
      <c r="B5" s="281" t="s">
        <v>259</v>
      </c>
      <c r="C5" s="281"/>
      <c r="D5" s="281"/>
      <c r="E5" s="281"/>
      <c r="F5" s="281"/>
      <c r="G5" s="281"/>
      <c r="H5" s="281"/>
      <c r="I5" s="281"/>
      <c r="J5" s="281"/>
    </row>
    <row r="6" spans="2:10">
      <c r="B6" s="282" t="s">
        <v>257</v>
      </c>
      <c r="C6" s="282"/>
      <c r="D6" s="282"/>
      <c r="E6" s="282"/>
      <c r="F6" s="282"/>
      <c r="G6" s="282"/>
      <c r="H6" s="282"/>
      <c r="I6" s="282"/>
      <c r="J6" s="282"/>
    </row>
    <row r="7" spans="2:10" ht="18" customHeight="1">
      <c r="B7" s="282"/>
      <c r="C7" s="282"/>
      <c r="D7" s="282"/>
      <c r="E7" s="282"/>
      <c r="F7" s="282"/>
      <c r="G7" s="282"/>
      <c r="H7" s="282"/>
      <c r="I7" s="282"/>
      <c r="J7" s="282"/>
    </row>
  </sheetData>
  <mergeCells count="4">
    <mergeCell ref="B2:J2"/>
    <mergeCell ref="B5:J5"/>
    <mergeCell ref="B6:J7"/>
    <mergeCell ref="B4:J4"/>
  </mergeCells>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7030A0"/>
  </sheetPr>
  <dimension ref="A1:A59"/>
  <sheetViews>
    <sheetView workbookViewId="0">
      <selection activeCell="E7" sqref="E7"/>
    </sheetView>
  </sheetViews>
  <sheetFormatPr defaultRowHeight="15"/>
  <cols>
    <col min="1" max="1" width="110.5703125" customWidth="1"/>
  </cols>
  <sheetData>
    <row r="1" spans="1:1" ht="22.5">
      <c r="A1" s="93" t="s">
        <v>266</v>
      </c>
    </row>
    <row r="2" spans="1:1" ht="17.25">
      <c r="A2" s="94" t="s">
        <v>267</v>
      </c>
    </row>
    <row r="3" spans="1:1" ht="17.25">
      <c r="A3" s="94"/>
    </row>
    <row r="4" spans="1:1" ht="17.25">
      <c r="A4" s="94"/>
    </row>
    <row r="5" spans="1:1" ht="17.25">
      <c r="A5" s="94"/>
    </row>
    <row r="6" spans="1:1" ht="17.25">
      <c r="A6" s="94"/>
    </row>
    <row r="7" spans="1:1" ht="17.25">
      <c r="A7" s="94"/>
    </row>
    <row r="8" spans="1:1" ht="17.25">
      <c r="A8" s="94"/>
    </row>
    <row r="10" spans="1:1" ht="12.75" customHeight="1"/>
    <row r="11" spans="1:1" ht="57.75">
      <c r="A11" s="23" t="s">
        <v>268</v>
      </c>
    </row>
    <row r="12" spans="1:1">
      <c r="A12" s="63"/>
    </row>
    <row r="13" spans="1:1" ht="43.5">
      <c r="A13" s="98" t="s">
        <v>283</v>
      </c>
    </row>
    <row r="14" spans="1:1">
      <c r="A14" s="63"/>
    </row>
    <row r="15" spans="1:1" ht="29.25">
      <c r="A15" s="23" t="s">
        <v>269</v>
      </c>
    </row>
    <row r="16" spans="1:1">
      <c r="A16" s="63"/>
    </row>
    <row r="17" spans="1:1" ht="57.75">
      <c r="A17" s="98" t="s">
        <v>284</v>
      </c>
    </row>
    <row r="18" spans="1:1">
      <c r="A18" s="63"/>
    </row>
    <row r="19" spans="1:1" ht="72">
      <c r="A19" s="98" t="s">
        <v>285</v>
      </c>
    </row>
    <row r="20" spans="1:1">
      <c r="A20" s="63"/>
    </row>
    <row r="21" spans="1:1" ht="29.25">
      <c r="A21" s="23" t="s">
        <v>270</v>
      </c>
    </row>
    <row r="22" spans="1:1">
      <c r="A22" s="63"/>
    </row>
    <row r="23" spans="1:1" ht="29.25">
      <c r="A23" s="23" t="s">
        <v>286</v>
      </c>
    </row>
    <row r="24" spans="1:1">
      <c r="A24" s="63"/>
    </row>
    <row r="25" spans="1:1" ht="72">
      <c r="A25" s="23" t="s">
        <v>271</v>
      </c>
    </row>
    <row r="26" spans="1:1">
      <c r="A26" s="63"/>
    </row>
    <row r="27" spans="1:1" ht="43.5">
      <c r="A27" s="98" t="s">
        <v>287</v>
      </c>
    </row>
    <row r="28" spans="1:1">
      <c r="A28" s="63"/>
    </row>
    <row r="29" spans="1:1" ht="57.75">
      <c r="A29" s="98" t="s">
        <v>288</v>
      </c>
    </row>
    <row r="30" spans="1:1">
      <c r="A30" s="63"/>
    </row>
    <row r="31" spans="1:1" ht="86.25">
      <c r="A31" s="23" t="s">
        <v>272</v>
      </c>
    </row>
    <row r="32" spans="1:1">
      <c r="A32" s="63"/>
    </row>
    <row r="33" spans="1:1" ht="43.5">
      <c r="A33" s="98" t="s">
        <v>289</v>
      </c>
    </row>
    <row r="34" spans="1:1">
      <c r="A34" s="63"/>
    </row>
    <row r="35" spans="1:1">
      <c r="A35" s="23" t="s">
        <v>273</v>
      </c>
    </row>
    <row r="36" spans="1:1">
      <c r="A36" s="63"/>
    </row>
    <row r="37" spans="1:1" ht="43.5">
      <c r="A37" s="23" t="s">
        <v>274</v>
      </c>
    </row>
    <row r="38" spans="1:1">
      <c r="A38" s="63"/>
    </row>
    <row r="39" spans="1:1" ht="43.5">
      <c r="A39" s="23" t="s">
        <v>275</v>
      </c>
    </row>
    <row r="40" spans="1:1">
      <c r="A40" s="63"/>
    </row>
    <row r="41" spans="1:1" ht="43.5">
      <c r="A41" s="98" t="s">
        <v>290</v>
      </c>
    </row>
    <row r="42" spans="1:1">
      <c r="A42" s="63"/>
    </row>
    <row r="43" spans="1:1" ht="29.25">
      <c r="A43" s="98" t="s">
        <v>291</v>
      </c>
    </row>
    <row r="44" spans="1:1">
      <c r="A44" s="63"/>
    </row>
    <row r="45" spans="1:1" ht="29.25">
      <c r="A45" s="98" t="s">
        <v>292</v>
      </c>
    </row>
    <row r="46" spans="1:1">
      <c r="A46" s="63"/>
    </row>
    <row r="47" spans="1:1" ht="29.25">
      <c r="A47" s="98" t="s">
        <v>293</v>
      </c>
    </row>
    <row r="48" spans="1:1">
      <c r="A48" s="63"/>
    </row>
    <row r="49" spans="1:1" ht="29.25">
      <c r="A49" s="98" t="s">
        <v>294</v>
      </c>
    </row>
    <row r="51" spans="1:1" ht="18.75">
      <c r="A51" s="95" t="s">
        <v>276</v>
      </c>
    </row>
    <row r="52" spans="1:1" ht="18.75">
      <c r="A52" s="96" t="s">
        <v>277</v>
      </c>
    </row>
    <row r="53" spans="1:1" ht="18.75">
      <c r="A53" s="96" t="s">
        <v>278</v>
      </c>
    </row>
    <row r="54" spans="1:1" ht="18.75">
      <c r="A54" s="96" t="s">
        <v>279</v>
      </c>
    </row>
    <row r="55" spans="1:1" ht="18.75">
      <c r="A55" s="96" t="s">
        <v>280</v>
      </c>
    </row>
    <row r="56" spans="1:1" ht="18.75">
      <c r="A56" s="96" t="s">
        <v>281</v>
      </c>
    </row>
    <row r="57" spans="1:1" ht="18.75">
      <c r="A57" s="96" t="s">
        <v>282</v>
      </c>
    </row>
    <row r="58" spans="1:1">
      <c r="A58" s="97"/>
    </row>
    <row r="59" spans="1:1">
      <c r="A59" s="97"/>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sheetPr>
    <tabColor rgb="FF7030A0"/>
  </sheetPr>
  <dimension ref="A1:H59"/>
  <sheetViews>
    <sheetView topLeftCell="A16" workbookViewId="0">
      <selection activeCell="K21" sqref="K21"/>
    </sheetView>
  </sheetViews>
  <sheetFormatPr defaultRowHeight="15"/>
  <cols>
    <col min="1" max="1" width="10.85546875" customWidth="1"/>
    <col min="2" max="2" width="29.140625" customWidth="1"/>
    <col min="3" max="3" width="15.140625" customWidth="1"/>
    <col min="4" max="4" width="14.140625" customWidth="1"/>
  </cols>
  <sheetData>
    <row r="1" spans="1:8" ht="22.5">
      <c r="A1" s="285" t="s">
        <v>266</v>
      </c>
      <c r="B1" s="285"/>
      <c r="C1" s="285"/>
      <c r="D1" s="285"/>
      <c r="E1" s="285"/>
      <c r="F1" s="285"/>
      <c r="G1" s="285"/>
      <c r="H1" s="285"/>
    </row>
    <row r="2" spans="1:8" ht="17.25">
      <c r="A2" s="286" t="s">
        <v>267</v>
      </c>
      <c r="B2" s="286"/>
      <c r="C2" s="286"/>
      <c r="D2" s="286"/>
      <c r="E2" s="286"/>
      <c r="F2" s="286"/>
      <c r="G2" s="286"/>
      <c r="H2" s="286"/>
    </row>
    <row r="3" spans="1:8" ht="17.25">
      <c r="A3" s="94"/>
    </row>
    <row r="4" spans="1:8" ht="17.25">
      <c r="A4" s="94"/>
    </row>
    <row r="5" spans="1:8" ht="17.25">
      <c r="A5" s="94"/>
    </row>
    <row r="6" spans="1:8" ht="17.25">
      <c r="A6" s="94"/>
    </row>
    <row r="7" spans="1:8" ht="17.25">
      <c r="A7" s="94"/>
    </row>
    <row r="8" spans="1:8" ht="17.25">
      <c r="A8" s="94"/>
    </row>
    <row r="9" spans="1:8" ht="17.25">
      <c r="A9" s="94"/>
    </row>
    <row r="10" spans="1:8" ht="17.25">
      <c r="A10" s="94"/>
    </row>
    <row r="11" spans="1:8" ht="17.25">
      <c r="A11" s="94"/>
    </row>
    <row r="12" spans="1:8" ht="17.25">
      <c r="A12" s="94"/>
    </row>
    <row r="13" spans="1:8" ht="28.5">
      <c r="A13" s="63"/>
      <c r="B13" s="102" t="s">
        <v>295</v>
      </c>
      <c r="C13" s="100">
        <v>334</v>
      </c>
    </row>
    <row r="14" spans="1:8" ht="28.5">
      <c r="A14" s="23"/>
      <c r="B14" s="102" t="s">
        <v>299</v>
      </c>
      <c r="C14" s="100">
        <v>137</v>
      </c>
    </row>
    <row r="15" spans="1:8" ht="30" customHeight="1">
      <c r="A15" s="63"/>
      <c r="B15" s="102" t="s">
        <v>298</v>
      </c>
      <c r="C15" s="100" t="s">
        <v>296</v>
      </c>
    </row>
    <row r="16" spans="1:8" ht="30" customHeight="1">
      <c r="A16" s="63"/>
      <c r="B16" s="102" t="s">
        <v>303</v>
      </c>
      <c r="C16" s="100">
        <v>71</v>
      </c>
    </row>
    <row r="17" spans="1:4" ht="30" customHeight="1">
      <c r="A17" s="63"/>
      <c r="B17" s="102" t="s">
        <v>304</v>
      </c>
      <c r="C17" s="100" t="s">
        <v>305</v>
      </c>
    </row>
    <row r="18" spans="1:4" ht="31.5" customHeight="1">
      <c r="A18" s="98"/>
      <c r="B18" s="102" t="s">
        <v>297</v>
      </c>
      <c r="C18" s="100" t="s">
        <v>300</v>
      </c>
    </row>
    <row r="19" spans="1:4" ht="15.75">
      <c r="A19" s="63"/>
      <c r="B19" s="102" t="s">
        <v>302</v>
      </c>
      <c r="C19" s="100" t="s">
        <v>301</v>
      </c>
    </row>
    <row r="20" spans="1:4" ht="15.75">
      <c r="A20" s="98"/>
      <c r="C20" s="100"/>
    </row>
    <row r="21" spans="1:4" ht="15.75">
      <c r="A21" s="23"/>
      <c r="C21" s="100"/>
    </row>
    <row r="22" spans="1:4" ht="33.75" customHeight="1">
      <c r="A22" s="101" t="s">
        <v>307</v>
      </c>
      <c r="B22" s="284" t="s">
        <v>306</v>
      </c>
      <c r="C22" s="284"/>
      <c r="D22" s="284"/>
    </row>
    <row r="23" spans="1:4" ht="15.75">
      <c r="A23" s="23"/>
      <c r="C23" s="100"/>
    </row>
    <row r="24" spans="1:4" ht="15.75">
      <c r="A24" s="63"/>
      <c r="C24" s="100"/>
    </row>
    <row r="25" spans="1:4" ht="15.75">
      <c r="A25" s="23"/>
      <c r="C25" s="100"/>
    </row>
    <row r="26" spans="1:4" ht="15.75">
      <c r="A26" s="63"/>
      <c r="C26" s="100"/>
    </row>
    <row r="27" spans="1:4" ht="15.75">
      <c r="A27" s="98"/>
      <c r="C27" s="99"/>
    </row>
    <row r="28" spans="1:4" ht="15.75">
      <c r="A28" s="63"/>
      <c r="C28" s="99"/>
    </row>
    <row r="29" spans="1:4" ht="15.75">
      <c r="A29" s="98"/>
      <c r="C29" s="99"/>
    </row>
    <row r="30" spans="1:4" ht="15.75">
      <c r="A30" s="63"/>
      <c r="C30" s="99"/>
    </row>
    <row r="31" spans="1:4" ht="15.75">
      <c r="A31" s="23"/>
      <c r="C31" s="99"/>
    </row>
    <row r="32" spans="1:4" ht="15.75">
      <c r="A32" s="63"/>
      <c r="C32" s="99"/>
    </row>
    <row r="33" spans="1:3" ht="15.75">
      <c r="A33" s="98"/>
      <c r="C33" s="99"/>
    </row>
    <row r="34" spans="1:3" ht="15.75">
      <c r="A34" s="63"/>
      <c r="C34" s="99"/>
    </row>
    <row r="35" spans="1:3" ht="15.75">
      <c r="A35" s="23"/>
      <c r="C35" s="99"/>
    </row>
    <row r="36" spans="1:3" ht="15.75">
      <c r="A36" s="63"/>
      <c r="C36" s="99"/>
    </row>
    <row r="37" spans="1:3" ht="15.75">
      <c r="A37" s="23"/>
      <c r="C37" s="99"/>
    </row>
    <row r="38" spans="1:3" ht="15.75">
      <c r="A38" s="63"/>
      <c r="C38" s="99"/>
    </row>
    <row r="39" spans="1:3">
      <c r="A39" s="23"/>
    </row>
    <row r="40" spans="1:3">
      <c r="A40" s="63"/>
    </row>
    <row r="41" spans="1:3">
      <c r="A41" s="98"/>
    </row>
    <row r="42" spans="1:3">
      <c r="A42" s="63"/>
    </row>
    <row r="43" spans="1:3">
      <c r="A43" s="98"/>
    </row>
    <row r="44" spans="1:3">
      <c r="A44" s="63"/>
    </row>
    <row r="45" spans="1:3">
      <c r="A45" s="98"/>
    </row>
    <row r="46" spans="1:3">
      <c r="A46" s="63"/>
    </row>
    <row r="47" spans="1:3">
      <c r="A47" s="98"/>
    </row>
    <row r="48" spans="1:3">
      <c r="A48" s="63"/>
    </row>
    <row r="49" spans="1:1">
      <c r="A49" s="98"/>
    </row>
    <row r="51" spans="1:1" ht="18.75">
      <c r="A51" s="95"/>
    </row>
    <row r="52" spans="1:1" ht="18.75">
      <c r="A52" s="96"/>
    </row>
    <row r="53" spans="1:1" ht="18.75">
      <c r="A53" s="96"/>
    </row>
    <row r="54" spans="1:1" ht="18.75">
      <c r="A54" s="96"/>
    </row>
    <row r="55" spans="1:1" ht="18.75">
      <c r="A55" s="96"/>
    </row>
    <row r="56" spans="1:1" ht="18.75">
      <c r="A56" s="96"/>
    </row>
    <row r="57" spans="1:1" ht="18.75">
      <c r="A57" s="96"/>
    </row>
    <row r="58" spans="1:1">
      <c r="A58" s="97"/>
    </row>
    <row r="59" spans="1:1">
      <c r="A59" s="97"/>
    </row>
  </sheetData>
  <mergeCells count="3">
    <mergeCell ref="B22:D22"/>
    <mergeCell ref="A1:H1"/>
    <mergeCell ref="A2:H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sheetPr>
    <tabColor rgb="FF000099"/>
  </sheetPr>
  <dimension ref="B2:C16"/>
  <sheetViews>
    <sheetView workbookViewId="0">
      <selection activeCell="B2" sqref="B2:C4"/>
    </sheetView>
  </sheetViews>
  <sheetFormatPr defaultRowHeight="15"/>
  <cols>
    <col min="2" max="2" width="66.5703125" style="31" customWidth="1"/>
    <col min="3" max="3" width="20.5703125" customWidth="1"/>
  </cols>
  <sheetData>
    <row r="2" spans="2:3" ht="47.25" customHeight="1">
      <c r="B2" s="287" t="s">
        <v>710</v>
      </c>
      <c r="C2" s="287"/>
    </row>
    <row r="4" spans="2:3" ht="51.75" customHeight="1">
      <c r="B4" s="289" t="s">
        <v>706</v>
      </c>
      <c r="C4" s="289"/>
    </row>
    <row r="6" spans="2:3" ht="24" customHeight="1">
      <c r="B6" s="290" t="s">
        <v>547</v>
      </c>
      <c r="C6" s="290"/>
    </row>
    <row r="7" spans="2:3" ht="108.75" customHeight="1">
      <c r="B7" s="245" t="s">
        <v>704</v>
      </c>
      <c r="C7" s="245"/>
    </row>
    <row r="8" spans="2:3">
      <c r="B8" s="168"/>
    </row>
    <row r="9" spans="2:3" ht="15.75">
      <c r="B9" s="292" t="s">
        <v>707</v>
      </c>
      <c r="C9" s="292"/>
    </row>
    <row r="10" spans="2:3" ht="111" customHeight="1">
      <c r="B10" s="288" t="s">
        <v>705</v>
      </c>
      <c r="C10" s="288"/>
    </row>
    <row r="11" spans="2:3" ht="17.25" customHeight="1">
      <c r="B11" s="168"/>
    </row>
    <row r="12" spans="2:3" ht="63.75" customHeight="1">
      <c r="B12" s="291" t="s">
        <v>706</v>
      </c>
      <c r="C12" s="291"/>
    </row>
    <row r="15" spans="2:3" ht="24" customHeight="1">
      <c r="B15" s="289" t="s">
        <v>709</v>
      </c>
      <c r="C15" s="289"/>
    </row>
    <row r="16" spans="2:3" ht="44.25" customHeight="1">
      <c r="B16" s="288" t="s">
        <v>708</v>
      </c>
      <c r="C16" s="288"/>
    </row>
  </sheetData>
  <mergeCells count="9">
    <mergeCell ref="B2:C2"/>
    <mergeCell ref="B7:C7"/>
    <mergeCell ref="B16:C16"/>
    <mergeCell ref="B15:C15"/>
    <mergeCell ref="B4:C4"/>
    <mergeCell ref="B10:C10"/>
    <mergeCell ref="B6:C6"/>
    <mergeCell ref="B12:C12"/>
    <mergeCell ref="B9:C9"/>
  </mergeCells>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FFFF00"/>
  </sheetPr>
  <dimension ref="B2:C10"/>
  <sheetViews>
    <sheetView workbookViewId="0">
      <selection activeCell="E4" sqref="E4"/>
    </sheetView>
  </sheetViews>
  <sheetFormatPr defaultRowHeight="15"/>
  <cols>
    <col min="2" max="2" width="65.7109375" customWidth="1"/>
  </cols>
  <sheetData>
    <row r="2" spans="2:3" ht="37.5" customHeight="1">
      <c r="B2" s="294" t="s">
        <v>711</v>
      </c>
      <c r="C2" s="294"/>
    </row>
    <row r="3" spans="2:3">
      <c r="B3" s="31"/>
    </row>
    <row r="4" spans="2:3" ht="58.5" customHeight="1">
      <c r="B4" s="293" t="s">
        <v>716</v>
      </c>
      <c r="C4" s="293"/>
    </row>
    <row r="6" spans="2:3" ht="18.75" customHeight="1">
      <c r="B6" s="295" t="s">
        <v>712</v>
      </c>
      <c r="C6" s="295"/>
    </row>
    <row r="7" spans="2:3" ht="71.25" customHeight="1">
      <c r="B7" s="293" t="s">
        <v>713</v>
      </c>
      <c r="C7" s="293"/>
    </row>
    <row r="9" spans="2:3" ht="15.75">
      <c r="B9" s="296" t="s">
        <v>714</v>
      </c>
      <c r="C9" s="296"/>
    </row>
    <row r="10" spans="2:3" ht="96" customHeight="1">
      <c r="B10" s="293" t="s">
        <v>717</v>
      </c>
      <c r="C10" s="293"/>
    </row>
  </sheetData>
  <mergeCells count="6">
    <mergeCell ref="B10:C10"/>
    <mergeCell ref="B2:C2"/>
    <mergeCell ref="B4:C4"/>
    <mergeCell ref="B6:C6"/>
    <mergeCell ref="B7:C7"/>
    <mergeCell ref="B9:C9"/>
  </mergeCells>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sheetPr>
    <tabColor rgb="FFFFFF00"/>
  </sheetPr>
  <dimension ref="B2:C10"/>
  <sheetViews>
    <sheetView topLeftCell="A7" workbookViewId="0">
      <selection activeCell="B11" sqref="B11"/>
    </sheetView>
  </sheetViews>
  <sheetFormatPr defaultRowHeight="15"/>
  <cols>
    <col min="2" max="2" width="65.7109375" customWidth="1"/>
    <col min="3" max="3" width="10.7109375" customWidth="1"/>
  </cols>
  <sheetData>
    <row r="2" spans="2:3" ht="37.5" customHeight="1">
      <c r="B2" s="294" t="s">
        <v>571</v>
      </c>
      <c r="C2" s="294"/>
    </row>
    <row r="3" spans="2:3">
      <c r="B3" s="31"/>
    </row>
    <row r="4" spans="2:3" ht="113.25" customHeight="1">
      <c r="B4" s="293" t="s">
        <v>718</v>
      </c>
      <c r="C4" s="293"/>
    </row>
    <row r="6" spans="2:3" ht="18.75" customHeight="1">
      <c r="B6" s="296" t="s">
        <v>719</v>
      </c>
      <c r="C6" s="296"/>
    </row>
    <row r="7" spans="2:3" ht="119.25" customHeight="1">
      <c r="B7" s="293" t="s">
        <v>720</v>
      </c>
      <c r="C7" s="293"/>
    </row>
    <row r="9" spans="2:3" ht="15.75">
      <c r="B9" s="296" t="s">
        <v>721</v>
      </c>
      <c r="C9" s="296"/>
    </row>
    <row r="10" spans="2:3" ht="96" customHeight="1">
      <c r="B10" s="293" t="s">
        <v>722</v>
      </c>
      <c r="C10" s="293"/>
    </row>
  </sheetData>
  <mergeCells count="6">
    <mergeCell ref="B10:C10"/>
    <mergeCell ref="B2:C2"/>
    <mergeCell ref="B4:C4"/>
    <mergeCell ref="B6:C6"/>
    <mergeCell ref="B7:C7"/>
    <mergeCell ref="B9:C9"/>
  </mergeCells>
  <pageMargins left="0.7" right="0.7" top="0.75" bottom="0.75" header="0.3" footer="0.3"/>
  <pageSetup orientation="portrait" verticalDpi="0" r:id="rId1"/>
</worksheet>
</file>

<file path=xl/worksheets/sheet18.xml><?xml version="1.0" encoding="utf-8"?>
<worksheet xmlns="http://schemas.openxmlformats.org/spreadsheetml/2006/main" xmlns:r="http://schemas.openxmlformats.org/officeDocument/2006/relationships">
  <sheetPr>
    <tabColor rgb="FFFFFF00"/>
  </sheetPr>
  <dimension ref="B2:C9"/>
  <sheetViews>
    <sheetView workbookViewId="0">
      <selection activeCell="G6" sqref="G6"/>
    </sheetView>
  </sheetViews>
  <sheetFormatPr defaultRowHeight="15"/>
  <cols>
    <col min="2" max="2" width="65.7109375" customWidth="1"/>
    <col min="3" max="3" width="10.7109375" customWidth="1"/>
  </cols>
  <sheetData>
    <row r="2" spans="2:3" ht="37.5" customHeight="1">
      <c r="B2" s="297" t="s">
        <v>724</v>
      </c>
      <c r="C2" s="297"/>
    </row>
    <row r="3" spans="2:3" ht="37.5" customHeight="1">
      <c r="B3" s="300"/>
      <c r="C3" s="300"/>
    </row>
    <row r="4" spans="2:3" ht="16.5">
      <c r="B4" s="301" t="s">
        <v>728</v>
      </c>
      <c r="C4" s="301"/>
    </row>
    <row r="5" spans="2:3" ht="66" customHeight="1">
      <c r="B5" s="296" t="s">
        <v>725</v>
      </c>
      <c r="C5" s="296"/>
    </row>
    <row r="6" spans="2:3" ht="63" customHeight="1">
      <c r="B6" s="298" t="s">
        <v>726</v>
      </c>
      <c r="C6" s="298"/>
    </row>
    <row r="7" spans="2:3" ht="85.5" customHeight="1">
      <c r="B7" s="296" t="s">
        <v>727</v>
      </c>
      <c r="C7" s="296"/>
    </row>
    <row r="8" spans="2:3" ht="27" customHeight="1">
      <c r="B8" s="299" t="s">
        <v>721</v>
      </c>
      <c r="C8" s="299"/>
    </row>
    <row r="9" spans="2:3" ht="47.25" customHeight="1">
      <c r="B9" s="296" t="s">
        <v>729</v>
      </c>
      <c r="C9" s="296"/>
    </row>
  </sheetData>
  <mergeCells count="8">
    <mergeCell ref="B9:C9"/>
    <mergeCell ref="B2:C2"/>
    <mergeCell ref="B5:C5"/>
    <mergeCell ref="B6:C6"/>
    <mergeCell ref="B7:C7"/>
    <mergeCell ref="B8:C8"/>
    <mergeCell ref="B3:C3"/>
    <mergeCell ref="B4:C4"/>
  </mergeCells>
  <pageMargins left="0.7" right="0.7" top="0.75" bottom="0.75" header="0.3" footer="0.3"/>
  <pageSetup orientation="portrait" verticalDpi="0" r:id="rId1"/>
</worksheet>
</file>

<file path=xl/worksheets/sheet1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Overview pointwise</vt:lpstr>
      <vt:lpstr>BDO&amp;Saba </vt:lpstr>
      <vt:lpstr>Front page</vt:lpstr>
      <vt:lpstr>Panchayat</vt:lpstr>
      <vt:lpstr>Admn. Structure</vt:lpstr>
      <vt:lpstr>Backward village List</vt:lpstr>
      <vt:lpstr>MGNREGA</vt:lpstr>
      <vt:lpstr>Mid Day Meal</vt:lpstr>
      <vt:lpstr>Relief</vt:lpstr>
      <vt:lpstr>SGSY</vt:lpstr>
      <vt:lpstr>SGSY Bank details</vt:lpstr>
      <vt:lpstr>SGSY-WBSSP</vt:lpstr>
      <vt:lpstr>SGSY-BSKP</vt:lpstr>
      <vt:lpstr>BSKPAchiev</vt:lpstr>
      <vt:lpstr>SASPFUW</vt:lpstr>
      <vt:lpstr>RTI</vt:lpstr>
      <vt:lpstr>Health </vt:lpstr>
      <vt:lpstr>CHCMI</vt: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2011-09-19T11:12:09Z</dcterms:modified>
</cp:coreProperties>
</file>