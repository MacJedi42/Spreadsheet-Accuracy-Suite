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4.2" sheetId="1" r:id="rId1"/>
  </sheets>
  <externalReferences>
    <externalReference r:id="rId2"/>
    <externalReference r:id="rId3"/>
  </externalReferences>
  <definedNames>
    <definedName name="_xlnm.Print_Area" localSheetId="0">'Table 4.2'!$A$3:$L$60</definedName>
  </definedNames>
  <calcPr calcId="145621"/>
</workbook>
</file>

<file path=xl/calcChain.xml><?xml version="1.0" encoding="utf-8"?>
<calcChain xmlns="http://schemas.openxmlformats.org/spreadsheetml/2006/main">
  <c r="I59" i="1" l="1"/>
  <c r="E52" i="1"/>
  <c r="D52" i="1"/>
  <c r="C52" i="1"/>
  <c r="B52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E35" i="1"/>
  <c r="D35" i="1"/>
  <c r="C35" i="1"/>
  <c r="B35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<sst xmlns="http://schemas.openxmlformats.org/spreadsheetml/2006/main" count="35" uniqueCount="22">
  <si>
    <t>Monthly Statistical Bulletin</t>
  </si>
  <si>
    <t>4.2 Motor vehicle sales</t>
  </si>
  <si>
    <t>Month</t>
  </si>
  <si>
    <t>Number (a) (b)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</si>
  <si>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</si>
  <si>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</si>
  <si>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</si>
  <si>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</si>
  <si>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</si>
  <si>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</si>
  <si>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</si>
  <si>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</si>
  <si>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</si>
  <si>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</si>
  <si>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</si>
  <si>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</si>
  <si>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</si>
  <si>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(b) – per cent</t>
  </si>
  <si>
    <t xml:space="preserve">(a) Sales of new motor cars, station wagons and people movers. </t>
  </si>
  <si>
    <t>(b)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</si>
  <si>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Sales of new motor vehicles</t>
    </r>
    <r>
      <rPr>
        <sz val="8"/>
        <color indexed="30"/>
        <rFont val="Times New Roman"/>
        <family val="1"/>
      </rPr>
      <t>, Cat. no. 9314.0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</si>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</sst>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"/>
    <numFmt numFmtId="165" formatCode="0.0"/>
    <numFmt numFmtId="166" formatCode="[$-C09]d\ mmmm\ yyyy;@"/>
  </numFmts>
  <fonts count="20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30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164" fontId="9" fillId="0" borderId="0" xfId="0" applyNumberFormat="1" applyFont="1"/>
    <xf numFmtId="16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4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65" fontId="9" fillId="0" borderId="0" xfId="0" applyNumberFormat="1" applyFont="1"/>
    <xf numFmtId="0" fontId="9" fillId="0" borderId="0" xfId="0" applyFont="1" applyBorder="1"/>
    <xf numFmtId="165" fontId="9" fillId="0" borderId="0" xfId="0" applyNumberFormat="1" applyFont="1" applyBorder="1"/>
    <xf numFmtId="0" fontId="12" fillId="0" borderId="0" xfId="0" applyFont="1" applyBorder="1"/>
    <xf numFmtId="0" fontId="4" fillId="0" borderId="0" xfId="0" applyFont="1" applyBorder="1"/>
    <xf numFmtId="0" fontId="13" fillId="0" borderId="0" xfId="0" applyFont="1"/>
    <xf numFmtId="0" fontId="14" fillId="0" borderId="0" xfId="1" quotePrefix="1" applyFont="1" applyAlignment="1" applyProtection="1"/>
    <xf numFmtId="0" fontId="17" fillId="0" borderId="0" xfId="0" applyFont="1"/>
    <xf numFmtId="166" fontId="13" fillId="0" borderId="0" xfId="0" applyNumberFormat="1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2.3275303986506683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1321695760599"/>
          <c:y val="0.1087723025366767"/>
          <c:w val="0.79551122194513657"/>
          <c:h val="0.7403534140399329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4.2'!$A$86:$A$146</c:f>
              <c:strCache>
                <c:ptCount val="61"/>
                <c:pt idx="0">
                  <c:v>Jun 08</c:v>
                </c:pt>
                <c:pt idx="1">
                  <c:v>Jul 08</c:v>
                </c:pt>
                <c:pt idx="2">
                  <c:v>Aug 08</c:v>
                </c:pt>
                <c:pt idx="3">
                  <c:v>Sep 08</c:v>
                </c:pt>
                <c:pt idx="4">
                  <c:v>Oct 08</c:v>
                </c:pt>
                <c:pt idx="5">
                  <c:v>Nov 08</c:v>
                </c:pt>
                <c:pt idx="6">
                  <c:v>Dec 08</c:v>
                </c:pt>
                <c:pt idx="7">
                  <c:v>Jan 09</c:v>
                </c:pt>
                <c:pt idx="8">
                  <c:v>Feb 09</c:v>
                </c:pt>
                <c:pt idx="9">
                  <c:v>Mar 09</c:v>
                </c:pt>
                <c:pt idx="10">
                  <c:v>Apr 09</c:v>
                </c:pt>
                <c:pt idx="11">
                  <c:v>May 09</c:v>
                </c:pt>
                <c:pt idx="12">
                  <c:v>Jun 09</c:v>
                </c:pt>
                <c:pt idx="13">
                  <c:v>Jul-09</c:v>
                </c:pt>
                <c:pt idx="14">
                  <c:v>Aug-09</c:v>
                </c:pt>
                <c:pt idx="15">
                  <c:v>Sep-09</c:v>
                </c:pt>
                <c:pt idx="16">
                  <c:v>Oct-09</c:v>
                </c:pt>
                <c:pt idx="17">
                  <c:v>Nov-09</c:v>
                </c:pt>
                <c:pt idx="18">
                  <c:v>Dec-09</c:v>
                </c:pt>
                <c:pt idx="19">
                  <c:v>Jan-10</c:v>
                </c:pt>
                <c:pt idx="20">
                  <c:v>Feb-10</c:v>
                </c:pt>
                <c:pt idx="21">
                  <c:v>Mar-10</c:v>
                </c:pt>
                <c:pt idx="22">
                  <c:v>Apr-10</c:v>
                </c:pt>
                <c:pt idx="23">
                  <c:v>May-10</c:v>
                </c:pt>
                <c:pt idx="24">
                  <c:v>Jun 10</c:v>
                </c:pt>
                <c:pt idx="25">
                  <c:v>Jul-10</c:v>
                </c:pt>
                <c:pt idx="26">
                  <c:v>Aug-10</c:v>
                </c:pt>
                <c:pt idx="27">
                  <c:v>Sep-10</c:v>
                </c:pt>
                <c:pt idx="28">
                  <c:v>Oct-10</c:v>
                </c:pt>
                <c:pt idx="29">
                  <c:v>Nov-10</c:v>
                </c:pt>
                <c:pt idx="30">
                  <c:v>Dec-10</c:v>
                </c:pt>
                <c:pt idx="31">
                  <c:v>Jan-11</c:v>
                </c:pt>
                <c:pt idx="32">
                  <c:v>Feb-11</c:v>
                </c:pt>
                <c:pt idx="33">
                  <c:v>Mar-11</c:v>
                </c:pt>
                <c:pt idx="34">
                  <c:v>Apr-11</c:v>
                </c:pt>
                <c:pt idx="35">
                  <c:v>May-11</c:v>
                </c:pt>
                <c:pt idx="36">
                  <c:v>Jun-11</c:v>
                </c:pt>
                <c:pt idx="37">
                  <c:v>Jul-11</c:v>
                </c:pt>
                <c:pt idx="38">
                  <c:v>Aug-11</c:v>
                </c:pt>
                <c:pt idx="39">
                  <c:v>Sep-11</c:v>
                </c:pt>
                <c:pt idx="40">
                  <c:v>Oct-11</c:v>
                </c:pt>
                <c:pt idx="41">
                  <c:v>Nov-11</c:v>
                </c:pt>
                <c:pt idx="42">
                  <c:v>Dec-11</c:v>
                </c:pt>
                <c:pt idx="43">
                  <c:v>Jan-12</c:v>
                </c:pt>
                <c:pt idx="44">
                  <c:v>Feb-12</c:v>
                </c:pt>
                <c:pt idx="45">
                  <c:v>Mar-12</c:v>
                </c:pt>
                <c:pt idx="46">
                  <c:v>Apr-12</c:v>
                </c:pt>
                <c:pt idx="47">
                  <c:v>May-12</c:v>
                </c:pt>
                <c:pt idx="48">
                  <c:v>Jun-12</c:v>
                </c:pt>
                <c:pt idx="49">
                  <c:v>Jul-12</c:v>
                </c:pt>
                <c:pt idx="50">
                  <c:v>Aug-12</c:v>
                </c:pt>
                <c:pt idx="51">
                  <c:v>Sep-12</c:v>
                </c:pt>
                <c:pt idx="52">
                  <c:v>Oct-12</c:v>
                </c:pt>
                <c:pt idx="53">
                  <c:v>Nov-12</c:v>
                </c:pt>
                <c:pt idx="54">
                  <c:v>Dec-12</c:v>
                </c:pt>
                <c:pt idx="55">
                  <c:v>Jan-13</c:v>
                </c:pt>
                <c:pt idx="56">
                  <c:v>Feb-13</c:v>
                </c:pt>
                <c:pt idx="57">
                  <c:v>Mar-13</c:v>
                </c:pt>
                <c:pt idx="58">
                  <c:v>Apr-13</c:v>
                </c:pt>
                <c:pt idx="59">
                  <c:v>May-13</c:v>
                </c:pt>
                <c:pt idx="60">
                  <c:v>Jun-13</c:v>
                </c:pt>
              </c:strCache>
            </c:strRef>
          </c:cat>
          <c:val>
            <c:numRef>
              <c:f>'[1]Data 4.2'!$B$86:$B$146</c:f>
              <c:numCache>
                <c:formatCode>###\ ##0</c:formatCode>
                <c:ptCount val="61"/>
                <c:pt idx="0">
                  <c:v>51619</c:v>
                </c:pt>
                <c:pt idx="1">
                  <c:v>50603</c:v>
                </c:pt>
                <c:pt idx="2">
                  <c:v>47649</c:v>
                </c:pt>
                <c:pt idx="3">
                  <c:v>47235</c:v>
                </c:pt>
                <c:pt idx="4">
                  <c:v>46212</c:v>
                </c:pt>
                <c:pt idx="5">
                  <c:v>44465</c:v>
                </c:pt>
                <c:pt idx="6">
                  <c:v>45284</c:v>
                </c:pt>
                <c:pt idx="7">
                  <c:v>45020</c:v>
                </c:pt>
                <c:pt idx="8">
                  <c:v>43902</c:v>
                </c:pt>
                <c:pt idx="9">
                  <c:v>41412</c:v>
                </c:pt>
                <c:pt idx="10">
                  <c:v>42107</c:v>
                </c:pt>
                <c:pt idx="11">
                  <c:v>43688</c:v>
                </c:pt>
                <c:pt idx="12">
                  <c:v>45039</c:v>
                </c:pt>
                <c:pt idx="13">
                  <c:v>45801</c:v>
                </c:pt>
                <c:pt idx="14">
                  <c:v>45825</c:v>
                </c:pt>
                <c:pt idx="15">
                  <c:v>46712</c:v>
                </c:pt>
                <c:pt idx="16">
                  <c:v>47125</c:v>
                </c:pt>
                <c:pt idx="17">
                  <c:v>47218</c:v>
                </c:pt>
                <c:pt idx="18">
                  <c:v>46818</c:v>
                </c:pt>
                <c:pt idx="19">
                  <c:v>49033</c:v>
                </c:pt>
                <c:pt idx="20">
                  <c:v>49821</c:v>
                </c:pt>
                <c:pt idx="21">
                  <c:v>49474</c:v>
                </c:pt>
                <c:pt idx="22">
                  <c:v>54034</c:v>
                </c:pt>
                <c:pt idx="23">
                  <c:v>51038</c:v>
                </c:pt>
                <c:pt idx="24">
                  <c:v>50393</c:v>
                </c:pt>
                <c:pt idx="25">
                  <c:v>47630</c:v>
                </c:pt>
                <c:pt idx="26">
                  <c:v>47289</c:v>
                </c:pt>
                <c:pt idx="27">
                  <c:v>48107</c:v>
                </c:pt>
                <c:pt idx="28">
                  <c:v>47224</c:v>
                </c:pt>
                <c:pt idx="29">
                  <c:v>47605</c:v>
                </c:pt>
                <c:pt idx="30">
                  <c:v>50894</c:v>
                </c:pt>
                <c:pt idx="31">
                  <c:v>48095</c:v>
                </c:pt>
                <c:pt idx="32">
                  <c:v>47696</c:v>
                </c:pt>
                <c:pt idx="33">
                  <c:v>47537</c:v>
                </c:pt>
                <c:pt idx="34">
                  <c:v>47377</c:v>
                </c:pt>
                <c:pt idx="35">
                  <c:v>42820</c:v>
                </c:pt>
                <c:pt idx="36">
                  <c:v>45062</c:v>
                </c:pt>
                <c:pt idx="37">
                  <c:v>47350</c:v>
                </c:pt>
                <c:pt idx="38">
                  <c:v>47964</c:v>
                </c:pt>
                <c:pt idx="39">
                  <c:v>46623</c:v>
                </c:pt>
                <c:pt idx="40">
                  <c:v>48613</c:v>
                </c:pt>
                <c:pt idx="41">
                  <c:v>46048</c:v>
                </c:pt>
                <c:pt idx="42">
                  <c:v>45472</c:v>
                </c:pt>
                <c:pt idx="43">
                  <c:v>47339</c:v>
                </c:pt>
                <c:pt idx="44">
                  <c:v>47057</c:v>
                </c:pt>
                <c:pt idx="45">
                  <c:v>47823</c:v>
                </c:pt>
                <c:pt idx="46">
                  <c:v>46748</c:v>
                </c:pt>
                <c:pt idx="47">
                  <c:v>48453</c:v>
                </c:pt>
                <c:pt idx="48">
                  <c:v>47195</c:v>
                </c:pt>
                <c:pt idx="49">
                  <c:v>44481</c:v>
                </c:pt>
                <c:pt idx="50">
                  <c:v>47068</c:v>
                </c:pt>
                <c:pt idx="51">
                  <c:v>49865</c:v>
                </c:pt>
                <c:pt idx="52">
                  <c:v>48935</c:v>
                </c:pt>
                <c:pt idx="53">
                  <c:v>50219</c:v>
                </c:pt>
                <c:pt idx="54">
                  <c:v>50629</c:v>
                </c:pt>
                <c:pt idx="55">
                  <c:v>46798</c:v>
                </c:pt>
                <c:pt idx="56">
                  <c:v>46189</c:v>
                </c:pt>
                <c:pt idx="57">
                  <c:v>47698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22656"/>
        <c:axId val="89346816"/>
      </c:lineChart>
      <c:catAx>
        <c:axId val="6842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34681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89346816"/>
        <c:scaling>
          <c:orientation val="minMax"/>
          <c:max val="55000"/>
          <c:min val="3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8422656"/>
        <c:crosses val="autoZero"/>
        <c:crossBetween val="midCat"/>
        <c:majorUnit val="2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</xdr:row>
          <xdr:rowOff>85725</xdr:rowOff>
        </xdr:from>
        <xdr:to>
          <xdr:col>11</xdr:col>
          <xdr:colOff>28575</xdr:colOff>
          <xdr:row>52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MSB%20Chapter%2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4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>
        <row r="86">
          <cell r="A86">
            <v>39600</v>
          </cell>
          <cell r="B86">
            <v>51619</v>
          </cell>
          <cell r="C86">
            <v>631813</v>
          </cell>
        </row>
        <row r="87">
          <cell r="A87">
            <v>39630</v>
          </cell>
          <cell r="B87">
            <v>50603</v>
          </cell>
          <cell r="E87">
            <v>-5.7514294760760638</v>
          </cell>
        </row>
        <row r="88">
          <cell r="A88">
            <v>39661</v>
          </cell>
          <cell r="B88">
            <v>47649</v>
          </cell>
          <cell r="E88">
            <v>-8.6729022118296477</v>
          </cell>
        </row>
        <row r="89">
          <cell r="A89">
            <v>39692</v>
          </cell>
          <cell r="B89">
            <v>47235</v>
          </cell>
          <cell r="E89">
            <v>-8.9287780048586729</v>
          </cell>
        </row>
        <row r="90">
          <cell r="A90">
            <v>39722</v>
          </cell>
          <cell r="B90">
            <v>46212</v>
          </cell>
          <cell r="E90">
            <v>-12.137805156285653</v>
          </cell>
        </row>
        <row r="91">
          <cell r="A91">
            <v>39753</v>
          </cell>
          <cell r="B91">
            <v>44465</v>
          </cell>
          <cell r="E91">
            <v>-16.749358746325662</v>
          </cell>
        </row>
        <row r="92">
          <cell r="A92">
            <v>39783</v>
          </cell>
          <cell r="B92">
            <v>45284</v>
          </cell>
          <cell r="E92">
            <v>-16.224516224516229</v>
          </cell>
        </row>
        <row r="93">
          <cell r="A93">
            <v>39814</v>
          </cell>
          <cell r="B93">
            <v>45020</v>
          </cell>
          <cell r="E93">
            <v>-16.434643798492775</v>
          </cell>
        </row>
        <row r="94">
          <cell r="A94">
            <v>39845</v>
          </cell>
          <cell r="B94">
            <v>43902</v>
          </cell>
          <cell r="E94">
            <v>-15.986680955296995</v>
          </cell>
        </row>
        <row r="95">
          <cell r="A95">
            <v>39873</v>
          </cell>
          <cell r="B95">
            <v>41412</v>
          </cell>
          <cell r="E95">
            <v>-21.301381577697121</v>
          </cell>
        </row>
        <row r="96">
          <cell r="A96">
            <v>39904</v>
          </cell>
          <cell r="B96">
            <v>42107</v>
          </cell>
          <cell r="E96">
            <v>-19.819099304960485</v>
          </cell>
        </row>
        <row r="97">
          <cell r="A97">
            <v>39934</v>
          </cell>
          <cell r="B97">
            <v>43688</v>
          </cell>
          <cell r="E97">
            <v>-15.438216165995666</v>
          </cell>
        </row>
        <row r="98">
          <cell r="A98">
            <v>39965</v>
          </cell>
          <cell r="B98">
            <v>45039</v>
          </cell>
          <cell r="C98">
            <v>542775</v>
          </cell>
          <cell r="D98" t="str">
            <v>2008–09</v>
          </cell>
          <cell r="E98">
            <v>-12.747244231775124</v>
          </cell>
        </row>
        <row r="99">
          <cell r="A99">
            <v>39995</v>
          </cell>
          <cell r="B99">
            <v>45801</v>
          </cell>
          <cell r="E99">
            <v>-9.4895559551805171</v>
          </cell>
        </row>
        <row r="100">
          <cell r="A100">
            <v>40026</v>
          </cell>
          <cell r="B100">
            <v>45825</v>
          </cell>
          <cell r="E100">
            <v>-3.8279921929106564</v>
          </cell>
        </row>
        <row r="101">
          <cell r="A101">
            <v>40057</v>
          </cell>
          <cell r="B101">
            <v>46712</v>
          </cell>
          <cell r="E101">
            <v>-1.107229808404786</v>
          </cell>
        </row>
        <row r="102">
          <cell r="A102">
            <v>40087</v>
          </cell>
          <cell r="B102">
            <v>47125</v>
          </cell>
          <cell r="E102">
            <v>1.9756773132519667</v>
          </cell>
        </row>
        <row r="103">
          <cell r="A103">
            <v>40118</v>
          </cell>
          <cell r="B103">
            <v>47218</v>
          </cell>
          <cell r="E103">
            <v>6.19138648375126</v>
          </cell>
        </row>
        <row r="104">
          <cell r="A104">
            <v>40148</v>
          </cell>
          <cell r="B104">
            <v>46818</v>
          </cell>
          <cell r="E104">
            <v>3.387509937284694</v>
          </cell>
        </row>
        <row r="105">
          <cell r="A105">
            <v>40179</v>
          </cell>
          <cell r="B105">
            <v>49033</v>
          </cell>
          <cell r="E105">
            <v>8.9138160817414445</v>
          </cell>
        </row>
        <row r="106">
          <cell r="A106">
            <v>40210</v>
          </cell>
          <cell r="B106">
            <v>49821</v>
          </cell>
          <cell r="E106">
            <v>13.48230148968157</v>
          </cell>
        </row>
        <row r="107">
          <cell r="A107">
            <v>40238</v>
          </cell>
          <cell r="B107">
            <v>49474</v>
          </cell>
          <cell r="E107">
            <v>19.467787114845937</v>
          </cell>
        </row>
        <row r="108">
          <cell r="A108">
            <v>40269</v>
          </cell>
          <cell r="B108">
            <v>54034</v>
          </cell>
          <cell r="E108">
            <v>28.325456574916274</v>
          </cell>
        </row>
        <row r="109">
          <cell r="A109">
            <v>40299</v>
          </cell>
          <cell r="B109">
            <v>51038</v>
          </cell>
          <cell r="E109">
            <v>16.823841787218452</v>
          </cell>
        </row>
        <row r="110">
          <cell r="A110" t="str">
            <v>Jun 10</v>
          </cell>
          <cell r="B110">
            <v>50393</v>
          </cell>
          <cell r="C110">
            <v>582079</v>
          </cell>
          <cell r="D110" t="str">
            <v>2009–10</v>
          </cell>
          <cell r="E110">
            <v>11.887475299185146</v>
          </cell>
        </row>
        <row r="111">
          <cell r="A111">
            <v>40360</v>
          </cell>
          <cell r="B111">
            <v>47630</v>
          </cell>
          <cell r="E111">
            <v>3.9933625903364467</v>
          </cell>
        </row>
        <row r="112">
          <cell r="A112">
            <v>40391</v>
          </cell>
          <cell r="B112">
            <v>47289</v>
          </cell>
          <cell r="E112">
            <v>3.194762684124397</v>
          </cell>
        </row>
        <row r="113">
          <cell r="A113">
            <v>40422</v>
          </cell>
          <cell r="B113">
            <v>48107</v>
          </cell>
          <cell r="E113">
            <v>2.9863846549066597</v>
          </cell>
        </row>
        <row r="114">
          <cell r="A114">
            <v>40452</v>
          </cell>
          <cell r="B114">
            <v>47224</v>
          </cell>
          <cell r="E114">
            <v>0.21007957559682211</v>
          </cell>
        </row>
        <row r="115">
          <cell r="A115">
            <v>40483</v>
          </cell>
          <cell r="B115">
            <v>47605</v>
          </cell>
          <cell r="E115">
            <v>0.81960269388792195</v>
          </cell>
        </row>
        <row r="116">
          <cell r="A116">
            <v>40513</v>
          </cell>
          <cell r="B116">
            <v>50894</v>
          </cell>
          <cell r="E116">
            <v>8.706053227391175</v>
          </cell>
        </row>
        <row r="117">
          <cell r="A117">
            <v>40544</v>
          </cell>
          <cell r="B117">
            <v>48095</v>
          </cell>
          <cell r="E117">
            <v>-1.9129973691187518</v>
          </cell>
        </row>
        <row r="118">
          <cell r="A118">
            <v>40575</v>
          </cell>
          <cell r="B118">
            <v>47696</v>
          </cell>
          <cell r="E118">
            <v>-4.2652696654021387</v>
          </cell>
        </row>
        <row r="119">
          <cell r="A119">
            <v>40603</v>
          </cell>
          <cell r="B119">
            <v>47537</v>
          </cell>
          <cell r="E119">
            <v>-3.9151877753971775</v>
          </cell>
        </row>
        <row r="120">
          <cell r="A120">
            <v>40634</v>
          </cell>
          <cell r="B120">
            <v>47377</v>
          </cell>
          <cell r="E120">
            <v>-12.320020727689974</v>
          </cell>
        </row>
        <row r="121">
          <cell r="A121">
            <v>40664</v>
          </cell>
          <cell r="B121">
            <v>42820</v>
          </cell>
          <cell r="E121">
            <v>-16.101728124142799</v>
          </cell>
        </row>
        <row r="122">
          <cell r="A122">
            <v>40695</v>
          </cell>
          <cell r="B122">
            <v>45062</v>
          </cell>
          <cell r="C122">
            <v>566256</v>
          </cell>
          <cell r="D122" t="str">
            <v>2010–11</v>
          </cell>
          <cell r="E122">
            <v>-10.578850237136106</v>
          </cell>
        </row>
        <row r="123">
          <cell r="A123">
            <v>40725</v>
          </cell>
          <cell r="B123">
            <v>47350</v>
          </cell>
          <cell r="E123">
            <v>-0.58786479109804723</v>
          </cell>
        </row>
        <row r="124">
          <cell r="A124">
            <v>40756</v>
          </cell>
          <cell r="B124">
            <v>47964</v>
          </cell>
          <cell r="E124">
            <v>1.4273932627038022</v>
          </cell>
        </row>
        <row r="125">
          <cell r="A125">
            <v>40787</v>
          </cell>
          <cell r="B125">
            <v>46623</v>
          </cell>
          <cell r="E125">
            <v>-3.0847901552788604</v>
          </cell>
        </row>
        <row r="126">
          <cell r="A126">
            <v>40817</v>
          </cell>
          <cell r="B126">
            <v>48613</v>
          </cell>
          <cell r="E126">
            <v>2.9413010333728673</v>
          </cell>
        </row>
        <row r="127">
          <cell r="A127">
            <v>40848</v>
          </cell>
          <cell r="B127">
            <v>46048</v>
          </cell>
          <cell r="E127">
            <v>-3.2706648461296117</v>
          </cell>
        </row>
        <row r="128">
          <cell r="A128">
            <v>40878</v>
          </cell>
          <cell r="B128">
            <v>45472</v>
          </cell>
          <cell r="E128">
            <v>-10.653515149133497</v>
          </cell>
        </row>
        <row r="129">
          <cell r="A129">
            <v>40909</v>
          </cell>
          <cell r="B129">
            <v>47339</v>
          </cell>
          <cell r="E129">
            <v>-1.5718889697473704</v>
          </cell>
        </row>
        <row r="130">
          <cell r="A130">
            <v>40940</v>
          </cell>
          <cell r="B130">
            <v>47057</v>
          </cell>
          <cell r="E130">
            <v>-1.3397349882589782</v>
          </cell>
        </row>
        <row r="131">
          <cell r="A131">
            <v>40969</v>
          </cell>
          <cell r="B131">
            <v>47823</v>
          </cell>
          <cell r="E131">
            <v>0.6016366198960732</v>
          </cell>
        </row>
        <row r="132">
          <cell r="A132">
            <v>41000</v>
          </cell>
          <cell r="B132">
            <v>46748</v>
          </cell>
          <cell r="E132">
            <v>-1.3276484370053021</v>
          </cell>
        </row>
        <row r="133">
          <cell r="A133">
            <v>41030</v>
          </cell>
          <cell r="B133">
            <v>48453</v>
          </cell>
          <cell r="E133">
            <v>13.155067725361992</v>
          </cell>
        </row>
        <row r="134">
          <cell r="A134">
            <v>41061</v>
          </cell>
          <cell r="B134">
            <v>47195</v>
          </cell>
          <cell r="C134">
            <v>567954</v>
          </cell>
          <cell r="D134" t="str">
            <v>2011–12</v>
          </cell>
          <cell r="E134">
            <v>4.7334783187608087</v>
          </cell>
        </row>
        <row r="135">
          <cell r="A135">
            <v>41091</v>
          </cell>
          <cell r="B135">
            <v>44481</v>
          </cell>
          <cell r="E135">
            <v>-6.0591341077085525</v>
          </cell>
        </row>
        <row r="136">
          <cell r="A136">
            <v>41122</v>
          </cell>
          <cell r="B136">
            <v>47068</v>
          </cell>
          <cell r="E136">
            <v>-1.8680677174547577</v>
          </cell>
        </row>
        <row r="137">
          <cell r="A137">
            <v>41153</v>
          </cell>
          <cell r="B137">
            <v>49865</v>
          </cell>
          <cell r="E137">
            <v>6.9536494863050358</v>
          </cell>
        </row>
        <row r="138">
          <cell r="A138">
            <v>41183</v>
          </cell>
          <cell r="B138">
            <v>48935</v>
          </cell>
          <cell r="E138">
            <v>0.66237426202868654</v>
          </cell>
        </row>
        <row r="139">
          <cell r="A139">
            <v>41214</v>
          </cell>
          <cell r="B139">
            <v>50219</v>
          </cell>
          <cell r="E139">
            <v>9.0579395413481478</v>
          </cell>
        </row>
        <row r="140">
          <cell r="A140">
            <v>41244</v>
          </cell>
          <cell r="B140">
            <v>50629</v>
          </cell>
          <cell r="E140">
            <v>11.341045038705143</v>
          </cell>
        </row>
        <row r="141">
          <cell r="A141">
            <v>41275</v>
          </cell>
          <cell r="B141">
            <v>46798</v>
          </cell>
          <cell r="E141">
            <v>-1.1428209298886771</v>
          </cell>
        </row>
        <row r="142">
          <cell r="A142">
            <v>41306</v>
          </cell>
          <cell r="B142">
            <v>46189</v>
          </cell>
          <cell r="E142">
            <v>-1.8445714771447408</v>
          </cell>
        </row>
        <row r="143">
          <cell r="A143">
            <v>41334</v>
          </cell>
          <cell r="B143">
            <v>47698</v>
          </cell>
          <cell r="E143">
            <v>-0.2613805072872899</v>
          </cell>
        </row>
        <row r="144">
          <cell r="A144">
            <v>41365</v>
          </cell>
        </row>
        <row r="145">
          <cell r="A145">
            <v>41395</v>
          </cell>
        </row>
        <row r="146">
          <cell r="A146">
            <v>41426</v>
          </cell>
          <cell r="D146" t="str">
            <v>2012–13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2a MV sales - seas adj"/>
      <sheetName val="4.2b MV sales - ann %"/>
      <sheetName val="Graph"/>
      <sheetName val="4.2 Raw data"/>
    </sheetNames>
    <sheetDataSet>
      <sheetData sheetId="0">
        <row r="29">
          <cell r="B29">
            <v>41409</v>
          </cell>
        </row>
      </sheetData>
      <sheetData sheetId="1"/>
      <sheetData sheetId="2" refreshError="1"/>
      <sheetData sheetId="3">
        <row r="95">
          <cell r="B95">
            <v>42981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bs.gov.au/AUSSTATS/abs@.nsf/second+level+view?ReadForm&amp;prodno=9314.0&amp;viewtitle=Sales%20of%20New%20Motor%20Vehicles,%20Australia~Feb%202008~Latest~20/03/2008&amp;&amp;tabname=Past%20Future%20Issues&amp;prodno=9314.0&amp;issue=Feb%202008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2"/>
  <sheetViews>
    <sheetView tabSelected="1" zoomScaleNormal="100" workbookViewId="0">
      <selection activeCell="N3" sqref="N3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tr">
        <f>'[1]Data 4.2'!D98</f>
        <v>2008–09</v>
      </c>
      <c r="C19" s="8" t="str">
        <f>'[1]Data 4.2'!D110</f>
        <v>2009–10</v>
      </c>
      <c r="D19" s="8" t="str">
        <f>'[1]Data 4.2'!D122</f>
        <v>2010–11</v>
      </c>
      <c r="E19" s="8" t="str">
        <f>'[1]Data 4.2'!D134</f>
        <v>2011–12</v>
      </c>
      <c r="F19" s="8" t="str">
        <f>'[1]Data 4.2'!D146</f>
        <v>2012–13</v>
      </c>
      <c r="H19" s="6"/>
    </row>
    <row r="20" spans="1:8" s="10" customFormat="1" ht="19.899999999999999" customHeight="1" x14ac:dyDescent="0.2">
      <c r="A20" s="9" t="s">
        <v>3</v>
      </c>
      <c r="B20"/>
      <c r="C20"/>
      <c r="D20"/>
      <c r="E20"/>
      <c r="H20" s="11"/>
    </row>
    <row r="21" spans="1:8" s="10" customFormat="1" ht="3" customHeight="1" x14ac:dyDescent="0.2">
      <c r="A21" s="12"/>
      <c r="B21"/>
      <c r="C21"/>
      <c r="D21"/>
      <c r="E21"/>
      <c r="H21" s="11"/>
    </row>
    <row r="22" spans="1:8" ht="13.9" customHeight="1" x14ac:dyDescent="0.2">
      <c r="A22" s="13" t="s">
        <v>4</v>
      </c>
      <c r="B22" s="14">
        <f>IF('[1]Data 4.2'!B87=0," ",'[1]Data 4.2'!B87)</f>
        <v>50603</v>
      </c>
      <c r="C22" s="14">
        <f>IF('[1]Data 4.2'!B99=0," ",'[1]Data 4.2'!B99)</f>
        <v>45801</v>
      </c>
      <c r="D22" s="14">
        <f>IF('[1]Data 4.2'!B111=0," ",'[1]Data 4.2'!B111)</f>
        <v>47630</v>
      </c>
      <c r="E22" s="14">
        <f>IF('[1]Data 4.2'!B123=0," ",'[1]Data 4.2'!B123)</f>
        <v>47350</v>
      </c>
      <c r="F22" s="14">
        <f>IF('[1]Data 4.2'!B135=0," ",'[1]Data 4.2'!B135)</f>
        <v>44481</v>
      </c>
      <c r="H22" s="6"/>
    </row>
    <row r="23" spans="1:8" ht="11.1" customHeight="1" x14ac:dyDescent="0.2">
      <c r="A23" s="13" t="s">
        <v>5</v>
      </c>
      <c r="B23" s="14">
        <f>IF('[1]Data 4.2'!B88=0," ",'[1]Data 4.2'!B88)</f>
        <v>47649</v>
      </c>
      <c r="C23" s="14">
        <f>IF('[1]Data 4.2'!B100=0," ",'[1]Data 4.2'!B100)</f>
        <v>45825</v>
      </c>
      <c r="D23" s="14">
        <f>IF('[1]Data 4.2'!B112=0," ",'[1]Data 4.2'!B112)</f>
        <v>47289</v>
      </c>
      <c r="E23" s="14">
        <f>IF('[1]Data 4.2'!B124=0," ",'[1]Data 4.2'!B124)</f>
        <v>47964</v>
      </c>
      <c r="F23" s="14">
        <f>IF('[1]Data 4.2'!B136=0," ",'[1]Data 4.2'!B136)</f>
        <v>47068</v>
      </c>
      <c r="H23" s="6"/>
    </row>
    <row r="24" spans="1:8" ht="11.1" customHeight="1" x14ac:dyDescent="0.2">
      <c r="A24" s="13" t="s">
        <v>6</v>
      </c>
      <c r="B24" s="14">
        <f>IF('[1]Data 4.2'!B89=0," ",'[1]Data 4.2'!B89)</f>
        <v>47235</v>
      </c>
      <c r="C24" s="14">
        <f>IF('[1]Data 4.2'!B101=0," ",'[1]Data 4.2'!B101)</f>
        <v>46712</v>
      </c>
      <c r="D24" s="14">
        <f>IF('[1]Data 4.2'!B113=0," ",'[1]Data 4.2'!B113)</f>
        <v>48107</v>
      </c>
      <c r="E24" s="14">
        <f>IF('[1]Data 4.2'!B125=0," ",'[1]Data 4.2'!B125)</f>
        <v>46623</v>
      </c>
      <c r="F24" s="14">
        <f>IF('[1]Data 4.2'!B137=0," ",'[1]Data 4.2'!B137)</f>
        <v>49865</v>
      </c>
      <c r="H24" s="6"/>
    </row>
    <row r="25" spans="1:8" ht="13.9" customHeight="1" x14ac:dyDescent="0.2">
      <c r="A25" s="13" t="s">
        <v>7</v>
      </c>
      <c r="B25" s="14">
        <f>IF('[1]Data 4.2'!B90=0," ",'[1]Data 4.2'!B90)</f>
        <v>46212</v>
      </c>
      <c r="C25" s="14">
        <f>IF('[1]Data 4.2'!B102=0," ",'[1]Data 4.2'!B102)</f>
        <v>47125</v>
      </c>
      <c r="D25" s="14">
        <f>IF('[1]Data 4.2'!B114=0," ",'[1]Data 4.2'!B114)</f>
        <v>47224</v>
      </c>
      <c r="E25" s="14">
        <f>IF('[1]Data 4.2'!B126=0," ",'[1]Data 4.2'!B126)</f>
        <v>48613</v>
      </c>
      <c r="F25" s="14">
        <f>IF('[1]Data 4.2'!B138=0," ",'[1]Data 4.2'!B138)</f>
        <v>48935</v>
      </c>
      <c r="H25" s="6"/>
    </row>
    <row r="26" spans="1:8" ht="11.1" customHeight="1" x14ac:dyDescent="0.2">
      <c r="A26" s="13" t="s">
        <v>8</v>
      </c>
      <c r="B26" s="14">
        <f>IF('[1]Data 4.2'!B91=0," ",'[1]Data 4.2'!B91)</f>
        <v>44465</v>
      </c>
      <c r="C26" s="14">
        <f>IF('[1]Data 4.2'!B103=0," ",'[1]Data 4.2'!B103)</f>
        <v>47218</v>
      </c>
      <c r="D26" s="14">
        <f>IF('[1]Data 4.2'!B115=0," ",'[1]Data 4.2'!B115)</f>
        <v>47605</v>
      </c>
      <c r="E26" s="14">
        <f>IF('[1]Data 4.2'!B127=0," ",'[1]Data 4.2'!B127)</f>
        <v>46048</v>
      </c>
      <c r="F26" s="14">
        <f>IF('[1]Data 4.2'!B139=0," ",'[1]Data 4.2'!B139)</f>
        <v>50219</v>
      </c>
      <c r="H26" s="6"/>
    </row>
    <row r="27" spans="1:8" ht="11.1" customHeight="1" x14ac:dyDescent="0.2">
      <c r="A27" s="13" t="s">
        <v>9</v>
      </c>
      <c r="B27" s="14">
        <f>IF('[1]Data 4.2'!B92=0," ",'[1]Data 4.2'!B92)</f>
        <v>45284</v>
      </c>
      <c r="C27" s="14">
        <f>IF('[1]Data 4.2'!B104=0," ",'[1]Data 4.2'!B104)</f>
        <v>46818</v>
      </c>
      <c r="D27" s="14">
        <f>IF('[1]Data 4.2'!B116=0," ",'[1]Data 4.2'!B116)</f>
        <v>50894</v>
      </c>
      <c r="E27" s="14">
        <f>IF('[1]Data 4.2'!B128=0," ",'[1]Data 4.2'!B128)</f>
        <v>45472</v>
      </c>
      <c r="F27" s="14">
        <f>IF('[1]Data 4.2'!B140=0," ",'[1]Data 4.2'!B140)</f>
        <v>50629</v>
      </c>
      <c r="H27" s="6"/>
    </row>
    <row r="28" spans="1:8" ht="13.9" customHeight="1" x14ac:dyDescent="0.2">
      <c r="A28" s="15" t="s">
        <v>10</v>
      </c>
      <c r="B28" s="14">
        <f>IF('[1]Data 4.2'!B93=0," ",'[1]Data 4.2'!B93)</f>
        <v>45020</v>
      </c>
      <c r="C28" s="14">
        <f>IF('[1]Data 4.2'!B105=0," ",'[1]Data 4.2'!B105)</f>
        <v>49033</v>
      </c>
      <c r="D28" s="14">
        <f>IF('[1]Data 4.2'!B117=0," ",'[1]Data 4.2'!B117)</f>
        <v>48095</v>
      </c>
      <c r="E28" s="14">
        <f>IF('[1]Data 4.2'!B129=0," ",'[1]Data 4.2'!B129)</f>
        <v>47339</v>
      </c>
      <c r="F28" s="14">
        <f>IF('[1]Data 4.2'!B141=0," ",'[1]Data 4.2'!B141)</f>
        <v>46798</v>
      </c>
      <c r="H28" s="6"/>
    </row>
    <row r="29" spans="1:8" ht="11.1" customHeight="1" x14ac:dyDescent="0.2">
      <c r="A29" s="13" t="s">
        <v>11</v>
      </c>
      <c r="B29" s="14">
        <f>IF('[1]Data 4.2'!B94=0," ",'[1]Data 4.2'!B94)</f>
        <v>43902</v>
      </c>
      <c r="C29" s="14">
        <f>IF('[1]Data 4.2'!B106=0," ",'[1]Data 4.2'!B106)</f>
        <v>49821</v>
      </c>
      <c r="D29" s="14">
        <f>IF('[1]Data 4.2'!B118=0," ",'[1]Data 4.2'!B118)</f>
        <v>47696</v>
      </c>
      <c r="E29" s="14">
        <f>IF('[1]Data 4.2'!B130=0," ",'[1]Data 4.2'!B130)</f>
        <v>47057</v>
      </c>
      <c r="F29" s="14">
        <f>IF('[1]Data 4.2'!B142=0," ",'[1]Data 4.2'!B142)</f>
        <v>46189</v>
      </c>
      <c r="H29" s="6"/>
    </row>
    <row r="30" spans="1:8" ht="11.1" customHeight="1" x14ac:dyDescent="0.2">
      <c r="A30" s="13" t="s">
        <v>12</v>
      </c>
      <c r="B30" s="14">
        <f>IF('[1]Data 4.2'!B95=0," ",'[1]Data 4.2'!B95)</f>
        <v>41412</v>
      </c>
      <c r="C30" s="14">
        <f>IF('[1]Data 4.2'!B107=0," ",'[1]Data 4.2'!B107)</f>
        <v>49474</v>
      </c>
      <c r="D30" s="14">
        <f>IF('[1]Data 4.2'!B119=0," ",'[1]Data 4.2'!B119)</f>
        <v>47537</v>
      </c>
      <c r="E30" s="14">
        <f>IF('[1]Data 4.2'!B131=0," ",'[1]Data 4.2'!B131)</f>
        <v>47823</v>
      </c>
      <c r="F30" s="14">
        <f>IF('[1]Data 4.2'!B143=0," ",'[1]Data 4.2'!B143)</f>
        <v>47698</v>
      </c>
      <c r="H30" s="6"/>
    </row>
    <row r="31" spans="1:8" ht="13.9" customHeight="1" x14ac:dyDescent="0.2">
      <c r="A31" s="13" t="s">
        <v>13</v>
      </c>
      <c r="B31" s="14">
        <f>IF('[1]Data 4.2'!B96=0," ",'[1]Data 4.2'!B96)</f>
        <v>42107</v>
      </c>
      <c r="C31" s="14">
        <f>IF('[1]Data 4.2'!B108=0," ",'[1]Data 4.2'!B108)</f>
        <v>54034</v>
      </c>
      <c r="D31" s="14">
        <f>IF('[1]Data 4.2'!B120=0," ",'[1]Data 4.2'!B120)</f>
        <v>47377</v>
      </c>
      <c r="E31" s="14">
        <f>IF('[1]Data 4.2'!B132=0," ",'[1]Data 4.2'!B132)</f>
        <v>46748</v>
      </c>
      <c r="F31" s="14" t="str">
        <f>IF('[1]Data 4.2'!B144=0," ",'[1]Data 4.2'!B144)</f>
        <v xml:space="preserve"> </v>
      </c>
      <c r="H31" s="6"/>
    </row>
    <row r="32" spans="1:8" ht="11.1" customHeight="1" x14ac:dyDescent="0.2">
      <c r="A32" s="13" t="s">
        <v>14</v>
      </c>
      <c r="B32" s="14">
        <f>IF('[1]Data 4.2'!B97=0," ",'[1]Data 4.2'!B97)</f>
        <v>43688</v>
      </c>
      <c r="C32" s="14">
        <f>IF('[1]Data 4.2'!B109=0," ",'[1]Data 4.2'!B109)</f>
        <v>51038</v>
      </c>
      <c r="D32" s="14">
        <f>IF('[1]Data 4.2'!B121=0," ",'[1]Data 4.2'!B121)</f>
        <v>42820</v>
      </c>
      <c r="E32" s="14">
        <f>IF('[1]Data 4.2'!B133=0," ",'[1]Data 4.2'!B133)</f>
        <v>48453</v>
      </c>
      <c r="F32" s="14" t="str">
        <f>IF('[1]Data 4.2'!B145=0," ",'[1]Data 4.2'!B145)</f>
        <v xml:space="preserve"> </v>
      </c>
      <c r="H32" s="6"/>
    </row>
    <row r="33" spans="1:8" ht="11.1" customHeight="1" x14ac:dyDescent="0.2">
      <c r="A33" s="13" t="s">
        <v>15</v>
      </c>
      <c r="B33" s="14">
        <f>IF('[1]Data 4.2'!B98=0," ",'[1]Data 4.2'!B98)</f>
        <v>45039</v>
      </c>
      <c r="C33" s="14">
        <f>IF('[1]Data 4.2'!B110=0," ",'[1]Data 4.2'!B110)</f>
        <v>50393</v>
      </c>
      <c r="D33" s="14">
        <f>IF('[1]Data 4.2'!B122=0," ",'[1]Data 4.2'!B122)</f>
        <v>45062</v>
      </c>
      <c r="E33" s="14">
        <f>IF('[1]Data 4.2'!B134=0," ",'[1]Data 4.2'!B134)</f>
        <v>47195</v>
      </c>
      <c r="F33" s="14" t="str">
        <f>IF('[1]Data 4.2'!B146=0," ",'[1]Data 4.2'!B146)</f>
        <v xml:space="preserve"> </v>
      </c>
      <c r="H33" s="6"/>
    </row>
    <row r="34" spans="1:8" ht="11.1" customHeight="1" x14ac:dyDescent="0.2">
      <c r="A34" s="13"/>
      <c r="B34" s="14"/>
      <c r="C34" s="14"/>
      <c r="H34" s="6"/>
    </row>
    <row r="35" spans="1:8" ht="11.1" customHeight="1" x14ac:dyDescent="0.2">
      <c r="A35" s="13" t="s">
        <v>16</v>
      </c>
      <c r="B35" s="14">
        <f>IF('[1]Data 4.2'!C98=0,"",'[1]Data 4.2'!C98)</f>
        <v>542775</v>
      </c>
      <c r="C35" s="14">
        <f>IF('[1]Data 4.2'!C110=0,"",'[1]Data 4.2'!C110)</f>
        <v>582079</v>
      </c>
      <c r="D35" s="14">
        <f>IF('[1]Data 4.2'!C122=0,"",'[1]Data 4.2'!C122)</f>
        <v>566256</v>
      </c>
      <c r="E35" s="14">
        <f>IF('[1]Data 4.2'!C134=0,"",'[1]Data 4.2'!C134)</f>
        <v>567954</v>
      </c>
      <c r="H35" s="6"/>
    </row>
    <row r="36" spans="1:8" ht="11.1" customHeight="1" x14ac:dyDescent="0.2">
      <c r="A36" s="16"/>
      <c r="B36" s="17"/>
      <c r="C36" s="17"/>
      <c r="D36" s="17"/>
      <c r="E36" s="17"/>
      <c r="F36" s="17"/>
      <c r="H36" s="6"/>
    </row>
    <row r="37" spans="1:8" ht="19.899999999999999" customHeight="1" x14ac:dyDescent="0.2">
      <c r="A37" s="9" t="s">
        <v>17</v>
      </c>
      <c r="B37" s="18"/>
      <c r="H37" s="6"/>
    </row>
    <row r="38" spans="1:8" ht="3" customHeight="1" x14ac:dyDescent="0.2">
      <c r="A38" s="19"/>
      <c r="B38" s="20"/>
      <c r="H38" s="6"/>
    </row>
    <row r="39" spans="1:8" ht="13.9" customHeight="1" x14ac:dyDescent="0.2">
      <c r="A39" s="13" t="s">
        <v>4</v>
      </c>
      <c r="B39" s="21">
        <f>IF('[1]Data 4.2'!E87=0," ",'[1]Data 4.2'!E87)</f>
        <v>-5.7514294760760638</v>
      </c>
      <c r="C39" s="21">
        <f>IF('[1]Data 4.2'!E99=0," ",'[1]Data 4.2'!E99)</f>
        <v>-9.4895559551805171</v>
      </c>
      <c r="D39" s="21">
        <f>IF('[1]Data 4.2'!E111=0," ",'[1]Data 4.2'!E111)</f>
        <v>3.9933625903364467</v>
      </c>
      <c r="E39" s="21">
        <f>IF('[1]Data 4.2'!E123=0," ",'[1]Data 4.2'!E123)</f>
        <v>-0.58786479109804723</v>
      </c>
      <c r="F39" s="21">
        <f>IF('[1]Data 4.2'!E135=0," ",'[1]Data 4.2'!E135)</f>
        <v>-6.0591341077085525</v>
      </c>
      <c r="H39" s="6"/>
    </row>
    <row r="40" spans="1:8" ht="11.1" customHeight="1" x14ac:dyDescent="0.2">
      <c r="A40" s="13" t="s">
        <v>5</v>
      </c>
      <c r="B40" s="21">
        <f>IF('[1]Data 4.2'!E88=0," ",'[1]Data 4.2'!E88)</f>
        <v>-8.6729022118296477</v>
      </c>
      <c r="C40" s="21">
        <f>IF('[1]Data 4.2'!E100=0," ",'[1]Data 4.2'!E100)</f>
        <v>-3.8279921929106564</v>
      </c>
      <c r="D40" s="21">
        <f>IF('[1]Data 4.2'!E112=0," ",'[1]Data 4.2'!E112)</f>
        <v>3.194762684124397</v>
      </c>
      <c r="E40" s="21">
        <f>IF('[1]Data 4.2'!E124=0," ",'[1]Data 4.2'!E124)</f>
        <v>1.4273932627038022</v>
      </c>
      <c r="F40" s="21">
        <f>IF('[1]Data 4.2'!E136=0," ",'[1]Data 4.2'!E136)</f>
        <v>-1.8680677174547577</v>
      </c>
      <c r="H40" s="6"/>
    </row>
    <row r="41" spans="1:8" ht="11.1" customHeight="1" x14ac:dyDescent="0.2">
      <c r="A41" s="13" t="s">
        <v>6</v>
      </c>
      <c r="B41" s="21">
        <f>IF('[1]Data 4.2'!E89=0," ",'[1]Data 4.2'!E89)</f>
        <v>-8.9287780048586729</v>
      </c>
      <c r="C41" s="21">
        <f>IF('[1]Data 4.2'!E101=0," ",'[1]Data 4.2'!E101)</f>
        <v>-1.107229808404786</v>
      </c>
      <c r="D41" s="21">
        <f>IF('[1]Data 4.2'!E113=0," ",'[1]Data 4.2'!E113)</f>
        <v>2.9863846549066597</v>
      </c>
      <c r="E41" s="21">
        <f>IF('[1]Data 4.2'!E125=0," ",'[1]Data 4.2'!E125)</f>
        <v>-3.0847901552788604</v>
      </c>
      <c r="F41" s="21">
        <f>IF('[1]Data 4.2'!E137=0," ",'[1]Data 4.2'!E137)</f>
        <v>6.9536494863050358</v>
      </c>
      <c r="H41" s="6"/>
    </row>
    <row r="42" spans="1:8" x14ac:dyDescent="0.2">
      <c r="A42" s="13" t="s">
        <v>7</v>
      </c>
      <c r="B42" s="21">
        <f>IF('[1]Data 4.2'!E90=0," ",'[1]Data 4.2'!E90)</f>
        <v>-12.137805156285653</v>
      </c>
      <c r="C42" s="21">
        <f>IF('[1]Data 4.2'!E102=0," ",'[1]Data 4.2'!E102)</f>
        <v>1.9756773132519667</v>
      </c>
      <c r="D42" s="21">
        <f>IF('[1]Data 4.2'!E114=0," ",'[1]Data 4.2'!E114)</f>
        <v>0.21007957559682211</v>
      </c>
      <c r="E42" s="21">
        <f>IF('[1]Data 4.2'!E126=0," ",'[1]Data 4.2'!E126)</f>
        <v>2.9413010333728673</v>
      </c>
      <c r="F42" s="21">
        <f>IF('[1]Data 4.2'!E138=0," ",'[1]Data 4.2'!E138)</f>
        <v>0.66237426202868654</v>
      </c>
      <c r="H42" s="6"/>
    </row>
    <row r="43" spans="1:8" ht="11.1" customHeight="1" x14ac:dyDescent="0.2">
      <c r="A43" s="13" t="s">
        <v>8</v>
      </c>
      <c r="B43" s="21">
        <f>IF('[1]Data 4.2'!E91=0," ",'[1]Data 4.2'!E91)</f>
        <v>-16.749358746325662</v>
      </c>
      <c r="C43" s="21">
        <f>IF('[1]Data 4.2'!E103=0," ",'[1]Data 4.2'!E103)</f>
        <v>6.19138648375126</v>
      </c>
      <c r="D43" s="21">
        <f>IF('[1]Data 4.2'!E115=0," ",'[1]Data 4.2'!E115)</f>
        <v>0.81960269388792195</v>
      </c>
      <c r="E43" s="21">
        <f>IF('[1]Data 4.2'!E127=0," ",'[1]Data 4.2'!E127)</f>
        <v>-3.2706648461296117</v>
      </c>
      <c r="F43" s="21">
        <f>IF('[1]Data 4.2'!E139=0," ",'[1]Data 4.2'!E139)</f>
        <v>9.0579395413481478</v>
      </c>
      <c r="H43" s="6"/>
    </row>
    <row r="44" spans="1:8" ht="11.1" customHeight="1" x14ac:dyDescent="0.2">
      <c r="A44" s="13" t="s">
        <v>9</v>
      </c>
      <c r="B44" s="21">
        <f>IF('[1]Data 4.2'!E92=0," ",'[1]Data 4.2'!E92)</f>
        <v>-16.224516224516229</v>
      </c>
      <c r="C44" s="21">
        <f>IF('[1]Data 4.2'!E104=0," ",'[1]Data 4.2'!E104)</f>
        <v>3.387509937284694</v>
      </c>
      <c r="D44" s="21">
        <f>IF('[1]Data 4.2'!E116=0," ",'[1]Data 4.2'!E116)</f>
        <v>8.706053227391175</v>
      </c>
      <c r="E44" s="21">
        <f>IF('[1]Data 4.2'!E128=0," ",'[1]Data 4.2'!E128)</f>
        <v>-10.653515149133497</v>
      </c>
      <c r="F44" s="21">
        <f>IF('[1]Data 4.2'!E140=0," ",'[1]Data 4.2'!E140)</f>
        <v>11.341045038705143</v>
      </c>
      <c r="H44" s="6"/>
    </row>
    <row r="45" spans="1:8" ht="13.9" customHeight="1" x14ac:dyDescent="0.2">
      <c r="A45" s="15" t="s">
        <v>10</v>
      </c>
      <c r="B45" s="21">
        <f>IF('[1]Data 4.2'!E93=0," ",'[1]Data 4.2'!E93)</f>
        <v>-16.434643798492775</v>
      </c>
      <c r="C45" s="21">
        <f>IF('[1]Data 4.2'!E105=0," ",'[1]Data 4.2'!E105)</f>
        <v>8.9138160817414445</v>
      </c>
      <c r="D45" s="21">
        <f>IF('[1]Data 4.2'!E117=0," ",'[1]Data 4.2'!E117)</f>
        <v>-1.9129973691187518</v>
      </c>
      <c r="E45" s="21">
        <f>IF('[1]Data 4.2'!E129=0," ",'[1]Data 4.2'!E129)</f>
        <v>-1.5718889697473704</v>
      </c>
      <c r="F45" s="21">
        <f>IF('[1]Data 4.2'!E141=0," ",'[1]Data 4.2'!E141)</f>
        <v>-1.1428209298886771</v>
      </c>
      <c r="H45" s="6"/>
    </row>
    <row r="46" spans="1:8" ht="11.1" customHeight="1" x14ac:dyDescent="0.2">
      <c r="A46" s="13" t="s">
        <v>11</v>
      </c>
      <c r="B46" s="21">
        <f>IF('[1]Data 4.2'!E94=0," ",'[1]Data 4.2'!E94)</f>
        <v>-15.986680955296995</v>
      </c>
      <c r="C46" s="21">
        <f>IF('[1]Data 4.2'!E106=0," ",'[1]Data 4.2'!E106)</f>
        <v>13.48230148968157</v>
      </c>
      <c r="D46" s="21">
        <f>IF('[1]Data 4.2'!E118=0," ",'[1]Data 4.2'!E118)</f>
        <v>-4.2652696654021387</v>
      </c>
      <c r="E46" s="21">
        <f>IF('[1]Data 4.2'!E130=0," ",'[1]Data 4.2'!E130)</f>
        <v>-1.3397349882589782</v>
      </c>
      <c r="F46" s="21">
        <f>IF('[1]Data 4.2'!E142=0," ",'[1]Data 4.2'!E142)</f>
        <v>-1.8445714771447408</v>
      </c>
      <c r="H46" s="6"/>
    </row>
    <row r="47" spans="1:8" ht="11.1" customHeight="1" x14ac:dyDescent="0.2">
      <c r="A47" s="13" t="s">
        <v>12</v>
      </c>
      <c r="B47" s="21">
        <f>IF('[1]Data 4.2'!E95=0," ",'[1]Data 4.2'!E95)</f>
        <v>-21.301381577697121</v>
      </c>
      <c r="C47" s="21">
        <f>IF('[1]Data 4.2'!E107=0," ",'[1]Data 4.2'!E107)</f>
        <v>19.467787114845937</v>
      </c>
      <c r="D47" s="21">
        <f>IF('[1]Data 4.2'!E119=0," ",'[1]Data 4.2'!E119)</f>
        <v>-3.9151877753971775</v>
      </c>
      <c r="E47" s="21">
        <f>IF('[1]Data 4.2'!E131=0," ",'[1]Data 4.2'!E131)</f>
        <v>0.6016366198960732</v>
      </c>
      <c r="F47" s="21">
        <f>IF('[1]Data 4.2'!E143=0," ",'[1]Data 4.2'!E143)</f>
        <v>-0.2613805072872899</v>
      </c>
      <c r="H47" s="6"/>
    </row>
    <row r="48" spans="1:8" x14ac:dyDescent="0.2">
      <c r="A48" s="13" t="s">
        <v>13</v>
      </c>
      <c r="B48" s="21">
        <f>IF('[1]Data 4.2'!E96=0," ",'[1]Data 4.2'!E96)</f>
        <v>-19.819099304960485</v>
      </c>
      <c r="C48" s="21">
        <f>IF('[1]Data 4.2'!E108=0," ",'[1]Data 4.2'!E108)</f>
        <v>28.325456574916274</v>
      </c>
      <c r="D48" s="21">
        <f>IF('[1]Data 4.2'!E120=0," ",'[1]Data 4.2'!E120)</f>
        <v>-12.320020727689974</v>
      </c>
      <c r="E48" s="21">
        <f>IF('[1]Data 4.2'!E132=0," ",'[1]Data 4.2'!E132)</f>
        <v>-1.3276484370053021</v>
      </c>
      <c r="F48" s="21" t="str">
        <f>IF('[1]Data 4.2'!E144=0," ",'[1]Data 4.2'!E144)</f>
        <v xml:space="preserve"> </v>
      </c>
      <c r="H48" s="6"/>
    </row>
    <row r="49" spans="1:10" ht="11.1" customHeight="1" x14ac:dyDescent="0.2">
      <c r="A49" s="13" t="s">
        <v>14</v>
      </c>
      <c r="B49" s="21">
        <f>IF('[1]Data 4.2'!E97=0," ",'[1]Data 4.2'!E97)</f>
        <v>-15.438216165995666</v>
      </c>
      <c r="C49" s="21">
        <f>IF('[1]Data 4.2'!E109=0," ",'[1]Data 4.2'!E109)</f>
        <v>16.823841787218452</v>
      </c>
      <c r="D49" s="21">
        <f>IF('[1]Data 4.2'!E121=0," ",'[1]Data 4.2'!E121)</f>
        <v>-16.101728124142799</v>
      </c>
      <c r="E49" s="21">
        <f>IF('[1]Data 4.2'!E133=0," ",'[1]Data 4.2'!E133)</f>
        <v>13.155067725361992</v>
      </c>
      <c r="F49" s="21" t="str">
        <f>IF('[1]Data 4.2'!E145=0," ",'[1]Data 4.2'!E145)</f>
        <v xml:space="preserve"> </v>
      </c>
      <c r="H49" s="6"/>
    </row>
    <row r="50" spans="1:10" ht="11.1" customHeight="1" x14ac:dyDescent="0.2">
      <c r="A50" s="22" t="s">
        <v>15</v>
      </c>
      <c r="B50" s="21">
        <f>IF('[1]Data 4.2'!E98=0," ",'[1]Data 4.2'!E98)</f>
        <v>-12.747244231775124</v>
      </c>
      <c r="C50" s="21">
        <f>IF('[1]Data 4.2'!E110=0," ",'[1]Data 4.2'!E110)</f>
        <v>11.887475299185146</v>
      </c>
      <c r="D50" s="21">
        <f>IF('[1]Data 4.2'!E122=0," ",'[1]Data 4.2'!E122)</f>
        <v>-10.578850237136106</v>
      </c>
      <c r="E50" s="21">
        <f>IF('[1]Data 4.2'!E134=0," ",'[1]Data 4.2'!E134)</f>
        <v>4.7334783187608087</v>
      </c>
      <c r="F50" s="21" t="str">
        <f>IF('[1]Data 4.2'!E146=0," ",'[1]Data 4.2'!E146)</f>
        <v xml:space="preserve"> </v>
      </c>
      <c r="H50" s="6"/>
    </row>
    <row r="51" spans="1:10" ht="11.1" customHeight="1" x14ac:dyDescent="0.2">
      <c r="A51" s="22"/>
      <c r="B51" s="23"/>
      <c r="C51" s="23"/>
      <c r="H51" s="6"/>
    </row>
    <row r="52" spans="1:10" ht="11.1" customHeight="1" x14ac:dyDescent="0.2">
      <c r="A52" s="22" t="s">
        <v>16</v>
      </c>
      <c r="B52" s="23">
        <f>IF('[1]Data 4.2'!C98="","",(('[1]Data 4.2'!C98/'[1]Data 4.2'!C86)-1)*100)</f>
        <v>-14.092460902197324</v>
      </c>
      <c r="C52" s="23">
        <f>IF('[1]Data 4.2'!C110="","",(('[1]Data 4.2'!C110/'[1]Data 4.2'!C98)-1)*100)</f>
        <v>7.2413062502878711</v>
      </c>
      <c r="D52" s="23">
        <f>IF('[1]Data 4.2'!C122="","",(('[1]Data 4.2'!C122/'[1]Data 4.2'!C110)-1)*100)</f>
        <v>-2.7183595353895251</v>
      </c>
      <c r="E52" s="21">
        <f>IF('[1]Data 4.2'!C134="","",(('[1]Data 4.2'!C134/'[1]Data 4.2'!C122)-1)*100)</f>
        <v>0.29986437229803098</v>
      </c>
      <c r="H52" s="6"/>
    </row>
    <row r="53" spans="1:10" ht="11.1" customHeight="1" x14ac:dyDescent="0.2">
      <c r="A53" s="16"/>
      <c r="B53" s="17"/>
      <c r="C53" s="17"/>
      <c r="D53" s="17"/>
      <c r="E53" s="17"/>
      <c r="F53" s="17"/>
      <c r="H53" s="6"/>
    </row>
    <row r="54" spans="1:10" ht="7.9" customHeight="1" x14ac:dyDescent="0.2">
      <c r="A54" s="24"/>
      <c r="B54" s="25"/>
      <c r="C54" s="25"/>
      <c r="D54" s="25"/>
      <c r="E54" s="25"/>
      <c r="F54" s="25"/>
      <c r="H54" s="6"/>
    </row>
    <row r="55" spans="1:10" ht="11.1" customHeight="1" x14ac:dyDescent="0.2">
      <c r="A55" s="26" t="s">
        <v>18</v>
      </c>
      <c r="B55" s="5"/>
      <c r="C55" s="5"/>
      <c r="D55" s="5"/>
      <c r="E55" s="5"/>
      <c r="F55" s="5"/>
      <c r="H55" s="6"/>
    </row>
    <row r="56" spans="1:10" ht="11.1" customHeight="1" x14ac:dyDescent="0.2">
      <c r="A56" s="26" t="s">
        <v>19</v>
      </c>
      <c r="B56" s="5"/>
      <c r="C56" s="5"/>
      <c r="D56" s="5"/>
      <c r="E56" s="5"/>
      <c r="F56" s="5"/>
      <c r="H56" s="6"/>
    </row>
    <row r="57" spans="1:10" ht="11.1" customHeight="1" x14ac:dyDescent="0.2">
      <c r="A57" s="26"/>
      <c r="B57" s="5"/>
      <c r="C57" s="5"/>
      <c r="D57" s="5"/>
      <c r="E57" s="5"/>
      <c r="F57" s="5"/>
      <c r="H57" s="6"/>
    </row>
    <row r="58" spans="1:10" ht="11.1" customHeight="1" x14ac:dyDescent="0.2">
      <c r="A58" s="27" t="s">
        <v>20</v>
      </c>
      <c r="E58" s="28"/>
      <c r="F58" s="5"/>
      <c r="H58" s="6"/>
      <c r="I58" s="12" t="s">
        <v>21</v>
      </c>
    </row>
    <row r="59" spans="1:10" ht="11.1" customHeight="1" x14ac:dyDescent="0.2">
      <c r="B59" s="5"/>
      <c r="C59" s="5"/>
      <c r="D59" s="5"/>
      <c r="E59" s="5"/>
      <c r="F59" s="5"/>
      <c r="H59" s="6"/>
      <c r="I59" s="29">
        <f>'[2]4.2a MV sales - seas adj'!$B$29</f>
        <v>41409</v>
      </c>
      <c r="J59" s="29"/>
    </row>
    <row r="60" spans="1:10" ht="11.1" customHeight="1" x14ac:dyDescent="0.2"/>
    <row r="61" spans="1:10" ht="11.1" customHeight="1" x14ac:dyDescent="0.2"/>
    <row r="62" spans="1:10" ht="11.1" customHeight="1" x14ac:dyDescent="0.2"/>
  </sheetData>
  <mergeCells count="1">
    <mergeCell ref="I59:J59"/>
  </mergeCells>
  <hyperlinks>
    <hyperlink ref="A58" r:id="rId1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47625</xdr:colOff>
                <xdr:row>3</xdr:row>
                <xdr:rowOff>85725</xdr:rowOff>
              </from>
              <to>
                <xdr:col>11</xdr:col>
                <xdr:colOff>28575</xdr:colOff>
                <xdr:row>52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4.2</vt:lpstr>
      <vt:lpstr>'Table 4.2'!Print_Area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2013-05-02T23:05:35Z</dcterms:created>
  <dcterms:modified xsi:type="dcterms:W3CDTF">2013-05-02T23:05:46Z</dcterms:modified>
</cp:coreProperties>
</file>