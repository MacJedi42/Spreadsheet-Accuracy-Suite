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showPivotChartFilter="1" autoCompressPictures="0" defaultThemeVersion="124226"/>
  <bookViews>
    <workbookView xWindow="3420" yWindow="-195" windowWidth="11730" windowHeight="6930" tabRatio="895"/>
  </bookViews>
  <sheets>
    <sheet name="Metadata_PF_ShootHarvestData" sheetId="41" r:id="rId1"/>
    <sheet name="PF_ShootHarvest_Data" sheetId="4" r:id="rId2"/>
    <sheet name="Sites(Do NOT Edit)" sheetId="42" r:id="rId3"/>
  </sheets>
  <definedNames>
    <definedName name="_xlnm._FilterDatabase" localSheetId="2" hidden="1">'Sites(Do NOT Edit)'!$A$2:$N$638</definedName>
    <definedName name="ABSTRACT" localSheetId="0">Metadata_PF_ShootHarvestData!$A$6</definedName>
    <definedName name="ABSTRACT" localSheetId="2">Metadata_PF_ShootHarvestData!$A$6</definedName>
    <definedName name="ABSTRACT">#REF!</definedName>
    <definedName name="Address_line_2" localSheetId="0">Metadata_PF_ShootHarvestData!$A$23</definedName>
    <definedName name="Address_line_2" localSheetId="2">Metadata_PF_ShootHarvestData!$A$23</definedName>
    <definedName name="Address_line_2">#REF!</definedName>
    <definedName name="Address_line_3" localSheetId="0">Metadata_PF_ShootHarvestData!$A$24</definedName>
    <definedName name="Address_line_3" localSheetId="2">Metadata_PF_ShootHarvestData!$A$24</definedName>
    <definedName name="Address_line_3">#REF!</definedName>
    <definedName name="Availability_Status" localSheetId="0">Metadata_PF_ShootHarvestData!$A$38</definedName>
    <definedName name="Availability_Status" localSheetId="2">Metadata_PF_ShootHarvestData!$A$38</definedName>
    <definedName name="Availability_Status">#REF!</definedName>
    <definedName name="Beginning_Date" localSheetId="0">Metadata_PF_ShootHarvestData!$A$34</definedName>
    <definedName name="Beginning_Date" localSheetId="2">Metadata_PF_ShootHarvestData!$A$34</definedName>
    <definedName name="Beginning_Date">#REF!</definedName>
    <definedName name="City" localSheetId="0">Metadata_PF_ShootHarvestData!$A$25</definedName>
    <definedName name="City" localSheetId="2">Metadata_PF_ShootHarvestData!$A$25</definedName>
    <definedName name="City">#REF!</definedName>
    <definedName name="Code_Information" localSheetId="0">Metadata_PF_ShootHarvestData!$F$203</definedName>
    <definedName name="Code_Information" localSheetId="2">Metadata_PF_ShootHarvestData!$F$203</definedName>
    <definedName name="Code_Information">#REF!</definedName>
    <definedName name="Country" localSheetId="0">Metadata_PF_ShootHarvestData!$A$28</definedName>
    <definedName name="Country" localSheetId="2">Metadata_PF_ShootHarvestData!$A$28</definedName>
    <definedName name="Country">#REF!</definedName>
    <definedName name="DATA_FILE_INFORMATION" localSheetId="0">Metadata_PF_ShootHarvestData!$A$31</definedName>
    <definedName name="DATA_FILE_INFORMATION" localSheetId="2">Metadata_PF_ShootHarvestData!$A$31</definedName>
    <definedName name="DATA_FILE_INFORMATION">#REF!</definedName>
    <definedName name="Data_File_Name" localSheetId="0">Metadata_PF_ShootHarvestData!$A$33</definedName>
    <definedName name="Data_File_Name" localSheetId="2">Metadata_PF_ShootHarvestData!$A$33</definedName>
    <definedName name="Data_File_Name">#REF!</definedName>
    <definedName name="Data_File_URL" localSheetId="0">Metadata_PF_ShootHarvestData!$A$32</definedName>
    <definedName name="Data_File_URL" localSheetId="2">Metadata_PF_ShootHarvestData!$A$32</definedName>
    <definedName name="Data_File_URL">#REF!</definedName>
    <definedName name="Data_Type" localSheetId="0">Metadata_PF_ShootHarvestData!$C$203</definedName>
    <definedName name="Data_Type" localSheetId="2">Metadata_PF_ShootHarvestData!$C$203</definedName>
    <definedName name="Data_Type">#REF!</definedName>
    <definedName name="DATASET_ID" localSheetId="0">Metadata_PF_ShootHarvestData!$A$15</definedName>
    <definedName name="DATASET_ID" localSheetId="2">Metadata_PF_ShootHarvestData!$A$15</definedName>
    <definedName name="DATASET_ID">#REF!</definedName>
    <definedName name="DATASET_TITLE" localSheetId="0">Metadata_PF_ShootHarvestData!$A$5</definedName>
    <definedName name="DATASET_TITLE" localSheetId="2">Metadata_PF_ShootHarvestData!$A$5</definedName>
    <definedName name="DATASET_TITLE">#REF!</definedName>
    <definedName name="DateTime_Format" localSheetId="0">Metadata_PF_ShootHarvestData!$E$203</definedName>
    <definedName name="DateTime_Format" localSheetId="2">Metadata_PF_ShootHarvestData!$E$203</definedName>
    <definedName name="DateTime_Format">#REF!</definedName>
    <definedName name="Distribution_URL_for_file" localSheetId="0">Metadata_PF_ShootHarvestData!$A$4</definedName>
    <definedName name="Distribution_URL_for_file" localSheetId="2">Metadata_PF_ShootHarvestData!$A$4</definedName>
    <definedName name="Distribution_URL_for_file">#REF!</definedName>
    <definedName name="East_Bounding_Coordinate" localSheetId="0">Metadata_PF_ShootHarvestData!$A$52</definedName>
    <definedName name="East_Bounding_Coordinate" localSheetId="2">Metadata_PF_ShootHarvestData!$A$52</definedName>
    <definedName name="East_Bounding_Coordinate">#REF!</definedName>
    <definedName name="Elevation" localSheetId="0">Metadata_PF_ShootHarvestData!$A$58</definedName>
    <definedName name="Elevation" localSheetId="2">Metadata_PF_ShootHarvestData!$A$58</definedName>
    <definedName name="Elevation">#REF!</definedName>
    <definedName name="Email" localSheetId="0">Metadata_PF_ShootHarvestData!$A$19</definedName>
    <definedName name="Email" localSheetId="2">Metadata_PF_ShootHarvestData!$A$19</definedName>
    <definedName name="Email">#REF!</definedName>
    <definedName name="End_Date" localSheetId="0">Metadata_PF_ShootHarvestData!$A$35</definedName>
    <definedName name="End_Date" localSheetId="2">Metadata_PF_ShootHarvestData!$A$35</definedName>
    <definedName name="End_Date">#REF!</definedName>
    <definedName name="First_Name" localSheetId="0">Metadata_PF_ShootHarvestData!$A$20</definedName>
    <definedName name="First_Name" localSheetId="2">Metadata_PF_ShootHarvestData!$A$20</definedName>
    <definedName name="First_Name">#REF!</definedName>
    <definedName name="Geographic_Description" localSheetId="0">Metadata_PF_ShootHarvestData!$A$49</definedName>
    <definedName name="Geographic_Description" localSheetId="2">Metadata_PF_ShootHarvestData!$A$49</definedName>
    <definedName name="Geographic_Description">#REF!</definedName>
    <definedName name="INVESTIGATOR_INFORMATION" localSheetId="0">Metadata_PF_ShootHarvestData!$A$17</definedName>
    <definedName name="INVESTIGATOR_INFORMATION" localSheetId="2">Metadata_PF_ShootHarvestData!$A$17</definedName>
    <definedName name="INVESTIGATOR_INFORMATION">#REF!</definedName>
    <definedName name="KEYWORD_INFORMATION" localSheetId="0">Metadata_PF_ShootHarvestData!$A$64</definedName>
    <definedName name="KEYWORD_INFORMATION" localSheetId="2">Metadata_PF_ShootHarvestData!$A$64</definedName>
    <definedName name="KEYWORD_INFORMATION">#REF!</definedName>
    <definedName name="KEYWORDS" localSheetId="0">Metadata_PF_ShootHarvestData!$A$65</definedName>
    <definedName name="KEYWORDS" localSheetId="2">Metadata_PF_ShootHarvestData!$A$65</definedName>
    <definedName name="KEYWORDS">#REF!</definedName>
    <definedName name="Last_Name" localSheetId="0">Metadata_PF_ShootHarvestData!$A$21</definedName>
    <definedName name="Last_Name" localSheetId="2">Metadata_PF_ShootHarvestData!$A$21</definedName>
    <definedName name="Last_Name">#REF!</definedName>
    <definedName name="Latitude" localSheetId="0">Metadata_PF_ShootHarvestData!$A$56</definedName>
    <definedName name="Latitude" localSheetId="2">Metadata_PF_ShootHarvestData!$A$56</definedName>
    <definedName name="Latitude">#REF!</definedName>
    <definedName name="Link_to_Google_Map">Metadata_PF_ShootHarvestData!$A$59</definedName>
    <definedName name="Location_Bounding_Box" localSheetId="0">Metadata_PF_ShootHarvestData!$A$50</definedName>
    <definedName name="Location_Bounding_Box" localSheetId="2">Metadata_PF_ShootHarvestData!$A$50</definedName>
    <definedName name="Location_Bounding_Box">#REF!</definedName>
    <definedName name="Location_Name" localSheetId="0">Metadata_PF_ShootHarvestData!$A$48</definedName>
    <definedName name="Location_Name" localSheetId="2">Metadata_PF_ShootHarvestData!$A$48</definedName>
    <definedName name="Location_Name">#REF!</definedName>
    <definedName name="Log_of_Changes" localSheetId="0">Metadata_PF_ShootHarvestData!$A$41</definedName>
    <definedName name="Log_of_Changes" localSheetId="2">Metadata_PF_ShootHarvestData!$A$41</definedName>
    <definedName name="Log_of_Changes">#REF!</definedName>
    <definedName name="Longitude" localSheetId="0">Metadata_PF_ShootHarvestData!$A$57</definedName>
    <definedName name="Longitude" localSheetId="2">Metadata_PF_ShootHarvestData!$A$57</definedName>
    <definedName name="Longitude">#REF!</definedName>
    <definedName name="LTER_Sites_number">'Sites(Do NOT Edit)'!$A$2:$A$638</definedName>
    <definedName name="Maintenance_Description" localSheetId="0">Metadata_PF_ShootHarvestData!$A$40</definedName>
    <definedName name="Maintenance_Description" localSheetId="2">Metadata_PF_ShootHarvestData!$A$40</definedName>
    <definedName name="Maintenance_Description">#REF!</definedName>
    <definedName name="Metacat_Package_ID" localSheetId="0">Metadata_PF_ShootHarvestData!$A$2</definedName>
    <definedName name="Metacat_Package_ID" localSheetId="2">Metadata_PF_ShootHarvestData!$A$2</definedName>
    <definedName name="Metacat_Package_ID">#REF!</definedName>
    <definedName name="METHODS" localSheetId="0">Metadata_PF_ShootHarvestData!$A$68</definedName>
    <definedName name="METHODS" localSheetId="2">Metadata_PF_ShootHarvestData!$A$68</definedName>
    <definedName name="METHODS">#REF!</definedName>
    <definedName name="Missing_Value_Code" localSheetId="0">Metadata_PF_ShootHarvestData!$G$203</definedName>
    <definedName name="Missing_Value_Code" localSheetId="2">Metadata_PF_ShootHarvestData!$G$203</definedName>
    <definedName name="Missing_Value_Code">#REF!</definedName>
    <definedName name="North_Bounding_Coordinate" localSheetId="0">Metadata_PF_ShootHarvestData!$A$53</definedName>
    <definedName name="North_Bounding_Coordinate" localSheetId="2">Metadata_PF_ShootHarvestData!$A$53</definedName>
    <definedName name="North_Bounding_Coordinate">#REF!</definedName>
    <definedName name="Number_of_Data_Records" localSheetId="0">Metadata_PF_ShootHarvestData!$A$36</definedName>
    <definedName name="Number_of_Data_Records" localSheetId="2">Metadata_PF_ShootHarvestData!$A$36</definedName>
    <definedName name="Number_of_Data_Records">#REF!</definedName>
    <definedName name="OR" localSheetId="0">Metadata_PF_ShootHarvestData!$A$194</definedName>
    <definedName name="OR" localSheetId="2">Metadata_PF_ShootHarvestData!$A$194</definedName>
    <definedName name="OR">#REF!</definedName>
    <definedName name="OR_if_single_point_location" localSheetId="0">Metadata_PF_ShootHarvestData!$A$55</definedName>
    <definedName name="OR_if_single_point_location" localSheetId="2">Metadata_PF_ShootHarvestData!$A$55</definedName>
    <definedName name="OR_if_single_point_location">#REF!</definedName>
    <definedName name="Organisms_studied" localSheetId="0">Metadata_PF_ShootHarvestData!$A$62</definedName>
    <definedName name="Organisms_studied" localSheetId="2">Metadata_PF_ShootHarvestData!$A$62</definedName>
    <definedName name="Organisms_studied">#REF!</definedName>
    <definedName name="Organization" localSheetId="0">Metadata_PF_ShootHarvestData!$A$22</definedName>
    <definedName name="Organization" localSheetId="2">Metadata_PF_ShootHarvestData!$A$22</definedName>
    <definedName name="Organization">#REF!</definedName>
    <definedName name="Other_Files_to_Reference" localSheetId="0">Metadata_PF_ShootHarvestData!$A$37</definedName>
    <definedName name="Other_Files_to_Reference" localSheetId="2">Metadata_PF_ShootHarvestData!$A$37</definedName>
    <definedName name="Other_Files_to_Reference">#REF!</definedName>
    <definedName name="Protocol_Document" localSheetId="0">Metadata_PF_ShootHarvestData!$A$195</definedName>
    <definedName name="Protocol_Document" localSheetId="2">Metadata_PF_ShootHarvestData!$A$195</definedName>
    <definedName name="Protocol_Document">#REF!</definedName>
    <definedName name="Protocol_Title" localSheetId="0">Metadata_PF_ShootHarvestData!$A$192</definedName>
    <definedName name="Protocol_Title" localSheetId="2">Metadata_PF_ShootHarvestData!$A$192</definedName>
    <definedName name="Protocol_Title">#REF!</definedName>
    <definedName name="Quality_Control_Information" localSheetId="0">Metadata_PF_ShootHarvestData!$A$39</definedName>
    <definedName name="Quality_Control_Information" localSheetId="2">Metadata_PF_ShootHarvestData!$A$39</definedName>
    <definedName name="Quality_Control_Information">#REF!</definedName>
    <definedName name="RESEARCH_LOCATION" localSheetId="0">Metadata_PF_ShootHarvestData!$A$47</definedName>
    <definedName name="RESEARCH_LOCATION" localSheetId="2">Metadata_PF_ShootHarvestData!$A$47</definedName>
    <definedName name="RESEARCH_LOCATION">#REF!</definedName>
    <definedName name="Role" localSheetId="0">Metadata_PF_ShootHarvestData!$A$18</definedName>
    <definedName name="Role" localSheetId="2">Metadata_PF_ShootHarvestData!$A$18</definedName>
    <definedName name="Role">#REF!</definedName>
    <definedName name="Sampling_and_or_Lab_Protocols" localSheetId="0">Metadata_PF_ShootHarvestData!$A$191</definedName>
    <definedName name="Sampling_and_or_Lab_Protocols" localSheetId="2">Metadata_PF_ShootHarvestData!$A$191</definedName>
    <definedName name="Sampling_and_or_Lab_Protocols">#REF!</definedName>
    <definedName name="Site_name">'Sites(Do NOT Edit)'!$B$3:$B$638</definedName>
    <definedName name="Site_name_list">'Sites(Do NOT Edit)'!$B$2:$B$638</definedName>
    <definedName name="Sites">'Sites(Do NOT Edit)'!$A$3:$M$638</definedName>
    <definedName name="South_Bounding_Coordinate" localSheetId="0">Metadata_PF_ShootHarvestData!$A$54</definedName>
    <definedName name="South_Bounding_Coordinate" localSheetId="2">Metadata_PF_ShootHarvestData!$A$54</definedName>
    <definedName name="South_Bounding_Coordinate">#REF!</definedName>
    <definedName name="State" localSheetId="0">Metadata_PF_ShootHarvestData!$A$26</definedName>
    <definedName name="State" localSheetId="2">Metadata_PF_ShootHarvestData!$A$26</definedName>
    <definedName name="State">#REF!</definedName>
    <definedName name="TAXONOMIC_COVERAGE" localSheetId="0">Metadata_PF_ShootHarvestData!$A$61</definedName>
    <definedName name="TAXONOMIC_COVERAGE" localSheetId="2">Metadata_PF_ShootHarvestData!$A$61</definedName>
    <definedName name="TAXONOMIC_COVERAGE">#REF!</definedName>
    <definedName name="Units" localSheetId="0">Metadata_PF_ShootHarvestData!$D$203</definedName>
    <definedName name="Units" localSheetId="2">Metadata_PF_ShootHarvestData!$D$203</definedName>
    <definedName name="Units">#REF!</definedName>
    <definedName name="URL_of_online_Protocol" localSheetId="0">Metadata_PF_ShootHarvestData!$A$193</definedName>
    <definedName name="URL_of_online_Protocol" localSheetId="2">Metadata_PF_ShootHarvestData!$A$193</definedName>
    <definedName name="URL_of_online_Protocol">#REF!</definedName>
    <definedName name="Variable_Description" localSheetId="0">Metadata_PF_ShootHarvestData!$B$203</definedName>
    <definedName name="Variable_Description" localSheetId="2">Metadata_PF_ShootHarvestData!$B$203</definedName>
    <definedName name="Variable_Description">#REF!</definedName>
    <definedName name="VARIABLE_DESCRIPTIONS" localSheetId="0">Metadata_PF_ShootHarvestData!$A$202</definedName>
    <definedName name="VARIABLE_DESCRIPTIONS" localSheetId="2">Metadata_PF_ShootHarvestData!$A$202</definedName>
    <definedName name="VARIABLE_DESCRIPTIONS">#REF!</definedName>
    <definedName name="Variable_Name" localSheetId="0">Metadata_PF_ShootHarvestData!$A$203</definedName>
    <definedName name="Variable_Name" localSheetId="2">Metadata_PF_ShootHarvestData!$A$203</definedName>
    <definedName name="Variable_Name">#REF!</definedName>
    <definedName name="West_Bounding_Coordinate" localSheetId="0">Metadata_PF_ShootHarvestData!$A$51</definedName>
    <definedName name="West_Bounding_Coordinate" localSheetId="2">Metadata_PF_ShootHarvestData!$A$51</definedName>
    <definedName name="West_Bounding_Coordinate">#REF!</definedName>
    <definedName name="Year_Released_to_Public" localSheetId="0">Metadata_PF_ShootHarvestData!$A$3</definedName>
    <definedName name="Year_Released_to_Public" localSheetId="2">Metadata_PF_ShootHarvestData!$A$3</definedName>
    <definedName name="Year_Released_to_Public">#REF!</definedName>
    <definedName name="Zip_Code" localSheetId="0">Metadata_PF_ShootHarvestData!$A$27</definedName>
    <definedName name="Zip_Code" localSheetId="2">Metadata_PF_ShootHarvestData!$A$27</definedName>
    <definedName name="Zip_Code">#REF!</definedName>
  </definedNames>
  <calcPr calcId="145621"/>
</workbook>
</file>

<file path=xl/calcChain.xml><?xml version="1.0" encoding="utf-8"?>
<calcChain xmlns="http://schemas.openxmlformats.org/spreadsheetml/2006/main">
  <c r="M638" i="42" l="1"/>
  <c r="M637" i="42"/>
  <c r="M636" i="42"/>
  <c r="M635" i="42"/>
  <c r="M634" i="42"/>
  <c r="M633" i="42"/>
  <c r="M632" i="42"/>
  <c r="M631" i="42"/>
  <c r="M630" i="42"/>
  <c r="M629" i="42"/>
  <c r="M628" i="42"/>
  <c r="M627" i="42"/>
  <c r="M626" i="42"/>
  <c r="M625" i="42"/>
  <c r="M624" i="42"/>
  <c r="M623" i="42"/>
  <c r="M622" i="42"/>
  <c r="M621" i="42"/>
  <c r="M620" i="42"/>
  <c r="M619" i="42"/>
  <c r="M618" i="42"/>
  <c r="M617" i="42"/>
  <c r="M616" i="42"/>
  <c r="M615" i="42"/>
  <c r="M614" i="42"/>
  <c r="M613" i="42"/>
  <c r="M612" i="42"/>
  <c r="M611" i="42"/>
  <c r="M610" i="42"/>
  <c r="M609" i="42"/>
  <c r="M608" i="42"/>
  <c r="M607" i="42"/>
  <c r="M606" i="42"/>
  <c r="M605" i="42"/>
  <c r="M604" i="42"/>
  <c r="M603" i="42"/>
  <c r="M602" i="42"/>
  <c r="M601" i="42"/>
  <c r="M600" i="42"/>
  <c r="M599" i="42"/>
  <c r="M598" i="42"/>
  <c r="M597" i="42"/>
  <c r="M596" i="42"/>
  <c r="M595" i="42"/>
  <c r="M594" i="42"/>
  <c r="M593" i="42"/>
  <c r="M592" i="42"/>
  <c r="M591" i="42"/>
  <c r="M590" i="42"/>
  <c r="M589" i="42"/>
  <c r="M588" i="42"/>
  <c r="M587" i="42"/>
  <c r="M586" i="42"/>
  <c r="M585" i="42"/>
  <c r="M584" i="42"/>
  <c r="M583" i="42"/>
  <c r="M582" i="42"/>
  <c r="M581" i="42"/>
  <c r="M580" i="42"/>
  <c r="M579" i="42"/>
  <c r="M578" i="42"/>
  <c r="M577" i="42"/>
  <c r="M576" i="42"/>
  <c r="M575" i="42"/>
  <c r="M574" i="42"/>
  <c r="M573" i="42"/>
  <c r="M572" i="42"/>
  <c r="M571" i="42"/>
  <c r="M570" i="42"/>
  <c r="M569" i="42"/>
  <c r="M568" i="42"/>
  <c r="M567" i="42"/>
  <c r="M566" i="42"/>
  <c r="M565" i="42"/>
  <c r="M564" i="42"/>
  <c r="M563" i="42"/>
  <c r="M562" i="42"/>
  <c r="M561" i="42"/>
  <c r="M560" i="42"/>
  <c r="M559" i="42"/>
  <c r="M558" i="42"/>
  <c r="M557" i="42"/>
  <c r="M556" i="42"/>
  <c r="M555" i="42"/>
  <c r="M554" i="42"/>
  <c r="M553" i="42"/>
  <c r="M552" i="42"/>
  <c r="M551" i="42"/>
  <c r="M550" i="42"/>
  <c r="M549" i="42"/>
  <c r="M548" i="42"/>
  <c r="M547" i="42"/>
  <c r="M546" i="42"/>
  <c r="M545" i="42"/>
  <c r="M544" i="42"/>
  <c r="M543" i="42"/>
  <c r="M542" i="42"/>
  <c r="M541" i="42"/>
  <c r="M540" i="42"/>
  <c r="M539" i="42"/>
  <c r="M538" i="42"/>
  <c r="M537" i="42"/>
  <c r="M536" i="42"/>
  <c r="M535" i="42"/>
  <c r="M534" i="42"/>
  <c r="M533" i="42"/>
  <c r="M532" i="42"/>
  <c r="M531" i="42"/>
  <c r="M530" i="42"/>
  <c r="M529" i="42"/>
  <c r="M528" i="42"/>
  <c r="M527" i="42"/>
  <c r="M526" i="42"/>
  <c r="M525" i="42"/>
  <c r="M524" i="42"/>
  <c r="M523" i="42"/>
  <c r="M522" i="42"/>
  <c r="M521" i="42"/>
  <c r="M520" i="42"/>
  <c r="M519" i="42"/>
  <c r="M518" i="42"/>
  <c r="M517" i="42"/>
  <c r="M516" i="42"/>
  <c r="M515" i="42"/>
  <c r="M514" i="42"/>
  <c r="M513" i="42"/>
  <c r="M512" i="42"/>
  <c r="M511" i="42"/>
  <c r="M510" i="42"/>
  <c r="M509" i="42"/>
  <c r="M508" i="42"/>
  <c r="M507" i="42"/>
  <c r="M506" i="42"/>
  <c r="M505" i="42"/>
  <c r="M504" i="42"/>
  <c r="M503" i="42"/>
  <c r="M502" i="42"/>
  <c r="M501" i="42"/>
  <c r="M500" i="42"/>
  <c r="M499" i="42"/>
  <c r="M498" i="42"/>
  <c r="M497" i="42"/>
  <c r="M496" i="42"/>
  <c r="M495" i="42"/>
  <c r="M494" i="42"/>
  <c r="M493" i="42"/>
  <c r="M492" i="42"/>
  <c r="M491" i="42"/>
  <c r="M490" i="42"/>
  <c r="M489" i="42"/>
  <c r="M488" i="42"/>
  <c r="M487" i="42"/>
  <c r="M486" i="42"/>
  <c r="M485" i="42"/>
  <c r="M484" i="42"/>
  <c r="M483" i="42"/>
  <c r="M482" i="42"/>
  <c r="M481" i="42"/>
  <c r="M480" i="42"/>
  <c r="M479" i="42"/>
  <c r="M478" i="42"/>
  <c r="M477" i="42"/>
  <c r="M476" i="42"/>
  <c r="M475" i="42"/>
  <c r="M474" i="42"/>
  <c r="M473" i="42"/>
  <c r="M472" i="42"/>
  <c r="M471" i="42"/>
  <c r="M470" i="42"/>
  <c r="M469" i="42"/>
  <c r="M468" i="42"/>
  <c r="M467" i="42"/>
  <c r="M466" i="42"/>
  <c r="M465" i="42"/>
  <c r="M464" i="42"/>
  <c r="M463" i="42"/>
  <c r="M462" i="42"/>
  <c r="M461" i="42"/>
  <c r="M460" i="42"/>
  <c r="M459" i="42"/>
  <c r="M458" i="42"/>
  <c r="M457" i="42"/>
  <c r="M456" i="42"/>
  <c r="M455" i="42"/>
  <c r="M454" i="42"/>
  <c r="M453" i="42"/>
  <c r="M452" i="42"/>
  <c r="M451" i="42"/>
  <c r="M450" i="42"/>
  <c r="M449" i="42"/>
  <c r="M448" i="42"/>
  <c r="M447" i="42"/>
  <c r="M446" i="42"/>
  <c r="M445" i="42"/>
  <c r="M444" i="42"/>
  <c r="M443" i="42"/>
  <c r="M442" i="42"/>
  <c r="M441" i="42"/>
  <c r="M440" i="42"/>
  <c r="M439" i="42"/>
  <c r="M438" i="42"/>
  <c r="M437" i="42"/>
  <c r="M436" i="42"/>
  <c r="M435" i="42"/>
  <c r="N434" i="42"/>
  <c r="M434" i="42"/>
  <c r="N433" i="42"/>
  <c r="M433" i="42"/>
  <c r="N432" i="42"/>
  <c r="M432" i="42"/>
  <c r="N431" i="42"/>
  <c r="M431" i="42"/>
  <c r="N430" i="42"/>
  <c r="M430" i="42"/>
  <c r="N429" i="42"/>
  <c r="M429" i="42"/>
  <c r="N428" i="42"/>
  <c r="M428" i="42"/>
  <c r="N427" i="42"/>
  <c r="M427" i="42"/>
  <c r="N426" i="42"/>
  <c r="M426" i="42"/>
  <c r="N425" i="42"/>
  <c r="M425" i="42"/>
  <c r="N424" i="42"/>
  <c r="M424" i="42"/>
  <c r="N423" i="42"/>
  <c r="M423" i="42"/>
  <c r="N422" i="42"/>
  <c r="M422" i="42"/>
  <c r="N421" i="42"/>
  <c r="M421" i="42"/>
  <c r="N420" i="42"/>
  <c r="M420" i="42"/>
  <c r="N419" i="42"/>
  <c r="M419" i="42"/>
  <c r="N418" i="42"/>
  <c r="M418" i="42"/>
  <c r="N417" i="42"/>
  <c r="M417" i="42"/>
  <c r="N416" i="42"/>
  <c r="M416" i="42"/>
  <c r="N415" i="42"/>
  <c r="M415" i="42"/>
  <c r="N414" i="42"/>
  <c r="M414" i="42"/>
  <c r="N413" i="42"/>
  <c r="M413" i="42"/>
  <c r="N412" i="42"/>
  <c r="M412" i="42"/>
  <c r="N411" i="42"/>
  <c r="M411" i="42"/>
  <c r="N410" i="42"/>
  <c r="M410" i="42"/>
  <c r="N409" i="42"/>
  <c r="M409" i="42"/>
  <c r="N408" i="42"/>
  <c r="M408" i="42"/>
  <c r="N407" i="42"/>
  <c r="M407" i="42"/>
  <c r="N406" i="42"/>
  <c r="M406" i="42"/>
  <c r="N405" i="42"/>
  <c r="M405" i="42"/>
  <c r="N404" i="42"/>
  <c r="M404" i="42"/>
  <c r="N403" i="42"/>
  <c r="M403" i="42"/>
  <c r="N402" i="42"/>
  <c r="M402" i="42"/>
  <c r="N401" i="42"/>
  <c r="M401" i="42"/>
  <c r="N400" i="42"/>
  <c r="M400" i="42"/>
  <c r="N399" i="42"/>
  <c r="M399" i="42"/>
  <c r="N398" i="42"/>
  <c r="M398" i="42"/>
  <c r="N397" i="42"/>
  <c r="M397" i="42"/>
  <c r="N396" i="42"/>
  <c r="M396" i="42"/>
  <c r="N395" i="42"/>
  <c r="M395" i="42"/>
  <c r="N394" i="42"/>
  <c r="M394" i="42"/>
  <c r="N393" i="42"/>
  <c r="M393" i="42"/>
  <c r="N392" i="42"/>
  <c r="M392" i="42"/>
  <c r="N391" i="42"/>
  <c r="M391" i="42"/>
  <c r="N390" i="42"/>
  <c r="M390" i="42"/>
  <c r="N389" i="42"/>
  <c r="M389" i="42"/>
  <c r="N388" i="42"/>
  <c r="M388" i="42"/>
  <c r="N387" i="42"/>
  <c r="M387" i="42"/>
  <c r="N386" i="42"/>
  <c r="M386" i="42"/>
  <c r="N385" i="42"/>
  <c r="M385" i="42"/>
  <c r="N384" i="42"/>
  <c r="M384" i="42"/>
  <c r="N383" i="42"/>
  <c r="M383" i="42"/>
  <c r="N382" i="42"/>
  <c r="M382" i="42"/>
  <c r="N381" i="42"/>
  <c r="M381" i="42"/>
  <c r="N380" i="42"/>
  <c r="M380" i="42"/>
  <c r="N379" i="42"/>
  <c r="M379" i="42"/>
  <c r="N378" i="42"/>
  <c r="M378" i="42"/>
  <c r="N377" i="42"/>
  <c r="M377" i="42"/>
  <c r="N376" i="42"/>
  <c r="M376" i="42"/>
  <c r="N375" i="42"/>
  <c r="M375" i="42"/>
  <c r="N374" i="42"/>
  <c r="M374" i="42"/>
  <c r="N373" i="42"/>
  <c r="M373" i="42"/>
  <c r="N372" i="42"/>
  <c r="M372" i="42"/>
  <c r="N371" i="42"/>
  <c r="M371" i="42"/>
  <c r="N370" i="42"/>
  <c r="M370" i="42"/>
  <c r="N369" i="42"/>
  <c r="M369" i="42"/>
  <c r="N368" i="42"/>
  <c r="M368" i="42"/>
  <c r="N367" i="42"/>
  <c r="M367" i="42"/>
  <c r="N366" i="42"/>
  <c r="M366" i="42"/>
  <c r="N365" i="42"/>
  <c r="M365" i="42"/>
  <c r="N364" i="42"/>
  <c r="M364" i="42"/>
  <c r="N363" i="42"/>
  <c r="M363" i="42"/>
  <c r="N362" i="42"/>
  <c r="M362" i="42"/>
  <c r="N361" i="42"/>
  <c r="M361" i="42"/>
  <c r="N360" i="42"/>
  <c r="M360" i="42"/>
  <c r="N359" i="42"/>
  <c r="M359" i="42"/>
  <c r="N358" i="42"/>
  <c r="M358" i="42"/>
  <c r="N357" i="42"/>
  <c r="M357" i="42"/>
  <c r="N356" i="42"/>
  <c r="M356" i="42"/>
  <c r="M355" i="42"/>
  <c r="M354" i="42"/>
  <c r="M353" i="42"/>
  <c r="M352" i="42"/>
  <c r="M351" i="42"/>
  <c r="M350" i="42"/>
  <c r="M349" i="42"/>
  <c r="M348" i="42"/>
  <c r="M347" i="42"/>
  <c r="M346" i="42"/>
  <c r="M345" i="42"/>
  <c r="M344" i="42"/>
  <c r="M343" i="42"/>
  <c r="M342" i="42"/>
  <c r="M341" i="42"/>
  <c r="M340" i="42"/>
  <c r="M339" i="42"/>
  <c r="M338" i="42"/>
  <c r="M337" i="42"/>
  <c r="M336" i="42"/>
  <c r="M335" i="42"/>
  <c r="M334" i="42"/>
  <c r="M333" i="42"/>
  <c r="M332" i="42"/>
  <c r="M331" i="42"/>
  <c r="M330" i="42"/>
  <c r="M329" i="42"/>
  <c r="M328" i="42"/>
  <c r="M327" i="42"/>
  <c r="M326" i="42"/>
  <c r="M325" i="42"/>
  <c r="M324" i="42"/>
  <c r="M323" i="42"/>
  <c r="M322" i="42"/>
  <c r="M321" i="42"/>
  <c r="M320" i="42"/>
  <c r="M319" i="42"/>
  <c r="M318" i="42"/>
  <c r="M317" i="42"/>
  <c r="M316" i="42"/>
  <c r="M315" i="42"/>
  <c r="M314" i="42"/>
  <c r="M313" i="42"/>
  <c r="M312" i="42"/>
  <c r="M311" i="42"/>
  <c r="M310" i="42"/>
  <c r="M309" i="42"/>
  <c r="M308" i="42"/>
  <c r="M307" i="42"/>
  <c r="M306" i="42"/>
  <c r="M305" i="42"/>
  <c r="M304" i="42"/>
  <c r="M303" i="42"/>
  <c r="M302" i="42"/>
  <c r="M301" i="42"/>
  <c r="M300" i="42"/>
  <c r="M299" i="42"/>
  <c r="M298" i="42"/>
  <c r="M297" i="42"/>
  <c r="M296" i="42"/>
  <c r="M295" i="42"/>
  <c r="M294" i="42"/>
  <c r="M293" i="42"/>
  <c r="M292" i="42"/>
  <c r="M291" i="42"/>
  <c r="M290" i="42"/>
  <c r="M289" i="42"/>
  <c r="M288" i="42"/>
  <c r="M287" i="42"/>
  <c r="M286" i="42"/>
  <c r="M285" i="42"/>
  <c r="M284" i="42"/>
  <c r="M283" i="42"/>
  <c r="M282" i="42"/>
  <c r="M281" i="42"/>
  <c r="M280" i="42"/>
  <c r="M279" i="42"/>
  <c r="M278" i="42"/>
  <c r="M277" i="42"/>
  <c r="M276" i="42"/>
  <c r="M275" i="42"/>
  <c r="M274" i="42"/>
  <c r="M273" i="42"/>
  <c r="M272" i="42"/>
  <c r="M271" i="42"/>
  <c r="M270" i="42"/>
  <c r="M269" i="42"/>
  <c r="M268" i="42"/>
  <c r="M267" i="42"/>
  <c r="M266" i="42"/>
  <c r="M265" i="42"/>
  <c r="M264" i="42"/>
  <c r="M263" i="42"/>
  <c r="M262" i="42"/>
  <c r="M261" i="42"/>
  <c r="M260" i="42"/>
  <c r="M259" i="42"/>
  <c r="M258" i="42"/>
  <c r="M257" i="42"/>
  <c r="M256" i="42"/>
  <c r="M255" i="42"/>
  <c r="M254" i="42"/>
  <c r="M253" i="42"/>
  <c r="M252" i="42"/>
  <c r="M251" i="42"/>
  <c r="M250" i="42"/>
  <c r="M249" i="42"/>
  <c r="M248" i="42"/>
  <c r="M247" i="42"/>
  <c r="M246" i="42"/>
  <c r="M245" i="42"/>
  <c r="M244" i="42"/>
  <c r="M243" i="42"/>
  <c r="M242" i="42"/>
  <c r="M241" i="42"/>
  <c r="M240" i="42"/>
  <c r="M239" i="42"/>
  <c r="M238" i="42"/>
  <c r="M237" i="42"/>
  <c r="M236" i="42"/>
  <c r="M235" i="42"/>
  <c r="M234" i="42"/>
  <c r="M233" i="42"/>
  <c r="M232" i="42"/>
  <c r="M231" i="42"/>
  <c r="M230" i="42"/>
  <c r="M229" i="42"/>
  <c r="M228" i="42"/>
  <c r="M227" i="42"/>
  <c r="M226" i="42"/>
  <c r="M225" i="42"/>
  <c r="M224" i="42"/>
  <c r="M223" i="42"/>
  <c r="M222" i="42"/>
  <c r="M221" i="42"/>
  <c r="M220" i="42"/>
  <c r="M219" i="42"/>
  <c r="M218" i="42"/>
  <c r="M217" i="42"/>
  <c r="M216" i="42"/>
  <c r="M215" i="42"/>
  <c r="M214" i="42"/>
  <c r="M213" i="42"/>
  <c r="M212" i="42"/>
  <c r="M211" i="42"/>
  <c r="M210" i="42"/>
  <c r="M209" i="42"/>
  <c r="M208" i="42"/>
  <c r="M207" i="42"/>
  <c r="M206" i="42"/>
  <c r="M205" i="42"/>
  <c r="M204" i="42"/>
  <c r="M203" i="42"/>
  <c r="M202" i="42"/>
  <c r="M201" i="42"/>
  <c r="M200" i="42"/>
  <c r="N199" i="42"/>
  <c r="M199" i="42"/>
  <c r="N198" i="42"/>
  <c r="M198" i="42"/>
  <c r="N197" i="42"/>
  <c r="M197" i="42"/>
  <c r="N196" i="42"/>
  <c r="M196" i="42"/>
  <c r="N195" i="42"/>
  <c r="M195" i="42"/>
  <c r="N194" i="42"/>
  <c r="M194" i="42"/>
  <c r="N193" i="42"/>
  <c r="M193" i="42"/>
  <c r="N192" i="42"/>
  <c r="M192" i="42"/>
  <c r="N191" i="42"/>
  <c r="M191" i="42"/>
  <c r="N190" i="42"/>
  <c r="M190" i="42"/>
  <c r="N189" i="42"/>
  <c r="M189" i="42"/>
  <c r="N188" i="42"/>
  <c r="M188" i="42"/>
  <c r="N187" i="42"/>
  <c r="M187" i="42"/>
  <c r="N186" i="42"/>
  <c r="M186" i="42"/>
  <c r="N185" i="42"/>
  <c r="M185" i="42"/>
  <c r="N184" i="42"/>
  <c r="M184" i="42"/>
  <c r="N183" i="42"/>
  <c r="M183" i="42"/>
  <c r="N182" i="42"/>
  <c r="M182" i="42"/>
  <c r="N181" i="42"/>
  <c r="M181" i="42"/>
  <c r="N180" i="42"/>
  <c r="M180" i="42"/>
  <c r="N179" i="42"/>
  <c r="M179" i="42"/>
  <c r="N178" i="42"/>
  <c r="M178" i="42"/>
  <c r="N177" i="42"/>
  <c r="M177" i="42"/>
  <c r="N176" i="42"/>
  <c r="M176" i="42"/>
  <c r="N175" i="42"/>
  <c r="M175" i="42"/>
  <c r="N174" i="42"/>
  <c r="M174" i="42"/>
  <c r="N173" i="42"/>
  <c r="M173" i="42"/>
  <c r="N172" i="42"/>
  <c r="M172" i="42"/>
  <c r="N171" i="42"/>
  <c r="M171" i="42"/>
  <c r="N170" i="42"/>
  <c r="M170" i="42"/>
  <c r="N169" i="42"/>
  <c r="M169" i="42"/>
  <c r="N168" i="42"/>
  <c r="M168" i="42"/>
  <c r="N167" i="42"/>
  <c r="M167" i="42"/>
  <c r="M166" i="42"/>
  <c r="M165" i="42"/>
  <c r="M164" i="42"/>
  <c r="M163" i="42"/>
  <c r="M162" i="42"/>
  <c r="M161" i="42"/>
  <c r="M160" i="42"/>
  <c r="M159" i="42"/>
  <c r="M158" i="42"/>
  <c r="M157" i="42"/>
  <c r="M156" i="42"/>
  <c r="M155" i="42"/>
  <c r="M154" i="42"/>
  <c r="M153" i="42"/>
  <c r="M152" i="42"/>
  <c r="M151" i="42"/>
  <c r="M150" i="42"/>
  <c r="M149" i="42"/>
  <c r="M148" i="42"/>
  <c r="M147" i="42"/>
  <c r="M146" i="42"/>
  <c r="M145" i="42"/>
  <c r="M144" i="42"/>
  <c r="M143" i="42"/>
  <c r="M142" i="42"/>
  <c r="M141" i="42"/>
  <c r="M140" i="42"/>
  <c r="M139" i="42"/>
  <c r="M138" i="42"/>
  <c r="M137" i="42"/>
  <c r="M136" i="42"/>
  <c r="M135" i="42"/>
  <c r="M134" i="42"/>
  <c r="M133" i="42"/>
  <c r="M132" i="42"/>
  <c r="M131" i="42"/>
  <c r="M130" i="42"/>
  <c r="M129" i="42"/>
  <c r="M128" i="42"/>
  <c r="M127" i="42"/>
  <c r="M126" i="42"/>
  <c r="M125" i="42"/>
  <c r="M124" i="42"/>
  <c r="M123" i="42"/>
  <c r="M122" i="42"/>
  <c r="M121" i="42"/>
  <c r="M120" i="42"/>
  <c r="M119" i="42"/>
  <c r="M118" i="42"/>
  <c r="M117" i="42"/>
  <c r="M116" i="42"/>
  <c r="M115" i="42"/>
  <c r="M114" i="42"/>
  <c r="M113" i="42"/>
  <c r="M112" i="42"/>
  <c r="M111" i="42"/>
  <c r="M110" i="42"/>
  <c r="M109" i="42"/>
  <c r="M108" i="42"/>
  <c r="M107" i="42"/>
  <c r="M106" i="42"/>
  <c r="M105" i="42"/>
  <c r="M104" i="42"/>
  <c r="M103" i="42"/>
  <c r="M102" i="42"/>
  <c r="M101" i="42"/>
  <c r="M100" i="42"/>
  <c r="M99" i="42"/>
  <c r="M98" i="42"/>
  <c r="M97" i="42"/>
  <c r="M96" i="42"/>
  <c r="M95" i="42"/>
  <c r="M94" i="42"/>
  <c r="M93" i="42"/>
  <c r="M92" i="42"/>
  <c r="M91" i="42"/>
  <c r="M90" i="42"/>
  <c r="M89" i="42"/>
  <c r="M88" i="42"/>
  <c r="M87" i="42"/>
  <c r="M86" i="42"/>
  <c r="M85" i="42"/>
  <c r="M84" i="42"/>
  <c r="M83" i="42"/>
  <c r="M82" i="42"/>
  <c r="M81" i="42"/>
  <c r="M80" i="42"/>
  <c r="M79" i="42"/>
  <c r="M78" i="42"/>
  <c r="M77" i="42"/>
  <c r="M76" i="42"/>
  <c r="M75" i="42"/>
  <c r="M74" i="42"/>
  <c r="M73" i="42"/>
  <c r="M72" i="42"/>
  <c r="M71" i="42"/>
  <c r="M70" i="42"/>
  <c r="M69" i="42"/>
  <c r="M68" i="42"/>
  <c r="M67" i="42"/>
  <c r="M66" i="42"/>
  <c r="M65" i="42"/>
  <c r="M64" i="42"/>
  <c r="M63" i="42"/>
  <c r="M62" i="42"/>
  <c r="M61" i="42"/>
  <c r="M60" i="42"/>
  <c r="M59" i="42"/>
  <c r="M58" i="42"/>
  <c r="M57" i="42"/>
  <c r="M56" i="42"/>
  <c r="M55" i="42"/>
  <c r="M54" i="42"/>
  <c r="M53" i="42"/>
  <c r="M52" i="42"/>
  <c r="M51" i="42"/>
  <c r="M50" i="42"/>
  <c r="M49" i="42"/>
  <c r="M48" i="42"/>
  <c r="M47" i="42"/>
  <c r="M46" i="42"/>
  <c r="M45" i="42"/>
  <c r="M44" i="42"/>
  <c r="M43" i="42"/>
  <c r="M42" i="42"/>
  <c r="M41" i="42"/>
  <c r="M40" i="42"/>
  <c r="M39" i="42"/>
  <c r="M38" i="42"/>
  <c r="M37" i="42"/>
  <c r="M36" i="42"/>
  <c r="M35" i="42"/>
  <c r="M34" i="42"/>
  <c r="M33" i="42"/>
  <c r="M32" i="42"/>
  <c r="M31" i="42"/>
  <c r="M30" i="42"/>
  <c r="M29" i="42"/>
  <c r="M28" i="42"/>
  <c r="M27" i="42"/>
  <c r="M26" i="42"/>
  <c r="M25" i="42"/>
  <c r="M24" i="42"/>
  <c r="M23" i="42"/>
  <c r="M22" i="42"/>
  <c r="M21" i="42"/>
  <c r="M20" i="42"/>
  <c r="M19" i="42"/>
  <c r="M18" i="42"/>
  <c r="M17" i="42"/>
  <c r="M16" i="42"/>
  <c r="M15" i="42"/>
  <c r="M14" i="42"/>
  <c r="M13" i="42"/>
  <c r="M12" i="42"/>
  <c r="M11" i="42"/>
  <c r="M10" i="42"/>
  <c r="M9" i="42"/>
  <c r="M8" i="42"/>
  <c r="M7" i="42"/>
  <c r="M6" i="42"/>
  <c r="M5" i="42"/>
  <c r="M4" i="42"/>
  <c r="M3" i="42"/>
  <c r="D49" i="41"/>
  <c r="E49" i="41"/>
  <c r="F49" i="41"/>
  <c r="G49" i="41"/>
  <c r="H49" i="41"/>
  <c r="I49" i="41"/>
  <c r="D56" i="41"/>
  <c r="D59" i="41" s="1"/>
  <c r="E56" i="41"/>
  <c r="E59" i="41" s="1"/>
  <c r="F56" i="41"/>
  <c r="F59" i="41" s="1"/>
  <c r="G56" i="41"/>
  <c r="G59" i="41" s="1"/>
  <c r="H56" i="41"/>
  <c r="H59" i="41" s="1"/>
  <c r="I56" i="41"/>
  <c r="I59" i="41" s="1"/>
  <c r="D57" i="41"/>
  <c r="E57" i="41"/>
  <c r="F57" i="41"/>
  <c r="G57" i="41"/>
  <c r="H57" i="41"/>
  <c r="I57" i="41"/>
  <c r="D58" i="41"/>
  <c r="E58" i="41"/>
  <c r="F58" i="41"/>
  <c r="G58" i="41"/>
  <c r="H58" i="41"/>
  <c r="I58" i="41"/>
  <c r="B59" i="41"/>
  <c r="C59" i="41"/>
  <c r="AO25" i="4"/>
  <c r="AI25" i="4"/>
  <c r="S25" i="4"/>
  <c r="AO24" i="4"/>
  <c r="AI24" i="4"/>
  <c r="S24" i="4"/>
  <c r="AO23" i="4"/>
  <c r="AI23" i="4"/>
  <c r="AG23" i="4"/>
  <c r="S23" i="4"/>
  <c r="AO22" i="4"/>
  <c r="AI22" i="4"/>
  <c r="AG22" i="4"/>
  <c r="S22" i="4"/>
  <c r="AO21" i="4"/>
  <c r="AI21" i="4"/>
  <c r="AG21" i="4"/>
  <c r="S21" i="4"/>
  <c r="AO20" i="4"/>
  <c r="AI20" i="4"/>
  <c r="AG20" i="4"/>
  <c r="S20" i="4"/>
  <c r="AO19" i="4"/>
  <c r="AI19" i="4"/>
  <c r="AG19" i="4"/>
  <c r="AA19" i="4"/>
  <c r="S19" i="4"/>
  <c r="AO18" i="4"/>
  <c r="AI18" i="4"/>
  <c r="AG18" i="4"/>
  <c r="AA18" i="4"/>
  <c r="S18" i="4"/>
  <c r="AO17" i="4"/>
  <c r="AI17" i="4"/>
  <c r="AG17" i="4"/>
  <c r="AA17" i="4"/>
  <c r="S17" i="4"/>
  <c r="AO16" i="4"/>
  <c r="AI16" i="4"/>
  <c r="AG16" i="4"/>
  <c r="AA16" i="4"/>
  <c r="S16" i="4"/>
  <c r="Z18" i="4" l="1"/>
  <c r="Z17" i="4"/>
  <c r="Z19" i="4"/>
  <c r="Z16" i="4"/>
  <c r="AQ15" i="4"/>
  <c r="AO15" i="4" l="1"/>
  <c r="AI15" i="4"/>
  <c r="AG15" i="4"/>
  <c r="AA15" i="4"/>
  <c r="Z15" i="4" s="1"/>
  <c r="S15" i="4"/>
  <c r="AO14" i="4"/>
  <c r="AI14" i="4"/>
  <c r="AG14" i="4"/>
  <c r="AA14" i="4"/>
  <c r="S14" i="4"/>
  <c r="Z14" i="4" l="1"/>
</calcChain>
</file>

<file path=xl/comments1.xml><?xml version="1.0" encoding="utf-8"?>
<comments xmlns="http://schemas.openxmlformats.org/spreadsheetml/2006/main">
  <authors>
    <author>J Laundre</author>
    <author>jiml</author>
    <author xml:space="preserve"> Jim Laundre</author>
    <author>James Laundre</author>
    <author>powell</author>
    <author>Jim Laundre</author>
    <author>ruggem</author>
    <author>Field Description</author>
  </authors>
  <commentList>
    <comment ref="A2" authorId="0">
      <text>
        <r>
          <rPr>
            <sz val="8"/>
            <color indexed="81"/>
            <rFont val="Tahoma"/>
            <family val="2"/>
          </rPr>
          <t>A unique number assigned by the Information Manager 
for use with  Metacat server.  You DO NOT need to enter anything.</t>
        </r>
      </text>
    </comment>
    <comment ref="A3" authorId="0">
      <text>
        <r>
          <rPr>
            <sz val="8"/>
            <color indexed="81"/>
            <rFont val="Tahoma"/>
            <family val="2"/>
          </rPr>
          <t>Year of public release of the data. Filled out by the Information Manager.
  You DO NOT need to enter anything.</t>
        </r>
      </text>
    </comment>
    <comment ref="A4" authorId="1">
      <text>
        <r>
          <rPr>
            <b/>
            <sz val="8"/>
            <color indexed="81"/>
            <rFont val="Tahoma"/>
            <family val="2"/>
          </rPr>
          <t xml:space="preserve">This is the URL for the metadata file.  It is filled in by the Information Manager. You DO NOT need to enter anything.
</t>
        </r>
        <r>
          <rPr>
            <sz val="8"/>
            <color indexed="81"/>
            <rFont val="Tahoma"/>
            <family val="2"/>
          </rPr>
          <t xml:space="preserve">
</t>
        </r>
      </text>
    </comment>
    <comment ref="A5" authorId="0">
      <text>
        <r>
          <rPr>
            <b/>
            <sz val="8"/>
            <color indexed="81"/>
            <rFont val="Tahoma"/>
            <family val="2"/>
          </rPr>
          <t>A title for the dataset.  It should be less then 200 characters 
long and should describe the data collected, geographic context, 
research site, and time frame (</t>
        </r>
        <r>
          <rPr>
            <b/>
            <sz val="10"/>
            <color indexed="81"/>
            <rFont val="Tahoma"/>
            <family val="2"/>
          </rPr>
          <t>what, where, and when).</t>
        </r>
        <r>
          <rPr>
            <sz val="8"/>
            <color indexed="81"/>
            <rFont val="Tahoma"/>
            <family val="2"/>
          </rPr>
          <t xml:space="preserve">
For example: Soluble reactive phosphorus, ammonium, and nitrate data from the Kuparuk River, near Toolik Field Station, Alaska, summers 1990-2010.</t>
        </r>
      </text>
    </comment>
    <comment ref="B5" authorId="0">
      <text>
        <r>
          <rPr>
            <b/>
            <sz val="8"/>
            <color indexed="81"/>
            <rFont val="Tahoma"/>
            <family val="2"/>
          </rPr>
          <t>A title for the dataset.  It should be less then 200 characters 
long and should describe the data collected, geographic context, 
research site, and time frame (</t>
        </r>
        <r>
          <rPr>
            <b/>
            <sz val="10"/>
            <color indexed="81"/>
            <rFont val="Tahoma"/>
            <family val="2"/>
          </rPr>
          <t>what, where, and when).</t>
        </r>
        <r>
          <rPr>
            <sz val="8"/>
            <color indexed="81"/>
            <rFont val="Tahoma"/>
            <family val="2"/>
          </rPr>
          <t xml:space="preserve">
For example: Soluble reactive phosphorus, ammonium, and nitrate data from the Kuparuk River, near Toolik Field Station, Alaska, summers 1990-2010.</t>
        </r>
      </text>
    </comment>
    <comment ref="A6" authorId="0">
      <text>
        <r>
          <rPr>
            <b/>
            <sz val="8"/>
            <color indexed="81"/>
            <rFont val="Tahoma"/>
            <family val="2"/>
          </rPr>
          <t xml:space="preserve">Short, accurate explanation of the data set. Be informative since this is
used as the description in the web page index. Double click on the box 
to write or paste the information.  </t>
        </r>
        <r>
          <rPr>
            <sz val="8"/>
            <color indexed="81"/>
            <rFont val="Tahoma"/>
            <family val="2"/>
          </rPr>
          <t xml:space="preserve">
</t>
        </r>
      </text>
    </comment>
    <comment ref="B7" authorId="2">
      <text>
        <r>
          <rPr>
            <b/>
            <sz val="8"/>
            <color indexed="81"/>
            <rFont val="Tahoma"/>
            <family val="2"/>
          </rPr>
          <t xml:space="preserve"> Enter a short, accurate explanation of the dataset in the box below. Be informative since it is used as the description in the web page index. </t>
        </r>
      </text>
    </comment>
    <comment ref="A15" authorId="0">
      <text>
        <r>
          <rPr>
            <sz val="8"/>
            <color indexed="81"/>
            <rFont val="Tahoma"/>
            <family val="2"/>
          </rPr>
          <t xml:space="preserve">The dataset identifier is a unique label for the data set that 
is constructed from the file name without the file extension, 
followed by a version number, e.g. 1998dltlh.01.  If there are 
any changes made to the metadata or data files the version
 number is incremented and a note is added in the </t>
        </r>
        <r>
          <rPr>
            <b/>
            <sz val="8"/>
            <color indexed="81"/>
            <rFont val="Tahoma"/>
            <family val="2"/>
          </rPr>
          <t>Log of Changes</t>
        </r>
        <r>
          <rPr>
            <sz val="8"/>
            <color indexed="81"/>
            <rFont val="Tahoma"/>
            <family val="2"/>
          </rPr>
          <t xml:space="preserve"> section.
</t>
        </r>
      </text>
    </comment>
    <comment ref="B15" authorId="0">
      <text>
        <r>
          <rPr>
            <sz val="8"/>
            <color indexed="81"/>
            <rFont val="Tahoma"/>
            <family val="2"/>
          </rPr>
          <t xml:space="preserve">The dataset identifier is a unique label for the data set that 
is constructed from the file name without the file extension, 
followed by a version number, e.g. 1998dltlh.01.  If there are 
any changes made to the metadata or data files the version
 number is incremented and a note is added in the </t>
        </r>
        <r>
          <rPr>
            <b/>
            <sz val="8"/>
            <color indexed="81"/>
            <rFont val="Tahoma"/>
            <family val="2"/>
          </rPr>
          <t>Log of Changes</t>
        </r>
        <r>
          <rPr>
            <sz val="8"/>
            <color indexed="81"/>
            <rFont val="Tahoma"/>
            <family val="2"/>
          </rPr>
          <t xml:space="preserve"> section.
</t>
        </r>
      </text>
    </comment>
    <comment ref="A17" authorId="3">
      <text>
        <r>
          <rPr>
            <b/>
            <sz val="8"/>
            <color indexed="81"/>
            <rFont val="Tahoma"/>
            <family val="2"/>
          </rPr>
          <t xml:space="preserve">List here the name and address of the  persons associated with the data set.  The Owner role  identifies the person to be contacted for more information.
</t>
        </r>
        <r>
          <rPr>
            <b/>
            <sz val="8"/>
            <color indexed="10"/>
            <rFont val="Tahoma"/>
            <family val="2"/>
          </rPr>
          <t xml:space="preserve">
</t>
        </r>
      </text>
    </comment>
    <comment ref="A31" authorId="3">
      <text>
        <r>
          <rPr>
            <b/>
            <sz val="8"/>
            <color indexed="81"/>
            <rFont val="Tahoma"/>
            <family val="2"/>
          </rPr>
          <t xml:space="preserve">The format of the data file should always be ASCII comma delimited with a .csv extension. The first line of the data file MUST be  a comma delimited list of the variable names. A spreadsheet or database file may also be included, but it must have the first row with the variable names and only data below the names. </t>
        </r>
        <r>
          <rPr>
            <b/>
            <sz val="8"/>
            <color indexed="10"/>
            <rFont val="Tahoma"/>
            <family val="2"/>
          </rPr>
          <t>There can not be any other stray data on the sheet.</t>
        </r>
        <r>
          <rPr>
            <sz val="8"/>
            <color indexed="81"/>
            <rFont val="Tahoma"/>
            <family val="2"/>
          </rPr>
          <t xml:space="preserve">
NOTE: Change in file extension from .data to .csv starting in 2010.</t>
        </r>
      </text>
    </comment>
    <comment ref="A32" authorId="1">
      <text>
        <r>
          <rPr>
            <b/>
            <sz val="8"/>
            <color indexed="81"/>
            <rFont val="Tahoma"/>
            <family val="2"/>
          </rPr>
          <t>The URL for the data file that this metadata describes.  This will be fill in by the Information Manager.  You Do NOT need to fill in.</t>
        </r>
      </text>
    </comment>
    <comment ref="A33" authorId="3">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B33" authorId="3">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A34" authorId="3">
      <text>
        <r>
          <rPr>
            <b/>
            <sz val="8"/>
            <color indexed="81"/>
            <rFont val="Tahoma"/>
            <family val="2"/>
          </rPr>
          <t xml:space="preserve"> The date that data collection began for the dataset.</t>
        </r>
      </text>
    </comment>
    <comment ref="B34" authorId="3">
      <text>
        <r>
          <rPr>
            <b/>
            <sz val="8"/>
            <color indexed="81"/>
            <rFont val="Tahoma"/>
            <family val="2"/>
          </rPr>
          <t xml:space="preserve"> The date that data collection began for the dataset.</t>
        </r>
      </text>
    </comment>
    <comment ref="A35" authorId="0">
      <text>
        <r>
          <rPr>
            <b/>
            <sz val="8"/>
            <color indexed="81"/>
            <rFont val="Tahoma"/>
            <family val="2"/>
          </rPr>
          <t>The ending date of data collection.</t>
        </r>
        <r>
          <rPr>
            <sz val="8"/>
            <color indexed="81"/>
            <rFont val="Tahoma"/>
            <family val="2"/>
          </rPr>
          <t xml:space="preserve">
</t>
        </r>
      </text>
    </comment>
    <comment ref="B35" authorId="0">
      <text>
        <r>
          <rPr>
            <b/>
            <sz val="8"/>
            <color indexed="81"/>
            <rFont val="Tahoma"/>
            <family val="2"/>
          </rPr>
          <t>The ending date of data collection.</t>
        </r>
        <r>
          <rPr>
            <sz val="8"/>
            <color indexed="81"/>
            <rFont val="Tahoma"/>
            <family val="2"/>
          </rPr>
          <t xml:space="preserve">
</t>
        </r>
      </text>
    </comment>
    <comment ref="A36" authorId="4">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B36" authorId="4">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A37" authorId="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B37" authorId="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A38" authorId="3">
      <text>
        <r>
          <rPr>
            <b/>
            <sz val="8"/>
            <color indexed="81"/>
            <rFont val="Tahoma"/>
            <family val="2"/>
          </rPr>
          <t xml:space="preserve">Type of Availability Status 
Type 1: data available within 2-3 years with few or no restrictions. 
Type 2: in exceptional cases, data sets are available only with
 permission from the ARC LTER investigator. This status is 
rare and needs written justification.
</t>
        </r>
      </text>
    </comment>
    <comment ref="B38" authorId="3">
      <text>
        <r>
          <rPr>
            <b/>
            <sz val="8"/>
            <color indexed="81"/>
            <rFont val="Tahoma"/>
            <family val="2"/>
          </rPr>
          <t xml:space="preserve">Type of Availability Status 
Type 1: data available within 2-3 years with few or no restrictions. 
Type 2: in exceptional cases, data sets are available only with
 permission from the ARC LTER investigator. This status is 
rare and needs written justification.
</t>
        </r>
      </text>
    </comment>
    <comment ref="A39" authorId="4">
      <text>
        <r>
          <rPr>
            <sz val="8"/>
            <color indexed="81"/>
            <rFont val="Tahoma"/>
            <family val="2"/>
          </rPr>
          <t xml:space="preserve">A description of the Quality Control procedures that relate to the dataset. </t>
        </r>
      </text>
    </comment>
    <comment ref="B39" authorId="4">
      <text>
        <r>
          <rPr>
            <sz val="8"/>
            <color indexed="81"/>
            <rFont val="Tahoma"/>
            <family val="2"/>
          </rPr>
          <t xml:space="preserve">A description of the Quality Control procedures that relate to the dataset. </t>
        </r>
      </text>
    </comment>
    <comment ref="A40" authorId="4">
      <text>
        <r>
          <rPr>
            <sz val="8"/>
            <color indexed="81"/>
            <rFont val="Tahoma"/>
            <family val="2"/>
          </rPr>
          <t xml:space="preserve">A description of the maintenance of this data resource. 
This includes information about the frequency of update, 
and whether there is ongoing data collection. </t>
        </r>
      </text>
    </comment>
    <comment ref="B40" authorId="4">
      <text>
        <r>
          <rPr>
            <sz val="8"/>
            <color indexed="81"/>
            <rFont val="Tahoma"/>
            <family val="2"/>
          </rPr>
          <t xml:space="preserve">A description of the maintenance of this data resource. 
This includes information about the frequency of update, 
and whether there is ongoing data collection. </t>
        </r>
      </text>
    </comment>
    <comment ref="A41" authorId="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B41" authorId="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A47" authorId="3">
      <text>
        <r>
          <rPr>
            <b/>
            <sz val="8"/>
            <color indexed="81"/>
            <rFont val="Tahoma"/>
            <family val="2"/>
          </rPr>
          <t xml:space="preserve">The name of the sampling location or site number (from the official ARC 
LTER site list),  a description, latitude and longitude if you have it. 
Remember to include not only the name, but, when necessary, details 
and descriptions of the sampling location. Examples would be: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
If the location is best described by a bounding box then enter the coordinates in decimal 
degrees below.  If the location is known by a single latitude and longitude 
then enter the coordinates in the latitude and longitude cells below.
</t>
        </r>
      </text>
    </comment>
    <comment ref="A48" authorId="3">
      <text>
        <r>
          <rPr>
            <b/>
            <sz val="8"/>
            <color indexed="81"/>
            <rFont val="Tahoma"/>
            <family val="2"/>
          </rPr>
          <t xml:space="preserve">The name of the sampling location or site number (from the official ARC 
LTER site list).  If the site is not in the Arctic LTER site list then enter a 
new name. The description, latitude and longitude should also be filled in.  
If the location is best described by a bounding box  enter the coordinates in  below.  If the location is known by a single latitude and longitude 
then enter the coordinates in the latitude and longitude cells below. ALL in </t>
        </r>
        <r>
          <rPr>
            <b/>
            <sz val="8"/>
            <color indexed="39"/>
            <rFont val="Tahoma"/>
            <family val="2"/>
          </rPr>
          <t>decimal 
degrees.</t>
        </r>
        <r>
          <rPr>
            <b/>
            <sz val="8"/>
            <color indexed="81"/>
            <rFont val="Tahoma"/>
            <family val="2"/>
          </rPr>
          <t xml:space="preserve">
</t>
        </r>
      </text>
    </comment>
    <comment ref="B48" authorId="1">
      <text>
        <r>
          <rPr>
            <b/>
            <sz val="9"/>
            <color indexed="81"/>
            <rFont val="Tahoma"/>
            <family val="2"/>
          </rPr>
          <t xml:space="preserve">The name of the sampling location or site number (from the official ARC LTER site list) see the "ARC LTER sites" worksheet Or enter a new site here.
</t>
        </r>
      </text>
    </comment>
    <comment ref="A49"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B49"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49"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D49"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E49"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F49"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G49"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H49"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I49"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51"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51"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51"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51"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51"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51"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51"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51"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52"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52"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52"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52"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52"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52"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52"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52"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53"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B53"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C53"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D53"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E53"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F53"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G53"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H53"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A54"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B54"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C54"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D54"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E54"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F54"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G54"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H54"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A56"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B56"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56"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D56"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E56"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F56"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G56"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H56"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A57"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57"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57"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D57"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E57"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F57"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G57"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H57"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58"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59" authorId="1">
      <text>
        <r>
          <rPr>
            <b/>
            <sz val="9"/>
            <color indexed="81"/>
            <rFont val="Tahoma"/>
            <family val="2"/>
          </rPr>
          <t>This link is generated by a formula using the lat long.  It's a way oc checking the values entered.</t>
        </r>
      </text>
    </comment>
    <comment ref="A62" authorId="5">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B62" authorId="5">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A65" authorId="3">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separated keywords by a semicolon or comma. 
</t>
        </r>
      </text>
    </comment>
    <comment ref="B65" authorId="3">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separated keywords by a semicolon or comma. 
</t>
        </r>
      </text>
    </comment>
    <comment ref="A68" authorId="3">
      <text>
        <r>
          <rPr>
            <b/>
            <sz val="8"/>
            <color indexed="81"/>
            <rFont val="Tahoma"/>
            <family val="2"/>
          </rPr>
          <t xml:space="preserve">The description of methods and research site should be fairly detailed and 
include any literature references (including author, title, journal and page 
numbers) pertaining to the methods. 
Include a Notes: section if appropriate.  Click on the box and paste or type 
the needed information. </t>
        </r>
      </text>
    </comment>
    <comment ref="A192" authorId="5">
      <text>
        <r>
          <rPr>
            <b/>
            <sz val="8"/>
            <color indexed="81"/>
            <rFont val="Tahoma"/>
            <family val="2"/>
          </rPr>
          <t>Enter a title of the protocols used. 
Then enter below the URL for online protocol documents or enter the protocol  document in the textbox . 
Be as complete as possible  including the version used.  
Note any deviation from the protocols in the methods section.</t>
        </r>
      </text>
    </comment>
    <comment ref="A193" authorId="0">
      <text>
        <r>
          <rPr>
            <b/>
            <sz val="8"/>
            <color indexed="81"/>
            <rFont val="Tahoma"/>
            <family val="2"/>
          </rPr>
          <t>List the URL to an online protocol document.</t>
        </r>
      </text>
    </comment>
    <comment ref="A195" authorId="0">
      <text>
        <r>
          <rPr>
            <b/>
            <sz val="8"/>
            <color indexed="81"/>
            <rFont val="Tahoma"/>
            <family val="2"/>
          </rPr>
          <t>Describe the protocol used. Be as complete as possible.  Include any references and deviations used from references.</t>
        </r>
      </text>
    </comment>
    <comment ref="A202" authorId="3">
      <text>
        <r>
          <rPr>
            <b/>
            <sz val="8"/>
            <color indexed="81"/>
            <rFont val="Tahoma"/>
            <family val="2"/>
          </rPr>
          <t>This section describes the variables in the data set. Please be as complete as necessary.</t>
        </r>
      </text>
    </comment>
    <comment ref="A203" authorId="3">
      <text>
        <r>
          <rPr>
            <sz val="8"/>
            <color indexed="81"/>
            <rFont val="Tahoma"/>
            <family val="2"/>
          </rPr>
          <t xml:space="preserve">   Add rows as needed with a separated row for each variable name. The variables </t>
        </r>
        <r>
          <rPr>
            <sz val="8"/>
            <color indexed="10"/>
            <rFont val="Tahoma"/>
            <family val="2"/>
          </rPr>
          <t>Date</t>
        </r>
        <r>
          <rPr>
            <sz val="8"/>
            <color indexed="81"/>
            <rFont val="Tahoma"/>
            <family val="2"/>
          </rPr>
          <t xml:space="preserve"> and </t>
        </r>
        <r>
          <rPr>
            <sz val="8"/>
            <color indexed="10"/>
            <rFont val="Tahoma"/>
            <family val="2"/>
          </rPr>
          <t>Comments</t>
        </r>
        <r>
          <rPr>
            <sz val="8"/>
            <color indexed="81"/>
            <rFont val="Tahoma"/>
            <family val="2"/>
          </rPr>
          <t xml:space="preserve"> must be
 included in every data file.
    </t>
        </r>
        <r>
          <rPr>
            <sz val="8"/>
            <color indexed="10"/>
            <rFont val="Tahoma"/>
            <family val="2"/>
          </rPr>
          <t>Date</t>
        </r>
        <r>
          <rPr>
            <sz val="8"/>
            <color indexed="81"/>
            <rFont val="Tahoma"/>
            <family val="2"/>
          </rPr>
          <t xml:space="preserve"> should be in the format DD-MMM-YYYY (i.e. 01-Jun-1988). This format avoids confusion between Canadian 
and USA forms of dates.  
    Comments must be the last column in the file, and includes any additional information about individual data points. 
All Comments for a data point must be entered on a single line, which can be no longer than 250 characters. </t>
        </r>
        <r>
          <rPr>
            <sz val="8"/>
            <color indexed="81"/>
            <rFont val="Tahoma"/>
            <family val="2"/>
          </rPr>
          <t xml:space="preserve">
     The variable </t>
        </r>
        <r>
          <rPr>
            <sz val="8"/>
            <color indexed="10"/>
            <rFont val="Tahoma"/>
            <family val="2"/>
          </rPr>
          <t>Site</t>
        </r>
        <r>
          <rPr>
            <sz val="8"/>
            <color indexed="81"/>
            <rFont val="Tahoma"/>
            <family val="2"/>
          </rPr>
          <t xml:space="preserve">, a numerical 3-digit code, should be taken from the Site Name Code List (code for streams, code 
for lakes, code for terrestrial/landwater). If you have a new site that is not on the list, do not code it yourself; ask the 
data manager to add it to the master list. The variable D/D (for depth/distance) must be included in every aquatic file, 
as it corresponds to the depth in a lake or the distance along a river from which a sample was taken. For those working 
on the Kuparuk River, D/D needs to be relative to the 1984 phosphorous dripper, and Oksrukuyik Creek should be relative 
to the 0.0 K dripper site set in 1989. 
     Variables for time in Hours are to be in 24 hour format (not AM or PM) and based on Alaska Standard Time, not Alaska 
Daylight Savings Time. Entries should be 4 places, hours and minutes, without any punctuation (examples 0458 or 2133).
Individual PIs need to be responsible for making these time corrections.
   Missing data shall be designated by a Missing Data Value. The value used should be noted , i.e. BLANK, period, N/A. 
The value -9999 should be used with caution since it can be a real value in rare cases. </t>
        </r>
      </text>
    </comment>
    <comment ref="B203" authorId="3">
      <text>
        <r>
          <rPr>
            <b/>
            <sz val="8"/>
            <color indexed="81"/>
            <rFont val="Tahoma"/>
            <family val="2"/>
          </rPr>
          <t>Variable Description is an explanation of what the Variable represents. 
Include details about the units, e.g. microgram of NH4-N per gram of oven dried soil.</t>
        </r>
      </text>
    </comment>
    <comment ref="C203" authorId="2">
      <text>
        <r>
          <rPr>
            <b/>
            <sz val="8"/>
            <color indexed="81"/>
            <rFont val="Tahoma"/>
            <family val="2"/>
          </rPr>
          <t xml:space="preserve"> Please select from the drop-down list. 
For </t>
        </r>
        <r>
          <rPr>
            <b/>
            <sz val="8"/>
            <color indexed="10"/>
            <rFont val="Tahoma"/>
            <family val="2"/>
          </rPr>
          <t>Number</t>
        </r>
        <r>
          <rPr>
            <b/>
            <sz val="8"/>
            <color indexed="81"/>
            <rFont val="Tahoma"/>
            <family val="2"/>
          </rPr>
          <t xml:space="preserve"> type remember to enter a unit.
And for </t>
        </r>
        <r>
          <rPr>
            <b/>
            <sz val="8"/>
            <color indexed="10"/>
            <rFont val="Tahoma"/>
            <family val="2"/>
          </rPr>
          <t>DateTime</t>
        </r>
        <r>
          <rPr>
            <b/>
            <sz val="8"/>
            <color indexed="81"/>
            <rFont val="Tahoma"/>
            <family val="2"/>
          </rPr>
          <t xml:space="preserve"> enter a Datetime format.</t>
        </r>
        <r>
          <rPr>
            <sz val="8"/>
            <color indexed="81"/>
            <rFont val="Tahoma"/>
            <family val="2"/>
          </rPr>
          <t xml:space="preserve">
</t>
        </r>
      </text>
    </comment>
    <comment ref="D203" authorId="4">
      <text>
        <r>
          <rPr>
            <b/>
            <sz val="8"/>
            <color indexed="81"/>
            <rFont val="Tahoma"/>
            <family val="2"/>
          </rPr>
          <t xml:space="preserve">Units field:  </t>
        </r>
        <r>
          <rPr>
            <b/>
            <sz val="8"/>
            <color indexed="10"/>
            <rFont val="Tahoma"/>
            <family val="2"/>
          </rPr>
          <t xml:space="preserve">If variable is a number use drop-down list to choose a unit.  
If it's not listed then enter the unit using a format similar to other units.  
For DataTime or Text leave blank.
</t>
        </r>
      </text>
    </comment>
    <comment ref="E203" authorId="6">
      <text>
        <r>
          <rPr>
            <b/>
            <sz val="8"/>
            <color indexed="81"/>
            <rFont val="Tahoma"/>
            <family val="2"/>
          </rPr>
          <t xml:space="preserve">Date Time format field: </t>
        </r>
        <r>
          <rPr>
            <sz val="8"/>
            <color indexed="81"/>
            <rFont val="Tahoma"/>
            <family val="2"/>
          </rPr>
          <t>Enter the datetime format 
(ex. DDMMMYYYY for 12Mar2002) for variables that are dates and or time.</t>
        </r>
      </text>
    </comment>
    <comment ref="F203" authorId="7">
      <text>
        <r>
          <rPr>
            <b/>
            <sz val="8"/>
            <color indexed="81"/>
            <rFont val="Tahoma"/>
            <family val="2"/>
          </rPr>
          <t xml:space="preserve">Codes Definitions:
</t>
        </r>
        <r>
          <rPr>
            <sz val="8"/>
            <color indexed="81"/>
            <rFont val="Tahoma"/>
            <family val="2"/>
          </rPr>
          <t>For any variables that are coded, list the values/definitions 
for codes used. Format the list as a vertical-line separated list, e.g.:
MAT=Moist Acidic Tussock | MNT = Moist Non-acidic Tussock.</t>
        </r>
        <r>
          <rPr>
            <sz val="8"/>
            <color indexed="81"/>
            <rFont val="Tahoma"/>
            <family val="2"/>
          </rPr>
          <t xml:space="preserve">
</t>
        </r>
      </text>
    </comment>
    <comment ref="G203" authorId="0">
      <text>
        <r>
          <rPr>
            <b/>
            <sz val="8"/>
            <color indexed="81"/>
            <rFont val="Tahoma"/>
            <family val="2"/>
          </rPr>
          <t>Indicate the code used for missing valuesused code=reason for missing , e.g. or -99999=not measured
If more then one code separate the codes with a | bar,e.g.  -9999=missing  | -7777=not measured</t>
        </r>
      </text>
    </comment>
    <comment ref="A204" authorId="3">
      <text>
        <r>
          <rPr>
            <sz val="8"/>
            <color indexed="81"/>
            <rFont val="Tahoma"/>
            <family val="2"/>
          </rPr>
          <t xml:space="preserve">   Add rows as needed with a separated row for each variable name. The variables </t>
        </r>
        <r>
          <rPr>
            <sz val="8"/>
            <color indexed="10"/>
            <rFont val="Tahoma"/>
            <family val="2"/>
          </rPr>
          <t>Date</t>
        </r>
        <r>
          <rPr>
            <sz val="8"/>
            <color indexed="81"/>
            <rFont val="Tahoma"/>
            <family val="2"/>
          </rPr>
          <t xml:space="preserve"> and </t>
        </r>
        <r>
          <rPr>
            <sz val="8"/>
            <color indexed="10"/>
            <rFont val="Tahoma"/>
            <family val="2"/>
          </rPr>
          <t>Comments</t>
        </r>
        <r>
          <rPr>
            <sz val="8"/>
            <color indexed="81"/>
            <rFont val="Tahoma"/>
            <family val="2"/>
          </rPr>
          <t xml:space="preserve"> must be
 included in every data file.
    </t>
        </r>
        <r>
          <rPr>
            <sz val="8"/>
            <color indexed="10"/>
            <rFont val="Tahoma"/>
            <family val="2"/>
          </rPr>
          <t>Date</t>
        </r>
        <r>
          <rPr>
            <sz val="8"/>
            <color indexed="81"/>
            <rFont val="Tahoma"/>
            <family val="2"/>
          </rPr>
          <t xml:space="preserve"> should be in the format DD-MMM-YYYY (i.e. 01-Jun-1988). This format avoids confusion between Canadian 
and USA forms of dates.  
    Comments must be the last column in the file, and includes any additional information about individual data points. 
All Comments for a data point must be entered on a single line, which can be no longer than 250 characters. </t>
        </r>
        <r>
          <rPr>
            <sz val="8"/>
            <color indexed="81"/>
            <rFont val="Tahoma"/>
            <family val="2"/>
          </rPr>
          <t xml:space="preserve">
     The variable </t>
        </r>
        <r>
          <rPr>
            <sz val="8"/>
            <color indexed="10"/>
            <rFont val="Tahoma"/>
            <family val="2"/>
          </rPr>
          <t>Site</t>
        </r>
        <r>
          <rPr>
            <sz val="8"/>
            <color indexed="81"/>
            <rFont val="Tahoma"/>
            <family val="2"/>
          </rPr>
          <t xml:space="preserve">, a numerical 3-digit code, should be taken from the Site Name Code List (code for streams, code 
for lakes, code for terrestrial/landwater). If you have a new site that is not on the list, do not code it yourself; ask the 
data manager to add it to the master list. The variable D/D (for depth/distance) must be included in every aquatic file, 
as it corresponds to the depth in a lake or the distance along a river from which a sample was taken. For those working 
on the Kuparuk River, D/D needs to be relative to the 1984 phosphorous dripper, and Oksrukuyik Creek should be relative 
to the 0.0 K dripper site set in 1989. 
     Variables for time in Hours are to be in 24 hour format (not AM or PM) and based on Alaska Standard Time, not Alaska 
Daylight Savings Time. Entries should be 4 places, hours and minutes, without any punctuation (examples 0458 or 2133).
Individual PIs need to be responsible for making these time corrections.
   Missing data shall be designated by a Missing Data Value. The value used should be noted , i.e. BLANK, period, N/A. 
The value -9999 should be used with caution since it can be a real value in rare cases. </t>
        </r>
      </text>
    </comment>
    <comment ref="B204" authorId="3">
      <text>
        <r>
          <rPr>
            <b/>
            <sz val="8"/>
            <color indexed="81"/>
            <rFont val="Tahoma"/>
            <family val="2"/>
          </rPr>
          <t>Variable Description is an explanation of what the Variable represents. 
Include details about the units, e.g. microgram of NH4-N per gram of oven dried soil.</t>
        </r>
      </text>
    </comment>
    <comment ref="C204" authorId="2">
      <text>
        <r>
          <rPr>
            <b/>
            <sz val="8"/>
            <color indexed="81"/>
            <rFont val="Tahoma"/>
            <family val="2"/>
          </rPr>
          <t xml:space="preserve"> Please select from the drop-down list. 
For </t>
        </r>
        <r>
          <rPr>
            <b/>
            <sz val="8"/>
            <color indexed="10"/>
            <rFont val="Tahoma"/>
            <family val="2"/>
          </rPr>
          <t>Number</t>
        </r>
        <r>
          <rPr>
            <b/>
            <sz val="8"/>
            <color indexed="81"/>
            <rFont val="Tahoma"/>
            <family val="2"/>
          </rPr>
          <t xml:space="preserve"> type remember to enter a unit.
And for </t>
        </r>
        <r>
          <rPr>
            <b/>
            <sz val="8"/>
            <color indexed="10"/>
            <rFont val="Tahoma"/>
            <family val="2"/>
          </rPr>
          <t>DateTime</t>
        </r>
        <r>
          <rPr>
            <b/>
            <sz val="8"/>
            <color indexed="81"/>
            <rFont val="Tahoma"/>
            <family val="2"/>
          </rPr>
          <t xml:space="preserve"> enter a Datetime format.</t>
        </r>
        <r>
          <rPr>
            <sz val="8"/>
            <color indexed="81"/>
            <rFont val="Tahoma"/>
            <family val="2"/>
          </rPr>
          <t xml:space="preserve">
</t>
        </r>
      </text>
    </comment>
    <comment ref="D204" authorId="4">
      <text>
        <r>
          <rPr>
            <b/>
            <sz val="8"/>
            <color indexed="81"/>
            <rFont val="Tahoma"/>
            <family val="2"/>
          </rPr>
          <t xml:space="preserve">Units field:  </t>
        </r>
        <r>
          <rPr>
            <b/>
            <sz val="8"/>
            <color indexed="10"/>
            <rFont val="Tahoma"/>
            <family val="2"/>
          </rPr>
          <t xml:space="preserve">If variable is a number use drop-down list to choose a unit.  
If it's not listed then enter the unit using a format similar to other units.  
For DataTime or Text leave blank.
</t>
        </r>
      </text>
    </comment>
    <comment ref="E204" authorId="6">
      <text>
        <r>
          <rPr>
            <b/>
            <sz val="8"/>
            <color indexed="81"/>
            <rFont val="Tahoma"/>
            <family val="2"/>
          </rPr>
          <t xml:space="preserve">Date Time format field: </t>
        </r>
        <r>
          <rPr>
            <sz val="8"/>
            <color indexed="81"/>
            <rFont val="Tahoma"/>
            <family val="2"/>
          </rPr>
          <t>Enter the datetime format 
(ex. DD-MMM-YY) for variables that are dates and or time.</t>
        </r>
      </text>
    </comment>
    <comment ref="F204" authorId="7">
      <text>
        <r>
          <rPr>
            <b/>
            <sz val="8"/>
            <color indexed="81"/>
            <rFont val="Tahoma"/>
            <family val="2"/>
          </rPr>
          <t xml:space="preserve">Codes Definitions:
</t>
        </r>
        <r>
          <rPr>
            <sz val="8"/>
            <color indexed="81"/>
            <rFont val="Tahoma"/>
            <family val="2"/>
          </rPr>
          <t>For any variables that are coded, list the values/definitions 
for codes used. Format the list as a vertical-line separated list, e.g.:
MAT=Moist Acidic Tussock | MNT = Moist Non-acidic Tussock.</t>
        </r>
        <r>
          <rPr>
            <sz val="8"/>
            <color indexed="81"/>
            <rFont val="Tahoma"/>
            <family val="2"/>
          </rPr>
          <t xml:space="preserve">
</t>
        </r>
      </text>
    </comment>
    <comment ref="G204" authorId="0">
      <text>
        <r>
          <rPr>
            <b/>
            <sz val="8"/>
            <color indexed="81"/>
            <rFont val="Tahoma"/>
            <family val="2"/>
          </rPr>
          <t>Indicate the code used for missing valuesused code=reason for missing , e.g. or -99999=not measured
If more then one code separate the codes with a | bar,e.g.  -9999=missing  | -7777=not measured</t>
        </r>
      </text>
    </comment>
  </commentList>
</comments>
</file>

<file path=xl/comments2.xml><?xml version="1.0" encoding="utf-8"?>
<comments xmlns="http://schemas.openxmlformats.org/spreadsheetml/2006/main">
  <authors>
    <author>toolik</author>
    <author>jdrysdale</author>
    <author>Laura</author>
  </authors>
  <commentList>
    <comment ref="T1" authorId="0">
      <text>
        <r>
          <rPr>
            <b/>
            <sz val="9"/>
            <color indexed="81"/>
            <rFont val="Tahoma"/>
            <family val="2"/>
          </rPr>
          <t>toolik:</t>
        </r>
        <r>
          <rPr>
            <sz val="9"/>
            <color indexed="81"/>
            <rFont val="Tahoma"/>
            <family val="2"/>
          </rPr>
          <t xml:space="preserve">
Area of leaves only (NOT including petioles or stipules).</t>
        </r>
      </text>
    </comment>
    <comment ref="AF1" authorId="0">
      <text>
        <r>
          <rPr>
            <b/>
            <sz val="9"/>
            <color indexed="81"/>
            <rFont val="Tahoma"/>
            <family val="2"/>
          </rPr>
          <t>toolik:</t>
        </r>
        <r>
          <rPr>
            <sz val="9"/>
            <color indexed="81"/>
            <rFont val="Tahoma"/>
            <family val="2"/>
          </rPr>
          <t xml:space="preserve">
Leaves only; no petioles or stipules</t>
        </r>
      </text>
    </comment>
    <comment ref="AQ1" authorId="1">
      <text>
        <r>
          <rPr>
            <b/>
            <sz val="9"/>
            <color indexed="81"/>
            <rFont val="Tahoma"/>
            <family val="2"/>
          </rPr>
          <t>jdrysdale:</t>
        </r>
        <r>
          <rPr>
            <sz val="9"/>
            <color indexed="81"/>
            <rFont val="Tahoma"/>
            <family val="2"/>
          </rPr>
          <t xml:space="preserve">
Leaf mass area = Total Leaf area / Total dry weight</t>
        </r>
      </text>
    </comment>
    <comment ref="AF2"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2"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3"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3"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4"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4"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5"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5"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6"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6"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7"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7"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8"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8"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8"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9"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9"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9"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10"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10"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10"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11"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11"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11"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12"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12"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12"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13"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13"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13"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14"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14"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14"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15"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15"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15"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16"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16"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16"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17"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17"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17"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18"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18"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18"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19"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19"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19"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20"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20"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20"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21"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21"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21"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22"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22"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22"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23"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23"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23"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24"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24"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24"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25"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25"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25"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26"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26"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26"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27"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27"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27"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28"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28"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28"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29"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29"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29"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30"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30"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30"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31"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31"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31"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32"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32"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32"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33"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33"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33"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34"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34"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34"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35"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35"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35"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36"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36"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36"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37"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37"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37"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T38" authorId="0">
      <text>
        <r>
          <rPr>
            <b/>
            <sz val="9"/>
            <color indexed="81"/>
            <rFont val="Tahoma"/>
            <family val="2"/>
          </rPr>
          <t>toolik:</t>
        </r>
        <r>
          <rPr>
            <sz val="9"/>
            <color indexed="81"/>
            <rFont val="Tahoma"/>
            <family val="2"/>
          </rPr>
          <t xml:space="preserve">
CHECK AREA - Why no decimal places?
</t>
        </r>
      </text>
    </comment>
    <comment ref="AF38"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38"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38"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39"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39"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39"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40"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40"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40"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41"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41"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41"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42"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42"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42"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43"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43"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43"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44"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44"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44"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45"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45"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45"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46"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46"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46"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47"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47"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47"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48"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48"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48"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49"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49"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49"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50"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50"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50"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51"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51"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51"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L52" authorId="0">
      <text>
        <r>
          <rPr>
            <b/>
            <sz val="9"/>
            <color indexed="81"/>
            <rFont val="Tahoma"/>
            <family val="2"/>
          </rPr>
          <t>toolik:</t>
        </r>
        <r>
          <rPr>
            <sz val="9"/>
            <color indexed="81"/>
            <rFont val="Tahoma"/>
            <family val="2"/>
          </rPr>
          <t xml:space="preserve">
Listed as "B" in field notebook (Zak G. "Even Chambers")
</t>
        </r>
      </text>
    </comment>
    <comment ref="AF52"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52"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52"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L53" authorId="0">
      <text>
        <r>
          <rPr>
            <b/>
            <sz val="9"/>
            <color indexed="81"/>
            <rFont val="Tahoma"/>
            <family val="2"/>
          </rPr>
          <t>toolik:</t>
        </r>
        <r>
          <rPr>
            <sz val="9"/>
            <color indexed="81"/>
            <rFont val="Tahoma"/>
            <family val="2"/>
          </rPr>
          <t xml:space="preserve">
Listed as "A" in the field notebook (Zak G: "Even chambers")</t>
        </r>
      </text>
    </comment>
    <comment ref="AF53"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53"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53"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54"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54"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54"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55"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55"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55"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56"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56"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56"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57"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57"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57"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58"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58"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58"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59"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59"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59"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60"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60"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60"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61"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61"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61"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62"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62"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62"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63"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63"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63"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64"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64"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64"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65"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65"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65"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66"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66"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66"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67"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67"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67"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68"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68"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68"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S69" authorId="0">
      <text>
        <r>
          <rPr>
            <b/>
            <sz val="9"/>
            <color indexed="81"/>
            <rFont val="Tahoma"/>
            <family val="2"/>
          </rPr>
          <t>toolik:</t>
        </r>
        <r>
          <rPr>
            <sz val="9"/>
            <color indexed="81"/>
            <rFont val="Tahoma"/>
            <family val="2"/>
          </rPr>
          <t xml:space="preserve">
High area! Double check!
</t>
        </r>
      </text>
    </comment>
    <comment ref="AF69"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69"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69"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70"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70"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70"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F71"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G71"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AR71" authorId="2">
      <text>
        <r>
          <rPr>
            <b/>
            <sz val="9"/>
            <color indexed="81"/>
            <rFont val="Tahoma"/>
            <family val="2"/>
          </rPr>
          <t>Laura:</t>
        </r>
        <r>
          <rPr>
            <sz val="9"/>
            <color indexed="81"/>
            <rFont val="Tahoma"/>
            <family val="2"/>
          </rPr>
          <t xml:space="preserve">
petioles removed by R. Rubin in prep for CHN.  Calculation of Petiole Mass is the difference of the original leaf+petiole mass minus the mass after removing the petioles.</t>
        </r>
      </text>
    </comment>
    <comment ref="J82" authorId="0">
      <text>
        <r>
          <rPr>
            <b/>
            <sz val="9"/>
            <color indexed="81"/>
            <rFont val="Tahoma"/>
            <family val="2"/>
          </rPr>
          <t>toolik:</t>
        </r>
        <r>
          <rPr>
            <sz val="9"/>
            <color indexed="81"/>
            <rFont val="Tahoma"/>
            <family val="2"/>
          </rPr>
          <t xml:space="preserve">
Second shoot run (different area than "A") with both an A-Ci curve and Light Curve</t>
        </r>
      </text>
    </comment>
    <comment ref="J84" authorId="0">
      <text>
        <r>
          <rPr>
            <b/>
            <sz val="9"/>
            <color indexed="81"/>
            <rFont val="Tahoma"/>
            <family val="2"/>
          </rPr>
          <t>toolik:</t>
        </r>
        <r>
          <rPr>
            <sz val="9"/>
            <color indexed="81"/>
            <rFont val="Tahoma"/>
            <family val="2"/>
          </rPr>
          <t xml:space="preserve">
A-Ci Curve but no Light curve for this shoot</t>
        </r>
      </text>
    </comment>
  </commentList>
</comments>
</file>

<file path=xl/comments3.xml><?xml version="1.0" encoding="utf-8"?>
<comments xmlns="http://schemas.openxmlformats.org/spreadsheetml/2006/main">
  <authors>
    <author>powell</author>
  </authors>
  <commentList>
    <comment ref="C579" authorId="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List>
</comments>
</file>

<file path=xl/sharedStrings.xml><?xml version="1.0" encoding="utf-8"?>
<sst xmlns="http://schemas.openxmlformats.org/spreadsheetml/2006/main" count="6999" uniqueCount="1817">
  <si>
    <t>Up-SALP-1</t>
  </si>
  <si>
    <t>Mid-SALP-3</t>
  </si>
  <si>
    <t>Mid-SALP-4</t>
  </si>
  <si>
    <t>Mid-SALP-9</t>
  </si>
  <si>
    <t>Up-BET-2</t>
  </si>
  <si>
    <t>Mid-BET-3</t>
  </si>
  <si>
    <t>Up-SALP-7</t>
  </si>
  <si>
    <t>Up-SALP-8</t>
  </si>
  <si>
    <t>Mid-BET-9</t>
  </si>
  <si>
    <t>Mid-BET-10</t>
  </si>
  <si>
    <t>Up-BET-7</t>
  </si>
  <si>
    <t>Mid-SALP-10</t>
  </si>
  <si>
    <t>Up-BET-8</t>
  </si>
  <si>
    <t>PF007</t>
  </si>
  <si>
    <t>PF008</t>
  </si>
  <si>
    <t>PF009</t>
  </si>
  <si>
    <t>PF010</t>
  </si>
  <si>
    <t>PF011</t>
  </si>
  <si>
    <t>PF012</t>
  </si>
  <si>
    <t>PF013</t>
  </si>
  <si>
    <t>PF014</t>
  </si>
  <si>
    <t>PF015</t>
  </si>
  <si>
    <t>PF016</t>
  </si>
  <si>
    <t>PF017</t>
  </si>
  <si>
    <t>PF018</t>
  </si>
  <si>
    <t>PF019</t>
  </si>
  <si>
    <t>PF020</t>
  </si>
  <si>
    <t>DD-MMM-YY</t>
  </si>
  <si>
    <t>Up</t>
  </si>
  <si>
    <t>Mid</t>
  </si>
  <si>
    <t>Low</t>
  </si>
  <si>
    <t>Upland</t>
  </si>
  <si>
    <t>BET</t>
  </si>
  <si>
    <t>SAL-P</t>
  </si>
  <si>
    <t>Fert</t>
  </si>
  <si>
    <t>None</t>
  </si>
  <si>
    <t>Betula nana</t>
  </si>
  <si>
    <t>Ledum palustre</t>
  </si>
  <si>
    <t>S. glauca</t>
  </si>
  <si>
    <t>V. uliginosum</t>
  </si>
  <si>
    <t>Toolik</t>
  </si>
  <si>
    <t>PF002</t>
  </si>
  <si>
    <t>PF003</t>
  </si>
  <si>
    <t>PF004</t>
  </si>
  <si>
    <t>PF005</t>
  </si>
  <si>
    <t>PF006</t>
  </si>
  <si>
    <t>S. pulchra</t>
  </si>
  <si>
    <t>Up-BET-1</t>
  </si>
  <si>
    <t>upland</t>
  </si>
  <si>
    <t>Outlet</t>
  </si>
  <si>
    <t>Salix glauca</t>
  </si>
  <si>
    <t>V. vitis-idaea</t>
  </si>
  <si>
    <t>Mid-BET-4</t>
  </si>
  <si>
    <t>Low-VUL-5</t>
  </si>
  <si>
    <t>Low-VUL-6</t>
  </si>
  <si>
    <t>Up-SALG-2</t>
  </si>
  <si>
    <t>Up-SALP-3</t>
  </si>
  <si>
    <t>Mid-BET-2</t>
  </si>
  <si>
    <t>Up-SALP-5</t>
  </si>
  <si>
    <t>Mid-SALP-7</t>
  </si>
  <si>
    <t>Mid-SALP-8</t>
  </si>
  <si>
    <t>Mid-BET-6</t>
  </si>
  <si>
    <t>Mid-VUL-4</t>
  </si>
  <si>
    <t>Up-SALP-2</t>
  </si>
  <si>
    <t>Note 4 dead stipules in scanned image not included in green stipule area</t>
  </si>
  <si>
    <t>Note one leaf was ripped almost exactly in half</t>
  </si>
  <si>
    <t>Mid-SALP-3-A</t>
  </si>
  <si>
    <t>Low-BET-5-A</t>
  </si>
  <si>
    <t>Low-SALP-6</t>
  </si>
  <si>
    <t>low-BET-5-B</t>
  </si>
  <si>
    <t>Note 3 leaves still have small petioles attached, not included in petiole area since they will be weighed with leaves</t>
  </si>
  <si>
    <t>Salix pulchra</t>
  </si>
  <si>
    <t>Mid-SALG-4</t>
  </si>
  <si>
    <t>Mid-SALG-2</t>
  </si>
  <si>
    <t>Up-BET-6</t>
  </si>
  <si>
    <t>Mid-BET-5</t>
  </si>
  <si>
    <t>Low-BET-5</t>
  </si>
  <si>
    <t>Low-BET-11</t>
  </si>
  <si>
    <t>Low-BET-12</t>
  </si>
  <si>
    <t>Low-VUL-2</t>
  </si>
  <si>
    <t>Low-VUL-3</t>
  </si>
  <si>
    <t>Low-VVI-6</t>
  </si>
  <si>
    <t>Low-BET-6</t>
  </si>
  <si>
    <t>Low-VUL-11</t>
  </si>
  <si>
    <t>Low-VUL-12</t>
  </si>
  <si>
    <t>Low-SALP-10</t>
  </si>
  <si>
    <t>Low-SALP-9</t>
  </si>
  <si>
    <t>Low-VVI-12</t>
  </si>
  <si>
    <t>Low-SALP-11</t>
  </si>
  <si>
    <t>Low-LEd-5</t>
  </si>
  <si>
    <t>Low-LEd-11</t>
  </si>
  <si>
    <t>Low-LEd-12</t>
  </si>
  <si>
    <t>Low-SALG-6</t>
  </si>
  <si>
    <t>Up-_-BET-8</t>
  </si>
  <si>
    <t>Mid-SALP-3-B</t>
  </si>
  <si>
    <t>Mid-SALP- 4</t>
  </si>
  <si>
    <t>Low-SALP- 6</t>
  </si>
  <si>
    <t>ARCTIC LTER DATABASE</t>
  </si>
  <si>
    <t>Metacat Package ID</t>
  </si>
  <si>
    <t>Year Released to Public</t>
  </si>
  <si>
    <t>Distribution URL for file</t>
  </si>
  <si>
    <t>DATASET TITLE:</t>
  </si>
  <si>
    <t>ABSTRACT:</t>
  </si>
  <si>
    <t xml:space="preserve">DATASET ID: </t>
  </si>
  <si>
    <r>
      <t>INVESTIGATOR INFORMATION :</t>
    </r>
    <r>
      <rPr>
        <b/>
        <sz val="9"/>
        <color indexed="48"/>
        <rFont val="Arial"/>
        <family val="2"/>
      </rPr>
      <t xml:space="preserve"> </t>
    </r>
  </si>
  <si>
    <t>Investigator 1</t>
  </si>
  <si>
    <t>Investigator 2</t>
  </si>
  <si>
    <t>Investigator 3</t>
  </si>
  <si>
    <t>Investigator 4</t>
  </si>
  <si>
    <t>Investigator 5</t>
  </si>
  <si>
    <t>Investigator 6</t>
  </si>
  <si>
    <t>Investigator 7</t>
  </si>
  <si>
    <t>Investigator 8</t>
  </si>
  <si>
    <t>Role</t>
  </si>
  <si>
    <t xml:space="preserve">Owner </t>
  </si>
  <si>
    <t xml:space="preserve">Associated Researcher </t>
  </si>
  <si>
    <t xml:space="preserve">Data Manager </t>
  </si>
  <si>
    <t xml:space="preserve">Field Crew </t>
  </si>
  <si>
    <t>Email</t>
  </si>
  <si>
    <t>gshaver@mbl.edu</t>
  </si>
  <si>
    <t>erastetter@mbl.edu</t>
  </si>
  <si>
    <t>mat.williams@ed.ac.uk</t>
  </si>
  <si>
    <t>jlaundre@mbl.edu</t>
  </si>
  <si>
    <t>lvanderpol@mbl.edu</t>
  </si>
  <si>
    <t xml:space="preserve">First Name  </t>
  </si>
  <si>
    <t>Gaius</t>
  </si>
  <si>
    <t>Edward</t>
  </si>
  <si>
    <t>Mathew</t>
  </si>
  <si>
    <t>James</t>
  </si>
  <si>
    <t>Laura</t>
  </si>
  <si>
    <t xml:space="preserve">Last Name  </t>
  </si>
  <si>
    <t>Shaver</t>
  </si>
  <si>
    <t>Rastetter</t>
  </si>
  <si>
    <t>Williams</t>
  </si>
  <si>
    <t>Laundre</t>
  </si>
  <si>
    <t>van der Pol</t>
  </si>
  <si>
    <t>Organization</t>
  </si>
  <si>
    <t>Ecosystems Center at the Marine Biological Laboratory</t>
  </si>
  <si>
    <t>University of Edinburgh</t>
  </si>
  <si>
    <t>Address line 2</t>
  </si>
  <si>
    <t>7 MBL Street</t>
  </si>
  <si>
    <t>School of Geosciences</t>
  </si>
  <si>
    <t>Address line 3</t>
  </si>
  <si>
    <t>Darwin Building</t>
  </si>
  <si>
    <t xml:space="preserve"> City  </t>
  </si>
  <si>
    <t>Woods Hole</t>
  </si>
  <si>
    <t>Edinburgh</t>
  </si>
  <si>
    <t xml:space="preserve">State  </t>
  </si>
  <si>
    <t>MA</t>
  </si>
  <si>
    <t xml:space="preserve">Zip Code  </t>
  </si>
  <si>
    <t>02543</t>
  </si>
  <si>
    <t>EH9 EJU</t>
  </si>
  <si>
    <t>Country</t>
  </si>
  <si>
    <t>United States</t>
  </si>
  <si>
    <t>United Kingdom</t>
  </si>
  <si>
    <t xml:space="preserve">DATA FILE INFORMATION: </t>
  </si>
  <si>
    <t>Data File URL</t>
  </si>
  <si>
    <t>Data File Name</t>
  </si>
  <si>
    <t>Beginning Date</t>
  </si>
  <si>
    <t>End Date</t>
  </si>
  <si>
    <t>Number of Data Records</t>
  </si>
  <si>
    <t>Other Files to Reference</t>
  </si>
  <si>
    <t>Availability Status</t>
  </si>
  <si>
    <t>Quality Control Information</t>
  </si>
  <si>
    <t>Maintenance Description</t>
  </si>
  <si>
    <t>Log of Changes:</t>
  </si>
  <si>
    <t>Note you can add more sites.</t>
  </si>
  <si>
    <t xml:space="preserve">RESEARCH LOCATION: </t>
  </si>
  <si>
    <t xml:space="preserve">Geographic Description </t>
  </si>
  <si>
    <t>Outlet site; co-located in Block 2 of the Shrub LTER sites; IVO 68° 38'008.1" N, 149° 35' 017.1" W +/- 50m. Except for plots marked "FERT", plots are outside of the designated LTER treatments, though are exposed to the same environmental conditions. All plots were chosen by the dominant shrub canopy (either Salix pulchraor Betula nana) and preferentially selected to be 90cm+ in height.</t>
  </si>
  <si>
    <t>Location Bounding Box</t>
  </si>
  <si>
    <t xml:space="preserve">West Bounding Coordinate  </t>
  </si>
  <si>
    <t xml:space="preserve">East Bounding Coordinate </t>
  </si>
  <si>
    <t xml:space="preserve">North Bounding Coordinate  </t>
  </si>
  <si>
    <t xml:space="preserve">South Bounding Coordinate  </t>
  </si>
  <si>
    <t>OR if single point location</t>
  </si>
  <si>
    <t>Latitude</t>
  </si>
  <si>
    <t>Longitude</t>
  </si>
  <si>
    <t>Elevation</t>
  </si>
  <si>
    <t>TAXONOMIC COVERAGE:</t>
  </si>
  <si>
    <t>Organisms studied</t>
  </si>
  <si>
    <t>Betula nana; Salix pulchra; Salix glauca</t>
  </si>
  <si>
    <t xml:space="preserve">Example:  Eriophorum; Betula nana; Carex aquatilis var. aquatilis; Carex atlantica ssp. atlantica </t>
  </si>
  <si>
    <t>KEYWORD INFORMATION</t>
  </si>
  <si>
    <t xml:space="preserve">KEYWORDS: </t>
  </si>
  <si>
    <t xml:space="preserve">METHODS: </t>
  </si>
  <si>
    <t>Sampling and/or Lab Protocols</t>
  </si>
  <si>
    <t>Protocol Title</t>
  </si>
  <si>
    <t>URL of online Protocol</t>
  </si>
  <si>
    <t>OR</t>
  </si>
  <si>
    <t>Protocol Document</t>
  </si>
  <si>
    <t xml:space="preserve">VARIABLE DESCRIPTIONS: </t>
  </si>
  <si>
    <t>Do Not Modify. These are the lists for the drop-downs.</t>
  </si>
  <si>
    <t>Variable Name</t>
  </si>
  <si>
    <t>Variable Description</t>
  </si>
  <si>
    <t>Data Type</t>
  </si>
  <si>
    <t>Units</t>
  </si>
  <si>
    <t>DateTime Format</t>
  </si>
  <si>
    <t>Code Information</t>
  </si>
  <si>
    <t>Missing Value Code</t>
  </si>
  <si>
    <t>MeasurementScale</t>
  </si>
  <si>
    <t>Number Type</t>
  </si>
  <si>
    <t>Unit Name</t>
  </si>
  <si>
    <t xml:space="preserve"> </t>
  </si>
  <si>
    <t xml:space="preserve">YEAR </t>
  </si>
  <si>
    <t xml:space="preserve"> year of measurement </t>
  </si>
  <si>
    <t>datetime</t>
  </si>
  <si>
    <t>YYYY</t>
  </si>
  <si>
    <t>text</t>
  </si>
  <si>
    <t>ampere</t>
  </si>
  <si>
    <t xml:space="preserve">DATE </t>
  </si>
  <si>
    <t xml:space="preserve"> date of measurement </t>
  </si>
  <si>
    <t>interval</t>
  </si>
  <si>
    <t>number</t>
  </si>
  <si>
    <t>amperePerMeter</t>
  </si>
  <si>
    <t xml:space="preserve">SITE </t>
  </si>
  <si>
    <t>nominal</t>
  </si>
  <si>
    <t>amperePerMeterSquared</t>
  </si>
  <si>
    <t xml:space="preserve">GROUP  </t>
  </si>
  <si>
    <t>Measurement location in relation to Toolik Lake LTER Shrub plots; In vicinity of Block1 = Upland, IVO Block 2 = Outlet</t>
  </si>
  <si>
    <t>ordinal</t>
  </si>
  <si>
    <t>angstrom</t>
  </si>
  <si>
    <t xml:space="preserve">PLOT </t>
  </si>
  <si>
    <t xml:space="preserve"> Individual plot identifier </t>
  </si>
  <si>
    <t xml:space="preserve">Lab Crew </t>
  </si>
  <si>
    <t>ratio</t>
  </si>
  <si>
    <t>atmosphere</t>
  </si>
  <si>
    <t xml:space="preserve"> control or fertilized annually (with N and P) </t>
  </si>
  <si>
    <t>bar</t>
  </si>
  <si>
    <t>becquerel</t>
  </si>
  <si>
    <t xml:space="preserve">PLOT SIZE </t>
  </si>
  <si>
    <t>becquerelPerGram</t>
  </si>
  <si>
    <t>becquerelPerMilligram</t>
  </si>
  <si>
    <t>becquerelPerMilliliter</t>
  </si>
  <si>
    <t>percent</t>
  </si>
  <si>
    <t>calorie</t>
  </si>
  <si>
    <t xml:space="preserve"> Dominant canopy vegetation</t>
  </si>
  <si>
    <t>candela</t>
  </si>
  <si>
    <t>candelaPerMeterSquared</t>
  </si>
  <si>
    <t>celsius</t>
  </si>
  <si>
    <t>centigram</t>
  </si>
  <si>
    <t>centimeter</t>
  </si>
  <si>
    <t>centimeterCubedPerCentimeterCubed</t>
  </si>
  <si>
    <t>centimeterPerSecond</t>
  </si>
  <si>
    <t>centimeterPerYear</t>
  </si>
  <si>
    <t>centimeterSquared</t>
  </si>
  <si>
    <t>centimeterSquaredPerFourHundredthMeterSquared</t>
  </si>
  <si>
    <t>centimeterSquaredPerGram</t>
  </si>
  <si>
    <t>centimolePerKilogram</t>
  </si>
  <si>
    <t>centisecond</t>
  </si>
  <si>
    <t>coulomb</t>
  </si>
  <si>
    <t>decibar</t>
  </si>
  <si>
    <t>decigram</t>
  </si>
  <si>
    <t>decimeter</t>
  </si>
  <si>
    <t>decisecond</t>
  </si>
  <si>
    <t>degree</t>
  </si>
  <si>
    <t>dimensionless</t>
  </si>
  <si>
    <t>disintegrationPerMinute</t>
  </si>
  <si>
    <t>gram</t>
  </si>
  <si>
    <t>gramPerCentimeterCubed</t>
  </si>
  <si>
    <t>gramPerCentimeterSquaredPerSecond</t>
  </si>
  <si>
    <t>gramPerFourHundredthMeterSquared</t>
  </si>
  <si>
    <t>gramPerGram</t>
  </si>
  <si>
    <t>gramPerHectarePerDay</t>
  </si>
  <si>
    <t>gramPerKilogram</t>
  </si>
  <si>
    <t>gramPerLiter</t>
  </si>
  <si>
    <t>gramPerLiterPerDay</t>
  </si>
  <si>
    <t>gramPerMeterCubed</t>
  </si>
  <si>
    <t>gramPerMeterSquared</t>
  </si>
  <si>
    <t>gramPerMeterSquaredPerDay</t>
  </si>
  <si>
    <t>gramPerMeterSquaredPerYear</t>
  </si>
  <si>
    <t>gramPerMilliliter</t>
  </si>
  <si>
    <t>gramPerNumber</t>
  </si>
  <si>
    <t>gramPerYear</t>
  </si>
  <si>
    <t>hectare</t>
  </si>
  <si>
    <t>hectogram</t>
  </si>
  <si>
    <t>hectometer</t>
  </si>
  <si>
    <t>hectoPascal</t>
  </si>
  <si>
    <t>hectosecond</t>
  </si>
  <si>
    <t>henry</t>
  </si>
  <si>
    <t>hertz</t>
  </si>
  <si>
    <t>hour</t>
  </si>
  <si>
    <t>joule</t>
  </si>
  <si>
    <t>joulePerCentimeterSquaredPerDay</t>
  </si>
  <si>
    <t>joulePerCentimeterSquaredPerHour</t>
  </si>
  <si>
    <t>joulePerMeterCubed</t>
  </si>
  <si>
    <t>kelvin</t>
  </si>
  <si>
    <t>kilogram</t>
  </si>
  <si>
    <t>kilogramPerHectare</t>
  </si>
  <si>
    <t>kilogramPerHectarePerYear</t>
  </si>
  <si>
    <t>kilogramPerMeterCubed</t>
  </si>
  <si>
    <t>kilogramPerMeterSquared</t>
  </si>
  <si>
    <t>kilogramPerMeterSquaredPerSecond</t>
  </si>
  <si>
    <t>kilogramPerMeterSquaredPerYear</t>
  </si>
  <si>
    <t>kilogramPerSecond</t>
  </si>
  <si>
    <t>kilohertz</t>
  </si>
  <si>
    <t>kiloliter</t>
  </si>
  <si>
    <t>kilometer</t>
  </si>
  <si>
    <t>kilometerPerHour</t>
  </si>
  <si>
    <t>kilometerSquared</t>
  </si>
  <si>
    <t>kilopascal</t>
  </si>
  <si>
    <t>kilosecond</t>
  </si>
  <si>
    <t>kilovolt</t>
  </si>
  <si>
    <t>kilowatt</t>
  </si>
  <si>
    <t>kilowattPerMeterSquared</t>
  </si>
  <si>
    <t>liter</t>
  </si>
  <si>
    <t>literPerHectare</t>
  </si>
  <si>
    <t>literPerMeterSquared</t>
  </si>
  <si>
    <t>literPerSecond</t>
  </si>
  <si>
    <t>lumen</t>
  </si>
  <si>
    <t>lux</t>
  </si>
  <si>
    <t>megagram</t>
  </si>
  <si>
    <t>megahertz</t>
  </si>
  <si>
    <t>megameter</t>
  </si>
  <si>
    <t>megapascal</t>
  </si>
  <si>
    <t>megasecond</t>
  </si>
  <si>
    <t>megavolt</t>
  </si>
  <si>
    <t>megawatt</t>
  </si>
  <si>
    <t>meter</t>
  </si>
  <si>
    <t>meterCubed</t>
  </si>
  <si>
    <t>meterCubedPerKilogram</t>
  </si>
  <si>
    <t>meterCubedPerMeterCubed</t>
  </si>
  <si>
    <t>meterCubedPerSecond</t>
  </si>
  <si>
    <t>meterPerDay</t>
  </si>
  <si>
    <t>meterPerGram</t>
  </si>
  <si>
    <t>meterPerSecond</t>
  </si>
  <si>
    <t>meterPerSecondSquared</t>
  </si>
  <si>
    <t>meterSquared</t>
  </si>
  <si>
    <t>meterSquaredPerDay</t>
  </si>
  <si>
    <t>meterSquaredPerKilogram</t>
  </si>
  <si>
    <t>meterSquaredPerMeterSquared</t>
  </si>
  <si>
    <t>meterSquaredPerNumber</t>
  </si>
  <si>
    <t>meterSquaredPerSecond</t>
  </si>
  <si>
    <t>microatmosphere</t>
  </si>
  <si>
    <t>microCuriePerMicromole</t>
  </si>
  <si>
    <t>microEinsteinPerMeterSquared</t>
  </si>
  <si>
    <t>microEinsteinPerMeterSquaredPerSecond</t>
  </si>
  <si>
    <t>microequivalentPerLiter</t>
  </si>
  <si>
    <t>microgram</t>
  </si>
  <si>
    <t>microgramPerCentimeterCubed</t>
  </si>
  <si>
    <t>microgramPerCentimeterSquared</t>
  </si>
  <si>
    <t>microgramPerGram</t>
  </si>
  <si>
    <t>microgramPerLiter</t>
  </si>
  <si>
    <t>microgramPerLiterPerDay</t>
  </si>
  <si>
    <t>microgramPerLiterPerHour</t>
  </si>
  <si>
    <t>microgramPerMilliliter</t>
  </si>
  <si>
    <t>microliter</t>
  </si>
  <si>
    <t>micrometer</t>
  </si>
  <si>
    <t>micrometerCubedPerGram</t>
  </si>
  <si>
    <t>micromole</t>
  </si>
  <si>
    <t>micromolePerGram</t>
  </si>
  <si>
    <t>micromolePerKilogram</t>
  </si>
  <si>
    <t>micromolePerLiter</t>
  </si>
  <si>
    <t>micromolePerMeterSquaredPerSecond</t>
  </si>
  <si>
    <t>micromolePerMeterSquaredPerMinute</t>
  </si>
  <si>
    <t>micromolePerMole</t>
  </si>
  <si>
    <t>micron</t>
  </si>
  <si>
    <t>microsecond</t>
  </si>
  <si>
    <t>microsiemenPerCentimeter</t>
  </si>
  <si>
    <t>millibar</t>
  </si>
  <si>
    <t>milliequivalentPerLiter</t>
  </si>
  <si>
    <t>milligram</t>
  </si>
  <si>
    <t>milligramPerKilogram</t>
  </si>
  <si>
    <t>milligramPerLiter</t>
  </si>
  <si>
    <t>milligramPerMeterCubed</t>
  </si>
  <si>
    <t>milligramPerMeterSquared</t>
  </si>
  <si>
    <t>milligramPerMeterSquaredPerDay</t>
  </si>
  <si>
    <t>milligramPerMeterSquarePerHour</t>
  </si>
  <si>
    <t>milligramPerMilliliter</t>
  </si>
  <si>
    <t>milligramPerMillimeter</t>
  </si>
  <si>
    <t>milligramPerUnit</t>
  </si>
  <si>
    <t>millihertz</t>
  </si>
  <si>
    <t>milliliter</t>
  </si>
  <si>
    <t>milliliterPerLiter</t>
  </si>
  <si>
    <t>millimeter</t>
  </si>
  <si>
    <t>millimeterPerNumber</t>
  </si>
  <si>
    <t>millimeterPerSecond</t>
  </si>
  <si>
    <t>millimeterPerUnit</t>
  </si>
  <si>
    <t>millimeterSquared</t>
  </si>
  <si>
    <t>millimolePerGram</t>
  </si>
  <si>
    <t>millimolePerMeterCubed</t>
  </si>
  <si>
    <t>millimolePerMeterSquaredPerHour</t>
  </si>
  <si>
    <t>millimolePerMeterSquaredPerSecond</t>
  </si>
  <si>
    <t>millimolePerMole</t>
  </si>
  <si>
    <t>millisecond</t>
  </si>
  <si>
    <t>millisiemenPerCentimeter</t>
  </si>
  <si>
    <t>millivolt</t>
  </si>
  <si>
    <t>milliwatt</t>
  </si>
  <si>
    <t>minute</t>
  </si>
  <si>
    <t>molality</t>
  </si>
  <si>
    <t>molarity</t>
  </si>
  <si>
    <t>mole</t>
  </si>
  <si>
    <t>molePerGram</t>
  </si>
  <si>
    <t>molePerKilogram</t>
  </si>
  <si>
    <t>molePerKilogramPerSecond</t>
  </si>
  <si>
    <t>molePerMeterCubed</t>
  </si>
  <si>
    <t>molePerMeterSquaredPerDay</t>
  </si>
  <si>
    <t>nanogram</t>
  </si>
  <si>
    <t>nanometer</t>
  </si>
  <si>
    <t>nanomolePerGramPerSecond</t>
  </si>
  <si>
    <t>nanosecond</t>
  </si>
  <si>
    <t>newton</t>
  </si>
  <si>
    <t>numberPerCentimeterSquaredPerHour</t>
  </si>
  <si>
    <t>numberPerGram</t>
  </si>
  <si>
    <t>numberPerKilometerSquared</t>
  </si>
  <si>
    <t>numberPerLiter</t>
  </si>
  <si>
    <t>numberPerMeterCubed</t>
  </si>
  <si>
    <t>numberPerMeterSquared</t>
  </si>
  <si>
    <t>numberPerMilliliter</t>
  </si>
  <si>
    <t>ohm</t>
  </si>
  <si>
    <t>ohmMeter</t>
  </si>
  <si>
    <t>partPerMillion</t>
  </si>
  <si>
    <t>partPerThousand</t>
  </si>
  <si>
    <t>pascal</t>
  </si>
  <si>
    <t>picomolePerLiter</t>
  </si>
  <si>
    <t>picomolePerLiterPerHour</t>
  </si>
  <si>
    <t>radian</t>
  </si>
  <si>
    <t>second</t>
  </si>
  <si>
    <t>siemenPerMeter</t>
  </si>
  <si>
    <t>siemens</t>
  </si>
  <si>
    <t>tesla</t>
  </si>
  <si>
    <t>tonne</t>
  </si>
  <si>
    <t>tonnePerHectare</t>
  </si>
  <si>
    <t>tonnePerYear</t>
  </si>
  <si>
    <t>volt</t>
  </si>
  <si>
    <t>watt</t>
  </si>
  <si>
    <t>wattPerMeterSquared</t>
  </si>
  <si>
    <t>waveNumber</t>
  </si>
  <si>
    <t>weber</t>
  </si>
  <si>
    <t xml:space="preserve">TREATMENT </t>
  </si>
  <si>
    <t xml:space="preserve"> 1m x 1m point frame size </t>
  </si>
  <si>
    <t xml:space="preserve">DOMINANT VEGETATION </t>
  </si>
  <si>
    <t xml:space="preserve">ROW# </t>
  </si>
  <si>
    <t xml:space="preserve"> Pin hole where pin-drop measurements were taken</t>
  </si>
  <si>
    <t xml:space="preserve">SPP </t>
  </si>
  <si>
    <t xml:space="preserve"> Shoot species sampled </t>
  </si>
  <si>
    <t xml:space="preserve">SHOOT ID </t>
  </si>
  <si>
    <t xml:space="preserve"> Identification for each shoot sampled (NOT unique); consists of canopy position (up/mid/low), species abbreviation, and a number </t>
  </si>
  <si>
    <t xml:space="preserve">CANOPY POSN </t>
  </si>
  <si>
    <t xml:space="preserve"> Relative position of shoot in the canopy </t>
  </si>
  <si>
    <t>1m x 1 m</t>
  </si>
  <si>
    <t xml:space="preserve"> Notes on data quality and measurements </t>
  </si>
  <si>
    <t xml:space="preserve">http://www.blackwellpublishing.com/plantsci/pcecalculation/ </t>
  </si>
  <si>
    <t>ITEX Manual, updated 2011</t>
  </si>
  <si>
    <t xml:space="preserve">  Row number on the point frame  where pin-drop measurement were taken </t>
  </si>
  <si>
    <t xml:space="preserve">PIN HOLE#  </t>
  </si>
  <si>
    <t xml:space="preserve">DIST TO TOP OF SHOOT  </t>
  </si>
  <si>
    <t xml:space="preserve">DIST TO BOTTOM OF SHOOT  </t>
  </si>
  <si>
    <t xml:space="preserve">DIST TO GROUND  </t>
  </si>
  <si>
    <t xml:space="preserve">LAI (LAI-2000)  </t>
  </si>
  <si>
    <t xml:space="preserve">TOT SILHOUETTE AREA  </t>
  </si>
  <si>
    <t xml:space="preserve">SUM(GREEN LEAF, PETIOLE, STIPULE) AREA  </t>
  </si>
  <si>
    <t xml:space="preserve">GREEN LEAF AREA  </t>
  </si>
  <si>
    <t xml:space="preserve">PETIOLE AREA  </t>
  </si>
  <si>
    <t xml:space="preserve">STIPULE AREA  </t>
  </si>
  <si>
    <t xml:space="preserve">OTHER GREEN ORGAN  </t>
  </si>
  <si>
    <t xml:space="preserve">BROWN STEM AREA  </t>
  </si>
  <si>
    <t xml:space="preserve">GREEN STEM AREA  </t>
  </si>
  <si>
    <t xml:space="preserve">TOTAL GREEN AREA  </t>
  </si>
  <si>
    <t xml:space="preserve"> Sum of green tissue area (leaf, petiole, stipule , organ, stem) on shoot </t>
  </si>
  <si>
    <t xml:space="preserve">TOTAL SHOOT AREA (LEAVES, STEM, ORGAN)  </t>
  </si>
  <si>
    <t xml:space="preserve">LEAF COUNT  </t>
  </si>
  <si>
    <t xml:space="preserve"> Number of leaves on shoot </t>
  </si>
  <si>
    <t xml:space="preserve">PETIOLE COUNT  </t>
  </si>
  <si>
    <t xml:space="preserve"> Number of petioles on shoot </t>
  </si>
  <si>
    <t xml:space="preserve">STIPULE COUNT  </t>
  </si>
  <si>
    <t xml:space="preserve"> Number of stipules on shoot </t>
  </si>
  <si>
    <t xml:space="preserve">GREEN ORGAN COUNT  </t>
  </si>
  <si>
    <t xml:space="preserve"> Number of organs on shoot </t>
  </si>
  <si>
    <t xml:space="preserve">TOT LEAF DRY MASS  </t>
  </si>
  <si>
    <t xml:space="preserve">TOT DRY PETIOLE MASS  </t>
  </si>
  <si>
    <t xml:space="preserve">TOT DRY STIPULE MASS  </t>
  </si>
  <si>
    <t xml:space="preserve">AVG MASS PER LEAF  </t>
  </si>
  <si>
    <t xml:space="preserve">AVG MASS PER PETIOLE  </t>
  </si>
  <si>
    <t xml:space="preserve">AVG MASS PER STIPULE  </t>
  </si>
  <si>
    <t xml:space="preserve">AVG MASS PER ORGAN  </t>
  </si>
  <si>
    <t xml:space="preserve">BROWN STEM DRY MASS  </t>
  </si>
  <si>
    <t xml:space="preserve">GREEN STEM DRY MASS  </t>
  </si>
  <si>
    <t xml:space="preserve">TOT SHOOT DRY MASS  </t>
  </si>
  <si>
    <t xml:space="preserve">AVG AREA PER LEAF  </t>
  </si>
  <si>
    <t xml:space="preserve">LMA  </t>
  </si>
  <si>
    <t xml:space="preserve">ORIGINAL LEAF MASS W/ PETIOLE  </t>
  </si>
  <si>
    <t xml:space="preserve">COMMENTS  </t>
  </si>
  <si>
    <t>Low-SALG-5</t>
  </si>
  <si>
    <t>This was a season-long project, though it followed similar methods to ITEX projects performed starting in 2003 that are likely to be replicated in the future for reasearch at the Toolik Field Station, AK.</t>
  </si>
  <si>
    <t xml:space="preserve"> Distance (cm) from the point frame to the highest tip of the shoot </t>
  </si>
  <si>
    <t xml:space="preserve"> Distance (cm) from the point frame to the place  point 5 inches from the tip </t>
  </si>
  <si>
    <t xml:space="preserve"> Distance (cm) of the  highest tip of shoot to the soil </t>
  </si>
  <si>
    <t xml:space="preserve"> Leaf area index measured at shoot location (meter squared leaf per meter square ground)</t>
  </si>
  <si>
    <t xml:space="preserve"> Area of whole shoot as viewed with shoot intact (square cm shoot)</t>
  </si>
  <si>
    <t xml:space="preserve"> Area of green leaves on shoot (square cm leaves)</t>
  </si>
  <si>
    <t xml:space="preserve"> Area of green petioles on shoot (square cm petiole)</t>
  </si>
  <si>
    <t xml:space="preserve"> Area of green stipules on shoot (square cm stipule)</t>
  </si>
  <si>
    <t xml:space="preserve"> Area of green organs on shoot (square cm organ)</t>
  </si>
  <si>
    <t xml:space="preserve"> Area of brown stem on shoot (square cm brown stemP</t>
  </si>
  <si>
    <t xml:space="preserve"> Area of green stem on shoot (square cm green stem)</t>
  </si>
  <si>
    <t xml:space="preserve"> Sum of the area of all tissues (green and brown) on shoot (square cm shoot)</t>
  </si>
  <si>
    <t xml:space="preserve"> Dry mass of  all leaves (g leaf)</t>
  </si>
  <si>
    <t xml:space="preserve"> Dry mass of all petioles (g petiole)</t>
  </si>
  <si>
    <t xml:space="preserve"> Dry mass of all stipules (g stipule)</t>
  </si>
  <si>
    <t xml:space="preserve"> Mass of leaves divided by leaf count (g per leaf)</t>
  </si>
  <si>
    <t xml:space="preserve"> Mass of petioles divided by petiole count (g per petiole)</t>
  </si>
  <si>
    <t xml:space="preserve"> Mass of stipules divided by stipule count (g per stipule)</t>
  </si>
  <si>
    <t xml:space="preserve"> Mass of organs divided by organ count (g per organ)</t>
  </si>
  <si>
    <t xml:space="preserve"> Dry mass of brown stem (g brown stem)</t>
  </si>
  <si>
    <t xml:space="preserve"> Dry mass of green stem (g green stem)</t>
  </si>
  <si>
    <t xml:space="preserve">  Dry mass of total shoot (g shoot)</t>
  </si>
  <si>
    <t xml:space="preserve"> Total leaf area divided by leaf count (square meter per leaf)</t>
  </si>
  <si>
    <t xml:space="preserve"> Leaf mass per unit area (g leaf per square cm leaf)</t>
  </si>
  <si>
    <t xml:space="preserve"> Dry mass of leaves with petioles prior to being separated and re-weighed (uncorrected g leaf)</t>
  </si>
  <si>
    <t>shoot photosynthesis; shrub canopy; point frame; A/Ci curve; light response curve; A/Ci Curve; leaf mass per area (LMA); leaf area index (LAI); ImageJ; opaque conifer chamber; Li-Cor 6400</t>
  </si>
  <si>
    <t>Harvest data including the shoot leaf area index, position in the canopy, and shoot and plant tissue area, count and mass for each shoot harvested at three levels in the canopy from 19 1m x 1m  plots dominated by S. pulchra  and  B. nana shrubs near LTER Shrub plots at Toolik Field Station, AK the summer of 2012.</t>
  </si>
  <si>
    <t>2012_GS_ITEX_PF_ShootHarvestData</t>
  </si>
  <si>
    <t>747 m</t>
  </si>
  <si>
    <t>730 m</t>
  </si>
  <si>
    <t>Location Name</t>
  </si>
  <si>
    <t>LTER Shrub Block 1</t>
  </si>
  <si>
    <t>LTER Shrub Block 2</t>
  </si>
  <si>
    <t xml:space="preserve"> 2012_GS_ITEX_BF3_DiffuseLightData; 012_GS_ITEX_CH_SoilData; 2012_GS_ITEX_CHFluxData; 2012_GS_ITEX_LC_ParameterSummary; 2012_GS_ITEX_MaxCanopyHeight; 2012_GS_ITEX_PercentCover; 2012_GS_ITEX_CHN_Data; 2012_GS_ITEX_PF_LAISummary; 2012_GS_ITEX_RawPinDrop_Data; 2012_GS_ITEX_ShootACiData; 2012_GS_ITEX_ShootHarvestData; 2012_GS_ITEX_ShrubCanopy_DailyLogger; 2012_GS_ITEX_InstantLogger; 2012_GS_ITEX_SunScan_LAI; 2012_GS_ITEX_SunScan_PAR; 2012_GS_PFandCH_GPS; 2012_GS_ITEX_PF_ShootLightCurve; 2003-2004gsfluxleafN; 2003-2009gscurveparameters; 2003-2009gsflux; 2003-2009gsGPSandveg; 2003-2009gsharvestLAI-N; 2003-2009gsspecieslist; 2004-2009gscoverft; 2004-2009gscoversp; </t>
  </si>
  <si>
    <t xml:space="preserve"> Area of the shoot leaves, petioles, and stipules used to correct  A/Ci and light curve data (square cm leaf+petiole+stipule)</t>
  </si>
  <si>
    <t>http://ecosystems.mbl.edu/ARC/meta_template.php?FileName=./terrest/tracegas/xlsfiles/2012_GS_ITEX_PF_ShootHarvestData.html</t>
  </si>
  <si>
    <t>http://metacat.lternet.edu/das/dataAccessServlet?docid=knb-lter-arc.10142&amp;amp;urlTail=terrest/tracegas/data/2012_GS_ITEX_PF_ShootHarvestData.csv</t>
  </si>
  <si>
    <t>Version 2: Missing values changed to #N/A. CH 28Jan2013</t>
  </si>
  <si>
    <t>sievert</t>
  </si>
  <si>
    <t>serialDateNumberYear0000</t>
  </si>
  <si>
    <t>PSU</t>
  </si>
  <si>
    <t>nominalYear</t>
  </si>
  <si>
    <t>nominalWeek</t>
  </si>
  <si>
    <t>nominalMinute</t>
  </si>
  <si>
    <t>nominalLeapYear</t>
  </si>
  <si>
    <t>nominalHour</t>
  </si>
  <si>
    <t>nominalDay</t>
  </si>
  <si>
    <t>millimolePerMeterSquaredPerDay</t>
  </si>
  <si>
    <t>millimolePerLiter</t>
  </si>
  <si>
    <t>micromolePerCentimeterCubed</t>
  </si>
  <si>
    <t>meterCubedPerYear</t>
  </si>
  <si>
    <t>meterCubedPerDay</t>
  </si>
  <si>
    <t>megaJoulePerMeterSquaredPerDay</t>
  </si>
  <si>
    <t>kilogramPerYear</t>
  </si>
  <si>
    <t>gramPerCentimeter</t>
  </si>
  <si>
    <t>Link to Google Map</t>
  </si>
  <si>
    <t>Upland site; co-located in Block 1 of the Shrub LTER sites; IVO 68° 38'18.8" N, 149° 34' 07.2" W +/- 50m. Except for plots marked "FERT", plots are outside of the designated LTER treatments, though are exposed to the same environmental conditions. All plots were chosen by the dominant shrub canopy (either Salix pulchraor Betula nana) and preferentially selected to be 90cm+ in height.</t>
  </si>
  <si>
    <t>Select Site or enter New One</t>
  </si>
  <si>
    <t>LTER_Site_number</t>
  </si>
  <si>
    <t>Description</t>
  </si>
  <si>
    <t>Latitude_decimal_degrees</t>
  </si>
  <si>
    <t>Longitude_decimal_degrees</t>
  </si>
  <si>
    <t>Elevation_m_asl</t>
  </si>
  <si>
    <t>Environment</t>
  </si>
  <si>
    <t>Alternate_Name_1</t>
  </si>
  <si>
    <t>Alternate_Name_2</t>
  </si>
  <si>
    <t>Project_PI</t>
  </si>
  <si>
    <t>OLD_LTER_number_DO_NOT_USE</t>
  </si>
  <si>
    <t>Survey/series</t>
  </si>
  <si>
    <t>Google Map Link</t>
  </si>
  <si>
    <t>GTH</t>
  </si>
  <si>
    <t xml:space="preserve">Severe burn flux Tower </t>
  </si>
  <si>
    <t>Anaktuvuk River Fire - Severe burn flux tower (Station 2304 ) North Slope, Alaska</t>
  </si>
  <si>
    <t/>
  </si>
  <si>
    <t>Terrestrial</t>
  </si>
  <si>
    <t>Landscapes_Shaver</t>
  </si>
  <si>
    <t>Moderate burn flux tower</t>
  </si>
  <si>
    <t>Anaktuvuk River Fire - Moderate burn flux tower (Station 2308 ) North Slope, Alaska</t>
  </si>
  <si>
    <t>Unburned flux tower</t>
  </si>
  <si>
    <t>Anaktuvuk River Fire - Unburned flux tower (Station 2309) North Slope, Alaska</t>
  </si>
  <si>
    <t>NSF_Burn_Shaver</t>
  </si>
  <si>
    <t>Anaktuvuk Burn</t>
  </si>
  <si>
    <t>Ahaliorak Lake</t>
  </si>
  <si>
    <t>Lakes sampled by LTREB on 1 July 2010 - Kling, Crump, Nannen.</t>
  </si>
  <si>
    <t>Lake</t>
  </si>
  <si>
    <t>LTREB_Kling_Crump</t>
  </si>
  <si>
    <t>Far Lakes Survey</t>
  </si>
  <si>
    <t>Airstrip Lakes B1</t>
  </si>
  <si>
    <t>Airstrip Lakes B2</t>
  </si>
  <si>
    <t>Airstrip Lakes B3</t>
  </si>
  <si>
    <t xml:space="preserve">AK BURN REF SITE 1 </t>
  </si>
  <si>
    <t>1 time site visit, 2011, nutrients</t>
  </si>
  <si>
    <t>Burn Streams</t>
  </si>
  <si>
    <t>AK BURN REF SITE 2 - Shrew River, Lower</t>
  </si>
  <si>
    <t>AK BURN REF SITE 4</t>
  </si>
  <si>
    <t>AK BURN REF SITE 5</t>
  </si>
  <si>
    <t>Alexa Creek</t>
  </si>
  <si>
    <t>At the Haul Road</t>
  </si>
  <si>
    <t>Stream</t>
  </si>
  <si>
    <t>LTER</t>
  </si>
  <si>
    <t>Lake and stream survey 1988</t>
  </si>
  <si>
    <t>Anaktuvik_1 lake</t>
  </si>
  <si>
    <t>Anaktuvik_2 lake</t>
  </si>
  <si>
    <t>Anaktuvik_3 lake</t>
  </si>
  <si>
    <t>AR101</t>
  </si>
  <si>
    <t>CALM Grid (Thaw depth)</t>
  </si>
  <si>
    <t>AR102</t>
  </si>
  <si>
    <t>AR103</t>
  </si>
  <si>
    <t>Vegetation and Soils Transect</t>
  </si>
  <si>
    <t>AR104</t>
  </si>
  <si>
    <t>AR105</t>
  </si>
  <si>
    <t>AR106</t>
  </si>
  <si>
    <t>AR107</t>
  </si>
  <si>
    <t>AR108</t>
  </si>
  <si>
    <t>AR109</t>
  </si>
  <si>
    <t>AR110</t>
  </si>
  <si>
    <t>AR111</t>
  </si>
  <si>
    <t>AR112</t>
  </si>
  <si>
    <t>AR113</t>
  </si>
  <si>
    <t>ARFB</t>
  </si>
  <si>
    <t>ARFC</t>
  </si>
  <si>
    <t>Atigun River</t>
  </si>
  <si>
    <t>Confluence with the West Fork of the Atigun</t>
  </si>
  <si>
    <t>Atigun River West Fork</t>
  </si>
  <si>
    <t>Confluence with the main fork of the Atigun</t>
  </si>
  <si>
    <t>Atigun tributary station 01</t>
  </si>
  <si>
    <t>Atigun trib sta 1</t>
  </si>
  <si>
    <t>Atigun tributary station 02</t>
  </si>
  <si>
    <t>Atigun trib sta 2</t>
  </si>
  <si>
    <t>Atigun tributary station 03</t>
  </si>
  <si>
    <t>Atigun trib sta 3</t>
  </si>
  <si>
    <t>Bern Lake</t>
  </si>
  <si>
    <t>Lake and stream survey 1988 #21</t>
  </si>
  <si>
    <t>Birthday Creek</t>
  </si>
  <si>
    <t>LTER_Shaver_Kling_Bowden_Giblin_Luecke</t>
  </si>
  <si>
    <t>Borrow Pit  1</t>
  </si>
  <si>
    <t>Lake and stream survey 1988 #14</t>
  </si>
  <si>
    <t>Borrow Pit  2</t>
  </si>
  <si>
    <t>Lake and stream survey 1988 #15</t>
  </si>
  <si>
    <t>Camp Pond</t>
  </si>
  <si>
    <t>Near old camp by the south end of the runway</t>
  </si>
  <si>
    <t>Lake and stream survey 1988 #27</t>
  </si>
  <si>
    <t>C Pond</t>
  </si>
  <si>
    <t>Campsite Lake</t>
  </si>
  <si>
    <t>Oil Can</t>
  </si>
  <si>
    <t>Gas Can</t>
  </si>
  <si>
    <t>Clem Lake</t>
  </si>
  <si>
    <t>Cobblestone Creek</t>
  </si>
  <si>
    <t>Conflict Lakes A1</t>
  </si>
  <si>
    <t>Conflict Lakes A2</t>
  </si>
  <si>
    <t>Conflict Lakes B1</t>
  </si>
  <si>
    <t>Conflict Lakes B2</t>
  </si>
  <si>
    <t>Conflict Lakes B3</t>
  </si>
  <si>
    <t>Conflict Lakes B4</t>
  </si>
  <si>
    <t>GTH154 or 153</t>
  </si>
  <si>
    <t>Conflict Lakes C1</t>
  </si>
  <si>
    <t>Conflict Lakes C2</t>
  </si>
  <si>
    <t>Control CALM grid, NW corner</t>
  </si>
  <si>
    <t>Costal Plain Lake  00</t>
  </si>
  <si>
    <t>Costal plain Survey #1 in 1995</t>
  </si>
  <si>
    <t>Costal Plain Lake  01</t>
  </si>
  <si>
    <t>LH-1</t>
  </si>
  <si>
    <t>Coastal Plain Lakes Helicopter Survey 1994, 1995 #1 and #2</t>
  </si>
  <si>
    <t>LS-1</t>
  </si>
  <si>
    <t>Costal Plain Lakes Helicopter Survey (#1 and #2 1996 &amp; 1997)</t>
  </si>
  <si>
    <t>Costal Plain Lake  02</t>
  </si>
  <si>
    <t>LH-2</t>
  </si>
  <si>
    <t>LS-2</t>
  </si>
  <si>
    <t>Costal Plain Lake  03</t>
  </si>
  <si>
    <t>LH-3</t>
  </si>
  <si>
    <t>LS-3</t>
  </si>
  <si>
    <t>Costal Plain Lake  04</t>
  </si>
  <si>
    <t>LH-4</t>
  </si>
  <si>
    <t>LS-4</t>
  </si>
  <si>
    <t>Costal Plain Lake  05</t>
  </si>
  <si>
    <t>LH-5</t>
  </si>
  <si>
    <t>LS-5</t>
  </si>
  <si>
    <t>Costal Plain Lake  06</t>
  </si>
  <si>
    <t>LH-6</t>
  </si>
  <si>
    <t>LS-6</t>
  </si>
  <si>
    <t>Costal Plain Lake  07</t>
  </si>
  <si>
    <t>LH-7</t>
  </si>
  <si>
    <t>LS-7</t>
  </si>
  <si>
    <t>Costal Plain Lake  08</t>
  </si>
  <si>
    <t>LH-8</t>
  </si>
  <si>
    <t>LS-8</t>
  </si>
  <si>
    <t>Costal Plain Lake  09</t>
  </si>
  <si>
    <t>LH-9</t>
  </si>
  <si>
    <t>LS-9</t>
  </si>
  <si>
    <t>Costal Plain Lake  10</t>
  </si>
  <si>
    <t>LH-10</t>
  </si>
  <si>
    <t>LS-10</t>
  </si>
  <si>
    <t>Costal Plain Lake  11</t>
  </si>
  <si>
    <t>LH-11</t>
  </si>
  <si>
    <t>LS-11</t>
  </si>
  <si>
    <t>Costal Plain Lake  12</t>
  </si>
  <si>
    <t>LH-12</t>
  </si>
  <si>
    <t>LS-12</t>
  </si>
  <si>
    <t>Costal Plain Lake  13</t>
  </si>
  <si>
    <t>LH-13</t>
  </si>
  <si>
    <t>LS-13</t>
  </si>
  <si>
    <t>Costal Plain Lake  14</t>
  </si>
  <si>
    <t>LH-14</t>
  </si>
  <si>
    <t>LS-14</t>
  </si>
  <si>
    <t>Costal Plain Lake  15</t>
  </si>
  <si>
    <t>LS-15</t>
  </si>
  <si>
    <t>Costal Plain Lake  16</t>
  </si>
  <si>
    <t>LH-16</t>
  </si>
  <si>
    <t>LS-16</t>
  </si>
  <si>
    <t>Costal Plain Lake  17</t>
  </si>
  <si>
    <t>LH-17</t>
  </si>
  <si>
    <t>LS-17</t>
  </si>
  <si>
    <t>Costal Plain Lake  18</t>
  </si>
  <si>
    <t>LH-18</t>
  </si>
  <si>
    <t>LS-18</t>
  </si>
  <si>
    <t>Costal Plain Lake  19</t>
  </si>
  <si>
    <t>LH-19</t>
  </si>
  <si>
    <t>LS-19</t>
  </si>
  <si>
    <t>Costal Plain Lake  20</t>
  </si>
  <si>
    <t>LH-20</t>
  </si>
  <si>
    <t>LS-20</t>
  </si>
  <si>
    <t>Costal Plain Lake  21</t>
  </si>
  <si>
    <t>LH-21</t>
  </si>
  <si>
    <t>LS-21</t>
  </si>
  <si>
    <t>Costal Plain Lake  22</t>
  </si>
  <si>
    <t>LH-22</t>
  </si>
  <si>
    <t>LS-22</t>
  </si>
  <si>
    <t>Costal Plain Lake  23</t>
  </si>
  <si>
    <t>LH-23</t>
  </si>
  <si>
    <t>LS-23</t>
  </si>
  <si>
    <t>Costal Plain Lake  24</t>
  </si>
  <si>
    <t>LH-24</t>
  </si>
  <si>
    <t>LS-24</t>
  </si>
  <si>
    <t>Costal Plain Lake  25</t>
  </si>
  <si>
    <t>LH-25</t>
  </si>
  <si>
    <t>LS-25</t>
  </si>
  <si>
    <t>Costal Plain Lake  26</t>
  </si>
  <si>
    <t>LH-26</t>
  </si>
  <si>
    <t>LS-26</t>
  </si>
  <si>
    <t>Costal Plain Lake  27</t>
  </si>
  <si>
    <t>LH-27</t>
  </si>
  <si>
    <t>LS-27</t>
  </si>
  <si>
    <t>Costal Plain Lake  28</t>
  </si>
  <si>
    <t>LH-28</t>
  </si>
  <si>
    <t>LS-28</t>
  </si>
  <si>
    <t>Costal Plain Lake  29</t>
  </si>
  <si>
    <t>LH-29</t>
  </si>
  <si>
    <t>Costal Plain Lake  30</t>
  </si>
  <si>
    <t>Colville river</t>
  </si>
  <si>
    <t>Coastal Plain survey #3 in 1995</t>
  </si>
  <si>
    <t>Dam Pond</t>
  </si>
  <si>
    <t>Behind kitchen at new camp, just north of main Toolik Inlet</t>
  </si>
  <si>
    <t>Dennis Lake</t>
  </si>
  <si>
    <t>Lakes north of Toolik Lake, flowing into Toolik outlet stream</t>
  </si>
  <si>
    <t>Desert Lake</t>
  </si>
  <si>
    <t>Far South survey 1999</t>
  </si>
  <si>
    <t>Dimple Flux Star</t>
  </si>
  <si>
    <t>Surface Reflectance Sampling</t>
  </si>
  <si>
    <t>Dimple Lake</t>
  </si>
  <si>
    <t>Dimple Lake Inlet</t>
  </si>
  <si>
    <t>Dimple Inlet</t>
  </si>
  <si>
    <t>Dimple Lake Outlet</t>
  </si>
  <si>
    <t>Dimple Outlet</t>
  </si>
  <si>
    <t>Dimple Lake Outlet - NEW</t>
  </si>
  <si>
    <t>Dimple Lake Outlet Stream</t>
  </si>
  <si>
    <t>Dimple Outlet Stream</t>
  </si>
  <si>
    <t>Drill Hole Lake</t>
  </si>
  <si>
    <t>Duckling pond</t>
  </si>
  <si>
    <t>Dune Pond</t>
  </si>
  <si>
    <t>Lake and stream survey 1988 #20</t>
  </si>
  <si>
    <t>E 01</t>
  </si>
  <si>
    <t>E 1</t>
  </si>
  <si>
    <t>E1</t>
  </si>
  <si>
    <t>E 01 Outlet</t>
  </si>
  <si>
    <t>E1 Outlet</t>
  </si>
  <si>
    <t>E1-Out</t>
  </si>
  <si>
    <t>E 02</t>
  </si>
  <si>
    <t>E 2</t>
  </si>
  <si>
    <t>E2</t>
  </si>
  <si>
    <t>E 03</t>
  </si>
  <si>
    <t>E 3</t>
  </si>
  <si>
    <t>E3</t>
  </si>
  <si>
    <t>E 04</t>
  </si>
  <si>
    <t>E 4</t>
  </si>
  <si>
    <t>E4</t>
  </si>
  <si>
    <t>E 05</t>
  </si>
  <si>
    <t>Oil Spill Lake</t>
  </si>
  <si>
    <t>Oil</t>
  </si>
  <si>
    <t>E 06</t>
  </si>
  <si>
    <t>E 6</t>
  </si>
  <si>
    <t>E6</t>
  </si>
  <si>
    <t>E 5 Inlet South</t>
  </si>
  <si>
    <t xml:space="preserve">E 05 In South        </t>
  </si>
  <si>
    <t>E5InS</t>
  </si>
  <si>
    <t>E 5 Inlet West</t>
  </si>
  <si>
    <t xml:space="preserve">E 05 In West        </t>
  </si>
  <si>
    <t>E5InWest</t>
  </si>
  <si>
    <t>E 5 Outlet</t>
  </si>
  <si>
    <t>E5 Out</t>
  </si>
  <si>
    <t>E5Out</t>
  </si>
  <si>
    <t>Echooka River</t>
  </si>
  <si>
    <t>Elusive Lake</t>
  </si>
  <si>
    <t>On accomplishment Creek</t>
  </si>
  <si>
    <t>Escher Lakes 01</t>
  </si>
  <si>
    <t>Escher Lakes 02</t>
  </si>
  <si>
    <t>Escher Lakes 03</t>
  </si>
  <si>
    <t>Escher Lakes 04</t>
  </si>
  <si>
    <t>Escher Lakes 05</t>
  </si>
  <si>
    <t>Escher Lakes 06</t>
  </si>
  <si>
    <t>Far South Lake  04</t>
  </si>
  <si>
    <t>Far South Lake  05</t>
  </si>
  <si>
    <t>Fog Lake 1</t>
  </si>
  <si>
    <t>Foggy Lake</t>
  </si>
  <si>
    <t>Fog 01</t>
  </si>
  <si>
    <t>Fog Lake 2</t>
  </si>
  <si>
    <t>Hanging Lake</t>
  </si>
  <si>
    <t>Fog 02</t>
  </si>
  <si>
    <t>Fog Lake 3</t>
  </si>
  <si>
    <t>Moose Lake</t>
  </si>
  <si>
    <t>Fog 03</t>
  </si>
  <si>
    <t>Fog Lake 4</t>
  </si>
  <si>
    <t>Fog 04</t>
  </si>
  <si>
    <t>F4</t>
  </si>
  <si>
    <t>Fog Lake 5</t>
  </si>
  <si>
    <t>Fog 05</t>
  </si>
  <si>
    <t>F5</t>
  </si>
  <si>
    <t>Galbraith Lake</t>
  </si>
  <si>
    <t>Lake and stream survey 1988 #04</t>
  </si>
  <si>
    <t>Galbraith lake survey lake 03</t>
  </si>
  <si>
    <t>GS03</t>
  </si>
  <si>
    <t>Galbraith lake survey</t>
  </si>
  <si>
    <t>Galbraith lake survey lake 04</t>
  </si>
  <si>
    <t>GS04</t>
  </si>
  <si>
    <t>Galbraith lake survey lake 05</t>
  </si>
  <si>
    <t>GS05</t>
  </si>
  <si>
    <t>Galbraith lake survey lake 06</t>
  </si>
  <si>
    <t>GS06</t>
  </si>
  <si>
    <t>Galbraith lake survey lake 07</t>
  </si>
  <si>
    <t>GS07</t>
  </si>
  <si>
    <t>Galbraith lake survey lake 08</t>
  </si>
  <si>
    <t>GS08</t>
  </si>
  <si>
    <t>Galbraith lake survey lake 09</t>
  </si>
  <si>
    <t>GS09</t>
  </si>
  <si>
    <t>Galbraith lake survey lake 14</t>
  </si>
  <si>
    <t>GS14</t>
  </si>
  <si>
    <t>Galbraith lake survey lake 17</t>
  </si>
  <si>
    <t>GS17</t>
  </si>
  <si>
    <t>Galbraith lake survey lake 18</t>
  </si>
  <si>
    <t>GS18</t>
  </si>
  <si>
    <t>Galbraith lake survey lake 19</t>
  </si>
  <si>
    <t>GS19</t>
  </si>
  <si>
    <t>Galbraith lake survey lake 20</t>
  </si>
  <si>
    <t>GS20</t>
  </si>
  <si>
    <t>Gates River Station 04</t>
  </si>
  <si>
    <t>Gates River Sta. 4</t>
  </si>
  <si>
    <t>Gates River Station 05</t>
  </si>
  <si>
    <t>Gates River Sta. 5</t>
  </si>
  <si>
    <t>Gates River Station 06</t>
  </si>
  <si>
    <t>Gates River Sta. 6</t>
  </si>
  <si>
    <t>Green Cabin Lake</t>
  </si>
  <si>
    <t>Headwater Lake of the Kupurak River</t>
  </si>
  <si>
    <t>GTH#46</t>
  </si>
  <si>
    <t>GTH 046</t>
  </si>
  <si>
    <t>GTH 100</t>
  </si>
  <si>
    <t>Lake is called GTH 100 and Airstrip Lakes A2</t>
  </si>
  <si>
    <t>Airstrip Lakes A2</t>
  </si>
  <si>
    <t>GTH_Hershey</t>
  </si>
  <si>
    <t>Geomorphic Trophic Hypothesis</t>
  </si>
  <si>
    <t>GTH 101</t>
  </si>
  <si>
    <t>Lake is called GTH 101 and Airstrip Lakes A3</t>
  </si>
  <si>
    <t>Airstrip Lakes A3</t>
  </si>
  <si>
    <t>GTH 102</t>
  </si>
  <si>
    <t xml:space="preserve">Lake is called GTH 102 and </t>
  </si>
  <si>
    <t>GTH 103</t>
  </si>
  <si>
    <t>Lake is called GTH 103 and Airstrip Lakes A4</t>
  </si>
  <si>
    <t>Airstrip Lakes A4</t>
  </si>
  <si>
    <t>GTH 104</t>
  </si>
  <si>
    <t>Lake is called GTH 104</t>
  </si>
  <si>
    <t>GTH 105</t>
  </si>
  <si>
    <t>Lake is called GTH 105</t>
  </si>
  <si>
    <t>GTH 106</t>
  </si>
  <si>
    <t>Lake is called GTH 106</t>
  </si>
  <si>
    <t>GTH 107</t>
  </si>
  <si>
    <t>Lake is called GTH 107</t>
  </si>
  <si>
    <t>GTH 108</t>
  </si>
  <si>
    <t>Lake is called GTH 108</t>
  </si>
  <si>
    <t>GTH 109</t>
  </si>
  <si>
    <t>Lake is called GTH 109</t>
  </si>
  <si>
    <t>GTH 110</t>
  </si>
  <si>
    <t>Lake is called GTH 110</t>
  </si>
  <si>
    <t>GTH 111</t>
  </si>
  <si>
    <t>Lake is called GTH 111</t>
  </si>
  <si>
    <t>GTH 112</t>
  </si>
  <si>
    <t>Lake is called GTH 112</t>
  </si>
  <si>
    <t>GTH 113</t>
  </si>
  <si>
    <t>Lake is called GTH 113</t>
  </si>
  <si>
    <t>GTH 114</t>
  </si>
  <si>
    <t>Lake is called GTH 114</t>
  </si>
  <si>
    <t>GTH 82</t>
  </si>
  <si>
    <t>Lake is called GTH 82</t>
  </si>
  <si>
    <t>GTH 83</t>
  </si>
  <si>
    <t>Lake is called GTH 83</t>
  </si>
  <si>
    <t>GTH 84</t>
  </si>
  <si>
    <t>Lake is called GTH 84</t>
  </si>
  <si>
    <t>GTH 85</t>
  </si>
  <si>
    <t>Lake is called GTH 85</t>
  </si>
  <si>
    <t>GTH 86</t>
  </si>
  <si>
    <t>Lake is called GTH 86</t>
  </si>
  <si>
    <t>GTH 87</t>
  </si>
  <si>
    <t>Lake is called GTH 87</t>
  </si>
  <si>
    <t>GTH 88</t>
  </si>
  <si>
    <t>Lake is called GTH 88</t>
  </si>
  <si>
    <t>GTH 89</t>
  </si>
  <si>
    <t>Lake is called GTH 89</t>
  </si>
  <si>
    <t>GTH 90</t>
  </si>
  <si>
    <t>Lake is called GTH 90</t>
  </si>
  <si>
    <t>GTH 91</t>
  </si>
  <si>
    <t>Lake is called GTH 91</t>
  </si>
  <si>
    <t>GTH 92</t>
  </si>
  <si>
    <t>Lake is called GTH 92</t>
  </si>
  <si>
    <t>GTH 93</t>
  </si>
  <si>
    <t>Lake is called GTH 93</t>
  </si>
  <si>
    <t>GTH 94</t>
  </si>
  <si>
    <t>Lake is called GTH 94</t>
  </si>
  <si>
    <t>GTH 95</t>
  </si>
  <si>
    <t>Lake is called GTH 95</t>
  </si>
  <si>
    <t>GTH 96</t>
  </si>
  <si>
    <t>Lake is called GTH 96</t>
  </si>
  <si>
    <t>GTH 97</t>
  </si>
  <si>
    <t>Lake is called GTH 97</t>
  </si>
  <si>
    <t>GTH 98</t>
  </si>
  <si>
    <t>Lake is called GTH 98</t>
  </si>
  <si>
    <t>GTH 99</t>
  </si>
  <si>
    <t>Lake is called GTH 99 and Airstrip Lakes A1</t>
  </si>
  <si>
    <t>Airstrip Lakes A1</t>
  </si>
  <si>
    <t>Gypsy Pool</t>
  </si>
  <si>
    <t>Happy Valley Stream</t>
  </si>
  <si>
    <t>Helicopter Survey Lake  01</t>
  </si>
  <si>
    <t>LH2-1</t>
  </si>
  <si>
    <t>Lakes Helicopter Survey #2 1994, 1995</t>
  </si>
  <si>
    <t>Helicopter Survey Lake  02</t>
  </si>
  <si>
    <t>LH2-2</t>
  </si>
  <si>
    <t>Helicopter Survey Lake  03</t>
  </si>
  <si>
    <t>LH2-3</t>
  </si>
  <si>
    <t>Helicopter Survey Lake  04</t>
  </si>
  <si>
    <t>LH2-4</t>
  </si>
  <si>
    <t>Helicopter Survey Lake  05</t>
  </si>
  <si>
    <t>LH2-5</t>
  </si>
  <si>
    <t>Helicopter Survey Lake  06</t>
  </si>
  <si>
    <t>LH2-6</t>
  </si>
  <si>
    <t>Helicopter Survey Lake  07</t>
  </si>
  <si>
    <t>LH2-7</t>
  </si>
  <si>
    <t>Helicopter Survey Lake  08</t>
  </si>
  <si>
    <t>LH2-8</t>
  </si>
  <si>
    <t>Helicopter Survey Lake  09</t>
  </si>
  <si>
    <t>LH2-9</t>
  </si>
  <si>
    <t>Helicopter Survey Lake  10</t>
  </si>
  <si>
    <t>LH2-10</t>
  </si>
  <si>
    <t>Helicopter Survey Lake  11</t>
  </si>
  <si>
    <t>LH2-11</t>
  </si>
  <si>
    <t>Helicopter Survey Lake  12</t>
  </si>
  <si>
    <t>LH2-12</t>
  </si>
  <si>
    <t>Helicopter Survey Lake  13</t>
  </si>
  <si>
    <t>LH2-13</t>
  </si>
  <si>
    <t>Helicopter Survey Lake  14</t>
  </si>
  <si>
    <t>LH2-14</t>
  </si>
  <si>
    <t>Coastal plain survey #2 in 1995</t>
  </si>
  <si>
    <t>Helicopter Survey Lake  15</t>
  </si>
  <si>
    <t>LH2-15</t>
  </si>
  <si>
    <t>Hershey Creek</t>
  </si>
  <si>
    <t>nutrients</t>
  </si>
  <si>
    <t>Horn Lake</t>
  </si>
  <si>
    <t>I Minus</t>
  </si>
  <si>
    <t>Toolik Inlet Lakes</t>
  </si>
  <si>
    <t>I Minus 01</t>
  </si>
  <si>
    <t>I Minus 1</t>
  </si>
  <si>
    <t>I Minus 02</t>
  </si>
  <si>
    <t>I Minus 2</t>
  </si>
  <si>
    <t>I Minus Inlet</t>
  </si>
  <si>
    <t>Surveyed by Kling, Crump, Nannen in 2010</t>
  </si>
  <si>
    <t>Thermokarst</t>
  </si>
  <si>
    <t>I Minus Outlet</t>
  </si>
  <si>
    <t>I Swamp</t>
  </si>
  <si>
    <t>Swamp</t>
  </si>
  <si>
    <t>I Swamp Inlet</t>
  </si>
  <si>
    <t>Swamp between I8 an I9</t>
  </si>
  <si>
    <t>I-swamp In</t>
  </si>
  <si>
    <t>Swamp In</t>
  </si>
  <si>
    <t>ISeries</t>
  </si>
  <si>
    <t>I Swamp Outlet</t>
  </si>
  <si>
    <t>I-swamp Out</t>
  </si>
  <si>
    <t>Swamp Out</t>
  </si>
  <si>
    <t>I1</t>
  </si>
  <si>
    <t>I 1</t>
  </si>
  <si>
    <t>I-1</t>
  </si>
  <si>
    <t>I1 into I3</t>
  </si>
  <si>
    <t>I1-I3</t>
  </si>
  <si>
    <t>IS4</t>
  </si>
  <si>
    <t>I1 Outlet</t>
  </si>
  <si>
    <t>I1 Out</t>
  </si>
  <si>
    <t>IS3</t>
  </si>
  <si>
    <t>I2</t>
  </si>
  <si>
    <t>I 2</t>
  </si>
  <si>
    <t>I-2</t>
  </si>
  <si>
    <t>I2 into I3</t>
  </si>
  <si>
    <t>I2-I3</t>
  </si>
  <si>
    <t>IS5</t>
  </si>
  <si>
    <t>I2 Outlet</t>
  </si>
  <si>
    <t>I2 Out</t>
  </si>
  <si>
    <t>IS2</t>
  </si>
  <si>
    <t>I3</t>
  </si>
  <si>
    <t>I 3</t>
  </si>
  <si>
    <t>I-3</t>
  </si>
  <si>
    <t>I3 Outlet</t>
  </si>
  <si>
    <t>I3 Out</t>
  </si>
  <si>
    <t>IS6</t>
  </si>
  <si>
    <t>I4</t>
  </si>
  <si>
    <t>I 4</t>
  </si>
  <si>
    <t>I-4</t>
  </si>
  <si>
    <t>I4 into I5</t>
  </si>
  <si>
    <t>I4-I5</t>
  </si>
  <si>
    <t>IS8</t>
  </si>
  <si>
    <t>I4 Outlet</t>
  </si>
  <si>
    <t>I4 Out</t>
  </si>
  <si>
    <t>IS7</t>
  </si>
  <si>
    <t>I5</t>
  </si>
  <si>
    <t>I 5</t>
  </si>
  <si>
    <t>I-5</t>
  </si>
  <si>
    <t>I5 into I6</t>
  </si>
  <si>
    <t>I5-I6</t>
  </si>
  <si>
    <t>IS10</t>
  </si>
  <si>
    <t>I5 Outlet</t>
  </si>
  <si>
    <t>I5 Out</t>
  </si>
  <si>
    <t>IS9</t>
  </si>
  <si>
    <t>I6</t>
  </si>
  <si>
    <t>I 6</t>
  </si>
  <si>
    <t>I-6</t>
  </si>
  <si>
    <t>I6 Headwater Lake</t>
  </si>
  <si>
    <t>I6 West Headwater</t>
  </si>
  <si>
    <t>I6 HW</t>
  </si>
  <si>
    <t>I6 Headwater Lake Inlet</t>
  </si>
  <si>
    <t>I6 West Headwaters Inlet</t>
  </si>
  <si>
    <t>I6 HW Inlet</t>
  </si>
  <si>
    <t>I6 Headwater Lake into I6 station 2</t>
  </si>
  <si>
    <t>Surveyed by LTREB in 2008, 2009, 2010</t>
  </si>
  <si>
    <t>Stream Survey</t>
  </si>
  <si>
    <t>I6 Headwater Lake into I6 station 3</t>
  </si>
  <si>
    <t>I6 Headwater Lake Outlet</t>
  </si>
  <si>
    <t>I6 West Headwaters Outlet</t>
  </si>
  <si>
    <t>I6 HW Outlet</t>
  </si>
  <si>
    <t>I6 Inlet West</t>
  </si>
  <si>
    <t>I6 West Inlet</t>
  </si>
  <si>
    <t>IS11</t>
  </si>
  <si>
    <t>I6 Outlet</t>
  </si>
  <si>
    <t>I6 Out</t>
  </si>
  <si>
    <t>IS12</t>
  </si>
  <si>
    <t>I7</t>
  </si>
  <si>
    <t>I 7</t>
  </si>
  <si>
    <t>I-7</t>
  </si>
  <si>
    <t>I7 into I9</t>
  </si>
  <si>
    <t>I7-I9</t>
  </si>
  <si>
    <t>IS16</t>
  </si>
  <si>
    <t>I7 Outlet</t>
  </si>
  <si>
    <t>I7 Out</t>
  </si>
  <si>
    <t>IS13</t>
  </si>
  <si>
    <t>I8</t>
  </si>
  <si>
    <t>I 8</t>
  </si>
  <si>
    <t>I-8</t>
  </si>
  <si>
    <t>I8 Headwater</t>
  </si>
  <si>
    <t>I8 HW</t>
  </si>
  <si>
    <t>IS1</t>
  </si>
  <si>
    <t>I8 Headwater stream station 2</t>
  </si>
  <si>
    <t>I8 Headwater stream station 3</t>
  </si>
  <si>
    <t>I8 Inlet</t>
  </si>
  <si>
    <t>I8 In</t>
  </si>
  <si>
    <t>IS14</t>
  </si>
  <si>
    <t>I8 Inlet East</t>
  </si>
  <si>
    <t>Surveyed by Ashley Larsen for her REU project in 2007.  Mentored by GWK and HEA</t>
  </si>
  <si>
    <t>REU_Kling_Larsen_Adams</t>
  </si>
  <si>
    <t>I8 Mass Balance Survey</t>
  </si>
  <si>
    <t>I8 Inlet East Northeast</t>
  </si>
  <si>
    <t>I8 Inlet South</t>
  </si>
  <si>
    <t>I8 Inlet Southeast</t>
  </si>
  <si>
    <t>I8 Inlet-0.42k</t>
  </si>
  <si>
    <t>I8 Headwaters Habitat Survey</t>
  </si>
  <si>
    <t>I8 into I9</t>
  </si>
  <si>
    <t>I8-I9</t>
  </si>
  <si>
    <t>IS17</t>
  </si>
  <si>
    <t>I8 Lake Center</t>
  </si>
  <si>
    <t>I8 Lake East</t>
  </si>
  <si>
    <t>I8 Lake Northeast</t>
  </si>
  <si>
    <t>I8 Lake Northwest</t>
  </si>
  <si>
    <t>I8 Lake Southeast</t>
  </si>
  <si>
    <t>I8 Lake Southwest</t>
  </si>
  <si>
    <t>I8 Lake West</t>
  </si>
  <si>
    <t>I8 Northeast Inlet</t>
  </si>
  <si>
    <t>I8 Outlet</t>
  </si>
  <si>
    <t>I8 Out</t>
  </si>
  <si>
    <t xml:space="preserve">Blueberry Creek </t>
  </si>
  <si>
    <t>I8 Outlet Tributary</t>
  </si>
  <si>
    <t>"NA" is the same as Blueberry Creek, and should be called I-8 Outlet</t>
  </si>
  <si>
    <t>NA Trib</t>
  </si>
  <si>
    <t>Blueberry Creek Trib</t>
  </si>
  <si>
    <t>I9</t>
  </si>
  <si>
    <t>I 9</t>
  </si>
  <si>
    <t>I-9</t>
  </si>
  <si>
    <t>I9 Outlet</t>
  </si>
  <si>
    <t>I9 Out</t>
  </si>
  <si>
    <t>IS22</t>
  </si>
  <si>
    <t>Im2 HIGH SIDE</t>
  </si>
  <si>
    <t>Streams</t>
  </si>
  <si>
    <t>Im2 IMP</t>
  </si>
  <si>
    <t>Im2 REF</t>
  </si>
  <si>
    <t>Im2 TK HIGH</t>
  </si>
  <si>
    <t>Im2 TK LOW</t>
  </si>
  <si>
    <t>Imnavait A</t>
  </si>
  <si>
    <t>Imnavait AA</t>
  </si>
  <si>
    <t>Imnavait B</t>
  </si>
  <si>
    <t>Imnavait C</t>
  </si>
  <si>
    <t>Imnavait Creek</t>
  </si>
  <si>
    <t>IMN</t>
  </si>
  <si>
    <t>Imnaviat</t>
  </si>
  <si>
    <t>Imnavait D</t>
  </si>
  <si>
    <t>Imnavait E</t>
  </si>
  <si>
    <t>Imnavait Site 02</t>
  </si>
  <si>
    <t>Imnavait Site2</t>
  </si>
  <si>
    <t>Imnavait Site 03</t>
  </si>
  <si>
    <t>Imnavait Site3</t>
  </si>
  <si>
    <t>Biocomplexity_Kling_Stieglitz</t>
  </si>
  <si>
    <t>Imnavait Upper</t>
  </si>
  <si>
    <t>Imnavait Weir</t>
  </si>
  <si>
    <t>IMN Weir</t>
  </si>
  <si>
    <t>Imnavait</t>
  </si>
  <si>
    <t>Imnavait WT 07 Weir</t>
  </si>
  <si>
    <t>WT7 weir</t>
  </si>
  <si>
    <t>Imnavait WT 07-01</t>
  </si>
  <si>
    <t>Imnavait WT 07-02</t>
  </si>
  <si>
    <t>Imnavait WT 07-03</t>
  </si>
  <si>
    <t>Imnavait WT 07-04</t>
  </si>
  <si>
    <t>Imnavait WT 08-01</t>
  </si>
  <si>
    <t>IMN WT 8-1</t>
  </si>
  <si>
    <t>Imnavait WT 08-02</t>
  </si>
  <si>
    <t>IMN WT 8-2</t>
  </si>
  <si>
    <t>Imnavait WT 08-03</t>
  </si>
  <si>
    <t>IMN WT 8-3</t>
  </si>
  <si>
    <t>Imnavait WT 08-04</t>
  </si>
  <si>
    <t>IMN WT 8-4</t>
  </si>
  <si>
    <t>Imnavait WT 08-05</t>
  </si>
  <si>
    <t>IMN WT 8-5</t>
  </si>
  <si>
    <t>Imnavait WT 08-06</t>
  </si>
  <si>
    <t>IMN WT 8-6</t>
  </si>
  <si>
    <t>Imnavait WT 08-07</t>
  </si>
  <si>
    <t>IMN WT 8-7</t>
  </si>
  <si>
    <t>Imnavait WT 08-08</t>
  </si>
  <si>
    <t>IMN WT 8-8</t>
  </si>
  <si>
    <t>Imnavait WT 08-09</t>
  </si>
  <si>
    <t>IMN WT 8-9</t>
  </si>
  <si>
    <t>Imnavait WT 08-10</t>
  </si>
  <si>
    <t>IMN WT 8-10</t>
  </si>
  <si>
    <t>Imnavait WT 08-11</t>
  </si>
  <si>
    <t>IMN WT 8-11</t>
  </si>
  <si>
    <t>Imnavait WT 08-12</t>
  </si>
  <si>
    <t>IMN WT 8-12</t>
  </si>
  <si>
    <t>Imnavait WT 08-13</t>
  </si>
  <si>
    <t>IMN WT 8-13</t>
  </si>
  <si>
    <t>Imnavait WT 08-14</t>
  </si>
  <si>
    <t>IMN WT 8-14</t>
  </si>
  <si>
    <t>Imnavait WT 08-15</t>
  </si>
  <si>
    <t>IMN WT 8-15</t>
  </si>
  <si>
    <t>Imnavait WT 08-16</t>
  </si>
  <si>
    <t>IMN WT 8-16</t>
  </si>
  <si>
    <t>Imnavait WT 08-17</t>
  </si>
  <si>
    <t>IMN WT 8-17</t>
  </si>
  <si>
    <t>Imnavait WT 12 CR5</t>
  </si>
  <si>
    <t>Imnavait WT 12 FS5</t>
  </si>
  <si>
    <t>Imnavait WT 12 LB5</t>
  </si>
  <si>
    <t>Yuriko Yano and Kei Koba sites on Water Track 12 - FS=Footslope, CR=Crest, UB=Upper Back Slope, LB=Lower Back Slope</t>
  </si>
  <si>
    <t>Imnavait WT 12 UB5</t>
  </si>
  <si>
    <t>Island Lake</t>
  </si>
  <si>
    <t>Lake and stream survey 1988 #28</t>
  </si>
  <si>
    <t>Itigaknit Lake</t>
  </si>
  <si>
    <t>Has been called NE15, which is incorrect.  Delete this reference if you find it, and change to Itigaknit.</t>
  </si>
  <si>
    <t>Itkillik Lake</t>
  </si>
  <si>
    <t>Itkillik</t>
  </si>
  <si>
    <t>Itkillik Trib East</t>
  </si>
  <si>
    <t>nutrients and YOY</t>
  </si>
  <si>
    <t>Itkillik Trib West</t>
  </si>
  <si>
    <t>Itkillik Tributary-Burned</t>
  </si>
  <si>
    <t>Angie 1a</t>
  </si>
  <si>
    <t>Itkillik Tributary-Unburned</t>
  </si>
  <si>
    <t>Angie 2a</t>
  </si>
  <si>
    <t>Kuparuk 0.0k</t>
  </si>
  <si>
    <t>1985-1995, 2011-present phosphorus addition</t>
  </si>
  <si>
    <t>Kuparuk -0.177k</t>
  </si>
  <si>
    <t>Kuparuk 0.3k</t>
  </si>
  <si>
    <t>YOY</t>
  </si>
  <si>
    <t>Kuparuk -0.3k</t>
  </si>
  <si>
    <t>Kuparuk -0.47k</t>
  </si>
  <si>
    <t>Kuparuk 0.56k</t>
  </si>
  <si>
    <t>Kuparuk 0.5k</t>
  </si>
  <si>
    <t>high-flow discharge measurements</t>
  </si>
  <si>
    <t>Kuparuk 0.74k</t>
  </si>
  <si>
    <t>Kuparuk -0.7k</t>
  </si>
  <si>
    <t>Kuparuk 0.85k</t>
  </si>
  <si>
    <t>Kuparuk 1.0k</t>
  </si>
  <si>
    <t>Kuparuk 1.39k</t>
  </si>
  <si>
    <t>Kuparuk 1.4k</t>
  </si>
  <si>
    <t>1996-2010 phosphoric addition, 2011-present half-rate phosphoric addition</t>
  </si>
  <si>
    <t>Kuparuk 1.8k</t>
  </si>
  <si>
    <t>Kuparuk 2.0k</t>
  </si>
  <si>
    <t>Kuparuk 2.4k</t>
  </si>
  <si>
    <t>Kuparuk 2.5k</t>
  </si>
  <si>
    <t>Kuparuk 3.0k</t>
  </si>
  <si>
    <t>Kuparuk 4.0k</t>
  </si>
  <si>
    <t>Kuparuk game camera</t>
  </si>
  <si>
    <t>game camera</t>
  </si>
  <si>
    <t>Kuparuk River at haul Rd.</t>
  </si>
  <si>
    <t>Kup</t>
  </si>
  <si>
    <t>Kuparuk River Ice Field</t>
  </si>
  <si>
    <t>Kuparuk aufeis</t>
  </si>
  <si>
    <t>Kuparuk Spring</t>
  </si>
  <si>
    <t>KUPB</t>
  </si>
  <si>
    <t>Lake Africa</t>
  </si>
  <si>
    <t>Lake and stream survey 1988 #18</t>
  </si>
  <si>
    <t>Lake Anne</t>
  </si>
  <si>
    <t>Lake and stream survey 1988 #05</t>
  </si>
  <si>
    <t>Lake Carolyn</t>
  </si>
  <si>
    <t>Lake and stream survey 1988 #17</t>
  </si>
  <si>
    <t>Lake Charles</t>
  </si>
  <si>
    <t>Lake and stream survey 1988 #10</t>
  </si>
  <si>
    <t>Lake Colleen</t>
  </si>
  <si>
    <t>Lake and stream survey 1988 #22</t>
  </si>
  <si>
    <t>Colleen Lake</t>
  </si>
  <si>
    <t>Lake George</t>
  </si>
  <si>
    <t>Lake and stream survey 1988 #06</t>
  </si>
  <si>
    <t>Lake Maxine</t>
  </si>
  <si>
    <t>Lake and stream survey 1988 #16</t>
  </si>
  <si>
    <t>Lake William</t>
  </si>
  <si>
    <t>Lake and stream survey 1988 #26</t>
  </si>
  <si>
    <t>William Lake</t>
  </si>
  <si>
    <t>LTER 247</t>
  </si>
  <si>
    <t>Lake is called LTER 247 and GTH 01</t>
  </si>
  <si>
    <t>GTH 01</t>
  </si>
  <si>
    <t>LTER 248</t>
  </si>
  <si>
    <t>Lake is called LTER 248 and GTH 02</t>
  </si>
  <si>
    <t>GTH 02</t>
  </si>
  <si>
    <t>LTER 249</t>
  </si>
  <si>
    <t>Lake is called LTER 249 and GTH 03</t>
  </si>
  <si>
    <t>GTH 03</t>
  </si>
  <si>
    <t>LTER 250</t>
  </si>
  <si>
    <t>Lake is called LTER 250 and GTH 04</t>
  </si>
  <si>
    <t>GTH 04</t>
  </si>
  <si>
    <t>LTER 251</t>
  </si>
  <si>
    <t>Lake is called LTER 251 and GTH 05</t>
  </si>
  <si>
    <t>GTH 05</t>
  </si>
  <si>
    <t>LTER 252</t>
  </si>
  <si>
    <t>Lake is called LTER 252 and GTH 06</t>
  </si>
  <si>
    <t>GTH 06</t>
  </si>
  <si>
    <t>LTER 253</t>
  </si>
  <si>
    <t>Lake is called LTER 253 and GTH 07</t>
  </si>
  <si>
    <t>GTH 07</t>
  </si>
  <si>
    <t>LTER 254</t>
  </si>
  <si>
    <t>Lake is called LTER 254 and GTH 08</t>
  </si>
  <si>
    <t>GTH 08</t>
  </si>
  <si>
    <t>LTER 255</t>
  </si>
  <si>
    <t>Lake is called LTER 255 and GTH 09</t>
  </si>
  <si>
    <t>GTH 09</t>
  </si>
  <si>
    <t>LTER 256</t>
  </si>
  <si>
    <t>Lake is called LTER 256 and GTH 10</t>
  </si>
  <si>
    <t>GTH 10</t>
  </si>
  <si>
    <t>LTER 257</t>
  </si>
  <si>
    <t>Lake is called LTER 257 and GTH 11</t>
  </si>
  <si>
    <t>GTH 11</t>
  </si>
  <si>
    <t>LTER 258</t>
  </si>
  <si>
    <t>Lake is called LTER 258 and GTH 12</t>
  </si>
  <si>
    <t>GTH 12</t>
  </si>
  <si>
    <t>LTER 259</t>
  </si>
  <si>
    <t>Lake is called LTER 259 and GTH 13</t>
  </si>
  <si>
    <t>GTH 13</t>
  </si>
  <si>
    <t>LTER 260</t>
  </si>
  <si>
    <t>Lake is called LTER 260 and GTH 14</t>
  </si>
  <si>
    <t>GTH 14</t>
  </si>
  <si>
    <t>LTER 261</t>
  </si>
  <si>
    <t>Lake is called LTER 261 and GTH 15</t>
  </si>
  <si>
    <t>GTH 15</t>
  </si>
  <si>
    <t>LTER 262</t>
  </si>
  <si>
    <t>Lake is called LTER 262 and GTH 16</t>
  </si>
  <si>
    <t>GTH 16</t>
  </si>
  <si>
    <t>LTER 263</t>
  </si>
  <si>
    <t>Lake is called LTER 263 and GTH 17</t>
  </si>
  <si>
    <t>GTH 17</t>
  </si>
  <si>
    <t>LTER 264</t>
  </si>
  <si>
    <t>Lake is called LTER 264 and GTH 18</t>
  </si>
  <si>
    <t>GTH 18</t>
  </si>
  <si>
    <t>LTER 265</t>
  </si>
  <si>
    <t>Lake is called LTER 265 and GTH 19</t>
  </si>
  <si>
    <t>GTH 19</t>
  </si>
  <si>
    <t>LTER 266</t>
  </si>
  <si>
    <t>Lake is called LTER 266 and GTH 20</t>
  </si>
  <si>
    <t>GTH 20</t>
  </si>
  <si>
    <t>LTER 267</t>
  </si>
  <si>
    <t>Lake is called LTER 267 and GTH 21</t>
  </si>
  <si>
    <t>GTH 21</t>
  </si>
  <si>
    <t>LTER 268</t>
  </si>
  <si>
    <t>Lake is called LTER 268 and GTH 22</t>
  </si>
  <si>
    <t>GTH 22</t>
  </si>
  <si>
    <t>LTER 269</t>
  </si>
  <si>
    <t>Lake is called LTER 269 and GTH 23</t>
  </si>
  <si>
    <t>GTH 23</t>
  </si>
  <si>
    <t>LTER 270</t>
  </si>
  <si>
    <t>Lake is called LTER 270 and GTH 24</t>
  </si>
  <si>
    <t>GTH 24</t>
  </si>
  <si>
    <t>LTER 271</t>
  </si>
  <si>
    <t>Lake is called LTER 271 and GTH 25</t>
  </si>
  <si>
    <t>GTH 25</t>
  </si>
  <si>
    <t>LTER 272</t>
  </si>
  <si>
    <t>Lake is called LTER 272 and GTH 26</t>
  </si>
  <si>
    <t>GTH 26</t>
  </si>
  <si>
    <t>LTER 315</t>
  </si>
  <si>
    <t>Lake is called LTER 315 and GTH 27</t>
  </si>
  <si>
    <t>GTH 27</t>
  </si>
  <si>
    <t>LTER 316</t>
  </si>
  <si>
    <t>Lake is called LTER 316 and GTH 28</t>
  </si>
  <si>
    <t>GTH 28</t>
  </si>
  <si>
    <t>LTER 317</t>
  </si>
  <si>
    <t>Lake is called LTER 317 and GTH 29</t>
  </si>
  <si>
    <t>GTH 29</t>
  </si>
  <si>
    <t>LTER 318</t>
  </si>
  <si>
    <t>Lake is called LTER 318 and GTH 30</t>
  </si>
  <si>
    <t>GTH 30</t>
  </si>
  <si>
    <t>LTER 319</t>
  </si>
  <si>
    <t>Lake is called LTER 319 and GTH 31</t>
  </si>
  <si>
    <t>GTH 31</t>
  </si>
  <si>
    <t>LTER 320</t>
  </si>
  <si>
    <t>Lake is called LTER 320 and GTH 32</t>
  </si>
  <si>
    <t>GTH 32</t>
  </si>
  <si>
    <t>LTER 321</t>
  </si>
  <si>
    <t>Lake is called LTER 321 and GTH 33</t>
  </si>
  <si>
    <t>GTH 33</t>
  </si>
  <si>
    <t>LTER 322</t>
  </si>
  <si>
    <t>Lake is called LTER 322 and GTH 34</t>
  </si>
  <si>
    <t>GTH 34</t>
  </si>
  <si>
    <t>LTER 323</t>
  </si>
  <si>
    <t>Lake is called LTER 323 and GTH 35</t>
  </si>
  <si>
    <t>GTH 35</t>
  </si>
  <si>
    <t>LTER 324</t>
  </si>
  <si>
    <t>Lake is called LTER 324 and GTH 36</t>
  </si>
  <si>
    <t>GTH 36</t>
  </si>
  <si>
    <t>LTER 325</t>
  </si>
  <si>
    <t>Lake is called LTER 325 and GTH 37</t>
  </si>
  <si>
    <t>GTH 37</t>
  </si>
  <si>
    <t>LTER 326</t>
  </si>
  <si>
    <t>Lake is called LTER 326 and GTH 38</t>
  </si>
  <si>
    <t>GTH 38</t>
  </si>
  <si>
    <t>LTER 327</t>
  </si>
  <si>
    <t>Lake is called LTER 327 and GTH 39</t>
  </si>
  <si>
    <t>GTH 39</t>
  </si>
  <si>
    <t>LTER 328</t>
  </si>
  <si>
    <t>Lake is called LTER 328 and GTH 40</t>
  </si>
  <si>
    <t>GTH 40</t>
  </si>
  <si>
    <t>LTER 329</t>
  </si>
  <si>
    <t>Lake is called LTER 329 and GTH 41</t>
  </si>
  <si>
    <t>GTH 41</t>
  </si>
  <si>
    <t>LTER 330</t>
  </si>
  <si>
    <t>Lake is called LTER 330 and GTH 42</t>
  </si>
  <si>
    <t>GTH 42</t>
  </si>
  <si>
    <t>LTER 331</t>
  </si>
  <si>
    <t>Lake is called LTER 331 and GTH 43</t>
  </si>
  <si>
    <t>GTH 43</t>
  </si>
  <si>
    <t>LTER 332</t>
  </si>
  <si>
    <t>Lake is called LTER 332 and GTH 44</t>
  </si>
  <si>
    <t>GTH 44</t>
  </si>
  <si>
    <t>LTER 333</t>
  </si>
  <si>
    <t>Lake is called LTER 333 and GTH 45</t>
  </si>
  <si>
    <t>GTH 45</t>
  </si>
  <si>
    <t>LTER 335</t>
  </si>
  <si>
    <t>Lake is called LTER 335 and GTH 47</t>
  </si>
  <si>
    <t>GTH 47</t>
  </si>
  <si>
    <t>LTER 336</t>
  </si>
  <si>
    <t>Lake is called LTER 336 and GTH 48</t>
  </si>
  <si>
    <t>GTH 48</t>
  </si>
  <si>
    <t>LTER 337</t>
  </si>
  <si>
    <t>Lake is called LTER 337 and GTH 49</t>
  </si>
  <si>
    <t>GTH 49</t>
  </si>
  <si>
    <t>LTER 338</t>
  </si>
  <si>
    <t>Lake is called LTER 338 and GTH 50</t>
  </si>
  <si>
    <t>GTH 50</t>
  </si>
  <si>
    <t>LTER 339</t>
  </si>
  <si>
    <t>Lake is called LTER 339 and GTH 51</t>
  </si>
  <si>
    <t>GTH 51</t>
  </si>
  <si>
    <t>LTER 340</t>
  </si>
  <si>
    <t>Lake is called LTER 340 and GTH 52</t>
  </si>
  <si>
    <t>GTH 52</t>
  </si>
  <si>
    <t>LTER 341</t>
  </si>
  <si>
    <t>Lake is called LTER 341 and GTH 53</t>
  </si>
  <si>
    <t>GTH 53</t>
  </si>
  <si>
    <t>LTER 342</t>
  </si>
  <si>
    <t>Lake is called LTER 342 and GTH 54</t>
  </si>
  <si>
    <t>GTH 54</t>
  </si>
  <si>
    <t>LTER 343</t>
  </si>
  <si>
    <t>Lake is called LTER 343 and GTH 55</t>
  </si>
  <si>
    <t>GTH 55</t>
  </si>
  <si>
    <t>LTER 344</t>
  </si>
  <si>
    <t>Lake is called LTER 344 and GTH 56</t>
  </si>
  <si>
    <t>GTH 56</t>
  </si>
  <si>
    <t>LTER 345</t>
  </si>
  <si>
    <t>Lake is called LTER 345 and GTH 57</t>
  </si>
  <si>
    <t>GTH 57</t>
  </si>
  <si>
    <t>LTER 346</t>
  </si>
  <si>
    <t>Lake is called LTER 346 and GTH 58</t>
  </si>
  <si>
    <t>GTH 58</t>
  </si>
  <si>
    <t>LTER 347</t>
  </si>
  <si>
    <t>Lake is called LTER 347 and GTH 59</t>
  </si>
  <si>
    <t>GTH 59</t>
  </si>
  <si>
    <t>LTER 348</t>
  </si>
  <si>
    <t>Lake is called LTER 348 and GTH 60</t>
  </si>
  <si>
    <t>GTH 60</t>
  </si>
  <si>
    <t>LTER 349</t>
  </si>
  <si>
    <t>Lake is called LTER 349 and GTH 61</t>
  </si>
  <si>
    <t>GTH 61</t>
  </si>
  <si>
    <t>LTER 350</t>
  </si>
  <si>
    <t>Lake is called LTER 350 and GTH 62</t>
  </si>
  <si>
    <t>GTH 62</t>
  </si>
  <si>
    <t>LTER 351</t>
  </si>
  <si>
    <t>Lake is called LTER 351 and GTH 63</t>
  </si>
  <si>
    <t>GTH 63</t>
  </si>
  <si>
    <t>LTER 352</t>
  </si>
  <si>
    <t>Lake is called LTER 352 and GTH 64</t>
  </si>
  <si>
    <t>GTH 64</t>
  </si>
  <si>
    <t>LTER 353</t>
  </si>
  <si>
    <t>Lake is called LTER 353 and GTH 65</t>
  </si>
  <si>
    <t>GTH 65</t>
  </si>
  <si>
    <t>LTER 354</t>
  </si>
  <si>
    <t>Lake is called LTER 354 and GTH 66</t>
  </si>
  <si>
    <t>GTH 66</t>
  </si>
  <si>
    <t>LTER 355</t>
  </si>
  <si>
    <t>Lake is called LTER 355 and GTH 67</t>
  </si>
  <si>
    <t>GTH 67</t>
  </si>
  <si>
    <t>LTER 357</t>
  </si>
  <si>
    <t>Lake is called LTER 357 and GTH 69</t>
  </si>
  <si>
    <t>GTH 69</t>
  </si>
  <si>
    <t>LTER 358</t>
  </si>
  <si>
    <t>Lake is called LTER 358 and GTH 70</t>
  </si>
  <si>
    <t>GTH 70</t>
  </si>
  <si>
    <t>LTER 359</t>
  </si>
  <si>
    <t>Lake is called LTER 359 and GTH 71</t>
  </si>
  <si>
    <t>GTH 71</t>
  </si>
  <si>
    <t>LTER 360</t>
  </si>
  <si>
    <t>Lake is called LTER 360 and GTH 72</t>
  </si>
  <si>
    <t>GTH 72</t>
  </si>
  <si>
    <t>LTER 361</t>
  </si>
  <si>
    <t>Lake is called LTER 361 and GTH 73</t>
  </si>
  <si>
    <t>GTH 73</t>
  </si>
  <si>
    <t>LTER 362</t>
  </si>
  <si>
    <t>Lake is called LTER 362 and GTH 74</t>
  </si>
  <si>
    <t>GTH 74</t>
  </si>
  <si>
    <t>LTER 363</t>
  </si>
  <si>
    <t>Lake is called LTER 363 and GTH 75</t>
  </si>
  <si>
    <t>GTH 75</t>
  </si>
  <si>
    <t>LTER 364</t>
  </si>
  <si>
    <t>Lake is called LTER 364 and GTH 76</t>
  </si>
  <si>
    <t>GTH 76</t>
  </si>
  <si>
    <t>LTER 365</t>
  </si>
  <si>
    <t>Lake is called LTER 365 and GTH 77</t>
  </si>
  <si>
    <t>GTH 77</t>
  </si>
  <si>
    <t>LTER 366</t>
  </si>
  <si>
    <t>Lake is called LTER 366 and GTH 78</t>
  </si>
  <si>
    <t>GTH 78</t>
  </si>
  <si>
    <t>LTER 367</t>
  </si>
  <si>
    <t>Lake is called LTER 367 and GTH 79</t>
  </si>
  <si>
    <t>GTH 79</t>
  </si>
  <si>
    <t>LTER 368</t>
  </si>
  <si>
    <t>Lake is called LTER 368 and GTH 80</t>
  </si>
  <si>
    <t>GTH 80</t>
  </si>
  <si>
    <t>LTER 369</t>
  </si>
  <si>
    <t>Lake is called LTER 369 and GTH 81</t>
  </si>
  <si>
    <t>GTH 81</t>
  </si>
  <si>
    <t>LTER Heath Tundra</t>
  </si>
  <si>
    <t>Arctic LTER Experimental Plots: Heath Tundra - Block 1, Northeast corner near Toolik Field Station, North Slope, Alaska.</t>
  </si>
  <si>
    <t>LTER Low Nutrient Moist Acidic Tussock Tundra</t>
  </si>
  <si>
    <t>Low Nutrient Moist Acidic Tussock Tundra (LMAT) Northeast corner Block 1</t>
  </si>
  <si>
    <t>LTER Moist Acidic Tussock Tundra</t>
  </si>
  <si>
    <t>Arctic LTER Experimental Plots: Moist Acidic Tussock Tundra (MAT) Northeast corner block 1 near Toolik Field Station, North Slope, Alaska.</t>
  </si>
  <si>
    <t>LTER Moist Acidic Tussock Tundra 1981 plots</t>
  </si>
  <si>
    <t>Arctic LTER Experimental Plots: 1981 Moist Acidic Tussock Tundra Northeast corner Block 3 near Toolik Field Station, North Slope, Alaska.</t>
  </si>
  <si>
    <t>LTER Moist NonAcidic NonTussock Tundra</t>
  </si>
  <si>
    <t>Arctic LTER Experimental Plots: Moist NonAcidic NonTussock Tundra (MNNT) Northeast corner Block 1 near Toolik Field Station, North Slope, Alaska.</t>
  </si>
  <si>
    <t>LTER Moist NonAcidic Tussock Tundra</t>
  </si>
  <si>
    <t>Arctic LTER Experimental Plots: Moist NonAcidic Tussock Tundra (MNT) Northeast corner block 1 near Toolik Field Station, North Slope, Alaska.</t>
  </si>
  <si>
    <t>LTER Shrub Tundra Block 1</t>
  </si>
  <si>
    <t>Arctic LTER Experimental Plots: Shrub Tundra - Northeast corner Block 1 near Toolik Field Station, North Slope, Alaska.</t>
  </si>
  <si>
    <t>LTER Shrub Tundra Block 2</t>
  </si>
  <si>
    <t>Arctic LTER Experimental Plots: Shrub Tundra - Block 2 Northeast corner near Toolik Field Station, North Slope, Alaska.</t>
  </si>
  <si>
    <t>LTER Wet Sedge Tundra Block 1</t>
  </si>
  <si>
    <t>Arctic LTER Experimental Plots: Wet Sedge Tundra - Block 1 Northeast corner near Toolik Field Station, North Slope, Alaska.</t>
  </si>
  <si>
    <t>LTER Wet Sedge Tundra Block 2</t>
  </si>
  <si>
    <t>Arctic LTER Experimental Plots: Wet Sedge Tundra Block 2 Northeast corner near Toolik Field Station, North Slope, Alaska.</t>
  </si>
  <si>
    <t>Luna Lake</t>
  </si>
  <si>
    <t>May Creek</t>
  </si>
  <si>
    <t>Milake</t>
  </si>
  <si>
    <t>Milake into NE 14</t>
  </si>
  <si>
    <t>LTER_Bowden_Kling</t>
  </si>
  <si>
    <t>Milkyway Lower</t>
  </si>
  <si>
    <t>MWL</t>
  </si>
  <si>
    <t>IS18</t>
  </si>
  <si>
    <t>Milkyway Upper</t>
  </si>
  <si>
    <t>MWU</t>
  </si>
  <si>
    <t>IS24</t>
  </si>
  <si>
    <t>Moderate CALM grid, NW corner</t>
  </si>
  <si>
    <t>N 01</t>
  </si>
  <si>
    <t>N1</t>
  </si>
  <si>
    <t>N1S and N1D for Shallow and Deep ends of the lake</t>
  </si>
  <si>
    <t>N 02</t>
  </si>
  <si>
    <t>N2</t>
  </si>
  <si>
    <t>N2F, N2C, N2 Reference, and N2 Treatment</t>
  </si>
  <si>
    <t>N 03</t>
  </si>
  <si>
    <t>N3</t>
  </si>
  <si>
    <t>N 04</t>
  </si>
  <si>
    <t>N4</t>
  </si>
  <si>
    <t>N 05</t>
  </si>
  <si>
    <t>N5</t>
  </si>
  <si>
    <t>Nanushuk Lake</t>
  </si>
  <si>
    <t>Natvakruak Lake</t>
  </si>
  <si>
    <t>Natvakruak_1 lake</t>
  </si>
  <si>
    <t>Natvakruak_2 lake</t>
  </si>
  <si>
    <t>Natvakruak_3 lake</t>
  </si>
  <si>
    <t>NE 01</t>
  </si>
  <si>
    <t>NE1</t>
  </si>
  <si>
    <t>NE 02</t>
  </si>
  <si>
    <t>NE2</t>
  </si>
  <si>
    <t>NE 03</t>
  </si>
  <si>
    <t>NE3</t>
  </si>
  <si>
    <t>NE 04</t>
  </si>
  <si>
    <t>NE4</t>
  </si>
  <si>
    <t>NE 05</t>
  </si>
  <si>
    <t>NE5</t>
  </si>
  <si>
    <t>NE 06</t>
  </si>
  <si>
    <t>NE6</t>
  </si>
  <si>
    <t>NE 07</t>
  </si>
  <si>
    <t>NE7</t>
  </si>
  <si>
    <t>NE 08</t>
  </si>
  <si>
    <t>NE8</t>
  </si>
  <si>
    <t>NE 09</t>
  </si>
  <si>
    <t>NE9</t>
  </si>
  <si>
    <t>NE 10</t>
  </si>
  <si>
    <t>NE10</t>
  </si>
  <si>
    <t>NE 11</t>
  </si>
  <si>
    <t>NE 12</t>
  </si>
  <si>
    <t>Dog Bone Lake</t>
  </si>
  <si>
    <t>NE 13</t>
  </si>
  <si>
    <t>NE13</t>
  </si>
  <si>
    <t>NE 14</t>
  </si>
  <si>
    <t>Lunker Lake</t>
  </si>
  <si>
    <t>NE 14 Lake</t>
  </si>
  <si>
    <t>This site is near the NE 14 Lake Slump Inlet and is different than the NE 14 site (which is out in the lake).</t>
  </si>
  <si>
    <t>NE 14 Lake Slump Inlet</t>
  </si>
  <si>
    <t>NE 14 Outlet</t>
  </si>
  <si>
    <t>NE 15</t>
  </si>
  <si>
    <t>NE15</t>
  </si>
  <si>
    <t>NE 16</t>
  </si>
  <si>
    <t>NE16</t>
  </si>
  <si>
    <t>NE 9B</t>
  </si>
  <si>
    <t>NE9B</t>
  </si>
  <si>
    <t>bedrock lake</t>
  </si>
  <si>
    <t>North Itigaknit A1</t>
  </si>
  <si>
    <t>Bacterial Survey 21</t>
  </si>
  <si>
    <t>BS21</t>
  </si>
  <si>
    <t>North Itigaknit A2</t>
  </si>
  <si>
    <t>Bacterial Survey 22</t>
  </si>
  <si>
    <t>BS22</t>
  </si>
  <si>
    <t>North Itigaknit B1</t>
  </si>
  <si>
    <t>Bacterial Survey 23</t>
  </si>
  <si>
    <t>BS23</t>
  </si>
  <si>
    <t>North Itigaknit B2</t>
  </si>
  <si>
    <t>Bacterial Survey 24</t>
  </si>
  <si>
    <t>BS24</t>
  </si>
  <si>
    <t>North Itigaknit B3</t>
  </si>
  <si>
    <t>Bacterial Survey 25</t>
  </si>
  <si>
    <t>BS25</t>
  </si>
  <si>
    <t>North Lake</t>
  </si>
  <si>
    <t>North Lake Inlet</t>
  </si>
  <si>
    <t>North Lake Outlet</t>
  </si>
  <si>
    <t>North River</t>
  </si>
  <si>
    <t>North River - mouth</t>
  </si>
  <si>
    <t>Thermokarst sampling</t>
  </si>
  <si>
    <t>North River Main/ISCO</t>
  </si>
  <si>
    <t>nutrients, ISCO</t>
  </si>
  <si>
    <t>North River Mid</t>
  </si>
  <si>
    <t>North River Thermokarst</t>
  </si>
  <si>
    <t>O1</t>
  </si>
  <si>
    <t>These are lakes near Campsite Lake</t>
  </si>
  <si>
    <t>O 1</t>
  </si>
  <si>
    <t>O2</t>
  </si>
  <si>
    <t>O 2</t>
  </si>
  <si>
    <t>O3</t>
  </si>
  <si>
    <t>O 3</t>
  </si>
  <si>
    <t>Oksrukuyik -0.1k</t>
  </si>
  <si>
    <t>Oksrukuyik -0.3k</t>
  </si>
  <si>
    <t>Oksrukuyik -0.7k</t>
  </si>
  <si>
    <t>Oksrukuyik 0.8k</t>
  </si>
  <si>
    <t>Oksrukuyik 1.37k</t>
  </si>
  <si>
    <t>Oksrukuyik Creek</t>
  </si>
  <si>
    <t>Ox</t>
  </si>
  <si>
    <t>Oxy</t>
  </si>
  <si>
    <t>Oksrukuyik game camera</t>
  </si>
  <si>
    <t>Oksrukuyik HOBO pressure transducer</t>
  </si>
  <si>
    <t>stage</t>
  </si>
  <si>
    <t xml:space="preserve">Perched Lake </t>
  </si>
  <si>
    <t xml:space="preserve">Perch Lake </t>
  </si>
  <si>
    <t>Perched Lake Outlet</t>
  </si>
  <si>
    <t>Perch Lake Outlet</t>
  </si>
  <si>
    <t>Phenology Station at 2304 Tower</t>
  </si>
  <si>
    <t>Phenology Station @ 2304 Tower</t>
  </si>
  <si>
    <t xml:space="preserve">Reba Lake </t>
  </si>
  <si>
    <t>Reds Lake</t>
  </si>
  <si>
    <t>REF1</t>
  </si>
  <si>
    <t>REF2</t>
  </si>
  <si>
    <t>REF3</t>
  </si>
  <si>
    <t>Ribdon River</t>
  </si>
  <si>
    <t>Roche Moutonnee</t>
  </si>
  <si>
    <t>Mt. Roche</t>
  </si>
  <si>
    <t>Roche Moutanee</t>
  </si>
  <si>
    <t>S 01</t>
  </si>
  <si>
    <t>S 02</t>
  </si>
  <si>
    <t>S 03</t>
  </si>
  <si>
    <t>S 04</t>
  </si>
  <si>
    <t>S 05</t>
  </si>
  <si>
    <t>S5</t>
  </si>
  <si>
    <t>S 06</t>
  </si>
  <si>
    <t>S6</t>
  </si>
  <si>
    <t>S 06 Outlet</t>
  </si>
  <si>
    <t xml:space="preserve">S6 Out         </t>
  </si>
  <si>
    <t>S6Out</t>
  </si>
  <si>
    <t>S 07</t>
  </si>
  <si>
    <t>S 07 Inlet</t>
  </si>
  <si>
    <t xml:space="preserve">S7 In         </t>
  </si>
  <si>
    <t>S7In</t>
  </si>
  <si>
    <t xml:space="preserve">S 07 into S 06        </t>
  </si>
  <si>
    <t>S7 into S6</t>
  </si>
  <si>
    <t>S7-S6</t>
  </si>
  <si>
    <t>S 08</t>
  </si>
  <si>
    <t>S 09</t>
  </si>
  <si>
    <t>S 10</t>
  </si>
  <si>
    <t>S 11</t>
  </si>
  <si>
    <t>S 12</t>
  </si>
  <si>
    <t>S 13</t>
  </si>
  <si>
    <t>Sag 1</t>
  </si>
  <si>
    <t>Sag 2</t>
  </si>
  <si>
    <t>Sag C Pit</t>
  </si>
  <si>
    <t>Lake and stream survey 1988 #19</t>
  </si>
  <si>
    <t>Sagavanirktok River</t>
  </si>
  <si>
    <t>Sag R</t>
  </si>
  <si>
    <t>Sag</t>
  </si>
  <si>
    <t>Section Creek</t>
  </si>
  <si>
    <t>Severe CALM grid, NW corner</t>
  </si>
  <si>
    <t>Shainin Lake</t>
  </si>
  <si>
    <t>Shrew River</t>
  </si>
  <si>
    <t>Shrew River North</t>
  </si>
  <si>
    <t>Silhouette Lake</t>
  </si>
  <si>
    <t>South of Dead Horse</t>
  </si>
  <si>
    <t>Lake and stream survey 1988 #12</t>
  </si>
  <si>
    <t>Sitchiak Lake</t>
  </si>
  <si>
    <t>Slope Mtn. North 01</t>
  </si>
  <si>
    <t>Slope Mtn. North 02</t>
  </si>
  <si>
    <t>Slope Mtn. North 03</t>
  </si>
  <si>
    <t>Slope Mtn. North 04</t>
  </si>
  <si>
    <t>Slope Mtn. North 05</t>
  </si>
  <si>
    <t>Slope Mtn. North 06</t>
  </si>
  <si>
    <t>South River</t>
  </si>
  <si>
    <t>South Main</t>
  </si>
  <si>
    <t>South River Main</t>
  </si>
  <si>
    <t>South River Flux Star</t>
  </si>
  <si>
    <t>South River Harvest Transect</t>
  </si>
  <si>
    <t>South River Main/ISCO</t>
  </si>
  <si>
    <t>South River Mid</t>
  </si>
  <si>
    <t>South River Tributary</t>
  </si>
  <si>
    <t>South River Trib</t>
  </si>
  <si>
    <t>Stinking Hills Feature</t>
  </si>
  <si>
    <t>Test area 1 (Nanushuk River)</t>
  </si>
  <si>
    <t>Test area 2 (North R headwater)</t>
  </si>
  <si>
    <t>Toolik Lake Main Station</t>
  </si>
  <si>
    <t>TM</t>
  </si>
  <si>
    <t>Tlk</t>
  </si>
  <si>
    <t>Toolik Camp Shoal</t>
  </si>
  <si>
    <t>Surveyed by Sarah Barbrow in 2009, Kling,Cory,Nannen, and Crump in 2010.</t>
  </si>
  <si>
    <t>Toolik Lake Survey</t>
  </si>
  <si>
    <t>Toolik Central</t>
  </si>
  <si>
    <t>Toolik Dock</t>
  </si>
  <si>
    <t>Toolik Inlet</t>
  </si>
  <si>
    <t>Toolik Inlet Stream</t>
  </si>
  <si>
    <t>IS19</t>
  </si>
  <si>
    <t>Toolik Inlet Bay</t>
  </si>
  <si>
    <t>Toolik Lake Limno Corrals</t>
  </si>
  <si>
    <t>Experiments done in Limno Bay</t>
  </si>
  <si>
    <t>Toolik Limno Bay</t>
  </si>
  <si>
    <t>Western bay of Toolik where limno corral experiments were done in the 1980s</t>
  </si>
  <si>
    <t>TLB</t>
  </si>
  <si>
    <t>Toolik Bay</t>
  </si>
  <si>
    <t>Toolik Morraine</t>
  </si>
  <si>
    <t>Toolik Outlet</t>
  </si>
  <si>
    <t>Toolik Outlet Stream</t>
  </si>
  <si>
    <t>Toolik Outlet Bay</t>
  </si>
  <si>
    <t>Toolik River</t>
  </si>
  <si>
    <t>Toolik River Ice Field</t>
  </si>
  <si>
    <t>Toolik aufeis</t>
  </si>
  <si>
    <t>Toolik Rock Shoal</t>
  </si>
  <si>
    <t>Toolik Sauna Shoal</t>
  </si>
  <si>
    <t>Toolik Southwest Basin</t>
  </si>
  <si>
    <t>TR IMP</t>
  </si>
  <si>
    <t>TR REF</t>
  </si>
  <si>
    <t>TR TK ABOVE</t>
  </si>
  <si>
    <t>TR TK LOW</t>
  </si>
  <si>
    <t>TFS Weather Station</t>
  </si>
  <si>
    <t>University of Alaska Fairbanks Toolik Field Station, North Slope of Alaska  
Coords in WGS84(ITRF00 - Ep. 1997.0) 
Accuracy should be good to ~ 90cm 
68.628228973N, 149.596001285W,  
Height (above ellipsoid) is 726.5m, give or take ~1.5m
Was the SRC LTER Toolik Main weather station.</t>
  </si>
  <si>
    <t>TW 01</t>
  </si>
  <si>
    <t>Tussock Watershed soil water sites</t>
  </si>
  <si>
    <t>TW1</t>
  </si>
  <si>
    <t>TW 02</t>
  </si>
  <si>
    <t>TW2</t>
  </si>
  <si>
    <t>TW 03</t>
  </si>
  <si>
    <t>TW3</t>
  </si>
  <si>
    <t>TW 04</t>
  </si>
  <si>
    <t>TW4</t>
  </si>
  <si>
    <t>TW 05</t>
  </si>
  <si>
    <t>TW5</t>
  </si>
  <si>
    <t>TW 06</t>
  </si>
  <si>
    <t>TW6</t>
  </si>
  <si>
    <t>TW 07</t>
  </si>
  <si>
    <t>TW7</t>
  </si>
  <si>
    <t>TW 08</t>
  </si>
  <si>
    <t>TW8</t>
  </si>
  <si>
    <t>TW 09</t>
  </si>
  <si>
    <t>TW9</t>
  </si>
  <si>
    <t>TW 10</t>
  </si>
  <si>
    <t>TW10</t>
  </si>
  <si>
    <t>TW 11</t>
  </si>
  <si>
    <t>TW11</t>
  </si>
  <si>
    <t>TW 12</t>
  </si>
  <si>
    <t>TW12</t>
  </si>
  <si>
    <t>TW 13</t>
  </si>
  <si>
    <t>TW13</t>
  </si>
  <si>
    <t>TW 14</t>
  </si>
  <si>
    <t>TW14</t>
  </si>
  <si>
    <t>TW Lower</t>
  </si>
  <si>
    <t>Tussock Watershed stream where it enters Toolik Lake</t>
  </si>
  <si>
    <t>TWLower</t>
  </si>
  <si>
    <t>TWL</t>
  </si>
  <si>
    <t>TW Weir</t>
  </si>
  <si>
    <t xml:space="preserve">Tussock watershed (TW) Weir       </t>
  </si>
  <si>
    <t>Weir</t>
  </si>
  <si>
    <t>Upper Kup WS1</t>
  </si>
  <si>
    <t>Upper Kup WS1-WS2</t>
  </si>
  <si>
    <t>Upper Kup WS2</t>
  </si>
  <si>
    <t>Valley of Thermokarst</t>
  </si>
  <si>
    <t>VTK</t>
  </si>
  <si>
    <t>Valley of Thermokarst – Ref 1</t>
  </si>
  <si>
    <t>VTK1</t>
  </si>
  <si>
    <t>Valley of Thermokarst – Ref 2</t>
  </si>
  <si>
    <t>VTK2</t>
  </si>
  <si>
    <t>VTK IMPACTED</t>
  </si>
  <si>
    <t>VTK IMP-Upper</t>
  </si>
  <si>
    <t>VTK REFERENCE</t>
  </si>
  <si>
    <t>VTK REF-Upper</t>
  </si>
  <si>
    <t>Watering Plots Barrel Water</t>
  </si>
  <si>
    <t>WP Barrel</t>
  </si>
  <si>
    <t>WPBarrel</t>
  </si>
  <si>
    <t>Watering Plots C1</t>
  </si>
  <si>
    <t>WP C1</t>
  </si>
  <si>
    <t>WPC1</t>
  </si>
  <si>
    <t>Watering Plots C2</t>
  </si>
  <si>
    <t>WP C2</t>
  </si>
  <si>
    <t>WPC2</t>
  </si>
  <si>
    <t>Watering Plots C3</t>
  </si>
  <si>
    <t>WP C3</t>
  </si>
  <si>
    <t>WPC3</t>
  </si>
  <si>
    <t>Watering Plots C4</t>
  </si>
  <si>
    <t>WP C4</t>
  </si>
  <si>
    <t>WPC4</t>
  </si>
  <si>
    <t>Watering Plots C5</t>
  </si>
  <si>
    <t>WP C5</t>
  </si>
  <si>
    <t>WPC5</t>
  </si>
  <si>
    <t>Watering Plots C6</t>
  </si>
  <si>
    <t>WP C6</t>
  </si>
  <si>
    <t>WPC6</t>
  </si>
  <si>
    <t>Watering Plots W1</t>
  </si>
  <si>
    <t>WP W1</t>
  </si>
  <si>
    <t>WPW1</t>
  </si>
  <si>
    <t>Watering Plots W2</t>
  </si>
  <si>
    <t>WP W2</t>
  </si>
  <si>
    <t>WPW2</t>
  </si>
  <si>
    <t>Watering Plots W3</t>
  </si>
  <si>
    <t>WP W3</t>
  </si>
  <si>
    <t>WPW3</t>
  </si>
  <si>
    <t>Watering Plots W4</t>
  </si>
  <si>
    <t>WP W4</t>
  </si>
  <si>
    <t>WPW4</t>
  </si>
  <si>
    <t>Watering Plots W5</t>
  </si>
  <si>
    <t>WP W5</t>
  </si>
  <si>
    <t>WPW5</t>
  </si>
  <si>
    <t>Watering Plots W6</t>
  </si>
  <si>
    <t>WP W6</t>
  </si>
  <si>
    <t>WPW6</t>
  </si>
  <si>
    <t>West Lake Survey  01</t>
  </si>
  <si>
    <t>West Lakes Survey 1997</t>
  </si>
  <si>
    <t>West Lake Survey  02</t>
  </si>
  <si>
    <t>West Lake Survey  03</t>
  </si>
  <si>
    <t>West Lake Survey  04</t>
  </si>
  <si>
    <t>West Lake Survey  05</t>
  </si>
  <si>
    <t>West Lake Survey  06</t>
  </si>
  <si>
    <t>West Lake Survey  07</t>
  </si>
  <si>
    <t>West Lake Survey  08</t>
  </si>
  <si>
    <t>West Lake Survey  09</t>
  </si>
  <si>
    <t>West Lake Survey  10</t>
  </si>
  <si>
    <t>West Sag Lakes  A1</t>
  </si>
  <si>
    <t>West Sag Lakes  A2</t>
  </si>
  <si>
    <t>West Sag Lakes  A3</t>
  </si>
  <si>
    <t>West Sag Lakes  B1</t>
  </si>
  <si>
    <t>West Sag Lakes  B2</t>
  </si>
  <si>
    <t>West Sag Lakes  B3</t>
  </si>
  <si>
    <t>Windy Lake</t>
  </si>
  <si>
    <t>Lake and stream survey 1988 #11</t>
  </si>
  <si>
    <t>Wolf Creek</t>
  </si>
  <si>
    <t>Oksrukuyik Creek Tributary</t>
  </si>
  <si>
    <t>Yurlake</t>
  </si>
  <si>
    <t>Yurlake into NE 14</t>
  </si>
  <si>
    <t>Yurlake into NE14</t>
  </si>
  <si>
    <t>#N/A=Missing or Not Measured</t>
  </si>
  <si>
    <t xml:space="preserve">Version 3: Metadata updated to newer form (with sites sheet). CH April 2013. </t>
  </si>
  <si>
    <t>Version 4: Corrected eml excel file name wrong extension. JimL 16May13</t>
  </si>
  <si>
    <t>2012_GS_ITEX_PF_ShootHarvestData.05</t>
  </si>
  <si>
    <t>Version 5: Change excel extension from xlsm to xlsx Jim L</t>
  </si>
  <si>
    <t>knb-lter-arc.10142.5</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</si>
</sst>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409]d\-mmm\-yy;@"/>
    <numFmt numFmtId="165" formatCode="dd\-mmm\-yyyy"/>
    <numFmt numFmtId="166" formatCode="0.00000"/>
  </numFmts>
  <fonts count="5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Calibri"/>
      <family val="2"/>
    </font>
    <font>
      <sz val="10"/>
      <name val="Arial"/>
      <family val="2"/>
    </font>
    <font>
      <sz val="8"/>
      <name val="Verdana"/>
      <family val="2"/>
    </font>
    <font>
      <u/>
      <sz val="11"/>
      <color theme="10"/>
      <name val="Calibri"/>
      <family val="2"/>
      <scheme val="minor"/>
    </font>
    <font>
      <u/>
      <sz val="11"/>
      <color theme="11"/>
      <name val="Calibri"/>
      <family val="2"/>
      <scheme val="minor"/>
    </font>
    <font>
      <sz val="11"/>
      <name val="Calibri"/>
      <family val="2"/>
      <scheme val="minor"/>
    </font>
    <font>
      <sz val="11"/>
      <color indexed="8"/>
      <name val="Calibri"/>
      <family val="2"/>
      <scheme val="minor"/>
    </font>
    <font>
      <sz val="9"/>
      <color indexed="81"/>
      <name val="Tahoma"/>
      <family val="2"/>
    </font>
    <font>
      <b/>
      <sz val="9"/>
      <color indexed="81"/>
      <name val="Tahoma"/>
      <family val="2"/>
    </font>
    <font>
      <b/>
      <sz val="11"/>
      <color indexed="8"/>
      <name val="Calibri"/>
      <family val="2"/>
      <scheme val="minor"/>
    </font>
    <font>
      <b/>
      <sz val="14"/>
      <name val="Arial"/>
      <family val="2"/>
    </font>
    <font>
      <b/>
      <sz val="12"/>
      <color indexed="10"/>
      <name val="Arial"/>
      <family val="2"/>
    </font>
    <font>
      <b/>
      <sz val="10"/>
      <name val="Arial"/>
      <family val="2"/>
    </font>
    <font>
      <sz val="10"/>
      <color indexed="22"/>
      <name val="Arial"/>
      <family val="2"/>
    </font>
    <font>
      <u/>
      <sz val="10"/>
      <color indexed="12"/>
      <name val="Arial"/>
      <family val="2"/>
    </font>
    <font>
      <sz val="12"/>
      <name val="Arial"/>
      <family val="2"/>
    </font>
    <font>
      <b/>
      <sz val="9"/>
      <name val="Arial"/>
      <family val="2"/>
    </font>
    <font>
      <b/>
      <sz val="9"/>
      <color indexed="48"/>
      <name val="Arial"/>
      <family val="2"/>
    </font>
    <font>
      <b/>
      <u/>
      <sz val="10"/>
      <color indexed="10"/>
      <name val="Arial"/>
      <family val="2"/>
    </font>
    <font>
      <b/>
      <sz val="10"/>
      <color indexed="12"/>
      <name val="Arial"/>
      <family val="2"/>
    </font>
    <font>
      <sz val="8"/>
      <color indexed="81"/>
      <name val="Tahoma"/>
      <family val="2"/>
    </font>
    <font>
      <b/>
      <sz val="8"/>
      <color indexed="81"/>
      <name val="Tahoma"/>
      <family val="2"/>
    </font>
    <font>
      <b/>
      <sz val="10"/>
      <color indexed="81"/>
      <name val="Tahoma"/>
      <family val="2"/>
    </font>
    <font>
      <b/>
      <sz val="8"/>
      <color indexed="10"/>
      <name val="Tahoma"/>
      <family val="2"/>
    </font>
    <font>
      <sz val="10"/>
      <color indexed="81"/>
      <name val="Tahoma"/>
      <family val="2"/>
    </font>
    <font>
      <sz val="10"/>
      <color indexed="10"/>
      <name val="Tahoma"/>
      <family val="2"/>
    </font>
    <font>
      <sz val="8"/>
      <color indexed="10"/>
      <name val="Tahoma"/>
      <family val="2"/>
    </font>
    <font>
      <sz val="12"/>
      <color theme="1"/>
      <name val="Calibri"/>
      <family val="2"/>
      <scheme val="minor"/>
    </font>
    <font>
      <sz val="10"/>
      <color indexed="10"/>
      <name val="Arial"/>
      <family val="2"/>
    </font>
    <font>
      <b/>
      <sz val="8"/>
      <color indexed="39"/>
      <name val="Tahoma"/>
      <family val="2"/>
    </font>
    <font>
      <b/>
      <sz val="8"/>
      <color indexed="12"/>
      <name val="Arial"/>
      <family val="2"/>
    </font>
    <font>
      <b/>
      <sz val="8"/>
      <color indexed="10"/>
      <name val="Arial"/>
      <family val="2"/>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1"/>
        <bgColor indexed="64"/>
      </patternFill>
    </fill>
    <fill>
      <patternFill patternType="solid">
        <fgColor rgb="FF66FF99"/>
        <bgColor indexed="64"/>
      </patternFill>
    </fill>
    <fill>
      <patternFill patternType="solid">
        <fgColor indexed="27"/>
        <bgColor indexed="31"/>
      </patternFill>
    </fill>
    <fill>
      <patternFill patternType="solid">
        <fgColor rgb="FFCCFFFF"/>
        <bgColor indexed="31"/>
      </patternFill>
    </fill>
    <fill>
      <patternFill patternType="solid">
        <fgColor indexed="22"/>
        <bgColor indexed="64"/>
      </patternFill>
    </fill>
    <fill>
      <patternFill patternType="solid">
        <fgColor rgb="FF00FFFF"/>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auto="1"/>
      </right>
      <top/>
      <bottom style="thin">
        <color auto="1"/>
      </bottom>
      <diagonal/>
    </border>
    <border>
      <left style="thin">
        <color auto="1"/>
      </left>
      <right/>
      <top/>
      <bottom style="thin">
        <color auto="1"/>
      </bottom>
      <diagonal/>
    </border>
    <border>
      <left style="thin">
        <color indexed="64"/>
      </left>
      <right style="thin">
        <color indexed="64"/>
      </right>
      <top/>
      <bottom/>
      <diagonal/>
    </border>
    <border>
      <left style="thin">
        <color indexed="64"/>
      </left>
      <right style="medium">
        <color indexed="64"/>
      </right>
      <top style="medium">
        <color indexed="64"/>
      </top>
      <bottom/>
      <diagonal/>
    </border>
    <border>
      <left style="medium">
        <color indexed="64"/>
      </left>
      <right style="thin">
        <color auto="1"/>
      </right>
      <top style="medium">
        <color indexed="64"/>
      </top>
      <bottom style="medium">
        <color auto="1"/>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diagonal/>
    </border>
  </borders>
  <cellStyleXfs count="5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0" fontId="1" fillId="0" borderId="0"/>
    <xf numFmtId="0" fontId="1" fillId="8" borderId="8" applyNumberFormat="0" applyFont="0" applyAlignment="0" applyProtection="0"/>
    <xf numFmtId="0" fontId="19" fillId="0" borderId="0"/>
    <xf numFmtId="0" fontId="19" fillId="0" borderId="0"/>
    <xf numFmtId="0" fontId="21" fillId="0" borderId="0" applyNumberFormat="0" applyFill="0" applyBorder="0" applyAlignment="0" applyProtection="0"/>
    <xf numFmtId="0" fontId="22" fillId="0" borderId="0" applyNumberFormat="0" applyFill="0" applyBorder="0" applyAlignment="0" applyProtection="0"/>
    <xf numFmtId="0" fontId="1" fillId="0" borderId="0"/>
    <xf numFmtId="0" fontId="1" fillId="0" borderId="0"/>
    <xf numFmtId="0" fontId="32" fillId="0" borderId="0" applyNumberFormat="0" applyFill="0" applyBorder="0" applyAlignment="0" applyProtection="0">
      <alignment vertical="top"/>
      <protection locked="0"/>
    </xf>
    <xf numFmtId="0" fontId="1" fillId="0" borderId="0"/>
    <xf numFmtId="0" fontId="1" fillId="0" borderId="0"/>
    <xf numFmtId="0" fontId="45" fillId="0" borderId="0"/>
  </cellStyleXfs>
  <cellXfs count="129">
    <xf numFmtId="0" fontId="0" fillId="0" borderId="0" xfId="0"/>
    <xf numFmtId="0" fontId="24" fillId="0" borderId="0" xfId="41" applyFont="1" applyFill="1" applyBorder="1"/>
    <xf numFmtId="0" fontId="0" fillId="0" borderId="0" xfId="0" applyFont="1" applyFill="1" applyBorder="1"/>
    <xf numFmtId="0" fontId="23" fillId="0" borderId="0" xfId="41" applyFont="1" applyFill="1" applyBorder="1" applyAlignment="1">
      <alignment horizontal="left"/>
    </xf>
    <xf numFmtId="0" fontId="0" fillId="0" borderId="0" xfId="0" applyFill="1" applyBorder="1"/>
    <xf numFmtId="0" fontId="1" fillId="0" borderId="0" xfId="0" applyFont="1" applyFill="1" applyBorder="1"/>
    <xf numFmtId="164" fontId="24" fillId="0" borderId="0" xfId="41" applyNumberFormat="1" applyFont="1" applyFill="1" applyBorder="1"/>
    <xf numFmtId="15" fontId="24" fillId="0" borderId="0" xfId="41" applyNumberFormat="1" applyFont="1" applyFill="1" applyBorder="1" applyAlignment="1">
      <alignment horizontal="left"/>
    </xf>
    <xf numFmtId="0" fontId="24" fillId="0" borderId="0" xfId="0" applyFont="1" applyFill="1" applyBorder="1"/>
    <xf numFmtId="0" fontId="1" fillId="0" borderId="0" xfId="0" applyFont="1" applyFill="1" applyBorder="1" applyAlignment="1">
      <alignment horizontal="center" wrapText="1"/>
    </xf>
    <xf numFmtId="0" fontId="1" fillId="0" borderId="0" xfId="0" applyFont="1" applyFill="1" applyBorder="1" applyAlignment="1">
      <alignment horizontal="left"/>
    </xf>
    <xf numFmtId="0" fontId="24" fillId="0" borderId="0" xfId="41" applyNumberFormat="1" applyFont="1" applyFill="1" applyBorder="1"/>
    <xf numFmtId="0" fontId="0" fillId="0" borderId="0" xfId="0" applyFont="1" applyFill="1" applyBorder="1" applyAlignment="1"/>
    <xf numFmtId="0" fontId="1" fillId="0" borderId="0" xfId="0" applyFont="1" applyFill="1" applyBorder="1" applyAlignment="1"/>
    <xf numFmtId="164" fontId="1" fillId="0" borderId="0" xfId="0" applyNumberFormat="1" applyFont="1" applyFill="1" applyBorder="1"/>
    <xf numFmtId="0" fontId="16" fillId="0" borderId="0" xfId="0" applyFont="1" applyFill="1" applyBorder="1" applyAlignment="1">
      <alignment horizontal="center" wrapText="1"/>
    </xf>
    <xf numFmtId="0" fontId="1" fillId="0" borderId="0" xfId="0" applyNumberFormat="1" applyFont="1" applyFill="1" applyBorder="1"/>
    <xf numFmtId="0" fontId="0" fillId="0" borderId="0" xfId="0" applyNumberFormat="1" applyFont="1" applyFill="1" applyBorder="1"/>
    <xf numFmtId="0" fontId="23" fillId="0" borderId="0" xfId="0" applyFont="1" applyFill="1" applyBorder="1" applyAlignment="1">
      <alignment horizontal="right"/>
    </xf>
    <xf numFmtId="0" fontId="0" fillId="0" borderId="0" xfId="0" applyFill="1" applyBorder="1" applyAlignment="1">
      <alignment horizontal="left"/>
    </xf>
    <xf numFmtId="1" fontId="1" fillId="0" borderId="0" xfId="0" applyNumberFormat="1" applyFont="1" applyFill="1" applyBorder="1" applyAlignment="1">
      <alignment horizontal="left"/>
    </xf>
    <xf numFmtId="164" fontId="27" fillId="0" borderId="0" xfId="41" applyNumberFormat="1" applyFont="1" applyFill="1" applyBorder="1" applyAlignment="1">
      <alignment horizontal="center" wrapText="1"/>
    </xf>
    <xf numFmtId="0" fontId="27" fillId="0" borderId="0" xfId="41" applyFont="1" applyFill="1" applyBorder="1" applyAlignment="1">
      <alignment horizontal="left" wrapText="1"/>
    </xf>
    <xf numFmtId="0" fontId="27" fillId="0" borderId="0" xfId="41" applyFont="1" applyFill="1" applyBorder="1" applyAlignment="1">
      <alignment horizontal="center" wrapText="1"/>
    </xf>
    <xf numFmtId="0" fontId="0" fillId="0" borderId="0" xfId="0" applyFill="1" applyBorder="1" applyAlignment="1">
      <alignment horizontal="right"/>
    </xf>
    <xf numFmtId="15" fontId="24" fillId="0" borderId="0" xfId="41" applyNumberFormat="1" applyFont="1" applyFill="1" applyBorder="1"/>
    <xf numFmtId="0" fontId="24" fillId="0" borderId="0" xfId="0" applyFont="1" applyFill="1" applyBorder="1" applyAlignment="1">
      <alignment horizontal="right" wrapText="1"/>
    </xf>
    <xf numFmtId="0" fontId="24" fillId="0" borderId="0" xfId="0" applyFont="1" applyFill="1" applyBorder="1" applyAlignment="1">
      <alignment horizontal="right" vertical="center" wrapText="1"/>
    </xf>
    <xf numFmtId="0" fontId="27" fillId="0" borderId="0" xfId="0" applyFont="1" applyFill="1" applyBorder="1" applyAlignment="1">
      <alignment horizontal="center" wrapText="1"/>
    </xf>
    <xf numFmtId="0" fontId="23" fillId="0" borderId="0" xfId="0" applyFont="1" applyFill="1" applyBorder="1" applyAlignment="1">
      <alignment horizontal="right" wrapText="1"/>
    </xf>
    <xf numFmtId="164" fontId="0" fillId="0" borderId="0" xfId="0" applyNumberFormat="1" applyFont="1" applyFill="1" applyBorder="1" applyAlignment="1">
      <alignment horizontal="right"/>
    </xf>
    <xf numFmtId="0" fontId="28" fillId="0" borderId="0" xfId="44" applyFont="1" applyAlignment="1" applyProtection="1">
      <alignment vertical="top"/>
    </xf>
    <xf numFmtId="0" fontId="19" fillId="0" borderId="0" xfId="44" applyFont="1" applyAlignment="1" applyProtection="1">
      <alignment horizontal="left" wrapText="1"/>
      <protection locked="0"/>
    </xf>
    <xf numFmtId="0" fontId="29" fillId="0" borderId="0" xfId="44" applyFont="1" applyProtection="1">
      <protection locked="0"/>
    </xf>
    <xf numFmtId="0" fontId="30" fillId="0" borderId="0" xfId="44" applyFont="1" applyProtection="1">
      <protection locked="0"/>
    </xf>
    <xf numFmtId="0" fontId="19" fillId="0" borderId="0" xfId="44" applyFont="1"/>
    <xf numFmtId="0" fontId="31" fillId="0" borderId="16" xfId="44" applyFont="1" applyFill="1" applyBorder="1" applyAlignment="1" applyProtection="1"/>
    <xf numFmtId="0" fontId="31" fillId="0" borderId="16" xfId="44" applyFont="1" applyFill="1" applyBorder="1" applyAlignment="1" applyProtection="1">
      <alignment horizontal="left"/>
    </xf>
    <xf numFmtId="0" fontId="19" fillId="0" borderId="0" xfId="44" applyFont="1" applyProtection="1">
      <protection locked="0"/>
    </xf>
    <xf numFmtId="0" fontId="31" fillId="0" borderId="18" xfId="44" applyFont="1" applyBorder="1" applyAlignment="1" applyProtection="1"/>
    <xf numFmtId="0" fontId="30" fillId="35" borderId="16" xfId="44" applyFont="1" applyFill="1" applyBorder="1" applyAlignment="1" applyProtection="1">
      <alignment vertical="top"/>
    </xf>
    <xf numFmtId="0" fontId="19" fillId="0" borderId="0" xfId="44" applyFont="1" applyFill="1" applyBorder="1"/>
    <xf numFmtId="0" fontId="19" fillId="0" borderId="0" xfId="44" applyFont="1" applyAlignment="1" applyProtection="1">
      <alignment vertical="top"/>
    </xf>
    <xf numFmtId="0" fontId="19" fillId="0" borderId="0" xfId="44" applyFont="1" applyAlignment="1" applyProtection="1">
      <protection locked="0"/>
    </xf>
    <xf numFmtId="0" fontId="19" fillId="0" borderId="0" xfId="44" applyNumberFormat="1" applyFont="1" applyAlignment="1" applyProtection="1">
      <alignment horizontal="left"/>
      <protection locked="0"/>
    </xf>
    <xf numFmtId="0" fontId="33" fillId="0" borderId="0" xfId="44" applyFont="1" applyAlignment="1" applyProtection="1">
      <protection locked="0"/>
    </xf>
    <xf numFmtId="0" fontId="19" fillId="37" borderId="16" xfId="44" applyFont="1" applyFill="1" applyBorder="1" applyAlignment="1" applyProtection="1">
      <alignment horizontal="left" wrapText="1"/>
      <protection locked="0"/>
    </xf>
    <xf numFmtId="0" fontId="19" fillId="0" borderId="0" xfId="44" applyFont="1" applyAlignment="1" applyProtection="1">
      <alignment vertical="top" wrapText="1"/>
    </xf>
    <xf numFmtId="0" fontId="34" fillId="35" borderId="16" xfId="44" applyFont="1" applyFill="1" applyBorder="1" applyAlignment="1" applyProtection="1">
      <alignment vertical="top" wrapText="1"/>
    </xf>
    <xf numFmtId="0" fontId="30" fillId="35" borderId="16" xfId="44" applyFont="1" applyFill="1" applyBorder="1" applyAlignment="1" applyProtection="1">
      <alignment horizontal="left" wrapText="1"/>
    </xf>
    <xf numFmtId="49" fontId="30" fillId="33" borderId="0" xfId="44" applyNumberFormat="1" applyFont="1" applyFill="1" applyBorder="1" applyAlignment="1" applyProtection="1">
      <alignment horizontal="right" vertical="top"/>
    </xf>
    <xf numFmtId="49" fontId="19" fillId="34" borderId="16" xfId="44" applyNumberFormat="1" applyFont="1" applyFill="1" applyBorder="1" applyAlignment="1" applyProtection="1">
      <alignment horizontal="left" wrapText="1"/>
      <protection locked="0"/>
    </xf>
    <xf numFmtId="49" fontId="19" fillId="0" borderId="0" xfId="44" applyNumberFormat="1" applyFont="1"/>
    <xf numFmtId="0" fontId="19" fillId="0" borderId="0" xfId="44" applyFont="1" applyFill="1" applyBorder="1" applyAlignment="1" applyProtection="1">
      <alignment horizontal="right" vertical="top"/>
    </xf>
    <xf numFmtId="0" fontId="19" fillId="0" borderId="0" xfId="44" applyFont="1" applyFill="1" applyAlignment="1" applyProtection="1">
      <alignment horizontal="left" wrapText="1"/>
      <protection locked="0"/>
    </xf>
    <xf numFmtId="0" fontId="19" fillId="0" borderId="0" xfId="44" applyFont="1" applyFill="1" applyProtection="1">
      <protection locked="0"/>
    </xf>
    <xf numFmtId="0" fontId="19" fillId="0" borderId="0" xfId="44" applyFont="1" applyFill="1" applyAlignment="1" applyProtection="1">
      <alignment horizontal="right" vertical="top" wrapText="1"/>
    </xf>
    <xf numFmtId="0" fontId="30" fillId="35" borderId="16" xfId="44" applyNumberFormat="1" applyFont="1" applyFill="1" applyBorder="1" applyAlignment="1" applyProtection="1">
      <alignment vertical="top" wrapText="1"/>
    </xf>
    <xf numFmtId="0" fontId="19" fillId="0" borderId="0" xfId="44" applyFont="1" applyBorder="1" applyAlignment="1" applyProtection="1">
      <alignment horizontal="left" wrapText="1"/>
      <protection locked="0"/>
    </xf>
    <xf numFmtId="0" fontId="31" fillId="0" borderId="16" xfId="44" applyFont="1" applyFill="1" applyBorder="1" applyAlignment="1" applyProtection="1">
      <alignment horizontal="right"/>
    </xf>
    <xf numFmtId="0" fontId="31" fillId="0" borderId="18" xfId="44" applyFont="1" applyBorder="1" applyAlignment="1"/>
    <xf numFmtId="0" fontId="30" fillId="38" borderId="0" xfId="44" applyNumberFormat="1" applyFont="1" applyFill="1" applyAlignment="1" applyProtection="1">
      <alignment horizontal="right" vertical="top" wrapText="1"/>
    </xf>
    <xf numFmtId="0" fontId="30" fillId="38" borderId="0" xfId="44" applyFont="1" applyFill="1" applyAlignment="1" applyProtection="1">
      <alignment horizontal="right" vertical="top" wrapText="1"/>
    </xf>
    <xf numFmtId="165" fontId="19" fillId="36" borderId="16" xfId="44" applyNumberFormat="1" applyFont="1" applyFill="1" applyBorder="1" applyAlignment="1" applyProtection="1">
      <alignment horizontal="left" wrapText="1"/>
      <protection locked="0"/>
    </xf>
    <xf numFmtId="0" fontId="30" fillId="38" borderId="0" xfId="44" applyFont="1" applyFill="1" applyAlignment="1" applyProtection="1">
      <alignment horizontal="right" vertical="top"/>
    </xf>
    <xf numFmtId="0" fontId="30" fillId="38" borderId="0" xfId="44" applyFont="1" applyFill="1" applyBorder="1" applyAlignment="1" applyProtection="1">
      <alignment horizontal="right" vertical="top"/>
    </xf>
    <xf numFmtId="0" fontId="19" fillId="36" borderId="16" xfId="44" applyFont="1" applyFill="1" applyBorder="1" applyAlignment="1" applyProtection="1">
      <alignment horizontal="left" vertical="top" wrapText="1"/>
      <protection locked="0"/>
    </xf>
    <xf numFmtId="0" fontId="30" fillId="35" borderId="19" xfId="44" applyFont="1" applyFill="1" applyBorder="1" applyAlignment="1" applyProtection="1">
      <alignment horizontal="left" vertical="top"/>
    </xf>
    <xf numFmtId="0" fontId="30" fillId="38" borderId="0" xfId="44" applyFont="1" applyFill="1" applyBorder="1" applyAlignment="1" applyProtection="1">
      <alignment horizontal="left" vertical="top"/>
    </xf>
    <xf numFmtId="0" fontId="19" fillId="36" borderId="12" xfId="44" applyFont="1" applyFill="1" applyBorder="1" applyAlignment="1" applyProtection="1">
      <alignment horizontal="left" wrapText="1"/>
      <protection locked="0"/>
    </xf>
    <xf numFmtId="0" fontId="19" fillId="36" borderId="15" xfId="44" applyFont="1" applyFill="1" applyBorder="1" applyAlignment="1" applyProtection="1">
      <alignment horizontal="left" wrapText="1"/>
      <protection locked="0"/>
    </xf>
    <xf numFmtId="0" fontId="30" fillId="35" borderId="16" xfId="44" applyFont="1" applyFill="1" applyBorder="1" applyAlignment="1" applyProtection="1">
      <alignment horizontal="left" vertical="top"/>
    </xf>
    <xf numFmtId="0" fontId="19" fillId="0" borderId="16" xfId="44" applyFont="1" applyBorder="1" applyAlignment="1" applyProtection="1">
      <alignment horizontal="left" wrapText="1"/>
      <protection locked="0"/>
    </xf>
    <xf numFmtId="0" fontId="30" fillId="0" borderId="0" xfId="44" applyFont="1" applyFill="1" applyBorder="1" applyAlignment="1" applyProtection="1">
      <alignment horizontal="right" vertical="top"/>
    </xf>
    <xf numFmtId="0" fontId="19" fillId="0" borderId="0" xfId="44" applyFont="1" applyFill="1" applyBorder="1" applyAlignment="1" applyProtection="1">
      <alignment horizontal="left" wrapText="1"/>
      <protection locked="0"/>
    </xf>
    <xf numFmtId="0" fontId="30" fillId="35" borderId="16" xfId="44" applyFont="1" applyFill="1" applyBorder="1" applyAlignment="1" applyProtection="1">
      <alignment wrapText="1"/>
    </xf>
    <xf numFmtId="0" fontId="30" fillId="38" borderId="0" xfId="44" applyFont="1" applyFill="1" applyBorder="1" applyAlignment="1" applyProtection="1">
      <alignment horizontal="right" wrapText="1"/>
    </xf>
    <xf numFmtId="0" fontId="30" fillId="38" borderId="17" xfId="44" applyFont="1" applyFill="1" applyBorder="1" applyAlignment="1" applyProtection="1">
      <alignment horizontal="right" wrapText="1"/>
    </xf>
    <xf numFmtId="0" fontId="30" fillId="35" borderId="16" xfId="44" applyFont="1" applyFill="1" applyBorder="1" applyAlignment="1" applyProtection="1">
      <alignment vertical="top" wrapText="1"/>
    </xf>
    <xf numFmtId="0" fontId="33" fillId="0" borderId="0" xfId="44" applyFont="1"/>
    <xf numFmtId="0" fontId="19" fillId="0" borderId="0" xfId="44" applyFont="1" applyAlignment="1" applyProtection="1"/>
    <xf numFmtId="0" fontId="19" fillId="0" borderId="0" xfId="44" applyNumberFormat="1" applyFont="1" applyAlignment="1" applyProtection="1">
      <protection locked="0"/>
    </xf>
    <xf numFmtId="0" fontId="19" fillId="0" borderId="0" xfId="44" applyFont="1" applyFill="1" applyAlignment="1" applyProtection="1">
      <alignment vertical="center"/>
      <protection locked="0"/>
    </xf>
    <xf numFmtId="0" fontId="19" fillId="0" borderId="0" xfId="44" applyFont="1" applyAlignment="1" applyProtection="1">
      <alignment vertical="center"/>
      <protection locked="0"/>
    </xf>
    <xf numFmtId="0" fontId="19" fillId="0" borderId="0" xfId="44" applyFont="1" applyAlignment="1" applyProtection="1">
      <alignment horizontal="left"/>
      <protection locked="0"/>
    </xf>
    <xf numFmtId="0" fontId="30" fillId="35" borderId="14" xfId="44" applyFont="1" applyFill="1" applyBorder="1" applyAlignment="1" applyProtection="1">
      <alignment horizontal="left"/>
    </xf>
    <xf numFmtId="0" fontId="19" fillId="35" borderId="13" xfId="44" applyNumberFormat="1" applyFont="1" applyFill="1" applyBorder="1" applyAlignment="1" applyProtection="1">
      <alignment horizontal="left"/>
    </xf>
    <xf numFmtId="0" fontId="30" fillId="35" borderId="11" xfId="44" applyFont="1" applyFill="1" applyBorder="1" applyAlignment="1" applyProtection="1">
      <alignment horizontal="right" wrapText="1"/>
    </xf>
    <xf numFmtId="0" fontId="19" fillId="36" borderId="17" xfId="44" applyFont="1" applyFill="1" applyBorder="1" applyAlignment="1" applyProtection="1">
      <alignment horizontal="left"/>
      <protection locked="0"/>
    </xf>
    <xf numFmtId="0" fontId="19" fillId="34" borderId="18" xfId="44" applyFont="1" applyFill="1" applyBorder="1" applyAlignment="1" applyProtection="1">
      <protection locked="0"/>
    </xf>
    <xf numFmtId="0" fontId="30" fillId="35" borderId="17" xfId="44" applyFont="1" applyFill="1" applyBorder="1" applyAlignment="1" applyProtection="1">
      <alignment horizontal="right"/>
    </xf>
    <xf numFmtId="0" fontId="19" fillId="34" borderId="10" xfId="44" applyFont="1" applyFill="1" applyBorder="1" applyAlignment="1" applyProtection="1">
      <protection locked="0"/>
    </xf>
    <xf numFmtId="0" fontId="30" fillId="0" borderId="0" xfId="44" applyFont="1" applyAlignment="1" applyProtection="1">
      <alignment horizontal="center" vertical="top"/>
    </xf>
    <xf numFmtId="0" fontId="30" fillId="35" borderId="16" xfId="44" applyFont="1" applyFill="1" applyBorder="1" applyAlignment="1" applyProtection="1">
      <alignment horizontal="right" vertical="top"/>
    </xf>
    <xf numFmtId="0" fontId="36" fillId="0" borderId="0" xfId="44" applyFont="1"/>
    <xf numFmtId="0" fontId="30" fillId="38" borderId="16" xfId="44" applyFont="1" applyFill="1" applyBorder="1" applyAlignment="1" applyProtection="1">
      <alignment vertical="center" wrapText="1"/>
    </xf>
    <xf numFmtId="0" fontId="30" fillId="38" borderId="16" xfId="44" applyFont="1" applyFill="1" applyBorder="1" applyAlignment="1" applyProtection="1">
      <alignment horizontal="left" vertical="center" wrapText="1"/>
    </xf>
    <xf numFmtId="0" fontId="30" fillId="0" borderId="0" xfId="44" applyFont="1" applyFill="1" applyBorder="1" applyAlignment="1" applyProtection="1">
      <alignment vertical="center" wrapText="1"/>
    </xf>
    <xf numFmtId="0" fontId="37" fillId="0" borderId="0" xfId="44" applyFont="1"/>
    <xf numFmtId="0" fontId="19" fillId="0" borderId="0" xfId="44" applyFont="1" applyAlignment="1" applyProtection="1">
      <alignment vertical="top" wrapText="1"/>
      <protection locked="0"/>
    </xf>
    <xf numFmtId="0" fontId="19" fillId="0" borderId="0" xfId="44" applyFont="1" applyAlignment="1" applyProtection="1">
      <alignment wrapText="1"/>
      <protection locked="0"/>
    </xf>
    <xf numFmtId="0" fontId="19" fillId="0" borderId="0" xfId="44" applyFont="1" applyAlignment="1">
      <alignment vertical="center" wrapText="1"/>
    </xf>
    <xf numFmtId="0" fontId="19" fillId="0" borderId="0" xfId="44" applyFont="1" applyAlignment="1">
      <alignment vertical="top"/>
    </xf>
    <xf numFmtId="0" fontId="23" fillId="0" borderId="0" xfId="0" applyFont="1" applyFill="1" applyBorder="1"/>
    <xf numFmtId="11" fontId="1" fillId="0" borderId="0" xfId="0" applyNumberFormat="1" applyFont="1" applyFill="1" applyBorder="1"/>
    <xf numFmtId="0" fontId="16" fillId="0" borderId="0" xfId="0" applyFont="1" applyFill="1" applyBorder="1" applyAlignment="1">
      <alignment horizontal="center" vertical="center" wrapText="1"/>
    </xf>
    <xf numFmtId="1" fontId="0" fillId="0" borderId="0" xfId="0" applyNumberFormat="1" applyFill="1" applyBorder="1" applyAlignment="1">
      <alignment horizontal="left"/>
    </xf>
    <xf numFmtId="0" fontId="32" fillId="0" borderId="17" xfId="50" applyFill="1" applyBorder="1" applyAlignment="1" applyProtection="1">
      <alignment horizontal="left"/>
    </xf>
    <xf numFmtId="0" fontId="30" fillId="0" borderId="0" xfId="44" applyFont="1" applyFill="1" applyBorder="1" applyAlignment="1" applyProtection="1">
      <alignment horizontal="left" wrapText="1"/>
      <protection locked="0"/>
    </xf>
    <xf numFmtId="0" fontId="19" fillId="0" borderId="0" xfId="44" applyFont="1" applyFill="1" applyBorder="1" applyAlignment="1"/>
    <xf numFmtId="0" fontId="46" fillId="0" borderId="0" xfId="44" applyFont="1"/>
    <xf numFmtId="0" fontId="19" fillId="36" borderId="11" xfId="44" applyFont="1" applyFill="1" applyBorder="1" applyAlignment="1" applyProtection="1">
      <alignment horizontal="left"/>
      <protection locked="0"/>
    </xf>
    <xf numFmtId="0" fontId="32" fillId="36" borderId="16" xfId="50" applyFill="1" applyBorder="1" applyAlignment="1" applyProtection="1">
      <alignment horizontal="left" vertical="top" wrapText="1"/>
    </xf>
    <xf numFmtId="0" fontId="30" fillId="38" borderId="0" xfId="44" applyFont="1" applyFill="1" applyBorder="1" applyAlignment="1" applyProtection="1">
      <alignment horizontal="right" vertical="top" wrapText="1"/>
    </xf>
    <xf numFmtId="0" fontId="19" fillId="39" borderId="16" xfId="44" applyFont="1" applyFill="1" applyBorder="1" applyAlignment="1" applyProtection="1">
      <alignment horizontal="center" wrapText="1"/>
      <protection locked="0"/>
    </xf>
    <xf numFmtId="0" fontId="19" fillId="0" borderId="0" xfId="44" applyFont="1" applyAlignment="1" applyProtection="1">
      <alignment horizontal="right" vertical="top"/>
    </xf>
    <xf numFmtId="0" fontId="19" fillId="0" borderId="0" xfId="44"/>
    <xf numFmtId="0" fontId="48" fillId="0" borderId="0" xfId="44" applyFont="1" applyAlignment="1">
      <alignment horizontal="center" wrapText="1"/>
    </xf>
    <xf numFmtId="0" fontId="48" fillId="0" borderId="0" xfId="44" applyFont="1" applyAlignment="1">
      <alignment wrapText="1"/>
    </xf>
    <xf numFmtId="166" fontId="48" fillId="0" borderId="0" xfId="44" applyNumberFormat="1" applyFont="1" applyAlignment="1">
      <alignment wrapText="1"/>
    </xf>
    <xf numFmtId="1" fontId="48" fillId="0" borderId="0" xfId="44" applyNumberFormat="1" applyFont="1" applyAlignment="1">
      <alignment wrapText="1"/>
    </xf>
    <xf numFmtId="0" fontId="49" fillId="0" borderId="0" xfId="44" applyFont="1" applyAlignment="1">
      <alignment horizontal="center" wrapText="1"/>
    </xf>
    <xf numFmtId="0" fontId="32" fillId="0" borderId="0" xfId="50" applyAlignment="1" applyProtection="1"/>
    <xf numFmtId="0" fontId="19" fillId="0" borderId="0" xfId="44" applyAlignment="1"/>
    <xf numFmtId="1" fontId="19" fillId="0" borderId="0" xfId="44" applyNumberFormat="1"/>
    <xf numFmtId="0" fontId="19" fillId="36" borderId="17" xfId="44" applyFont="1" applyFill="1" applyBorder="1" applyAlignment="1" applyProtection="1">
      <alignment horizontal="left" wrapText="1"/>
      <protection locked="0"/>
    </xf>
    <xf numFmtId="0" fontId="19" fillId="0" borderId="18" xfId="44" applyFont="1" applyBorder="1" applyAlignment="1"/>
    <xf numFmtId="0" fontId="30" fillId="0" borderId="0" xfId="44" applyFont="1" applyFill="1" applyBorder="1" applyAlignment="1" applyProtection="1">
      <alignment horizontal="left" wrapText="1"/>
      <protection locked="0"/>
    </xf>
    <xf numFmtId="0" fontId="19" fillId="0" borderId="0" xfId="44" applyFont="1" applyFill="1" applyBorder="1" applyAlignment="1"/>
  </cellXfs>
  <cellStyles count="54">
    <cellStyle name="20% - Accent1" xfId="18" builtinId="30" customBuiltin="1"/>
    <cellStyle name="20% - Accent2" xfId="22" builtinId="34" customBuiltin="1"/>
    <cellStyle name="20% - Accent3" xfId="26" builtinId="38" customBuiltin="1"/>
    <cellStyle name="20% - Accent4" xfId="30" builtinId="42" customBuiltin="1"/>
    <cellStyle name="20% - Accent5" xfId="34" builtinId="46" customBuiltin="1"/>
    <cellStyle name="20% - Accent6" xfId="38" builtinId="50" customBuiltin="1"/>
    <cellStyle name="40% - Accent1" xfId="19" builtinId="31" customBuiltin="1"/>
    <cellStyle name="40% - Accent2" xfId="23" builtinId="35" customBuiltin="1"/>
    <cellStyle name="40% - Accent3" xfId="27" builtinId="39" customBuiltin="1"/>
    <cellStyle name="40% - Accent4" xfId="31" builtinId="43" customBuiltin="1"/>
    <cellStyle name="40% - Accent5" xfId="35" builtinId="47" customBuiltin="1"/>
    <cellStyle name="40% - Accent6" xfId="39" builtinId="51" customBuiltin="1"/>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7" builtinId="27" customBuiltin="1"/>
    <cellStyle name="Calculation" xfId="11" builtinId="22" customBuiltin="1"/>
    <cellStyle name="Check Cell" xfId="13" builtinId="23" customBuiltin="1"/>
    <cellStyle name="Explanatory Text" xfId="15" builtinId="53" customBuiltin="1"/>
    <cellStyle name="Followed Hyperlink" xfId="47" builtinId="9" hidde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6" builtinId="8" hidden="1"/>
    <cellStyle name="Hyperlink" xfId="50" builtinId="8"/>
    <cellStyle name="Input" xfId="9" builtinId="20" customBuiltin="1"/>
    <cellStyle name="Linked Cell" xfId="12" builtinId="24" customBuiltin="1"/>
    <cellStyle name="Neutral" xfId="8" builtinId="28" customBuiltin="1"/>
    <cellStyle name="Normal" xfId="0" builtinId="0"/>
    <cellStyle name="Normal 2" xfId="44"/>
    <cellStyle name="Normal 2 2" xfId="45"/>
    <cellStyle name="Normal 3" xfId="42"/>
    <cellStyle name="Normal 3 2" xfId="53"/>
    <cellStyle name="Normal 4" xfId="41"/>
    <cellStyle name="Normal 5" xfId="48"/>
    <cellStyle name="Normal 5 2" xfId="51"/>
    <cellStyle name="Normal 6" xfId="49"/>
    <cellStyle name="Normal 7" xfId="52"/>
    <cellStyle name="Note 2" xfId="43"/>
    <cellStyle name="Output" xfId="10" builtinId="21" customBuiltin="1"/>
    <cellStyle name="Title" xfId="1" builtinId="15" customBuiltin="1"/>
    <cellStyle name="Total" xfId="16" builtinId="25" customBuiltin="1"/>
    <cellStyle name="Warning Text" xfId="14" builtinId="11" customBuiltin="1"/>
  </cellStyles>
  <dxfs count="11">
    <dxf>
      <font>
        <condense val="0"/>
        <extend val="0"/>
        <color auto="1"/>
      </font>
      <fill>
        <patternFill>
          <bgColor indexed="26"/>
        </patternFill>
      </fill>
      <border>
        <left style="thin">
          <color indexed="8"/>
        </left>
        <right style="thin">
          <color indexed="8"/>
        </right>
        <top style="thin">
          <color indexed="8"/>
        </top>
        <bottom style="thin">
          <color indexed="8"/>
        </bottom>
      </border>
    </dxf>
    <dxf>
      <border>
        <left style="thin">
          <color rgb="FFC00000"/>
        </left>
        <right style="thin">
          <color rgb="FFC00000"/>
        </right>
        <top style="thin">
          <color rgb="FFC00000"/>
        </top>
        <bottom style="thin">
          <color rgb="FFC00000"/>
        </bottom>
      </border>
    </dxf>
    <dxf>
      <border>
        <left style="thin">
          <color rgb="FFC00000"/>
        </left>
        <right style="thin">
          <color rgb="FFC00000"/>
        </right>
        <top style="thin">
          <color rgb="FFC00000"/>
        </top>
        <bottom style="thin">
          <color rgb="FFC00000"/>
        </bottom>
      </border>
    </dxf>
    <dxf>
      <fill>
        <patternFill patternType="darkGrid">
          <fgColor indexed="22"/>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s>
  <tableStyles count="0" defaultTableStyle="TableStyleMedium2"/>
  <colors>
    <mruColors>
      <color rgb="FFCCFFFF"/>
      <color rgb="FF53E75A"/>
      <color rgb="FFF90D45"/>
      <color rgb="FF00FF00"/>
      <color rgb="FFFF0066"/>
      <color rgb="FFCC66FF"/>
      <color rgb="FFCC0099"/>
      <color rgb="FF990099"/>
      <color rgb="FF660066"/>
      <color rgb="FF80008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2076446</xdr:colOff>
      <xdr:row>13</xdr:row>
      <xdr:rowOff>22860</xdr:rowOff>
    </xdr:to>
    <xdr:sp macro="" textlink="">
      <xdr:nvSpPr>
        <xdr:cNvPr id="2" name="abstract" descr="Abstract of dsatset"/>
        <xdr:cNvSpPr txBox="1">
          <a:spLocks noChangeArrowheads="1"/>
        </xdr:cNvSpPr>
      </xdr:nvSpPr>
      <xdr:spPr bwMode="auto">
        <a:xfrm>
          <a:off x="590550" y="971550"/>
          <a:ext cx="1771646" cy="994410"/>
        </a:xfrm>
        <a:prstGeom prst="rect">
          <a:avLst/>
        </a:prstGeom>
        <a:solidFill>
          <a:srgbClr val="CCFFFF"/>
        </a:solidFill>
        <a:ln w="9525">
          <a:solidFill>
            <a:srgbClr val="000000"/>
          </a:solidFill>
          <a:miter lim="800000"/>
          <a:headEnd/>
          <a:tailEnd/>
        </a:ln>
      </xdr:spPr>
      <xdr:txBody>
        <a:bodyPr/>
        <a:lstStyle/>
        <a:p>
          <a:r>
            <a:rPr lang="en-US"/>
            <a:t>Leaf and plant tissue area and mass  from shoots harvested from 19 1m x 1m point frame plots near Toolik Field Station, AK during the summer of 2012.  Six shoots were harvested from each plot, two from each canopy layer: upper, middle, and low.  Each shoot came from a different plant,  and the species selected was based on the species dominant in that canopy layer.  The leaf area and mass were used to correct A/Ci and light response curves taken on each shoot [data published separately]. At the time of collection, the location relative to the point frame, height, and leaf area index (LAI) of each shoot was measured; those data are included here.
 </a:t>
          </a:r>
        </a:p>
      </xdr:txBody>
    </xdr:sp>
    <xdr:clientData fLocksWithSheet="0"/>
  </xdr:twoCellAnchor>
  <xdr:twoCellAnchor>
    <xdr:from>
      <xdr:col>1</xdr:col>
      <xdr:colOff>30480</xdr:colOff>
      <xdr:row>67</xdr:row>
      <xdr:rowOff>17145</xdr:rowOff>
    </xdr:from>
    <xdr:to>
      <xdr:col>6</xdr:col>
      <xdr:colOff>817247</xdr:colOff>
      <xdr:row>188</xdr:row>
      <xdr:rowOff>6</xdr:rowOff>
    </xdr:to>
    <xdr:sp macro="" textlink="">
      <xdr:nvSpPr>
        <xdr:cNvPr id="3" name="method"/>
        <xdr:cNvSpPr txBox="1">
          <a:spLocks noChangeArrowheads="1"/>
        </xdr:cNvSpPr>
      </xdr:nvSpPr>
      <xdr:spPr bwMode="auto">
        <a:xfrm>
          <a:off x="621030" y="10542270"/>
          <a:ext cx="3510917" cy="6621786"/>
        </a:xfrm>
        <a:prstGeom prst="rect">
          <a:avLst/>
        </a:prstGeom>
        <a:solidFill>
          <a:srgbClr val="FFFFFF"/>
        </a:solidFill>
        <a:ln w="9525">
          <a:solidFill>
            <a:srgbClr val="000000"/>
          </a:solidFill>
          <a:miter lim="800000"/>
          <a:headEnd/>
          <a:tailEnd/>
        </a:ln>
      </xdr:spPr>
      <xdr:txBody>
        <a:bodyPr/>
        <a:lstStyle/>
        <a:p>
          <a:r>
            <a:rPr lang="en-US"/>
            <a:t>HARVEST METHOD: 
The methods for setting up each point frame plot are described below in the section 'POINT FRAME PIN-DROP METHODS'.  The methods here describe how each shoot was harvested from the plots which were used for the point frame method.
Six shoots were harvested from each of 19 1m x 1m point frame plots which were dominated either by Salix pulchra or Betula nana tall, shrub species.  The "shoots" described here are branch clippings between eight to ten inches long.  Whenever possible they were selected for appearing relatively healthy, intact leaves, and each shoot was taken from a different plant.  As these shoots were used for shoot-level and leaf-level measurements, shoots with bi-furcated stems -- or two stems from the same branch/height were cut -- one for leaf-level and the second for shoot-level analyses.
Before being cut, we measured the distance from the point frame to the highest tip on the shoot as well as the distance from the point frame to the shoot five inches from the tip.  This way, we could approximate the angle of the shoot relative to the ground.  Using the same criteria as for the pin-drop measurements, we measured the distance from the top of the shoot to the soil.  In addition, the row number and pin-hole number nearest to the shoot's location with respect to the point frame was also recorded .  
We then measured the leaf area index (LAI) of the shoot by holding an LAI-2000 (Li-Cor Inc., Lincoln, Nebraska, USA) in the exact location where the shoot had been and taking the average of three readings (one above, three below).  For these measurements we used the one-quarter cut out and took care to always hold the instrument level and with the technician's body casting a uniform shadow over the instrument's eye, with the technician standing between the instrument and the sun.  On occasion when it was raining during the shoot harvest, the area near where the shoot had been was marked with flagging tape, and the the LAI measurement was taken at a later date, using the height from frame/distance from ground meausrements as well as the row number and pin hole measurements as a guide.  
Once cut, the shoot was placed immediately into water and transported to the lab.  Once in the lab, the end of each shoot was clipped under water to ensure that there were no air bubbles in the stem that would inhibit the flow of water.  Shoots were then allowed to sit at ambient room conditions (~20-25 degrees Celsius) until the the photosynthetic rates could be measured.
AREA CALCULATIONS:
Area calculations were made using the open source software Image J, available at http://rsbweb.nih.gov/ij/download.html.  The procedures for  each kind of area calculation are outlined here: 
SHOOT SILHOUETTE AREA: Digital image capture of intact stem and leaves
1.  Arrange the shoot on a white background (e.g.  blank paper or foam board) as it sat in the LiCor conifer chamber.  Add a note of sample number and date. 
2.  Place a ruler that you can later use as a reference.  Ensure ruler/stem do not overlap.
3. Use a tripod to hold the camera in a steady position and as close as possible to the stem, keep this distance constant throughout the samples if possible to avoid the need to re-calibrate Image J.
4. Take a digital image of the shoot in very bright light conditions, using diffuser or reflector panels as needed to minimize shadows. [Shadows can be mistakenly analyzed in the software as plant tissue if not careful.]
5. Download the images in the computer, save them as TIFF files.
SHOOT TISSUE AREA: Image capture of shoot tissues (leaf, petiole, stipule, organ, green/brown stem) using a scanner
 1. Pluck the sample with forceps, arrange leaves, petioles, stipules, green and brown stems and inflorescences separately, grouped by type onto the white background of a plastic board. Place a ruler that you can later use as a reference. Add a note of sample number and date.
2. Press flat with the clear plastic cover. Ensure ruler/plant parts are not overlapping. 
3. Place plastic side down on scanner (ensure no parts have overlapped when inverting plastic board).
4. Scan the images to the computer, save them as TIFF files.
BOTH SILHOUETTE AND TISSUE AREA ANALYSES: 
In the Image J software program:  
1. Open leaf image via Select File → Open→ your file name 
2. Convert scanned colour image of leaf to greyscale:
3. Image→Type→8 bit
4. Set measurement scale:  Draw a line over a 50 mm section of the ruler then Analyze →Set Scale
 5. In  Set Scale  window enter 50 into the 'Known Distance' box and change the 'Unit of Measurement' box to mm , check 'Global' (the Global option will apply the same scale to all the images you open after this, if you took the photos from different heights you might need to repeat this procedure every time)
6. Draw a new line and confirm that the measurement scale is correct.
7. Threshold the leaf image:  Image→ adjust→ threshold 
8.  Play with sliders to include all of leaf in red and click ‘Apply’
 9. Calculate area of entire silhouette area and area of each tissue type:
Enclose the region of the shoot or tissues that you wish to calculate the area for with the rectangular selection tool, then Analyze → Analyze Particles
 10. Select the options of display masks and display results.
Area of measured pixels is displayed. Check that only your leaf is included in the outline (not the ruler or extraneous tissue types).
The data of the leaf area is displayed on a new window ‘summary’, this data can be copied into Excel or the data can be saved directly as an Excel file. Keep summary window open between picture analyses to maintain a record of measured areas.
 11. Save new black and white image as well as its original colour photo with an appropriate file name.
DRYING AND WEIGHING: 
Once digital images of each shoot and tissue had been made, each plant tissue was separated, counted, and placed in a labeled coin envelope.  These samples were then dried for a minimum of three days at 60 degrees Celsius prior to being weighed on a four-point balance with glass enclosure.  
Plant tissues were weighed in aggregate, thus the average mass included in these data are the total tissue mass divided by the count of that tissue (e.g. number of leaves, petioles, etc).  In the same manner, plant tissure area was calculated in aggregate, thus the average area per leaf/petiole/stipule is based on the total area of that tissue divided by the count of that tissue.
At the start of this project, we did not take care to distinguish leaves, petioles, or stipules.  While not thought to make a significant difference in the area or mass calculations for most samples, we did not want to include the petioles in the CHN analyses.  Thus, for those samples that had removeable petioles (all B. nana, most S. pulchra, but no Vaccinium spp.  or L. palustre samples), the petioles were clipped after drying and the leaves re-weighed.  In some cases the mass of the leaves with petioles removed was greater than the original mass; in these cases, the original mass was preserved.  [The original mass of all samples weighed is listed in the ORIGINAL LEAF MASS W/ PETIOLE data-column.]
NOTE: The area used for correcting the LiCor A/Ci and light curve data included leaves, petioles, and stipules.    
CHN ANALYSIS:
Grinding: All leaf samples were dried in an oven at 60°C before grinding. Samples were small enough to grind the entire sample without subsampling. Leaves were ground using the Retsch MM 200 for 3 minutes or until a talcum powder consistency was achieved.  
Weighing: After grinding, samples were stored in glass scintillation vials and dried again at 60°C for at least 36 hours. Once samples were removed, vials were tightly re-capped. When not in use, vials were stored in dessicators. 3.5-4.5 mg of each sample was weighed into a 10x12 mm tin capsule. A standard calibration curve was created using increasing amounts of aspartic acid (from about 0.2 mg to 5.0 mg). A chemical standard, acetanilide, and an organic sample, apple leaf, were run after the standard curve. Every ten samples, an aspartic  acid check standard and a duplicate  of an already-packed sample were run. 
CN analysis: CN analysis was run between 10/4/2012 and 11/15/2012 by Rachel Rubin using the ThermoScientific 2000 at the Ecosystems Center, MBL, Woods Hole, MA. Duplicate sample values were averaged (mass, %N and %C) before inclusion into final results.  The CHN data is available in the file "2012_GS_ITEX_PF_CHN_Data"
POINT FRAME PIN-DROP METHODS:
We preferentially selected tall shrub canopies dominated either by Betula nana  or  Salix pulchra, that is canopies that were greater than 75 cm height.  Care was taken to select fairly uniform canopies, that is avoiding the edge of a shrub stand or areas where the canopy had a large gaps, suggesting the area may have been disturbed.
We used  point frames constructed from a 1.1 m x 1.1 m aluminum square with holes in each corner to accomodate steel rod posts used as the legs of the point frame.  In this way, the frame could rest upon the four leg posts that had been hammered into the ground and remain adjustable in each corner.  The frame had a level on each side, and great care was taken to ensure that the frame was (a) unable to be pushed deeper into the ground and, (b) level on all four sides prior to taking measurements.  These factors were important to the measurement to have accurate data regarding the distance from the frame and the overall height of each point sampled in the canopy.
The aluminum frame had numbered, regularly spaced holes on two opposite sides in order to accomodate a metal bar that could be placed across the frame and locked into place.  [These holes on the frame are the row numbers.]  The bar that was placed across the frame similarly had numbered, evenly spaced holes in order to accomodate a pin--a long (100-200cm) metal rod with a diameter of ~3.175 mm.  [The holes on this bar are the pin hole numbers.]  Measurements were only ever taken from odd row numbers, and alternated even/odd  pin hole numbers  with each row; in this way, for every plot 25 evenly spaced locations were sampled covering an area of one square meter. 
The length of the pin was marked every half-centimeter so that the distance could be read easily.  Measurements were made by lowering the pin through a pin hole and, once encountering a leaf or stem, recording the following: row#, pin hole#, hit#, and the species hit. If the object hit was not a leaf, the plant tissue was noted; the diameter of each stem hit was estimated in millimeters, and the length of every graminoid blade hit was recorded from the point at which it was hit to the tip.  As the primary species of interest for this project were for a select number of species (B. nana, S. pulchra, S. glauca, S. reticulata, V. uliginosum, V. vitis, L. palustre), species that were not the target of interest were classified as functional groups--e.g. graminoid spp., forb, moss.
The last pin-hit recorded for each pin hole was always at the "soil" which was considered to be the transition between the green and brown plant material, often in a mossy layer. 
 </a:t>
          </a:r>
        </a:p>
      </xdr:txBody>
    </xdr:sp>
    <xdr:clientData fLocksWithSheet="0"/>
  </xdr:twoCellAnchor>
  <xdr:twoCellAnchor>
    <xdr:from>
      <xdr:col>1</xdr:col>
      <xdr:colOff>19050</xdr:colOff>
      <xdr:row>193</xdr:row>
      <xdr:rowOff>152400</xdr:rowOff>
    </xdr:from>
    <xdr:to>
      <xdr:col>3</xdr:col>
      <xdr:colOff>2076450</xdr:colOff>
      <xdr:row>200</xdr:row>
      <xdr:rowOff>19050</xdr:rowOff>
    </xdr:to>
    <xdr:sp macro="" textlink="">
      <xdr:nvSpPr>
        <xdr:cNvPr id="4" name="protocol1"/>
        <xdr:cNvSpPr txBox="1">
          <a:spLocks noChangeArrowheads="1"/>
        </xdr:cNvSpPr>
      </xdr:nvSpPr>
      <xdr:spPr bwMode="auto">
        <a:xfrm>
          <a:off x="609600" y="18126075"/>
          <a:ext cx="1752600" cy="1000125"/>
        </a:xfrm>
        <a:prstGeom prst="rect">
          <a:avLst/>
        </a:prstGeom>
        <a:solidFill>
          <a:srgbClr val="FFFFFF"/>
        </a:solidFill>
        <a:ln w="9525">
          <a:solidFill>
            <a:srgbClr val="000000"/>
          </a:solidFill>
          <a:miter lim="800000"/>
          <a:headEnd/>
          <a:tailEnd/>
        </a:ln>
      </xdr:spPr>
      <xdr:txBody>
        <a:bodyPr/>
        <a:lstStyle/>
        <a:p>
          <a:r>
            <a:rPr lang="en-US"/>
            <a:t> Sharkey, T.D., Bernacchi, C. J., Farquar, G.D. and Singaas, E.L., 2007. Fitting photosynthetic carbon dioxide response curves for C3 leaves. Plant, Cell and Environment, 30: 1035–1040. doi: 10.1111/j.1365-3040.2007.01710.x
ITEX Manual, updated 2011
 </a:t>
          </a:r>
        </a:p>
      </xdr:txBody>
    </xdr:sp>
    <xdr:clientData fLocksWithSheet="0"/>
  </xdr:twoCellAnchor>
  <xdr:twoCellAnchor>
    <xdr:from>
      <xdr:col>0</xdr:col>
      <xdr:colOff>60960</xdr:colOff>
      <xdr:row>6</xdr:row>
      <xdr:rowOff>38099</xdr:rowOff>
    </xdr:from>
    <xdr:to>
      <xdr:col>0</xdr:col>
      <xdr:colOff>1590790</xdr:colOff>
      <xdr:row>12</xdr:row>
      <xdr:rowOff>128984</xdr:rowOff>
    </xdr:to>
    <xdr:sp macro="" textlink="">
      <xdr:nvSpPr>
        <xdr:cNvPr id="5" name="Note1"/>
        <xdr:cNvSpPr txBox="1"/>
      </xdr:nvSpPr>
      <xdr:spPr>
        <a:xfrm>
          <a:off x="60960" y="1009649"/>
          <a:ext cx="529705" cy="900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900"/>
            </a:lnSpc>
          </a:pPr>
          <a:r>
            <a:rPr lang="en-US" sz="900">
              <a:latin typeface="Arial" pitchFamily="34" charset="0"/>
              <a:cs typeface="Arial" pitchFamily="34" charset="0"/>
            </a:rPr>
            <a:t>Note:</a:t>
          </a:r>
          <a:r>
            <a:rPr lang="en-US" sz="900" baseline="0">
              <a:latin typeface="Arial" pitchFamily="34" charset="0"/>
              <a:cs typeface="Arial" pitchFamily="34" charset="0"/>
            </a:rPr>
            <a:t> cells with a small red triangle in the upper right corner have comments about entering metadata.</a:t>
          </a:r>
          <a:endParaRPr lang="en-US" sz="900">
            <a:latin typeface="Arial" pitchFamily="34" charset="0"/>
            <a:cs typeface="Arial" pitchFamily="34" charset="0"/>
          </a:endParaRPr>
        </a:p>
      </xdr:txBody>
    </xdr:sp>
    <xdr:clientData/>
  </xdr:twoCellAnchor>
  <xdr:twoCellAnchor>
    <xdr:from>
      <xdr:col>0</xdr:col>
      <xdr:colOff>15240</xdr:colOff>
      <xdr:row>68</xdr:row>
      <xdr:rowOff>121920</xdr:rowOff>
    </xdr:from>
    <xdr:to>
      <xdr:col>0</xdr:col>
      <xdr:colOff>1727751</xdr:colOff>
      <xdr:row>82</xdr:row>
      <xdr:rowOff>61622</xdr:rowOff>
    </xdr:to>
    <xdr:sp macro="" textlink="">
      <xdr:nvSpPr>
        <xdr:cNvPr id="6" name="Note2"/>
        <xdr:cNvSpPr txBox="1"/>
      </xdr:nvSpPr>
      <xdr:spPr>
        <a:xfrm>
          <a:off x="15240" y="10808970"/>
          <a:ext cx="579036" cy="22066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Arial" pitchFamily="34" charset="0"/>
              <a:cs typeface="Arial" pitchFamily="34" charset="0"/>
            </a:rPr>
            <a:t>The Methods description  should be fairly detailed and include any literature references (including author, title, journal and page </a:t>
          </a:r>
        </a:p>
        <a:p>
          <a:r>
            <a:rPr lang="en-US" sz="900">
              <a:latin typeface="Arial" pitchFamily="34" charset="0"/>
              <a:cs typeface="Arial" pitchFamily="34" charset="0"/>
            </a:rPr>
            <a:t>numbers) pertaining to the methods</a:t>
          </a:r>
          <a:r>
            <a:rPr lang="en-US" sz="900" baseline="0">
              <a:latin typeface="Arial" pitchFamily="34" charset="0"/>
              <a:cs typeface="Arial" pitchFamily="34" charset="0"/>
            </a:rPr>
            <a:t> or research.</a:t>
          </a:r>
          <a:r>
            <a:rPr lang="en-US" sz="900">
              <a:latin typeface="Arial" pitchFamily="34" charset="0"/>
              <a:cs typeface="Arial" pitchFamily="34" charset="0"/>
            </a:rPr>
            <a:t> </a:t>
          </a:r>
        </a:p>
        <a:p>
          <a:endParaRPr lang="en-US" sz="900">
            <a:latin typeface="Arial" pitchFamily="34" charset="0"/>
            <a:cs typeface="Arial" pitchFamily="34" charset="0"/>
          </a:endParaRPr>
        </a:p>
        <a:p>
          <a:r>
            <a:rPr lang="en-US" sz="900">
              <a:latin typeface="Arial" pitchFamily="34" charset="0"/>
              <a:cs typeface="Arial" pitchFamily="34" charset="0"/>
            </a:rPr>
            <a:t>Include a Notes  section to detail a timeline of changes or</a:t>
          </a:r>
          <a:r>
            <a:rPr lang="en-US" sz="900" baseline="0">
              <a:latin typeface="Arial" pitchFamily="34" charset="0"/>
              <a:cs typeface="Arial" pitchFamily="34" charset="0"/>
            </a:rPr>
            <a:t> problems with the data </a:t>
          </a:r>
          <a:r>
            <a:rPr lang="en-US" sz="900">
              <a:latin typeface="Arial" pitchFamily="34" charset="0"/>
              <a:cs typeface="Arial" pitchFamily="34" charset="0"/>
            </a:rPr>
            <a:t>.  </a:t>
          </a:r>
        </a:p>
        <a:p>
          <a:r>
            <a:rPr lang="en-US" sz="900">
              <a:latin typeface="Arial" pitchFamily="34" charset="0"/>
              <a:cs typeface="Arial" pitchFamily="34" charset="0"/>
            </a:rPr>
            <a:t>Click on the box to paste or type the needed information. </a:t>
          </a:r>
        </a:p>
        <a:p>
          <a:endParaRPr lang="en-US" sz="900">
            <a:latin typeface="Arial" pitchFamily="34" charset="0"/>
            <a:cs typeface="Arial" pitchFamily="34" charset="0"/>
          </a:endParaRPr>
        </a:p>
        <a:p>
          <a:r>
            <a:rPr lang="en-US" sz="900">
              <a:latin typeface="Arial" pitchFamily="34" charset="0"/>
              <a:cs typeface="Arial" pitchFamily="34" charset="0"/>
            </a:rPr>
            <a:t>If</a:t>
          </a:r>
          <a:r>
            <a:rPr lang="en-US" sz="900" baseline="0">
              <a:latin typeface="Arial" pitchFamily="34" charset="0"/>
              <a:cs typeface="Arial" pitchFamily="34" charset="0"/>
            </a:rPr>
            <a:t> needed insert more row to make text box longer.</a:t>
          </a:r>
          <a:endParaRPr lang="en-US" sz="900">
            <a:latin typeface="Arial" pitchFamily="34" charset="0"/>
            <a:cs typeface="Arial"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metacat.lternet.edu/das/dataAccessServlet?docid=knb-lter-arc.10142&amp;amp;urlTail=terrest/tracegas/data/2012_GS_ITEX_PF_ShootHarvestData.csv" TargetMode="External"/><Relationship Id="rId1" Type="http://schemas.openxmlformats.org/officeDocument/2006/relationships/hyperlink" Target="http://ecosystems.mbl.edu/ARC/meta_template.php?FileName=./terrest/tracegas/xlsfiles/2012_GS_ITEX_PF_ShootHarvestData.html"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S427"/>
  <sheetViews>
    <sheetView tabSelected="1" zoomScale="96" zoomScaleNormal="96" workbookViewId="0">
      <selection activeCell="B4" sqref="B4"/>
    </sheetView>
  </sheetViews>
  <sheetFormatPr defaultColWidth="8.85546875" defaultRowHeight="12.75" x14ac:dyDescent="0.2"/>
  <cols>
    <col min="1" max="1" width="26.140625" style="102" customWidth="1"/>
    <col min="2" max="2" width="46" style="32" bestFit="1" customWidth="1"/>
    <col min="3" max="4" width="30.7109375" style="38" customWidth="1"/>
    <col min="5" max="9" width="30.7109375" style="35" customWidth="1"/>
    <col min="10" max="16384" width="8.85546875" style="35"/>
  </cols>
  <sheetData>
    <row r="1" spans="1:6" ht="18" x14ac:dyDescent="0.25">
      <c r="A1" s="31" t="s">
        <v>97</v>
      </c>
      <c r="C1" s="33"/>
      <c r="D1" s="34"/>
    </row>
    <row r="2" spans="1:6" x14ac:dyDescent="0.2">
      <c r="A2" s="36" t="s">
        <v>98</v>
      </c>
      <c r="B2" s="37" t="s">
        <v>1816</v>
      </c>
    </row>
    <row r="3" spans="1:6" x14ac:dyDescent="0.2">
      <c r="A3" s="36" t="s">
        <v>99</v>
      </c>
      <c r="B3" s="37">
        <v>2012</v>
      </c>
    </row>
    <row r="4" spans="1:6" x14ac:dyDescent="0.2">
      <c r="A4" s="36" t="s">
        <v>100</v>
      </c>
      <c r="B4" s="107" t="s">
        <v>520</v>
      </c>
      <c r="C4" s="39"/>
    </row>
    <row r="5" spans="1:6" ht="22.5" customHeight="1" x14ac:dyDescent="0.2">
      <c r="A5" s="40" t="s">
        <v>101</v>
      </c>
      <c r="B5" s="125" t="s">
        <v>511</v>
      </c>
      <c r="C5" s="126"/>
      <c r="D5" s="35"/>
    </row>
    <row r="6" spans="1:6" ht="12.75" customHeight="1" x14ac:dyDescent="0.2">
      <c r="A6" s="40" t="s">
        <v>102</v>
      </c>
      <c r="B6" s="35"/>
      <c r="C6" s="35"/>
      <c r="D6" s="35"/>
      <c r="E6" s="41"/>
      <c r="F6" s="41"/>
    </row>
    <row r="7" spans="1:6" s="43" customFormat="1" x14ac:dyDescent="0.2">
      <c r="A7" s="42"/>
      <c r="B7" s="127"/>
      <c r="C7" s="128"/>
      <c r="D7" s="128"/>
    </row>
    <row r="8" spans="1:6" s="43" customFormat="1" x14ac:dyDescent="0.2">
      <c r="A8" s="42"/>
      <c r="B8" s="108"/>
      <c r="C8" s="109"/>
      <c r="D8" s="109"/>
    </row>
    <row r="9" spans="1:6" s="43" customFormat="1" x14ac:dyDescent="0.2">
      <c r="A9" s="42"/>
      <c r="B9" s="44"/>
    </row>
    <row r="10" spans="1:6" s="43" customFormat="1" x14ac:dyDescent="0.2">
      <c r="A10" s="42"/>
      <c r="B10" s="44"/>
    </row>
    <row r="11" spans="1:6" s="43" customFormat="1" x14ac:dyDescent="0.2">
      <c r="A11" s="42"/>
      <c r="B11" s="44"/>
    </row>
    <row r="12" spans="1:6" s="43" customFormat="1" x14ac:dyDescent="0.2">
      <c r="A12" s="42"/>
      <c r="B12" s="44"/>
    </row>
    <row r="13" spans="1:6" s="43" customFormat="1" ht="15" x14ac:dyDescent="0.2">
      <c r="A13" s="42"/>
      <c r="B13" s="45"/>
    </row>
    <row r="14" spans="1:6" s="43" customFormat="1" ht="15" x14ac:dyDescent="0.2">
      <c r="A14" s="42"/>
      <c r="B14" s="45"/>
    </row>
    <row r="15" spans="1:6" x14ac:dyDescent="0.2">
      <c r="A15" s="40" t="s">
        <v>103</v>
      </c>
      <c r="B15" s="46" t="s">
        <v>1814</v>
      </c>
    </row>
    <row r="16" spans="1:6" x14ac:dyDescent="0.2">
      <c r="A16" s="47"/>
    </row>
    <row r="17" spans="1:9" x14ac:dyDescent="0.2">
      <c r="A17" s="48" t="s">
        <v>104</v>
      </c>
      <c r="B17" s="49" t="s">
        <v>105</v>
      </c>
      <c r="C17" s="49" t="s">
        <v>106</v>
      </c>
      <c r="D17" s="49" t="s">
        <v>107</v>
      </c>
      <c r="E17" s="49" t="s">
        <v>108</v>
      </c>
      <c r="F17" s="49" t="s">
        <v>109</v>
      </c>
      <c r="G17" s="49" t="s">
        <v>110</v>
      </c>
      <c r="H17" s="49" t="s">
        <v>111</v>
      </c>
      <c r="I17" s="49" t="s">
        <v>112</v>
      </c>
    </row>
    <row r="18" spans="1:9" x14ac:dyDescent="0.2">
      <c r="A18" s="50" t="s">
        <v>113</v>
      </c>
      <c r="B18" s="51" t="s">
        <v>114</v>
      </c>
      <c r="C18" s="51" t="s">
        <v>115</v>
      </c>
      <c r="D18" s="51" t="s">
        <v>115</v>
      </c>
      <c r="E18" s="51" t="s">
        <v>116</v>
      </c>
      <c r="F18" s="51" t="s">
        <v>117</v>
      </c>
      <c r="G18" s="51"/>
      <c r="H18" s="51"/>
      <c r="I18" s="51"/>
    </row>
    <row r="19" spans="1:9" s="52" customFormat="1" x14ac:dyDescent="0.2">
      <c r="A19" s="50" t="s">
        <v>118</v>
      </c>
      <c r="B19" s="51" t="s">
        <v>119</v>
      </c>
      <c r="C19" s="51" t="s">
        <v>120</v>
      </c>
      <c r="D19" s="51" t="s">
        <v>121</v>
      </c>
      <c r="E19" s="51" t="s">
        <v>122</v>
      </c>
      <c r="F19" s="51" t="s">
        <v>123</v>
      </c>
      <c r="G19" s="51"/>
      <c r="H19" s="51"/>
      <c r="I19" s="51"/>
    </row>
    <row r="20" spans="1:9" s="52" customFormat="1" x14ac:dyDescent="0.2">
      <c r="A20" s="50" t="s">
        <v>124</v>
      </c>
      <c r="B20" s="51" t="s">
        <v>125</v>
      </c>
      <c r="C20" s="51" t="s">
        <v>126</v>
      </c>
      <c r="D20" s="51" t="s">
        <v>127</v>
      </c>
      <c r="E20" s="51" t="s">
        <v>128</v>
      </c>
      <c r="F20" s="51" t="s">
        <v>129</v>
      </c>
      <c r="G20" s="51"/>
      <c r="H20" s="51"/>
      <c r="I20" s="51"/>
    </row>
    <row r="21" spans="1:9" s="52" customFormat="1" x14ac:dyDescent="0.2">
      <c r="A21" s="50" t="s">
        <v>130</v>
      </c>
      <c r="B21" s="51" t="s">
        <v>131</v>
      </c>
      <c r="C21" s="51" t="s">
        <v>132</v>
      </c>
      <c r="D21" s="51" t="s">
        <v>133</v>
      </c>
      <c r="E21" s="51" t="s">
        <v>134</v>
      </c>
      <c r="F21" s="51" t="s">
        <v>135</v>
      </c>
      <c r="G21" s="51"/>
      <c r="H21" s="51"/>
      <c r="I21" s="51"/>
    </row>
    <row r="22" spans="1:9" s="52" customFormat="1" ht="25.5" x14ac:dyDescent="0.2">
      <c r="A22" s="50" t="s">
        <v>136</v>
      </c>
      <c r="B22" s="51" t="s">
        <v>137</v>
      </c>
      <c r="C22" s="51" t="s">
        <v>137</v>
      </c>
      <c r="D22" s="51" t="s">
        <v>138</v>
      </c>
      <c r="E22" s="51" t="s">
        <v>137</v>
      </c>
      <c r="F22" s="51" t="s">
        <v>137</v>
      </c>
      <c r="G22" s="51"/>
      <c r="H22" s="51"/>
      <c r="I22" s="51"/>
    </row>
    <row r="23" spans="1:9" s="52" customFormat="1" x14ac:dyDescent="0.2">
      <c r="A23" s="50" t="s">
        <v>139</v>
      </c>
      <c r="B23" s="51" t="s">
        <v>140</v>
      </c>
      <c r="C23" s="51" t="s">
        <v>140</v>
      </c>
      <c r="D23" s="51" t="s">
        <v>141</v>
      </c>
      <c r="E23" s="51" t="s">
        <v>140</v>
      </c>
      <c r="F23" s="51" t="s">
        <v>140</v>
      </c>
      <c r="G23" s="51"/>
      <c r="H23" s="51"/>
      <c r="I23" s="51"/>
    </row>
    <row r="24" spans="1:9" s="52" customFormat="1" x14ac:dyDescent="0.2">
      <c r="A24" s="50" t="s">
        <v>142</v>
      </c>
      <c r="B24" s="51"/>
      <c r="C24" s="51"/>
      <c r="D24" s="51" t="s">
        <v>143</v>
      </c>
      <c r="E24" s="51"/>
      <c r="F24" s="51"/>
      <c r="G24" s="51"/>
      <c r="H24" s="51"/>
      <c r="I24" s="51"/>
    </row>
    <row r="25" spans="1:9" s="52" customFormat="1" x14ac:dyDescent="0.2">
      <c r="A25" s="50" t="s">
        <v>144</v>
      </c>
      <c r="B25" s="51" t="s">
        <v>145</v>
      </c>
      <c r="C25" s="51" t="s">
        <v>145</v>
      </c>
      <c r="D25" s="51" t="s">
        <v>146</v>
      </c>
      <c r="E25" s="51" t="s">
        <v>145</v>
      </c>
      <c r="F25" s="51" t="s">
        <v>145</v>
      </c>
      <c r="G25" s="51"/>
      <c r="H25" s="51"/>
      <c r="I25" s="51"/>
    </row>
    <row r="26" spans="1:9" s="52" customFormat="1" x14ac:dyDescent="0.2">
      <c r="A26" s="50" t="s">
        <v>147</v>
      </c>
      <c r="B26" s="51" t="s">
        <v>148</v>
      </c>
      <c r="C26" s="51" t="s">
        <v>148</v>
      </c>
      <c r="D26" s="51"/>
      <c r="E26" s="51" t="s">
        <v>148</v>
      </c>
      <c r="F26" s="51" t="s">
        <v>148</v>
      </c>
      <c r="G26" s="51"/>
      <c r="H26" s="51"/>
      <c r="I26" s="51"/>
    </row>
    <row r="27" spans="1:9" s="52" customFormat="1" x14ac:dyDescent="0.2">
      <c r="A27" s="50" t="s">
        <v>149</v>
      </c>
      <c r="B27" s="51" t="s">
        <v>150</v>
      </c>
      <c r="C27" s="51" t="s">
        <v>150</v>
      </c>
      <c r="D27" s="51" t="s">
        <v>151</v>
      </c>
      <c r="E27" s="51" t="s">
        <v>150</v>
      </c>
      <c r="F27" s="51" t="s">
        <v>150</v>
      </c>
      <c r="G27" s="51"/>
      <c r="H27" s="51"/>
      <c r="I27" s="51"/>
    </row>
    <row r="28" spans="1:9" s="52" customFormat="1" x14ac:dyDescent="0.2">
      <c r="A28" s="50" t="s">
        <v>152</v>
      </c>
      <c r="B28" s="51" t="s">
        <v>153</v>
      </c>
      <c r="C28" s="51" t="s">
        <v>153</v>
      </c>
      <c r="D28" s="51" t="s">
        <v>154</v>
      </c>
      <c r="E28" s="51" t="s">
        <v>153</v>
      </c>
      <c r="F28" s="51" t="s">
        <v>153</v>
      </c>
      <c r="G28" s="51"/>
      <c r="H28" s="51"/>
      <c r="I28" s="51"/>
    </row>
    <row r="29" spans="1:9" x14ac:dyDescent="0.2">
      <c r="A29" s="53"/>
      <c r="B29" s="54"/>
      <c r="C29" s="55"/>
    </row>
    <row r="30" spans="1:9" x14ac:dyDescent="0.2">
      <c r="A30" s="56"/>
    </row>
    <row r="31" spans="1:9" x14ac:dyDescent="0.2">
      <c r="A31" s="57" t="s">
        <v>155</v>
      </c>
      <c r="B31" s="58"/>
    </row>
    <row r="32" spans="1:9" hidden="1" x14ac:dyDescent="0.2">
      <c r="A32" s="59" t="s">
        <v>156</v>
      </c>
      <c r="B32" s="107" t="s">
        <v>521</v>
      </c>
      <c r="C32" s="60"/>
    </row>
    <row r="33" spans="1:17" x14ac:dyDescent="0.2">
      <c r="A33" s="61" t="s">
        <v>157</v>
      </c>
      <c r="B33" s="46" t="s">
        <v>512</v>
      </c>
    </row>
    <row r="34" spans="1:17" x14ac:dyDescent="0.2">
      <c r="A34" s="62" t="s">
        <v>158</v>
      </c>
      <c r="B34" s="63">
        <v>41083</v>
      </c>
    </row>
    <row r="35" spans="1:17" x14ac:dyDescent="0.2">
      <c r="A35" s="62" t="s">
        <v>159</v>
      </c>
      <c r="B35" s="63">
        <v>41128</v>
      </c>
    </row>
    <row r="36" spans="1:17" x14ac:dyDescent="0.2">
      <c r="A36" s="64" t="s">
        <v>160</v>
      </c>
      <c r="B36" s="46">
        <v>116</v>
      </c>
    </row>
    <row r="37" spans="1:17" ht="267.75" x14ac:dyDescent="0.2">
      <c r="A37" s="64" t="s">
        <v>161</v>
      </c>
      <c r="B37" s="46" t="s">
        <v>518</v>
      </c>
    </row>
    <row r="38" spans="1:17" x14ac:dyDescent="0.2">
      <c r="A38" s="64" t="s">
        <v>162</v>
      </c>
      <c r="B38" s="46">
        <v>1</v>
      </c>
    </row>
    <row r="39" spans="1:17" x14ac:dyDescent="0.2">
      <c r="A39" s="65" t="s">
        <v>163</v>
      </c>
      <c r="B39" s="46"/>
    </row>
    <row r="40" spans="1:17" ht="51" x14ac:dyDescent="0.2">
      <c r="A40" s="65" t="s">
        <v>164</v>
      </c>
      <c r="B40" s="46" t="s">
        <v>484</v>
      </c>
    </row>
    <row r="41" spans="1:17" ht="25.5" x14ac:dyDescent="0.2">
      <c r="A41" s="64" t="s">
        <v>165</v>
      </c>
      <c r="B41" s="46" t="s">
        <v>522</v>
      </c>
    </row>
    <row r="42" spans="1:17" ht="25.5" x14ac:dyDescent="0.2">
      <c r="A42" s="64"/>
      <c r="B42" s="46" t="s">
        <v>1812</v>
      </c>
    </row>
    <row r="43" spans="1:17" ht="25.5" x14ac:dyDescent="0.2">
      <c r="A43" s="64"/>
      <c r="B43" s="46" t="s">
        <v>1813</v>
      </c>
    </row>
    <row r="44" spans="1:17" ht="25.5" x14ac:dyDescent="0.2">
      <c r="A44" s="64"/>
      <c r="B44" s="46" t="s">
        <v>1815</v>
      </c>
    </row>
    <row r="45" spans="1:17" x14ac:dyDescent="0.2">
      <c r="A45" s="64"/>
      <c r="B45" s="46"/>
    </row>
    <row r="46" spans="1:17" x14ac:dyDescent="0.2">
      <c r="A46" s="115"/>
      <c r="I46" s="35" t="s">
        <v>166</v>
      </c>
    </row>
    <row r="47" spans="1:17" x14ac:dyDescent="0.2">
      <c r="A47" s="57" t="s">
        <v>167</v>
      </c>
    </row>
    <row r="48" spans="1:17" x14ac:dyDescent="0.2">
      <c r="A48" s="65" t="s">
        <v>515</v>
      </c>
      <c r="B48" s="114" t="s">
        <v>516</v>
      </c>
      <c r="C48" s="114" t="s">
        <v>517</v>
      </c>
      <c r="D48" s="114" t="s">
        <v>542</v>
      </c>
      <c r="E48" s="114" t="s">
        <v>542</v>
      </c>
      <c r="F48" s="114" t="s">
        <v>542</v>
      </c>
      <c r="G48" s="114" t="s">
        <v>542</v>
      </c>
      <c r="H48" s="114" t="s">
        <v>542</v>
      </c>
      <c r="I48" s="114" t="s">
        <v>542</v>
      </c>
      <c r="J48" s="38"/>
      <c r="K48" s="38"/>
      <c r="L48" s="38"/>
      <c r="M48" s="38"/>
      <c r="N48" s="38"/>
      <c r="O48" s="38"/>
      <c r="P48" s="38"/>
      <c r="Q48" s="38"/>
    </row>
    <row r="49" spans="1:19" ht="165.75" x14ac:dyDescent="0.2">
      <c r="A49" s="113" t="s">
        <v>168</v>
      </c>
      <c r="B49" s="66" t="s">
        <v>541</v>
      </c>
      <c r="C49" s="66" t="s">
        <v>169</v>
      </c>
      <c r="D49" s="66" t="str">
        <f t="shared" ref="D49:I49" si="0">IF(ISNA(INDEX(Sites,MATCH(D48,Site_name,0),3)),"Enter Description", INDEX(Sites,MATCH(D48,Site_name,0),3))</f>
        <v>Enter Description</v>
      </c>
      <c r="E49" s="66" t="str">
        <f t="shared" si="0"/>
        <v>Enter Description</v>
      </c>
      <c r="F49" s="66" t="str">
        <f t="shared" si="0"/>
        <v>Enter Description</v>
      </c>
      <c r="G49" s="66" t="str">
        <f t="shared" si="0"/>
        <v>Enter Description</v>
      </c>
      <c r="H49" s="66" t="str">
        <f t="shared" si="0"/>
        <v>Enter Description</v>
      </c>
      <c r="I49" s="66" t="str">
        <f t="shared" si="0"/>
        <v>Enter Description</v>
      </c>
      <c r="J49" s="38"/>
      <c r="K49" s="38"/>
      <c r="L49" s="38"/>
      <c r="M49" s="38"/>
      <c r="N49" s="38"/>
      <c r="O49" s="38"/>
    </row>
    <row r="50" spans="1:19" x14ac:dyDescent="0.2">
      <c r="A50" s="67" t="s">
        <v>170</v>
      </c>
      <c r="C50" s="32"/>
      <c r="D50" s="32"/>
      <c r="E50" s="32"/>
      <c r="F50" s="32"/>
      <c r="G50" s="32"/>
      <c r="H50" s="32"/>
      <c r="I50" s="32"/>
    </row>
    <row r="51" spans="1:19" x14ac:dyDescent="0.2">
      <c r="A51" s="68" t="s">
        <v>171</v>
      </c>
      <c r="B51" s="46"/>
      <c r="C51" s="46"/>
      <c r="D51" s="46"/>
      <c r="E51" s="46"/>
      <c r="F51" s="46"/>
      <c r="G51" s="46"/>
      <c r="H51" s="46"/>
      <c r="I51" s="46"/>
      <c r="J51" s="38"/>
      <c r="K51" s="38"/>
      <c r="L51" s="38"/>
      <c r="M51" s="38"/>
      <c r="N51" s="38"/>
      <c r="O51" s="38"/>
      <c r="P51" s="38"/>
      <c r="Q51" s="38"/>
      <c r="R51" s="38"/>
      <c r="S51" s="38"/>
    </row>
    <row r="52" spans="1:19" x14ac:dyDescent="0.2">
      <c r="A52" s="68" t="s">
        <v>172</v>
      </c>
      <c r="B52" s="69"/>
      <c r="C52" s="69"/>
      <c r="D52" s="69"/>
      <c r="E52" s="69"/>
      <c r="F52" s="69"/>
      <c r="G52" s="69"/>
      <c r="H52" s="69"/>
      <c r="I52" s="69"/>
      <c r="J52" s="38"/>
      <c r="K52" s="38"/>
      <c r="L52" s="38"/>
      <c r="M52" s="38"/>
      <c r="N52" s="38"/>
      <c r="O52" s="38"/>
      <c r="P52" s="38"/>
      <c r="Q52" s="38"/>
      <c r="R52" s="38"/>
      <c r="S52" s="38"/>
    </row>
    <row r="53" spans="1:19" x14ac:dyDescent="0.2">
      <c r="A53" s="68" t="s">
        <v>173</v>
      </c>
      <c r="B53" s="46"/>
      <c r="C53" s="46"/>
      <c r="D53" s="46"/>
      <c r="E53" s="46"/>
      <c r="F53" s="46"/>
      <c r="G53" s="46"/>
      <c r="H53" s="46"/>
      <c r="I53" s="46"/>
      <c r="J53" s="38"/>
      <c r="K53" s="38"/>
      <c r="L53" s="38"/>
      <c r="M53" s="38"/>
      <c r="N53" s="38"/>
      <c r="O53" s="38"/>
      <c r="P53" s="38"/>
      <c r="Q53" s="38"/>
      <c r="R53" s="38"/>
      <c r="S53" s="38"/>
    </row>
    <row r="54" spans="1:19" x14ac:dyDescent="0.2">
      <c r="A54" s="68" t="s">
        <v>174</v>
      </c>
      <c r="B54" s="70"/>
      <c r="C54" s="70"/>
      <c r="D54" s="70"/>
      <c r="E54" s="70"/>
      <c r="F54" s="70"/>
      <c r="G54" s="70"/>
      <c r="H54" s="70"/>
      <c r="I54" s="70"/>
      <c r="J54" s="38"/>
      <c r="K54" s="38"/>
      <c r="L54" s="38"/>
      <c r="M54" s="38"/>
      <c r="N54" s="38"/>
      <c r="O54" s="38"/>
      <c r="P54" s="38"/>
      <c r="Q54" s="38"/>
      <c r="R54" s="38"/>
      <c r="S54" s="38"/>
    </row>
    <row r="55" spans="1:19" x14ac:dyDescent="0.2">
      <c r="A55" s="71" t="s">
        <v>175</v>
      </c>
      <c r="B55" s="72"/>
      <c r="C55" s="72"/>
      <c r="D55" s="72"/>
      <c r="E55" s="72"/>
      <c r="F55" s="72"/>
      <c r="G55" s="72"/>
      <c r="H55" s="72"/>
      <c r="I55" s="72"/>
    </row>
    <row r="56" spans="1:19" x14ac:dyDescent="0.2">
      <c r="A56" s="65" t="s">
        <v>176</v>
      </c>
      <c r="B56" s="66">
        <v>68.638555555555499</v>
      </c>
      <c r="C56" s="66">
        <v>68.635583333333301</v>
      </c>
      <c r="D56" s="66" t="str">
        <f t="shared" ref="D56:I56" si="1">IF(ISNA(INDEX(Sites,MATCH(D48,Site_name,0),4)),"In Decimal Degrees", INDEX(Sites,MATCH(D48,Site_name,0),4))</f>
        <v>In Decimal Degrees</v>
      </c>
      <c r="E56" s="66" t="str">
        <f t="shared" si="1"/>
        <v>In Decimal Degrees</v>
      </c>
      <c r="F56" s="66" t="str">
        <f t="shared" si="1"/>
        <v>In Decimal Degrees</v>
      </c>
      <c r="G56" s="66" t="str">
        <f t="shared" si="1"/>
        <v>In Decimal Degrees</v>
      </c>
      <c r="H56" s="66" t="str">
        <f t="shared" si="1"/>
        <v>In Decimal Degrees</v>
      </c>
      <c r="I56" s="66" t="str">
        <f t="shared" si="1"/>
        <v>In Decimal Degrees</v>
      </c>
      <c r="J56" s="38"/>
      <c r="K56" s="38"/>
      <c r="L56" s="38"/>
      <c r="M56" s="38"/>
      <c r="N56" s="38"/>
      <c r="O56" s="38"/>
      <c r="P56" s="38"/>
      <c r="Q56" s="38"/>
    </row>
    <row r="57" spans="1:19" x14ac:dyDescent="0.2">
      <c r="A57" s="65" t="s">
        <v>177</v>
      </c>
      <c r="B57" s="66">
        <v>-149.56866666666599</v>
      </c>
      <c r="C57" s="66">
        <v>-149.588083333333</v>
      </c>
      <c r="D57" s="66" t="str">
        <f t="shared" ref="D57:I57" si="2">IF(ISNA(INDEX(Sites,MATCH(D48,Site_name,0),5)),"In Decimal Degrees", INDEX(Sites,MATCH(D48,Site_name,0),5))</f>
        <v>In Decimal Degrees</v>
      </c>
      <c r="E57" s="66" t="str">
        <f t="shared" si="2"/>
        <v>In Decimal Degrees</v>
      </c>
      <c r="F57" s="66" t="str">
        <f t="shared" si="2"/>
        <v>In Decimal Degrees</v>
      </c>
      <c r="G57" s="66" t="str">
        <f t="shared" si="2"/>
        <v>In Decimal Degrees</v>
      </c>
      <c r="H57" s="66" t="str">
        <f t="shared" si="2"/>
        <v>In Decimal Degrees</v>
      </c>
      <c r="I57" s="66" t="str">
        <f t="shared" si="2"/>
        <v>In Decimal Degrees</v>
      </c>
      <c r="J57" s="38"/>
      <c r="K57" s="38"/>
      <c r="L57" s="38"/>
      <c r="M57" s="38"/>
      <c r="N57" s="38"/>
      <c r="O57" s="38"/>
      <c r="P57" s="38"/>
      <c r="Q57" s="38"/>
    </row>
    <row r="58" spans="1:19" x14ac:dyDescent="0.2">
      <c r="A58" s="65" t="s">
        <v>178</v>
      </c>
      <c r="B58" s="66" t="s">
        <v>513</v>
      </c>
      <c r="C58" s="66" t="s">
        <v>514</v>
      </c>
      <c r="D58" s="66" t="str">
        <f t="shared" ref="D58:I58" si="3">IF(ISNA(INDEX(Sites,MATCH(D48,Site_name,0),6)),"In Meters", INDEX(Sites,MATCH(D48,Site_name,0),6))</f>
        <v>In Meters</v>
      </c>
      <c r="E58" s="66" t="str">
        <f t="shared" si="3"/>
        <v>In Meters</v>
      </c>
      <c r="F58" s="66" t="str">
        <f t="shared" si="3"/>
        <v>In Meters</v>
      </c>
      <c r="G58" s="66" t="str">
        <f t="shared" si="3"/>
        <v>In Meters</v>
      </c>
      <c r="H58" s="66" t="str">
        <f t="shared" si="3"/>
        <v>In Meters</v>
      </c>
      <c r="I58" s="66" t="str">
        <f t="shared" si="3"/>
        <v>In Meters</v>
      </c>
      <c r="J58" s="38"/>
      <c r="K58" s="38"/>
      <c r="L58" s="38"/>
      <c r="M58" s="38"/>
      <c r="N58" s="38"/>
      <c r="O58" s="38"/>
      <c r="P58" s="38"/>
      <c r="Q58" s="38"/>
    </row>
    <row r="59" spans="1:19" x14ac:dyDescent="0.2">
      <c r="A59" s="65" t="s">
        <v>540</v>
      </c>
      <c r="B59" s="112" t="str">
        <f t="shared" ref="B59:I59" si="4">IF(ISNUMBER(B$56),HYPERLINK("http://maps.google.com/maps?q="&amp;B56&amp;","&amp;B57,"View on Google Map"),"")</f>
        <v>View on Google Map</v>
      </c>
      <c r="C59" s="112" t="str">
        <f t="shared" si="4"/>
        <v>View on Google Map</v>
      </c>
      <c r="D59" s="112" t="str">
        <f t="shared" si="4"/>
        <v/>
      </c>
      <c r="E59" s="112" t="str">
        <f t="shared" si="4"/>
        <v/>
      </c>
      <c r="F59" s="112" t="str">
        <f t="shared" si="4"/>
        <v/>
      </c>
      <c r="G59" s="112" t="str">
        <f t="shared" si="4"/>
        <v/>
      </c>
      <c r="H59" s="112" t="str">
        <f t="shared" si="4"/>
        <v/>
      </c>
      <c r="I59" s="112" t="str">
        <f t="shared" si="4"/>
        <v/>
      </c>
    </row>
    <row r="60" spans="1:19" x14ac:dyDescent="0.2">
      <c r="A60" s="73"/>
      <c r="B60" s="74"/>
      <c r="C60" s="74"/>
      <c r="D60" s="74"/>
    </row>
    <row r="61" spans="1:19" x14ac:dyDescent="0.2">
      <c r="A61" s="75" t="s">
        <v>179</v>
      </c>
      <c r="B61" s="74"/>
      <c r="C61" s="55"/>
    </row>
    <row r="62" spans="1:19" x14ac:dyDescent="0.2">
      <c r="A62" s="76" t="s">
        <v>180</v>
      </c>
      <c r="B62" s="46" t="s">
        <v>181</v>
      </c>
      <c r="C62" s="38" t="s">
        <v>182</v>
      </c>
    </row>
    <row r="63" spans="1:19" x14ac:dyDescent="0.2">
      <c r="A63" s="53"/>
    </row>
    <row r="64" spans="1:19" x14ac:dyDescent="0.2">
      <c r="A64" s="75" t="s">
        <v>183</v>
      </c>
    </row>
    <row r="65" spans="1:2" ht="51" x14ac:dyDescent="0.2">
      <c r="A65" s="77" t="s">
        <v>184</v>
      </c>
      <c r="B65" s="46" t="s">
        <v>510</v>
      </c>
    </row>
    <row r="66" spans="1:2" x14ac:dyDescent="0.2">
      <c r="A66" s="73"/>
      <c r="B66" s="74"/>
    </row>
    <row r="67" spans="1:2" s="43" customFormat="1" ht="15" x14ac:dyDescent="0.2">
      <c r="A67" s="42"/>
      <c r="B67" s="45"/>
    </row>
    <row r="68" spans="1:2" ht="15" x14ac:dyDescent="0.2">
      <c r="A68" s="78" t="s">
        <v>185</v>
      </c>
      <c r="B68" s="79"/>
    </row>
    <row r="69" spans="1:2" s="43" customFormat="1" x14ac:dyDescent="0.2">
      <c r="A69" s="80"/>
    </row>
    <row r="70" spans="1:2" s="43" customFormat="1" x14ac:dyDescent="0.2">
      <c r="A70" s="42"/>
      <c r="B70" s="81"/>
    </row>
    <row r="71" spans="1:2" s="43" customFormat="1" x14ac:dyDescent="0.2">
      <c r="A71" s="42"/>
    </row>
    <row r="72" spans="1:2" s="43" customFormat="1" x14ac:dyDescent="0.2">
      <c r="A72" s="42"/>
    </row>
    <row r="73" spans="1:2" s="43" customFormat="1" x14ac:dyDescent="0.2">
      <c r="A73" s="42"/>
    </row>
    <row r="74" spans="1:2" s="43" customFormat="1" x14ac:dyDescent="0.2">
      <c r="A74" s="42"/>
    </row>
    <row r="75" spans="1:2" s="43" customFormat="1" x14ac:dyDescent="0.2">
      <c r="A75" s="42"/>
    </row>
    <row r="76" spans="1:2" s="43" customFormat="1" x14ac:dyDescent="0.2">
      <c r="A76" s="42"/>
    </row>
    <row r="77" spans="1:2" s="43" customFormat="1" x14ac:dyDescent="0.2">
      <c r="A77" s="42"/>
    </row>
    <row r="78" spans="1:2" s="43" customFormat="1" x14ac:dyDescent="0.2">
      <c r="A78" s="42"/>
    </row>
    <row r="79" spans="1:2" s="43" customFormat="1" x14ac:dyDescent="0.2">
      <c r="A79" s="42"/>
    </row>
    <row r="80" spans="1:2" s="43" customFormat="1" x14ac:dyDescent="0.2">
      <c r="A80" s="42"/>
    </row>
    <row r="81" spans="1:10" s="43" customFormat="1" x14ac:dyDescent="0.2">
      <c r="A81" s="42"/>
    </row>
    <row r="82" spans="1:10" s="43" customFormat="1" x14ac:dyDescent="0.2">
      <c r="A82" s="42"/>
    </row>
    <row r="83" spans="1:10" s="43" customFormat="1" x14ac:dyDescent="0.2">
      <c r="A83" s="42"/>
    </row>
    <row r="84" spans="1:10" s="43" customFormat="1" x14ac:dyDescent="0.2">
      <c r="A84" s="42"/>
    </row>
    <row r="85" spans="1:10" s="43" customFormat="1" x14ac:dyDescent="0.2">
      <c r="A85" s="42"/>
    </row>
    <row r="86" spans="1:10" s="43" customFormat="1" x14ac:dyDescent="0.2">
      <c r="A86" s="42"/>
    </row>
    <row r="87" spans="1:10" s="43" customFormat="1" x14ac:dyDescent="0.2">
      <c r="A87" s="42"/>
    </row>
    <row r="88" spans="1:10" s="43" customFormat="1" x14ac:dyDescent="0.2">
      <c r="A88" s="42"/>
    </row>
    <row r="89" spans="1:10" s="43" customFormat="1" x14ac:dyDescent="0.2">
      <c r="A89" s="42"/>
    </row>
    <row r="90" spans="1:10" s="43" customFormat="1" x14ac:dyDescent="0.2">
      <c r="A90" s="42"/>
    </row>
    <row r="91" spans="1:10" s="43" customFormat="1" x14ac:dyDescent="0.2">
      <c r="A91" s="42"/>
    </row>
    <row r="92" spans="1:10" s="43" customFormat="1" x14ac:dyDescent="0.2">
      <c r="A92" s="42"/>
    </row>
    <row r="93" spans="1:10" s="43" customFormat="1" x14ac:dyDescent="0.2">
      <c r="A93" s="42"/>
      <c r="B93" s="44"/>
    </row>
    <row r="94" spans="1:10" s="43" customFormat="1" x14ac:dyDescent="0.2">
      <c r="A94" s="42"/>
      <c r="B94" s="44"/>
    </row>
    <row r="95" spans="1:10" s="43" customFormat="1" x14ac:dyDescent="0.2">
      <c r="A95" s="42"/>
      <c r="B95" s="44"/>
    </row>
    <row r="96" spans="1:10" s="83" customFormat="1" x14ac:dyDescent="0.2">
      <c r="A96" s="42"/>
      <c r="B96" s="44"/>
      <c r="C96" s="43"/>
      <c r="D96" s="43"/>
      <c r="E96" s="43"/>
      <c r="F96" s="43"/>
      <c r="G96" s="43"/>
      <c r="H96" s="43"/>
      <c r="I96" s="43"/>
      <c r="J96" s="82"/>
    </row>
    <row r="97" spans="1:2" s="43" customFormat="1" x14ac:dyDescent="0.2">
      <c r="A97" s="42"/>
      <c r="B97" s="44"/>
    </row>
    <row r="98" spans="1:2" s="43" customFormat="1" x14ac:dyDescent="0.2">
      <c r="A98" s="42"/>
      <c r="B98" s="44"/>
    </row>
    <row r="99" spans="1:2" s="43" customFormat="1" x14ac:dyDescent="0.2">
      <c r="A99" s="42"/>
      <c r="B99" s="44"/>
    </row>
    <row r="100" spans="1:2" s="43" customFormat="1" x14ac:dyDescent="0.2">
      <c r="A100" s="42"/>
      <c r="B100" s="44"/>
    </row>
    <row r="101" spans="1:2" s="43" customFormat="1" x14ac:dyDescent="0.2">
      <c r="A101" s="42"/>
      <c r="B101" s="44"/>
    </row>
    <row r="102" spans="1:2" s="43" customFormat="1" x14ac:dyDescent="0.2">
      <c r="A102" s="42"/>
      <c r="B102" s="44"/>
    </row>
    <row r="103" spans="1:2" s="43" customFormat="1" x14ac:dyDescent="0.2">
      <c r="A103" s="42"/>
      <c r="B103" s="44"/>
    </row>
    <row r="104" spans="1:2" s="43" customFormat="1" x14ac:dyDescent="0.2">
      <c r="A104" s="42"/>
      <c r="B104" s="44"/>
    </row>
    <row r="105" spans="1:2" s="43" customFormat="1" x14ac:dyDescent="0.2">
      <c r="A105" s="42"/>
      <c r="B105" s="44"/>
    </row>
    <row r="106" spans="1:2" s="43" customFormat="1" x14ac:dyDescent="0.2">
      <c r="A106" s="42"/>
      <c r="B106" s="44"/>
    </row>
    <row r="107" spans="1:2" s="43" customFormat="1" x14ac:dyDescent="0.2">
      <c r="A107" s="42"/>
      <c r="B107" s="44"/>
    </row>
    <row r="108" spans="1:2" s="43" customFormat="1" x14ac:dyDescent="0.2">
      <c r="A108" s="42"/>
      <c r="B108" s="44"/>
    </row>
    <row r="109" spans="1:2" s="43" customFormat="1" x14ac:dyDescent="0.2">
      <c r="A109" s="42"/>
      <c r="B109" s="44"/>
    </row>
    <row r="110" spans="1:2" s="43" customFormat="1" x14ac:dyDescent="0.2">
      <c r="A110" s="42"/>
      <c r="B110" s="44"/>
    </row>
    <row r="111" spans="1:2" s="43" customFormat="1" x14ac:dyDescent="0.2">
      <c r="A111" s="42"/>
      <c r="B111" s="44"/>
    </row>
    <row r="112" spans="1:2" s="43" customFormat="1" x14ac:dyDescent="0.2">
      <c r="A112" s="42"/>
      <c r="B112" s="44"/>
    </row>
    <row r="113" spans="1:2" s="43" customFormat="1" x14ac:dyDescent="0.2">
      <c r="A113" s="42"/>
      <c r="B113" s="44"/>
    </row>
    <row r="114" spans="1:2" s="43" customFormat="1" x14ac:dyDescent="0.2">
      <c r="A114" s="42"/>
      <c r="B114" s="44"/>
    </row>
    <row r="115" spans="1:2" s="43" customFormat="1" x14ac:dyDescent="0.2">
      <c r="A115" s="42"/>
      <c r="B115" s="44"/>
    </row>
    <row r="116" spans="1:2" s="43" customFormat="1" x14ac:dyDescent="0.2">
      <c r="A116" s="42"/>
      <c r="B116" s="44"/>
    </row>
    <row r="117" spans="1:2" s="43" customFormat="1" x14ac:dyDescent="0.2">
      <c r="A117" s="42"/>
      <c r="B117" s="44"/>
    </row>
    <row r="118" spans="1:2" s="43" customFormat="1" x14ac:dyDescent="0.2">
      <c r="A118" s="42"/>
      <c r="B118" s="44"/>
    </row>
    <row r="119" spans="1:2" s="43" customFormat="1" x14ac:dyDescent="0.2">
      <c r="A119" s="42"/>
      <c r="B119" s="44"/>
    </row>
    <row r="120" spans="1:2" s="43" customFormat="1" x14ac:dyDescent="0.2">
      <c r="A120" s="42"/>
      <c r="B120" s="44"/>
    </row>
    <row r="121" spans="1:2" s="43" customFormat="1" x14ac:dyDescent="0.2">
      <c r="A121" s="42"/>
      <c r="B121" s="44"/>
    </row>
    <row r="122" spans="1:2" s="43" customFormat="1" x14ac:dyDescent="0.2">
      <c r="A122" s="42"/>
      <c r="B122" s="44"/>
    </row>
    <row r="123" spans="1:2" s="43" customFormat="1" x14ac:dyDescent="0.2">
      <c r="A123" s="42"/>
      <c r="B123" s="44"/>
    </row>
    <row r="124" spans="1:2" s="43" customFormat="1" x14ac:dyDescent="0.2">
      <c r="A124" s="42"/>
      <c r="B124" s="44"/>
    </row>
    <row r="125" spans="1:2" s="43" customFormat="1" x14ac:dyDescent="0.2">
      <c r="A125" s="42"/>
      <c r="B125" s="44"/>
    </row>
    <row r="126" spans="1:2" s="43" customFormat="1" x14ac:dyDescent="0.2">
      <c r="A126" s="42"/>
      <c r="B126" s="44"/>
    </row>
    <row r="127" spans="1:2" s="43" customFormat="1" x14ac:dyDescent="0.2">
      <c r="A127" s="42"/>
      <c r="B127" s="44"/>
    </row>
    <row r="128" spans="1:2" s="43" customFormat="1" x14ac:dyDescent="0.2">
      <c r="A128" s="42"/>
      <c r="B128" s="44"/>
    </row>
    <row r="129" spans="1:2" s="43" customFormat="1" x14ac:dyDescent="0.2">
      <c r="A129" s="42"/>
      <c r="B129" s="44"/>
    </row>
    <row r="130" spans="1:2" s="43" customFormat="1" x14ac:dyDescent="0.2">
      <c r="A130" s="42"/>
      <c r="B130" s="44"/>
    </row>
    <row r="131" spans="1:2" s="43" customFormat="1" x14ac:dyDescent="0.2">
      <c r="A131" s="42"/>
      <c r="B131" s="44"/>
    </row>
    <row r="132" spans="1:2" s="43" customFormat="1" x14ac:dyDescent="0.2">
      <c r="A132" s="42"/>
      <c r="B132" s="44"/>
    </row>
    <row r="133" spans="1:2" s="43" customFormat="1" x14ac:dyDescent="0.2">
      <c r="A133" s="42"/>
      <c r="B133" s="44"/>
    </row>
    <row r="134" spans="1:2" s="43" customFormat="1" x14ac:dyDescent="0.2">
      <c r="A134" s="42"/>
      <c r="B134" s="44"/>
    </row>
    <row r="135" spans="1:2" s="43" customFormat="1" x14ac:dyDescent="0.2">
      <c r="A135" s="42"/>
      <c r="B135" s="44"/>
    </row>
    <row r="136" spans="1:2" s="43" customFormat="1" x14ac:dyDescent="0.2">
      <c r="A136" s="42"/>
      <c r="B136" s="44"/>
    </row>
    <row r="137" spans="1:2" s="43" customFormat="1" x14ac:dyDescent="0.2">
      <c r="A137" s="42"/>
      <c r="B137" s="44"/>
    </row>
    <row r="138" spans="1:2" s="43" customFormat="1" x14ac:dyDescent="0.2">
      <c r="A138" s="42"/>
      <c r="B138" s="44"/>
    </row>
    <row r="139" spans="1:2" s="43" customFormat="1" x14ac:dyDescent="0.2">
      <c r="A139" s="42"/>
      <c r="B139" s="44"/>
    </row>
    <row r="140" spans="1:2" s="43" customFormat="1" x14ac:dyDescent="0.2">
      <c r="A140" s="42"/>
      <c r="B140" s="44"/>
    </row>
    <row r="141" spans="1:2" s="43" customFormat="1" x14ac:dyDescent="0.2">
      <c r="A141" s="42"/>
      <c r="B141" s="44"/>
    </row>
    <row r="142" spans="1:2" s="43" customFormat="1" x14ac:dyDescent="0.2">
      <c r="A142" s="42"/>
      <c r="B142" s="44"/>
    </row>
    <row r="143" spans="1:2" s="43" customFormat="1" x14ac:dyDescent="0.2">
      <c r="A143" s="42"/>
      <c r="B143" s="44"/>
    </row>
    <row r="144" spans="1:2" s="43" customFormat="1" x14ac:dyDescent="0.2">
      <c r="A144" s="42"/>
      <c r="B144" s="44"/>
    </row>
    <row r="145" spans="1:2" s="43" customFormat="1" x14ac:dyDescent="0.2">
      <c r="A145" s="42"/>
      <c r="B145" s="44"/>
    </row>
    <row r="146" spans="1:2" s="43" customFormat="1" x14ac:dyDescent="0.2">
      <c r="A146" s="42"/>
      <c r="B146" s="44"/>
    </row>
    <row r="147" spans="1:2" s="43" customFormat="1" x14ac:dyDescent="0.2">
      <c r="A147" s="42"/>
      <c r="B147" s="44"/>
    </row>
    <row r="148" spans="1:2" s="43" customFormat="1" x14ac:dyDescent="0.2">
      <c r="A148" s="42"/>
      <c r="B148" s="44"/>
    </row>
    <row r="149" spans="1:2" s="43" customFormat="1" x14ac:dyDescent="0.2">
      <c r="A149" s="42"/>
      <c r="B149" s="44"/>
    </row>
    <row r="150" spans="1:2" s="43" customFormat="1" x14ac:dyDescent="0.2">
      <c r="A150" s="42"/>
      <c r="B150" s="44"/>
    </row>
    <row r="151" spans="1:2" s="43" customFormat="1" x14ac:dyDescent="0.2">
      <c r="A151" s="42"/>
      <c r="B151" s="44"/>
    </row>
    <row r="152" spans="1:2" s="43" customFormat="1" x14ac:dyDescent="0.2">
      <c r="A152" s="42"/>
      <c r="B152" s="44"/>
    </row>
    <row r="153" spans="1:2" s="43" customFormat="1" x14ac:dyDescent="0.2">
      <c r="A153" s="42"/>
      <c r="B153" s="44"/>
    </row>
    <row r="154" spans="1:2" s="43" customFormat="1" x14ac:dyDescent="0.2">
      <c r="A154" s="42"/>
      <c r="B154" s="44"/>
    </row>
    <row r="155" spans="1:2" s="43" customFormat="1" x14ac:dyDescent="0.2">
      <c r="A155" s="42"/>
      <c r="B155" s="44"/>
    </row>
    <row r="156" spans="1:2" s="43" customFormat="1" x14ac:dyDescent="0.2">
      <c r="A156" s="42"/>
      <c r="B156" s="44"/>
    </row>
    <row r="157" spans="1:2" s="43" customFormat="1" x14ac:dyDescent="0.2">
      <c r="A157" s="42"/>
      <c r="B157" s="44"/>
    </row>
    <row r="158" spans="1:2" s="43" customFormat="1" x14ac:dyDescent="0.2">
      <c r="A158" s="42"/>
      <c r="B158" s="44"/>
    </row>
    <row r="159" spans="1:2" s="43" customFormat="1" x14ac:dyDescent="0.2">
      <c r="A159" s="42"/>
      <c r="B159" s="44"/>
    </row>
    <row r="160" spans="1:2" s="43" customFormat="1" x14ac:dyDescent="0.2">
      <c r="A160" s="42"/>
      <c r="B160" s="44"/>
    </row>
    <row r="161" spans="1:2" s="43" customFormat="1" x14ac:dyDescent="0.2">
      <c r="A161" s="42"/>
      <c r="B161" s="44"/>
    </row>
    <row r="162" spans="1:2" s="43" customFormat="1" x14ac:dyDescent="0.2">
      <c r="A162" s="42"/>
      <c r="B162" s="44"/>
    </row>
    <row r="163" spans="1:2" s="43" customFormat="1" x14ac:dyDescent="0.2">
      <c r="A163" s="42"/>
      <c r="B163" s="44"/>
    </row>
    <row r="164" spans="1:2" s="43" customFormat="1" x14ac:dyDescent="0.2">
      <c r="A164" s="42"/>
      <c r="B164" s="44"/>
    </row>
    <row r="165" spans="1:2" s="43" customFormat="1" x14ac:dyDescent="0.2">
      <c r="A165" s="42"/>
      <c r="B165" s="44"/>
    </row>
    <row r="166" spans="1:2" s="43" customFormat="1" x14ac:dyDescent="0.2">
      <c r="A166" s="42"/>
      <c r="B166" s="44"/>
    </row>
    <row r="167" spans="1:2" s="43" customFormat="1" x14ac:dyDescent="0.2">
      <c r="A167" s="42"/>
      <c r="B167" s="44"/>
    </row>
    <row r="168" spans="1:2" s="43" customFormat="1" x14ac:dyDescent="0.2">
      <c r="A168" s="42"/>
      <c r="B168" s="44"/>
    </row>
    <row r="169" spans="1:2" s="43" customFormat="1" x14ac:dyDescent="0.2">
      <c r="A169" s="42"/>
      <c r="B169" s="44"/>
    </row>
    <row r="170" spans="1:2" s="43" customFormat="1" x14ac:dyDescent="0.2">
      <c r="A170" s="42"/>
      <c r="B170" s="44"/>
    </row>
    <row r="171" spans="1:2" s="43" customFormat="1" x14ac:dyDescent="0.2">
      <c r="A171" s="42"/>
      <c r="B171" s="44"/>
    </row>
    <row r="172" spans="1:2" s="43" customFormat="1" x14ac:dyDescent="0.2">
      <c r="A172" s="42"/>
      <c r="B172" s="44"/>
    </row>
    <row r="173" spans="1:2" s="43" customFormat="1" x14ac:dyDescent="0.2">
      <c r="A173" s="42"/>
      <c r="B173" s="44"/>
    </row>
    <row r="174" spans="1:2" s="43" customFormat="1" x14ac:dyDescent="0.2">
      <c r="A174" s="42"/>
      <c r="B174" s="44"/>
    </row>
    <row r="175" spans="1:2" s="43" customFormat="1" x14ac:dyDescent="0.2">
      <c r="A175" s="42"/>
      <c r="B175" s="44"/>
    </row>
    <row r="176" spans="1:2" s="43" customFormat="1" x14ac:dyDescent="0.2">
      <c r="A176" s="42"/>
      <c r="B176" s="44"/>
    </row>
    <row r="177" spans="1:3" s="43" customFormat="1" x14ac:dyDescent="0.2">
      <c r="A177" s="42"/>
      <c r="B177" s="44"/>
    </row>
    <row r="178" spans="1:3" s="43" customFormat="1" x14ac:dyDescent="0.2">
      <c r="A178" s="42"/>
      <c r="B178" s="44"/>
    </row>
    <row r="179" spans="1:3" s="43" customFormat="1" x14ac:dyDescent="0.2">
      <c r="A179" s="42"/>
      <c r="B179" s="44"/>
    </row>
    <row r="180" spans="1:3" s="43" customFormat="1" x14ac:dyDescent="0.2">
      <c r="A180" s="42"/>
      <c r="B180" s="44"/>
    </row>
    <row r="181" spans="1:3" s="43" customFormat="1" x14ac:dyDescent="0.2">
      <c r="A181" s="42"/>
      <c r="B181" s="44"/>
    </row>
    <row r="182" spans="1:3" s="43" customFormat="1" x14ac:dyDescent="0.2">
      <c r="A182" s="42"/>
      <c r="B182" s="44"/>
    </row>
    <row r="183" spans="1:3" s="43" customFormat="1" x14ac:dyDescent="0.2">
      <c r="A183" s="42"/>
      <c r="B183" s="44"/>
    </row>
    <row r="184" spans="1:3" s="43" customFormat="1" x14ac:dyDescent="0.2">
      <c r="A184" s="42"/>
      <c r="B184" s="44"/>
    </row>
    <row r="185" spans="1:3" s="43" customFormat="1" x14ac:dyDescent="0.2">
      <c r="A185" s="42"/>
      <c r="B185" s="44"/>
    </row>
    <row r="186" spans="1:3" s="43" customFormat="1" x14ac:dyDescent="0.2">
      <c r="A186" s="42"/>
      <c r="B186" s="44"/>
    </row>
    <row r="187" spans="1:3" s="43" customFormat="1" x14ac:dyDescent="0.2">
      <c r="A187" s="42"/>
      <c r="B187" s="44"/>
    </row>
    <row r="188" spans="1:3" s="43" customFormat="1" x14ac:dyDescent="0.2">
      <c r="A188" s="42"/>
      <c r="B188" s="44"/>
    </row>
    <row r="189" spans="1:3" s="43" customFormat="1" x14ac:dyDescent="0.2">
      <c r="A189" s="42"/>
      <c r="B189" s="84"/>
    </row>
    <row r="190" spans="1:3" s="43" customFormat="1" ht="13.5" thickBot="1" x14ac:dyDescent="0.25">
      <c r="A190" s="42"/>
      <c r="B190" s="44"/>
    </row>
    <row r="191" spans="1:3" s="43" customFormat="1" ht="13.5" thickBot="1" x14ac:dyDescent="0.25">
      <c r="A191" s="85" t="s">
        <v>186</v>
      </c>
      <c r="B191" s="86"/>
    </row>
    <row r="192" spans="1:3" s="43" customFormat="1" x14ac:dyDescent="0.2">
      <c r="A192" s="87" t="s">
        <v>187</v>
      </c>
      <c r="B192" s="88" t="s">
        <v>443</v>
      </c>
      <c r="C192" s="89"/>
    </row>
    <row r="193" spans="1:14" s="43" customFormat="1" x14ac:dyDescent="0.2">
      <c r="A193" s="90" t="s">
        <v>188</v>
      </c>
      <c r="B193" s="111" t="s">
        <v>442</v>
      </c>
      <c r="C193" s="91"/>
    </row>
    <row r="194" spans="1:14" s="43" customFormat="1" x14ac:dyDescent="0.2">
      <c r="A194" s="92" t="s">
        <v>189</v>
      </c>
      <c r="B194" s="32"/>
    </row>
    <row r="195" spans="1:14" s="43" customFormat="1" x14ac:dyDescent="0.2">
      <c r="A195" s="93" t="s">
        <v>190</v>
      </c>
      <c r="B195" s="32"/>
    </row>
    <row r="196" spans="1:14" s="43" customFormat="1" x14ac:dyDescent="0.2">
      <c r="A196" s="92"/>
      <c r="B196" s="32"/>
    </row>
    <row r="197" spans="1:14" s="43" customFormat="1" x14ac:dyDescent="0.2">
      <c r="A197" s="92"/>
      <c r="B197" s="32"/>
    </row>
    <row r="198" spans="1:14" s="43" customFormat="1" x14ac:dyDescent="0.2">
      <c r="A198" s="92"/>
      <c r="B198" s="32"/>
    </row>
    <row r="199" spans="1:14" x14ac:dyDescent="0.2">
      <c r="A199" s="42"/>
      <c r="C199" s="73"/>
      <c r="D199" s="74"/>
    </row>
    <row r="200" spans="1:14" x14ac:dyDescent="0.2">
      <c r="A200" s="42"/>
      <c r="C200" s="73"/>
      <c r="D200" s="74"/>
    </row>
    <row r="201" spans="1:14" x14ac:dyDescent="0.2">
      <c r="A201" s="42"/>
      <c r="C201" s="73"/>
      <c r="D201" s="74"/>
    </row>
    <row r="202" spans="1:14" x14ac:dyDescent="0.2">
      <c r="A202" s="78" t="s">
        <v>191</v>
      </c>
      <c r="K202" s="94" t="s">
        <v>192</v>
      </c>
    </row>
    <row r="203" spans="1:14" ht="28.15" customHeight="1" x14ac:dyDescent="0.2">
      <c r="A203" s="95" t="s">
        <v>193</v>
      </c>
      <c r="B203" s="95" t="s">
        <v>194</v>
      </c>
      <c r="C203" s="95" t="s">
        <v>195</v>
      </c>
      <c r="D203" s="96" t="s">
        <v>196</v>
      </c>
      <c r="E203" s="95" t="s">
        <v>197</v>
      </c>
      <c r="F203" s="95" t="s">
        <v>198</v>
      </c>
      <c r="G203" s="95" t="s">
        <v>199</v>
      </c>
      <c r="H203" s="97"/>
      <c r="I203" s="97"/>
      <c r="K203" s="98" t="s">
        <v>113</v>
      </c>
      <c r="L203" s="98" t="s">
        <v>200</v>
      </c>
      <c r="M203" s="98" t="s">
        <v>201</v>
      </c>
      <c r="N203" s="98" t="s">
        <v>202</v>
      </c>
    </row>
    <row r="204" spans="1:14" x14ac:dyDescent="0.2">
      <c r="A204" s="99" t="s">
        <v>204</v>
      </c>
      <c r="B204" s="100" t="s">
        <v>205</v>
      </c>
      <c r="C204" s="100" t="s">
        <v>206</v>
      </c>
      <c r="D204" s="100"/>
      <c r="E204" s="100" t="s">
        <v>207</v>
      </c>
      <c r="F204" s="100"/>
      <c r="G204" s="100"/>
      <c r="H204" s="100"/>
      <c r="I204" s="100"/>
      <c r="L204" s="35" t="s">
        <v>203</v>
      </c>
      <c r="M204" s="110"/>
    </row>
    <row r="205" spans="1:14" x14ac:dyDescent="0.2">
      <c r="A205" s="99" t="s">
        <v>210</v>
      </c>
      <c r="B205" s="100" t="s">
        <v>211</v>
      </c>
      <c r="C205" s="100" t="s">
        <v>206</v>
      </c>
      <c r="D205" s="100"/>
      <c r="E205" s="100" t="s">
        <v>27</v>
      </c>
      <c r="F205" s="100"/>
      <c r="G205" s="100"/>
      <c r="H205" s="100"/>
      <c r="I205" s="100"/>
      <c r="K205" s="35" t="s">
        <v>114</v>
      </c>
      <c r="L205" s="35" t="s">
        <v>206</v>
      </c>
      <c r="M205" s="35" t="s">
        <v>208</v>
      </c>
      <c r="N205" s="35" t="s">
        <v>209</v>
      </c>
    </row>
    <row r="206" spans="1:14" x14ac:dyDescent="0.2">
      <c r="A206" s="99" t="s">
        <v>215</v>
      </c>
      <c r="B206" s="100" t="s">
        <v>40</v>
      </c>
      <c r="C206" s="100" t="s">
        <v>208</v>
      </c>
      <c r="D206" s="100"/>
      <c r="E206" s="100"/>
      <c r="F206" s="100"/>
      <c r="G206" s="100"/>
      <c r="H206" s="100"/>
      <c r="I206" s="100"/>
      <c r="K206" s="35" t="s">
        <v>115</v>
      </c>
      <c r="L206" s="35" t="s">
        <v>212</v>
      </c>
      <c r="M206" s="35" t="s">
        <v>213</v>
      </c>
      <c r="N206" s="35" t="s">
        <v>214</v>
      </c>
    </row>
    <row r="207" spans="1:14" ht="38.25" x14ac:dyDescent="0.2">
      <c r="A207" s="99" t="s">
        <v>218</v>
      </c>
      <c r="B207" s="100" t="s">
        <v>219</v>
      </c>
      <c r="C207" s="100" t="s">
        <v>208</v>
      </c>
      <c r="D207" s="100"/>
      <c r="E207" s="100"/>
      <c r="F207" s="100"/>
      <c r="G207" s="100"/>
      <c r="H207" s="100"/>
      <c r="I207" s="100"/>
      <c r="K207" s="35" t="s">
        <v>116</v>
      </c>
      <c r="L207" s="35" t="s">
        <v>216</v>
      </c>
      <c r="M207" s="35" t="s">
        <v>206</v>
      </c>
      <c r="N207" s="35" t="s">
        <v>217</v>
      </c>
    </row>
    <row r="208" spans="1:14" x14ac:dyDescent="0.2">
      <c r="A208" s="99" t="s">
        <v>222</v>
      </c>
      <c r="B208" s="100" t="s">
        <v>223</v>
      </c>
      <c r="C208" s="100" t="s">
        <v>208</v>
      </c>
      <c r="D208" s="100"/>
      <c r="E208" s="100"/>
      <c r="F208" s="100"/>
      <c r="G208" s="100"/>
      <c r="H208" s="100"/>
      <c r="I208" s="100"/>
      <c r="K208" s="35" t="s">
        <v>117</v>
      </c>
      <c r="L208" s="35" t="s">
        <v>220</v>
      </c>
      <c r="N208" s="35" t="s">
        <v>221</v>
      </c>
    </row>
    <row r="209" spans="1:14" x14ac:dyDescent="0.2">
      <c r="A209" s="99" t="s">
        <v>429</v>
      </c>
      <c r="B209" s="100" t="s">
        <v>227</v>
      </c>
      <c r="C209" s="100" t="s">
        <v>208</v>
      </c>
      <c r="D209" s="100"/>
      <c r="E209" s="100"/>
      <c r="F209" s="100"/>
      <c r="G209" s="100"/>
      <c r="H209" s="100"/>
      <c r="I209" s="100"/>
      <c r="K209" s="35" t="s">
        <v>224</v>
      </c>
      <c r="L209" s="35" t="s">
        <v>225</v>
      </c>
      <c r="N209" s="35" t="s">
        <v>226</v>
      </c>
    </row>
    <row r="210" spans="1:14" x14ac:dyDescent="0.2">
      <c r="A210" s="99" t="s">
        <v>230</v>
      </c>
      <c r="B210" s="100" t="s">
        <v>430</v>
      </c>
      <c r="C210" s="100" t="s">
        <v>208</v>
      </c>
      <c r="D210" s="100"/>
      <c r="E210" s="100"/>
      <c r="F210" s="100"/>
      <c r="G210" s="100"/>
      <c r="H210" s="100"/>
      <c r="I210" s="100"/>
      <c r="N210" s="35" t="s">
        <v>228</v>
      </c>
    </row>
    <row r="211" spans="1:14" x14ac:dyDescent="0.2">
      <c r="A211" s="99" t="s">
        <v>431</v>
      </c>
      <c r="B211" s="100" t="s">
        <v>236</v>
      </c>
      <c r="C211" s="100" t="s">
        <v>208</v>
      </c>
      <c r="D211" s="100"/>
      <c r="E211" s="100"/>
      <c r="F211" s="100"/>
      <c r="G211" s="100"/>
      <c r="H211" s="100"/>
      <c r="I211" s="100"/>
      <c r="N211" s="35" t="s">
        <v>229</v>
      </c>
    </row>
    <row r="212" spans="1:14" x14ac:dyDescent="0.2">
      <c r="A212" s="99" t="s">
        <v>434</v>
      </c>
      <c r="B212" s="100" t="s">
        <v>435</v>
      </c>
      <c r="C212" s="100" t="s">
        <v>208</v>
      </c>
      <c r="D212" s="100"/>
      <c r="E212" s="100"/>
      <c r="F212" s="100"/>
      <c r="G212" s="100"/>
      <c r="H212" s="100"/>
      <c r="I212" s="100"/>
      <c r="N212" s="35" t="s">
        <v>231</v>
      </c>
    </row>
    <row r="213" spans="1:14" ht="38.25" x14ac:dyDescent="0.2">
      <c r="A213" s="99" t="s">
        <v>436</v>
      </c>
      <c r="B213" s="100" t="s">
        <v>437</v>
      </c>
      <c r="C213" s="100" t="s">
        <v>208</v>
      </c>
      <c r="D213" s="100"/>
      <c r="E213" s="100"/>
      <c r="F213" s="100"/>
      <c r="G213" s="100"/>
      <c r="H213" s="100"/>
      <c r="I213" s="100"/>
      <c r="N213" s="35" t="s">
        <v>232</v>
      </c>
    </row>
    <row r="214" spans="1:14" x14ac:dyDescent="0.2">
      <c r="A214" s="99" t="s">
        <v>438</v>
      </c>
      <c r="B214" s="100" t="s">
        <v>439</v>
      </c>
      <c r="C214" s="100" t="s">
        <v>208</v>
      </c>
      <c r="D214" s="100"/>
      <c r="E214" s="100"/>
      <c r="F214" s="100"/>
      <c r="G214" s="100"/>
      <c r="H214" s="100"/>
      <c r="I214" s="100"/>
      <c r="N214" s="35" t="s">
        <v>233</v>
      </c>
    </row>
    <row r="215" spans="1:14" ht="25.5" x14ac:dyDescent="0.2">
      <c r="A215" s="99" t="s">
        <v>432</v>
      </c>
      <c r="B215" s="100" t="s">
        <v>444</v>
      </c>
      <c r="C215" s="100" t="s">
        <v>213</v>
      </c>
      <c r="D215" s="100" t="s">
        <v>213</v>
      </c>
      <c r="E215" s="100"/>
      <c r="F215" s="100"/>
      <c r="G215" s="100" t="s">
        <v>1811</v>
      </c>
      <c r="H215" s="100"/>
      <c r="I215" s="100"/>
      <c r="N215" s="35" t="s">
        <v>235</v>
      </c>
    </row>
    <row r="216" spans="1:14" x14ac:dyDescent="0.2">
      <c r="A216" s="99" t="s">
        <v>445</v>
      </c>
      <c r="B216" s="100" t="s">
        <v>433</v>
      </c>
      <c r="C216" s="100" t="s">
        <v>213</v>
      </c>
      <c r="D216" s="100" t="s">
        <v>213</v>
      </c>
      <c r="E216" s="100"/>
      <c r="F216" s="100"/>
      <c r="G216" s="100" t="s">
        <v>1811</v>
      </c>
      <c r="H216" s="100"/>
      <c r="I216" s="100"/>
      <c r="N216" s="35" t="s">
        <v>237</v>
      </c>
    </row>
    <row r="217" spans="1:14" ht="25.5" x14ac:dyDescent="0.2">
      <c r="A217" s="99" t="s">
        <v>446</v>
      </c>
      <c r="B217" s="100" t="s">
        <v>485</v>
      </c>
      <c r="C217" s="100" t="s">
        <v>213</v>
      </c>
      <c r="D217" s="100" t="s">
        <v>241</v>
      </c>
      <c r="E217" s="100"/>
      <c r="F217" s="100"/>
      <c r="G217" s="100" t="s">
        <v>1811</v>
      </c>
      <c r="H217" s="100"/>
      <c r="I217" s="100"/>
      <c r="N217" s="35" t="s">
        <v>238</v>
      </c>
    </row>
    <row r="218" spans="1:14" ht="25.5" x14ac:dyDescent="0.2">
      <c r="A218" s="99" t="s">
        <v>447</v>
      </c>
      <c r="B218" s="100" t="s">
        <v>486</v>
      </c>
      <c r="C218" s="100" t="s">
        <v>213</v>
      </c>
      <c r="D218" s="100" t="s">
        <v>241</v>
      </c>
      <c r="E218" s="100"/>
      <c r="F218" s="100"/>
      <c r="G218" s="100" t="s">
        <v>1811</v>
      </c>
      <c r="H218" s="100"/>
      <c r="I218" s="100"/>
      <c r="N218" s="35" t="s">
        <v>239</v>
      </c>
    </row>
    <row r="219" spans="1:14" x14ac:dyDescent="0.2">
      <c r="A219" s="99" t="s">
        <v>448</v>
      </c>
      <c r="B219" s="100" t="s">
        <v>487</v>
      </c>
      <c r="C219" s="100" t="s">
        <v>213</v>
      </c>
      <c r="D219" s="100" t="s">
        <v>241</v>
      </c>
      <c r="E219" s="100"/>
      <c r="F219" s="100"/>
      <c r="G219" s="100" t="s">
        <v>1811</v>
      </c>
      <c r="H219" s="100"/>
      <c r="I219" s="100"/>
      <c r="N219" s="35" t="s">
        <v>240</v>
      </c>
    </row>
    <row r="220" spans="1:14" ht="25.5" x14ac:dyDescent="0.2">
      <c r="A220" s="99" t="s">
        <v>449</v>
      </c>
      <c r="B220" s="100" t="s">
        <v>488</v>
      </c>
      <c r="C220" s="100" t="s">
        <v>213</v>
      </c>
      <c r="D220" s="100" t="s">
        <v>330</v>
      </c>
      <c r="E220" s="100"/>
      <c r="F220" s="100"/>
      <c r="G220" s="100" t="s">
        <v>1811</v>
      </c>
      <c r="H220" s="100"/>
      <c r="I220" s="100"/>
      <c r="N220" s="35" t="s">
        <v>241</v>
      </c>
    </row>
    <row r="221" spans="1:14" ht="25.5" x14ac:dyDescent="0.2">
      <c r="A221" s="99" t="s">
        <v>450</v>
      </c>
      <c r="B221" s="100" t="s">
        <v>489</v>
      </c>
      <c r="C221" s="100" t="s">
        <v>213</v>
      </c>
      <c r="D221" s="100" t="s">
        <v>245</v>
      </c>
      <c r="E221" s="100"/>
      <c r="F221" s="100"/>
      <c r="G221" s="100" t="s">
        <v>1811</v>
      </c>
      <c r="H221" s="100"/>
      <c r="I221" s="100"/>
      <c r="N221" s="35" t="s">
        <v>242</v>
      </c>
    </row>
    <row r="222" spans="1:14" ht="38.25" x14ac:dyDescent="0.2">
      <c r="A222" s="99" t="s">
        <v>451</v>
      </c>
      <c r="B222" s="100" t="s">
        <v>519</v>
      </c>
      <c r="C222" s="100" t="s">
        <v>213</v>
      </c>
      <c r="D222" s="100" t="s">
        <v>245</v>
      </c>
      <c r="E222" s="100"/>
      <c r="F222" s="100"/>
      <c r="G222" s="100" t="s">
        <v>1811</v>
      </c>
      <c r="H222" s="100"/>
      <c r="I222" s="100"/>
      <c r="N222" s="35" t="s">
        <v>243</v>
      </c>
    </row>
    <row r="223" spans="1:14" x14ac:dyDescent="0.2">
      <c r="A223" s="99" t="s">
        <v>452</v>
      </c>
      <c r="B223" s="100" t="s">
        <v>490</v>
      </c>
      <c r="C223" s="100" t="s">
        <v>213</v>
      </c>
      <c r="D223" s="100" t="s">
        <v>245</v>
      </c>
      <c r="E223" s="100"/>
      <c r="F223" s="100"/>
      <c r="G223" s="100" t="s">
        <v>1811</v>
      </c>
      <c r="H223" s="100"/>
      <c r="I223" s="100"/>
      <c r="N223" s="35" t="s">
        <v>244</v>
      </c>
    </row>
    <row r="224" spans="1:14" x14ac:dyDescent="0.2">
      <c r="A224" s="99" t="s">
        <v>453</v>
      </c>
      <c r="B224" s="100" t="s">
        <v>491</v>
      </c>
      <c r="C224" s="100" t="s">
        <v>213</v>
      </c>
      <c r="D224" s="100" t="s">
        <v>245</v>
      </c>
      <c r="E224" s="100"/>
      <c r="F224" s="100"/>
      <c r="G224" s="100" t="s">
        <v>1811</v>
      </c>
      <c r="H224" s="100"/>
      <c r="I224" s="100"/>
      <c r="N224" s="35" t="s">
        <v>245</v>
      </c>
    </row>
    <row r="225" spans="1:14" x14ac:dyDescent="0.2">
      <c r="A225" s="99" t="s">
        <v>454</v>
      </c>
      <c r="B225" s="100" t="s">
        <v>492</v>
      </c>
      <c r="C225" s="100" t="s">
        <v>213</v>
      </c>
      <c r="D225" s="100" t="s">
        <v>245</v>
      </c>
      <c r="E225" s="100"/>
      <c r="F225" s="100"/>
      <c r="G225" s="100" t="s">
        <v>1811</v>
      </c>
      <c r="H225" s="100"/>
      <c r="I225" s="100"/>
      <c r="N225" s="35" t="s">
        <v>246</v>
      </c>
    </row>
    <row r="226" spans="1:14" x14ac:dyDescent="0.2">
      <c r="A226" s="99" t="s">
        <v>455</v>
      </c>
      <c r="B226" s="100" t="s">
        <v>493</v>
      </c>
      <c r="C226" s="100" t="s">
        <v>213</v>
      </c>
      <c r="D226" s="100" t="s">
        <v>245</v>
      </c>
      <c r="E226" s="100"/>
      <c r="F226" s="100"/>
      <c r="G226" s="100" t="s">
        <v>1811</v>
      </c>
      <c r="H226" s="100"/>
      <c r="I226" s="100"/>
      <c r="N226" s="35" t="s">
        <v>247</v>
      </c>
    </row>
    <row r="227" spans="1:14" ht="25.5" x14ac:dyDescent="0.2">
      <c r="A227" s="99" t="s">
        <v>456</v>
      </c>
      <c r="B227" s="100" t="s">
        <v>494</v>
      </c>
      <c r="C227" s="100" t="s">
        <v>213</v>
      </c>
      <c r="D227" s="100" t="s">
        <v>245</v>
      </c>
      <c r="E227" s="100"/>
      <c r="F227" s="100"/>
      <c r="G227" s="100" t="s">
        <v>1811</v>
      </c>
      <c r="H227" s="100"/>
      <c r="I227" s="100"/>
      <c r="N227" s="35" t="s">
        <v>248</v>
      </c>
    </row>
    <row r="228" spans="1:14" ht="25.5" x14ac:dyDescent="0.2">
      <c r="A228" s="99" t="s">
        <v>457</v>
      </c>
      <c r="B228" s="100" t="s">
        <v>495</v>
      </c>
      <c r="C228" s="100" t="s">
        <v>213</v>
      </c>
      <c r="D228" s="100" t="s">
        <v>245</v>
      </c>
      <c r="E228" s="100"/>
      <c r="F228" s="100"/>
      <c r="G228" s="100" t="s">
        <v>1811</v>
      </c>
      <c r="H228" s="100"/>
      <c r="I228" s="100"/>
      <c r="N228" s="35" t="s">
        <v>249</v>
      </c>
    </row>
    <row r="229" spans="1:14" ht="25.5" x14ac:dyDescent="0.2">
      <c r="A229" s="99" t="s">
        <v>458</v>
      </c>
      <c r="B229" s="100" t="s">
        <v>459</v>
      </c>
      <c r="C229" s="100" t="s">
        <v>213</v>
      </c>
      <c r="D229" s="100" t="s">
        <v>245</v>
      </c>
      <c r="E229" s="100"/>
      <c r="F229" s="100"/>
      <c r="G229" s="100" t="s">
        <v>1811</v>
      </c>
      <c r="H229" s="100"/>
      <c r="I229" s="100"/>
      <c r="N229" s="35" t="s">
        <v>250</v>
      </c>
    </row>
    <row r="230" spans="1:14" ht="25.5" x14ac:dyDescent="0.2">
      <c r="A230" s="99" t="s">
        <v>460</v>
      </c>
      <c r="B230" s="100" t="s">
        <v>496</v>
      </c>
      <c r="C230" s="100" t="s">
        <v>213</v>
      </c>
      <c r="D230" s="100" t="s">
        <v>245</v>
      </c>
      <c r="E230" s="100"/>
      <c r="F230" s="100"/>
      <c r="G230" s="100" t="s">
        <v>1811</v>
      </c>
      <c r="H230" s="100"/>
      <c r="I230" s="100"/>
      <c r="N230" s="35" t="s">
        <v>251</v>
      </c>
    </row>
    <row r="231" spans="1:14" x14ac:dyDescent="0.2">
      <c r="A231" s="99" t="s">
        <v>461</v>
      </c>
      <c r="B231" s="100" t="s">
        <v>462</v>
      </c>
      <c r="C231" s="100" t="s">
        <v>213</v>
      </c>
      <c r="D231" s="100" t="s">
        <v>213</v>
      </c>
      <c r="E231" s="100"/>
      <c r="F231" s="100"/>
      <c r="G231" s="100" t="s">
        <v>1811</v>
      </c>
      <c r="H231" s="100"/>
      <c r="I231" s="100"/>
      <c r="N231" s="35" t="s">
        <v>252</v>
      </c>
    </row>
    <row r="232" spans="1:14" x14ac:dyDescent="0.2">
      <c r="A232" s="99" t="s">
        <v>463</v>
      </c>
      <c r="B232" s="100" t="s">
        <v>464</v>
      </c>
      <c r="C232" s="100" t="s">
        <v>213</v>
      </c>
      <c r="D232" s="100" t="s">
        <v>213</v>
      </c>
      <c r="E232" s="100"/>
      <c r="F232" s="100"/>
      <c r="G232" s="100" t="s">
        <v>1811</v>
      </c>
      <c r="H232" s="100"/>
      <c r="I232" s="100"/>
      <c r="N232" s="35" t="s">
        <v>253</v>
      </c>
    </row>
    <row r="233" spans="1:14" x14ac:dyDescent="0.2">
      <c r="A233" s="99" t="s">
        <v>465</v>
      </c>
      <c r="B233" s="100" t="s">
        <v>466</v>
      </c>
      <c r="C233" s="100" t="s">
        <v>213</v>
      </c>
      <c r="D233" s="100" t="s">
        <v>213</v>
      </c>
      <c r="E233" s="100"/>
      <c r="F233" s="100"/>
      <c r="G233" s="100" t="s">
        <v>1811</v>
      </c>
      <c r="H233" s="100"/>
      <c r="I233" s="100"/>
      <c r="N233" s="35" t="s">
        <v>254</v>
      </c>
    </row>
    <row r="234" spans="1:14" x14ac:dyDescent="0.2">
      <c r="A234" s="99" t="s">
        <v>467</v>
      </c>
      <c r="B234" s="100" t="s">
        <v>468</v>
      </c>
      <c r="C234" s="100" t="s">
        <v>213</v>
      </c>
      <c r="D234" s="100" t="s">
        <v>213</v>
      </c>
      <c r="E234" s="100"/>
      <c r="F234" s="100"/>
      <c r="G234" s="100" t="s">
        <v>1811</v>
      </c>
      <c r="H234" s="100"/>
      <c r="I234" s="100"/>
      <c r="N234" s="35" t="s">
        <v>255</v>
      </c>
    </row>
    <row r="235" spans="1:14" x14ac:dyDescent="0.2">
      <c r="A235" s="99" t="s">
        <v>469</v>
      </c>
      <c r="B235" s="100" t="s">
        <v>497</v>
      </c>
      <c r="C235" s="100" t="s">
        <v>213</v>
      </c>
      <c r="D235" s="100" t="s">
        <v>258</v>
      </c>
      <c r="E235" s="100"/>
      <c r="F235" s="100"/>
      <c r="G235" s="100" t="s">
        <v>1811</v>
      </c>
      <c r="H235" s="100"/>
      <c r="I235" s="100"/>
      <c r="N235" s="35" t="s">
        <v>256</v>
      </c>
    </row>
    <row r="236" spans="1:14" x14ac:dyDescent="0.2">
      <c r="A236" s="99" t="s">
        <v>470</v>
      </c>
      <c r="B236" s="100" t="s">
        <v>498</v>
      </c>
      <c r="C236" s="100" t="s">
        <v>213</v>
      </c>
      <c r="D236" s="100" t="s">
        <v>258</v>
      </c>
      <c r="E236" s="100"/>
      <c r="F236" s="100"/>
      <c r="G236" s="100" t="s">
        <v>1811</v>
      </c>
      <c r="H236" s="100"/>
      <c r="I236" s="100"/>
      <c r="N236" s="35" t="s">
        <v>257</v>
      </c>
    </row>
    <row r="237" spans="1:14" x14ac:dyDescent="0.2">
      <c r="A237" s="99" t="s">
        <v>471</v>
      </c>
      <c r="B237" s="100" t="s">
        <v>499</v>
      </c>
      <c r="C237" s="100" t="s">
        <v>213</v>
      </c>
      <c r="D237" s="100" t="s">
        <v>258</v>
      </c>
      <c r="E237" s="100"/>
      <c r="F237" s="100"/>
      <c r="G237" s="100" t="s">
        <v>1811</v>
      </c>
      <c r="H237" s="100"/>
      <c r="I237" s="100"/>
      <c r="N237" s="35" t="s">
        <v>258</v>
      </c>
    </row>
    <row r="238" spans="1:14" x14ac:dyDescent="0.2">
      <c r="A238" s="99" t="s">
        <v>472</v>
      </c>
      <c r="B238" s="100" t="s">
        <v>500</v>
      </c>
      <c r="C238" s="100" t="s">
        <v>213</v>
      </c>
      <c r="D238" s="100" t="s">
        <v>272</v>
      </c>
      <c r="E238" s="100"/>
      <c r="F238" s="100"/>
      <c r="G238" s="100" t="s">
        <v>1811</v>
      </c>
      <c r="H238" s="100"/>
      <c r="I238" s="100"/>
      <c r="N238" s="35" t="s">
        <v>539</v>
      </c>
    </row>
    <row r="239" spans="1:14" ht="25.5" x14ac:dyDescent="0.2">
      <c r="A239" s="99" t="s">
        <v>473</v>
      </c>
      <c r="B239" s="100" t="s">
        <v>501</v>
      </c>
      <c r="C239" s="100" t="s">
        <v>213</v>
      </c>
      <c r="D239" s="100" t="s">
        <v>272</v>
      </c>
      <c r="E239" s="100"/>
      <c r="F239" s="100"/>
      <c r="G239" s="100" t="s">
        <v>1811</v>
      </c>
      <c r="H239" s="100"/>
      <c r="I239" s="100"/>
      <c r="N239" s="35" t="s">
        <v>259</v>
      </c>
    </row>
    <row r="240" spans="1:14" ht="25.5" x14ac:dyDescent="0.2">
      <c r="A240" s="99" t="s">
        <v>474</v>
      </c>
      <c r="B240" s="100" t="s">
        <v>502</v>
      </c>
      <c r="C240" s="100" t="s">
        <v>213</v>
      </c>
      <c r="D240" s="100" t="s">
        <v>272</v>
      </c>
      <c r="E240" s="100"/>
      <c r="F240" s="100"/>
      <c r="G240" s="100" t="s">
        <v>1811</v>
      </c>
      <c r="H240" s="100"/>
      <c r="I240" s="100"/>
      <c r="N240" s="35" t="s">
        <v>260</v>
      </c>
    </row>
    <row r="241" spans="1:14" x14ac:dyDescent="0.2">
      <c r="A241" s="99" t="s">
        <v>475</v>
      </c>
      <c r="B241" s="100" t="s">
        <v>503</v>
      </c>
      <c r="C241" s="100" t="s">
        <v>213</v>
      </c>
      <c r="D241" s="100" t="s">
        <v>272</v>
      </c>
      <c r="E241" s="100"/>
      <c r="F241" s="100"/>
      <c r="G241" s="100" t="s">
        <v>1811</v>
      </c>
      <c r="H241" s="100"/>
      <c r="I241" s="100"/>
      <c r="N241" s="35" t="s">
        <v>261</v>
      </c>
    </row>
    <row r="242" spans="1:14" x14ac:dyDescent="0.2">
      <c r="A242" s="99" t="s">
        <v>476</v>
      </c>
      <c r="B242" s="100" t="s">
        <v>504</v>
      </c>
      <c r="C242" s="100" t="s">
        <v>213</v>
      </c>
      <c r="D242" s="100" t="s">
        <v>258</v>
      </c>
      <c r="E242" s="100"/>
      <c r="F242" s="100"/>
      <c r="G242" s="100" t="s">
        <v>1811</v>
      </c>
      <c r="H242" s="100"/>
      <c r="I242" s="100"/>
      <c r="N242" s="35" t="s">
        <v>262</v>
      </c>
    </row>
    <row r="243" spans="1:14" x14ac:dyDescent="0.2">
      <c r="A243" s="99" t="s">
        <v>477</v>
      </c>
      <c r="B243" s="100" t="s">
        <v>505</v>
      </c>
      <c r="C243" s="100" t="s">
        <v>213</v>
      </c>
      <c r="D243" s="100" t="s">
        <v>258</v>
      </c>
      <c r="E243" s="100"/>
      <c r="F243" s="100"/>
      <c r="G243" s="100" t="s">
        <v>1811</v>
      </c>
      <c r="H243" s="100"/>
      <c r="I243" s="100"/>
      <c r="N243" s="35" t="s">
        <v>263</v>
      </c>
    </row>
    <row r="244" spans="1:14" x14ac:dyDescent="0.2">
      <c r="A244" s="99" t="s">
        <v>478</v>
      </c>
      <c r="B244" s="100" t="s">
        <v>506</v>
      </c>
      <c r="C244" s="100" t="s">
        <v>213</v>
      </c>
      <c r="D244" s="100" t="s">
        <v>258</v>
      </c>
      <c r="E244" s="100"/>
      <c r="F244" s="100"/>
      <c r="G244" s="100" t="s">
        <v>1811</v>
      </c>
      <c r="H244" s="100"/>
      <c r="I244" s="100"/>
      <c r="N244" s="35" t="s">
        <v>264</v>
      </c>
    </row>
    <row r="245" spans="1:14" ht="25.5" x14ac:dyDescent="0.2">
      <c r="A245" s="99" t="s">
        <v>479</v>
      </c>
      <c r="B245" s="100" t="s">
        <v>507</v>
      </c>
      <c r="C245" s="100" t="s">
        <v>213</v>
      </c>
      <c r="D245" s="100" t="s">
        <v>331</v>
      </c>
      <c r="E245" s="100"/>
      <c r="F245" s="100"/>
      <c r="G245" s="100" t="s">
        <v>1811</v>
      </c>
      <c r="H245" s="100"/>
      <c r="I245" s="100"/>
      <c r="N245" s="35" t="s">
        <v>265</v>
      </c>
    </row>
    <row r="246" spans="1:14" x14ac:dyDescent="0.2">
      <c r="A246" s="99" t="s">
        <v>480</v>
      </c>
      <c r="B246" s="100" t="s">
        <v>508</v>
      </c>
      <c r="C246" s="100" t="s">
        <v>213</v>
      </c>
      <c r="D246" s="100" t="s">
        <v>268</v>
      </c>
      <c r="E246" s="100"/>
      <c r="F246" s="100"/>
      <c r="G246" s="100" t="s">
        <v>1811</v>
      </c>
      <c r="H246" s="100"/>
      <c r="I246" s="100"/>
      <c r="N246" s="35" t="s">
        <v>266</v>
      </c>
    </row>
    <row r="247" spans="1:14" ht="25.5" x14ac:dyDescent="0.2">
      <c r="A247" s="99" t="s">
        <v>481</v>
      </c>
      <c r="B247" s="100" t="s">
        <v>509</v>
      </c>
      <c r="C247" s="100" t="s">
        <v>213</v>
      </c>
      <c r="D247" s="100" t="s">
        <v>258</v>
      </c>
      <c r="E247" s="100"/>
      <c r="F247" s="100"/>
      <c r="G247" s="100" t="s">
        <v>1811</v>
      </c>
      <c r="H247" s="100"/>
      <c r="I247" s="100"/>
      <c r="N247" s="35" t="s">
        <v>267</v>
      </c>
    </row>
    <row r="248" spans="1:14" x14ac:dyDescent="0.2">
      <c r="A248" s="99" t="s">
        <v>482</v>
      </c>
      <c r="B248" s="100" t="s">
        <v>441</v>
      </c>
      <c r="C248" s="100" t="s">
        <v>208</v>
      </c>
      <c r="D248" s="100"/>
      <c r="E248" s="100"/>
      <c r="F248" s="100"/>
      <c r="G248" s="100"/>
      <c r="H248" s="100"/>
      <c r="I248" s="100"/>
      <c r="N248" s="35" t="s">
        <v>268</v>
      </c>
    </row>
    <row r="249" spans="1:14" x14ac:dyDescent="0.2">
      <c r="A249" s="99"/>
      <c r="B249" s="100"/>
      <c r="C249" s="100"/>
      <c r="D249" s="100"/>
      <c r="E249" s="100"/>
      <c r="F249" s="100"/>
      <c r="G249" s="100"/>
      <c r="H249" s="100"/>
      <c r="I249" s="100"/>
      <c r="N249" s="35" t="s">
        <v>269</v>
      </c>
    </row>
    <row r="250" spans="1:14" x14ac:dyDescent="0.2">
      <c r="A250" s="99"/>
      <c r="B250" s="100"/>
      <c r="C250" s="100"/>
      <c r="D250" s="100"/>
      <c r="E250" s="100"/>
      <c r="F250" s="100"/>
      <c r="G250" s="100"/>
      <c r="H250" s="100"/>
      <c r="I250" s="100"/>
      <c r="N250" s="35" t="s">
        <v>270</v>
      </c>
    </row>
    <row r="251" spans="1:14" x14ac:dyDescent="0.2">
      <c r="A251" s="99"/>
      <c r="B251" s="100"/>
      <c r="C251" s="100"/>
      <c r="D251" s="100"/>
      <c r="E251" s="100"/>
      <c r="F251" s="100"/>
      <c r="G251" s="100"/>
      <c r="H251" s="100"/>
      <c r="I251" s="100"/>
      <c r="N251" s="35" t="s">
        <v>271</v>
      </c>
    </row>
    <row r="252" spans="1:14" x14ac:dyDescent="0.2">
      <c r="A252" s="99"/>
      <c r="B252" s="100"/>
      <c r="C252" s="100"/>
      <c r="D252" s="100"/>
      <c r="E252" s="100"/>
      <c r="F252" s="100"/>
      <c r="G252" s="100"/>
      <c r="H252" s="100"/>
      <c r="I252" s="100"/>
      <c r="N252" s="35" t="s">
        <v>272</v>
      </c>
    </row>
    <row r="253" spans="1:14" x14ac:dyDescent="0.2">
      <c r="A253" s="99"/>
      <c r="B253" s="100"/>
      <c r="C253" s="100"/>
      <c r="D253" s="100"/>
      <c r="E253" s="100"/>
      <c r="F253" s="100"/>
      <c r="G253" s="100"/>
      <c r="H253" s="100"/>
      <c r="I253" s="100"/>
      <c r="N253" s="35" t="s">
        <v>273</v>
      </c>
    </row>
    <row r="254" spans="1:14" x14ac:dyDescent="0.2">
      <c r="A254" s="99"/>
      <c r="B254" s="100"/>
      <c r="C254" s="100"/>
      <c r="D254" s="100"/>
      <c r="E254" s="100"/>
      <c r="F254" s="100"/>
      <c r="G254" s="100"/>
      <c r="H254" s="100"/>
      <c r="I254" s="100"/>
      <c r="N254" s="35" t="s">
        <v>274</v>
      </c>
    </row>
    <row r="255" spans="1:14" x14ac:dyDescent="0.2">
      <c r="A255" s="99"/>
      <c r="B255" s="100"/>
      <c r="C255" s="100"/>
      <c r="D255" s="100"/>
      <c r="E255" s="100"/>
      <c r="F255" s="100"/>
      <c r="G255" s="100"/>
      <c r="H255" s="100"/>
      <c r="I255" s="100"/>
      <c r="N255" s="35" t="s">
        <v>275</v>
      </c>
    </row>
    <row r="256" spans="1:14" x14ac:dyDescent="0.2">
      <c r="A256" s="99"/>
      <c r="B256" s="100"/>
      <c r="C256" s="100"/>
      <c r="D256" s="100"/>
      <c r="E256" s="100"/>
      <c r="F256" s="100"/>
      <c r="G256" s="100"/>
      <c r="H256" s="100"/>
      <c r="I256" s="100"/>
      <c r="N256" s="35" t="s">
        <v>276</v>
      </c>
    </row>
    <row r="257" spans="1:14" x14ac:dyDescent="0.2">
      <c r="A257" s="99"/>
      <c r="B257" s="100"/>
      <c r="C257" s="100"/>
      <c r="D257" s="100"/>
      <c r="E257" s="100"/>
      <c r="F257" s="100"/>
      <c r="G257" s="100"/>
      <c r="H257" s="100"/>
      <c r="I257" s="100"/>
      <c r="N257" s="35" t="s">
        <v>277</v>
      </c>
    </row>
    <row r="258" spans="1:14" x14ac:dyDescent="0.2">
      <c r="A258" s="99"/>
      <c r="B258" s="100"/>
      <c r="C258" s="100"/>
      <c r="D258" s="100"/>
      <c r="E258" s="100"/>
      <c r="F258" s="100"/>
      <c r="G258" s="100"/>
      <c r="H258" s="100"/>
      <c r="I258" s="100"/>
      <c r="N258" s="35" t="s">
        <v>278</v>
      </c>
    </row>
    <row r="259" spans="1:14" x14ac:dyDescent="0.2">
      <c r="A259" s="99"/>
      <c r="B259" s="100"/>
      <c r="C259" s="100"/>
      <c r="D259" s="100"/>
      <c r="E259" s="100"/>
      <c r="F259" s="100"/>
      <c r="G259" s="100"/>
      <c r="H259" s="100"/>
      <c r="I259" s="100"/>
      <c r="N259" s="35" t="s">
        <v>279</v>
      </c>
    </row>
    <row r="260" spans="1:14" x14ac:dyDescent="0.2">
      <c r="A260" s="99"/>
      <c r="B260" s="100"/>
      <c r="C260" s="100"/>
      <c r="D260" s="100"/>
      <c r="E260" s="100"/>
      <c r="F260" s="100"/>
      <c r="G260" s="100"/>
      <c r="H260" s="100"/>
      <c r="I260" s="100"/>
      <c r="N260" s="35" t="s">
        <v>280</v>
      </c>
    </row>
    <row r="261" spans="1:14" x14ac:dyDescent="0.2">
      <c r="A261" s="99"/>
      <c r="B261" s="100"/>
      <c r="C261" s="100"/>
      <c r="D261" s="100"/>
      <c r="E261" s="100"/>
      <c r="F261" s="100"/>
      <c r="G261" s="100"/>
      <c r="H261" s="100"/>
      <c r="I261" s="100"/>
      <c r="N261" s="35" t="s">
        <v>281</v>
      </c>
    </row>
    <row r="262" spans="1:14" x14ac:dyDescent="0.2">
      <c r="A262" s="99"/>
      <c r="B262" s="100"/>
      <c r="C262" s="100"/>
      <c r="D262" s="100"/>
      <c r="E262" s="100"/>
      <c r="F262" s="100"/>
      <c r="G262" s="100"/>
      <c r="H262" s="100"/>
      <c r="I262" s="100"/>
      <c r="N262" s="35" t="s">
        <v>282</v>
      </c>
    </row>
    <row r="263" spans="1:14" x14ac:dyDescent="0.2">
      <c r="A263" s="99"/>
      <c r="B263" s="100"/>
      <c r="C263" s="100"/>
      <c r="D263" s="100"/>
      <c r="E263" s="100"/>
      <c r="F263" s="100"/>
      <c r="G263" s="100"/>
      <c r="H263" s="100"/>
      <c r="I263" s="100"/>
      <c r="N263" s="35" t="s">
        <v>283</v>
      </c>
    </row>
    <row r="264" spans="1:14" x14ac:dyDescent="0.2">
      <c r="A264" s="99"/>
      <c r="B264" s="100"/>
      <c r="C264" s="100"/>
      <c r="D264" s="100"/>
      <c r="E264" s="100"/>
      <c r="F264" s="100"/>
      <c r="G264" s="100"/>
      <c r="H264" s="100"/>
      <c r="I264" s="100"/>
      <c r="N264" s="35" t="s">
        <v>284</v>
      </c>
    </row>
    <row r="265" spans="1:14" x14ac:dyDescent="0.2">
      <c r="A265" s="99"/>
      <c r="B265" s="100"/>
      <c r="C265" s="100"/>
      <c r="D265" s="100"/>
      <c r="E265" s="100"/>
      <c r="F265" s="100"/>
      <c r="G265" s="100"/>
      <c r="H265" s="100"/>
      <c r="I265" s="100"/>
      <c r="N265" s="35" t="s">
        <v>285</v>
      </c>
    </row>
    <row r="266" spans="1:14" x14ac:dyDescent="0.2">
      <c r="A266" s="99"/>
      <c r="B266" s="100"/>
      <c r="C266" s="100"/>
      <c r="D266" s="100"/>
      <c r="E266" s="100"/>
      <c r="F266" s="100"/>
      <c r="G266" s="100"/>
      <c r="H266" s="100"/>
      <c r="I266" s="100"/>
      <c r="N266" s="35" t="s">
        <v>286</v>
      </c>
    </row>
    <row r="267" spans="1:14" x14ac:dyDescent="0.2">
      <c r="A267" s="99"/>
      <c r="B267" s="100"/>
      <c r="C267" s="100"/>
      <c r="D267" s="100"/>
      <c r="E267" s="100"/>
      <c r="F267" s="100"/>
      <c r="G267" s="100"/>
      <c r="H267" s="100"/>
      <c r="I267" s="100"/>
      <c r="N267" s="35" t="s">
        <v>287</v>
      </c>
    </row>
    <row r="268" spans="1:14" x14ac:dyDescent="0.2">
      <c r="A268" s="99"/>
      <c r="B268" s="100"/>
      <c r="C268" s="100"/>
      <c r="D268" s="100"/>
      <c r="E268" s="100"/>
      <c r="F268" s="100"/>
      <c r="G268" s="100"/>
      <c r="H268" s="100"/>
      <c r="I268" s="100"/>
      <c r="N268" s="35" t="s">
        <v>288</v>
      </c>
    </row>
    <row r="269" spans="1:14" x14ac:dyDescent="0.2">
      <c r="A269" s="99"/>
      <c r="B269" s="100"/>
      <c r="C269" s="100"/>
      <c r="D269" s="100"/>
      <c r="E269" s="100"/>
      <c r="F269" s="100"/>
      <c r="G269" s="100"/>
      <c r="H269" s="100"/>
      <c r="I269" s="100"/>
      <c r="N269" s="35" t="s">
        <v>289</v>
      </c>
    </row>
    <row r="270" spans="1:14" x14ac:dyDescent="0.2">
      <c r="A270" s="99"/>
      <c r="B270" s="100"/>
      <c r="C270" s="100"/>
      <c r="D270" s="100"/>
      <c r="E270" s="100"/>
      <c r="F270" s="100"/>
      <c r="G270" s="100"/>
      <c r="H270" s="100"/>
      <c r="I270" s="100"/>
      <c r="N270" s="35" t="s">
        <v>290</v>
      </c>
    </row>
    <row r="271" spans="1:14" x14ac:dyDescent="0.2">
      <c r="A271" s="99"/>
      <c r="B271" s="100"/>
      <c r="C271" s="100"/>
      <c r="D271" s="100"/>
      <c r="E271" s="100"/>
      <c r="F271" s="100"/>
      <c r="G271" s="100"/>
      <c r="H271" s="100"/>
      <c r="I271" s="100"/>
      <c r="N271" s="35" t="s">
        <v>291</v>
      </c>
    </row>
    <row r="272" spans="1:14" x14ac:dyDescent="0.2">
      <c r="A272" s="99"/>
      <c r="B272" s="100"/>
      <c r="C272" s="100"/>
      <c r="D272" s="100"/>
      <c r="E272" s="100"/>
      <c r="F272" s="100"/>
      <c r="G272" s="100"/>
      <c r="H272" s="100"/>
      <c r="I272" s="100"/>
      <c r="N272" s="35" t="s">
        <v>292</v>
      </c>
    </row>
    <row r="273" spans="1:14" x14ac:dyDescent="0.2">
      <c r="A273" s="99"/>
      <c r="B273" s="100"/>
      <c r="C273" s="100"/>
      <c r="D273" s="100"/>
      <c r="E273" s="100"/>
      <c r="F273" s="100"/>
      <c r="G273" s="100"/>
      <c r="H273" s="100"/>
      <c r="I273" s="100"/>
      <c r="N273" s="35" t="s">
        <v>293</v>
      </c>
    </row>
    <row r="274" spans="1:14" x14ac:dyDescent="0.2">
      <c r="A274" s="99"/>
      <c r="B274" s="100"/>
      <c r="C274" s="100"/>
      <c r="D274" s="100"/>
      <c r="E274" s="100"/>
      <c r="F274" s="100"/>
      <c r="G274" s="100"/>
      <c r="H274" s="100"/>
      <c r="I274" s="100"/>
      <c r="N274" s="35" t="s">
        <v>294</v>
      </c>
    </row>
    <row r="275" spans="1:14" x14ac:dyDescent="0.2">
      <c r="A275" s="99"/>
      <c r="B275" s="100"/>
      <c r="C275" s="100"/>
      <c r="D275" s="100"/>
      <c r="E275" s="100"/>
      <c r="F275" s="100"/>
      <c r="G275" s="100"/>
      <c r="H275" s="100"/>
      <c r="I275" s="100"/>
      <c r="N275" s="35" t="s">
        <v>538</v>
      </c>
    </row>
    <row r="276" spans="1:14" x14ac:dyDescent="0.2">
      <c r="A276" s="99"/>
      <c r="B276" s="100"/>
      <c r="C276" s="100"/>
      <c r="D276" s="100"/>
      <c r="E276" s="100"/>
      <c r="F276" s="100"/>
      <c r="G276" s="100"/>
      <c r="H276" s="100"/>
      <c r="I276" s="100"/>
      <c r="N276" s="35" t="s">
        <v>295</v>
      </c>
    </row>
    <row r="277" spans="1:14" x14ac:dyDescent="0.2">
      <c r="A277" s="99"/>
      <c r="B277" s="100"/>
      <c r="C277" s="100"/>
      <c r="D277" s="100"/>
      <c r="E277" s="100"/>
      <c r="F277" s="100"/>
      <c r="G277" s="100"/>
      <c r="H277" s="100"/>
      <c r="I277" s="100"/>
      <c r="N277" s="35" t="s">
        <v>296</v>
      </c>
    </row>
    <row r="278" spans="1:14" x14ac:dyDescent="0.2">
      <c r="A278" s="99"/>
      <c r="B278" s="100"/>
      <c r="C278" s="100"/>
      <c r="D278" s="100"/>
      <c r="E278" s="100"/>
      <c r="F278" s="100"/>
      <c r="G278" s="100"/>
      <c r="H278" s="100"/>
      <c r="I278" s="100"/>
      <c r="N278" s="35" t="s">
        <v>297</v>
      </c>
    </row>
    <row r="279" spans="1:14" x14ac:dyDescent="0.2">
      <c r="A279" s="99"/>
      <c r="B279" s="100"/>
      <c r="C279" s="100"/>
      <c r="D279" s="100"/>
      <c r="E279" s="100"/>
      <c r="F279" s="100"/>
      <c r="G279" s="100"/>
      <c r="H279" s="100"/>
      <c r="I279" s="100"/>
      <c r="N279" s="35" t="s">
        <v>298</v>
      </c>
    </row>
    <row r="280" spans="1:14" x14ac:dyDescent="0.2">
      <c r="A280" s="99"/>
      <c r="B280" s="100"/>
      <c r="C280" s="100"/>
      <c r="D280" s="100"/>
      <c r="E280" s="100"/>
      <c r="F280" s="100"/>
      <c r="G280" s="100"/>
      <c r="H280" s="100"/>
      <c r="I280" s="100"/>
      <c r="N280" s="35" t="s">
        <v>299</v>
      </c>
    </row>
    <row r="281" spans="1:14" x14ac:dyDescent="0.2">
      <c r="A281" s="99"/>
      <c r="B281" s="100"/>
      <c r="C281" s="100"/>
      <c r="D281" s="100"/>
      <c r="E281" s="100"/>
      <c r="F281" s="100"/>
      <c r="G281" s="100"/>
      <c r="H281" s="100"/>
      <c r="I281" s="100"/>
      <c r="N281" s="35" t="s">
        <v>300</v>
      </c>
    </row>
    <row r="282" spans="1:14" x14ac:dyDescent="0.2">
      <c r="A282" s="99"/>
      <c r="B282" s="100"/>
      <c r="C282" s="100"/>
      <c r="D282" s="100"/>
      <c r="E282" s="100"/>
      <c r="F282" s="100"/>
      <c r="G282" s="100"/>
      <c r="H282" s="100"/>
      <c r="I282" s="100"/>
      <c r="N282" s="35" t="s">
        <v>301</v>
      </c>
    </row>
    <row r="283" spans="1:14" x14ac:dyDescent="0.2">
      <c r="A283" s="99"/>
      <c r="B283" s="100"/>
      <c r="C283" s="100"/>
      <c r="D283" s="100"/>
      <c r="E283" s="100"/>
      <c r="F283" s="100"/>
      <c r="G283" s="100"/>
      <c r="H283" s="100"/>
      <c r="I283" s="100"/>
      <c r="N283" s="35" t="s">
        <v>302</v>
      </c>
    </row>
    <row r="284" spans="1:14" x14ac:dyDescent="0.2">
      <c r="A284" s="99"/>
      <c r="B284" s="100"/>
      <c r="C284" s="100"/>
      <c r="D284" s="100"/>
      <c r="E284" s="100"/>
      <c r="F284" s="100"/>
      <c r="G284" s="100"/>
      <c r="H284" s="100"/>
      <c r="I284" s="100"/>
      <c r="N284" s="35" t="s">
        <v>303</v>
      </c>
    </row>
    <row r="285" spans="1:14" x14ac:dyDescent="0.2">
      <c r="A285" s="99"/>
      <c r="B285" s="100"/>
      <c r="C285" s="100"/>
      <c r="D285" s="100"/>
      <c r="E285" s="100"/>
      <c r="F285" s="100"/>
      <c r="G285" s="100"/>
      <c r="H285" s="100"/>
      <c r="I285" s="100"/>
      <c r="L285" s="101"/>
      <c r="M285" s="101"/>
      <c r="N285" s="35" t="s">
        <v>304</v>
      </c>
    </row>
    <row r="286" spans="1:14" x14ac:dyDescent="0.2">
      <c r="A286" s="99"/>
      <c r="B286" s="100"/>
      <c r="C286" s="100"/>
      <c r="D286" s="100"/>
      <c r="E286" s="100"/>
      <c r="F286" s="100"/>
      <c r="G286" s="100"/>
      <c r="H286" s="100"/>
      <c r="I286" s="100"/>
      <c r="N286" s="35" t="s">
        <v>305</v>
      </c>
    </row>
    <row r="287" spans="1:14" x14ac:dyDescent="0.2">
      <c r="A287" s="99"/>
      <c r="B287" s="100"/>
      <c r="C287" s="100"/>
      <c r="D287" s="100"/>
      <c r="E287" s="100"/>
      <c r="F287" s="100"/>
      <c r="G287" s="100"/>
      <c r="H287" s="100"/>
      <c r="I287" s="100"/>
      <c r="N287" s="35" t="s">
        <v>306</v>
      </c>
    </row>
    <row r="288" spans="1:14" x14ac:dyDescent="0.2">
      <c r="A288" s="99"/>
      <c r="B288" s="100"/>
      <c r="C288" s="100"/>
      <c r="D288" s="100"/>
      <c r="E288" s="100"/>
      <c r="F288" s="100"/>
      <c r="G288" s="100"/>
      <c r="H288" s="100"/>
      <c r="I288" s="100"/>
      <c r="N288" s="35" t="s">
        <v>307</v>
      </c>
    </row>
    <row r="289" spans="1:14" x14ac:dyDescent="0.2">
      <c r="A289" s="99"/>
      <c r="B289" s="100"/>
      <c r="C289" s="100"/>
      <c r="D289" s="100"/>
      <c r="E289" s="100"/>
      <c r="F289" s="100"/>
      <c r="G289" s="100"/>
      <c r="H289" s="100"/>
      <c r="I289" s="100"/>
      <c r="N289" s="35" t="s">
        <v>308</v>
      </c>
    </row>
    <row r="290" spans="1:14" x14ac:dyDescent="0.2">
      <c r="A290" s="99"/>
      <c r="B290" s="100"/>
      <c r="C290" s="100"/>
      <c r="D290" s="100"/>
      <c r="E290" s="100"/>
      <c r="F290" s="100"/>
      <c r="G290" s="100"/>
      <c r="H290" s="100"/>
      <c r="I290" s="100"/>
      <c r="N290" s="35" t="s">
        <v>309</v>
      </c>
    </row>
    <row r="291" spans="1:14" x14ac:dyDescent="0.2">
      <c r="A291" s="99"/>
      <c r="B291" s="100"/>
      <c r="C291" s="100"/>
      <c r="D291" s="100"/>
      <c r="E291" s="100"/>
      <c r="F291" s="100"/>
      <c r="G291" s="100"/>
      <c r="H291" s="100"/>
      <c r="I291" s="100"/>
      <c r="N291" s="35" t="s">
        <v>310</v>
      </c>
    </row>
    <row r="292" spans="1:14" x14ac:dyDescent="0.2">
      <c r="A292" s="99"/>
      <c r="B292" s="100"/>
      <c r="C292" s="100"/>
      <c r="D292" s="100"/>
      <c r="E292" s="100"/>
      <c r="F292" s="100"/>
      <c r="G292" s="100"/>
      <c r="H292" s="100"/>
      <c r="I292" s="100"/>
      <c r="N292" s="35" t="s">
        <v>311</v>
      </c>
    </row>
    <row r="293" spans="1:14" x14ac:dyDescent="0.2">
      <c r="A293" s="99"/>
      <c r="B293" s="100"/>
      <c r="C293" s="100"/>
      <c r="D293" s="100"/>
      <c r="E293" s="100"/>
      <c r="F293" s="100"/>
      <c r="G293" s="100"/>
      <c r="H293" s="100"/>
      <c r="I293" s="100"/>
      <c r="N293" s="35" t="s">
        <v>312</v>
      </c>
    </row>
    <row r="294" spans="1:14" x14ac:dyDescent="0.2">
      <c r="A294" s="99"/>
      <c r="B294" s="100"/>
      <c r="C294" s="100"/>
      <c r="D294" s="100"/>
      <c r="E294" s="100"/>
      <c r="F294" s="100"/>
      <c r="G294" s="100"/>
      <c r="H294" s="100"/>
      <c r="I294" s="100"/>
      <c r="N294" s="35" t="s">
        <v>537</v>
      </c>
    </row>
    <row r="295" spans="1:14" x14ac:dyDescent="0.2">
      <c r="A295" s="99"/>
      <c r="B295" s="100"/>
      <c r="C295" s="100"/>
      <c r="D295" s="100"/>
      <c r="E295" s="100"/>
      <c r="F295" s="100"/>
      <c r="G295" s="100"/>
      <c r="H295" s="100"/>
      <c r="I295" s="100"/>
      <c r="N295" s="35" t="s">
        <v>313</v>
      </c>
    </row>
    <row r="296" spans="1:14" x14ac:dyDescent="0.2">
      <c r="A296" s="99"/>
      <c r="B296" s="100"/>
      <c r="C296" s="100"/>
      <c r="D296" s="100"/>
      <c r="E296" s="100"/>
      <c r="F296" s="100"/>
      <c r="G296" s="100"/>
      <c r="H296" s="100"/>
      <c r="I296" s="100"/>
      <c r="N296" s="35" t="s">
        <v>314</v>
      </c>
    </row>
    <row r="297" spans="1:14" x14ac:dyDescent="0.2">
      <c r="A297" s="99"/>
      <c r="B297" s="100"/>
      <c r="C297" s="100"/>
      <c r="D297" s="100"/>
      <c r="E297" s="100"/>
      <c r="F297" s="100"/>
      <c r="G297" s="100"/>
      <c r="H297" s="100"/>
      <c r="I297" s="100"/>
      <c r="N297" s="35" t="s">
        <v>315</v>
      </c>
    </row>
    <row r="298" spans="1:14" x14ac:dyDescent="0.2">
      <c r="A298" s="99"/>
      <c r="B298" s="100"/>
      <c r="C298" s="100"/>
      <c r="D298" s="100"/>
      <c r="E298" s="100"/>
      <c r="F298" s="100"/>
      <c r="G298" s="100"/>
      <c r="H298" s="100"/>
      <c r="I298" s="100"/>
      <c r="N298" s="35" t="s">
        <v>316</v>
      </c>
    </row>
    <row r="299" spans="1:14" x14ac:dyDescent="0.2">
      <c r="A299" s="99"/>
      <c r="B299" s="100"/>
      <c r="C299" s="100"/>
      <c r="D299" s="100"/>
      <c r="E299" s="100"/>
      <c r="F299" s="100"/>
      <c r="G299" s="100"/>
      <c r="H299" s="100"/>
      <c r="I299" s="100"/>
      <c r="N299" s="35" t="s">
        <v>317</v>
      </c>
    </row>
    <row r="300" spans="1:14" x14ac:dyDescent="0.2">
      <c r="A300" s="99"/>
      <c r="B300" s="100"/>
      <c r="C300" s="100"/>
      <c r="D300" s="100"/>
      <c r="E300" s="100"/>
      <c r="F300" s="100"/>
      <c r="G300" s="100"/>
      <c r="H300" s="100"/>
      <c r="I300" s="100"/>
      <c r="N300" s="35" t="s">
        <v>318</v>
      </c>
    </row>
    <row r="301" spans="1:14" x14ac:dyDescent="0.2">
      <c r="A301" s="99"/>
      <c r="B301" s="100"/>
      <c r="C301" s="100"/>
      <c r="D301" s="100"/>
      <c r="E301" s="100"/>
      <c r="F301" s="100"/>
      <c r="G301" s="100"/>
      <c r="H301" s="100"/>
      <c r="I301" s="100"/>
      <c r="N301" s="35" t="s">
        <v>319</v>
      </c>
    </row>
    <row r="302" spans="1:14" x14ac:dyDescent="0.2">
      <c r="A302" s="99"/>
      <c r="B302" s="100"/>
      <c r="C302" s="100"/>
      <c r="D302" s="100"/>
      <c r="E302" s="100"/>
      <c r="F302" s="100"/>
      <c r="G302" s="100"/>
      <c r="H302" s="100"/>
      <c r="I302" s="100"/>
      <c r="N302" s="35" t="s">
        <v>536</v>
      </c>
    </row>
    <row r="303" spans="1:14" x14ac:dyDescent="0.2">
      <c r="A303" s="99"/>
      <c r="B303" s="100"/>
      <c r="C303" s="100"/>
      <c r="D303" s="100"/>
      <c r="E303" s="100"/>
      <c r="F303" s="100"/>
      <c r="G303" s="100"/>
      <c r="H303" s="100"/>
      <c r="I303" s="100"/>
      <c r="N303" s="35" t="s">
        <v>320</v>
      </c>
    </row>
    <row r="304" spans="1:14" x14ac:dyDescent="0.2">
      <c r="A304" s="99"/>
      <c r="B304" s="100"/>
      <c r="C304" s="100"/>
      <c r="D304" s="100"/>
      <c r="E304" s="100"/>
      <c r="F304" s="100"/>
      <c r="G304" s="100"/>
      <c r="H304" s="100"/>
      <c r="I304" s="100"/>
      <c r="N304" s="35" t="s">
        <v>321</v>
      </c>
    </row>
    <row r="305" spans="1:14" x14ac:dyDescent="0.2">
      <c r="A305" s="99"/>
      <c r="B305" s="100"/>
      <c r="C305" s="100"/>
      <c r="D305" s="100"/>
      <c r="E305" s="100"/>
      <c r="F305" s="100"/>
      <c r="G305" s="100"/>
      <c r="H305" s="100"/>
      <c r="I305" s="100"/>
      <c r="N305" s="35" t="s">
        <v>322</v>
      </c>
    </row>
    <row r="306" spans="1:14" x14ac:dyDescent="0.2">
      <c r="A306" s="99"/>
      <c r="B306" s="100"/>
      <c r="C306" s="100"/>
      <c r="D306" s="100"/>
      <c r="E306" s="100"/>
      <c r="F306" s="100"/>
      <c r="G306" s="100"/>
      <c r="H306" s="100"/>
      <c r="I306" s="100"/>
      <c r="N306" s="35" t="s">
        <v>535</v>
      </c>
    </row>
    <row r="307" spans="1:14" x14ac:dyDescent="0.2">
      <c r="A307" s="99"/>
      <c r="B307" s="100"/>
      <c r="C307" s="100"/>
      <c r="D307" s="100"/>
      <c r="E307" s="100"/>
      <c r="F307" s="100"/>
      <c r="G307" s="100"/>
      <c r="H307" s="100"/>
      <c r="I307" s="100"/>
      <c r="N307" s="35" t="s">
        <v>323</v>
      </c>
    </row>
    <row r="308" spans="1:14" x14ac:dyDescent="0.2">
      <c r="A308" s="99"/>
      <c r="B308" s="100"/>
      <c r="C308" s="100"/>
      <c r="D308" s="100"/>
      <c r="E308" s="100"/>
      <c r="F308" s="100"/>
      <c r="G308" s="100"/>
      <c r="H308" s="100"/>
      <c r="I308" s="100"/>
      <c r="N308" s="35" t="s">
        <v>324</v>
      </c>
    </row>
    <row r="309" spans="1:14" x14ac:dyDescent="0.2">
      <c r="A309" s="99"/>
      <c r="B309" s="100"/>
      <c r="C309" s="100"/>
      <c r="D309" s="100"/>
      <c r="E309" s="100"/>
      <c r="F309" s="100"/>
      <c r="G309" s="100"/>
      <c r="H309" s="100"/>
      <c r="I309" s="100"/>
      <c r="N309" s="35" t="s">
        <v>325</v>
      </c>
    </row>
    <row r="310" spans="1:14" x14ac:dyDescent="0.2">
      <c r="A310" s="99"/>
      <c r="B310" s="100"/>
      <c r="C310" s="100"/>
      <c r="D310" s="100"/>
      <c r="E310" s="100"/>
      <c r="F310" s="100"/>
      <c r="G310" s="100"/>
      <c r="H310" s="100"/>
      <c r="I310" s="100"/>
      <c r="N310" s="35" t="s">
        <v>326</v>
      </c>
    </row>
    <row r="311" spans="1:14" x14ac:dyDescent="0.2">
      <c r="A311" s="99"/>
      <c r="B311" s="100"/>
      <c r="C311" s="100"/>
      <c r="D311" s="100"/>
      <c r="E311" s="100"/>
      <c r="F311" s="100"/>
      <c r="G311" s="100"/>
      <c r="H311" s="100"/>
      <c r="I311" s="100"/>
      <c r="N311" s="35" t="s">
        <v>327</v>
      </c>
    </row>
    <row r="312" spans="1:14" x14ac:dyDescent="0.2">
      <c r="A312" s="99"/>
      <c r="B312" s="100"/>
      <c r="C312" s="100"/>
      <c r="D312" s="100"/>
      <c r="E312" s="100"/>
      <c r="F312" s="100"/>
      <c r="G312" s="100"/>
      <c r="H312" s="100"/>
      <c r="I312" s="100"/>
      <c r="N312" s="35" t="s">
        <v>328</v>
      </c>
    </row>
    <row r="313" spans="1:14" x14ac:dyDescent="0.2">
      <c r="A313" s="99"/>
      <c r="B313" s="100"/>
      <c r="C313" s="100"/>
      <c r="D313" s="100"/>
      <c r="E313" s="100"/>
      <c r="F313" s="100"/>
      <c r="G313" s="100"/>
      <c r="H313" s="100"/>
      <c r="I313" s="100"/>
      <c r="N313" s="35" t="s">
        <v>329</v>
      </c>
    </row>
    <row r="314" spans="1:14" x14ac:dyDescent="0.2">
      <c r="A314" s="99"/>
      <c r="B314" s="100"/>
      <c r="C314" s="100"/>
      <c r="D314" s="100"/>
      <c r="E314" s="100"/>
      <c r="F314" s="100"/>
      <c r="G314" s="100"/>
      <c r="H314" s="100"/>
      <c r="I314" s="100"/>
      <c r="N314" s="35" t="s">
        <v>330</v>
      </c>
    </row>
    <row r="315" spans="1:14" x14ac:dyDescent="0.2">
      <c r="A315" s="99"/>
      <c r="B315" s="100"/>
      <c r="C315" s="100"/>
      <c r="D315" s="100"/>
      <c r="E315" s="100"/>
      <c r="F315" s="100"/>
      <c r="G315" s="100"/>
      <c r="H315" s="100"/>
      <c r="I315" s="100"/>
      <c r="N315" s="35" t="s">
        <v>331</v>
      </c>
    </row>
    <row r="316" spans="1:14" x14ac:dyDescent="0.2">
      <c r="A316" s="99"/>
      <c r="B316" s="100"/>
      <c r="C316" s="100"/>
      <c r="D316" s="100"/>
      <c r="E316" s="100"/>
      <c r="F316" s="100"/>
      <c r="G316" s="100"/>
      <c r="H316" s="100"/>
      <c r="I316" s="100"/>
      <c r="N316" s="35" t="s">
        <v>332</v>
      </c>
    </row>
    <row r="317" spans="1:14" x14ac:dyDescent="0.2">
      <c r="A317" s="99"/>
      <c r="B317" s="100"/>
      <c r="C317" s="100"/>
      <c r="D317" s="100"/>
      <c r="E317" s="100"/>
      <c r="F317" s="100"/>
      <c r="G317" s="100"/>
      <c r="H317" s="100"/>
      <c r="I317" s="100"/>
      <c r="N317" s="35" t="s">
        <v>333</v>
      </c>
    </row>
    <row r="318" spans="1:14" x14ac:dyDescent="0.2">
      <c r="A318" s="99"/>
      <c r="B318" s="100"/>
      <c r="C318" s="100"/>
      <c r="D318" s="100"/>
      <c r="E318" s="100"/>
      <c r="F318" s="100"/>
      <c r="G318" s="100"/>
      <c r="H318" s="100"/>
      <c r="I318" s="100"/>
      <c r="N318" s="35" t="s">
        <v>334</v>
      </c>
    </row>
    <row r="319" spans="1:14" x14ac:dyDescent="0.2">
      <c r="A319" s="99"/>
      <c r="B319" s="100"/>
      <c r="C319" s="100"/>
      <c r="D319" s="100"/>
      <c r="E319" s="100"/>
      <c r="F319" s="100"/>
      <c r="G319" s="100"/>
      <c r="H319" s="100"/>
      <c r="I319" s="100"/>
      <c r="N319" s="35" t="s">
        <v>335</v>
      </c>
    </row>
    <row r="320" spans="1:14" x14ac:dyDescent="0.2">
      <c r="A320" s="99"/>
      <c r="B320" s="100"/>
      <c r="C320" s="100"/>
      <c r="D320" s="100"/>
      <c r="E320" s="100"/>
      <c r="F320" s="100"/>
      <c r="G320" s="100"/>
      <c r="H320" s="100"/>
      <c r="I320" s="100"/>
      <c r="N320" s="35" t="s">
        <v>336</v>
      </c>
    </row>
    <row r="321" spans="1:14" x14ac:dyDescent="0.2">
      <c r="A321" s="99"/>
      <c r="B321" s="100"/>
      <c r="C321" s="100"/>
      <c r="D321" s="100"/>
      <c r="E321" s="100"/>
      <c r="F321" s="100"/>
      <c r="G321" s="100"/>
      <c r="H321" s="100"/>
      <c r="I321" s="100"/>
      <c r="N321" s="35" t="s">
        <v>337</v>
      </c>
    </row>
    <row r="322" spans="1:14" x14ac:dyDescent="0.2">
      <c r="A322" s="99"/>
      <c r="B322" s="100"/>
      <c r="C322" s="100"/>
      <c r="D322" s="100"/>
      <c r="E322" s="100"/>
      <c r="F322" s="100"/>
      <c r="G322" s="100"/>
      <c r="H322" s="100"/>
      <c r="I322" s="100"/>
      <c r="N322" s="35" t="s">
        <v>338</v>
      </c>
    </row>
    <row r="323" spans="1:14" x14ac:dyDescent="0.2">
      <c r="A323" s="99"/>
      <c r="B323" s="100"/>
      <c r="C323" s="100"/>
      <c r="D323" s="100"/>
      <c r="E323" s="100"/>
      <c r="F323" s="100"/>
      <c r="G323" s="100"/>
      <c r="H323" s="100"/>
      <c r="I323" s="100"/>
      <c r="N323" s="35" t="s">
        <v>339</v>
      </c>
    </row>
    <row r="324" spans="1:14" x14ac:dyDescent="0.2">
      <c r="A324" s="99"/>
      <c r="B324" s="100"/>
      <c r="C324" s="100"/>
      <c r="D324" s="100"/>
      <c r="E324" s="100"/>
      <c r="F324" s="100"/>
      <c r="G324" s="100"/>
      <c r="H324" s="100"/>
      <c r="I324" s="100"/>
      <c r="N324" s="35" t="s">
        <v>340</v>
      </c>
    </row>
    <row r="325" spans="1:14" x14ac:dyDescent="0.2">
      <c r="A325" s="99"/>
      <c r="B325" s="100"/>
      <c r="C325" s="100"/>
      <c r="D325" s="100"/>
      <c r="E325" s="100"/>
      <c r="F325" s="100"/>
      <c r="G325" s="100"/>
      <c r="H325" s="100"/>
      <c r="I325" s="100"/>
      <c r="N325" s="35" t="s">
        <v>341</v>
      </c>
    </row>
    <row r="326" spans="1:14" x14ac:dyDescent="0.2">
      <c r="A326" s="99"/>
      <c r="B326" s="100"/>
      <c r="C326" s="100"/>
      <c r="D326" s="100"/>
      <c r="E326" s="100"/>
      <c r="F326" s="100"/>
      <c r="G326" s="100"/>
      <c r="H326" s="100"/>
      <c r="I326" s="100"/>
      <c r="N326" s="35" t="s">
        <v>342</v>
      </c>
    </row>
    <row r="327" spans="1:14" x14ac:dyDescent="0.2">
      <c r="A327" s="99"/>
      <c r="B327" s="100"/>
      <c r="C327" s="100"/>
      <c r="D327" s="100"/>
      <c r="E327" s="100"/>
      <c r="F327" s="100"/>
      <c r="G327" s="100"/>
      <c r="H327" s="100"/>
      <c r="I327" s="100"/>
      <c r="N327" s="35" t="s">
        <v>342</v>
      </c>
    </row>
    <row r="328" spans="1:14" x14ac:dyDescent="0.2">
      <c r="A328" s="99"/>
      <c r="B328" s="100"/>
      <c r="C328" s="100"/>
      <c r="D328" s="100"/>
      <c r="E328" s="100"/>
      <c r="F328" s="100"/>
      <c r="G328" s="100"/>
      <c r="H328" s="100"/>
      <c r="I328" s="100"/>
      <c r="N328" s="35" t="s">
        <v>343</v>
      </c>
    </row>
    <row r="329" spans="1:14" x14ac:dyDescent="0.2">
      <c r="A329" s="99"/>
      <c r="B329" s="100"/>
      <c r="C329" s="100"/>
      <c r="D329" s="100"/>
      <c r="E329" s="100"/>
      <c r="F329" s="100"/>
      <c r="G329" s="100"/>
      <c r="H329" s="100"/>
      <c r="I329" s="100"/>
      <c r="N329" s="35" t="s">
        <v>344</v>
      </c>
    </row>
    <row r="330" spans="1:14" x14ac:dyDescent="0.2">
      <c r="A330" s="99"/>
      <c r="B330" s="100"/>
      <c r="C330" s="100"/>
      <c r="D330" s="100"/>
      <c r="E330" s="100"/>
      <c r="F330" s="100"/>
      <c r="G330" s="100"/>
      <c r="H330" s="100"/>
      <c r="I330" s="100"/>
      <c r="N330" s="35" t="s">
        <v>345</v>
      </c>
    </row>
    <row r="331" spans="1:14" x14ac:dyDescent="0.2">
      <c r="A331" s="99"/>
      <c r="B331" s="100"/>
      <c r="C331" s="100"/>
      <c r="D331" s="100"/>
      <c r="E331" s="100"/>
      <c r="F331" s="100"/>
      <c r="G331" s="100"/>
      <c r="H331" s="100"/>
      <c r="I331" s="100"/>
      <c r="N331" s="35" t="s">
        <v>346</v>
      </c>
    </row>
    <row r="332" spans="1:14" x14ac:dyDescent="0.2">
      <c r="A332" s="99"/>
      <c r="B332" s="100"/>
      <c r="C332" s="100"/>
      <c r="D332" s="100"/>
      <c r="E332" s="100"/>
      <c r="F332" s="100"/>
      <c r="G332" s="100"/>
      <c r="H332" s="100"/>
      <c r="I332" s="100"/>
      <c r="N332" s="35" t="s">
        <v>347</v>
      </c>
    </row>
    <row r="333" spans="1:14" x14ac:dyDescent="0.2">
      <c r="A333" s="99"/>
      <c r="B333" s="100"/>
      <c r="C333" s="100"/>
      <c r="D333" s="100"/>
      <c r="E333" s="100"/>
      <c r="F333" s="100"/>
      <c r="G333" s="100"/>
      <c r="H333" s="100"/>
      <c r="I333" s="100"/>
      <c r="N333" s="35" t="s">
        <v>348</v>
      </c>
    </row>
    <row r="334" spans="1:14" x14ac:dyDescent="0.2">
      <c r="A334" s="99"/>
      <c r="B334" s="100"/>
      <c r="C334" s="100"/>
      <c r="D334" s="100"/>
      <c r="E334" s="100"/>
      <c r="F334" s="100"/>
      <c r="G334" s="100"/>
      <c r="H334" s="100"/>
      <c r="I334" s="100"/>
      <c r="N334" s="35" t="s">
        <v>349</v>
      </c>
    </row>
    <row r="335" spans="1:14" x14ac:dyDescent="0.2">
      <c r="A335" s="99"/>
      <c r="B335" s="100"/>
      <c r="C335" s="100"/>
      <c r="D335" s="100"/>
      <c r="E335" s="100"/>
      <c r="F335" s="100"/>
      <c r="G335" s="100"/>
      <c r="H335" s="100"/>
      <c r="I335" s="100"/>
      <c r="N335" s="35" t="s">
        <v>534</v>
      </c>
    </row>
    <row r="336" spans="1:14" x14ac:dyDescent="0.2">
      <c r="A336" s="99"/>
      <c r="B336" s="100"/>
      <c r="C336" s="100"/>
      <c r="D336" s="100"/>
      <c r="E336" s="100"/>
      <c r="F336" s="100"/>
      <c r="G336" s="100"/>
      <c r="H336" s="100"/>
      <c r="I336" s="100"/>
      <c r="N336" s="35" t="s">
        <v>350</v>
      </c>
    </row>
    <row r="337" spans="1:14" x14ac:dyDescent="0.2">
      <c r="A337" s="99"/>
      <c r="B337" s="100"/>
      <c r="C337" s="100"/>
      <c r="D337" s="100"/>
      <c r="E337" s="100"/>
      <c r="F337" s="100"/>
      <c r="G337" s="100"/>
      <c r="H337" s="100"/>
      <c r="I337" s="100"/>
      <c r="N337" s="35" t="s">
        <v>351</v>
      </c>
    </row>
    <row r="338" spans="1:14" x14ac:dyDescent="0.2">
      <c r="A338" s="99"/>
      <c r="B338" s="100"/>
      <c r="C338" s="100"/>
      <c r="D338" s="100"/>
      <c r="E338" s="100"/>
      <c r="F338" s="100"/>
      <c r="G338" s="100"/>
      <c r="H338" s="100"/>
      <c r="I338" s="100"/>
      <c r="N338" s="35" t="s">
        <v>352</v>
      </c>
    </row>
    <row r="339" spans="1:14" x14ac:dyDescent="0.2">
      <c r="A339" s="99"/>
      <c r="B339" s="100"/>
      <c r="C339" s="100"/>
      <c r="D339" s="100"/>
      <c r="E339" s="100"/>
      <c r="F339" s="100"/>
      <c r="G339" s="100"/>
      <c r="H339" s="100"/>
      <c r="I339" s="100"/>
      <c r="N339" s="35" t="s">
        <v>354</v>
      </c>
    </row>
    <row r="340" spans="1:14" x14ac:dyDescent="0.2">
      <c r="A340" s="99"/>
      <c r="B340" s="100"/>
      <c r="C340" s="100"/>
      <c r="D340" s="100"/>
      <c r="E340" s="100"/>
      <c r="F340" s="100"/>
      <c r="G340" s="100"/>
      <c r="H340" s="100"/>
      <c r="I340" s="100"/>
      <c r="N340" s="35" t="s">
        <v>353</v>
      </c>
    </row>
    <row r="341" spans="1:14" x14ac:dyDescent="0.2">
      <c r="A341" s="99"/>
      <c r="B341" s="100"/>
      <c r="C341" s="100"/>
      <c r="D341" s="100"/>
      <c r="E341" s="100"/>
      <c r="F341" s="100"/>
      <c r="G341" s="100"/>
      <c r="H341" s="100"/>
      <c r="I341" s="100"/>
      <c r="N341" s="35" t="s">
        <v>355</v>
      </c>
    </row>
    <row r="342" spans="1:14" x14ac:dyDescent="0.2">
      <c r="A342" s="99"/>
      <c r="B342" s="100"/>
      <c r="C342" s="100"/>
      <c r="D342" s="100"/>
      <c r="E342" s="100"/>
      <c r="F342" s="100"/>
      <c r="G342" s="100"/>
      <c r="H342" s="100"/>
      <c r="I342" s="100"/>
      <c r="N342" s="35" t="s">
        <v>356</v>
      </c>
    </row>
    <row r="343" spans="1:14" x14ac:dyDescent="0.2">
      <c r="A343" s="99"/>
      <c r="B343" s="100"/>
      <c r="C343" s="100"/>
      <c r="D343" s="100"/>
      <c r="E343" s="100"/>
      <c r="F343" s="100"/>
      <c r="G343" s="100"/>
      <c r="H343" s="100"/>
      <c r="I343" s="100"/>
      <c r="N343" s="35" t="s">
        <v>357</v>
      </c>
    </row>
    <row r="344" spans="1:14" x14ac:dyDescent="0.2">
      <c r="A344" s="99"/>
      <c r="B344" s="100"/>
      <c r="C344" s="100"/>
      <c r="D344" s="100"/>
      <c r="E344" s="100"/>
      <c r="F344" s="100"/>
      <c r="G344" s="100"/>
      <c r="H344" s="100"/>
      <c r="I344" s="100"/>
      <c r="N344" s="35" t="s">
        <v>358</v>
      </c>
    </row>
    <row r="345" spans="1:14" x14ac:dyDescent="0.2">
      <c r="A345" s="99"/>
      <c r="B345" s="100"/>
      <c r="C345" s="100"/>
      <c r="D345" s="100"/>
      <c r="E345" s="100"/>
      <c r="F345" s="100"/>
      <c r="G345" s="100"/>
      <c r="H345" s="100"/>
      <c r="I345" s="100"/>
      <c r="N345" s="35" t="s">
        <v>359</v>
      </c>
    </row>
    <row r="346" spans="1:14" x14ac:dyDescent="0.2">
      <c r="A346" s="99"/>
      <c r="B346" s="100"/>
      <c r="C346" s="100"/>
      <c r="D346" s="100"/>
      <c r="E346" s="100"/>
      <c r="F346" s="100"/>
      <c r="G346" s="100"/>
      <c r="H346" s="100"/>
      <c r="I346" s="100"/>
      <c r="N346" s="35" t="s">
        <v>360</v>
      </c>
    </row>
    <row r="347" spans="1:14" x14ac:dyDescent="0.2">
      <c r="A347" s="99"/>
      <c r="B347" s="100"/>
      <c r="C347" s="100"/>
      <c r="D347" s="100"/>
      <c r="E347" s="100"/>
      <c r="F347" s="100"/>
      <c r="G347" s="100"/>
      <c r="H347" s="100"/>
      <c r="I347" s="100"/>
      <c r="N347" s="35" t="s">
        <v>361</v>
      </c>
    </row>
    <row r="348" spans="1:14" x14ac:dyDescent="0.2">
      <c r="A348" s="99"/>
      <c r="B348" s="100"/>
      <c r="C348" s="100"/>
      <c r="D348" s="100"/>
      <c r="E348" s="100"/>
      <c r="F348" s="100"/>
      <c r="G348" s="100"/>
      <c r="H348" s="100"/>
      <c r="I348" s="100"/>
      <c r="N348" s="35" t="s">
        <v>362</v>
      </c>
    </row>
    <row r="349" spans="1:14" x14ac:dyDescent="0.2">
      <c r="A349" s="99"/>
      <c r="B349" s="100"/>
      <c r="C349" s="100"/>
      <c r="D349" s="100"/>
      <c r="E349" s="100"/>
      <c r="F349" s="100"/>
      <c r="G349" s="100"/>
      <c r="H349" s="100"/>
      <c r="I349" s="100"/>
      <c r="N349" s="35" t="s">
        <v>363</v>
      </c>
    </row>
    <row r="350" spans="1:14" x14ac:dyDescent="0.2">
      <c r="A350" s="99"/>
      <c r="B350" s="100"/>
      <c r="C350" s="100"/>
      <c r="D350" s="100"/>
      <c r="E350" s="100"/>
      <c r="F350" s="100"/>
      <c r="G350" s="100"/>
      <c r="H350" s="100"/>
      <c r="I350" s="100"/>
      <c r="N350" s="35" t="s">
        <v>364</v>
      </c>
    </row>
    <row r="351" spans="1:14" x14ac:dyDescent="0.2">
      <c r="A351" s="99"/>
      <c r="B351" s="100"/>
      <c r="C351" s="100"/>
      <c r="D351" s="100"/>
      <c r="E351" s="100"/>
      <c r="F351" s="100"/>
      <c r="G351" s="100"/>
      <c r="H351" s="100"/>
      <c r="I351" s="100"/>
      <c r="N351" s="35" t="s">
        <v>365</v>
      </c>
    </row>
    <row r="352" spans="1:14" x14ac:dyDescent="0.2">
      <c r="A352" s="99"/>
      <c r="B352" s="100"/>
      <c r="C352" s="100"/>
      <c r="D352" s="100"/>
      <c r="E352" s="100"/>
      <c r="F352" s="100"/>
      <c r="G352" s="100"/>
      <c r="H352" s="100"/>
      <c r="I352" s="100"/>
      <c r="N352" s="35" t="s">
        <v>366</v>
      </c>
    </row>
    <row r="353" spans="1:14" x14ac:dyDescent="0.2">
      <c r="A353" s="99"/>
      <c r="B353" s="100"/>
      <c r="C353" s="100"/>
      <c r="D353" s="100"/>
      <c r="E353" s="100"/>
      <c r="F353" s="100"/>
      <c r="G353" s="100"/>
      <c r="H353" s="100"/>
      <c r="I353" s="100"/>
      <c r="N353" s="35" t="s">
        <v>367</v>
      </c>
    </row>
    <row r="354" spans="1:14" x14ac:dyDescent="0.2">
      <c r="A354" s="99"/>
      <c r="B354" s="100"/>
      <c r="C354" s="100"/>
      <c r="D354" s="100"/>
      <c r="E354" s="100"/>
      <c r="F354" s="100"/>
      <c r="G354" s="100"/>
      <c r="H354" s="100"/>
      <c r="I354" s="100"/>
      <c r="N354" s="35" t="s">
        <v>368</v>
      </c>
    </row>
    <row r="355" spans="1:14" x14ac:dyDescent="0.2">
      <c r="A355" s="99"/>
      <c r="B355" s="100"/>
      <c r="C355" s="100"/>
      <c r="D355" s="100"/>
      <c r="E355" s="100"/>
      <c r="F355" s="100"/>
      <c r="G355" s="100"/>
      <c r="H355" s="100"/>
      <c r="I355" s="100"/>
      <c r="N355" s="35" t="s">
        <v>369</v>
      </c>
    </row>
    <row r="356" spans="1:14" x14ac:dyDescent="0.2">
      <c r="A356" s="99"/>
      <c r="B356" s="100"/>
      <c r="C356" s="100"/>
      <c r="D356" s="100"/>
      <c r="E356" s="100"/>
      <c r="F356" s="100"/>
      <c r="G356" s="100"/>
      <c r="H356" s="100"/>
      <c r="I356" s="100"/>
      <c r="N356" s="35" t="s">
        <v>370</v>
      </c>
    </row>
    <row r="357" spans="1:14" x14ac:dyDescent="0.2">
      <c r="A357" s="99"/>
      <c r="B357" s="100"/>
      <c r="C357" s="100"/>
      <c r="D357" s="100"/>
      <c r="E357" s="100"/>
      <c r="F357" s="100"/>
      <c r="G357" s="100"/>
      <c r="H357" s="100"/>
      <c r="I357" s="100"/>
      <c r="N357" s="35" t="s">
        <v>371</v>
      </c>
    </row>
    <row r="358" spans="1:14" x14ac:dyDescent="0.2">
      <c r="A358" s="99"/>
      <c r="B358" s="100"/>
      <c r="C358" s="100"/>
      <c r="D358" s="100"/>
      <c r="E358" s="100"/>
      <c r="F358" s="100"/>
      <c r="G358" s="100"/>
      <c r="H358" s="100"/>
      <c r="I358" s="100"/>
      <c r="N358" s="35" t="s">
        <v>372</v>
      </c>
    </row>
    <row r="359" spans="1:14" x14ac:dyDescent="0.2">
      <c r="A359" s="99"/>
      <c r="B359" s="100"/>
      <c r="C359" s="100"/>
      <c r="D359" s="100"/>
      <c r="E359" s="100"/>
      <c r="F359" s="100"/>
      <c r="G359" s="100"/>
      <c r="H359" s="100"/>
      <c r="I359" s="100"/>
      <c r="N359" s="35" t="s">
        <v>373</v>
      </c>
    </row>
    <row r="360" spans="1:14" x14ac:dyDescent="0.2">
      <c r="A360" s="99"/>
      <c r="B360" s="100"/>
      <c r="C360" s="100"/>
      <c r="D360" s="100"/>
      <c r="E360" s="100"/>
      <c r="F360" s="100"/>
      <c r="G360" s="100"/>
      <c r="H360" s="100"/>
      <c r="I360" s="100"/>
      <c r="N360" s="35" t="s">
        <v>374</v>
      </c>
    </row>
    <row r="361" spans="1:14" x14ac:dyDescent="0.2">
      <c r="A361" s="99"/>
      <c r="B361" s="100"/>
      <c r="C361" s="100"/>
      <c r="D361" s="100"/>
      <c r="E361" s="100"/>
      <c r="F361" s="100"/>
      <c r="G361" s="100"/>
      <c r="H361" s="100"/>
      <c r="I361" s="100"/>
      <c r="N361" s="35" t="s">
        <v>375</v>
      </c>
    </row>
    <row r="362" spans="1:14" x14ac:dyDescent="0.2">
      <c r="A362" s="99"/>
      <c r="B362" s="100"/>
      <c r="C362" s="100"/>
      <c r="D362" s="100"/>
      <c r="E362" s="100"/>
      <c r="F362" s="100"/>
      <c r="G362" s="100"/>
      <c r="H362" s="100"/>
      <c r="I362" s="100"/>
      <c r="N362" s="35" t="s">
        <v>376</v>
      </c>
    </row>
    <row r="363" spans="1:14" x14ac:dyDescent="0.2">
      <c r="A363" s="99"/>
      <c r="B363" s="100"/>
      <c r="C363" s="100"/>
      <c r="D363" s="100"/>
      <c r="E363" s="100"/>
      <c r="F363" s="100"/>
      <c r="G363" s="100"/>
      <c r="H363" s="100"/>
      <c r="I363" s="100"/>
      <c r="N363" s="35" t="s">
        <v>377</v>
      </c>
    </row>
    <row r="364" spans="1:14" x14ac:dyDescent="0.2">
      <c r="A364" s="99"/>
      <c r="B364" s="100"/>
      <c r="C364" s="100"/>
      <c r="D364" s="100"/>
      <c r="E364" s="100"/>
      <c r="F364" s="100"/>
      <c r="G364" s="100"/>
      <c r="H364" s="100"/>
      <c r="I364" s="100"/>
      <c r="N364" s="35" t="s">
        <v>378</v>
      </c>
    </row>
    <row r="365" spans="1:14" x14ac:dyDescent="0.2">
      <c r="A365" s="99"/>
      <c r="B365" s="100"/>
      <c r="C365" s="100"/>
      <c r="D365" s="100"/>
      <c r="E365" s="100"/>
      <c r="F365" s="100"/>
      <c r="G365" s="100"/>
      <c r="H365" s="100"/>
      <c r="I365" s="100"/>
      <c r="N365" s="35" t="s">
        <v>379</v>
      </c>
    </row>
    <row r="366" spans="1:14" x14ac:dyDescent="0.2">
      <c r="A366" s="99"/>
      <c r="B366" s="100"/>
      <c r="C366" s="100"/>
      <c r="D366" s="100"/>
      <c r="E366" s="100"/>
      <c r="F366" s="100"/>
      <c r="G366" s="100"/>
      <c r="H366" s="100"/>
      <c r="I366" s="100"/>
      <c r="N366" s="35" t="s">
        <v>533</v>
      </c>
    </row>
    <row r="367" spans="1:14" x14ac:dyDescent="0.2">
      <c r="A367" s="99"/>
      <c r="B367" s="100"/>
      <c r="C367" s="100"/>
      <c r="D367" s="100"/>
      <c r="E367" s="100"/>
      <c r="F367" s="100"/>
      <c r="G367" s="100"/>
      <c r="H367" s="100"/>
      <c r="I367" s="100"/>
      <c r="N367" s="35" t="s">
        <v>380</v>
      </c>
    </row>
    <row r="368" spans="1:14" x14ac:dyDescent="0.2">
      <c r="A368" s="99"/>
      <c r="B368" s="100"/>
      <c r="C368" s="100"/>
      <c r="D368" s="100"/>
      <c r="E368" s="100"/>
      <c r="F368" s="100"/>
      <c r="G368" s="100"/>
      <c r="H368" s="100"/>
      <c r="I368" s="100"/>
      <c r="N368" s="35" t="s">
        <v>532</v>
      </c>
    </row>
    <row r="369" spans="1:14" x14ac:dyDescent="0.2">
      <c r="A369" s="99"/>
      <c r="B369" s="100"/>
      <c r="C369" s="100"/>
      <c r="D369" s="100"/>
      <c r="E369" s="100"/>
      <c r="F369" s="100"/>
      <c r="G369" s="100"/>
      <c r="H369" s="100"/>
      <c r="I369" s="100"/>
      <c r="N369" s="35" t="s">
        <v>381</v>
      </c>
    </row>
    <row r="370" spans="1:14" x14ac:dyDescent="0.2">
      <c r="A370" s="99"/>
      <c r="B370" s="100"/>
      <c r="C370" s="100"/>
      <c r="D370" s="100"/>
      <c r="E370" s="100"/>
      <c r="F370" s="100"/>
      <c r="G370" s="100"/>
      <c r="H370" s="100"/>
      <c r="I370" s="100"/>
      <c r="N370" s="35" t="s">
        <v>382</v>
      </c>
    </row>
    <row r="371" spans="1:14" x14ac:dyDescent="0.2">
      <c r="A371" s="99"/>
      <c r="B371" s="100"/>
      <c r="C371" s="100"/>
      <c r="D371" s="100"/>
      <c r="E371" s="100"/>
      <c r="F371" s="100"/>
      <c r="G371" s="100"/>
      <c r="H371" s="100"/>
      <c r="I371" s="100"/>
      <c r="N371" s="35" t="s">
        <v>383</v>
      </c>
    </row>
    <row r="372" spans="1:14" x14ac:dyDescent="0.2">
      <c r="A372" s="99"/>
      <c r="B372" s="100"/>
      <c r="C372" s="100"/>
      <c r="D372" s="100"/>
      <c r="E372" s="100"/>
      <c r="F372" s="100"/>
      <c r="G372" s="100"/>
      <c r="H372" s="100"/>
      <c r="I372" s="100"/>
      <c r="N372" s="35" t="s">
        <v>384</v>
      </c>
    </row>
    <row r="373" spans="1:14" x14ac:dyDescent="0.2">
      <c r="A373" s="99"/>
      <c r="B373" s="100"/>
      <c r="C373" s="100"/>
      <c r="D373" s="100"/>
      <c r="E373" s="100"/>
      <c r="F373" s="100"/>
      <c r="G373" s="100"/>
      <c r="H373" s="100"/>
      <c r="I373" s="100"/>
      <c r="N373" s="35" t="s">
        <v>385</v>
      </c>
    </row>
    <row r="374" spans="1:14" x14ac:dyDescent="0.2">
      <c r="A374" s="99"/>
      <c r="B374" s="100"/>
      <c r="C374" s="100"/>
      <c r="D374" s="100"/>
      <c r="E374" s="100"/>
      <c r="F374" s="100"/>
      <c r="G374" s="100"/>
      <c r="H374" s="100"/>
      <c r="I374" s="100"/>
      <c r="N374" s="35" t="s">
        <v>386</v>
      </c>
    </row>
    <row r="375" spans="1:14" x14ac:dyDescent="0.2">
      <c r="A375" s="99"/>
      <c r="B375" s="100"/>
      <c r="C375" s="100"/>
      <c r="D375" s="100"/>
      <c r="E375" s="100"/>
      <c r="F375" s="100"/>
      <c r="G375" s="100"/>
      <c r="H375" s="100"/>
      <c r="I375" s="100"/>
      <c r="N375" s="35" t="s">
        <v>387</v>
      </c>
    </row>
    <row r="376" spans="1:14" x14ac:dyDescent="0.2">
      <c r="A376" s="99"/>
      <c r="B376" s="100"/>
      <c r="C376" s="100"/>
      <c r="D376" s="100"/>
      <c r="E376" s="100"/>
      <c r="F376" s="100"/>
      <c r="G376" s="100"/>
      <c r="H376" s="100"/>
      <c r="I376" s="100"/>
      <c r="N376" s="35" t="s">
        <v>388</v>
      </c>
    </row>
    <row r="377" spans="1:14" x14ac:dyDescent="0.2">
      <c r="A377" s="99"/>
      <c r="B377" s="100"/>
      <c r="C377" s="100"/>
      <c r="D377" s="100"/>
      <c r="E377" s="100"/>
      <c r="F377" s="100"/>
      <c r="G377" s="100"/>
      <c r="H377" s="100"/>
      <c r="I377" s="100"/>
      <c r="N377" s="35" t="s">
        <v>389</v>
      </c>
    </row>
    <row r="378" spans="1:14" x14ac:dyDescent="0.2">
      <c r="A378" s="99"/>
      <c r="B378" s="100"/>
      <c r="C378" s="100"/>
      <c r="D378" s="100"/>
      <c r="E378" s="100"/>
      <c r="F378" s="100"/>
      <c r="G378" s="100"/>
      <c r="H378" s="100"/>
      <c r="I378" s="100"/>
      <c r="N378" s="35" t="s">
        <v>390</v>
      </c>
    </row>
    <row r="379" spans="1:14" x14ac:dyDescent="0.2">
      <c r="A379" s="99"/>
      <c r="B379" s="100"/>
      <c r="C379" s="100"/>
      <c r="D379" s="100"/>
      <c r="E379" s="100"/>
      <c r="F379" s="100"/>
      <c r="G379" s="100"/>
      <c r="H379" s="100"/>
      <c r="I379" s="100"/>
      <c r="N379" s="35" t="s">
        <v>391</v>
      </c>
    </row>
    <row r="380" spans="1:14" x14ac:dyDescent="0.2">
      <c r="A380" s="99"/>
      <c r="B380" s="100"/>
      <c r="C380" s="100"/>
      <c r="D380" s="100"/>
      <c r="E380" s="100"/>
      <c r="F380" s="100"/>
      <c r="G380" s="100"/>
      <c r="H380" s="100"/>
      <c r="I380" s="100"/>
      <c r="N380" s="35" t="s">
        <v>392</v>
      </c>
    </row>
    <row r="381" spans="1:14" x14ac:dyDescent="0.2">
      <c r="A381" s="99"/>
      <c r="B381" s="100"/>
      <c r="C381" s="100"/>
      <c r="D381" s="100"/>
      <c r="E381" s="100"/>
      <c r="F381" s="100"/>
      <c r="G381" s="100"/>
      <c r="H381" s="100"/>
      <c r="I381" s="100"/>
      <c r="N381" s="35" t="s">
        <v>393</v>
      </c>
    </row>
    <row r="382" spans="1:14" x14ac:dyDescent="0.2">
      <c r="A382" s="99"/>
      <c r="B382" s="100"/>
      <c r="C382" s="100"/>
      <c r="D382" s="100"/>
      <c r="E382" s="100"/>
      <c r="F382" s="100"/>
      <c r="G382" s="100"/>
      <c r="H382" s="100"/>
      <c r="I382" s="100"/>
      <c r="N382" s="35" t="s">
        <v>394</v>
      </c>
    </row>
    <row r="383" spans="1:14" x14ac:dyDescent="0.2">
      <c r="A383" s="99"/>
      <c r="B383" s="100"/>
      <c r="C383" s="100"/>
      <c r="D383" s="100"/>
      <c r="E383" s="100"/>
      <c r="F383" s="100"/>
      <c r="G383" s="100"/>
      <c r="H383" s="100"/>
      <c r="I383" s="100"/>
      <c r="N383" s="35" t="s">
        <v>395</v>
      </c>
    </row>
    <row r="384" spans="1:14" x14ac:dyDescent="0.2">
      <c r="A384" s="99"/>
      <c r="B384" s="100"/>
      <c r="C384" s="100"/>
      <c r="D384" s="100"/>
      <c r="E384" s="100"/>
      <c r="F384" s="100"/>
      <c r="G384" s="100"/>
      <c r="H384" s="100"/>
      <c r="I384" s="100"/>
      <c r="N384" s="35" t="s">
        <v>396</v>
      </c>
    </row>
    <row r="385" spans="1:14" x14ac:dyDescent="0.2">
      <c r="A385" s="99"/>
      <c r="B385" s="100"/>
      <c r="C385" s="100"/>
      <c r="D385" s="100"/>
      <c r="E385" s="100"/>
      <c r="F385" s="100"/>
      <c r="G385" s="100"/>
      <c r="H385" s="100"/>
      <c r="I385" s="100"/>
      <c r="N385" s="35" t="s">
        <v>397</v>
      </c>
    </row>
    <row r="386" spans="1:14" x14ac:dyDescent="0.2">
      <c r="A386" s="99"/>
      <c r="B386" s="100"/>
      <c r="C386" s="100"/>
      <c r="D386" s="100"/>
      <c r="E386" s="100"/>
      <c r="F386" s="100"/>
      <c r="G386" s="100"/>
      <c r="H386" s="100"/>
      <c r="I386" s="100"/>
      <c r="N386" s="35" t="s">
        <v>398</v>
      </c>
    </row>
    <row r="387" spans="1:14" x14ac:dyDescent="0.2">
      <c r="A387" s="99"/>
      <c r="B387" s="100"/>
      <c r="C387" s="100"/>
      <c r="D387" s="100"/>
      <c r="E387" s="100"/>
      <c r="F387" s="100"/>
      <c r="G387" s="100"/>
      <c r="N387" s="35" t="s">
        <v>399</v>
      </c>
    </row>
    <row r="388" spans="1:14" x14ac:dyDescent="0.2">
      <c r="A388" s="99"/>
      <c r="B388" s="100"/>
      <c r="C388" s="100"/>
      <c r="D388" s="100"/>
      <c r="E388" s="100"/>
      <c r="F388" s="100"/>
      <c r="G388" s="100"/>
      <c r="N388" s="35" t="s">
        <v>400</v>
      </c>
    </row>
    <row r="389" spans="1:14" x14ac:dyDescent="0.2">
      <c r="A389" s="99"/>
      <c r="B389" s="100"/>
      <c r="C389" s="100"/>
      <c r="D389" s="100"/>
      <c r="E389" s="100"/>
      <c r="F389" s="100"/>
      <c r="G389" s="100"/>
      <c r="N389" s="35" t="s">
        <v>401</v>
      </c>
    </row>
    <row r="390" spans="1:14" x14ac:dyDescent="0.2">
      <c r="A390" s="99"/>
      <c r="B390" s="100"/>
      <c r="C390" s="100"/>
      <c r="D390" s="100"/>
      <c r="E390" s="100"/>
      <c r="F390" s="100"/>
      <c r="G390" s="100"/>
      <c r="N390" s="35" t="s">
        <v>531</v>
      </c>
    </row>
    <row r="391" spans="1:14" x14ac:dyDescent="0.2">
      <c r="A391" s="99"/>
      <c r="B391" s="100"/>
      <c r="C391" s="100"/>
      <c r="D391" s="100"/>
      <c r="E391" s="100"/>
      <c r="F391" s="100"/>
      <c r="G391" s="100"/>
      <c r="N391" s="35" t="s">
        <v>530</v>
      </c>
    </row>
    <row r="392" spans="1:14" x14ac:dyDescent="0.2">
      <c r="A392" s="99"/>
      <c r="B392" s="100"/>
      <c r="C392" s="100"/>
      <c r="D392" s="100"/>
      <c r="E392" s="100"/>
      <c r="F392" s="100"/>
      <c r="G392" s="100"/>
      <c r="N392" s="35" t="s">
        <v>529</v>
      </c>
    </row>
    <row r="393" spans="1:14" x14ac:dyDescent="0.2">
      <c r="A393" s="99"/>
      <c r="B393" s="100"/>
      <c r="C393" s="100"/>
      <c r="D393" s="100"/>
      <c r="E393" s="100"/>
      <c r="F393" s="100"/>
      <c r="G393" s="100"/>
      <c r="N393" s="35" t="s">
        <v>528</v>
      </c>
    </row>
    <row r="394" spans="1:14" x14ac:dyDescent="0.2">
      <c r="A394" s="99"/>
      <c r="B394" s="100"/>
      <c r="C394" s="100"/>
      <c r="D394" s="100"/>
      <c r="E394" s="100"/>
      <c r="F394" s="100"/>
      <c r="G394" s="100"/>
      <c r="N394" s="35" t="s">
        <v>527</v>
      </c>
    </row>
    <row r="395" spans="1:14" x14ac:dyDescent="0.2">
      <c r="A395" s="99"/>
      <c r="B395" s="100"/>
      <c r="C395" s="100"/>
      <c r="D395" s="100"/>
      <c r="E395" s="100"/>
      <c r="F395" s="100"/>
      <c r="G395" s="100"/>
      <c r="N395" s="35" t="s">
        <v>526</v>
      </c>
    </row>
    <row r="396" spans="1:14" x14ac:dyDescent="0.2">
      <c r="A396" s="99"/>
      <c r="B396" s="100"/>
      <c r="C396" s="100"/>
      <c r="D396" s="100"/>
      <c r="E396" s="100"/>
      <c r="F396" s="100"/>
      <c r="G396" s="100"/>
      <c r="N396" s="35" t="s">
        <v>213</v>
      </c>
    </row>
    <row r="397" spans="1:14" x14ac:dyDescent="0.2">
      <c r="A397" s="99"/>
      <c r="B397" s="100"/>
      <c r="C397" s="100"/>
      <c r="D397" s="100"/>
      <c r="E397" s="100"/>
      <c r="F397" s="100"/>
      <c r="G397" s="100"/>
      <c r="N397" s="35" t="s">
        <v>402</v>
      </c>
    </row>
    <row r="398" spans="1:14" x14ac:dyDescent="0.2">
      <c r="A398" s="99"/>
      <c r="B398" s="100"/>
      <c r="C398" s="100"/>
      <c r="D398" s="100"/>
      <c r="E398" s="100"/>
      <c r="F398" s="100"/>
      <c r="G398" s="100"/>
      <c r="N398" s="35" t="s">
        <v>403</v>
      </c>
    </row>
    <row r="399" spans="1:14" x14ac:dyDescent="0.2">
      <c r="A399" s="99"/>
      <c r="B399" s="100"/>
      <c r="C399" s="100"/>
      <c r="D399" s="100"/>
      <c r="E399" s="100"/>
      <c r="F399" s="100"/>
      <c r="G399" s="100"/>
      <c r="N399" s="35" t="s">
        <v>404</v>
      </c>
    </row>
    <row r="400" spans="1:14" x14ac:dyDescent="0.2">
      <c r="A400" s="99"/>
      <c r="B400" s="100"/>
      <c r="C400" s="100"/>
      <c r="D400" s="100"/>
      <c r="E400" s="100"/>
      <c r="F400" s="100"/>
      <c r="G400" s="100"/>
      <c r="N400" s="35" t="s">
        <v>405</v>
      </c>
    </row>
    <row r="401" spans="1:14" x14ac:dyDescent="0.2">
      <c r="A401" s="99"/>
      <c r="B401" s="100"/>
      <c r="C401" s="100"/>
      <c r="D401" s="100"/>
      <c r="E401" s="100"/>
      <c r="F401" s="100"/>
      <c r="G401" s="100"/>
      <c r="N401" s="35" t="s">
        <v>406</v>
      </c>
    </row>
    <row r="402" spans="1:14" x14ac:dyDescent="0.2">
      <c r="A402" s="99"/>
      <c r="B402" s="100"/>
      <c r="C402" s="100"/>
      <c r="D402" s="100"/>
      <c r="E402" s="100"/>
      <c r="F402" s="100"/>
      <c r="G402" s="100"/>
      <c r="N402" s="35" t="s">
        <v>407</v>
      </c>
    </row>
    <row r="403" spans="1:14" x14ac:dyDescent="0.2">
      <c r="A403" s="99"/>
      <c r="B403" s="100"/>
      <c r="C403" s="100"/>
      <c r="D403" s="100"/>
      <c r="E403" s="100"/>
      <c r="F403" s="100"/>
      <c r="G403" s="100"/>
      <c r="N403" s="35" t="s">
        <v>408</v>
      </c>
    </row>
    <row r="404" spans="1:14" x14ac:dyDescent="0.2">
      <c r="A404" s="99"/>
      <c r="B404" s="100"/>
      <c r="C404" s="100"/>
      <c r="D404" s="100"/>
      <c r="E404" s="100"/>
      <c r="F404" s="100"/>
      <c r="G404" s="100"/>
      <c r="N404" s="35" t="s">
        <v>409</v>
      </c>
    </row>
    <row r="405" spans="1:14" x14ac:dyDescent="0.2">
      <c r="A405" s="99"/>
      <c r="B405" s="100"/>
      <c r="C405" s="100"/>
      <c r="D405" s="100"/>
      <c r="E405" s="100"/>
      <c r="F405" s="100"/>
      <c r="G405" s="100"/>
      <c r="N405" s="35" t="s">
        <v>410</v>
      </c>
    </row>
    <row r="406" spans="1:14" x14ac:dyDescent="0.2">
      <c r="A406" s="99"/>
      <c r="B406" s="100"/>
      <c r="C406" s="100"/>
      <c r="D406" s="100"/>
      <c r="E406" s="100"/>
      <c r="F406" s="100"/>
      <c r="G406" s="100"/>
      <c r="N406" s="35" t="s">
        <v>411</v>
      </c>
    </row>
    <row r="407" spans="1:14" x14ac:dyDescent="0.2">
      <c r="A407" s="99"/>
      <c r="B407" s="100"/>
      <c r="C407" s="100"/>
      <c r="D407" s="100"/>
      <c r="E407" s="100"/>
      <c r="F407" s="100"/>
      <c r="G407" s="100"/>
      <c r="N407" s="35" t="s">
        <v>412</v>
      </c>
    </row>
    <row r="408" spans="1:14" x14ac:dyDescent="0.2">
      <c r="A408" s="99"/>
      <c r="B408" s="100"/>
      <c r="C408" s="100"/>
      <c r="D408" s="100"/>
      <c r="E408" s="100"/>
      <c r="F408" s="100"/>
      <c r="G408" s="100"/>
      <c r="N408" s="35" t="s">
        <v>413</v>
      </c>
    </row>
    <row r="409" spans="1:14" x14ac:dyDescent="0.2">
      <c r="A409" s="99"/>
      <c r="B409" s="100"/>
      <c r="C409" s="100"/>
      <c r="D409" s="100"/>
      <c r="E409" s="100"/>
      <c r="F409" s="100"/>
      <c r="G409" s="100"/>
      <c r="N409" s="35" t="s">
        <v>234</v>
      </c>
    </row>
    <row r="410" spans="1:14" x14ac:dyDescent="0.2">
      <c r="A410" s="99"/>
      <c r="B410" s="100"/>
      <c r="C410" s="100"/>
      <c r="D410" s="100"/>
      <c r="E410" s="100"/>
      <c r="F410" s="100"/>
      <c r="G410" s="100"/>
      <c r="N410" s="35" t="s">
        <v>414</v>
      </c>
    </row>
    <row r="411" spans="1:14" x14ac:dyDescent="0.2">
      <c r="A411" s="99"/>
      <c r="B411" s="100"/>
      <c r="C411" s="100"/>
      <c r="D411" s="100"/>
      <c r="E411" s="100"/>
      <c r="F411" s="100"/>
      <c r="G411" s="100"/>
      <c r="N411" s="35" t="s">
        <v>415</v>
      </c>
    </row>
    <row r="412" spans="1:14" x14ac:dyDescent="0.2">
      <c r="A412" s="99"/>
      <c r="B412" s="100"/>
      <c r="C412" s="100"/>
      <c r="D412" s="100"/>
      <c r="E412" s="100"/>
      <c r="F412" s="100"/>
      <c r="G412" s="100"/>
      <c r="N412" s="35" t="s">
        <v>525</v>
      </c>
    </row>
    <row r="413" spans="1:14" x14ac:dyDescent="0.2">
      <c r="A413" s="99"/>
      <c r="B413" s="100"/>
      <c r="C413" s="100"/>
      <c r="D413" s="100"/>
      <c r="E413" s="100"/>
      <c r="F413" s="100"/>
      <c r="G413" s="100"/>
      <c r="N413" s="35" t="s">
        <v>416</v>
      </c>
    </row>
    <row r="414" spans="1:14" x14ac:dyDescent="0.2">
      <c r="A414" s="99"/>
      <c r="B414" s="100"/>
      <c r="C414" s="100"/>
      <c r="D414" s="100"/>
      <c r="E414" s="100"/>
      <c r="F414" s="100"/>
      <c r="G414" s="100"/>
      <c r="N414" s="35" t="s">
        <v>417</v>
      </c>
    </row>
    <row r="415" spans="1:14" x14ac:dyDescent="0.2">
      <c r="A415" s="99"/>
      <c r="B415" s="100"/>
      <c r="C415" s="100"/>
      <c r="D415" s="100"/>
      <c r="E415" s="100"/>
      <c r="F415" s="100"/>
      <c r="G415" s="100"/>
      <c r="N415" s="35" t="s">
        <v>524</v>
      </c>
    </row>
    <row r="416" spans="1:14" x14ac:dyDescent="0.2">
      <c r="C416" s="100"/>
      <c r="N416" s="35" t="s">
        <v>418</v>
      </c>
    </row>
    <row r="417" spans="14:14" x14ac:dyDescent="0.2">
      <c r="N417" s="35" t="s">
        <v>419</v>
      </c>
    </row>
    <row r="418" spans="14:14" x14ac:dyDescent="0.2">
      <c r="N418" s="35" t="s">
        <v>523</v>
      </c>
    </row>
    <row r="419" spans="14:14" x14ac:dyDescent="0.2">
      <c r="N419" s="35" t="s">
        <v>420</v>
      </c>
    </row>
    <row r="420" spans="14:14" x14ac:dyDescent="0.2">
      <c r="N420" s="35" t="s">
        <v>421</v>
      </c>
    </row>
    <row r="421" spans="14:14" x14ac:dyDescent="0.2">
      <c r="N421" s="35" t="s">
        <v>422</v>
      </c>
    </row>
    <row r="422" spans="14:14" x14ac:dyDescent="0.2">
      <c r="N422" s="35" t="s">
        <v>423</v>
      </c>
    </row>
    <row r="423" spans="14:14" x14ac:dyDescent="0.2">
      <c r="N423" s="35" t="s">
        <v>424</v>
      </c>
    </row>
    <row r="424" spans="14:14" x14ac:dyDescent="0.2">
      <c r="N424" s="35" t="s">
        <v>425</v>
      </c>
    </row>
    <row r="425" spans="14:14" x14ac:dyDescent="0.2">
      <c r="N425" s="35" t="s">
        <v>426</v>
      </c>
    </row>
    <row r="426" spans="14:14" x14ac:dyDescent="0.2">
      <c r="N426" s="35" t="s">
        <v>427</v>
      </c>
    </row>
    <row r="427" spans="14:14" x14ac:dyDescent="0.2">
      <c r="N427" s="35" t="s">
        <v>428</v>
      </c>
    </row>
  </sheetData>
  <sheetProtection sheet="1" objects="1" scenarios="1"/>
  <mergeCells count="2">
    <mergeCell ref="B5:C5"/>
    <mergeCell ref="B7:D7"/>
  </mergeCells>
  <conditionalFormatting sqref="B204:B415">
    <cfRule type="expression" dxfId="10" priority="10" stopIfTrue="1">
      <formula>A204&lt;&gt;""</formula>
    </cfRule>
  </conditionalFormatting>
  <conditionalFormatting sqref="C204:C416">
    <cfRule type="expression" dxfId="9" priority="9" stopIfTrue="1">
      <formula>A204&lt;&gt;""</formula>
    </cfRule>
  </conditionalFormatting>
  <conditionalFormatting sqref="D204:D415">
    <cfRule type="expression" dxfId="8" priority="7" stopIfTrue="1">
      <formula>OR(C204="date",C204="text")</formula>
    </cfRule>
    <cfRule type="expression" dxfId="7" priority="8" stopIfTrue="1">
      <formula>OR(C204="number")</formula>
    </cfRule>
  </conditionalFormatting>
  <conditionalFormatting sqref="E204:E415">
    <cfRule type="expression" dxfId="6" priority="5" stopIfTrue="1">
      <formula>OR(C204="number",C204="text")</formula>
    </cfRule>
    <cfRule type="expression" dxfId="5" priority="6" stopIfTrue="1">
      <formula>OR(C204="datetime")</formula>
    </cfRule>
  </conditionalFormatting>
  <conditionalFormatting sqref="F204:G415">
    <cfRule type="expression" dxfId="4" priority="3" stopIfTrue="1">
      <formula>OR($C204="number", $C204="text")</formula>
    </cfRule>
    <cfRule type="expression" dxfId="3" priority="4" stopIfTrue="1">
      <formula>OR($C204="date")</formula>
    </cfRule>
  </conditionalFormatting>
  <conditionalFormatting sqref="B49:I49">
    <cfRule type="expression" dxfId="2" priority="2" stopIfTrue="1">
      <formula>NOT(ISBLANK($B$51:$B$58))</formula>
    </cfRule>
  </conditionalFormatting>
  <conditionalFormatting sqref="B56:AO59">
    <cfRule type="expression" dxfId="1" priority="1" stopIfTrue="1">
      <formula>NOT(ISBLANK($B$51:$B$58))</formula>
    </cfRule>
  </conditionalFormatting>
  <dataValidations count="5">
    <dataValidation type="list" errorStyle="warning" allowBlank="1" showInputMessage="1" showErrorMessage="1" error="If unit is not in the list, enter it in a similar style" promptTitle="Unit" prompt="For a Number Data Type please select from list.  If it is not in the list then enter it using a format similar to other units in the list." sqref="D204:D415 IZ204:IZ415 SV204:SV415 ACR204:ACR415 AMN204:AMN415 AWJ204:AWJ415 BGF204:BGF415 BQB204:BQB415 BZX204:BZX415 CJT204:CJT415 CTP204:CTP415 DDL204:DDL415 DNH204:DNH415 DXD204:DXD415 EGZ204:EGZ415 EQV204:EQV415 FAR204:FAR415 FKN204:FKN415 FUJ204:FUJ415 GEF204:GEF415 GOB204:GOB415 GXX204:GXX415 HHT204:HHT415 HRP204:HRP415 IBL204:IBL415 ILH204:ILH415 IVD204:IVD415 JEZ204:JEZ415 JOV204:JOV415 JYR204:JYR415 KIN204:KIN415 KSJ204:KSJ415 LCF204:LCF415 LMB204:LMB415 LVX204:LVX415 MFT204:MFT415 MPP204:MPP415 MZL204:MZL415 NJH204:NJH415 NTD204:NTD415 OCZ204:OCZ415 OMV204:OMV415 OWR204:OWR415 PGN204:PGN415 PQJ204:PQJ415 QAF204:QAF415 QKB204:QKB415 QTX204:QTX415 RDT204:RDT415 RNP204:RNP415 RXL204:RXL415 SHH204:SHH415 SRD204:SRD415 TAZ204:TAZ415 TKV204:TKV415 TUR204:TUR415 UEN204:UEN415 UOJ204:UOJ415 UYF204:UYF415 VIB204:VIB415 VRX204:VRX415 WBT204:WBT415 WLP204:WLP415 WVL204:WVL415 D65740:D65951 IZ65740:IZ65951 SV65740:SV65951 ACR65740:ACR65951 AMN65740:AMN65951 AWJ65740:AWJ65951 BGF65740:BGF65951 BQB65740:BQB65951 BZX65740:BZX65951 CJT65740:CJT65951 CTP65740:CTP65951 DDL65740:DDL65951 DNH65740:DNH65951 DXD65740:DXD65951 EGZ65740:EGZ65951 EQV65740:EQV65951 FAR65740:FAR65951 FKN65740:FKN65951 FUJ65740:FUJ65951 GEF65740:GEF65951 GOB65740:GOB65951 GXX65740:GXX65951 HHT65740:HHT65951 HRP65740:HRP65951 IBL65740:IBL65951 ILH65740:ILH65951 IVD65740:IVD65951 JEZ65740:JEZ65951 JOV65740:JOV65951 JYR65740:JYR65951 KIN65740:KIN65951 KSJ65740:KSJ65951 LCF65740:LCF65951 LMB65740:LMB65951 LVX65740:LVX65951 MFT65740:MFT65951 MPP65740:MPP65951 MZL65740:MZL65951 NJH65740:NJH65951 NTD65740:NTD65951 OCZ65740:OCZ65951 OMV65740:OMV65951 OWR65740:OWR65951 PGN65740:PGN65951 PQJ65740:PQJ65951 QAF65740:QAF65951 QKB65740:QKB65951 QTX65740:QTX65951 RDT65740:RDT65951 RNP65740:RNP65951 RXL65740:RXL65951 SHH65740:SHH65951 SRD65740:SRD65951 TAZ65740:TAZ65951 TKV65740:TKV65951 TUR65740:TUR65951 UEN65740:UEN65951 UOJ65740:UOJ65951 UYF65740:UYF65951 VIB65740:VIB65951 VRX65740:VRX65951 WBT65740:WBT65951 WLP65740:WLP65951 WVL65740:WVL65951 D131276:D131487 IZ131276:IZ131487 SV131276:SV131487 ACR131276:ACR131487 AMN131276:AMN131487 AWJ131276:AWJ131487 BGF131276:BGF131487 BQB131276:BQB131487 BZX131276:BZX131487 CJT131276:CJT131487 CTP131276:CTP131487 DDL131276:DDL131487 DNH131276:DNH131487 DXD131276:DXD131487 EGZ131276:EGZ131487 EQV131276:EQV131487 FAR131276:FAR131487 FKN131276:FKN131487 FUJ131276:FUJ131487 GEF131276:GEF131487 GOB131276:GOB131487 GXX131276:GXX131487 HHT131276:HHT131487 HRP131276:HRP131487 IBL131276:IBL131487 ILH131276:ILH131487 IVD131276:IVD131487 JEZ131276:JEZ131487 JOV131276:JOV131487 JYR131276:JYR131487 KIN131276:KIN131487 KSJ131276:KSJ131487 LCF131276:LCF131487 LMB131276:LMB131487 LVX131276:LVX131487 MFT131276:MFT131487 MPP131276:MPP131487 MZL131276:MZL131487 NJH131276:NJH131487 NTD131276:NTD131487 OCZ131276:OCZ131487 OMV131276:OMV131487 OWR131276:OWR131487 PGN131276:PGN131487 PQJ131276:PQJ131487 QAF131276:QAF131487 QKB131276:QKB131487 QTX131276:QTX131487 RDT131276:RDT131487 RNP131276:RNP131487 RXL131276:RXL131487 SHH131276:SHH131487 SRD131276:SRD131487 TAZ131276:TAZ131487 TKV131276:TKV131487 TUR131276:TUR131487 UEN131276:UEN131487 UOJ131276:UOJ131487 UYF131276:UYF131487 VIB131276:VIB131487 VRX131276:VRX131487 WBT131276:WBT131487 WLP131276:WLP131487 WVL131276:WVL131487 D196812:D197023 IZ196812:IZ197023 SV196812:SV197023 ACR196812:ACR197023 AMN196812:AMN197023 AWJ196812:AWJ197023 BGF196812:BGF197023 BQB196812:BQB197023 BZX196812:BZX197023 CJT196812:CJT197023 CTP196812:CTP197023 DDL196812:DDL197023 DNH196812:DNH197023 DXD196812:DXD197023 EGZ196812:EGZ197023 EQV196812:EQV197023 FAR196812:FAR197023 FKN196812:FKN197023 FUJ196812:FUJ197023 GEF196812:GEF197023 GOB196812:GOB197023 GXX196812:GXX197023 HHT196812:HHT197023 HRP196812:HRP197023 IBL196812:IBL197023 ILH196812:ILH197023 IVD196812:IVD197023 JEZ196812:JEZ197023 JOV196812:JOV197023 JYR196812:JYR197023 KIN196812:KIN197023 KSJ196812:KSJ197023 LCF196812:LCF197023 LMB196812:LMB197023 LVX196812:LVX197023 MFT196812:MFT197023 MPP196812:MPP197023 MZL196812:MZL197023 NJH196812:NJH197023 NTD196812:NTD197023 OCZ196812:OCZ197023 OMV196812:OMV197023 OWR196812:OWR197023 PGN196812:PGN197023 PQJ196812:PQJ197023 QAF196812:QAF197023 QKB196812:QKB197023 QTX196812:QTX197023 RDT196812:RDT197023 RNP196812:RNP197023 RXL196812:RXL197023 SHH196812:SHH197023 SRD196812:SRD197023 TAZ196812:TAZ197023 TKV196812:TKV197023 TUR196812:TUR197023 UEN196812:UEN197023 UOJ196812:UOJ197023 UYF196812:UYF197023 VIB196812:VIB197023 VRX196812:VRX197023 WBT196812:WBT197023 WLP196812:WLP197023 WVL196812:WVL197023 D262348:D262559 IZ262348:IZ262559 SV262348:SV262559 ACR262348:ACR262559 AMN262348:AMN262559 AWJ262348:AWJ262559 BGF262348:BGF262559 BQB262348:BQB262559 BZX262348:BZX262559 CJT262348:CJT262559 CTP262348:CTP262559 DDL262348:DDL262559 DNH262348:DNH262559 DXD262348:DXD262559 EGZ262348:EGZ262559 EQV262348:EQV262559 FAR262348:FAR262559 FKN262348:FKN262559 FUJ262348:FUJ262559 GEF262348:GEF262559 GOB262348:GOB262559 GXX262348:GXX262559 HHT262348:HHT262559 HRP262348:HRP262559 IBL262348:IBL262559 ILH262348:ILH262559 IVD262348:IVD262559 JEZ262348:JEZ262559 JOV262348:JOV262559 JYR262348:JYR262559 KIN262348:KIN262559 KSJ262348:KSJ262559 LCF262348:LCF262559 LMB262348:LMB262559 LVX262348:LVX262559 MFT262348:MFT262559 MPP262348:MPP262559 MZL262348:MZL262559 NJH262348:NJH262559 NTD262348:NTD262559 OCZ262348:OCZ262559 OMV262348:OMV262559 OWR262348:OWR262559 PGN262348:PGN262559 PQJ262348:PQJ262559 QAF262348:QAF262559 QKB262348:QKB262559 QTX262348:QTX262559 RDT262348:RDT262559 RNP262348:RNP262559 RXL262348:RXL262559 SHH262348:SHH262559 SRD262348:SRD262559 TAZ262348:TAZ262559 TKV262348:TKV262559 TUR262348:TUR262559 UEN262348:UEN262559 UOJ262348:UOJ262559 UYF262348:UYF262559 VIB262348:VIB262559 VRX262348:VRX262559 WBT262348:WBT262559 WLP262348:WLP262559 WVL262348:WVL262559 D327884:D328095 IZ327884:IZ328095 SV327884:SV328095 ACR327884:ACR328095 AMN327884:AMN328095 AWJ327884:AWJ328095 BGF327884:BGF328095 BQB327884:BQB328095 BZX327884:BZX328095 CJT327884:CJT328095 CTP327884:CTP328095 DDL327884:DDL328095 DNH327884:DNH328095 DXD327884:DXD328095 EGZ327884:EGZ328095 EQV327884:EQV328095 FAR327884:FAR328095 FKN327884:FKN328095 FUJ327884:FUJ328095 GEF327884:GEF328095 GOB327884:GOB328095 GXX327884:GXX328095 HHT327884:HHT328095 HRP327884:HRP328095 IBL327884:IBL328095 ILH327884:ILH328095 IVD327884:IVD328095 JEZ327884:JEZ328095 JOV327884:JOV328095 JYR327884:JYR328095 KIN327884:KIN328095 KSJ327884:KSJ328095 LCF327884:LCF328095 LMB327884:LMB328095 LVX327884:LVX328095 MFT327884:MFT328095 MPP327884:MPP328095 MZL327884:MZL328095 NJH327884:NJH328095 NTD327884:NTD328095 OCZ327884:OCZ328095 OMV327884:OMV328095 OWR327884:OWR328095 PGN327884:PGN328095 PQJ327884:PQJ328095 QAF327884:QAF328095 QKB327884:QKB328095 QTX327884:QTX328095 RDT327884:RDT328095 RNP327884:RNP328095 RXL327884:RXL328095 SHH327884:SHH328095 SRD327884:SRD328095 TAZ327884:TAZ328095 TKV327884:TKV328095 TUR327884:TUR328095 UEN327884:UEN328095 UOJ327884:UOJ328095 UYF327884:UYF328095 VIB327884:VIB328095 VRX327884:VRX328095 WBT327884:WBT328095 WLP327884:WLP328095 WVL327884:WVL328095 D393420:D393631 IZ393420:IZ393631 SV393420:SV393631 ACR393420:ACR393631 AMN393420:AMN393631 AWJ393420:AWJ393631 BGF393420:BGF393631 BQB393420:BQB393631 BZX393420:BZX393631 CJT393420:CJT393631 CTP393420:CTP393631 DDL393420:DDL393631 DNH393420:DNH393631 DXD393420:DXD393631 EGZ393420:EGZ393631 EQV393420:EQV393631 FAR393420:FAR393631 FKN393420:FKN393631 FUJ393420:FUJ393631 GEF393420:GEF393631 GOB393420:GOB393631 GXX393420:GXX393631 HHT393420:HHT393631 HRP393420:HRP393631 IBL393420:IBL393631 ILH393420:ILH393631 IVD393420:IVD393631 JEZ393420:JEZ393631 JOV393420:JOV393631 JYR393420:JYR393631 KIN393420:KIN393631 KSJ393420:KSJ393631 LCF393420:LCF393631 LMB393420:LMB393631 LVX393420:LVX393631 MFT393420:MFT393631 MPP393420:MPP393631 MZL393420:MZL393631 NJH393420:NJH393631 NTD393420:NTD393631 OCZ393420:OCZ393631 OMV393420:OMV393631 OWR393420:OWR393631 PGN393420:PGN393631 PQJ393420:PQJ393631 QAF393420:QAF393631 QKB393420:QKB393631 QTX393420:QTX393631 RDT393420:RDT393631 RNP393420:RNP393631 RXL393420:RXL393631 SHH393420:SHH393631 SRD393420:SRD393631 TAZ393420:TAZ393631 TKV393420:TKV393631 TUR393420:TUR393631 UEN393420:UEN393631 UOJ393420:UOJ393631 UYF393420:UYF393631 VIB393420:VIB393631 VRX393420:VRX393631 WBT393420:WBT393631 WLP393420:WLP393631 WVL393420:WVL393631 D458956:D459167 IZ458956:IZ459167 SV458956:SV459167 ACR458956:ACR459167 AMN458956:AMN459167 AWJ458956:AWJ459167 BGF458956:BGF459167 BQB458956:BQB459167 BZX458956:BZX459167 CJT458956:CJT459167 CTP458956:CTP459167 DDL458956:DDL459167 DNH458956:DNH459167 DXD458956:DXD459167 EGZ458956:EGZ459167 EQV458956:EQV459167 FAR458956:FAR459167 FKN458956:FKN459167 FUJ458956:FUJ459167 GEF458956:GEF459167 GOB458956:GOB459167 GXX458956:GXX459167 HHT458956:HHT459167 HRP458956:HRP459167 IBL458956:IBL459167 ILH458956:ILH459167 IVD458956:IVD459167 JEZ458956:JEZ459167 JOV458956:JOV459167 JYR458956:JYR459167 KIN458956:KIN459167 KSJ458956:KSJ459167 LCF458956:LCF459167 LMB458956:LMB459167 LVX458956:LVX459167 MFT458956:MFT459167 MPP458956:MPP459167 MZL458956:MZL459167 NJH458956:NJH459167 NTD458956:NTD459167 OCZ458956:OCZ459167 OMV458956:OMV459167 OWR458956:OWR459167 PGN458956:PGN459167 PQJ458956:PQJ459167 QAF458956:QAF459167 QKB458956:QKB459167 QTX458956:QTX459167 RDT458956:RDT459167 RNP458956:RNP459167 RXL458956:RXL459167 SHH458956:SHH459167 SRD458956:SRD459167 TAZ458956:TAZ459167 TKV458956:TKV459167 TUR458956:TUR459167 UEN458956:UEN459167 UOJ458956:UOJ459167 UYF458956:UYF459167 VIB458956:VIB459167 VRX458956:VRX459167 WBT458956:WBT459167 WLP458956:WLP459167 WVL458956:WVL459167 D524492:D524703 IZ524492:IZ524703 SV524492:SV524703 ACR524492:ACR524703 AMN524492:AMN524703 AWJ524492:AWJ524703 BGF524492:BGF524703 BQB524492:BQB524703 BZX524492:BZX524703 CJT524492:CJT524703 CTP524492:CTP524703 DDL524492:DDL524703 DNH524492:DNH524703 DXD524492:DXD524703 EGZ524492:EGZ524703 EQV524492:EQV524703 FAR524492:FAR524703 FKN524492:FKN524703 FUJ524492:FUJ524703 GEF524492:GEF524703 GOB524492:GOB524703 GXX524492:GXX524703 HHT524492:HHT524703 HRP524492:HRP524703 IBL524492:IBL524703 ILH524492:ILH524703 IVD524492:IVD524703 JEZ524492:JEZ524703 JOV524492:JOV524703 JYR524492:JYR524703 KIN524492:KIN524703 KSJ524492:KSJ524703 LCF524492:LCF524703 LMB524492:LMB524703 LVX524492:LVX524703 MFT524492:MFT524703 MPP524492:MPP524703 MZL524492:MZL524703 NJH524492:NJH524703 NTD524492:NTD524703 OCZ524492:OCZ524703 OMV524492:OMV524703 OWR524492:OWR524703 PGN524492:PGN524703 PQJ524492:PQJ524703 QAF524492:QAF524703 QKB524492:QKB524703 QTX524492:QTX524703 RDT524492:RDT524703 RNP524492:RNP524703 RXL524492:RXL524703 SHH524492:SHH524703 SRD524492:SRD524703 TAZ524492:TAZ524703 TKV524492:TKV524703 TUR524492:TUR524703 UEN524492:UEN524703 UOJ524492:UOJ524703 UYF524492:UYF524703 VIB524492:VIB524703 VRX524492:VRX524703 WBT524492:WBT524703 WLP524492:WLP524703 WVL524492:WVL524703 D590028:D590239 IZ590028:IZ590239 SV590028:SV590239 ACR590028:ACR590239 AMN590028:AMN590239 AWJ590028:AWJ590239 BGF590028:BGF590239 BQB590028:BQB590239 BZX590028:BZX590239 CJT590028:CJT590239 CTP590028:CTP590239 DDL590028:DDL590239 DNH590028:DNH590239 DXD590028:DXD590239 EGZ590028:EGZ590239 EQV590028:EQV590239 FAR590028:FAR590239 FKN590028:FKN590239 FUJ590028:FUJ590239 GEF590028:GEF590239 GOB590028:GOB590239 GXX590028:GXX590239 HHT590028:HHT590239 HRP590028:HRP590239 IBL590028:IBL590239 ILH590028:ILH590239 IVD590028:IVD590239 JEZ590028:JEZ590239 JOV590028:JOV590239 JYR590028:JYR590239 KIN590028:KIN590239 KSJ590028:KSJ590239 LCF590028:LCF590239 LMB590028:LMB590239 LVX590028:LVX590239 MFT590028:MFT590239 MPP590028:MPP590239 MZL590028:MZL590239 NJH590028:NJH590239 NTD590028:NTD590239 OCZ590028:OCZ590239 OMV590028:OMV590239 OWR590028:OWR590239 PGN590028:PGN590239 PQJ590028:PQJ590239 QAF590028:QAF590239 QKB590028:QKB590239 QTX590028:QTX590239 RDT590028:RDT590239 RNP590028:RNP590239 RXL590028:RXL590239 SHH590028:SHH590239 SRD590028:SRD590239 TAZ590028:TAZ590239 TKV590028:TKV590239 TUR590028:TUR590239 UEN590028:UEN590239 UOJ590028:UOJ590239 UYF590028:UYF590239 VIB590028:VIB590239 VRX590028:VRX590239 WBT590028:WBT590239 WLP590028:WLP590239 WVL590028:WVL590239 D655564:D655775 IZ655564:IZ655775 SV655564:SV655775 ACR655564:ACR655775 AMN655564:AMN655775 AWJ655564:AWJ655775 BGF655564:BGF655775 BQB655564:BQB655775 BZX655564:BZX655775 CJT655564:CJT655775 CTP655564:CTP655775 DDL655564:DDL655775 DNH655564:DNH655775 DXD655564:DXD655775 EGZ655564:EGZ655775 EQV655564:EQV655775 FAR655564:FAR655775 FKN655564:FKN655775 FUJ655564:FUJ655775 GEF655564:GEF655775 GOB655564:GOB655775 GXX655564:GXX655775 HHT655564:HHT655775 HRP655564:HRP655775 IBL655564:IBL655775 ILH655564:ILH655775 IVD655564:IVD655775 JEZ655564:JEZ655775 JOV655564:JOV655775 JYR655564:JYR655775 KIN655564:KIN655775 KSJ655564:KSJ655775 LCF655564:LCF655775 LMB655564:LMB655775 LVX655564:LVX655775 MFT655564:MFT655775 MPP655564:MPP655775 MZL655564:MZL655775 NJH655564:NJH655775 NTD655564:NTD655775 OCZ655564:OCZ655775 OMV655564:OMV655775 OWR655564:OWR655775 PGN655564:PGN655775 PQJ655564:PQJ655775 QAF655564:QAF655775 QKB655564:QKB655775 QTX655564:QTX655775 RDT655564:RDT655775 RNP655564:RNP655775 RXL655564:RXL655775 SHH655564:SHH655775 SRD655564:SRD655775 TAZ655564:TAZ655775 TKV655564:TKV655775 TUR655564:TUR655775 UEN655564:UEN655775 UOJ655564:UOJ655775 UYF655564:UYF655775 VIB655564:VIB655775 VRX655564:VRX655775 WBT655564:WBT655775 WLP655564:WLP655775 WVL655564:WVL655775 D721100:D721311 IZ721100:IZ721311 SV721100:SV721311 ACR721100:ACR721311 AMN721100:AMN721311 AWJ721100:AWJ721311 BGF721100:BGF721311 BQB721100:BQB721311 BZX721100:BZX721311 CJT721100:CJT721311 CTP721100:CTP721311 DDL721100:DDL721311 DNH721100:DNH721311 DXD721100:DXD721311 EGZ721100:EGZ721311 EQV721100:EQV721311 FAR721100:FAR721311 FKN721100:FKN721311 FUJ721100:FUJ721311 GEF721100:GEF721311 GOB721100:GOB721311 GXX721100:GXX721311 HHT721100:HHT721311 HRP721100:HRP721311 IBL721100:IBL721311 ILH721100:ILH721311 IVD721100:IVD721311 JEZ721100:JEZ721311 JOV721100:JOV721311 JYR721100:JYR721311 KIN721100:KIN721311 KSJ721100:KSJ721311 LCF721100:LCF721311 LMB721100:LMB721311 LVX721100:LVX721311 MFT721100:MFT721311 MPP721100:MPP721311 MZL721100:MZL721311 NJH721100:NJH721311 NTD721100:NTD721311 OCZ721100:OCZ721311 OMV721100:OMV721311 OWR721100:OWR721311 PGN721100:PGN721311 PQJ721100:PQJ721311 QAF721100:QAF721311 QKB721100:QKB721311 QTX721100:QTX721311 RDT721100:RDT721311 RNP721100:RNP721311 RXL721100:RXL721311 SHH721100:SHH721311 SRD721100:SRD721311 TAZ721100:TAZ721311 TKV721100:TKV721311 TUR721100:TUR721311 UEN721100:UEN721311 UOJ721100:UOJ721311 UYF721100:UYF721311 VIB721100:VIB721311 VRX721100:VRX721311 WBT721100:WBT721311 WLP721100:WLP721311 WVL721100:WVL721311 D786636:D786847 IZ786636:IZ786847 SV786636:SV786847 ACR786636:ACR786847 AMN786636:AMN786847 AWJ786636:AWJ786847 BGF786636:BGF786847 BQB786636:BQB786847 BZX786636:BZX786847 CJT786636:CJT786847 CTP786636:CTP786847 DDL786636:DDL786847 DNH786636:DNH786847 DXD786636:DXD786847 EGZ786636:EGZ786847 EQV786636:EQV786847 FAR786636:FAR786847 FKN786636:FKN786847 FUJ786636:FUJ786847 GEF786636:GEF786847 GOB786636:GOB786847 GXX786636:GXX786847 HHT786636:HHT786847 HRP786636:HRP786847 IBL786636:IBL786847 ILH786636:ILH786847 IVD786636:IVD786847 JEZ786636:JEZ786847 JOV786636:JOV786847 JYR786636:JYR786847 KIN786636:KIN786847 KSJ786636:KSJ786847 LCF786636:LCF786847 LMB786636:LMB786847 LVX786636:LVX786847 MFT786636:MFT786847 MPP786636:MPP786847 MZL786636:MZL786847 NJH786636:NJH786847 NTD786636:NTD786847 OCZ786636:OCZ786847 OMV786636:OMV786847 OWR786636:OWR786847 PGN786636:PGN786847 PQJ786636:PQJ786847 QAF786636:QAF786847 QKB786636:QKB786847 QTX786636:QTX786847 RDT786636:RDT786847 RNP786636:RNP786847 RXL786636:RXL786847 SHH786636:SHH786847 SRD786636:SRD786847 TAZ786636:TAZ786847 TKV786636:TKV786847 TUR786636:TUR786847 UEN786636:UEN786847 UOJ786636:UOJ786847 UYF786636:UYF786847 VIB786636:VIB786847 VRX786636:VRX786847 WBT786636:WBT786847 WLP786636:WLP786847 WVL786636:WVL786847 D852172:D852383 IZ852172:IZ852383 SV852172:SV852383 ACR852172:ACR852383 AMN852172:AMN852383 AWJ852172:AWJ852383 BGF852172:BGF852383 BQB852172:BQB852383 BZX852172:BZX852383 CJT852172:CJT852383 CTP852172:CTP852383 DDL852172:DDL852383 DNH852172:DNH852383 DXD852172:DXD852383 EGZ852172:EGZ852383 EQV852172:EQV852383 FAR852172:FAR852383 FKN852172:FKN852383 FUJ852172:FUJ852383 GEF852172:GEF852383 GOB852172:GOB852383 GXX852172:GXX852383 HHT852172:HHT852383 HRP852172:HRP852383 IBL852172:IBL852383 ILH852172:ILH852383 IVD852172:IVD852383 JEZ852172:JEZ852383 JOV852172:JOV852383 JYR852172:JYR852383 KIN852172:KIN852383 KSJ852172:KSJ852383 LCF852172:LCF852383 LMB852172:LMB852383 LVX852172:LVX852383 MFT852172:MFT852383 MPP852172:MPP852383 MZL852172:MZL852383 NJH852172:NJH852383 NTD852172:NTD852383 OCZ852172:OCZ852383 OMV852172:OMV852383 OWR852172:OWR852383 PGN852172:PGN852383 PQJ852172:PQJ852383 QAF852172:QAF852383 QKB852172:QKB852383 QTX852172:QTX852383 RDT852172:RDT852383 RNP852172:RNP852383 RXL852172:RXL852383 SHH852172:SHH852383 SRD852172:SRD852383 TAZ852172:TAZ852383 TKV852172:TKV852383 TUR852172:TUR852383 UEN852172:UEN852383 UOJ852172:UOJ852383 UYF852172:UYF852383 VIB852172:VIB852383 VRX852172:VRX852383 WBT852172:WBT852383 WLP852172:WLP852383 WVL852172:WVL852383 D917708:D917919 IZ917708:IZ917919 SV917708:SV917919 ACR917708:ACR917919 AMN917708:AMN917919 AWJ917708:AWJ917919 BGF917708:BGF917919 BQB917708:BQB917919 BZX917708:BZX917919 CJT917708:CJT917919 CTP917708:CTP917919 DDL917708:DDL917919 DNH917708:DNH917919 DXD917708:DXD917919 EGZ917708:EGZ917919 EQV917708:EQV917919 FAR917708:FAR917919 FKN917708:FKN917919 FUJ917708:FUJ917919 GEF917708:GEF917919 GOB917708:GOB917919 GXX917708:GXX917919 HHT917708:HHT917919 HRP917708:HRP917919 IBL917708:IBL917919 ILH917708:ILH917919 IVD917708:IVD917919 JEZ917708:JEZ917919 JOV917708:JOV917919 JYR917708:JYR917919 KIN917708:KIN917919 KSJ917708:KSJ917919 LCF917708:LCF917919 LMB917708:LMB917919 LVX917708:LVX917919 MFT917708:MFT917919 MPP917708:MPP917919 MZL917708:MZL917919 NJH917708:NJH917919 NTD917708:NTD917919 OCZ917708:OCZ917919 OMV917708:OMV917919 OWR917708:OWR917919 PGN917708:PGN917919 PQJ917708:PQJ917919 QAF917708:QAF917919 QKB917708:QKB917919 QTX917708:QTX917919 RDT917708:RDT917919 RNP917708:RNP917919 RXL917708:RXL917919 SHH917708:SHH917919 SRD917708:SRD917919 TAZ917708:TAZ917919 TKV917708:TKV917919 TUR917708:TUR917919 UEN917708:UEN917919 UOJ917708:UOJ917919 UYF917708:UYF917919 VIB917708:VIB917919 VRX917708:VRX917919 WBT917708:WBT917919 WLP917708:WLP917919 WVL917708:WVL917919 D983244:D983455 IZ983244:IZ983455 SV983244:SV983455 ACR983244:ACR983455 AMN983244:AMN983455 AWJ983244:AWJ983455 BGF983244:BGF983455 BQB983244:BQB983455 BZX983244:BZX983455 CJT983244:CJT983455 CTP983244:CTP983455 DDL983244:DDL983455 DNH983244:DNH983455 DXD983244:DXD983455 EGZ983244:EGZ983455 EQV983244:EQV983455 FAR983244:FAR983455 FKN983244:FKN983455 FUJ983244:FUJ983455 GEF983244:GEF983455 GOB983244:GOB983455 GXX983244:GXX983455 HHT983244:HHT983455 HRP983244:HRP983455 IBL983244:IBL983455 ILH983244:ILH983455 IVD983244:IVD983455 JEZ983244:JEZ983455 JOV983244:JOV983455 JYR983244:JYR983455 KIN983244:KIN983455 KSJ983244:KSJ983455 LCF983244:LCF983455 LMB983244:LMB983455 LVX983244:LVX983455 MFT983244:MFT983455 MPP983244:MPP983455 MZL983244:MZL983455 NJH983244:NJH983455 NTD983244:NTD983455 OCZ983244:OCZ983455 OMV983244:OMV983455 OWR983244:OWR983455 PGN983244:PGN983455 PQJ983244:PQJ983455 QAF983244:QAF983455 QKB983244:QKB983455 QTX983244:QTX983455 RDT983244:RDT983455 RNP983244:RNP983455 RXL983244:RXL983455 SHH983244:SHH983455 SRD983244:SRD983455 TAZ983244:TAZ983455 TKV983244:TKV983455 TUR983244:TUR983455 UEN983244:UEN983455 UOJ983244:UOJ983455 UYF983244:UYF983455 VIB983244:VIB983455 VRX983244:VRX983455 WBT983244:WBT983455 WLP983244:WLP983455 WVL983244:WVL983455">
      <formula1>$N$204:$N$427</formula1>
    </dataValidation>
    <dataValidation type="list" errorStyle="information" allowBlank="1" showInputMessage="1" showErrorMessage="1" errorTitle="New Site" error="If a site is not in the list enter a new Name" prompt="Select a site name or enter a new one" sqref="WVJ983168:WVQ983168 IX48:JE48 ST48:TA48 ACP48:ACW48 AML48:AMS48 AWH48:AWO48 BGD48:BGK48 BPZ48:BQG48 BZV48:CAC48 CJR48:CJY48 CTN48:CTU48 DDJ48:DDQ48 DNF48:DNM48 DXB48:DXI48 EGX48:EHE48 EQT48:ERA48 FAP48:FAW48 FKL48:FKS48 FUH48:FUO48 GED48:GEK48 GNZ48:GOG48 GXV48:GYC48 HHR48:HHY48 HRN48:HRU48 IBJ48:IBQ48 ILF48:ILM48 IVB48:IVI48 JEX48:JFE48 JOT48:JPA48 JYP48:JYW48 KIL48:KIS48 KSH48:KSO48 LCD48:LCK48 LLZ48:LMG48 LVV48:LWC48 MFR48:MFY48 MPN48:MPU48 MZJ48:MZQ48 NJF48:NJM48 NTB48:NTI48 OCX48:ODE48 OMT48:ONA48 OWP48:OWW48 PGL48:PGS48 PQH48:PQO48 QAD48:QAK48 QJZ48:QKG48 QTV48:QUC48 RDR48:RDY48 RNN48:RNU48 RXJ48:RXQ48 SHF48:SHM48 SRB48:SRI48 TAX48:TBE48 TKT48:TLA48 TUP48:TUW48 UEL48:UES48 UOH48:UOO48 UYD48:UYK48 VHZ48:VIG48 VRV48:VSC48 WBR48:WBY48 WLN48:WLU48 WVJ48:WVQ48 B65664:I65664 IX65664:JE65664 ST65664:TA65664 ACP65664:ACW65664 AML65664:AMS65664 AWH65664:AWO65664 BGD65664:BGK65664 BPZ65664:BQG65664 BZV65664:CAC65664 CJR65664:CJY65664 CTN65664:CTU65664 DDJ65664:DDQ65664 DNF65664:DNM65664 DXB65664:DXI65664 EGX65664:EHE65664 EQT65664:ERA65664 FAP65664:FAW65664 FKL65664:FKS65664 FUH65664:FUO65664 GED65664:GEK65664 GNZ65664:GOG65664 GXV65664:GYC65664 HHR65664:HHY65664 HRN65664:HRU65664 IBJ65664:IBQ65664 ILF65664:ILM65664 IVB65664:IVI65664 JEX65664:JFE65664 JOT65664:JPA65664 JYP65664:JYW65664 KIL65664:KIS65664 KSH65664:KSO65664 LCD65664:LCK65664 LLZ65664:LMG65664 LVV65664:LWC65664 MFR65664:MFY65664 MPN65664:MPU65664 MZJ65664:MZQ65664 NJF65664:NJM65664 NTB65664:NTI65664 OCX65664:ODE65664 OMT65664:ONA65664 OWP65664:OWW65664 PGL65664:PGS65664 PQH65664:PQO65664 QAD65664:QAK65664 QJZ65664:QKG65664 QTV65664:QUC65664 RDR65664:RDY65664 RNN65664:RNU65664 RXJ65664:RXQ65664 SHF65664:SHM65664 SRB65664:SRI65664 TAX65664:TBE65664 TKT65664:TLA65664 TUP65664:TUW65664 UEL65664:UES65664 UOH65664:UOO65664 UYD65664:UYK65664 VHZ65664:VIG65664 VRV65664:VSC65664 WBR65664:WBY65664 WLN65664:WLU65664 WVJ65664:WVQ65664 B131200:I131200 IX131200:JE131200 ST131200:TA131200 ACP131200:ACW131200 AML131200:AMS131200 AWH131200:AWO131200 BGD131200:BGK131200 BPZ131200:BQG131200 BZV131200:CAC131200 CJR131200:CJY131200 CTN131200:CTU131200 DDJ131200:DDQ131200 DNF131200:DNM131200 DXB131200:DXI131200 EGX131200:EHE131200 EQT131200:ERA131200 FAP131200:FAW131200 FKL131200:FKS131200 FUH131200:FUO131200 GED131200:GEK131200 GNZ131200:GOG131200 GXV131200:GYC131200 HHR131200:HHY131200 HRN131200:HRU131200 IBJ131200:IBQ131200 ILF131200:ILM131200 IVB131200:IVI131200 JEX131200:JFE131200 JOT131200:JPA131200 JYP131200:JYW131200 KIL131200:KIS131200 KSH131200:KSO131200 LCD131200:LCK131200 LLZ131200:LMG131200 LVV131200:LWC131200 MFR131200:MFY131200 MPN131200:MPU131200 MZJ131200:MZQ131200 NJF131200:NJM131200 NTB131200:NTI131200 OCX131200:ODE131200 OMT131200:ONA131200 OWP131200:OWW131200 PGL131200:PGS131200 PQH131200:PQO131200 QAD131200:QAK131200 QJZ131200:QKG131200 QTV131200:QUC131200 RDR131200:RDY131200 RNN131200:RNU131200 RXJ131200:RXQ131200 SHF131200:SHM131200 SRB131200:SRI131200 TAX131200:TBE131200 TKT131200:TLA131200 TUP131200:TUW131200 UEL131200:UES131200 UOH131200:UOO131200 UYD131200:UYK131200 VHZ131200:VIG131200 VRV131200:VSC131200 WBR131200:WBY131200 WLN131200:WLU131200 WVJ131200:WVQ131200 B196736:I196736 IX196736:JE196736 ST196736:TA196736 ACP196736:ACW196736 AML196736:AMS196736 AWH196736:AWO196736 BGD196736:BGK196736 BPZ196736:BQG196736 BZV196736:CAC196736 CJR196736:CJY196736 CTN196736:CTU196736 DDJ196736:DDQ196736 DNF196736:DNM196736 DXB196736:DXI196736 EGX196736:EHE196736 EQT196736:ERA196736 FAP196736:FAW196736 FKL196736:FKS196736 FUH196736:FUO196736 GED196736:GEK196736 GNZ196736:GOG196736 GXV196736:GYC196736 HHR196736:HHY196736 HRN196736:HRU196736 IBJ196736:IBQ196736 ILF196736:ILM196736 IVB196736:IVI196736 JEX196736:JFE196736 JOT196736:JPA196736 JYP196736:JYW196736 KIL196736:KIS196736 KSH196736:KSO196736 LCD196736:LCK196736 LLZ196736:LMG196736 LVV196736:LWC196736 MFR196736:MFY196736 MPN196736:MPU196736 MZJ196736:MZQ196736 NJF196736:NJM196736 NTB196736:NTI196736 OCX196736:ODE196736 OMT196736:ONA196736 OWP196736:OWW196736 PGL196736:PGS196736 PQH196736:PQO196736 QAD196736:QAK196736 QJZ196736:QKG196736 QTV196736:QUC196736 RDR196736:RDY196736 RNN196736:RNU196736 RXJ196736:RXQ196736 SHF196736:SHM196736 SRB196736:SRI196736 TAX196736:TBE196736 TKT196736:TLA196736 TUP196736:TUW196736 UEL196736:UES196736 UOH196736:UOO196736 UYD196736:UYK196736 VHZ196736:VIG196736 VRV196736:VSC196736 WBR196736:WBY196736 WLN196736:WLU196736 WVJ196736:WVQ196736 B262272:I262272 IX262272:JE262272 ST262272:TA262272 ACP262272:ACW262272 AML262272:AMS262272 AWH262272:AWO262272 BGD262272:BGK262272 BPZ262272:BQG262272 BZV262272:CAC262272 CJR262272:CJY262272 CTN262272:CTU262272 DDJ262272:DDQ262272 DNF262272:DNM262272 DXB262272:DXI262272 EGX262272:EHE262272 EQT262272:ERA262272 FAP262272:FAW262272 FKL262272:FKS262272 FUH262272:FUO262272 GED262272:GEK262272 GNZ262272:GOG262272 GXV262272:GYC262272 HHR262272:HHY262272 HRN262272:HRU262272 IBJ262272:IBQ262272 ILF262272:ILM262272 IVB262272:IVI262272 JEX262272:JFE262272 JOT262272:JPA262272 JYP262272:JYW262272 KIL262272:KIS262272 KSH262272:KSO262272 LCD262272:LCK262272 LLZ262272:LMG262272 LVV262272:LWC262272 MFR262272:MFY262272 MPN262272:MPU262272 MZJ262272:MZQ262272 NJF262272:NJM262272 NTB262272:NTI262272 OCX262272:ODE262272 OMT262272:ONA262272 OWP262272:OWW262272 PGL262272:PGS262272 PQH262272:PQO262272 QAD262272:QAK262272 QJZ262272:QKG262272 QTV262272:QUC262272 RDR262272:RDY262272 RNN262272:RNU262272 RXJ262272:RXQ262272 SHF262272:SHM262272 SRB262272:SRI262272 TAX262272:TBE262272 TKT262272:TLA262272 TUP262272:TUW262272 UEL262272:UES262272 UOH262272:UOO262272 UYD262272:UYK262272 VHZ262272:VIG262272 VRV262272:VSC262272 WBR262272:WBY262272 WLN262272:WLU262272 WVJ262272:WVQ262272 B327808:I327808 IX327808:JE327808 ST327808:TA327808 ACP327808:ACW327808 AML327808:AMS327808 AWH327808:AWO327808 BGD327808:BGK327808 BPZ327808:BQG327808 BZV327808:CAC327808 CJR327808:CJY327808 CTN327808:CTU327808 DDJ327808:DDQ327808 DNF327808:DNM327808 DXB327808:DXI327808 EGX327808:EHE327808 EQT327808:ERA327808 FAP327808:FAW327808 FKL327808:FKS327808 FUH327808:FUO327808 GED327808:GEK327808 GNZ327808:GOG327808 GXV327808:GYC327808 HHR327808:HHY327808 HRN327808:HRU327808 IBJ327808:IBQ327808 ILF327808:ILM327808 IVB327808:IVI327808 JEX327808:JFE327808 JOT327808:JPA327808 JYP327808:JYW327808 KIL327808:KIS327808 KSH327808:KSO327808 LCD327808:LCK327808 LLZ327808:LMG327808 LVV327808:LWC327808 MFR327808:MFY327808 MPN327808:MPU327808 MZJ327808:MZQ327808 NJF327808:NJM327808 NTB327808:NTI327808 OCX327808:ODE327808 OMT327808:ONA327808 OWP327808:OWW327808 PGL327808:PGS327808 PQH327808:PQO327808 QAD327808:QAK327808 QJZ327808:QKG327808 QTV327808:QUC327808 RDR327808:RDY327808 RNN327808:RNU327808 RXJ327808:RXQ327808 SHF327808:SHM327808 SRB327808:SRI327808 TAX327808:TBE327808 TKT327808:TLA327808 TUP327808:TUW327808 UEL327808:UES327808 UOH327808:UOO327808 UYD327808:UYK327808 VHZ327808:VIG327808 VRV327808:VSC327808 WBR327808:WBY327808 WLN327808:WLU327808 WVJ327808:WVQ327808 B393344:I393344 IX393344:JE393344 ST393344:TA393344 ACP393344:ACW393344 AML393344:AMS393344 AWH393344:AWO393344 BGD393344:BGK393344 BPZ393344:BQG393344 BZV393344:CAC393344 CJR393344:CJY393344 CTN393344:CTU393344 DDJ393344:DDQ393344 DNF393344:DNM393344 DXB393344:DXI393344 EGX393344:EHE393344 EQT393344:ERA393344 FAP393344:FAW393344 FKL393344:FKS393344 FUH393344:FUO393344 GED393344:GEK393344 GNZ393344:GOG393344 GXV393344:GYC393344 HHR393344:HHY393344 HRN393344:HRU393344 IBJ393344:IBQ393344 ILF393344:ILM393344 IVB393344:IVI393344 JEX393344:JFE393344 JOT393344:JPA393344 JYP393344:JYW393344 KIL393344:KIS393344 KSH393344:KSO393344 LCD393344:LCK393344 LLZ393344:LMG393344 LVV393344:LWC393344 MFR393344:MFY393344 MPN393344:MPU393344 MZJ393344:MZQ393344 NJF393344:NJM393344 NTB393344:NTI393344 OCX393344:ODE393344 OMT393344:ONA393344 OWP393344:OWW393344 PGL393344:PGS393344 PQH393344:PQO393344 QAD393344:QAK393344 QJZ393344:QKG393344 QTV393344:QUC393344 RDR393344:RDY393344 RNN393344:RNU393344 RXJ393344:RXQ393344 SHF393344:SHM393344 SRB393344:SRI393344 TAX393344:TBE393344 TKT393344:TLA393344 TUP393344:TUW393344 UEL393344:UES393344 UOH393344:UOO393344 UYD393344:UYK393344 VHZ393344:VIG393344 VRV393344:VSC393344 WBR393344:WBY393344 WLN393344:WLU393344 WVJ393344:WVQ393344 B458880:I458880 IX458880:JE458880 ST458880:TA458880 ACP458880:ACW458880 AML458880:AMS458880 AWH458880:AWO458880 BGD458880:BGK458880 BPZ458880:BQG458880 BZV458880:CAC458880 CJR458880:CJY458880 CTN458880:CTU458880 DDJ458880:DDQ458880 DNF458880:DNM458880 DXB458880:DXI458880 EGX458880:EHE458880 EQT458880:ERA458880 FAP458880:FAW458880 FKL458880:FKS458880 FUH458880:FUO458880 GED458880:GEK458880 GNZ458880:GOG458880 GXV458880:GYC458880 HHR458880:HHY458880 HRN458880:HRU458880 IBJ458880:IBQ458880 ILF458880:ILM458880 IVB458880:IVI458880 JEX458880:JFE458880 JOT458880:JPA458880 JYP458880:JYW458880 KIL458880:KIS458880 KSH458880:KSO458880 LCD458880:LCK458880 LLZ458880:LMG458880 LVV458880:LWC458880 MFR458880:MFY458880 MPN458880:MPU458880 MZJ458880:MZQ458880 NJF458880:NJM458880 NTB458880:NTI458880 OCX458880:ODE458880 OMT458880:ONA458880 OWP458880:OWW458880 PGL458880:PGS458880 PQH458880:PQO458880 QAD458880:QAK458880 QJZ458880:QKG458880 QTV458880:QUC458880 RDR458880:RDY458880 RNN458880:RNU458880 RXJ458880:RXQ458880 SHF458880:SHM458880 SRB458880:SRI458880 TAX458880:TBE458880 TKT458880:TLA458880 TUP458880:TUW458880 UEL458880:UES458880 UOH458880:UOO458880 UYD458880:UYK458880 VHZ458880:VIG458880 VRV458880:VSC458880 WBR458880:WBY458880 WLN458880:WLU458880 WVJ458880:WVQ458880 B524416:I524416 IX524416:JE524416 ST524416:TA524416 ACP524416:ACW524416 AML524416:AMS524416 AWH524416:AWO524416 BGD524416:BGK524416 BPZ524416:BQG524416 BZV524416:CAC524416 CJR524416:CJY524416 CTN524416:CTU524416 DDJ524416:DDQ524416 DNF524416:DNM524416 DXB524416:DXI524416 EGX524416:EHE524416 EQT524416:ERA524416 FAP524416:FAW524416 FKL524416:FKS524416 FUH524416:FUO524416 GED524416:GEK524416 GNZ524416:GOG524416 GXV524416:GYC524416 HHR524416:HHY524416 HRN524416:HRU524416 IBJ524416:IBQ524416 ILF524416:ILM524416 IVB524416:IVI524416 JEX524416:JFE524416 JOT524416:JPA524416 JYP524416:JYW524416 KIL524416:KIS524416 KSH524416:KSO524416 LCD524416:LCK524416 LLZ524416:LMG524416 LVV524416:LWC524416 MFR524416:MFY524416 MPN524416:MPU524416 MZJ524416:MZQ524416 NJF524416:NJM524416 NTB524416:NTI524416 OCX524416:ODE524416 OMT524416:ONA524416 OWP524416:OWW524416 PGL524416:PGS524416 PQH524416:PQO524416 QAD524416:QAK524416 QJZ524416:QKG524416 QTV524416:QUC524416 RDR524416:RDY524416 RNN524416:RNU524416 RXJ524416:RXQ524416 SHF524416:SHM524416 SRB524416:SRI524416 TAX524416:TBE524416 TKT524416:TLA524416 TUP524416:TUW524416 UEL524416:UES524416 UOH524416:UOO524416 UYD524416:UYK524416 VHZ524416:VIG524416 VRV524416:VSC524416 WBR524416:WBY524416 WLN524416:WLU524416 WVJ524416:WVQ524416 B589952:I589952 IX589952:JE589952 ST589952:TA589952 ACP589952:ACW589952 AML589952:AMS589952 AWH589952:AWO589952 BGD589952:BGK589952 BPZ589952:BQG589952 BZV589952:CAC589952 CJR589952:CJY589952 CTN589952:CTU589952 DDJ589952:DDQ589952 DNF589952:DNM589952 DXB589952:DXI589952 EGX589952:EHE589952 EQT589952:ERA589952 FAP589952:FAW589952 FKL589952:FKS589952 FUH589952:FUO589952 GED589952:GEK589952 GNZ589952:GOG589952 GXV589952:GYC589952 HHR589952:HHY589952 HRN589952:HRU589952 IBJ589952:IBQ589952 ILF589952:ILM589952 IVB589952:IVI589952 JEX589952:JFE589952 JOT589952:JPA589952 JYP589952:JYW589952 KIL589952:KIS589952 KSH589952:KSO589952 LCD589952:LCK589952 LLZ589952:LMG589952 LVV589952:LWC589952 MFR589952:MFY589952 MPN589952:MPU589952 MZJ589952:MZQ589952 NJF589952:NJM589952 NTB589952:NTI589952 OCX589952:ODE589952 OMT589952:ONA589952 OWP589952:OWW589952 PGL589952:PGS589952 PQH589952:PQO589952 QAD589952:QAK589952 QJZ589952:QKG589952 QTV589952:QUC589952 RDR589952:RDY589952 RNN589952:RNU589952 RXJ589952:RXQ589952 SHF589952:SHM589952 SRB589952:SRI589952 TAX589952:TBE589952 TKT589952:TLA589952 TUP589952:TUW589952 UEL589952:UES589952 UOH589952:UOO589952 UYD589952:UYK589952 VHZ589952:VIG589952 VRV589952:VSC589952 WBR589952:WBY589952 WLN589952:WLU589952 WVJ589952:WVQ589952 B655488:I655488 IX655488:JE655488 ST655488:TA655488 ACP655488:ACW655488 AML655488:AMS655488 AWH655488:AWO655488 BGD655488:BGK655488 BPZ655488:BQG655488 BZV655488:CAC655488 CJR655488:CJY655488 CTN655488:CTU655488 DDJ655488:DDQ655488 DNF655488:DNM655488 DXB655488:DXI655488 EGX655488:EHE655488 EQT655488:ERA655488 FAP655488:FAW655488 FKL655488:FKS655488 FUH655488:FUO655488 GED655488:GEK655488 GNZ655488:GOG655488 GXV655488:GYC655488 HHR655488:HHY655488 HRN655488:HRU655488 IBJ655488:IBQ655488 ILF655488:ILM655488 IVB655488:IVI655488 JEX655488:JFE655488 JOT655488:JPA655488 JYP655488:JYW655488 KIL655488:KIS655488 KSH655488:KSO655488 LCD655488:LCK655488 LLZ655488:LMG655488 LVV655488:LWC655488 MFR655488:MFY655488 MPN655488:MPU655488 MZJ655488:MZQ655488 NJF655488:NJM655488 NTB655488:NTI655488 OCX655488:ODE655488 OMT655488:ONA655488 OWP655488:OWW655488 PGL655488:PGS655488 PQH655488:PQO655488 QAD655488:QAK655488 QJZ655488:QKG655488 QTV655488:QUC655488 RDR655488:RDY655488 RNN655488:RNU655488 RXJ655488:RXQ655488 SHF655488:SHM655488 SRB655488:SRI655488 TAX655488:TBE655488 TKT655488:TLA655488 TUP655488:TUW655488 UEL655488:UES655488 UOH655488:UOO655488 UYD655488:UYK655488 VHZ655488:VIG655488 VRV655488:VSC655488 WBR655488:WBY655488 WLN655488:WLU655488 WVJ655488:WVQ655488 B721024:I721024 IX721024:JE721024 ST721024:TA721024 ACP721024:ACW721024 AML721024:AMS721024 AWH721024:AWO721024 BGD721024:BGK721024 BPZ721024:BQG721024 BZV721024:CAC721024 CJR721024:CJY721024 CTN721024:CTU721024 DDJ721024:DDQ721024 DNF721024:DNM721024 DXB721024:DXI721024 EGX721024:EHE721024 EQT721024:ERA721024 FAP721024:FAW721024 FKL721024:FKS721024 FUH721024:FUO721024 GED721024:GEK721024 GNZ721024:GOG721024 GXV721024:GYC721024 HHR721024:HHY721024 HRN721024:HRU721024 IBJ721024:IBQ721024 ILF721024:ILM721024 IVB721024:IVI721024 JEX721024:JFE721024 JOT721024:JPA721024 JYP721024:JYW721024 KIL721024:KIS721024 KSH721024:KSO721024 LCD721024:LCK721024 LLZ721024:LMG721024 LVV721024:LWC721024 MFR721024:MFY721024 MPN721024:MPU721024 MZJ721024:MZQ721024 NJF721024:NJM721024 NTB721024:NTI721024 OCX721024:ODE721024 OMT721024:ONA721024 OWP721024:OWW721024 PGL721024:PGS721024 PQH721024:PQO721024 QAD721024:QAK721024 QJZ721024:QKG721024 QTV721024:QUC721024 RDR721024:RDY721024 RNN721024:RNU721024 RXJ721024:RXQ721024 SHF721024:SHM721024 SRB721024:SRI721024 TAX721024:TBE721024 TKT721024:TLA721024 TUP721024:TUW721024 UEL721024:UES721024 UOH721024:UOO721024 UYD721024:UYK721024 VHZ721024:VIG721024 VRV721024:VSC721024 WBR721024:WBY721024 WLN721024:WLU721024 WVJ721024:WVQ721024 B786560:I786560 IX786560:JE786560 ST786560:TA786560 ACP786560:ACW786560 AML786560:AMS786560 AWH786560:AWO786560 BGD786560:BGK786560 BPZ786560:BQG786560 BZV786560:CAC786560 CJR786560:CJY786560 CTN786560:CTU786560 DDJ786560:DDQ786560 DNF786560:DNM786560 DXB786560:DXI786560 EGX786560:EHE786560 EQT786560:ERA786560 FAP786560:FAW786560 FKL786560:FKS786560 FUH786560:FUO786560 GED786560:GEK786560 GNZ786560:GOG786560 GXV786560:GYC786560 HHR786560:HHY786560 HRN786560:HRU786560 IBJ786560:IBQ786560 ILF786560:ILM786560 IVB786560:IVI786560 JEX786560:JFE786560 JOT786560:JPA786560 JYP786560:JYW786560 KIL786560:KIS786560 KSH786560:KSO786560 LCD786560:LCK786560 LLZ786560:LMG786560 LVV786560:LWC786560 MFR786560:MFY786560 MPN786560:MPU786560 MZJ786560:MZQ786560 NJF786560:NJM786560 NTB786560:NTI786560 OCX786560:ODE786560 OMT786560:ONA786560 OWP786560:OWW786560 PGL786560:PGS786560 PQH786560:PQO786560 QAD786560:QAK786560 QJZ786560:QKG786560 QTV786560:QUC786560 RDR786560:RDY786560 RNN786560:RNU786560 RXJ786560:RXQ786560 SHF786560:SHM786560 SRB786560:SRI786560 TAX786560:TBE786560 TKT786560:TLA786560 TUP786560:TUW786560 UEL786560:UES786560 UOH786560:UOO786560 UYD786560:UYK786560 VHZ786560:VIG786560 VRV786560:VSC786560 WBR786560:WBY786560 WLN786560:WLU786560 WVJ786560:WVQ786560 B852096:I852096 IX852096:JE852096 ST852096:TA852096 ACP852096:ACW852096 AML852096:AMS852096 AWH852096:AWO852096 BGD852096:BGK852096 BPZ852096:BQG852096 BZV852096:CAC852096 CJR852096:CJY852096 CTN852096:CTU852096 DDJ852096:DDQ852096 DNF852096:DNM852096 DXB852096:DXI852096 EGX852096:EHE852096 EQT852096:ERA852096 FAP852096:FAW852096 FKL852096:FKS852096 FUH852096:FUO852096 GED852096:GEK852096 GNZ852096:GOG852096 GXV852096:GYC852096 HHR852096:HHY852096 HRN852096:HRU852096 IBJ852096:IBQ852096 ILF852096:ILM852096 IVB852096:IVI852096 JEX852096:JFE852096 JOT852096:JPA852096 JYP852096:JYW852096 KIL852096:KIS852096 KSH852096:KSO852096 LCD852096:LCK852096 LLZ852096:LMG852096 LVV852096:LWC852096 MFR852096:MFY852096 MPN852096:MPU852096 MZJ852096:MZQ852096 NJF852096:NJM852096 NTB852096:NTI852096 OCX852096:ODE852096 OMT852096:ONA852096 OWP852096:OWW852096 PGL852096:PGS852096 PQH852096:PQO852096 QAD852096:QAK852096 QJZ852096:QKG852096 QTV852096:QUC852096 RDR852096:RDY852096 RNN852096:RNU852096 RXJ852096:RXQ852096 SHF852096:SHM852096 SRB852096:SRI852096 TAX852096:TBE852096 TKT852096:TLA852096 TUP852096:TUW852096 UEL852096:UES852096 UOH852096:UOO852096 UYD852096:UYK852096 VHZ852096:VIG852096 VRV852096:VSC852096 WBR852096:WBY852096 WLN852096:WLU852096 WVJ852096:WVQ852096 B917632:I917632 IX917632:JE917632 ST917632:TA917632 ACP917632:ACW917632 AML917632:AMS917632 AWH917632:AWO917632 BGD917632:BGK917632 BPZ917632:BQG917632 BZV917632:CAC917632 CJR917632:CJY917632 CTN917632:CTU917632 DDJ917632:DDQ917632 DNF917632:DNM917632 DXB917632:DXI917632 EGX917632:EHE917632 EQT917632:ERA917632 FAP917632:FAW917632 FKL917632:FKS917632 FUH917632:FUO917632 GED917632:GEK917632 GNZ917632:GOG917632 GXV917632:GYC917632 HHR917632:HHY917632 HRN917632:HRU917632 IBJ917632:IBQ917632 ILF917632:ILM917632 IVB917632:IVI917632 JEX917632:JFE917632 JOT917632:JPA917632 JYP917632:JYW917632 KIL917632:KIS917632 KSH917632:KSO917632 LCD917632:LCK917632 LLZ917632:LMG917632 LVV917632:LWC917632 MFR917632:MFY917632 MPN917632:MPU917632 MZJ917632:MZQ917632 NJF917632:NJM917632 NTB917632:NTI917632 OCX917632:ODE917632 OMT917632:ONA917632 OWP917632:OWW917632 PGL917632:PGS917632 PQH917632:PQO917632 QAD917632:QAK917632 QJZ917632:QKG917632 QTV917632:QUC917632 RDR917632:RDY917632 RNN917632:RNU917632 RXJ917632:RXQ917632 SHF917632:SHM917632 SRB917632:SRI917632 TAX917632:TBE917632 TKT917632:TLA917632 TUP917632:TUW917632 UEL917632:UES917632 UOH917632:UOO917632 UYD917632:UYK917632 VHZ917632:VIG917632 VRV917632:VSC917632 WBR917632:WBY917632 WLN917632:WLU917632 WVJ917632:WVQ917632 B983168:I983168 IX983168:JE983168 ST983168:TA983168 ACP983168:ACW983168 AML983168:AMS983168 AWH983168:AWO983168 BGD983168:BGK983168 BPZ983168:BQG983168 BZV983168:CAC983168 CJR983168:CJY983168 CTN983168:CTU983168 DDJ983168:DDQ983168 DNF983168:DNM983168 DXB983168:DXI983168 EGX983168:EHE983168 EQT983168:ERA983168 FAP983168:FAW983168 FKL983168:FKS983168 FUH983168:FUO983168 GED983168:GEK983168 GNZ983168:GOG983168 GXV983168:GYC983168 HHR983168:HHY983168 HRN983168:HRU983168 IBJ983168:IBQ983168 ILF983168:ILM983168 IVB983168:IVI983168 JEX983168:JFE983168 JOT983168:JPA983168 JYP983168:JYW983168 KIL983168:KIS983168 KSH983168:KSO983168 LCD983168:LCK983168 LLZ983168:LMG983168 LVV983168:LWC983168 MFR983168:MFY983168 MPN983168:MPU983168 MZJ983168:MZQ983168 NJF983168:NJM983168 NTB983168:NTI983168 OCX983168:ODE983168 OMT983168:ONA983168 OWP983168:OWW983168 PGL983168:PGS983168 PQH983168:PQO983168 QAD983168:QAK983168 QJZ983168:QKG983168 QTV983168:QUC983168 RDR983168:RDY983168 RNN983168:RNU983168 RXJ983168:RXQ983168 SHF983168:SHM983168 SRB983168:SRI983168 TAX983168:TBE983168 TKT983168:TLA983168 TUP983168:TUW983168 UEL983168:UES983168 UOH983168:UOO983168 UYD983168:UYK983168 VHZ983168:VIG983168 VRV983168:VSC983168 WBR983168:WBY983168 WLN983168:WLU983168 B48:I48">
      <formula1>Site_name_list</formula1>
    </dataValidation>
    <dataValidation type="custom" allowBlank="1" showInputMessage="1" showErrorMessage="1" sqref="B19:I19 IX19:JE19 ST19:TA19 ACP19:ACW19 AML19:AMS19 AWH19:AWO19 BGD19:BGK19 BPZ19:BQG19 BZV19:CAC19 CJR19:CJY19 CTN19:CTU19 DDJ19:DDQ19 DNF19:DNM19 DXB19:DXI19 EGX19:EHE19 EQT19:ERA19 FAP19:FAW19 FKL19:FKS19 FUH19:FUO19 GED19:GEK19 GNZ19:GOG19 GXV19:GYC19 HHR19:HHY19 HRN19:HRU19 IBJ19:IBQ19 ILF19:ILM19 IVB19:IVI19 JEX19:JFE19 JOT19:JPA19 JYP19:JYW19 KIL19:KIS19 KSH19:KSO19 LCD19:LCK19 LLZ19:LMG19 LVV19:LWC19 MFR19:MFY19 MPN19:MPU19 MZJ19:MZQ19 NJF19:NJM19 NTB19:NTI19 OCX19:ODE19 OMT19:ONA19 OWP19:OWW19 PGL19:PGS19 PQH19:PQO19 QAD19:QAK19 QJZ19:QKG19 QTV19:QUC19 RDR19:RDY19 RNN19:RNU19 RXJ19:RXQ19 SHF19:SHM19 SRB19:SRI19 TAX19:TBE19 TKT19:TLA19 TUP19:TUW19 UEL19:UES19 UOH19:UOO19 UYD19:UYK19 VHZ19:VIG19 VRV19:VSC19 WBR19:WBY19 WLN19:WLU19 WVJ19:WVQ19 B65636:I65636 IX65636:JE65636 ST65636:TA65636 ACP65636:ACW65636 AML65636:AMS65636 AWH65636:AWO65636 BGD65636:BGK65636 BPZ65636:BQG65636 BZV65636:CAC65636 CJR65636:CJY65636 CTN65636:CTU65636 DDJ65636:DDQ65636 DNF65636:DNM65636 DXB65636:DXI65636 EGX65636:EHE65636 EQT65636:ERA65636 FAP65636:FAW65636 FKL65636:FKS65636 FUH65636:FUO65636 GED65636:GEK65636 GNZ65636:GOG65636 GXV65636:GYC65636 HHR65636:HHY65636 HRN65636:HRU65636 IBJ65636:IBQ65636 ILF65636:ILM65636 IVB65636:IVI65636 JEX65636:JFE65636 JOT65636:JPA65636 JYP65636:JYW65636 KIL65636:KIS65636 KSH65636:KSO65636 LCD65636:LCK65636 LLZ65636:LMG65636 LVV65636:LWC65636 MFR65636:MFY65636 MPN65636:MPU65636 MZJ65636:MZQ65636 NJF65636:NJM65636 NTB65636:NTI65636 OCX65636:ODE65636 OMT65636:ONA65636 OWP65636:OWW65636 PGL65636:PGS65636 PQH65636:PQO65636 QAD65636:QAK65636 QJZ65636:QKG65636 QTV65636:QUC65636 RDR65636:RDY65636 RNN65636:RNU65636 RXJ65636:RXQ65636 SHF65636:SHM65636 SRB65636:SRI65636 TAX65636:TBE65636 TKT65636:TLA65636 TUP65636:TUW65636 UEL65636:UES65636 UOH65636:UOO65636 UYD65636:UYK65636 VHZ65636:VIG65636 VRV65636:VSC65636 WBR65636:WBY65636 WLN65636:WLU65636 WVJ65636:WVQ65636 B131172:I131172 IX131172:JE131172 ST131172:TA131172 ACP131172:ACW131172 AML131172:AMS131172 AWH131172:AWO131172 BGD131172:BGK131172 BPZ131172:BQG131172 BZV131172:CAC131172 CJR131172:CJY131172 CTN131172:CTU131172 DDJ131172:DDQ131172 DNF131172:DNM131172 DXB131172:DXI131172 EGX131172:EHE131172 EQT131172:ERA131172 FAP131172:FAW131172 FKL131172:FKS131172 FUH131172:FUO131172 GED131172:GEK131172 GNZ131172:GOG131172 GXV131172:GYC131172 HHR131172:HHY131172 HRN131172:HRU131172 IBJ131172:IBQ131172 ILF131172:ILM131172 IVB131172:IVI131172 JEX131172:JFE131172 JOT131172:JPA131172 JYP131172:JYW131172 KIL131172:KIS131172 KSH131172:KSO131172 LCD131172:LCK131172 LLZ131172:LMG131172 LVV131172:LWC131172 MFR131172:MFY131172 MPN131172:MPU131172 MZJ131172:MZQ131172 NJF131172:NJM131172 NTB131172:NTI131172 OCX131172:ODE131172 OMT131172:ONA131172 OWP131172:OWW131172 PGL131172:PGS131172 PQH131172:PQO131172 QAD131172:QAK131172 QJZ131172:QKG131172 QTV131172:QUC131172 RDR131172:RDY131172 RNN131172:RNU131172 RXJ131172:RXQ131172 SHF131172:SHM131172 SRB131172:SRI131172 TAX131172:TBE131172 TKT131172:TLA131172 TUP131172:TUW131172 UEL131172:UES131172 UOH131172:UOO131172 UYD131172:UYK131172 VHZ131172:VIG131172 VRV131172:VSC131172 WBR131172:WBY131172 WLN131172:WLU131172 WVJ131172:WVQ131172 B196708:I196708 IX196708:JE196708 ST196708:TA196708 ACP196708:ACW196708 AML196708:AMS196708 AWH196708:AWO196708 BGD196708:BGK196708 BPZ196708:BQG196708 BZV196708:CAC196708 CJR196708:CJY196708 CTN196708:CTU196708 DDJ196708:DDQ196708 DNF196708:DNM196708 DXB196708:DXI196708 EGX196708:EHE196708 EQT196708:ERA196708 FAP196708:FAW196708 FKL196708:FKS196708 FUH196708:FUO196708 GED196708:GEK196708 GNZ196708:GOG196708 GXV196708:GYC196708 HHR196708:HHY196708 HRN196708:HRU196708 IBJ196708:IBQ196708 ILF196708:ILM196708 IVB196708:IVI196708 JEX196708:JFE196708 JOT196708:JPA196708 JYP196708:JYW196708 KIL196708:KIS196708 KSH196708:KSO196708 LCD196708:LCK196708 LLZ196708:LMG196708 LVV196708:LWC196708 MFR196708:MFY196708 MPN196708:MPU196708 MZJ196708:MZQ196708 NJF196708:NJM196708 NTB196708:NTI196708 OCX196708:ODE196708 OMT196708:ONA196708 OWP196708:OWW196708 PGL196708:PGS196708 PQH196708:PQO196708 QAD196708:QAK196708 QJZ196708:QKG196708 QTV196708:QUC196708 RDR196708:RDY196708 RNN196708:RNU196708 RXJ196708:RXQ196708 SHF196708:SHM196708 SRB196708:SRI196708 TAX196708:TBE196708 TKT196708:TLA196708 TUP196708:TUW196708 UEL196708:UES196708 UOH196708:UOO196708 UYD196708:UYK196708 VHZ196708:VIG196708 VRV196708:VSC196708 WBR196708:WBY196708 WLN196708:WLU196708 WVJ196708:WVQ196708 B262244:I262244 IX262244:JE262244 ST262244:TA262244 ACP262244:ACW262244 AML262244:AMS262244 AWH262244:AWO262244 BGD262244:BGK262244 BPZ262244:BQG262244 BZV262244:CAC262244 CJR262244:CJY262244 CTN262244:CTU262244 DDJ262244:DDQ262244 DNF262244:DNM262244 DXB262244:DXI262244 EGX262244:EHE262244 EQT262244:ERA262244 FAP262244:FAW262244 FKL262244:FKS262244 FUH262244:FUO262244 GED262244:GEK262244 GNZ262244:GOG262244 GXV262244:GYC262244 HHR262244:HHY262244 HRN262244:HRU262244 IBJ262244:IBQ262244 ILF262244:ILM262244 IVB262244:IVI262244 JEX262244:JFE262244 JOT262244:JPA262244 JYP262244:JYW262244 KIL262244:KIS262244 KSH262244:KSO262244 LCD262244:LCK262244 LLZ262244:LMG262244 LVV262244:LWC262244 MFR262244:MFY262244 MPN262244:MPU262244 MZJ262244:MZQ262244 NJF262244:NJM262244 NTB262244:NTI262244 OCX262244:ODE262244 OMT262244:ONA262244 OWP262244:OWW262244 PGL262244:PGS262244 PQH262244:PQO262244 QAD262244:QAK262244 QJZ262244:QKG262244 QTV262244:QUC262244 RDR262244:RDY262244 RNN262244:RNU262244 RXJ262244:RXQ262244 SHF262244:SHM262244 SRB262244:SRI262244 TAX262244:TBE262244 TKT262244:TLA262244 TUP262244:TUW262244 UEL262244:UES262244 UOH262244:UOO262244 UYD262244:UYK262244 VHZ262244:VIG262244 VRV262244:VSC262244 WBR262244:WBY262244 WLN262244:WLU262244 WVJ262244:WVQ262244 B327780:I327780 IX327780:JE327780 ST327780:TA327780 ACP327780:ACW327780 AML327780:AMS327780 AWH327780:AWO327780 BGD327780:BGK327780 BPZ327780:BQG327780 BZV327780:CAC327780 CJR327780:CJY327780 CTN327780:CTU327780 DDJ327780:DDQ327780 DNF327780:DNM327780 DXB327780:DXI327780 EGX327780:EHE327780 EQT327780:ERA327780 FAP327780:FAW327780 FKL327780:FKS327780 FUH327780:FUO327780 GED327780:GEK327780 GNZ327780:GOG327780 GXV327780:GYC327780 HHR327780:HHY327780 HRN327780:HRU327780 IBJ327780:IBQ327780 ILF327780:ILM327780 IVB327780:IVI327780 JEX327780:JFE327780 JOT327780:JPA327780 JYP327780:JYW327780 KIL327780:KIS327780 KSH327780:KSO327780 LCD327780:LCK327780 LLZ327780:LMG327780 LVV327780:LWC327780 MFR327780:MFY327780 MPN327780:MPU327780 MZJ327780:MZQ327780 NJF327780:NJM327780 NTB327780:NTI327780 OCX327780:ODE327780 OMT327780:ONA327780 OWP327780:OWW327780 PGL327780:PGS327780 PQH327780:PQO327780 QAD327780:QAK327780 QJZ327780:QKG327780 QTV327780:QUC327780 RDR327780:RDY327780 RNN327780:RNU327780 RXJ327780:RXQ327780 SHF327780:SHM327780 SRB327780:SRI327780 TAX327780:TBE327780 TKT327780:TLA327780 TUP327780:TUW327780 UEL327780:UES327780 UOH327780:UOO327780 UYD327780:UYK327780 VHZ327780:VIG327780 VRV327780:VSC327780 WBR327780:WBY327780 WLN327780:WLU327780 WVJ327780:WVQ327780 B393316:I393316 IX393316:JE393316 ST393316:TA393316 ACP393316:ACW393316 AML393316:AMS393316 AWH393316:AWO393316 BGD393316:BGK393316 BPZ393316:BQG393316 BZV393316:CAC393316 CJR393316:CJY393316 CTN393316:CTU393316 DDJ393316:DDQ393316 DNF393316:DNM393316 DXB393316:DXI393316 EGX393316:EHE393316 EQT393316:ERA393316 FAP393316:FAW393316 FKL393316:FKS393316 FUH393316:FUO393316 GED393316:GEK393316 GNZ393316:GOG393316 GXV393316:GYC393316 HHR393316:HHY393316 HRN393316:HRU393316 IBJ393316:IBQ393316 ILF393316:ILM393316 IVB393316:IVI393316 JEX393316:JFE393316 JOT393316:JPA393316 JYP393316:JYW393316 KIL393316:KIS393316 KSH393316:KSO393316 LCD393316:LCK393316 LLZ393316:LMG393316 LVV393316:LWC393316 MFR393316:MFY393316 MPN393316:MPU393316 MZJ393316:MZQ393316 NJF393316:NJM393316 NTB393316:NTI393316 OCX393316:ODE393316 OMT393316:ONA393316 OWP393316:OWW393316 PGL393316:PGS393316 PQH393316:PQO393316 QAD393316:QAK393316 QJZ393316:QKG393316 QTV393316:QUC393316 RDR393316:RDY393316 RNN393316:RNU393316 RXJ393316:RXQ393316 SHF393316:SHM393316 SRB393316:SRI393316 TAX393316:TBE393316 TKT393316:TLA393316 TUP393316:TUW393316 UEL393316:UES393316 UOH393316:UOO393316 UYD393316:UYK393316 VHZ393316:VIG393316 VRV393316:VSC393316 WBR393316:WBY393316 WLN393316:WLU393316 WVJ393316:WVQ393316 B458852:I458852 IX458852:JE458852 ST458852:TA458852 ACP458852:ACW458852 AML458852:AMS458852 AWH458852:AWO458852 BGD458852:BGK458852 BPZ458852:BQG458852 BZV458852:CAC458852 CJR458852:CJY458852 CTN458852:CTU458852 DDJ458852:DDQ458852 DNF458852:DNM458852 DXB458852:DXI458852 EGX458852:EHE458852 EQT458852:ERA458852 FAP458852:FAW458852 FKL458852:FKS458852 FUH458852:FUO458852 GED458852:GEK458852 GNZ458852:GOG458852 GXV458852:GYC458852 HHR458852:HHY458852 HRN458852:HRU458852 IBJ458852:IBQ458852 ILF458852:ILM458852 IVB458852:IVI458852 JEX458852:JFE458852 JOT458852:JPA458852 JYP458852:JYW458852 KIL458852:KIS458852 KSH458852:KSO458852 LCD458852:LCK458852 LLZ458852:LMG458852 LVV458852:LWC458852 MFR458852:MFY458852 MPN458852:MPU458852 MZJ458852:MZQ458852 NJF458852:NJM458852 NTB458852:NTI458852 OCX458852:ODE458852 OMT458852:ONA458852 OWP458852:OWW458852 PGL458852:PGS458852 PQH458852:PQO458852 QAD458852:QAK458852 QJZ458852:QKG458852 QTV458852:QUC458852 RDR458852:RDY458852 RNN458852:RNU458852 RXJ458852:RXQ458852 SHF458852:SHM458852 SRB458852:SRI458852 TAX458852:TBE458852 TKT458852:TLA458852 TUP458852:TUW458852 UEL458852:UES458852 UOH458852:UOO458852 UYD458852:UYK458852 VHZ458852:VIG458852 VRV458852:VSC458852 WBR458852:WBY458852 WLN458852:WLU458852 WVJ458852:WVQ458852 B524388:I524388 IX524388:JE524388 ST524388:TA524388 ACP524388:ACW524388 AML524388:AMS524388 AWH524388:AWO524388 BGD524388:BGK524388 BPZ524388:BQG524388 BZV524388:CAC524388 CJR524388:CJY524388 CTN524388:CTU524388 DDJ524388:DDQ524388 DNF524388:DNM524388 DXB524388:DXI524388 EGX524388:EHE524388 EQT524388:ERA524388 FAP524388:FAW524388 FKL524388:FKS524388 FUH524388:FUO524388 GED524388:GEK524388 GNZ524388:GOG524388 GXV524388:GYC524388 HHR524388:HHY524388 HRN524388:HRU524388 IBJ524388:IBQ524388 ILF524388:ILM524388 IVB524388:IVI524388 JEX524388:JFE524388 JOT524388:JPA524388 JYP524388:JYW524388 KIL524388:KIS524388 KSH524388:KSO524388 LCD524388:LCK524388 LLZ524388:LMG524388 LVV524388:LWC524388 MFR524388:MFY524388 MPN524388:MPU524388 MZJ524388:MZQ524388 NJF524388:NJM524388 NTB524388:NTI524388 OCX524388:ODE524388 OMT524388:ONA524388 OWP524388:OWW524388 PGL524388:PGS524388 PQH524388:PQO524388 QAD524388:QAK524388 QJZ524388:QKG524388 QTV524388:QUC524388 RDR524388:RDY524388 RNN524388:RNU524388 RXJ524388:RXQ524388 SHF524388:SHM524388 SRB524388:SRI524388 TAX524388:TBE524388 TKT524388:TLA524388 TUP524388:TUW524388 UEL524388:UES524388 UOH524388:UOO524388 UYD524388:UYK524388 VHZ524388:VIG524388 VRV524388:VSC524388 WBR524388:WBY524388 WLN524388:WLU524388 WVJ524388:WVQ524388 B589924:I589924 IX589924:JE589924 ST589924:TA589924 ACP589924:ACW589924 AML589924:AMS589924 AWH589924:AWO589924 BGD589924:BGK589924 BPZ589924:BQG589924 BZV589924:CAC589924 CJR589924:CJY589924 CTN589924:CTU589924 DDJ589924:DDQ589924 DNF589924:DNM589924 DXB589924:DXI589924 EGX589924:EHE589924 EQT589924:ERA589924 FAP589924:FAW589924 FKL589924:FKS589924 FUH589924:FUO589924 GED589924:GEK589924 GNZ589924:GOG589924 GXV589924:GYC589924 HHR589924:HHY589924 HRN589924:HRU589924 IBJ589924:IBQ589924 ILF589924:ILM589924 IVB589924:IVI589924 JEX589924:JFE589924 JOT589924:JPA589924 JYP589924:JYW589924 KIL589924:KIS589924 KSH589924:KSO589924 LCD589924:LCK589924 LLZ589924:LMG589924 LVV589924:LWC589924 MFR589924:MFY589924 MPN589924:MPU589924 MZJ589924:MZQ589924 NJF589924:NJM589924 NTB589924:NTI589924 OCX589924:ODE589924 OMT589924:ONA589924 OWP589924:OWW589924 PGL589924:PGS589924 PQH589924:PQO589924 QAD589924:QAK589924 QJZ589924:QKG589924 QTV589924:QUC589924 RDR589924:RDY589924 RNN589924:RNU589924 RXJ589924:RXQ589924 SHF589924:SHM589924 SRB589924:SRI589924 TAX589924:TBE589924 TKT589924:TLA589924 TUP589924:TUW589924 UEL589924:UES589924 UOH589924:UOO589924 UYD589924:UYK589924 VHZ589924:VIG589924 VRV589924:VSC589924 WBR589924:WBY589924 WLN589924:WLU589924 WVJ589924:WVQ589924 B655460:I655460 IX655460:JE655460 ST655460:TA655460 ACP655460:ACW655460 AML655460:AMS655460 AWH655460:AWO655460 BGD655460:BGK655460 BPZ655460:BQG655460 BZV655460:CAC655460 CJR655460:CJY655460 CTN655460:CTU655460 DDJ655460:DDQ655460 DNF655460:DNM655460 DXB655460:DXI655460 EGX655460:EHE655460 EQT655460:ERA655460 FAP655460:FAW655460 FKL655460:FKS655460 FUH655460:FUO655460 GED655460:GEK655460 GNZ655460:GOG655460 GXV655460:GYC655460 HHR655460:HHY655460 HRN655460:HRU655460 IBJ655460:IBQ655460 ILF655460:ILM655460 IVB655460:IVI655460 JEX655460:JFE655460 JOT655460:JPA655460 JYP655460:JYW655460 KIL655460:KIS655460 KSH655460:KSO655460 LCD655460:LCK655460 LLZ655460:LMG655460 LVV655460:LWC655460 MFR655460:MFY655460 MPN655460:MPU655460 MZJ655460:MZQ655460 NJF655460:NJM655460 NTB655460:NTI655460 OCX655460:ODE655460 OMT655460:ONA655460 OWP655460:OWW655460 PGL655460:PGS655460 PQH655460:PQO655460 QAD655460:QAK655460 QJZ655460:QKG655460 QTV655460:QUC655460 RDR655460:RDY655460 RNN655460:RNU655460 RXJ655460:RXQ655460 SHF655460:SHM655460 SRB655460:SRI655460 TAX655460:TBE655460 TKT655460:TLA655460 TUP655460:TUW655460 UEL655460:UES655460 UOH655460:UOO655460 UYD655460:UYK655460 VHZ655460:VIG655460 VRV655460:VSC655460 WBR655460:WBY655460 WLN655460:WLU655460 WVJ655460:WVQ655460 B720996:I720996 IX720996:JE720996 ST720996:TA720996 ACP720996:ACW720996 AML720996:AMS720996 AWH720996:AWO720996 BGD720996:BGK720996 BPZ720996:BQG720996 BZV720996:CAC720996 CJR720996:CJY720996 CTN720996:CTU720996 DDJ720996:DDQ720996 DNF720996:DNM720996 DXB720996:DXI720996 EGX720996:EHE720996 EQT720996:ERA720996 FAP720996:FAW720996 FKL720996:FKS720996 FUH720996:FUO720996 GED720996:GEK720996 GNZ720996:GOG720996 GXV720996:GYC720996 HHR720996:HHY720996 HRN720996:HRU720996 IBJ720996:IBQ720996 ILF720996:ILM720996 IVB720996:IVI720996 JEX720996:JFE720996 JOT720996:JPA720996 JYP720996:JYW720996 KIL720996:KIS720996 KSH720996:KSO720996 LCD720996:LCK720996 LLZ720996:LMG720996 LVV720996:LWC720996 MFR720996:MFY720996 MPN720996:MPU720996 MZJ720996:MZQ720996 NJF720996:NJM720996 NTB720996:NTI720996 OCX720996:ODE720996 OMT720996:ONA720996 OWP720996:OWW720996 PGL720996:PGS720996 PQH720996:PQO720996 QAD720996:QAK720996 QJZ720996:QKG720996 QTV720996:QUC720996 RDR720996:RDY720996 RNN720996:RNU720996 RXJ720996:RXQ720996 SHF720996:SHM720996 SRB720996:SRI720996 TAX720996:TBE720996 TKT720996:TLA720996 TUP720996:TUW720996 UEL720996:UES720996 UOH720996:UOO720996 UYD720996:UYK720996 VHZ720996:VIG720996 VRV720996:VSC720996 WBR720996:WBY720996 WLN720996:WLU720996 WVJ720996:WVQ720996 B786532:I786532 IX786532:JE786532 ST786532:TA786532 ACP786532:ACW786532 AML786532:AMS786532 AWH786532:AWO786532 BGD786532:BGK786532 BPZ786532:BQG786532 BZV786532:CAC786532 CJR786532:CJY786532 CTN786532:CTU786532 DDJ786532:DDQ786532 DNF786532:DNM786532 DXB786532:DXI786532 EGX786532:EHE786532 EQT786532:ERA786532 FAP786532:FAW786532 FKL786532:FKS786532 FUH786532:FUO786532 GED786532:GEK786532 GNZ786532:GOG786532 GXV786532:GYC786532 HHR786532:HHY786532 HRN786532:HRU786532 IBJ786532:IBQ786532 ILF786532:ILM786532 IVB786532:IVI786532 JEX786532:JFE786532 JOT786532:JPA786532 JYP786532:JYW786532 KIL786532:KIS786532 KSH786532:KSO786532 LCD786532:LCK786532 LLZ786532:LMG786532 LVV786532:LWC786532 MFR786532:MFY786532 MPN786532:MPU786532 MZJ786532:MZQ786532 NJF786532:NJM786532 NTB786532:NTI786532 OCX786532:ODE786532 OMT786532:ONA786532 OWP786532:OWW786532 PGL786532:PGS786532 PQH786532:PQO786532 QAD786532:QAK786532 QJZ786532:QKG786532 QTV786532:QUC786532 RDR786532:RDY786532 RNN786532:RNU786532 RXJ786532:RXQ786532 SHF786532:SHM786532 SRB786532:SRI786532 TAX786532:TBE786532 TKT786532:TLA786532 TUP786532:TUW786532 UEL786532:UES786532 UOH786532:UOO786532 UYD786532:UYK786532 VHZ786532:VIG786532 VRV786532:VSC786532 WBR786532:WBY786532 WLN786532:WLU786532 WVJ786532:WVQ786532 B852068:I852068 IX852068:JE852068 ST852068:TA852068 ACP852068:ACW852068 AML852068:AMS852068 AWH852068:AWO852068 BGD852068:BGK852068 BPZ852068:BQG852068 BZV852068:CAC852068 CJR852068:CJY852068 CTN852068:CTU852068 DDJ852068:DDQ852068 DNF852068:DNM852068 DXB852068:DXI852068 EGX852068:EHE852068 EQT852068:ERA852068 FAP852068:FAW852068 FKL852068:FKS852068 FUH852068:FUO852068 GED852068:GEK852068 GNZ852068:GOG852068 GXV852068:GYC852068 HHR852068:HHY852068 HRN852068:HRU852068 IBJ852068:IBQ852068 ILF852068:ILM852068 IVB852068:IVI852068 JEX852068:JFE852068 JOT852068:JPA852068 JYP852068:JYW852068 KIL852068:KIS852068 KSH852068:KSO852068 LCD852068:LCK852068 LLZ852068:LMG852068 LVV852068:LWC852068 MFR852068:MFY852068 MPN852068:MPU852068 MZJ852068:MZQ852068 NJF852068:NJM852068 NTB852068:NTI852068 OCX852068:ODE852068 OMT852068:ONA852068 OWP852068:OWW852068 PGL852068:PGS852068 PQH852068:PQO852068 QAD852068:QAK852068 QJZ852068:QKG852068 QTV852068:QUC852068 RDR852068:RDY852068 RNN852068:RNU852068 RXJ852068:RXQ852068 SHF852068:SHM852068 SRB852068:SRI852068 TAX852068:TBE852068 TKT852068:TLA852068 TUP852068:TUW852068 UEL852068:UES852068 UOH852068:UOO852068 UYD852068:UYK852068 VHZ852068:VIG852068 VRV852068:VSC852068 WBR852068:WBY852068 WLN852068:WLU852068 WVJ852068:WVQ852068 B917604:I917604 IX917604:JE917604 ST917604:TA917604 ACP917604:ACW917604 AML917604:AMS917604 AWH917604:AWO917604 BGD917604:BGK917604 BPZ917604:BQG917604 BZV917604:CAC917604 CJR917604:CJY917604 CTN917604:CTU917604 DDJ917604:DDQ917604 DNF917604:DNM917604 DXB917604:DXI917604 EGX917604:EHE917604 EQT917604:ERA917604 FAP917604:FAW917604 FKL917604:FKS917604 FUH917604:FUO917604 GED917604:GEK917604 GNZ917604:GOG917604 GXV917604:GYC917604 HHR917604:HHY917604 HRN917604:HRU917604 IBJ917604:IBQ917604 ILF917604:ILM917604 IVB917604:IVI917604 JEX917604:JFE917604 JOT917604:JPA917604 JYP917604:JYW917604 KIL917604:KIS917604 KSH917604:KSO917604 LCD917604:LCK917604 LLZ917604:LMG917604 LVV917604:LWC917604 MFR917604:MFY917604 MPN917604:MPU917604 MZJ917604:MZQ917604 NJF917604:NJM917604 NTB917604:NTI917604 OCX917604:ODE917604 OMT917604:ONA917604 OWP917604:OWW917604 PGL917604:PGS917604 PQH917604:PQO917604 QAD917604:QAK917604 QJZ917604:QKG917604 QTV917604:QUC917604 RDR917604:RDY917604 RNN917604:RNU917604 RXJ917604:RXQ917604 SHF917604:SHM917604 SRB917604:SRI917604 TAX917604:TBE917604 TKT917604:TLA917604 TUP917604:TUW917604 UEL917604:UES917604 UOH917604:UOO917604 UYD917604:UYK917604 VHZ917604:VIG917604 VRV917604:VSC917604 WBR917604:WBY917604 WLN917604:WLU917604 WVJ917604:WVQ917604 B983140:I983140 IX983140:JE983140 ST983140:TA983140 ACP983140:ACW983140 AML983140:AMS983140 AWH983140:AWO983140 BGD983140:BGK983140 BPZ983140:BQG983140 BZV983140:CAC983140 CJR983140:CJY983140 CTN983140:CTU983140 DDJ983140:DDQ983140 DNF983140:DNM983140 DXB983140:DXI983140 EGX983140:EHE983140 EQT983140:ERA983140 FAP983140:FAW983140 FKL983140:FKS983140 FUH983140:FUO983140 GED983140:GEK983140 GNZ983140:GOG983140 GXV983140:GYC983140 HHR983140:HHY983140 HRN983140:HRU983140 IBJ983140:IBQ983140 ILF983140:ILM983140 IVB983140:IVI983140 JEX983140:JFE983140 JOT983140:JPA983140 JYP983140:JYW983140 KIL983140:KIS983140 KSH983140:KSO983140 LCD983140:LCK983140 LLZ983140:LMG983140 LVV983140:LWC983140 MFR983140:MFY983140 MPN983140:MPU983140 MZJ983140:MZQ983140 NJF983140:NJM983140 NTB983140:NTI983140 OCX983140:ODE983140 OMT983140:ONA983140 OWP983140:OWW983140 PGL983140:PGS983140 PQH983140:PQO983140 QAD983140:QAK983140 QJZ983140:QKG983140 QTV983140:QUC983140 RDR983140:RDY983140 RNN983140:RNU983140 RXJ983140:RXQ983140 SHF983140:SHM983140 SRB983140:SRI983140 TAX983140:TBE983140 TKT983140:TLA983140 TUP983140:TUW983140 UEL983140:UES983140 UOH983140:UOO983140 UYD983140:UYK983140 VHZ983140:VIG983140 VRV983140:VSC983140 WBR983140:WBY983140 WLN983140:WLU983140 WVJ983140:WVQ983140">
      <formula1>NOT(ISERR(AND(FIND(".",B19),FIND("@",B19))))</formula1>
    </dataValidation>
    <dataValidation type="list" allowBlank="1" showInputMessage="1" showErrorMessage="1" error="Please select from the drop-down list" promptTitle="Role" prompt="Select the role of this person for this dataset. The role of Owner is the person or persons who should be contacted for more information." sqref="B18:I18 IX18:JE18 ST18:TA18 ACP18:ACW18 AML18:AMS18 AWH18:AWO18 BGD18:BGK18 BPZ18:BQG18 BZV18:CAC18 CJR18:CJY18 CTN18:CTU18 DDJ18:DDQ18 DNF18:DNM18 DXB18:DXI18 EGX18:EHE18 EQT18:ERA18 FAP18:FAW18 FKL18:FKS18 FUH18:FUO18 GED18:GEK18 GNZ18:GOG18 GXV18:GYC18 HHR18:HHY18 HRN18:HRU18 IBJ18:IBQ18 ILF18:ILM18 IVB18:IVI18 JEX18:JFE18 JOT18:JPA18 JYP18:JYW18 KIL18:KIS18 KSH18:KSO18 LCD18:LCK18 LLZ18:LMG18 LVV18:LWC18 MFR18:MFY18 MPN18:MPU18 MZJ18:MZQ18 NJF18:NJM18 NTB18:NTI18 OCX18:ODE18 OMT18:ONA18 OWP18:OWW18 PGL18:PGS18 PQH18:PQO18 QAD18:QAK18 QJZ18:QKG18 QTV18:QUC18 RDR18:RDY18 RNN18:RNU18 RXJ18:RXQ18 SHF18:SHM18 SRB18:SRI18 TAX18:TBE18 TKT18:TLA18 TUP18:TUW18 UEL18:UES18 UOH18:UOO18 UYD18:UYK18 VHZ18:VIG18 VRV18:VSC18 WBR18:WBY18 WLN18:WLU18 WVJ18:WVQ18 B65635:I65635 IX65635:JE65635 ST65635:TA65635 ACP65635:ACW65635 AML65635:AMS65635 AWH65635:AWO65635 BGD65635:BGK65635 BPZ65635:BQG65635 BZV65635:CAC65635 CJR65635:CJY65635 CTN65635:CTU65635 DDJ65635:DDQ65635 DNF65635:DNM65635 DXB65635:DXI65635 EGX65635:EHE65635 EQT65635:ERA65635 FAP65635:FAW65635 FKL65635:FKS65635 FUH65635:FUO65635 GED65635:GEK65635 GNZ65635:GOG65635 GXV65635:GYC65635 HHR65635:HHY65635 HRN65635:HRU65635 IBJ65635:IBQ65635 ILF65635:ILM65635 IVB65635:IVI65635 JEX65635:JFE65635 JOT65635:JPA65635 JYP65635:JYW65635 KIL65635:KIS65635 KSH65635:KSO65635 LCD65635:LCK65635 LLZ65635:LMG65635 LVV65635:LWC65635 MFR65635:MFY65635 MPN65635:MPU65635 MZJ65635:MZQ65635 NJF65635:NJM65635 NTB65635:NTI65635 OCX65635:ODE65635 OMT65635:ONA65635 OWP65635:OWW65635 PGL65635:PGS65635 PQH65635:PQO65635 QAD65635:QAK65635 QJZ65635:QKG65635 QTV65635:QUC65635 RDR65635:RDY65635 RNN65635:RNU65635 RXJ65635:RXQ65635 SHF65635:SHM65635 SRB65635:SRI65635 TAX65635:TBE65635 TKT65635:TLA65635 TUP65635:TUW65635 UEL65635:UES65635 UOH65635:UOO65635 UYD65635:UYK65635 VHZ65635:VIG65635 VRV65635:VSC65635 WBR65635:WBY65635 WLN65635:WLU65635 WVJ65635:WVQ65635 B131171:I131171 IX131171:JE131171 ST131171:TA131171 ACP131171:ACW131171 AML131171:AMS131171 AWH131171:AWO131171 BGD131171:BGK131171 BPZ131171:BQG131171 BZV131171:CAC131171 CJR131171:CJY131171 CTN131171:CTU131171 DDJ131171:DDQ131171 DNF131171:DNM131171 DXB131171:DXI131171 EGX131171:EHE131171 EQT131171:ERA131171 FAP131171:FAW131171 FKL131171:FKS131171 FUH131171:FUO131171 GED131171:GEK131171 GNZ131171:GOG131171 GXV131171:GYC131171 HHR131171:HHY131171 HRN131171:HRU131171 IBJ131171:IBQ131171 ILF131171:ILM131171 IVB131171:IVI131171 JEX131171:JFE131171 JOT131171:JPA131171 JYP131171:JYW131171 KIL131171:KIS131171 KSH131171:KSO131171 LCD131171:LCK131171 LLZ131171:LMG131171 LVV131171:LWC131171 MFR131171:MFY131171 MPN131171:MPU131171 MZJ131171:MZQ131171 NJF131171:NJM131171 NTB131171:NTI131171 OCX131171:ODE131171 OMT131171:ONA131171 OWP131171:OWW131171 PGL131171:PGS131171 PQH131171:PQO131171 QAD131171:QAK131171 QJZ131171:QKG131171 QTV131171:QUC131171 RDR131171:RDY131171 RNN131171:RNU131171 RXJ131171:RXQ131171 SHF131171:SHM131171 SRB131171:SRI131171 TAX131171:TBE131171 TKT131171:TLA131171 TUP131171:TUW131171 UEL131171:UES131171 UOH131171:UOO131171 UYD131171:UYK131171 VHZ131171:VIG131171 VRV131171:VSC131171 WBR131171:WBY131171 WLN131171:WLU131171 WVJ131171:WVQ131171 B196707:I196707 IX196707:JE196707 ST196707:TA196707 ACP196707:ACW196707 AML196707:AMS196707 AWH196707:AWO196707 BGD196707:BGK196707 BPZ196707:BQG196707 BZV196707:CAC196707 CJR196707:CJY196707 CTN196707:CTU196707 DDJ196707:DDQ196707 DNF196707:DNM196707 DXB196707:DXI196707 EGX196707:EHE196707 EQT196707:ERA196707 FAP196707:FAW196707 FKL196707:FKS196707 FUH196707:FUO196707 GED196707:GEK196707 GNZ196707:GOG196707 GXV196707:GYC196707 HHR196707:HHY196707 HRN196707:HRU196707 IBJ196707:IBQ196707 ILF196707:ILM196707 IVB196707:IVI196707 JEX196707:JFE196707 JOT196707:JPA196707 JYP196707:JYW196707 KIL196707:KIS196707 KSH196707:KSO196707 LCD196707:LCK196707 LLZ196707:LMG196707 LVV196707:LWC196707 MFR196707:MFY196707 MPN196707:MPU196707 MZJ196707:MZQ196707 NJF196707:NJM196707 NTB196707:NTI196707 OCX196707:ODE196707 OMT196707:ONA196707 OWP196707:OWW196707 PGL196707:PGS196707 PQH196707:PQO196707 QAD196707:QAK196707 QJZ196707:QKG196707 QTV196707:QUC196707 RDR196707:RDY196707 RNN196707:RNU196707 RXJ196707:RXQ196707 SHF196707:SHM196707 SRB196707:SRI196707 TAX196707:TBE196707 TKT196707:TLA196707 TUP196707:TUW196707 UEL196707:UES196707 UOH196707:UOO196707 UYD196707:UYK196707 VHZ196707:VIG196707 VRV196707:VSC196707 WBR196707:WBY196707 WLN196707:WLU196707 WVJ196707:WVQ196707 B262243:I262243 IX262243:JE262243 ST262243:TA262243 ACP262243:ACW262243 AML262243:AMS262243 AWH262243:AWO262243 BGD262243:BGK262243 BPZ262243:BQG262243 BZV262243:CAC262243 CJR262243:CJY262243 CTN262243:CTU262243 DDJ262243:DDQ262243 DNF262243:DNM262243 DXB262243:DXI262243 EGX262243:EHE262243 EQT262243:ERA262243 FAP262243:FAW262243 FKL262243:FKS262243 FUH262243:FUO262243 GED262243:GEK262243 GNZ262243:GOG262243 GXV262243:GYC262243 HHR262243:HHY262243 HRN262243:HRU262243 IBJ262243:IBQ262243 ILF262243:ILM262243 IVB262243:IVI262243 JEX262243:JFE262243 JOT262243:JPA262243 JYP262243:JYW262243 KIL262243:KIS262243 KSH262243:KSO262243 LCD262243:LCK262243 LLZ262243:LMG262243 LVV262243:LWC262243 MFR262243:MFY262243 MPN262243:MPU262243 MZJ262243:MZQ262243 NJF262243:NJM262243 NTB262243:NTI262243 OCX262243:ODE262243 OMT262243:ONA262243 OWP262243:OWW262243 PGL262243:PGS262243 PQH262243:PQO262243 QAD262243:QAK262243 QJZ262243:QKG262243 QTV262243:QUC262243 RDR262243:RDY262243 RNN262243:RNU262243 RXJ262243:RXQ262243 SHF262243:SHM262243 SRB262243:SRI262243 TAX262243:TBE262243 TKT262243:TLA262243 TUP262243:TUW262243 UEL262243:UES262243 UOH262243:UOO262243 UYD262243:UYK262243 VHZ262243:VIG262243 VRV262243:VSC262243 WBR262243:WBY262243 WLN262243:WLU262243 WVJ262243:WVQ262243 B327779:I327779 IX327779:JE327779 ST327779:TA327779 ACP327779:ACW327779 AML327779:AMS327779 AWH327779:AWO327779 BGD327779:BGK327779 BPZ327779:BQG327779 BZV327779:CAC327779 CJR327779:CJY327779 CTN327779:CTU327779 DDJ327779:DDQ327779 DNF327779:DNM327779 DXB327779:DXI327779 EGX327779:EHE327779 EQT327779:ERA327779 FAP327779:FAW327779 FKL327779:FKS327779 FUH327779:FUO327779 GED327779:GEK327779 GNZ327779:GOG327779 GXV327779:GYC327779 HHR327779:HHY327779 HRN327779:HRU327779 IBJ327779:IBQ327779 ILF327779:ILM327779 IVB327779:IVI327779 JEX327779:JFE327779 JOT327779:JPA327779 JYP327779:JYW327779 KIL327779:KIS327779 KSH327779:KSO327779 LCD327779:LCK327779 LLZ327779:LMG327779 LVV327779:LWC327779 MFR327779:MFY327779 MPN327779:MPU327779 MZJ327779:MZQ327779 NJF327779:NJM327779 NTB327779:NTI327779 OCX327779:ODE327779 OMT327779:ONA327779 OWP327779:OWW327779 PGL327779:PGS327779 PQH327779:PQO327779 QAD327779:QAK327779 QJZ327779:QKG327779 QTV327779:QUC327779 RDR327779:RDY327779 RNN327779:RNU327779 RXJ327779:RXQ327779 SHF327779:SHM327779 SRB327779:SRI327779 TAX327779:TBE327779 TKT327779:TLA327779 TUP327779:TUW327779 UEL327779:UES327779 UOH327779:UOO327779 UYD327779:UYK327779 VHZ327779:VIG327779 VRV327779:VSC327779 WBR327779:WBY327779 WLN327779:WLU327779 WVJ327779:WVQ327779 B393315:I393315 IX393315:JE393315 ST393315:TA393315 ACP393315:ACW393315 AML393315:AMS393315 AWH393315:AWO393315 BGD393315:BGK393315 BPZ393315:BQG393315 BZV393315:CAC393315 CJR393315:CJY393315 CTN393315:CTU393315 DDJ393315:DDQ393315 DNF393315:DNM393315 DXB393315:DXI393315 EGX393315:EHE393315 EQT393315:ERA393315 FAP393315:FAW393315 FKL393315:FKS393315 FUH393315:FUO393315 GED393315:GEK393315 GNZ393315:GOG393315 GXV393315:GYC393315 HHR393315:HHY393315 HRN393315:HRU393315 IBJ393315:IBQ393315 ILF393315:ILM393315 IVB393315:IVI393315 JEX393315:JFE393315 JOT393315:JPA393315 JYP393315:JYW393315 KIL393315:KIS393315 KSH393315:KSO393315 LCD393315:LCK393315 LLZ393315:LMG393315 LVV393315:LWC393315 MFR393315:MFY393315 MPN393315:MPU393315 MZJ393315:MZQ393315 NJF393315:NJM393315 NTB393315:NTI393315 OCX393315:ODE393315 OMT393315:ONA393315 OWP393315:OWW393315 PGL393315:PGS393315 PQH393315:PQO393315 QAD393315:QAK393315 QJZ393315:QKG393315 QTV393315:QUC393315 RDR393315:RDY393315 RNN393315:RNU393315 RXJ393315:RXQ393315 SHF393315:SHM393315 SRB393315:SRI393315 TAX393315:TBE393315 TKT393315:TLA393315 TUP393315:TUW393315 UEL393315:UES393315 UOH393315:UOO393315 UYD393315:UYK393315 VHZ393315:VIG393315 VRV393315:VSC393315 WBR393315:WBY393315 WLN393315:WLU393315 WVJ393315:WVQ393315 B458851:I458851 IX458851:JE458851 ST458851:TA458851 ACP458851:ACW458851 AML458851:AMS458851 AWH458851:AWO458851 BGD458851:BGK458851 BPZ458851:BQG458851 BZV458851:CAC458851 CJR458851:CJY458851 CTN458851:CTU458851 DDJ458851:DDQ458851 DNF458851:DNM458851 DXB458851:DXI458851 EGX458851:EHE458851 EQT458851:ERA458851 FAP458851:FAW458851 FKL458851:FKS458851 FUH458851:FUO458851 GED458851:GEK458851 GNZ458851:GOG458851 GXV458851:GYC458851 HHR458851:HHY458851 HRN458851:HRU458851 IBJ458851:IBQ458851 ILF458851:ILM458851 IVB458851:IVI458851 JEX458851:JFE458851 JOT458851:JPA458851 JYP458851:JYW458851 KIL458851:KIS458851 KSH458851:KSO458851 LCD458851:LCK458851 LLZ458851:LMG458851 LVV458851:LWC458851 MFR458851:MFY458851 MPN458851:MPU458851 MZJ458851:MZQ458851 NJF458851:NJM458851 NTB458851:NTI458851 OCX458851:ODE458851 OMT458851:ONA458851 OWP458851:OWW458851 PGL458851:PGS458851 PQH458851:PQO458851 QAD458851:QAK458851 QJZ458851:QKG458851 QTV458851:QUC458851 RDR458851:RDY458851 RNN458851:RNU458851 RXJ458851:RXQ458851 SHF458851:SHM458851 SRB458851:SRI458851 TAX458851:TBE458851 TKT458851:TLA458851 TUP458851:TUW458851 UEL458851:UES458851 UOH458851:UOO458851 UYD458851:UYK458851 VHZ458851:VIG458851 VRV458851:VSC458851 WBR458851:WBY458851 WLN458851:WLU458851 WVJ458851:WVQ458851 B524387:I524387 IX524387:JE524387 ST524387:TA524387 ACP524387:ACW524387 AML524387:AMS524387 AWH524387:AWO524387 BGD524387:BGK524387 BPZ524387:BQG524387 BZV524387:CAC524387 CJR524387:CJY524387 CTN524387:CTU524387 DDJ524387:DDQ524387 DNF524387:DNM524387 DXB524387:DXI524387 EGX524387:EHE524387 EQT524387:ERA524387 FAP524387:FAW524387 FKL524387:FKS524387 FUH524387:FUO524387 GED524387:GEK524387 GNZ524387:GOG524387 GXV524387:GYC524387 HHR524387:HHY524387 HRN524387:HRU524387 IBJ524387:IBQ524387 ILF524387:ILM524387 IVB524387:IVI524387 JEX524387:JFE524387 JOT524387:JPA524387 JYP524387:JYW524387 KIL524387:KIS524387 KSH524387:KSO524387 LCD524387:LCK524387 LLZ524387:LMG524387 LVV524387:LWC524387 MFR524387:MFY524387 MPN524387:MPU524387 MZJ524387:MZQ524387 NJF524387:NJM524387 NTB524387:NTI524387 OCX524387:ODE524387 OMT524387:ONA524387 OWP524387:OWW524387 PGL524387:PGS524387 PQH524387:PQO524387 QAD524387:QAK524387 QJZ524387:QKG524387 QTV524387:QUC524387 RDR524387:RDY524387 RNN524387:RNU524387 RXJ524387:RXQ524387 SHF524387:SHM524387 SRB524387:SRI524387 TAX524387:TBE524387 TKT524387:TLA524387 TUP524387:TUW524387 UEL524387:UES524387 UOH524387:UOO524387 UYD524387:UYK524387 VHZ524387:VIG524387 VRV524387:VSC524387 WBR524387:WBY524387 WLN524387:WLU524387 WVJ524387:WVQ524387 B589923:I589923 IX589923:JE589923 ST589923:TA589923 ACP589923:ACW589923 AML589923:AMS589923 AWH589923:AWO589923 BGD589923:BGK589923 BPZ589923:BQG589923 BZV589923:CAC589923 CJR589923:CJY589923 CTN589923:CTU589923 DDJ589923:DDQ589923 DNF589923:DNM589923 DXB589923:DXI589923 EGX589923:EHE589923 EQT589923:ERA589923 FAP589923:FAW589923 FKL589923:FKS589923 FUH589923:FUO589923 GED589923:GEK589923 GNZ589923:GOG589923 GXV589923:GYC589923 HHR589923:HHY589923 HRN589923:HRU589923 IBJ589923:IBQ589923 ILF589923:ILM589923 IVB589923:IVI589923 JEX589923:JFE589923 JOT589923:JPA589923 JYP589923:JYW589923 KIL589923:KIS589923 KSH589923:KSO589923 LCD589923:LCK589923 LLZ589923:LMG589923 LVV589923:LWC589923 MFR589923:MFY589923 MPN589923:MPU589923 MZJ589923:MZQ589923 NJF589923:NJM589923 NTB589923:NTI589923 OCX589923:ODE589923 OMT589923:ONA589923 OWP589923:OWW589923 PGL589923:PGS589923 PQH589923:PQO589923 QAD589923:QAK589923 QJZ589923:QKG589923 QTV589923:QUC589923 RDR589923:RDY589923 RNN589923:RNU589923 RXJ589923:RXQ589923 SHF589923:SHM589923 SRB589923:SRI589923 TAX589923:TBE589923 TKT589923:TLA589923 TUP589923:TUW589923 UEL589923:UES589923 UOH589923:UOO589923 UYD589923:UYK589923 VHZ589923:VIG589923 VRV589923:VSC589923 WBR589923:WBY589923 WLN589923:WLU589923 WVJ589923:WVQ589923 B655459:I655459 IX655459:JE655459 ST655459:TA655459 ACP655459:ACW655459 AML655459:AMS655459 AWH655459:AWO655459 BGD655459:BGK655459 BPZ655459:BQG655459 BZV655459:CAC655459 CJR655459:CJY655459 CTN655459:CTU655459 DDJ655459:DDQ655459 DNF655459:DNM655459 DXB655459:DXI655459 EGX655459:EHE655459 EQT655459:ERA655459 FAP655459:FAW655459 FKL655459:FKS655459 FUH655459:FUO655459 GED655459:GEK655459 GNZ655459:GOG655459 GXV655459:GYC655459 HHR655459:HHY655459 HRN655459:HRU655459 IBJ655459:IBQ655459 ILF655459:ILM655459 IVB655459:IVI655459 JEX655459:JFE655459 JOT655459:JPA655459 JYP655459:JYW655459 KIL655459:KIS655459 KSH655459:KSO655459 LCD655459:LCK655459 LLZ655459:LMG655459 LVV655459:LWC655459 MFR655459:MFY655459 MPN655459:MPU655459 MZJ655459:MZQ655459 NJF655459:NJM655459 NTB655459:NTI655459 OCX655459:ODE655459 OMT655459:ONA655459 OWP655459:OWW655459 PGL655459:PGS655459 PQH655459:PQO655459 QAD655459:QAK655459 QJZ655459:QKG655459 QTV655459:QUC655459 RDR655459:RDY655459 RNN655459:RNU655459 RXJ655459:RXQ655459 SHF655459:SHM655459 SRB655459:SRI655459 TAX655459:TBE655459 TKT655459:TLA655459 TUP655459:TUW655459 UEL655459:UES655459 UOH655459:UOO655459 UYD655459:UYK655459 VHZ655459:VIG655459 VRV655459:VSC655459 WBR655459:WBY655459 WLN655459:WLU655459 WVJ655459:WVQ655459 B720995:I720995 IX720995:JE720995 ST720995:TA720995 ACP720995:ACW720995 AML720995:AMS720995 AWH720995:AWO720995 BGD720995:BGK720995 BPZ720995:BQG720995 BZV720995:CAC720995 CJR720995:CJY720995 CTN720995:CTU720995 DDJ720995:DDQ720995 DNF720995:DNM720995 DXB720995:DXI720995 EGX720995:EHE720995 EQT720995:ERA720995 FAP720995:FAW720995 FKL720995:FKS720995 FUH720995:FUO720995 GED720995:GEK720995 GNZ720995:GOG720995 GXV720995:GYC720995 HHR720995:HHY720995 HRN720995:HRU720995 IBJ720995:IBQ720995 ILF720995:ILM720995 IVB720995:IVI720995 JEX720995:JFE720995 JOT720995:JPA720995 JYP720995:JYW720995 KIL720995:KIS720995 KSH720995:KSO720995 LCD720995:LCK720995 LLZ720995:LMG720995 LVV720995:LWC720995 MFR720995:MFY720995 MPN720995:MPU720995 MZJ720995:MZQ720995 NJF720995:NJM720995 NTB720995:NTI720995 OCX720995:ODE720995 OMT720995:ONA720995 OWP720995:OWW720995 PGL720995:PGS720995 PQH720995:PQO720995 QAD720995:QAK720995 QJZ720995:QKG720995 QTV720995:QUC720995 RDR720995:RDY720995 RNN720995:RNU720995 RXJ720995:RXQ720995 SHF720995:SHM720995 SRB720995:SRI720995 TAX720995:TBE720995 TKT720995:TLA720995 TUP720995:TUW720995 UEL720995:UES720995 UOH720995:UOO720995 UYD720995:UYK720995 VHZ720995:VIG720995 VRV720995:VSC720995 WBR720995:WBY720995 WLN720995:WLU720995 WVJ720995:WVQ720995 B786531:I786531 IX786531:JE786531 ST786531:TA786531 ACP786531:ACW786531 AML786531:AMS786531 AWH786531:AWO786531 BGD786531:BGK786531 BPZ786531:BQG786531 BZV786531:CAC786531 CJR786531:CJY786531 CTN786531:CTU786531 DDJ786531:DDQ786531 DNF786531:DNM786531 DXB786531:DXI786531 EGX786531:EHE786531 EQT786531:ERA786531 FAP786531:FAW786531 FKL786531:FKS786531 FUH786531:FUO786531 GED786531:GEK786531 GNZ786531:GOG786531 GXV786531:GYC786531 HHR786531:HHY786531 HRN786531:HRU786531 IBJ786531:IBQ786531 ILF786531:ILM786531 IVB786531:IVI786531 JEX786531:JFE786531 JOT786531:JPA786531 JYP786531:JYW786531 KIL786531:KIS786531 KSH786531:KSO786531 LCD786531:LCK786531 LLZ786531:LMG786531 LVV786531:LWC786531 MFR786531:MFY786531 MPN786531:MPU786531 MZJ786531:MZQ786531 NJF786531:NJM786531 NTB786531:NTI786531 OCX786531:ODE786531 OMT786531:ONA786531 OWP786531:OWW786531 PGL786531:PGS786531 PQH786531:PQO786531 QAD786531:QAK786531 QJZ786531:QKG786531 QTV786531:QUC786531 RDR786531:RDY786531 RNN786531:RNU786531 RXJ786531:RXQ786531 SHF786531:SHM786531 SRB786531:SRI786531 TAX786531:TBE786531 TKT786531:TLA786531 TUP786531:TUW786531 UEL786531:UES786531 UOH786531:UOO786531 UYD786531:UYK786531 VHZ786531:VIG786531 VRV786531:VSC786531 WBR786531:WBY786531 WLN786531:WLU786531 WVJ786531:WVQ786531 B852067:I852067 IX852067:JE852067 ST852067:TA852067 ACP852067:ACW852067 AML852067:AMS852067 AWH852067:AWO852067 BGD852067:BGK852067 BPZ852067:BQG852067 BZV852067:CAC852067 CJR852067:CJY852067 CTN852067:CTU852067 DDJ852067:DDQ852067 DNF852067:DNM852067 DXB852067:DXI852067 EGX852067:EHE852067 EQT852067:ERA852067 FAP852067:FAW852067 FKL852067:FKS852067 FUH852067:FUO852067 GED852067:GEK852067 GNZ852067:GOG852067 GXV852067:GYC852067 HHR852067:HHY852067 HRN852067:HRU852067 IBJ852067:IBQ852067 ILF852067:ILM852067 IVB852067:IVI852067 JEX852067:JFE852067 JOT852067:JPA852067 JYP852067:JYW852067 KIL852067:KIS852067 KSH852067:KSO852067 LCD852067:LCK852067 LLZ852067:LMG852067 LVV852067:LWC852067 MFR852067:MFY852067 MPN852067:MPU852067 MZJ852067:MZQ852067 NJF852067:NJM852067 NTB852067:NTI852067 OCX852067:ODE852067 OMT852067:ONA852067 OWP852067:OWW852067 PGL852067:PGS852067 PQH852067:PQO852067 QAD852067:QAK852067 QJZ852067:QKG852067 QTV852067:QUC852067 RDR852067:RDY852067 RNN852067:RNU852067 RXJ852067:RXQ852067 SHF852067:SHM852067 SRB852067:SRI852067 TAX852067:TBE852067 TKT852067:TLA852067 TUP852067:TUW852067 UEL852067:UES852067 UOH852067:UOO852067 UYD852067:UYK852067 VHZ852067:VIG852067 VRV852067:VSC852067 WBR852067:WBY852067 WLN852067:WLU852067 WVJ852067:WVQ852067 B917603:I917603 IX917603:JE917603 ST917603:TA917603 ACP917603:ACW917603 AML917603:AMS917603 AWH917603:AWO917603 BGD917603:BGK917603 BPZ917603:BQG917603 BZV917603:CAC917603 CJR917603:CJY917603 CTN917603:CTU917603 DDJ917603:DDQ917603 DNF917603:DNM917603 DXB917603:DXI917603 EGX917603:EHE917603 EQT917603:ERA917603 FAP917603:FAW917603 FKL917603:FKS917603 FUH917603:FUO917603 GED917603:GEK917603 GNZ917603:GOG917603 GXV917603:GYC917603 HHR917603:HHY917603 HRN917603:HRU917603 IBJ917603:IBQ917603 ILF917603:ILM917603 IVB917603:IVI917603 JEX917603:JFE917603 JOT917603:JPA917603 JYP917603:JYW917603 KIL917603:KIS917603 KSH917603:KSO917603 LCD917603:LCK917603 LLZ917603:LMG917603 LVV917603:LWC917603 MFR917603:MFY917603 MPN917603:MPU917603 MZJ917603:MZQ917603 NJF917603:NJM917603 NTB917603:NTI917603 OCX917603:ODE917603 OMT917603:ONA917603 OWP917603:OWW917603 PGL917603:PGS917603 PQH917603:PQO917603 QAD917603:QAK917603 QJZ917603:QKG917603 QTV917603:QUC917603 RDR917603:RDY917603 RNN917603:RNU917603 RXJ917603:RXQ917603 SHF917603:SHM917603 SRB917603:SRI917603 TAX917603:TBE917603 TKT917603:TLA917603 TUP917603:TUW917603 UEL917603:UES917603 UOH917603:UOO917603 UYD917603:UYK917603 VHZ917603:VIG917603 VRV917603:VSC917603 WBR917603:WBY917603 WLN917603:WLU917603 WVJ917603:WVQ917603 B983139:I983139 IX983139:JE983139 ST983139:TA983139 ACP983139:ACW983139 AML983139:AMS983139 AWH983139:AWO983139 BGD983139:BGK983139 BPZ983139:BQG983139 BZV983139:CAC983139 CJR983139:CJY983139 CTN983139:CTU983139 DDJ983139:DDQ983139 DNF983139:DNM983139 DXB983139:DXI983139 EGX983139:EHE983139 EQT983139:ERA983139 FAP983139:FAW983139 FKL983139:FKS983139 FUH983139:FUO983139 GED983139:GEK983139 GNZ983139:GOG983139 GXV983139:GYC983139 HHR983139:HHY983139 HRN983139:HRU983139 IBJ983139:IBQ983139 ILF983139:ILM983139 IVB983139:IVI983139 JEX983139:JFE983139 JOT983139:JPA983139 JYP983139:JYW983139 KIL983139:KIS983139 KSH983139:KSO983139 LCD983139:LCK983139 LLZ983139:LMG983139 LVV983139:LWC983139 MFR983139:MFY983139 MPN983139:MPU983139 MZJ983139:MZQ983139 NJF983139:NJM983139 NTB983139:NTI983139 OCX983139:ODE983139 OMT983139:ONA983139 OWP983139:OWW983139 PGL983139:PGS983139 PQH983139:PQO983139 QAD983139:QAK983139 QJZ983139:QKG983139 QTV983139:QUC983139 RDR983139:RDY983139 RNN983139:RNU983139 RXJ983139:RXQ983139 SHF983139:SHM983139 SRB983139:SRI983139 TAX983139:TBE983139 TKT983139:TLA983139 TUP983139:TUW983139 UEL983139:UES983139 UOH983139:UOO983139 UYD983139:UYK983139 VHZ983139:VIG983139 VRV983139:VSC983139 WBR983139:WBY983139 WLN983139:WLU983139 WVJ983139:WVQ983139">
      <formula1>$K$204:$K$209</formula1>
    </dataValidation>
    <dataValidation type="list" allowBlank="1" showInputMessage="1" showErrorMessage="1" error="Please Select fromt he drop-down list." promptTitle="Data Type" prompt="Please select DateTime, Number or Text from the drop-down list." sqref="C204:C416 IY204:IY416 SU204:SU416 ACQ204:ACQ416 AMM204:AMM416 AWI204:AWI416 BGE204:BGE416 BQA204:BQA416 BZW204:BZW416 CJS204:CJS416 CTO204:CTO416 DDK204:DDK416 DNG204:DNG416 DXC204:DXC416 EGY204:EGY416 EQU204:EQU416 FAQ204:FAQ416 FKM204:FKM416 FUI204:FUI416 GEE204:GEE416 GOA204:GOA416 GXW204:GXW416 HHS204:HHS416 HRO204:HRO416 IBK204:IBK416 ILG204:ILG416 IVC204:IVC416 JEY204:JEY416 JOU204:JOU416 JYQ204:JYQ416 KIM204:KIM416 KSI204:KSI416 LCE204:LCE416 LMA204:LMA416 LVW204:LVW416 MFS204:MFS416 MPO204:MPO416 MZK204:MZK416 NJG204:NJG416 NTC204:NTC416 OCY204:OCY416 OMU204:OMU416 OWQ204:OWQ416 PGM204:PGM416 PQI204:PQI416 QAE204:QAE416 QKA204:QKA416 QTW204:QTW416 RDS204:RDS416 RNO204:RNO416 RXK204:RXK416 SHG204:SHG416 SRC204:SRC416 TAY204:TAY416 TKU204:TKU416 TUQ204:TUQ416 UEM204:UEM416 UOI204:UOI416 UYE204:UYE416 VIA204:VIA416 VRW204:VRW416 WBS204:WBS416 WLO204:WLO416 WVK204:WVK416 C65740:C65952 IY65740:IY65952 SU65740:SU65952 ACQ65740:ACQ65952 AMM65740:AMM65952 AWI65740:AWI65952 BGE65740:BGE65952 BQA65740:BQA65952 BZW65740:BZW65952 CJS65740:CJS65952 CTO65740:CTO65952 DDK65740:DDK65952 DNG65740:DNG65952 DXC65740:DXC65952 EGY65740:EGY65952 EQU65740:EQU65952 FAQ65740:FAQ65952 FKM65740:FKM65952 FUI65740:FUI65952 GEE65740:GEE65952 GOA65740:GOA65952 GXW65740:GXW65952 HHS65740:HHS65952 HRO65740:HRO65952 IBK65740:IBK65952 ILG65740:ILG65952 IVC65740:IVC65952 JEY65740:JEY65952 JOU65740:JOU65952 JYQ65740:JYQ65952 KIM65740:KIM65952 KSI65740:KSI65952 LCE65740:LCE65952 LMA65740:LMA65952 LVW65740:LVW65952 MFS65740:MFS65952 MPO65740:MPO65952 MZK65740:MZK65952 NJG65740:NJG65952 NTC65740:NTC65952 OCY65740:OCY65952 OMU65740:OMU65952 OWQ65740:OWQ65952 PGM65740:PGM65952 PQI65740:PQI65952 QAE65740:QAE65952 QKA65740:QKA65952 QTW65740:QTW65952 RDS65740:RDS65952 RNO65740:RNO65952 RXK65740:RXK65952 SHG65740:SHG65952 SRC65740:SRC65952 TAY65740:TAY65952 TKU65740:TKU65952 TUQ65740:TUQ65952 UEM65740:UEM65952 UOI65740:UOI65952 UYE65740:UYE65952 VIA65740:VIA65952 VRW65740:VRW65952 WBS65740:WBS65952 WLO65740:WLO65952 WVK65740:WVK65952 C131276:C131488 IY131276:IY131488 SU131276:SU131488 ACQ131276:ACQ131488 AMM131276:AMM131488 AWI131276:AWI131488 BGE131276:BGE131488 BQA131276:BQA131488 BZW131276:BZW131488 CJS131276:CJS131488 CTO131276:CTO131488 DDK131276:DDK131488 DNG131276:DNG131488 DXC131276:DXC131488 EGY131276:EGY131488 EQU131276:EQU131488 FAQ131276:FAQ131488 FKM131276:FKM131488 FUI131276:FUI131488 GEE131276:GEE131488 GOA131276:GOA131488 GXW131276:GXW131488 HHS131276:HHS131488 HRO131276:HRO131488 IBK131276:IBK131488 ILG131276:ILG131488 IVC131276:IVC131488 JEY131276:JEY131488 JOU131276:JOU131488 JYQ131276:JYQ131488 KIM131276:KIM131488 KSI131276:KSI131488 LCE131276:LCE131488 LMA131276:LMA131488 LVW131276:LVW131488 MFS131276:MFS131488 MPO131276:MPO131488 MZK131276:MZK131488 NJG131276:NJG131488 NTC131276:NTC131488 OCY131276:OCY131488 OMU131276:OMU131488 OWQ131276:OWQ131488 PGM131276:PGM131488 PQI131276:PQI131488 QAE131276:QAE131488 QKA131276:QKA131488 QTW131276:QTW131488 RDS131276:RDS131488 RNO131276:RNO131488 RXK131276:RXK131488 SHG131276:SHG131488 SRC131276:SRC131488 TAY131276:TAY131488 TKU131276:TKU131488 TUQ131276:TUQ131488 UEM131276:UEM131488 UOI131276:UOI131488 UYE131276:UYE131488 VIA131276:VIA131488 VRW131276:VRW131488 WBS131276:WBS131488 WLO131276:WLO131488 WVK131276:WVK131488 C196812:C197024 IY196812:IY197024 SU196812:SU197024 ACQ196812:ACQ197024 AMM196812:AMM197024 AWI196812:AWI197024 BGE196812:BGE197024 BQA196812:BQA197024 BZW196812:BZW197024 CJS196812:CJS197024 CTO196812:CTO197024 DDK196812:DDK197024 DNG196812:DNG197024 DXC196812:DXC197024 EGY196812:EGY197024 EQU196812:EQU197024 FAQ196812:FAQ197024 FKM196812:FKM197024 FUI196812:FUI197024 GEE196812:GEE197024 GOA196812:GOA197024 GXW196812:GXW197024 HHS196812:HHS197024 HRO196812:HRO197024 IBK196812:IBK197024 ILG196812:ILG197024 IVC196812:IVC197024 JEY196812:JEY197024 JOU196812:JOU197024 JYQ196812:JYQ197024 KIM196812:KIM197024 KSI196812:KSI197024 LCE196812:LCE197024 LMA196812:LMA197024 LVW196812:LVW197024 MFS196812:MFS197024 MPO196812:MPO197024 MZK196812:MZK197024 NJG196812:NJG197024 NTC196812:NTC197024 OCY196812:OCY197024 OMU196812:OMU197024 OWQ196812:OWQ197024 PGM196812:PGM197024 PQI196812:PQI197024 QAE196812:QAE197024 QKA196812:QKA197024 QTW196812:QTW197024 RDS196812:RDS197024 RNO196812:RNO197024 RXK196812:RXK197024 SHG196812:SHG197024 SRC196812:SRC197024 TAY196812:TAY197024 TKU196812:TKU197024 TUQ196812:TUQ197024 UEM196812:UEM197024 UOI196812:UOI197024 UYE196812:UYE197024 VIA196812:VIA197024 VRW196812:VRW197024 WBS196812:WBS197024 WLO196812:WLO197024 WVK196812:WVK197024 C262348:C262560 IY262348:IY262560 SU262348:SU262560 ACQ262348:ACQ262560 AMM262348:AMM262560 AWI262348:AWI262560 BGE262348:BGE262560 BQA262348:BQA262560 BZW262348:BZW262560 CJS262348:CJS262560 CTO262348:CTO262560 DDK262348:DDK262560 DNG262348:DNG262560 DXC262348:DXC262560 EGY262348:EGY262560 EQU262348:EQU262560 FAQ262348:FAQ262560 FKM262348:FKM262560 FUI262348:FUI262560 GEE262348:GEE262560 GOA262348:GOA262560 GXW262348:GXW262560 HHS262348:HHS262560 HRO262348:HRO262560 IBK262348:IBK262560 ILG262348:ILG262560 IVC262348:IVC262560 JEY262348:JEY262560 JOU262348:JOU262560 JYQ262348:JYQ262560 KIM262348:KIM262560 KSI262348:KSI262560 LCE262348:LCE262560 LMA262348:LMA262560 LVW262348:LVW262560 MFS262348:MFS262560 MPO262348:MPO262560 MZK262348:MZK262560 NJG262348:NJG262560 NTC262348:NTC262560 OCY262348:OCY262560 OMU262348:OMU262560 OWQ262348:OWQ262560 PGM262348:PGM262560 PQI262348:PQI262560 QAE262348:QAE262560 QKA262348:QKA262560 QTW262348:QTW262560 RDS262348:RDS262560 RNO262348:RNO262560 RXK262348:RXK262560 SHG262348:SHG262560 SRC262348:SRC262560 TAY262348:TAY262560 TKU262348:TKU262560 TUQ262348:TUQ262560 UEM262348:UEM262560 UOI262348:UOI262560 UYE262348:UYE262560 VIA262348:VIA262560 VRW262348:VRW262560 WBS262348:WBS262560 WLO262348:WLO262560 WVK262348:WVK262560 C327884:C328096 IY327884:IY328096 SU327884:SU328096 ACQ327884:ACQ328096 AMM327884:AMM328096 AWI327884:AWI328096 BGE327884:BGE328096 BQA327884:BQA328096 BZW327884:BZW328096 CJS327884:CJS328096 CTO327884:CTO328096 DDK327884:DDK328096 DNG327884:DNG328096 DXC327884:DXC328096 EGY327884:EGY328096 EQU327884:EQU328096 FAQ327884:FAQ328096 FKM327884:FKM328096 FUI327884:FUI328096 GEE327884:GEE328096 GOA327884:GOA328096 GXW327884:GXW328096 HHS327884:HHS328096 HRO327884:HRO328096 IBK327884:IBK328096 ILG327884:ILG328096 IVC327884:IVC328096 JEY327884:JEY328096 JOU327884:JOU328096 JYQ327884:JYQ328096 KIM327884:KIM328096 KSI327884:KSI328096 LCE327884:LCE328096 LMA327884:LMA328096 LVW327884:LVW328096 MFS327884:MFS328096 MPO327884:MPO328096 MZK327884:MZK328096 NJG327884:NJG328096 NTC327884:NTC328096 OCY327884:OCY328096 OMU327884:OMU328096 OWQ327884:OWQ328096 PGM327884:PGM328096 PQI327884:PQI328096 QAE327884:QAE328096 QKA327884:QKA328096 QTW327884:QTW328096 RDS327884:RDS328096 RNO327884:RNO328096 RXK327884:RXK328096 SHG327884:SHG328096 SRC327884:SRC328096 TAY327884:TAY328096 TKU327884:TKU328096 TUQ327884:TUQ328096 UEM327884:UEM328096 UOI327884:UOI328096 UYE327884:UYE328096 VIA327884:VIA328096 VRW327884:VRW328096 WBS327884:WBS328096 WLO327884:WLO328096 WVK327884:WVK328096 C393420:C393632 IY393420:IY393632 SU393420:SU393632 ACQ393420:ACQ393632 AMM393420:AMM393632 AWI393420:AWI393632 BGE393420:BGE393632 BQA393420:BQA393632 BZW393420:BZW393632 CJS393420:CJS393632 CTO393420:CTO393632 DDK393420:DDK393632 DNG393420:DNG393632 DXC393420:DXC393632 EGY393420:EGY393632 EQU393420:EQU393632 FAQ393420:FAQ393632 FKM393420:FKM393632 FUI393420:FUI393632 GEE393420:GEE393632 GOA393420:GOA393632 GXW393420:GXW393632 HHS393420:HHS393632 HRO393420:HRO393632 IBK393420:IBK393632 ILG393420:ILG393632 IVC393420:IVC393632 JEY393420:JEY393632 JOU393420:JOU393632 JYQ393420:JYQ393632 KIM393420:KIM393632 KSI393420:KSI393632 LCE393420:LCE393632 LMA393420:LMA393632 LVW393420:LVW393632 MFS393420:MFS393632 MPO393420:MPO393632 MZK393420:MZK393632 NJG393420:NJG393632 NTC393420:NTC393632 OCY393420:OCY393632 OMU393420:OMU393632 OWQ393420:OWQ393632 PGM393420:PGM393632 PQI393420:PQI393632 QAE393420:QAE393632 QKA393420:QKA393632 QTW393420:QTW393632 RDS393420:RDS393632 RNO393420:RNO393632 RXK393420:RXK393632 SHG393420:SHG393632 SRC393420:SRC393632 TAY393420:TAY393632 TKU393420:TKU393632 TUQ393420:TUQ393632 UEM393420:UEM393632 UOI393420:UOI393632 UYE393420:UYE393632 VIA393420:VIA393632 VRW393420:VRW393632 WBS393420:WBS393632 WLO393420:WLO393632 WVK393420:WVK393632 C458956:C459168 IY458956:IY459168 SU458956:SU459168 ACQ458956:ACQ459168 AMM458956:AMM459168 AWI458956:AWI459168 BGE458956:BGE459168 BQA458956:BQA459168 BZW458956:BZW459168 CJS458956:CJS459168 CTO458956:CTO459168 DDK458956:DDK459168 DNG458956:DNG459168 DXC458956:DXC459168 EGY458956:EGY459168 EQU458956:EQU459168 FAQ458956:FAQ459168 FKM458956:FKM459168 FUI458956:FUI459168 GEE458956:GEE459168 GOA458956:GOA459168 GXW458956:GXW459168 HHS458956:HHS459168 HRO458956:HRO459168 IBK458956:IBK459168 ILG458956:ILG459168 IVC458956:IVC459168 JEY458956:JEY459168 JOU458956:JOU459168 JYQ458956:JYQ459168 KIM458956:KIM459168 KSI458956:KSI459168 LCE458956:LCE459168 LMA458956:LMA459168 LVW458956:LVW459168 MFS458956:MFS459168 MPO458956:MPO459168 MZK458956:MZK459168 NJG458956:NJG459168 NTC458956:NTC459168 OCY458956:OCY459168 OMU458956:OMU459168 OWQ458956:OWQ459168 PGM458956:PGM459168 PQI458956:PQI459168 QAE458956:QAE459168 QKA458956:QKA459168 QTW458956:QTW459168 RDS458956:RDS459168 RNO458956:RNO459168 RXK458956:RXK459168 SHG458956:SHG459168 SRC458956:SRC459168 TAY458956:TAY459168 TKU458956:TKU459168 TUQ458956:TUQ459168 UEM458956:UEM459168 UOI458956:UOI459168 UYE458956:UYE459168 VIA458956:VIA459168 VRW458956:VRW459168 WBS458956:WBS459168 WLO458956:WLO459168 WVK458956:WVK459168 C524492:C524704 IY524492:IY524704 SU524492:SU524704 ACQ524492:ACQ524704 AMM524492:AMM524704 AWI524492:AWI524704 BGE524492:BGE524704 BQA524492:BQA524704 BZW524492:BZW524704 CJS524492:CJS524704 CTO524492:CTO524704 DDK524492:DDK524704 DNG524492:DNG524704 DXC524492:DXC524704 EGY524492:EGY524704 EQU524492:EQU524704 FAQ524492:FAQ524704 FKM524492:FKM524704 FUI524492:FUI524704 GEE524492:GEE524704 GOA524492:GOA524704 GXW524492:GXW524704 HHS524492:HHS524704 HRO524492:HRO524704 IBK524492:IBK524704 ILG524492:ILG524704 IVC524492:IVC524704 JEY524492:JEY524704 JOU524492:JOU524704 JYQ524492:JYQ524704 KIM524492:KIM524704 KSI524492:KSI524704 LCE524492:LCE524704 LMA524492:LMA524704 LVW524492:LVW524704 MFS524492:MFS524704 MPO524492:MPO524704 MZK524492:MZK524704 NJG524492:NJG524704 NTC524492:NTC524704 OCY524492:OCY524704 OMU524492:OMU524704 OWQ524492:OWQ524704 PGM524492:PGM524704 PQI524492:PQI524704 QAE524492:QAE524704 QKA524492:QKA524704 QTW524492:QTW524704 RDS524492:RDS524704 RNO524492:RNO524704 RXK524492:RXK524704 SHG524492:SHG524704 SRC524492:SRC524704 TAY524492:TAY524704 TKU524492:TKU524704 TUQ524492:TUQ524704 UEM524492:UEM524704 UOI524492:UOI524704 UYE524492:UYE524704 VIA524492:VIA524704 VRW524492:VRW524704 WBS524492:WBS524704 WLO524492:WLO524704 WVK524492:WVK524704 C590028:C590240 IY590028:IY590240 SU590028:SU590240 ACQ590028:ACQ590240 AMM590028:AMM590240 AWI590028:AWI590240 BGE590028:BGE590240 BQA590028:BQA590240 BZW590028:BZW590240 CJS590028:CJS590240 CTO590028:CTO590240 DDK590028:DDK590240 DNG590028:DNG590240 DXC590028:DXC590240 EGY590028:EGY590240 EQU590028:EQU590240 FAQ590028:FAQ590240 FKM590028:FKM590240 FUI590028:FUI590240 GEE590028:GEE590240 GOA590028:GOA590240 GXW590028:GXW590240 HHS590028:HHS590240 HRO590028:HRO590240 IBK590028:IBK590240 ILG590028:ILG590240 IVC590028:IVC590240 JEY590028:JEY590240 JOU590028:JOU590240 JYQ590028:JYQ590240 KIM590028:KIM590240 KSI590028:KSI590240 LCE590028:LCE590240 LMA590028:LMA590240 LVW590028:LVW590240 MFS590028:MFS590240 MPO590028:MPO590240 MZK590028:MZK590240 NJG590028:NJG590240 NTC590028:NTC590240 OCY590028:OCY590240 OMU590028:OMU590240 OWQ590028:OWQ590240 PGM590028:PGM590240 PQI590028:PQI590240 QAE590028:QAE590240 QKA590028:QKA590240 QTW590028:QTW590240 RDS590028:RDS590240 RNO590028:RNO590240 RXK590028:RXK590240 SHG590028:SHG590240 SRC590028:SRC590240 TAY590028:TAY590240 TKU590028:TKU590240 TUQ590028:TUQ590240 UEM590028:UEM590240 UOI590028:UOI590240 UYE590028:UYE590240 VIA590028:VIA590240 VRW590028:VRW590240 WBS590028:WBS590240 WLO590028:WLO590240 WVK590028:WVK590240 C655564:C655776 IY655564:IY655776 SU655564:SU655776 ACQ655564:ACQ655776 AMM655564:AMM655776 AWI655564:AWI655776 BGE655564:BGE655776 BQA655564:BQA655776 BZW655564:BZW655776 CJS655564:CJS655776 CTO655564:CTO655776 DDK655564:DDK655776 DNG655564:DNG655776 DXC655564:DXC655776 EGY655564:EGY655776 EQU655564:EQU655776 FAQ655564:FAQ655776 FKM655564:FKM655776 FUI655564:FUI655776 GEE655564:GEE655776 GOA655564:GOA655776 GXW655564:GXW655776 HHS655564:HHS655776 HRO655564:HRO655776 IBK655564:IBK655776 ILG655564:ILG655776 IVC655564:IVC655776 JEY655564:JEY655776 JOU655564:JOU655776 JYQ655564:JYQ655776 KIM655564:KIM655776 KSI655564:KSI655776 LCE655564:LCE655776 LMA655564:LMA655776 LVW655564:LVW655776 MFS655564:MFS655776 MPO655564:MPO655776 MZK655564:MZK655776 NJG655564:NJG655776 NTC655564:NTC655776 OCY655564:OCY655776 OMU655564:OMU655776 OWQ655564:OWQ655776 PGM655564:PGM655776 PQI655564:PQI655776 QAE655564:QAE655776 QKA655564:QKA655776 QTW655564:QTW655776 RDS655564:RDS655776 RNO655564:RNO655776 RXK655564:RXK655776 SHG655564:SHG655776 SRC655564:SRC655776 TAY655564:TAY655776 TKU655564:TKU655776 TUQ655564:TUQ655776 UEM655564:UEM655776 UOI655564:UOI655776 UYE655564:UYE655776 VIA655564:VIA655776 VRW655564:VRW655776 WBS655564:WBS655776 WLO655564:WLO655776 WVK655564:WVK655776 C721100:C721312 IY721100:IY721312 SU721100:SU721312 ACQ721100:ACQ721312 AMM721100:AMM721312 AWI721100:AWI721312 BGE721100:BGE721312 BQA721100:BQA721312 BZW721100:BZW721312 CJS721100:CJS721312 CTO721100:CTO721312 DDK721100:DDK721312 DNG721100:DNG721312 DXC721100:DXC721312 EGY721100:EGY721312 EQU721100:EQU721312 FAQ721100:FAQ721312 FKM721100:FKM721312 FUI721100:FUI721312 GEE721100:GEE721312 GOA721100:GOA721312 GXW721100:GXW721312 HHS721100:HHS721312 HRO721100:HRO721312 IBK721100:IBK721312 ILG721100:ILG721312 IVC721100:IVC721312 JEY721100:JEY721312 JOU721100:JOU721312 JYQ721100:JYQ721312 KIM721100:KIM721312 KSI721100:KSI721312 LCE721100:LCE721312 LMA721100:LMA721312 LVW721100:LVW721312 MFS721100:MFS721312 MPO721100:MPO721312 MZK721100:MZK721312 NJG721100:NJG721312 NTC721100:NTC721312 OCY721100:OCY721312 OMU721100:OMU721312 OWQ721100:OWQ721312 PGM721100:PGM721312 PQI721100:PQI721312 QAE721100:QAE721312 QKA721100:QKA721312 QTW721100:QTW721312 RDS721100:RDS721312 RNO721100:RNO721312 RXK721100:RXK721312 SHG721100:SHG721312 SRC721100:SRC721312 TAY721100:TAY721312 TKU721100:TKU721312 TUQ721100:TUQ721312 UEM721100:UEM721312 UOI721100:UOI721312 UYE721100:UYE721312 VIA721100:VIA721312 VRW721100:VRW721312 WBS721100:WBS721312 WLO721100:WLO721312 WVK721100:WVK721312 C786636:C786848 IY786636:IY786848 SU786636:SU786848 ACQ786636:ACQ786848 AMM786636:AMM786848 AWI786636:AWI786848 BGE786636:BGE786848 BQA786636:BQA786848 BZW786636:BZW786848 CJS786636:CJS786848 CTO786636:CTO786848 DDK786636:DDK786848 DNG786636:DNG786848 DXC786636:DXC786848 EGY786636:EGY786848 EQU786636:EQU786848 FAQ786636:FAQ786848 FKM786636:FKM786848 FUI786636:FUI786848 GEE786636:GEE786848 GOA786636:GOA786848 GXW786636:GXW786848 HHS786636:HHS786848 HRO786636:HRO786848 IBK786636:IBK786848 ILG786636:ILG786848 IVC786636:IVC786848 JEY786636:JEY786848 JOU786636:JOU786848 JYQ786636:JYQ786848 KIM786636:KIM786848 KSI786636:KSI786848 LCE786636:LCE786848 LMA786636:LMA786848 LVW786636:LVW786848 MFS786636:MFS786848 MPO786636:MPO786848 MZK786636:MZK786848 NJG786636:NJG786848 NTC786636:NTC786848 OCY786636:OCY786848 OMU786636:OMU786848 OWQ786636:OWQ786848 PGM786636:PGM786848 PQI786636:PQI786848 QAE786636:QAE786848 QKA786636:QKA786848 QTW786636:QTW786848 RDS786636:RDS786848 RNO786636:RNO786848 RXK786636:RXK786848 SHG786636:SHG786848 SRC786636:SRC786848 TAY786636:TAY786848 TKU786636:TKU786848 TUQ786636:TUQ786848 UEM786636:UEM786848 UOI786636:UOI786848 UYE786636:UYE786848 VIA786636:VIA786848 VRW786636:VRW786848 WBS786636:WBS786848 WLO786636:WLO786848 WVK786636:WVK786848 C852172:C852384 IY852172:IY852384 SU852172:SU852384 ACQ852172:ACQ852384 AMM852172:AMM852384 AWI852172:AWI852384 BGE852172:BGE852384 BQA852172:BQA852384 BZW852172:BZW852384 CJS852172:CJS852384 CTO852172:CTO852384 DDK852172:DDK852384 DNG852172:DNG852384 DXC852172:DXC852384 EGY852172:EGY852384 EQU852172:EQU852384 FAQ852172:FAQ852384 FKM852172:FKM852384 FUI852172:FUI852384 GEE852172:GEE852384 GOA852172:GOA852384 GXW852172:GXW852384 HHS852172:HHS852384 HRO852172:HRO852384 IBK852172:IBK852384 ILG852172:ILG852384 IVC852172:IVC852384 JEY852172:JEY852384 JOU852172:JOU852384 JYQ852172:JYQ852384 KIM852172:KIM852384 KSI852172:KSI852384 LCE852172:LCE852384 LMA852172:LMA852384 LVW852172:LVW852384 MFS852172:MFS852384 MPO852172:MPO852384 MZK852172:MZK852384 NJG852172:NJG852384 NTC852172:NTC852384 OCY852172:OCY852384 OMU852172:OMU852384 OWQ852172:OWQ852384 PGM852172:PGM852384 PQI852172:PQI852384 QAE852172:QAE852384 QKA852172:QKA852384 QTW852172:QTW852384 RDS852172:RDS852384 RNO852172:RNO852384 RXK852172:RXK852384 SHG852172:SHG852384 SRC852172:SRC852384 TAY852172:TAY852384 TKU852172:TKU852384 TUQ852172:TUQ852384 UEM852172:UEM852384 UOI852172:UOI852384 UYE852172:UYE852384 VIA852172:VIA852384 VRW852172:VRW852384 WBS852172:WBS852384 WLO852172:WLO852384 WVK852172:WVK852384 C917708:C917920 IY917708:IY917920 SU917708:SU917920 ACQ917708:ACQ917920 AMM917708:AMM917920 AWI917708:AWI917920 BGE917708:BGE917920 BQA917708:BQA917920 BZW917708:BZW917920 CJS917708:CJS917920 CTO917708:CTO917920 DDK917708:DDK917920 DNG917708:DNG917920 DXC917708:DXC917920 EGY917708:EGY917920 EQU917708:EQU917920 FAQ917708:FAQ917920 FKM917708:FKM917920 FUI917708:FUI917920 GEE917708:GEE917920 GOA917708:GOA917920 GXW917708:GXW917920 HHS917708:HHS917920 HRO917708:HRO917920 IBK917708:IBK917920 ILG917708:ILG917920 IVC917708:IVC917920 JEY917708:JEY917920 JOU917708:JOU917920 JYQ917708:JYQ917920 KIM917708:KIM917920 KSI917708:KSI917920 LCE917708:LCE917920 LMA917708:LMA917920 LVW917708:LVW917920 MFS917708:MFS917920 MPO917708:MPO917920 MZK917708:MZK917920 NJG917708:NJG917920 NTC917708:NTC917920 OCY917708:OCY917920 OMU917708:OMU917920 OWQ917708:OWQ917920 PGM917708:PGM917920 PQI917708:PQI917920 QAE917708:QAE917920 QKA917708:QKA917920 QTW917708:QTW917920 RDS917708:RDS917920 RNO917708:RNO917920 RXK917708:RXK917920 SHG917708:SHG917920 SRC917708:SRC917920 TAY917708:TAY917920 TKU917708:TKU917920 TUQ917708:TUQ917920 UEM917708:UEM917920 UOI917708:UOI917920 UYE917708:UYE917920 VIA917708:VIA917920 VRW917708:VRW917920 WBS917708:WBS917920 WLO917708:WLO917920 WVK917708:WVK917920 C983244:C983456 IY983244:IY983456 SU983244:SU983456 ACQ983244:ACQ983456 AMM983244:AMM983456 AWI983244:AWI983456 BGE983244:BGE983456 BQA983244:BQA983456 BZW983244:BZW983456 CJS983244:CJS983456 CTO983244:CTO983456 DDK983244:DDK983456 DNG983244:DNG983456 DXC983244:DXC983456 EGY983244:EGY983456 EQU983244:EQU983456 FAQ983244:FAQ983456 FKM983244:FKM983456 FUI983244:FUI983456 GEE983244:GEE983456 GOA983244:GOA983456 GXW983244:GXW983456 HHS983244:HHS983456 HRO983244:HRO983456 IBK983244:IBK983456 ILG983244:ILG983456 IVC983244:IVC983456 JEY983244:JEY983456 JOU983244:JOU983456 JYQ983244:JYQ983456 KIM983244:KIM983456 KSI983244:KSI983456 LCE983244:LCE983456 LMA983244:LMA983456 LVW983244:LVW983456 MFS983244:MFS983456 MPO983244:MPO983456 MZK983244:MZK983456 NJG983244:NJG983456 NTC983244:NTC983456 OCY983244:OCY983456 OMU983244:OMU983456 OWQ983244:OWQ983456 PGM983244:PGM983456 PQI983244:PQI983456 QAE983244:QAE983456 QKA983244:QKA983456 QTW983244:QTW983456 RDS983244:RDS983456 RNO983244:RNO983456 RXK983244:RXK983456 SHG983244:SHG983456 SRC983244:SRC983456 TAY983244:TAY983456 TKU983244:TKU983456 TUQ983244:TUQ983456 UEM983244:UEM983456 UOI983244:UOI983456 UYE983244:UYE983456 VIA983244:VIA983456 VRW983244:VRW983456 WBS983244:WBS983456 WLO983244:WLO983456 WVK983244:WVK983456">
      <formula1>$M$205:$M$207</formula1>
    </dataValidation>
  </dataValidations>
  <hyperlinks>
    <hyperlink ref="B4" r:id="rId1"/>
    <hyperlink ref="B32" r:id="rId2"/>
  </hyperlinks>
  <printOptions gridLines="1"/>
  <pageMargins left="0.53" right="0.38" top="0.5" bottom="0.5" header="0.5" footer="0.5"/>
  <pageSetup scale="99" fitToHeight="10" orientation="landscape" cellComments="atEnd" r:id="rId3"/>
  <headerFooter alignWithMargins="0"/>
  <rowBreaks count="1" manualBreakCount="1">
    <brk id="62" max="5" man="1"/>
  </rowBreaks>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dimension ref="A1:AS117"/>
  <sheetViews>
    <sheetView zoomScale="60" zoomScaleNormal="60" zoomScalePageLayoutView="60" workbookViewId="0">
      <pane ySplit="1" topLeftCell="A2" activePane="bottomLeft" state="frozen"/>
      <selection activeCell="M1" sqref="M1"/>
      <selection pane="bottomLeft"/>
    </sheetView>
  </sheetViews>
  <sheetFormatPr defaultColWidth="8.85546875" defaultRowHeight="15" x14ac:dyDescent="0.25"/>
  <cols>
    <col min="1" max="1" width="8.85546875" style="5"/>
    <col min="2" max="2" width="13" style="14" bestFit="1" customWidth="1"/>
    <col min="3" max="3" width="7.28515625" style="5" bestFit="1" customWidth="1"/>
    <col min="4" max="4" width="10.85546875" style="5" customWidth="1"/>
    <col min="5" max="5" width="11" style="2" customWidth="1"/>
    <col min="6" max="6" width="10.42578125" style="5" bestFit="1" customWidth="1"/>
    <col min="7" max="7" width="9.42578125" style="5" customWidth="1"/>
    <col min="8" max="8" width="10.28515625" style="5" customWidth="1"/>
    <col min="9" max="9" width="16.5703125" style="2" bestFit="1" customWidth="1"/>
    <col min="10" max="10" width="15.140625" style="10" customWidth="1"/>
    <col min="11" max="11" width="13.28515625" style="10" customWidth="1"/>
    <col min="12" max="12" width="12.7109375" style="5" customWidth="1"/>
    <col min="13" max="13" width="11.85546875" style="5" customWidth="1"/>
    <col min="14" max="14" width="11.42578125" style="5" customWidth="1"/>
    <col min="15" max="16" width="12.42578125" style="5" customWidth="1"/>
    <col min="17" max="17" width="19.140625" style="5" customWidth="1"/>
    <col min="18" max="18" width="19.42578125" style="5" customWidth="1"/>
    <col min="19" max="19" width="12.140625" style="5" customWidth="1"/>
    <col min="20" max="20" width="11.85546875" style="5" customWidth="1"/>
    <col min="21" max="21" width="9.7109375" style="5" customWidth="1"/>
    <col min="22" max="22" width="8.7109375" style="5" customWidth="1"/>
    <col min="23" max="23" width="9.85546875" style="5" customWidth="1"/>
    <col min="24" max="24" width="15" style="5" customWidth="1"/>
    <col min="25" max="28" width="8.85546875" style="5" customWidth="1"/>
    <col min="29" max="29" width="11.140625" style="5" customWidth="1"/>
    <col min="30" max="42" width="8.85546875" style="5" customWidth="1"/>
    <col min="43" max="44" width="8.85546875" style="5"/>
    <col min="45" max="45" width="14" style="5" customWidth="1"/>
    <col min="46" max="16384" width="8.85546875" style="5"/>
  </cols>
  <sheetData>
    <row r="1" spans="1:45" s="15" customFormat="1" ht="92.25" customHeight="1" x14ac:dyDescent="0.25">
      <c r="A1" s="15" t="s">
        <v>204</v>
      </c>
      <c r="B1" s="21" t="s">
        <v>210</v>
      </c>
      <c r="C1" s="23" t="s">
        <v>215</v>
      </c>
      <c r="D1" s="23" t="s">
        <v>218</v>
      </c>
      <c r="E1" s="23" t="s">
        <v>222</v>
      </c>
      <c r="F1" s="23" t="s">
        <v>429</v>
      </c>
      <c r="G1" s="23" t="s">
        <v>230</v>
      </c>
      <c r="H1" s="23" t="s">
        <v>431</v>
      </c>
      <c r="I1" s="23" t="s">
        <v>434</v>
      </c>
      <c r="J1" s="22" t="s">
        <v>436</v>
      </c>
      <c r="K1" s="22" t="s">
        <v>438</v>
      </c>
      <c r="L1" s="23" t="s">
        <v>432</v>
      </c>
      <c r="M1" s="23" t="s">
        <v>445</v>
      </c>
      <c r="N1" s="23" t="s">
        <v>446</v>
      </c>
      <c r="O1" s="23" t="s">
        <v>447</v>
      </c>
      <c r="P1" s="23" t="s">
        <v>448</v>
      </c>
      <c r="Q1" s="23" t="s">
        <v>449</v>
      </c>
      <c r="R1" s="15" t="s">
        <v>450</v>
      </c>
      <c r="S1" s="28" t="s">
        <v>451</v>
      </c>
      <c r="T1" s="15" t="s">
        <v>452</v>
      </c>
      <c r="U1" s="15" t="s">
        <v>453</v>
      </c>
      <c r="V1" s="28" t="s">
        <v>454</v>
      </c>
      <c r="W1" s="28" t="s">
        <v>455</v>
      </c>
      <c r="X1" s="28" t="s">
        <v>456</v>
      </c>
      <c r="Y1" s="28" t="s">
        <v>457</v>
      </c>
      <c r="Z1" s="28" t="s">
        <v>458</v>
      </c>
      <c r="AA1" s="28" t="s">
        <v>460</v>
      </c>
      <c r="AB1" s="15" t="s">
        <v>461</v>
      </c>
      <c r="AC1" s="15" t="s">
        <v>463</v>
      </c>
      <c r="AD1" s="15" t="s">
        <v>465</v>
      </c>
      <c r="AE1" s="28" t="s">
        <v>467</v>
      </c>
      <c r="AF1" s="15" t="s">
        <v>469</v>
      </c>
      <c r="AG1" s="15" t="s">
        <v>470</v>
      </c>
      <c r="AH1" s="15" t="s">
        <v>471</v>
      </c>
      <c r="AI1" s="15" t="s">
        <v>472</v>
      </c>
      <c r="AJ1" s="15" t="s">
        <v>473</v>
      </c>
      <c r="AK1" s="15" t="s">
        <v>474</v>
      </c>
      <c r="AL1" s="105" t="s">
        <v>475</v>
      </c>
      <c r="AM1" s="15" t="s">
        <v>476</v>
      </c>
      <c r="AN1" s="15" t="s">
        <v>477</v>
      </c>
      <c r="AO1" s="15" t="s">
        <v>478</v>
      </c>
      <c r="AP1" s="28" t="s">
        <v>479</v>
      </c>
      <c r="AQ1" s="105" t="s">
        <v>480</v>
      </c>
      <c r="AR1" s="15" t="s">
        <v>481</v>
      </c>
      <c r="AS1" s="15" t="s">
        <v>482</v>
      </c>
    </row>
    <row r="2" spans="1:45" x14ac:dyDescent="0.25">
      <c r="A2" s="5">
        <v>2012</v>
      </c>
      <c r="B2" s="14">
        <v>41083</v>
      </c>
      <c r="C2" s="1" t="s">
        <v>40</v>
      </c>
      <c r="D2" s="3" t="s">
        <v>49</v>
      </c>
      <c r="E2" s="3" t="s">
        <v>41</v>
      </c>
      <c r="F2" s="3" t="s">
        <v>35</v>
      </c>
      <c r="G2" s="3" t="s">
        <v>440</v>
      </c>
      <c r="H2" s="1" t="s">
        <v>32</v>
      </c>
      <c r="I2" s="2" t="s">
        <v>36</v>
      </c>
      <c r="J2" s="10" t="s">
        <v>47</v>
      </c>
      <c r="K2" s="10" t="s">
        <v>28</v>
      </c>
      <c r="L2" s="5">
        <v>6</v>
      </c>
      <c r="M2" s="5">
        <v>3</v>
      </c>
      <c r="N2" s="5">
        <v>7</v>
      </c>
      <c r="O2" s="5">
        <v>18.5</v>
      </c>
      <c r="P2" s="24" t="e">
        <v>#N/A</v>
      </c>
      <c r="Q2" s="5">
        <v>0.5</v>
      </c>
      <c r="R2" s="5">
        <v>11.269</v>
      </c>
      <c r="S2" s="5">
        <v>15.128</v>
      </c>
      <c r="T2" s="5">
        <v>15.128</v>
      </c>
      <c r="U2" s="5" t="e">
        <v>#N/A</v>
      </c>
      <c r="V2" s="5" t="e">
        <v>#N/A</v>
      </c>
      <c r="W2" s="5">
        <v>0</v>
      </c>
      <c r="X2" s="5">
        <v>1.5669999999999999</v>
      </c>
      <c r="Y2" s="5">
        <v>0</v>
      </c>
      <c r="Z2" s="5">
        <v>15.128</v>
      </c>
      <c r="AA2" s="5">
        <v>16.695</v>
      </c>
      <c r="AB2" s="5">
        <v>12</v>
      </c>
      <c r="AC2" s="5" t="e">
        <v>#N/A</v>
      </c>
      <c r="AD2" s="5" t="e">
        <v>#N/A</v>
      </c>
      <c r="AE2" s="5">
        <v>0</v>
      </c>
      <c r="AF2" s="5">
        <v>0.11600000000000001</v>
      </c>
      <c r="AG2" s="5">
        <v>8.199999999999999E-3</v>
      </c>
      <c r="AH2" s="5" t="e">
        <v>#N/A</v>
      </c>
      <c r="AI2" s="5">
        <v>9.6666666666666672E-3</v>
      </c>
      <c r="AJ2" s="5" t="e">
        <v>#N/A</v>
      </c>
      <c r="AK2" s="5" t="e">
        <v>#N/A</v>
      </c>
      <c r="AL2" s="5">
        <v>0</v>
      </c>
      <c r="AM2" s="5">
        <v>7.0199999999999999E-2</v>
      </c>
      <c r="AN2" s="5">
        <v>0</v>
      </c>
      <c r="AO2" s="5">
        <v>0.1862</v>
      </c>
      <c r="AP2" s="5">
        <v>1.2606666666666668E-4</v>
      </c>
      <c r="AQ2" s="5">
        <v>76.679005817028028</v>
      </c>
      <c r="AR2" s="5">
        <v>0.1242</v>
      </c>
    </row>
    <row r="3" spans="1:45" x14ac:dyDescent="0.25">
      <c r="A3" s="5">
        <v>2012</v>
      </c>
      <c r="B3" s="14">
        <v>41083</v>
      </c>
      <c r="C3" s="1" t="s">
        <v>40</v>
      </c>
      <c r="D3" s="3" t="s">
        <v>49</v>
      </c>
      <c r="E3" s="3" t="s">
        <v>41</v>
      </c>
      <c r="F3" s="3" t="s">
        <v>35</v>
      </c>
      <c r="G3" s="3" t="s">
        <v>440</v>
      </c>
      <c r="H3" s="1" t="s">
        <v>32</v>
      </c>
      <c r="I3" s="103" t="s">
        <v>50</v>
      </c>
      <c r="J3" s="10" t="s">
        <v>55</v>
      </c>
      <c r="K3" s="10" t="s">
        <v>28</v>
      </c>
      <c r="L3" s="5">
        <v>5</v>
      </c>
      <c r="M3" s="5">
        <v>5.5</v>
      </c>
      <c r="N3" s="5">
        <v>10.5</v>
      </c>
      <c r="O3" s="5">
        <v>17</v>
      </c>
      <c r="P3" s="24" t="e">
        <v>#N/A</v>
      </c>
      <c r="Q3" s="5">
        <v>0.28999999999999998</v>
      </c>
      <c r="R3" s="5">
        <v>52.164999999999999</v>
      </c>
      <c r="S3" s="5">
        <v>106.473</v>
      </c>
      <c r="T3" s="5">
        <v>106.473</v>
      </c>
      <c r="U3" s="5" t="e">
        <v>#N/A</v>
      </c>
      <c r="V3" s="5" t="e">
        <v>#N/A</v>
      </c>
      <c r="W3" s="5">
        <v>0</v>
      </c>
      <c r="X3" s="5">
        <v>3.0680000000000001</v>
      </c>
      <c r="Y3" s="5">
        <v>5.1130000000000004</v>
      </c>
      <c r="Z3" s="5">
        <v>111.586</v>
      </c>
      <c r="AA3" s="5">
        <v>114.654</v>
      </c>
      <c r="AB3" s="5">
        <v>32</v>
      </c>
      <c r="AC3" s="5" t="e">
        <v>#N/A</v>
      </c>
      <c r="AD3" s="5" t="e">
        <v>#N/A</v>
      </c>
      <c r="AE3" s="5">
        <v>0</v>
      </c>
      <c r="AF3" s="5">
        <v>0.73919999999999997</v>
      </c>
      <c r="AG3" s="5">
        <v>-9.8000000000000309E-3</v>
      </c>
      <c r="AH3" s="5" t="e">
        <v>#N/A</v>
      </c>
      <c r="AI3" s="5">
        <v>2.3099999999999999E-2</v>
      </c>
      <c r="AJ3" s="5" t="e">
        <v>#N/A</v>
      </c>
      <c r="AK3" s="5" t="e">
        <v>#N/A</v>
      </c>
      <c r="AL3" s="5">
        <v>0</v>
      </c>
      <c r="AM3" s="5">
        <v>7.8399999999999997E-2</v>
      </c>
      <c r="AN3" s="5">
        <v>0.1037</v>
      </c>
      <c r="AO3" s="5">
        <v>0.92130000000000001</v>
      </c>
      <c r="AP3" s="5">
        <v>3.3272812500000001E-4</v>
      </c>
      <c r="AQ3" s="5">
        <v>69.426051675072543</v>
      </c>
      <c r="AR3" s="5">
        <v>0.73919999999999997</v>
      </c>
    </row>
    <row r="4" spans="1:45" x14ac:dyDescent="0.25">
      <c r="A4" s="5">
        <v>2012</v>
      </c>
      <c r="B4" s="14">
        <v>41083</v>
      </c>
      <c r="C4" s="1" t="s">
        <v>40</v>
      </c>
      <c r="D4" s="3" t="s">
        <v>49</v>
      </c>
      <c r="E4" s="3" t="s">
        <v>41</v>
      </c>
      <c r="F4" s="3" t="s">
        <v>35</v>
      </c>
      <c r="G4" s="3" t="s">
        <v>440</v>
      </c>
      <c r="H4" s="1" t="s">
        <v>32</v>
      </c>
      <c r="I4" s="2" t="s">
        <v>36</v>
      </c>
      <c r="J4" s="10" t="s">
        <v>52</v>
      </c>
      <c r="K4" s="10" t="s">
        <v>29</v>
      </c>
      <c r="L4" s="5">
        <v>9</v>
      </c>
      <c r="M4" s="5">
        <v>6</v>
      </c>
      <c r="N4" s="5">
        <v>46</v>
      </c>
      <c r="O4" s="5">
        <v>50</v>
      </c>
      <c r="P4" s="5">
        <v>81</v>
      </c>
      <c r="Q4" s="5">
        <v>1.38</v>
      </c>
      <c r="R4" s="5">
        <v>26.922000000000001</v>
      </c>
      <c r="S4" s="5">
        <v>47.228000000000002</v>
      </c>
      <c r="T4" s="5">
        <v>47.228000000000002</v>
      </c>
      <c r="U4" s="5" t="e">
        <v>#N/A</v>
      </c>
      <c r="V4" s="5" t="e">
        <v>#N/A</v>
      </c>
      <c r="W4" s="5">
        <v>0</v>
      </c>
      <c r="X4" s="5">
        <v>4.0030000000000001</v>
      </c>
      <c r="Y4" s="5">
        <v>0</v>
      </c>
      <c r="Z4" s="5">
        <v>47.228000000000002</v>
      </c>
      <c r="AA4" s="5">
        <v>51.231000000000002</v>
      </c>
      <c r="AB4" s="5">
        <v>21</v>
      </c>
      <c r="AC4" s="5" t="e">
        <v>#N/A</v>
      </c>
      <c r="AD4" s="5" t="e">
        <v>#N/A</v>
      </c>
      <c r="AE4" s="5">
        <v>0</v>
      </c>
      <c r="AF4" s="5">
        <v>0.29499999999999998</v>
      </c>
      <c r="AG4" s="5">
        <v>1.4699999999999991E-2</v>
      </c>
      <c r="AH4" s="5" t="e">
        <v>#N/A</v>
      </c>
      <c r="AI4" s="5">
        <v>1.4047619047619047E-2</v>
      </c>
      <c r="AJ4" s="5" t="e">
        <v>#N/A</v>
      </c>
      <c r="AK4" s="5" t="e">
        <v>#N/A</v>
      </c>
      <c r="AL4" s="5">
        <v>0</v>
      </c>
      <c r="AM4" s="5">
        <v>0.2046</v>
      </c>
      <c r="AN4" s="5">
        <v>0</v>
      </c>
      <c r="AO4" s="5">
        <v>0.49959999999999999</v>
      </c>
      <c r="AP4" s="5">
        <v>2.248952380952381E-4</v>
      </c>
      <c r="AQ4" s="5">
        <v>62.46294571017193</v>
      </c>
      <c r="AR4" s="5">
        <v>0.30969999999999998</v>
      </c>
    </row>
    <row r="5" spans="1:45" x14ac:dyDescent="0.25">
      <c r="A5" s="5">
        <v>2012</v>
      </c>
      <c r="B5" s="14">
        <v>41083</v>
      </c>
      <c r="C5" s="1" t="s">
        <v>40</v>
      </c>
      <c r="D5" s="3" t="s">
        <v>49</v>
      </c>
      <c r="E5" s="3" t="s">
        <v>41</v>
      </c>
      <c r="F5" s="3" t="s">
        <v>35</v>
      </c>
      <c r="G5" s="3" t="s">
        <v>440</v>
      </c>
      <c r="H5" s="1" t="s">
        <v>32</v>
      </c>
      <c r="I5" s="103" t="s">
        <v>71</v>
      </c>
      <c r="J5" s="10" t="s">
        <v>1</v>
      </c>
      <c r="K5" s="10" t="s">
        <v>29</v>
      </c>
      <c r="L5" s="5">
        <v>8</v>
      </c>
      <c r="M5" s="5">
        <v>7</v>
      </c>
      <c r="N5" s="5">
        <v>54</v>
      </c>
      <c r="O5" s="5">
        <v>59</v>
      </c>
      <c r="P5" s="24" t="e">
        <v>#N/A</v>
      </c>
      <c r="Q5" s="5">
        <v>1.1599999999999999</v>
      </c>
      <c r="R5" s="5">
        <v>27.977</v>
      </c>
      <c r="S5" s="5">
        <v>43.494999999999997</v>
      </c>
      <c r="T5" s="5">
        <v>43.494999999999997</v>
      </c>
      <c r="U5" s="5" t="e">
        <v>#N/A</v>
      </c>
      <c r="V5" s="5" t="e">
        <v>#N/A</v>
      </c>
      <c r="W5" s="5">
        <v>0</v>
      </c>
      <c r="X5" s="5">
        <v>2.4540000000000002</v>
      </c>
      <c r="Y5" s="5">
        <v>0.85699999999999998</v>
      </c>
      <c r="Z5" s="5">
        <v>44.351999999999997</v>
      </c>
      <c r="AA5" s="5">
        <v>46.805999999999997</v>
      </c>
      <c r="AB5" s="5">
        <v>14</v>
      </c>
      <c r="AC5" s="5" t="e">
        <v>#N/A</v>
      </c>
      <c r="AD5" s="5" t="e">
        <v>#N/A</v>
      </c>
      <c r="AE5" s="5">
        <v>0</v>
      </c>
      <c r="AF5" s="5">
        <v>0.20469999999999999</v>
      </c>
      <c r="AG5" s="5">
        <v>-2.9999999999999472E-4</v>
      </c>
      <c r="AH5" s="5" t="e">
        <v>#N/A</v>
      </c>
      <c r="AI5" s="5">
        <v>1.4621428571428572E-2</v>
      </c>
      <c r="AJ5" s="5" t="e">
        <v>#N/A</v>
      </c>
      <c r="AK5" s="5" t="e">
        <v>#N/A</v>
      </c>
      <c r="AL5" s="5">
        <v>0</v>
      </c>
      <c r="AM5" s="5">
        <v>0.1071</v>
      </c>
      <c r="AN5" s="5">
        <v>1.7299999999999999E-2</v>
      </c>
      <c r="AO5" s="5">
        <v>0.32909999999999995</v>
      </c>
      <c r="AP5" s="5">
        <v>3.1067857142857145E-4</v>
      </c>
      <c r="AQ5" s="5">
        <v>47.062880790895505</v>
      </c>
      <c r="AR5" s="5">
        <v>0.20469999999999999</v>
      </c>
    </row>
    <row r="6" spans="1:45" x14ac:dyDescent="0.25">
      <c r="A6" s="5">
        <v>2012</v>
      </c>
      <c r="B6" s="14">
        <v>41083</v>
      </c>
      <c r="C6" s="1" t="s">
        <v>40</v>
      </c>
      <c r="D6" s="3" t="s">
        <v>49</v>
      </c>
      <c r="E6" s="3" t="s">
        <v>41</v>
      </c>
      <c r="F6" s="3" t="s">
        <v>35</v>
      </c>
      <c r="G6" s="3" t="s">
        <v>440</v>
      </c>
      <c r="H6" s="1" t="s">
        <v>32</v>
      </c>
      <c r="I6" s="12" t="s">
        <v>39</v>
      </c>
      <c r="J6" s="10" t="s">
        <v>54</v>
      </c>
      <c r="K6" s="10" t="s">
        <v>30</v>
      </c>
      <c r="L6" s="5">
        <v>5</v>
      </c>
      <c r="M6" s="5">
        <v>7</v>
      </c>
      <c r="N6" s="5">
        <v>63</v>
      </c>
      <c r="O6" s="5">
        <v>67.5</v>
      </c>
      <c r="P6" s="5">
        <v>87</v>
      </c>
      <c r="Q6" s="5">
        <v>0.87</v>
      </c>
      <c r="R6" s="5">
        <v>4.7649999999999997</v>
      </c>
      <c r="S6" s="5">
        <v>29.387</v>
      </c>
      <c r="T6" s="5">
        <v>29.387</v>
      </c>
      <c r="U6" s="5" t="e">
        <v>#N/A</v>
      </c>
      <c r="V6" s="5" t="e">
        <v>#N/A</v>
      </c>
      <c r="W6" s="5">
        <v>0.46800000000000003</v>
      </c>
      <c r="X6" s="5">
        <v>8.4</v>
      </c>
      <c r="Y6" s="5">
        <v>2.7549999999999999</v>
      </c>
      <c r="Z6" s="5">
        <v>32.61</v>
      </c>
      <c r="AA6" s="5">
        <v>41.010000000000005</v>
      </c>
      <c r="AB6" s="5">
        <v>60</v>
      </c>
      <c r="AC6" s="5">
        <v>0</v>
      </c>
      <c r="AD6" s="5" t="e">
        <v>#N/A</v>
      </c>
      <c r="AE6" s="5">
        <v>2</v>
      </c>
      <c r="AF6" s="5">
        <v>0.1258</v>
      </c>
      <c r="AG6" s="5">
        <v>0</v>
      </c>
      <c r="AH6" s="5" t="e">
        <v>#N/A</v>
      </c>
      <c r="AI6" s="5">
        <v>2.0966666666666664E-3</v>
      </c>
      <c r="AJ6" s="5" t="e">
        <v>#N/A</v>
      </c>
      <c r="AK6" s="5" t="e">
        <v>#N/A</v>
      </c>
      <c r="AL6" s="5">
        <v>7.4999999999999997E-3</v>
      </c>
      <c r="AM6" s="5">
        <v>0.15160000000000001</v>
      </c>
      <c r="AN6" s="5">
        <v>1.35E-2</v>
      </c>
      <c r="AO6" s="5">
        <v>0.29840000000000005</v>
      </c>
      <c r="AP6" s="5">
        <v>4.8978333333333338E-5</v>
      </c>
      <c r="AQ6" s="5">
        <v>42.808044373362364</v>
      </c>
      <c r="AR6" s="5">
        <v>0.1258</v>
      </c>
    </row>
    <row r="7" spans="1:45" ht="14.25" customHeight="1" x14ac:dyDescent="0.25">
      <c r="A7" s="5">
        <v>2012</v>
      </c>
      <c r="B7" s="14">
        <v>41083</v>
      </c>
      <c r="C7" s="1" t="s">
        <v>40</v>
      </c>
      <c r="D7" s="3" t="s">
        <v>49</v>
      </c>
      <c r="E7" s="3" t="s">
        <v>41</v>
      </c>
      <c r="F7" s="3" t="s">
        <v>35</v>
      </c>
      <c r="G7" s="3" t="s">
        <v>440</v>
      </c>
      <c r="H7" s="1" t="s">
        <v>32</v>
      </c>
      <c r="I7" s="12" t="s">
        <v>39</v>
      </c>
      <c r="J7" s="10" t="s">
        <v>53</v>
      </c>
      <c r="K7" s="10" t="s">
        <v>30</v>
      </c>
      <c r="L7" s="5">
        <v>4</v>
      </c>
      <c r="M7" s="5">
        <v>3</v>
      </c>
      <c r="N7" s="5">
        <v>69</v>
      </c>
      <c r="O7" s="5">
        <v>74</v>
      </c>
      <c r="P7" s="5">
        <v>88</v>
      </c>
      <c r="Q7" s="5">
        <v>0.68</v>
      </c>
      <c r="R7" s="5">
        <v>8.1340000000000003</v>
      </c>
      <c r="S7" s="5">
        <v>15.757999999999999</v>
      </c>
      <c r="T7" s="5">
        <v>15.757999999999999</v>
      </c>
      <c r="U7" s="5" t="e">
        <v>#N/A</v>
      </c>
      <c r="V7" s="5" t="e">
        <v>#N/A</v>
      </c>
      <c r="W7" s="5">
        <v>0</v>
      </c>
      <c r="X7" s="5">
        <v>5.8929999999999998</v>
      </c>
      <c r="Y7" s="5">
        <v>0.8</v>
      </c>
      <c r="Z7" s="5">
        <v>16.558</v>
      </c>
      <c r="AA7" s="5">
        <v>22.451000000000001</v>
      </c>
      <c r="AB7" s="5">
        <v>39</v>
      </c>
      <c r="AC7" s="5">
        <v>0</v>
      </c>
      <c r="AD7" s="5" t="e">
        <v>#N/A</v>
      </c>
      <c r="AE7" s="5">
        <v>0</v>
      </c>
      <c r="AF7" s="5">
        <v>7.2900000000000006E-2</v>
      </c>
      <c r="AG7" s="5">
        <v>0</v>
      </c>
      <c r="AH7" s="5" t="e">
        <v>#N/A</v>
      </c>
      <c r="AI7" s="5">
        <v>1.8692307692307693E-3</v>
      </c>
      <c r="AJ7" s="5" t="e">
        <v>#N/A</v>
      </c>
      <c r="AK7" s="5" t="e">
        <v>#N/A</v>
      </c>
      <c r="AL7" s="5">
        <v>0</v>
      </c>
      <c r="AM7" s="5">
        <v>8.0100000000000005E-2</v>
      </c>
      <c r="AN7" s="5">
        <v>8.8999999999999999E-3</v>
      </c>
      <c r="AO7" s="5">
        <v>0.16190000000000002</v>
      </c>
      <c r="AP7" s="5">
        <v>4.0405128205128205E-5</v>
      </c>
      <c r="AQ7" s="5">
        <v>46.262216017261075</v>
      </c>
      <c r="AR7" s="5">
        <v>7.2900000000000006E-2</v>
      </c>
    </row>
    <row r="8" spans="1:45" x14ac:dyDescent="0.25">
      <c r="A8" s="5">
        <v>2012</v>
      </c>
      <c r="B8" s="6">
        <v>41086</v>
      </c>
      <c r="C8" s="25" t="s">
        <v>40</v>
      </c>
      <c r="D8" s="1" t="s">
        <v>49</v>
      </c>
      <c r="E8" s="1" t="s">
        <v>42</v>
      </c>
      <c r="F8" s="1" t="s">
        <v>35</v>
      </c>
      <c r="G8" s="3" t="s">
        <v>440</v>
      </c>
      <c r="H8" s="2" t="s">
        <v>33</v>
      </c>
      <c r="I8" s="2" t="s">
        <v>46</v>
      </c>
      <c r="J8" s="10" t="s">
        <v>6</v>
      </c>
      <c r="K8" s="10" t="s">
        <v>28</v>
      </c>
      <c r="L8" s="5">
        <v>8</v>
      </c>
      <c r="M8" s="5">
        <v>2</v>
      </c>
      <c r="N8" s="5">
        <v>10</v>
      </c>
      <c r="O8" s="5">
        <v>12</v>
      </c>
      <c r="P8" s="5">
        <v>100</v>
      </c>
      <c r="Q8" s="5">
        <v>0.15</v>
      </c>
      <c r="R8" s="5">
        <v>24.364000000000001</v>
      </c>
      <c r="S8" s="5">
        <v>38.438000000000002</v>
      </c>
      <c r="T8" s="5">
        <v>38.438000000000002</v>
      </c>
      <c r="U8" s="5" t="e">
        <v>#N/A</v>
      </c>
      <c r="V8" s="5" t="e">
        <v>#N/A</v>
      </c>
      <c r="W8" s="5">
        <v>0</v>
      </c>
      <c r="X8" s="5">
        <v>2.4300000000000002</v>
      </c>
      <c r="Y8" s="5">
        <v>1.698</v>
      </c>
      <c r="Z8" s="5">
        <v>40.136000000000003</v>
      </c>
      <c r="AA8" s="5">
        <v>4.1280000000000001</v>
      </c>
      <c r="AB8" s="5">
        <v>25</v>
      </c>
      <c r="AC8" s="5" t="e">
        <v>#N/A</v>
      </c>
      <c r="AD8" s="5" t="e">
        <v>#N/A</v>
      </c>
      <c r="AE8" s="5">
        <v>0</v>
      </c>
      <c r="AF8" s="5">
        <v>0.33500000000000002</v>
      </c>
      <c r="AG8" s="5">
        <v>4.2999999999999705E-3</v>
      </c>
      <c r="AH8" s="5" t="e">
        <v>#N/A</v>
      </c>
      <c r="AI8" s="5">
        <v>1.34E-2</v>
      </c>
      <c r="AJ8" s="5" t="e">
        <v>#N/A</v>
      </c>
      <c r="AK8" s="5" t="e">
        <v>#N/A</v>
      </c>
      <c r="AL8" s="5">
        <v>0</v>
      </c>
      <c r="AM8" s="5">
        <v>0.16039999999999999</v>
      </c>
      <c r="AN8" s="5">
        <v>5.7500000000000002E-2</v>
      </c>
      <c r="AO8" s="5">
        <v>0.55720000000000003</v>
      </c>
      <c r="AP8" s="5">
        <v>1.5375200000000003E-4</v>
      </c>
      <c r="AQ8" s="5">
        <v>87.153337842759768</v>
      </c>
      <c r="AR8" s="5">
        <v>0.33929999999999999</v>
      </c>
    </row>
    <row r="9" spans="1:45" x14ac:dyDescent="0.25">
      <c r="A9" s="5">
        <v>2012</v>
      </c>
      <c r="B9" s="6">
        <v>41086</v>
      </c>
      <c r="C9" s="25" t="s">
        <v>40</v>
      </c>
      <c r="D9" s="1" t="s">
        <v>49</v>
      </c>
      <c r="E9" s="1" t="s">
        <v>42</v>
      </c>
      <c r="F9" s="1" t="s">
        <v>35</v>
      </c>
      <c r="G9" s="3" t="s">
        <v>440</v>
      </c>
      <c r="H9" s="2" t="s">
        <v>33</v>
      </c>
      <c r="I9" s="2" t="s">
        <v>46</v>
      </c>
      <c r="J9" s="10" t="s">
        <v>7</v>
      </c>
      <c r="K9" s="10" t="s">
        <v>28</v>
      </c>
      <c r="L9" s="5">
        <v>1</v>
      </c>
      <c r="M9" s="5">
        <v>10</v>
      </c>
      <c r="N9" s="5">
        <v>14</v>
      </c>
      <c r="O9" s="5">
        <v>14</v>
      </c>
      <c r="P9" s="5">
        <v>100</v>
      </c>
      <c r="Q9" s="5">
        <v>0.16</v>
      </c>
      <c r="R9" s="5">
        <v>31.07</v>
      </c>
      <c r="S9" s="5">
        <v>38.816000000000003</v>
      </c>
      <c r="T9" s="5">
        <v>38.816000000000003</v>
      </c>
      <c r="U9" s="5" t="e">
        <v>#N/A</v>
      </c>
      <c r="V9" s="5" t="e">
        <v>#N/A</v>
      </c>
      <c r="W9" s="5">
        <v>0</v>
      </c>
      <c r="X9" s="5">
        <v>0.58799999999999997</v>
      </c>
      <c r="Y9" s="5">
        <v>0.219</v>
      </c>
      <c r="Z9" s="5">
        <v>39.035000000000004</v>
      </c>
      <c r="AA9" s="5">
        <v>0.80699999999999994</v>
      </c>
      <c r="AB9" s="5">
        <v>26</v>
      </c>
      <c r="AC9" s="5" t="e">
        <v>#N/A</v>
      </c>
      <c r="AD9" s="5" t="e">
        <v>#N/A</v>
      </c>
      <c r="AE9" s="5">
        <v>0</v>
      </c>
      <c r="AF9" s="5">
        <v>0.33169999999999999</v>
      </c>
      <c r="AG9" s="5">
        <v>-2.3000000000000242E-3</v>
      </c>
      <c r="AH9" s="5" t="e">
        <v>#N/A</v>
      </c>
      <c r="AI9" s="5">
        <v>1.2757692307692307E-2</v>
      </c>
      <c r="AJ9" s="5" t="e">
        <v>#N/A</v>
      </c>
      <c r="AK9" s="5" t="e">
        <v>#N/A</v>
      </c>
      <c r="AL9" s="5">
        <v>0</v>
      </c>
      <c r="AM9" s="5">
        <v>0.23899999999999999</v>
      </c>
      <c r="AN9" s="5">
        <v>4.2700000000000002E-2</v>
      </c>
      <c r="AO9" s="5">
        <v>0.61109999999999998</v>
      </c>
      <c r="AP9" s="5">
        <v>1.492923076923077E-4</v>
      </c>
      <c r="AQ9" s="5">
        <v>85.454451772464949</v>
      </c>
      <c r="AR9" s="5">
        <v>0.33169999999999999</v>
      </c>
    </row>
    <row r="10" spans="1:45" x14ac:dyDescent="0.25">
      <c r="A10" s="5">
        <v>2012</v>
      </c>
      <c r="B10" s="6">
        <v>41086</v>
      </c>
      <c r="C10" s="25" t="s">
        <v>40</v>
      </c>
      <c r="D10" s="1" t="s">
        <v>49</v>
      </c>
      <c r="E10" s="1" t="s">
        <v>42</v>
      </c>
      <c r="F10" s="1" t="s">
        <v>35</v>
      </c>
      <c r="G10" s="3" t="s">
        <v>440</v>
      </c>
      <c r="H10" s="2" t="s">
        <v>33</v>
      </c>
      <c r="I10" s="2" t="s">
        <v>36</v>
      </c>
      <c r="J10" s="10" t="s">
        <v>9</v>
      </c>
      <c r="K10" s="10" t="s">
        <v>29</v>
      </c>
      <c r="L10" s="5">
        <v>4</v>
      </c>
      <c r="M10" s="5">
        <v>3</v>
      </c>
      <c r="N10" s="5">
        <v>63.5</v>
      </c>
      <c r="O10" s="5">
        <v>67.5</v>
      </c>
      <c r="P10" s="5">
        <v>95</v>
      </c>
      <c r="Q10" s="5">
        <v>1.78</v>
      </c>
      <c r="R10" s="24" t="e">
        <v>#N/A</v>
      </c>
      <c r="S10" s="5">
        <v>14.006</v>
      </c>
      <c r="T10" s="5">
        <v>14.006</v>
      </c>
      <c r="U10" s="5" t="e">
        <v>#N/A</v>
      </c>
      <c r="V10" s="5" t="e">
        <v>#N/A</v>
      </c>
      <c r="W10" s="5">
        <v>0</v>
      </c>
      <c r="X10" s="5">
        <v>0.67200000000000004</v>
      </c>
      <c r="Y10" s="5">
        <v>0.64900000000000002</v>
      </c>
      <c r="Z10" s="5">
        <v>14.655000000000001</v>
      </c>
      <c r="AA10" s="5">
        <v>1.3210000000000002</v>
      </c>
      <c r="AB10" s="5">
        <v>14</v>
      </c>
      <c r="AC10" s="5" t="e">
        <v>#N/A</v>
      </c>
      <c r="AD10" s="5" t="e">
        <v>#N/A</v>
      </c>
      <c r="AE10" s="5">
        <v>0</v>
      </c>
      <c r="AF10" s="5">
        <v>9.0899999999999995E-2</v>
      </c>
      <c r="AG10" s="5">
        <v>-2.1000000000000046E-3</v>
      </c>
      <c r="AH10" s="5" t="e">
        <v>#N/A</v>
      </c>
      <c r="AI10" s="5">
        <v>6.4928571428571422E-3</v>
      </c>
      <c r="AJ10" s="5" t="e">
        <v>#N/A</v>
      </c>
      <c r="AK10" s="5" t="e">
        <v>#N/A</v>
      </c>
      <c r="AL10" s="5">
        <v>0</v>
      </c>
      <c r="AM10" s="5">
        <v>3.4799999999999998E-2</v>
      </c>
      <c r="AN10" s="5">
        <v>2.1899999999999999E-2</v>
      </c>
      <c r="AO10" s="5">
        <v>0.14549999999999999</v>
      </c>
      <c r="AP10" s="5">
        <v>1.0004285714285715E-4</v>
      </c>
      <c r="AQ10" s="5">
        <v>64.900756818506352</v>
      </c>
      <c r="AR10" s="5">
        <v>9.0899999999999995E-2</v>
      </c>
    </row>
    <row r="11" spans="1:45" x14ac:dyDescent="0.25">
      <c r="A11" s="5">
        <v>2012</v>
      </c>
      <c r="B11" s="6">
        <v>41086</v>
      </c>
      <c r="C11" s="25" t="s">
        <v>40</v>
      </c>
      <c r="D11" s="1" t="s">
        <v>49</v>
      </c>
      <c r="E11" s="1" t="s">
        <v>42</v>
      </c>
      <c r="F11" s="1" t="s">
        <v>35</v>
      </c>
      <c r="G11" s="3" t="s">
        <v>440</v>
      </c>
      <c r="H11" s="2" t="s">
        <v>33</v>
      </c>
      <c r="I11" s="2" t="s">
        <v>46</v>
      </c>
      <c r="J11" s="10" t="s">
        <v>3</v>
      </c>
      <c r="K11" s="10" t="s">
        <v>29</v>
      </c>
      <c r="L11" s="5">
        <v>2</v>
      </c>
      <c r="M11" s="5">
        <v>7</v>
      </c>
      <c r="N11" s="5">
        <v>45</v>
      </c>
      <c r="O11" s="5">
        <v>49.5</v>
      </c>
      <c r="P11" s="5">
        <v>98.5</v>
      </c>
      <c r="Q11" s="5">
        <v>1.66</v>
      </c>
      <c r="R11" s="24" t="e">
        <v>#N/A</v>
      </c>
      <c r="S11" s="5">
        <v>20.253</v>
      </c>
      <c r="T11" s="5">
        <v>20.253</v>
      </c>
      <c r="U11" s="5" t="e">
        <v>#N/A</v>
      </c>
      <c r="V11" s="5" t="e">
        <v>#N/A</v>
      </c>
      <c r="W11" s="5">
        <v>0</v>
      </c>
      <c r="X11" s="5">
        <v>0.78500000000000003</v>
      </c>
      <c r="Y11" s="5">
        <v>0.73299999999999998</v>
      </c>
      <c r="Z11" s="5">
        <v>20.986000000000001</v>
      </c>
      <c r="AA11" s="5">
        <v>1.518</v>
      </c>
      <c r="AB11" s="5">
        <v>12</v>
      </c>
      <c r="AC11" s="5" t="e">
        <v>#N/A</v>
      </c>
      <c r="AD11" s="5" t="e">
        <v>#N/A</v>
      </c>
      <c r="AE11" s="5">
        <v>0</v>
      </c>
      <c r="AF11" s="5">
        <v>0.13700000000000001</v>
      </c>
      <c r="AG11" s="5">
        <v>4.8199999999999993E-2</v>
      </c>
      <c r="AH11" s="5" t="e">
        <v>#N/A</v>
      </c>
      <c r="AI11" s="5">
        <v>1.1416666666666667E-2</v>
      </c>
      <c r="AJ11" s="5" t="e">
        <v>#N/A</v>
      </c>
      <c r="AK11" s="5" t="e">
        <v>#N/A</v>
      </c>
      <c r="AL11" s="5">
        <v>0</v>
      </c>
      <c r="AM11" s="5">
        <v>3.8899999999999997E-2</v>
      </c>
      <c r="AN11" s="5">
        <v>2.1700000000000001E-2</v>
      </c>
      <c r="AO11" s="5">
        <v>0.24579999999999999</v>
      </c>
      <c r="AP11" s="5">
        <v>1.6877500000000002E-4</v>
      </c>
      <c r="AQ11" s="5">
        <v>67.644299609934322</v>
      </c>
      <c r="AR11" s="5">
        <v>0.13619999999999999</v>
      </c>
    </row>
    <row r="12" spans="1:45" x14ac:dyDescent="0.25">
      <c r="A12" s="5">
        <v>2012</v>
      </c>
      <c r="B12" s="6">
        <v>41086</v>
      </c>
      <c r="C12" s="25" t="s">
        <v>40</v>
      </c>
      <c r="D12" s="1" t="s">
        <v>49</v>
      </c>
      <c r="E12" s="1" t="s">
        <v>42</v>
      </c>
      <c r="F12" s="1" t="s">
        <v>35</v>
      </c>
      <c r="G12" s="3" t="s">
        <v>440</v>
      </c>
      <c r="H12" s="2" t="s">
        <v>33</v>
      </c>
      <c r="I12" s="2" t="s">
        <v>36</v>
      </c>
      <c r="J12" s="10" t="s">
        <v>78</v>
      </c>
      <c r="K12" s="10" t="s">
        <v>30</v>
      </c>
      <c r="L12" s="5">
        <v>6</v>
      </c>
      <c r="M12" s="5">
        <v>10</v>
      </c>
      <c r="N12" s="5">
        <v>74</v>
      </c>
      <c r="O12" s="5">
        <v>79</v>
      </c>
      <c r="P12" s="5">
        <v>100</v>
      </c>
      <c r="Q12" s="5">
        <v>2.1800000000000002</v>
      </c>
      <c r="R12" s="5">
        <v>6.0819999999999999</v>
      </c>
      <c r="S12" s="5">
        <v>11.869</v>
      </c>
      <c r="T12" s="5">
        <v>11.869</v>
      </c>
      <c r="U12" s="5" t="e">
        <v>#N/A</v>
      </c>
      <c r="V12" s="5" t="e">
        <v>#N/A</v>
      </c>
      <c r="W12" s="5">
        <v>0</v>
      </c>
      <c r="X12" s="5">
        <v>0.91700000000000004</v>
      </c>
      <c r="Y12" s="5">
        <v>0.34899999999999998</v>
      </c>
      <c r="Z12" s="5">
        <v>12.218</v>
      </c>
      <c r="AA12" s="5">
        <v>1.266</v>
      </c>
      <c r="AB12" s="5">
        <v>18</v>
      </c>
      <c r="AC12" s="5" t="e">
        <v>#N/A</v>
      </c>
      <c r="AD12" s="5" t="e">
        <v>#N/A</v>
      </c>
      <c r="AE12" s="5">
        <v>0</v>
      </c>
      <c r="AF12" s="5">
        <v>6.0999999999999999E-2</v>
      </c>
      <c r="AG12" s="5">
        <v>3.1000000000000055E-3</v>
      </c>
      <c r="AH12" s="5" t="e">
        <v>#N/A</v>
      </c>
      <c r="AI12" s="5">
        <v>3.3888888888888888E-3</v>
      </c>
      <c r="AJ12" s="5" t="e">
        <v>#N/A</v>
      </c>
      <c r="AK12" s="5" t="e">
        <v>#N/A</v>
      </c>
      <c r="AL12" s="5">
        <v>0</v>
      </c>
      <c r="AM12" s="5">
        <v>3.8300000000000001E-2</v>
      </c>
      <c r="AN12" s="5">
        <v>9.4999999999999998E-3</v>
      </c>
      <c r="AO12" s="5">
        <v>0.1119</v>
      </c>
      <c r="AP12" s="5">
        <v>6.5938888888888891E-5</v>
      </c>
      <c r="AQ12" s="5">
        <v>51.39438874378633</v>
      </c>
      <c r="AR12" s="5">
        <v>6.4100000000000004E-2</v>
      </c>
    </row>
    <row r="13" spans="1:45" x14ac:dyDescent="0.25">
      <c r="A13" s="5">
        <v>2012</v>
      </c>
      <c r="B13" s="6">
        <v>41086</v>
      </c>
      <c r="C13" s="25" t="s">
        <v>40</v>
      </c>
      <c r="D13" s="1" t="s">
        <v>49</v>
      </c>
      <c r="E13" s="1" t="s">
        <v>42</v>
      </c>
      <c r="F13" s="1" t="s">
        <v>35</v>
      </c>
      <c r="G13" s="3" t="s">
        <v>440</v>
      </c>
      <c r="H13" s="2" t="s">
        <v>33</v>
      </c>
      <c r="I13" s="2" t="s">
        <v>36</v>
      </c>
      <c r="J13" s="10" t="s">
        <v>77</v>
      </c>
      <c r="K13" s="10" t="s">
        <v>30</v>
      </c>
      <c r="L13" s="5">
        <v>10</v>
      </c>
      <c r="M13" s="5">
        <v>5</v>
      </c>
      <c r="N13" s="5">
        <v>75</v>
      </c>
      <c r="O13" s="5">
        <v>79</v>
      </c>
      <c r="P13" s="5">
        <v>103</v>
      </c>
      <c r="Q13" s="5">
        <v>2.2200000000000002</v>
      </c>
      <c r="R13" s="5">
        <v>14.744999999999999</v>
      </c>
      <c r="S13" s="5">
        <v>19.033000000000001</v>
      </c>
      <c r="T13" s="5">
        <v>19.033000000000001</v>
      </c>
      <c r="U13" s="5" t="e">
        <v>#N/A</v>
      </c>
      <c r="V13" s="5" t="e">
        <v>#N/A</v>
      </c>
      <c r="W13" s="5">
        <v>9.0999999999999998E-2</v>
      </c>
      <c r="X13" s="5">
        <v>1.7390000000000001</v>
      </c>
      <c r="Y13" s="5">
        <v>0.66200000000000003</v>
      </c>
      <c r="Z13" s="5">
        <v>19.786000000000001</v>
      </c>
      <c r="AA13" s="5">
        <v>2.492</v>
      </c>
      <c r="AB13" s="5">
        <v>17</v>
      </c>
      <c r="AC13" s="5" t="e">
        <v>#N/A</v>
      </c>
      <c r="AD13" s="5" t="e">
        <v>#N/A</v>
      </c>
      <c r="AE13" s="5">
        <v>1</v>
      </c>
      <c r="AF13" s="5">
        <v>9.2700000000000005E-2</v>
      </c>
      <c r="AG13" s="5">
        <v>-2.9999999999999472E-4</v>
      </c>
      <c r="AH13" s="5" t="e">
        <v>#N/A</v>
      </c>
      <c r="AI13" s="5">
        <v>5.4529411764705884E-3</v>
      </c>
      <c r="AJ13" s="5" t="e">
        <v>#N/A</v>
      </c>
      <c r="AK13" s="5" t="e">
        <v>#N/A</v>
      </c>
      <c r="AL13" s="5">
        <v>0</v>
      </c>
      <c r="AM13" s="5">
        <v>7.7200000000000005E-2</v>
      </c>
      <c r="AN13" s="5">
        <v>1.78E-2</v>
      </c>
      <c r="AO13" s="5">
        <v>0.18740000000000004</v>
      </c>
      <c r="AP13" s="5">
        <v>1.1195882352941177E-4</v>
      </c>
      <c r="AQ13" s="5">
        <v>48.704880996164555</v>
      </c>
      <c r="AR13" s="5">
        <v>9.2700000000000005E-2</v>
      </c>
    </row>
    <row r="14" spans="1:45" x14ac:dyDescent="0.25">
      <c r="A14" s="5">
        <v>2012</v>
      </c>
      <c r="B14" s="6">
        <v>41086</v>
      </c>
      <c r="C14" s="25" t="s">
        <v>40</v>
      </c>
      <c r="D14" s="1" t="s">
        <v>49</v>
      </c>
      <c r="E14" s="1" t="s">
        <v>43</v>
      </c>
      <c r="F14" s="1" t="s">
        <v>35</v>
      </c>
      <c r="G14" s="3" t="s">
        <v>440</v>
      </c>
      <c r="H14" s="1" t="s">
        <v>32</v>
      </c>
      <c r="I14" s="2" t="s">
        <v>36</v>
      </c>
      <c r="J14" s="19" t="s">
        <v>47</v>
      </c>
      <c r="K14" s="10" t="s">
        <v>28</v>
      </c>
      <c r="L14" s="5">
        <v>3</v>
      </c>
      <c r="M14" s="5">
        <v>4</v>
      </c>
      <c r="N14" s="5">
        <v>17.5</v>
      </c>
      <c r="O14" s="5">
        <v>30</v>
      </c>
      <c r="P14" s="24" t="e">
        <v>#N/A</v>
      </c>
      <c r="Q14" s="5">
        <v>0.22</v>
      </c>
      <c r="R14" s="5">
        <v>7.218</v>
      </c>
      <c r="S14" s="5" t="e">
        <f t="shared" ref="S14:S19" si="0">U14+V14+T14</f>
        <v>#N/A</v>
      </c>
      <c r="T14" s="5">
        <v>9.4009999999999998</v>
      </c>
      <c r="U14" s="5" t="e">
        <v>#N/A</v>
      </c>
      <c r="V14" s="5" t="e">
        <v>#N/A</v>
      </c>
      <c r="W14" s="5">
        <v>0.23200000000000001</v>
      </c>
      <c r="X14" s="5">
        <v>1.9219999999999999</v>
      </c>
      <c r="Y14" s="5">
        <v>0.221</v>
      </c>
      <c r="Z14" s="5" t="e">
        <f t="shared" ref="Z14:Z19" si="1">SUM(S14,Y14,W14)</f>
        <v>#N/A</v>
      </c>
      <c r="AA14" s="5" t="e">
        <f t="shared" ref="AA14:AA19" si="2">SUM(T14:Y14)</f>
        <v>#N/A</v>
      </c>
      <c r="AB14" s="5">
        <v>13</v>
      </c>
      <c r="AC14" s="5" t="e">
        <v>#N/A</v>
      </c>
      <c r="AD14" s="5" t="e">
        <v>#N/A</v>
      </c>
      <c r="AE14" s="5">
        <v>3</v>
      </c>
      <c r="AF14" s="5">
        <v>8.5599999999999996E-2</v>
      </c>
      <c r="AG14" s="5">
        <f>0.0856-0.082</f>
        <v>3.5999999999999921E-3</v>
      </c>
      <c r="AH14" s="5" t="e">
        <v>#N/A</v>
      </c>
      <c r="AI14" s="5">
        <f t="shared" ref="AI14:AI25" si="3">AF14/AB14</f>
        <v>6.5846153846153841E-3</v>
      </c>
      <c r="AJ14" s="5" t="e">
        <v>#N/A</v>
      </c>
      <c r="AK14" s="5" t="e">
        <v>#N/A</v>
      </c>
      <c r="AL14" s="5">
        <v>7.7999999999999996E-3</v>
      </c>
      <c r="AM14" s="5">
        <v>0.1145</v>
      </c>
      <c r="AN14" s="5">
        <v>1.11E-2</v>
      </c>
      <c r="AO14" s="5">
        <f t="shared" ref="AO14:AO25" si="4">SUM(AF14,AL14:AN14)</f>
        <v>0.219</v>
      </c>
      <c r="AP14" s="104">
        <v>7.2315384615384613E-5</v>
      </c>
      <c r="AQ14" s="5">
        <v>91.054143176257838</v>
      </c>
      <c r="AR14" s="5">
        <v>8.5599999999999996E-2</v>
      </c>
    </row>
    <row r="15" spans="1:45" x14ac:dyDescent="0.25">
      <c r="A15" s="5">
        <v>2012</v>
      </c>
      <c r="B15" s="6">
        <v>41086</v>
      </c>
      <c r="C15" s="25" t="s">
        <v>40</v>
      </c>
      <c r="D15" s="1" t="s">
        <v>49</v>
      </c>
      <c r="E15" s="1" t="s">
        <v>43</v>
      </c>
      <c r="F15" s="1" t="s">
        <v>35</v>
      </c>
      <c r="G15" s="3" t="s">
        <v>440</v>
      </c>
      <c r="H15" s="1" t="s">
        <v>32</v>
      </c>
      <c r="I15" s="2" t="s">
        <v>36</v>
      </c>
      <c r="J15" s="19" t="s">
        <v>74</v>
      </c>
      <c r="K15" s="10" t="s">
        <v>28</v>
      </c>
      <c r="L15" s="5">
        <v>7</v>
      </c>
      <c r="M15" s="5">
        <v>3</v>
      </c>
      <c r="N15" s="5">
        <v>16</v>
      </c>
      <c r="O15" s="5">
        <v>20.5</v>
      </c>
      <c r="P15" s="5">
        <v>98</v>
      </c>
      <c r="Q15" s="5">
        <v>0</v>
      </c>
      <c r="R15" s="5">
        <v>7.8419999999999996</v>
      </c>
      <c r="S15" s="5" t="e">
        <f t="shared" si="0"/>
        <v>#N/A</v>
      </c>
      <c r="T15" s="5">
        <v>10.118</v>
      </c>
      <c r="U15" s="5" t="e">
        <v>#N/A</v>
      </c>
      <c r="V15" s="5" t="e">
        <v>#N/A</v>
      </c>
      <c r="W15" s="5">
        <v>0</v>
      </c>
      <c r="X15" s="5">
        <v>2.7429999999999999</v>
      </c>
      <c r="Y15" s="5">
        <v>0.39600000000000002</v>
      </c>
      <c r="Z15" s="5" t="e">
        <f t="shared" si="1"/>
        <v>#N/A</v>
      </c>
      <c r="AA15" s="5" t="e">
        <f t="shared" si="2"/>
        <v>#N/A</v>
      </c>
      <c r="AB15" s="5">
        <v>16</v>
      </c>
      <c r="AC15" s="5" t="e">
        <v>#N/A</v>
      </c>
      <c r="AD15" s="5" t="e">
        <v>#N/A</v>
      </c>
      <c r="AE15" s="5">
        <v>0</v>
      </c>
      <c r="AF15" s="5">
        <v>7.5899999999999995E-2</v>
      </c>
      <c r="AG15" s="5">
        <f>0.0759-0.078</f>
        <v>-2.1000000000000046E-3</v>
      </c>
      <c r="AH15" s="5" t="e">
        <v>#N/A</v>
      </c>
      <c r="AI15" s="5">
        <f t="shared" si="3"/>
        <v>4.7437499999999997E-3</v>
      </c>
      <c r="AJ15" s="5" t="e">
        <v>#N/A</v>
      </c>
      <c r="AK15" s="5" t="e">
        <v>#N/A</v>
      </c>
      <c r="AL15" s="5">
        <v>0</v>
      </c>
      <c r="AM15" s="5">
        <v>8.5599999999999996E-2</v>
      </c>
      <c r="AN15" s="5">
        <v>1.0699999999999999E-2</v>
      </c>
      <c r="AO15" s="5">
        <f t="shared" si="4"/>
        <v>0.17219999999999996</v>
      </c>
      <c r="AP15" s="104">
        <v>6.3237499999999999E-5</v>
      </c>
      <c r="AQ15" s="5">
        <f>(AF15)/(T15*0.0001)</f>
        <v>75.014825064241947</v>
      </c>
      <c r="AR15" s="5">
        <v>7.5899999999999995E-2</v>
      </c>
    </row>
    <row r="16" spans="1:45" x14ac:dyDescent="0.25">
      <c r="A16" s="5">
        <v>2012</v>
      </c>
      <c r="B16" s="6">
        <v>41086</v>
      </c>
      <c r="C16" s="25" t="s">
        <v>40</v>
      </c>
      <c r="D16" s="1" t="s">
        <v>49</v>
      </c>
      <c r="E16" s="1" t="s">
        <v>43</v>
      </c>
      <c r="F16" s="1" t="s">
        <v>35</v>
      </c>
      <c r="G16" s="3" t="s">
        <v>440</v>
      </c>
      <c r="H16" s="1" t="s">
        <v>32</v>
      </c>
      <c r="I16" s="2" t="s">
        <v>36</v>
      </c>
      <c r="J16" s="19" t="s">
        <v>75</v>
      </c>
      <c r="K16" s="10" t="s">
        <v>29</v>
      </c>
      <c r="L16" s="5">
        <v>7</v>
      </c>
      <c r="M16" s="5">
        <v>8</v>
      </c>
      <c r="N16" s="5">
        <v>41</v>
      </c>
      <c r="O16" s="5">
        <v>44</v>
      </c>
      <c r="P16" s="5">
        <v>93</v>
      </c>
      <c r="Q16" s="5">
        <v>1.39</v>
      </c>
      <c r="R16" s="5">
        <v>7.8849999999999998</v>
      </c>
      <c r="S16" s="5" t="e">
        <f t="shared" si="0"/>
        <v>#N/A</v>
      </c>
      <c r="T16" s="5">
        <v>9.8409999999999993</v>
      </c>
      <c r="U16" s="5" t="e">
        <v>#N/A</v>
      </c>
      <c r="V16" s="5" t="e">
        <v>#N/A</v>
      </c>
      <c r="W16" s="5">
        <v>0</v>
      </c>
      <c r="X16" s="5">
        <v>1.6859999999999999</v>
      </c>
      <c r="Y16" s="5">
        <v>0</v>
      </c>
      <c r="Z16" s="5" t="e">
        <f t="shared" si="1"/>
        <v>#N/A</v>
      </c>
      <c r="AA16" s="5" t="e">
        <f t="shared" si="2"/>
        <v>#N/A</v>
      </c>
      <c r="AB16" s="5">
        <v>10</v>
      </c>
      <c r="AC16" s="5" t="e">
        <v>#N/A</v>
      </c>
      <c r="AD16" s="5" t="e">
        <v>#N/A</v>
      </c>
      <c r="AE16" s="5">
        <v>0</v>
      </c>
      <c r="AF16" s="5">
        <v>4.7699999999999999E-2</v>
      </c>
      <c r="AG16" s="5">
        <f>0.0477-0.047</f>
        <v>6.9999999999999923E-4</v>
      </c>
      <c r="AH16" s="5" t="e">
        <v>#N/A</v>
      </c>
      <c r="AI16" s="5">
        <f t="shared" si="3"/>
        <v>4.7699999999999999E-3</v>
      </c>
      <c r="AJ16" s="5" t="e">
        <v>#N/A</v>
      </c>
      <c r="AK16" s="5" t="e">
        <v>#N/A</v>
      </c>
      <c r="AL16" s="5">
        <v>0</v>
      </c>
      <c r="AM16" s="5">
        <v>7.1900000000000006E-2</v>
      </c>
      <c r="AN16" s="5">
        <v>0</v>
      </c>
      <c r="AO16" s="5">
        <f t="shared" si="4"/>
        <v>0.11960000000000001</v>
      </c>
      <c r="AP16" s="104">
        <v>9.8409999999999988E-5</v>
      </c>
      <c r="AQ16" s="5">
        <v>48.470683873590083</v>
      </c>
      <c r="AR16" s="5">
        <v>4.7699999999999999E-2</v>
      </c>
    </row>
    <row r="17" spans="1:45" x14ac:dyDescent="0.25">
      <c r="A17" s="5">
        <v>2012</v>
      </c>
      <c r="B17" s="6">
        <v>41086</v>
      </c>
      <c r="C17" s="25" t="s">
        <v>40</v>
      </c>
      <c r="D17" s="1" t="s">
        <v>49</v>
      </c>
      <c r="E17" s="1" t="s">
        <v>43</v>
      </c>
      <c r="F17" s="1" t="s">
        <v>35</v>
      </c>
      <c r="G17" s="3" t="s">
        <v>440</v>
      </c>
      <c r="H17" s="1" t="s">
        <v>32</v>
      </c>
      <c r="I17" s="2" t="s">
        <v>36</v>
      </c>
      <c r="J17" s="19" t="s">
        <v>52</v>
      </c>
      <c r="K17" s="10" t="s">
        <v>29</v>
      </c>
      <c r="L17" s="5">
        <v>9</v>
      </c>
      <c r="M17" s="5">
        <v>8</v>
      </c>
      <c r="N17" s="5">
        <v>51</v>
      </c>
      <c r="O17" s="5">
        <v>55</v>
      </c>
      <c r="P17" s="5">
        <v>96</v>
      </c>
      <c r="Q17" s="5">
        <v>1.1499999999999999</v>
      </c>
      <c r="R17" s="5">
        <v>13.297000000000001</v>
      </c>
      <c r="S17" s="5" t="e">
        <f t="shared" si="0"/>
        <v>#N/A</v>
      </c>
      <c r="T17" s="5">
        <v>15.673999999999999</v>
      </c>
      <c r="U17" s="5" t="e">
        <v>#N/A</v>
      </c>
      <c r="V17" s="5" t="e">
        <v>#N/A</v>
      </c>
      <c r="W17" s="5">
        <v>0</v>
      </c>
      <c r="X17" s="5">
        <v>4.3280000000000003</v>
      </c>
      <c r="Y17" s="5">
        <v>0.23300000000000001</v>
      </c>
      <c r="Z17" s="5" t="e">
        <f t="shared" si="1"/>
        <v>#N/A</v>
      </c>
      <c r="AA17" s="5" t="e">
        <f t="shared" si="2"/>
        <v>#N/A</v>
      </c>
      <c r="AB17" s="5">
        <v>30</v>
      </c>
      <c r="AC17" s="5" t="e">
        <v>#N/A</v>
      </c>
      <c r="AD17" s="5" t="e">
        <v>#N/A</v>
      </c>
      <c r="AE17" s="5">
        <v>0</v>
      </c>
      <c r="AF17" s="5">
        <v>0.10349999999999999</v>
      </c>
      <c r="AG17" s="5">
        <f>0.1035-0.101</f>
        <v>2.4999999999999883E-3</v>
      </c>
      <c r="AH17" s="5" t="e">
        <v>#N/A</v>
      </c>
      <c r="AI17" s="5">
        <f t="shared" si="3"/>
        <v>3.4499999999999999E-3</v>
      </c>
      <c r="AJ17" s="5" t="e">
        <v>#N/A</v>
      </c>
      <c r="AK17" s="5" t="e">
        <v>#N/A</v>
      </c>
      <c r="AL17" s="5">
        <v>0</v>
      </c>
      <c r="AM17" s="5">
        <v>0.16220000000000001</v>
      </c>
      <c r="AN17" s="5">
        <v>1.29E-2</v>
      </c>
      <c r="AO17" s="5">
        <f t="shared" si="4"/>
        <v>0.27860000000000001</v>
      </c>
      <c r="AP17" s="104">
        <v>5.2246666666666669E-5</v>
      </c>
      <c r="AQ17" s="5">
        <v>66.032920760495088</v>
      </c>
      <c r="AR17" s="5">
        <v>0.10349999999999999</v>
      </c>
    </row>
    <row r="18" spans="1:45" x14ac:dyDescent="0.25">
      <c r="A18" s="5">
        <v>2012</v>
      </c>
      <c r="B18" s="6">
        <v>41086</v>
      </c>
      <c r="C18" s="25" t="s">
        <v>40</v>
      </c>
      <c r="D18" s="1" t="s">
        <v>49</v>
      </c>
      <c r="E18" s="1" t="s">
        <v>43</v>
      </c>
      <c r="F18" s="1" t="s">
        <v>35</v>
      </c>
      <c r="G18" s="3" t="s">
        <v>440</v>
      </c>
      <c r="H18" s="1" t="s">
        <v>32</v>
      </c>
      <c r="I18" s="2" t="s">
        <v>39</v>
      </c>
      <c r="J18" s="19" t="s">
        <v>80</v>
      </c>
      <c r="K18" s="10" t="s">
        <v>30</v>
      </c>
      <c r="L18" s="5">
        <v>8</v>
      </c>
      <c r="M18" s="5">
        <v>4</v>
      </c>
      <c r="N18" s="5">
        <v>69</v>
      </c>
      <c r="O18" s="5">
        <v>74</v>
      </c>
      <c r="P18" s="5">
        <v>96</v>
      </c>
      <c r="Q18" s="5">
        <v>2.06</v>
      </c>
      <c r="R18" s="5">
        <v>8.4039999999999999</v>
      </c>
      <c r="S18" s="5" t="e">
        <f t="shared" si="0"/>
        <v>#N/A</v>
      </c>
      <c r="T18" s="5">
        <v>11.311</v>
      </c>
      <c r="U18" s="5" t="e">
        <v>#N/A</v>
      </c>
      <c r="V18" s="5" t="e">
        <v>#N/A</v>
      </c>
      <c r="W18" s="5">
        <v>0</v>
      </c>
      <c r="X18" s="8">
        <v>1.6950000000000001</v>
      </c>
      <c r="Y18" s="5">
        <v>0.443</v>
      </c>
      <c r="Z18" s="5" t="e">
        <f t="shared" si="1"/>
        <v>#N/A</v>
      </c>
      <c r="AA18" s="5" t="e">
        <f t="shared" si="2"/>
        <v>#N/A</v>
      </c>
      <c r="AB18" s="5">
        <v>29</v>
      </c>
      <c r="AC18" s="5" t="e">
        <v>#N/A</v>
      </c>
      <c r="AD18" s="5" t="e">
        <v>#N/A</v>
      </c>
      <c r="AE18" s="5">
        <v>0</v>
      </c>
      <c r="AF18" s="5">
        <v>6.1199999999999997E-2</v>
      </c>
      <c r="AG18" s="5">
        <f>0.0612-0.062</f>
        <v>-8.000000000000021E-4</v>
      </c>
      <c r="AH18" s="5" t="e">
        <v>#N/A</v>
      </c>
      <c r="AI18" s="5">
        <f t="shared" si="3"/>
        <v>2.1103448275862067E-3</v>
      </c>
      <c r="AJ18" s="5" t="e">
        <v>#N/A</v>
      </c>
      <c r="AK18" s="5" t="e">
        <v>#N/A</v>
      </c>
      <c r="AL18" s="5">
        <v>0</v>
      </c>
      <c r="AM18" s="5">
        <v>5.0700000000000002E-2</v>
      </c>
      <c r="AN18" s="5">
        <v>9.7000000000000003E-3</v>
      </c>
      <c r="AO18" s="5">
        <f t="shared" si="4"/>
        <v>0.1216</v>
      </c>
      <c r="AP18" s="104">
        <v>3.9003448275862074E-5</v>
      </c>
      <c r="AQ18" s="5">
        <v>54.106621872513472</v>
      </c>
      <c r="AR18" s="5">
        <v>6.1199999999999997E-2</v>
      </c>
    </row>
    <row r="19" spans="1:45" x14ac:dyDescent="0.25">
      <c r="A19" s="5">
        <v>2012</v>
      </c>
      <c r="B19" s="6">
        <v>41086</v>
      </c>
      <c r="C19" s="25" t="s">
        <v>40</v>
      </c>
      <c r="D19" s="1" t="s">
        <v>49</v>
      </c>
      <c r="E19" s="1" t="s">
        <v>43</v>
      </c>
      <c r="F19" s="1" t="s">
        <v>35</v>
      </c>
      <c r="G19" s="3" t="s">
        <v>440</v>
      </c>
      <c r="H19" s="1" t="s">
        <v>32</v>
      </c>
      <c r="I19" s="2" t="s">
        <v>39</v>
      </c>
      <c r="J19" s="19" t="s">
        <v>79</v>
      </c>
      <c r="K19" s="10" t="s">
        <v>30</v>
      </c>
      <c r="L19" s="5">
        <v>2</v>
      </c>
      <c r="M19" s="5">
        <v>4</v>
      </c>
      <c r="N19" s="5">
        <v>60</v>
      </c>
      <c r="O19" s="5">
        <v>65.5</v>
      </c>
      <c r="P19" s="24" t="e">
        <v>#N/A</v>
      </c>
      <c r="Q19" s="5">
        <v>1.36</v>
      </c>
      <c r="R19" s="5">
        <v>20.597999999999999</v>
      </c>
      <c r="S19" s="5" t="e">
        <f t="shared" si="0"/>
        <v>#N/A</v>
      </c>
      <c r="T19" s="5">
        <v>27.722000000000001</v>
      </c>
      <c r="U19" s="5" t="e">
        <v>#N/A</v>
      </c>
      <c r="V19" s="5" t="e">
        <v>#N/A</v>
      </c>
      <c r="W19" s="5">
        <v>0</v>
      </c>
      <c r="X19" s="5">
        <v>3.407</v>
      </c>
      <c r="Y19" s="5">
        <v>0.48399999999999999</v>
      </c>
      <c r="Z19" s="5" t="e">
        <f t="shared" si="1"/>
        <v>#N/A</v>
      </c>
      <c r="AA19" s="5" t="e">
        <f t="shared" si="2"/>
        <v>#N/A</v>
      </c>
      <c r="AB19" s="5">
        <v>104</v>
      </c>
      <c r="AC19" s="5" t="e">
        <v>#N/A</v>
      </c>
      <c r="AD19" s="5" t="e">
        <v>#N/A</v>
      </c>
      <c r="AE19" s="5">
        <v>0</v>
      </c>
      <c r="AF19" s="5">
        <v>0.10979999999999999</v>
      </c>
      <c r="AG19" s="5">
        <f>0.1098-0.11</f>
        <v>-2.0000000000000573E-4</v>
      </c>
      <c r="AH19" s="5" t="e">
        <v>#N/A</v>
      </c>
      <c r="AI19" s="5">
        <f t="shared" si="3"/>
        <v>1.0557692307692308E-3</v>
      </c>
      <c r="AJ19" s="5" t="e">
        <v>#N/A</v>
      </c>
      <c r="AK19" s="5" t="e">
        <v>#N/A</v>
      </c>
      <c r="AL19" s="5">
        <v>0</v>
      </c>
      <c r="AM19" s="5">
        <v>8.5500000000000007E-2</v>
      </c>
      <c r="AN19" s="5">
        <v>6.1999999999999998E-3</v>
      </c>
      <c r="AO19" s="5">
        <f t="shared" si="4"/>
        <v>0.20150000000000001</v>
      </c>
      <c r="AP19" s="104">
        <v>2.6655769230769232E-5</v>
      </c>
      <c r="AQ19" s="5">
        <v>39.607531924103597</v>
      </c>
      <c r="AR19" s="5">
        <v>0.10979999999999999</v>
      </c>
    </row>
    <row r="20" spans="1:45" x14ac:dyDescent="0.25">
      <c r="A20" s="5">
        <v>2012</v>
      </c>
      <c r="B20" s="6">
        <v>41088</v>
      </c>
      <c r="C20" s="1" t="s">
        <v>40</v>
      </c>
      <c r="D20" s="25" t="s">
        <v>31</v>
      </c>
      <c r="E20" s="1" t="s">
        <v>44</v>
      </c>
      <c r="F20" s="1" t="s">
        <v>35</v>
      </c>
      <c r="G20" s="3" t="s">
        <v>440</v>
      </c>
      <c r="H20" s="1" t="s">
        <v>32</v>
      </c>
      <c r="I20" s="2" t="s">
        <v>36</v>
      </c>
      <c r="J20" s="10" t="s">
        <v>47</v>
      </c>
      <c r="K20" s="10" t="s">
        <v>28</v>
      </c>
      <c r="L20" s="5">
        <v>5</v>
      </c>
      <c r="M20" s="5">
        <v>5</v>
      </c>
      <c r="N20" s="5">
        <v>13</v>
      </c>
      <c r="O20" s="5">
        <v>17</v>
      </c>
      <c r="P20" s="5">
        <v>81</v>
      </c>
      <c r="Q20" s="5">
        <v>0.13</v>
      </c>
      <c r="R20" s="8">
        <v>11.242000000000001</v>
      </c>
      <c r="S20" s="5" t="e">
        <f t="shared" ref="S20:S25" si="5">SUM(T20:V20)</f>
        <v>#N/A</v>
      </c>
      <c r="T20" s="8">
        <v>15.355</v>
      </c>
      <c r="U20" s="5" t="e">
        <v>#N/A</v>
      </c>
      <c r="V20" s="5" t="e">
        <v>#N/A</v>
      </c>
      <c r="W20" s="8">
        <v>0</v>
      </c>
      <c r="X20" s="8">
        <v>3.0529999999999999</v>
      </c>
      <c r="Y20" s="8">
        <v>0</v>
      </c>
      <c r="Z20" s="8">
        <v>15.355</v>
      </c>
      <c r="AA20" s="8">
        <v>18.408000000000001</v>
      </c>
      <c r="AB20" s="5">
        <v>30</v>
      </c>
      <c r="AC20" s="5" t="e">
        <v>#N/A</v>
      </c>
      <c r="AD20" s="5" t="e">
        <v>#N/A</v>
      </c>
      <c r="AE20" s="5">
        <v>0</v>
      </c>
      <c r="AF20" s="8">
        <v>0.13900000000000001</v>
      </c>
      <c r="AG20" s="8">
        <f>0.1409-0.139</f>
        <v>1.899999999999985E-3</v>
      </c>
      <c r="AH20" s="5" t="e">
        <v>#N/A</v>
      </c>
      <c r="AI20" s="5">
        <f t="shared" si="3"/>
        <v>4.6333333333333339E-3</v>
      </c>
      <c r="AJ20" s="5" t="e">
        <v>#N/A</v>
      </c>
      <c r="AK20" s="5" t="e">
        <v>#N/A</v>
      </c>
      <c r="AL20" s="5">
        <v>0</v>
      </c>
      <c r="AM20" s="5">
        <v>0.12988</v>
      </c>
      <c r="AN20" s="5">
        <v>0</v>
      </c>
      <c r="AO20" s="5">
        <f t="shared" si="4"/>
        <v>0.26888000000000001</v>
      </c>
      <c r="AP20" s="5">
        <v>5.1183333333333342E-5</v>
      </c>
      <c r="AQ20" s="5">
        <v>90.524259198957992</v>
      </c>
      <c r="AR20" s="8">
        <v>0.1409</v>
      </c>
    </row>
    <row r="21" spans="1:45" x14ac:dyDescent="0.25">
      <c r="A21" s="5">
        <v>2012</v>
      </c>
      <c r="B21" s="6">
        <v>41088</v>
      </c>
      <c r="C21" s="1" t="s">
        <v>40</v>
      </c>
      <c r="D21" s="25" t="s">
        <v>31</v>
      </c>
      <c r="E21" s="1" t="s">
        <v>44</v>
      </c>
      <c r="F21" s="1" t="s">
        <v>35</v>
      </c>
      <c r="G21" s="3" t="s">
        <v>440</v>
      </c>
      <c r="H21" s="1" t="s">
        <v>32</v>
      </c>
      <c r="I21" s="2" t="s">
        <v>36</v>
      </c>
      <c r="J21" s="10" t="s">
        <v>4</v>
      </c>
      <c r="K21" s="10" t="s">
        <v>28</v>
      </c>
      <c r="L21" s="5">
        <v>7</v>
      </c>
      <c r="M21" s="5">
        <v>9</v>
      </c>
      <c r="N21" s="5">
        <v>15</v>
      </c>
      <c r="O21" s="5">
        <v>22</v>
      </c>
      <c r="P21" s="5">
        <v>69.5</v>
      </c>
      <c r="Q21" s="5">
        <v>0</v>
      </c>
      <c r="R21" s="8">
        <v>16.829999999999998</v>
      </c>
      <c r="S21" s="5" t="e">
        <f t="shared" si="5"/>
        <v>#N/A</v>
      </c>
      <c r="T21" s="8">
        <v>21.247</v>
      </c>
      <c r="U21" s="5" t="e">
        <v>#N/A</v>
      </c>
      <c r="V21" s="5" t="e">
        <v>#N/A</v>
      </c>
      <c r="W21" s="8">
        <v>0</v>
      </c>
      <c r="X21" s="8">
        <v>5.7569999999999997</v>
      </c>
      <c r="Y21" s="8">
        <v>0</v>
      </c>
      <c r="Z21" s="8">
        <v>21.247</v>
      </c>
      <c r="AA21" s="8">
        <v>27.004000000000001</v>
      </c>
      <c r="AB21" s="5">
        <v>28</v>
      </c>
      <c r="AC21" s="5" t="e">
        <v>#N/A</v>
      </c>
      <c r="AD21" s="5" t="e">
        <v>#N/A</v>
      </c>
      <c r="AE21" s="5">
        <v>0</v>
      </c>
      <c r="AF21" s="8">
        <v>0.17299999999999999</v>
      </c>
      <c r="AG21" s="8">
        <f>0.1741-0.173</f>
        <v>1.1000000000000176E-3</v>
      </c>
      <c r="AH21" s="5" t="e">
        <v>#N/A</v>
      </c>
      <c r="AI21" s="5">
        <f t="shared" si="3"/>
        <v>6.1785714285714282E-3</v>
      </c>
      <c r="AJ21" s="5" t="e">
        <v>#N/A</v>
      </c>
      <c r="AK21" s="5" t="e">
        <v>#N/A</v>
      </c>
      <c r="AL21" s="5">
        <v>0</v>
      </c>
      <c r="AM21" s="5">
        <v>0.3543</v>
      </c>
      <c r="AN21" s="5">
        <v>0</v>
      </c>
      <c r="AO21" s="5">
        <f t="shared" si="4"/>
        <v>0.52729999999999999</v>
      </c>
      <c r="AP21" s="5">
        <v>7.5882142857142866E-5</v>
      </c>
      <c r="AQ21" s="5">
        <v>81.423259754318238</v>
      </c>
      <c r="AR21" s="8">
        <v>0.1741</v>
      </c>
    </row>
    <row r="22" spans="1:45" x14ac:dyDescent="0.25">
      <c r="A22" s="5">
        <v>2012</v>
      </c>
      <c r="B22" s="6">
        <v>41088</v>
      </c>
      <c r="C22" s="1" t="s">
        <v>40</v>
      </c>
      <c r="D22" s="25" t="s">
        <v>31</v>
      </c>
      <c r="E22" s="1" t="s">
        <v>44</v>
      </c>
      <c r="F22" s="1" t="s">
        <v>35</v>
      </c>
      <c r="G22" s="3" t="s">
        <v>440</v>
      </c>
      <c r="H22" s="1" t="s">
        <v>32</v>
      </c>
      <c r="I22" s="2" t="s">
        <v>36</v>
      </c>
      <c r="J22" s="10" t="s">
        <v>52</v>
      </c>
      <c r="K22" s="10" t="s">
        <v>29</v>
      </c>
      <c r="L22" s="5">
        <v>5</v>
      </c>
      <c r="M22" s="5">
        <v>2</v>
      </c>
      <c r="N22" s="5">
        <v>40</v>
      </c>
      <c r="O22" s="5">
        <v>45</v>
      </c>
      <c r="P22" s="5">
        <v>79</v>
      </c>
      <c r="Q22" s="5">
        <v>1.04</v>
      </c>
      <c r="R22" s="8">
        <v>11.35</v>
      </c>
      <c r="S22" s="5" t="e">
        <f t="shared" si="5"/>
        <v>#N/A</v>
      </c>
      <c r="T22" s="8">
        <v>17.437999999999999</v>
      </c>
      <c r="U22" s="5" t="e">
        <v>#N/A</v>
      </c>
      <c r="V22" s="5" t="e">
        <v>#N/A</v>
      </c>
      <c r="W22" s="8">
        <v>0</v>
      </c>
      <c r="X22" s="8">
        <v>1.849</v>
      </c>
      <c r="Y22" s="8">
        <v>0</v>
      </c>
      <c r="Z22" s="8">
        <v>17.437999999999999</v>
      </c>
      <c r="AA22" s="8">
        <v>19.286999999999999</v>
      </c>
      <c r="AB22" s="5">
        <v>21</v>
      </c>
      <c r="AC22" s="5" t="e">
        <v>#N/A</v>
      </c>
      <c r="AD22" s="5" t="e">
        <v>#N/A</v>
      </c>
      <c r="AE22" s="5">
        <v>0</v>
      </c>
      <c r="AF22" s="8">
        <v>0.10150000000000001</v>
      </c>
      <c r="AG22" s="8">
        <f>0.1015-0.103</f>
        <v>-1.4999999999999875E-3</v>
      </c>
      <c r="AH22" s="5" t="e">
        <v>#N/A</v>
      </c>
      <c r="AI22" s="5">
        <f t="shared" si="3"/>
        <v>4.8333333333333336E-3</v>
      </c>
      <c r="AJ22" s="5" t="e">
        <v>#N/A</v>
      </c>
      <c r="AK22" s="5" t="e">
        <v>#N/A</v>
      </c>
      <c r="AL22" s="5">
        <v>0</v>
      </c>
      <c r="AM22" s="5">
        <v>6.5100000000000005E-2</v>
      </c>
      <c r="AN22" s="5">
        <v>0</v>
      </c>
      <c r="AO22" s="5">
        <f t="shared" si="4"/>
        <v>0.16660000000000003</v>
      </c>
      <c r="AP22" s="5">
        <v>8.3038095238095242E-5</v>
      </c>
      <c r="AQ22" s="5">
        <v>58.206216309209779</v>
      </c>
      <c r="AR22" s="8">
        <v>0.10150000000000001</v>
      </c>
    </row>
    <row r="23" spans="1:45" x14ac:dyDescent="0.25">
      <c r="A23" s="5">
        <v>2012</v>
      </c>
      <c r="B23" s="6">
        <v>41088</v>
      </c>
      <c r="C23" s="1" t="s">
        <v>40</v>
      </c>
      <c r="D23" s="25" t="s">
        <v>31</v>
      </c>
      <c r="E23" s="1" t="s">
        <v>44</v>
      </c>
      <c r="F23" s="1" t="s">
        <v>35</v>
      </c>
      <c r="G23" s="3" t="s">
        <v>440</v>
      </c>
      <c r="H23" s="1" t="s">
        <v>32</v>
      </c>
      <c r="I23" s="2" t="s">
        <v>36</v>
      </c>
      <c r="J23" s="10" t="s">
        <v>5</v>
      </c>
      <c r="K23" s="10" t="s">
        <v>29</v>
      </c>
      <c r="L23" s="5">
        <v>8</v>
      </c>
      <c r="M23" s="5">
        <v>8</v>
      </c>
      <c r="N23" s="5">
        <v>40</v>
      </c>
      <c r="O23" s="5">
        <v>45</v>
      </c>
      <c r="P23" s="5">
        <v>69.5</v>
      </c>
      <c r="Q23" s="5">
        <v>0.88</v>
      </c>
      <c r="R23" s="8">
        <v>12.201000000000001</v>
      </c>
      <c r="S23" s="5" t="e">
        <f t="shared" si="5"/>
        <v>#N/A</v>
      </c>
      <c r="T23" s="8">
        <v>13.837</v>
      </c>
      <c r="U23" s="5" t="e">
        <v>#N/A</v>
      </c>
      <c r="V23" s="5" t="e">
        <v>#N/A</v>
      </c>
      <c r="W23" s="8">
        <v>0</v>
      </c>
      <c r="X23" s="8">
        <v>2.3119999999999998</v>
      </c>
      <c r="Y23" s="8">
        <v>0</v>
      </c>
      <c r="Z23" s="8">
        <v>13.837</v>
      </c>
      <c r="AA23" s="8">
        <v>16.149000000000001</v>
      </c>
      <c r="AB23" s="5">
        <v>15</v>
      </c>
      <c r="AC23" s="5" t="e">
        <v>#N/A</v>
      </c>
      <c r="AD23" s="5" t="e">
        <v>#N/A</v>
      </c>
      <c r="AE23" s="5">
        <v>0</v>
      </c>
      <c r="AF23" s="8">
        <v>9.0999999999999998E-2</v>
      </c>
      <c r="AG23" s="8">
        <f>0.0968-0.091</f>
        <v>5.7999999999999996E-3</v>
      </c>
      <c r="AH23" s="5" t="e">
        <v>#N/A</v>
      </c>
      <c r="AI23" s="5">
        <f t="shared" si="3"/>
        <v>6.0666666666666664E-3</v>
      </c>
      <c r="AJ23" s="5" t="e">
        <v>#N/A</v>
      </c>
      <c r="AK23" s="5" t="e">
        <v>#N/A</v>
      </c>
      <c r="AL23" s="5">
        <v>0</v>
      </c>
      <c r="AM23" s="5">
        <v>0.1094</v>
      </c>
      <c r="AN23" s="5">
        <v>0</v>
      </c>
      <c r="AO23" s="5">
        <f t="shared" si="4"/>
        <v>0.20039999999999999</v>
      </c>
      <c r="AP23" s="5">
        <v>9.2246666666666666E-5</v>
      </c>
      <c r="AQ23" s="5">
        <v>65.765700657657007</v>
      </c>
      <c r="AR23" s="8">
        <v>9.6799999999999997E-2</v>
      </c>
    </row>
    <row r="24" spans="1:45" x14ac:dyDescent="0.25">
      <c r="A24" s="5">
        <v>2012</v>
      </c>
      <c r="B24" s="6">
        <v>41088</v>
      </c>
      <c r="C24" s="1" t="s">
        <v>40</v>
      </c>
      <c r="D24" s="25" t="s">
        <v>31</v>
      </c>
      <c r="E24" s="1" t="s">
        <v>44</v>
      </c>
      <c r="F24" s="1" t="s">
        <v>35</v>
      </c>
      <c r="G24" s="3" t="s">
        <v>440</v>
      </c>
      <c r="H24" s="1" t="s">
        <v>32</v>
      </c>
      <c r="I24" s="2" t="s">
        <v>37</v>
      </c>
      <c r="J24" s="10" t="s">
        <v>89</v>
      </c>
      <c r="K24" s="10" t="s">
        <v>30</v>
      </c>
      <c r="L24" s="5">
        <v>3</v>
      </c>
      <c r="M24" s="5">
        <v>9</v>
      </c>
      <c r="N24" s="5">
        <v>54</v>
      </c>
      <c r="O24" s="5">
        <v>56.5</v>
      </c>
      <c r="P24" s="5">
        <v>79</v>
      </c>
      <c r="Q24" s="5">
        <v>1.29</v>
      </c>
      <c r="R24" s="8">
        <v>2.5449999999999999</v>
      </c>
      <c r="S24" s="5" t="e">
        <f t="shared" si="5"/>
        <v>#N/A</v>
      </c>
      <c r="T24" s="8">
        <v>3.4020000000000001</v>
      </c>
      <c r="U24" s="5" t="e">
        <v>#N/A</v>
      </c>
      <c r="V24" s="5" t="e">
        <v>#N/A</v>
      </c>
      <c r="W24" s="8">
        <v>0</v>
      </c>
      <c r="X24" s="8">
        <v>0.24099999999999999</v>
      </c>
      <c r="Y24" s="8">
        <v>0.25</v>
      </c>
      <c r="Z24" s="8">
        <v>3.6520000000000001</v>
      </c>
      <c r="AA24" s="8">
        <v>3.8929999999999998</v>
      </c>
      <c r="AB24" s="8">
        <v>19</v>
      </c>
      <c r="AC24" s="8">
        <v>0</v>
      </c>
      <c r="AD24" s="5" t="e">
        <v>#N/A</v>
      </c>
      <c r="AE24" s="8">
        <v>0</v>
      </c>
      <c r="AF24" s="8">
        <v>3.2099999999999997E-2</v>
      </c>
      <c r="AG24" s="8">
        <v>0</v>
      </c>
      <c r="AH24" s="5" t="e">
        <v>#N/A</v>
      </c>
      <c r="AI24" s="5">
        <f t="shared" si="3"/>
        <v>1.6894736842105261E-3</v>
      </c>
      <c r="AJ24" s="5" t="e">
        <v>#N/A</v>
      </c>
      <c r="AK24" s="5" t="e">
        <v>#N/A</v>
      </c>
      <c r="AL24" s="8">
        <v>0</v>
      </c>
      <c r="AM24" s="8">
        <v>6.4000000000000003E-3</v>
      </c>
      <c r="AN24" s="8">
        <v>4.1000000000000002E-2</v>
      </c>
      <c r="AO24" s="5">
        <f t="shared" si="4"/>
        <v>7.9500000000000001E-2</v>
      </c>
      <c r="AP24" s="5">
        <v>1.7905263157894739E-5</v>
      </c>
      <c r="AQ24" s="5">
        <v>94.356261022927669</v>
      </c>
      <c r="AR24" s="8">
        <v>3.2099999999999997E-2</v>
      </c>
    </row>
    <row r="25" spans="1:45" x14ac:dyDescent="0.25">
      <c r="A25" s="5">
        <v>2012</v>
      </c>
      <c r="B25" s="6">
        <v>41088</v>
      </c>
      <c r="C25" s="1" t="s">
        <v>40</v>
      </c>
      <c r="D25" s="25" t="s">
        <v>31</v>
      </c>
      <c r="E25" s="1" t="s">
        <v>44</v>
      </c>
      <c r="F25" s="1" t="s">
        <v>35</v>
      </c>
      <c r="G25" s="3" t="s">
        <v>440</v>
      </c>
      <c r="H25" s="1" t="s">
        <v>32</v>
      </c>
      <c r="I25" s="2" t="s">
        <v>51</v>
      </c>
      <c r="J25" s="10" t="s">
        <v>81</v>
      </c>
      <c r="K25" s="10" t="s">
        <v>30</v>
      </c>
      <c r="L25" s="5">
        <v>9</v>
      </c>
      <c r="M25" s="5">
        <v>10</v>
      </c>
      <c r="N25" s="5">
        <v>56.5</v>
      </c>
      <c r="O25" s="5">
        <v>59</v>
      </c>
      <c r="P25" s="5">
        <v>73</v>
      </c>
      <c r="Q25" s="5">
        <v>1.29</v>
      </c>
      <c r="R25" s="8">
        <v>7.7969999999999997</v>
      </c>
      <c r="S25" s="5" t="e">
        <f t="shared" si="5"/>
        <v>#N/A</v>
      </c>
      <c r="T25" s="8">
        <v>14.643000000000001</v>
      </c>
      <c r="U25" s="5" t="e">
        <v>#N/A</v>
      </c>
      <c r="V25" s="5" t="e">
        <v>#N/A</v>
      </c>
      <c r="W25" s="8">
        <v>0</v>
      </c>
      <c r="X25" s="8">
        <v>1.1419999999999999</v>
      </c>
      <c r="Y25" s="8">
        <v>0</v>
      </c>
      <c r="Z25" s="8">
        <v>0.313</v>
      </c>
      <c r="AA25" s="8">
        <v>15.785</v>
      </c>
      <c r="AB25" s="8">
        <v>74</v>
      </c>
      <c r="AC25" s="8">
        <v>0</v>
      </c>
      <c r="AD25" s="5" t="e">
        <v>#N/A</v>
      </c>
      <c r="AE25" s="8">
        <v>0</v>
      </c>
      <c r="AF25" s="8">
        <v>0.17860000000000001</v>
      </c>
      <c r="AG25" s="8">
        <v>0</v>
      </c>
      <c r="AH25" s="5" t="e">
        <v>#N/A</v>
      </c>
      <c r="AI25" s="5">
        <f t="shared" si="3"/>
        <v>2.4135135135135138E-3</v>
      </c>
      <c r="AJ25" s="5" t="e">
        <v>#N/A</v>
      </c>
      <c r="AK25" s="5" t="e">
        <v>#N/A</v>
      </c>
      <c r="AL25" s="8">
        <v>0</v>
      </c>
      <c r="AM25" s="5">
        <v>0.313</v>
      </c>
      <c r="AN25" s="5">
        <v>6.6000000000000003E-2</v>
      </c>
      <c r="AO25" s="5">
        <f t="shared" si="4"/>
        <v>0.5576000000000001</v>
      </c>
      <c r="AP25" s="5">
        <v>1.9787837837837841E-5</v>
      </c>
      <c r="AQ25" s="5">
        <v>121.96954176056818</v>
      </c>
      <c r="AR25" s="8">
        <v>0.17860000000000001</v>
      </c>
      <c r="AS25" s="5" t="s">
        <v>64</v>
      </c>
    </row>
    <row r="26" spans="1:45" x14ac:dyDescent="0.25">
      <c r="A26" s="5">
        <v>2012</v>
      </c>
      <c r="B26" s="14">
        <v>41088</v>
      </c>
      <c r="C26" s="1" t="s">
        <v>40</v>
      </c>
      <c r="D26" s="3" t="s">
        <v>31</v>
      </c>
      <c r="E26" s="3" t="s">
        <v>45</v>
      </c>
      <c r="F26" s="3" t="s">
        <v>35</v>
      </c>
      <c r="G26" s="3" t="s">
        <v>440</v>
      </c>
      <c r="H26" s="3" t="s">
        <v>33</v>
      </c>
      <c r="I26" s="2" t="s">
        <v>46</v>
      </c>
      <c r="J26" s="10" t="s">
        <v>6</v>
      </c>
      <c r="K26" s="10" t="s">
        <v>28</v>
      </c>
      <c r="L26" s="5">
        <v>8</v>
      </c>
      <c r="M26" s="5">
        <v>4</v>
      </c>
      <c r="N26" s="5">
        <v>7</v>
      </c>
      <c r="O26" s="5">
        <v>14</v>
      </c>
      <c r="P26" s="5">
        <v>90.5</v>
      </c>
      <c r="Q26" s="5">
        <v>0.56999999999999995</v>
      </c>
      <c r="R26" s="5">
        <v>15.259</v>
      </c>
      <c r="S26" s="5">
        <v>34.109000000000002</v>
      </c>
      <c r="T26" s="5">
        <v>34.109000000000002</v>
      </c>
      <c r="U26" s="5" t="e">
        <v>#N/A</v>
      </c>
      <c r="V26" s="5" t="e">
        <v>#N/A</v>
      </c>
      <c r="W26" s="5">
        <v>0</v>
      </c>
      <c r="X26" s="5">
        <v>1.3420000000000001</v>
      </c>
      <c r="Y26" s="5">
        <v>1.9930000000000001</v>
      </c>
      <c r="Z26" s="5">
        <v>36.102000000000004</v>
      </c>
      <c r="AA26" s="5">
        <v>37.444000000000003</v>
      </c>
      <c r="AB26" s="5">
        <v>55</v>
      </c>
      <c r="AC26" s="5" t="e">
        <v>#N/A</v>
      </c>
      <c r="AD26" s="5" t="e">
        <v>#N/A</v>
      </c>
      <c r="AE26" s="5" t="e">
        <v>#N/A</v>
      </c>
      <c r="AF26" s="5">
        <v>0.27600000000000002</v>
      </c>
      <c r="AG26" s="5">
        <v>3.5000000000000031E-3</v>
      </c>
      <c r="AH26" s="5" t="e">
        <v>#N/A</v>
      </c>
      <c r="AI26" s="5">
        <v>5.0181818181818183E-3</v>
      </c>
      <c r="AJ26" s="5" t="e">
        <v>#N/A</v>
      </c>
      <c r="AK26" s="5" t="e">
        <v>#N/A</v>
      </c>
      <c r="AL26" s="5">
        <v>0</v>
      </c>
      <c r="AM26" s="5">
        <v>5.2299999999999999E-2</v>
      </c>
      <c r="AN26" s="5">
        <v>6.54E-2</v>
      </c>
      <c r="AO26" s="5">
        <v>0.39720000000000005</v>
      </c>
      <c r="AP26" s="104">
        <v>6.2016363636363639E-5</v>
      </c>
      <c r="AQ26" s="5">
        <v>80.917060013486179</v>
      </c>
      <c r="AR26" s="5">
        <v>0.27950000000000003</v>
      </c>
    </row>
    <row r="27" spans="1:45" x14ac:dyDescent="0.25">
      <c r="A27" s="5">
        <v>2012</v>
      </c>
      <c r="B27" s="14">
        <v>41088</v>
      </c>
      <c r="C27" s="1" t="s">
        <v>40</v>
      </c>
      <c r="D27" s="3" t="s">
        <v>31</v>
      </c>
      <c r="E27" s="3" t="s">
        <v>45</v>
      </c>
      <c r="F27" s="3" t="s">
        <v>35</v>
      </c>
      <c r="G27" s="3" t="s">
        <v>440</v>
      </c>
      <c r="H27" s="3" t="s">
        <v>33</v>
      </c>
      <c r="I27" s="2" t="s">
        <v>46</v>
      </c>
      <c r="J27" s="10" t="s">
        <v>7</v>
      </c>
      <c r="K27" s="10" t="s">
        <v>28</v>
      </c>
      <c r="L27" s="5">
        <v>1</v>
      </c>
      <c r="M27" s="5">
        <v>6</v>
      </c>
      <c r="N27" s="5">
        <v>11.5</v>
      </c>
      <c r="O27" s="5">
        <v>16.5</v>
      </c>
      <c r="P27" s="5">
        <v>89.5</v>
      </c>
      <c r="Q27" s="5">
        <v>0.12</v>
      </c>
      <c r="R27" s="5">
        <v>24.190999999999999</v>
      </c>
      <c r="S27" s="5">
        <v>40.091999999999999</v>
      </c>
      <c r="T27" s="5">
        <v>40.091999999999999</v>
      </c>
      <c r="U27" s="5" t="e">
        <v>#N/A</v>
      </c>
      <c r="V27" s="5" t="e">
        <v>#N/A</v>
      </c>
      <c r="W27" s="5">
        <v>0</v>
      </c>
      <c r="X27" s="5">
        <v>1.1970000000000001</v>
      </c>
      <c r="Y27" s="5">
        <v>0.29699999999999999</v>
      </c>
      <c r="Z27" s="5">
        <v>40.388999999999996</v>
      </c>
      <c r="AA27" s="5">
        <v>41.585999999999999</v>
      </c>
      <c r="AB27" s="5">
        <v>31</v>
      </c>
      <c r="AC27" s="5" t="e">
        <v>#N/A</v>
      </c>
      <c r="AD27" s="5" t="e">
        <v>#N/A</v>
      </c>
      <c r="AE27" s="5" t="e">
        <v>#N/A</v>
      </c>
      <c r="AF27" s="5">
        <v>0.36299999999999999</v>
      </c>
      <c r="AG27" s="5">
        <v>1.0999999999999899E-3</v>
      </c>
      <c r="AH27" s="5" t="e">
        <v>#N/A</v>
      </c>
      <c r="AI27" s="5">
        <v>1.1709677419354839E-2</v>
      </c>
      <c r="AJ27" s="5" t="e">
        <v>#N/A</v>
      </c>
      <c r="AK27" s="5" t="e">
        <v>#N/A</v>
      </c>
      <c r="AL27" s="5">
        <v>0</v>
      </c>
      <c r="AM27" s="5">
        <v>1.9400000000000001E-2</v>
      </c>
      <c r="AN27" s="5">
        <v>7.2900000000000006E-2</v>
      </c>
      <c r="AO27" s="5">
        <v>0.45639999999999997</v>
      </c>
      <c r="AP27" s="104">
        <v>1.2932903225806451E-4</v>
      </c>
      <c r="AQ27" s="5">
        <v>90.54175396587847</v>
      </c>
      <c r="AR27" s="5">
        <v>0.36409999999999998</v>
      </c>
    </row>
    <row r="28" spans="1:45" x14ac:dyDescent="0.25">
      <c r="A28" s="5">
        <v>2012</v>
      </c>
      <c r="B28" s="14">
        <v>41088</v>
      </c>
      <c r="C28" s="1" t="s">
        <v>40</v>
      </c>
      <c r="D28" s="3" t="s">
        <v>31</v>
      </c>
      <c r="E28" s="3" t="s">
        <v>45</v>
      </c>
      <c r="F28" s="3" t="s">
        <v>35</v>
      </c>
      <c r="G28" s="3" t="s">
        <v>440</v>
      </c>
      <c r="H28" s="3" t="s">
        <v>33</v>
      </c>
      <c r="I28" s="2" t="s">
        <v>36</v>
      </c>
      <c r="J28" s="10" t="s">
        <v>8</v>
      </c>
      <c r="K28" s="10" t="s">
        <v>29</v>
      </c>
      <c r="L28" s="5">
        <v>6</v>
      </c>
      <c r="M28" s="5">
        <v>3</v>
      </c>
      <c r="N28" s="5">
        <v>48.5</v>
      </c>
      <c r="O28" s="5">
        <v>53</v>
      </c>
      <c r="P28" s="5">
        <v>82</v>
      </c>
      <c r="Q28" s="5">
        <v>1.42</v>
      </c>
      <c r="R28" s="5">
        <v>9.3450000000000006</v>
      </c>
      <c r="S28" s="5">
        <v>17.358000000000001</v>
      </c>
      <c r="T28" s="5">
        <v>17.358000000000001</v>
      </c>
      <c r="U28" s="5" t="e">
        <v>#N/A</v>
      </c>
      <c r="V28" s="5" t="e">
        <v>#N/A</v>
      </c>
      <c r="W28" s="5">
        <v>0</v>
      </c>
      <c r="X28" s="5">
        <v>0.46300000000000002</v>
      </c>
      <c r="Y28" s="5">
        <v>1.9219999999999999</v>
      </c>
      <c r="Z28" s="5">
        <v>19.28</v>
      </c>
      <c r="AA28" s="5">
        <v>19.743000000000002</v>
      </c>
      <c r="AB28" s="5">
        <v>21</v>
      </c>
      <c r="AC28" s="5" t="e">
        <v>#N/A</v>
      </c>
      <c r="AD28" s="5" t="e">
        <v>#N/A</v>
      </c>
      <c r="AE28" s="5" t="e">
        <v>#N/A</v>
      </c>
      <c r="AF28" s="5">
        <v>0.1</v>
      </c>
      <c r="AG28" s="5">
        <v>2.9999999999999472E-4</v>
      </c>
      <c r="AH28" s="5" t="e">
        <v>#N/A</v>
      </c>
      <c r="AI28" s="5">
        <v>4.7619047619047623E-3</v>
      </c>
      <c r="AJ28" s="5" t="e">
        <v>#N/A</v>
      </c>
      <c r="AK28" s="5" t="e">
        <v>#N/A</v>
      </c>
      <c r="AL28" s="5">
        <v>0</v>
      </c>
      <c r="AM28" s="5">
        <v>5.2600000000000001E-2</v>
      </c>
      <c r="AN28" s="5">
        <v>7.6E-3</v>
      </c>
      <c r="AO28" s="5">
        <v>0.1605</v>
      </c>
      <c r="AP28" s="104">
        <v>8.2657142857142868E-5</v>
      </c>
      <c r="AQ28" s="5">
        <v>57.610323770019583</v>
      </c>
      <c r="AR28" s="5">
        <v>0.1003</v>
      </c>
    </row>
    <row r="29" spans="1:45" x14ac:dyDescent="0.25">
      <c r="A29" s="5">
        <v>2012</v>
      </c>
      <c r="B29" s="14">
        <v>41088</v>
      </c>
      <c r="C29" s="1" t="s">
        <v>40</v>
      </c>
      <c r="D29" s="3" t="s">
        <v>31</v>
      </c>
      <c r="E29" s="3" t="s">
        <v>45</v>
      </c>
      <c r="F29" s="3" t="s">
        <v>35</v>
      </c>
      <c r="G29" s="3" t="s">
        <v>440</v>
      </c>
      <c r="H29" s="3" t="s">
        <v>33</v>
      </c>
      <c r="I29" s="2" t="s">
        <v>36</v>
      </c>
      <c r="J29" s="10" t="s">
        <v>9</v>
      </c>
      <c r="K29" s="10" t="s">
        <v>29</v>
      </c>
      <c r="L29" s="5">
        <v>8</v>
      </c>
      <c r="M29" s="5">
        <v>6</v>
      </c>
      <c r="N29" s="5">
        <v>53</v>
      </c>
      <c r="O29" s="5">
        <v>54</v>
      </c>
      <c r="P29" s="5">
        <v>93</v>
      </c>
      <c r="Q29" s="5">
        <v>1.95</v>
      </c>
      <c r="R29" s="5">
        <v>12.45</v>
      </c>
      <c r="S29" s="5">
        <v>22.472999999999999</v>
      </c>
      <c r="T29" s="5">
        <v>22.472999999999999</v>
      </c>
      <c r="U29" s="5" t="e">
        <v>#N/A</v>
      </c>
      <c r="V29" s="5" t="e">
        <v>#N/A</v>
      </c>
      <c r="W29" s="5">
        <v>21</v>
      </c>
      <c r="X29" s="5">
        <v>1.232</v>
      </c>
      <c r="Y29" s="5">
        <v>0.44</v>
      </c>
      <c r="Z29" s="5">
        <v>43.912999999999997</v>
      </c>
      <c r="AA29" s="5">
        <v>45.144999999999996</v>
      </c>
      <c r="AB29" s="5">
        <v>21</v>
      </c>
      <c r="AC29" s="5" t="e">
        <v>#N/A</v>
      </c>
      <c r="AD29" s="5" t="e">
        <v>#N/A</v>
      </c>
      <c r="AE29" s="5" t="e">
        <v>#N/A</v>
      </c>
      <c r="AF29" s="5">
        <v>0.104</v>
      </c>
      <c r="AG29" s="5">
        <v>6.2000000000000111E-3</v>
      </c>
      <c r="AH29" s="5" t="e">
        <v>#N/A</v>
      </c>
      <c r="AI29" s="5">
        <v>4.952380952380952E-3</v>
      </c>
      <c r="AJ29" s="5" t="e">
        <v>#N/A</v>
      </c>
      <c r="AK29" s="5" t="e">
        <v>#N/A</v>
      </c>
      <c r="AL29" s="5">
        <v>0</v>
      </c>
      <c r="AM29" s="5">
        <v>5.0599999999999999E-2</v>
      </c>
      <c r="AN29" s="5">
        <v>8.5000000000000006E-3</v>
      </c>
      <c r="AO29" s="5">
        <v>0.16930000000000001</v>
      </c>
      <c r="AP29" s="104">
        <v>1.070142857142857E-4</v>
      </c>
      <c r="AQ29" s="5">
        <v>46.277755528856851</v>
      </c>
      <c r="AR29" s="5">
        <v>0.11020000000000001</v>
      </c>
    </row>
    <row r="30" spans="1:45" ht="16.5" customHeight="1" x14ac:dyDescent="0.25">
      <c r="A30" s="5">
        <v>2012</v>
      </c>
      <c r="B30" s="14">
        <v>41088</v>
      </c>
      <c r="C30" s="1" t="s">
        <v>40</v>
      </c>
      <c r="D30" s="3" t="s">
        <v>31</v>
      </c>
      <c r="E30" s="3" t="s">
        <v>45</v>
      </c>
      <c r="F30" s="3" t="s">
        <v>35</v>
      </c>
      <c r="G30" s="3" t="s">
        <v>440</v>
      </c>
      <c r="H30" s="3" t="s">
        <v>33</v>
      </c>
      <c r="I30" s="2" t="s">
        <v>37</v>
      </c>
      <c r="J30" s="10" t="s">
        <v>91</v>
      </c>
      <c r="K30" s="10" t="s">
        <v>30</v>
      </c>
      <c r="L30" s="5">
        <v>7</v>
      </c>
      <c r="M30" s="5">
        <v>9</v>
      </c>
      <c r="N30" s="5">
        <v>65</v>
      </c>
      <c r="O30" s="5">
        <v>70</v>
      </c>
      <c r="P30" s="5">
        <v>92.5</v>
      </c>
      <c r="Q30" s="5">
        <v>2.2000000000000002</v>
      </c>
      <c r="R30" s="5">
        <v>6.6660000000000004</v>
      </c>
      <c r="S30" s="5">
        <v>7.5750000000000002</v>
      </c>
      <c r="T30" s="5">
        <v>7.5750000000000002</v>
      </c>
      <c r="U30" s="5" t="e">
        <v>#N/A</v>
      </c>
      <c r="V30" s="5" t="e">
        <v>#N/A</v>
      </c>
      <c r="W30" s="5">
        <v>0</v>
      </c>
      <c r="X30" s="5">
        <v>1.3759999999999999</v>
      </c>
      <c r="Y30" s="5">
        <v>0</v>
      </c>
      <c r="Z30" s="5">
        <v>7.5750000000000002</v>
      </c>
      <c r="AA30" s="5">
        <v>8.9510000000000005</v>
      </c>
      <c r="AB30" s="5">
        <v>27</v>
      </c>
      <c r="AC30" s="5" t="e">
        <v>#N/A</v>
      </c>
      <c r="AD30" s="5" t="e">
        <v>#N/A</v>
      </c>
      <c r="AE30" s="5" t="e">
        <v>#N/A</v>
      </c>
      <c r="AF30" s="5">
        <v>9.2399999999999996E-2</v>
      </c>
      <c r="AG30" s="5">
        <v>0</v>
      </c>
      <c r="AH30" s="5" t="e">
        <v>#N/A</v>
      </c>
      <c r="AI30" s="5">
        <v>3.4222222222222219E-3</v>
      </c>
      <c r="AJ30" s="5" t="e">
        <v>#N/A</v>
      </c>
      <c r="AK30" s="5" t="e">
        <v>#N/A</v>
      </c>
      <c r="AL30" s="5">
        <v>0</v>
      </c>
      <c r="AM30" s="5">
        <v>2.98E-2</v>
      </c>
      <c r="AN30" s="5">
        <v>0</v>
      </c>
      <c r="AO30" s="5">
        <v>0.1222</v>
      </c>
      <c r="AP30" s="104">
        <v>2.8055555555555557E-5</v>
      </c>
      <c r="AQ30" s="5">
        <v>121.98019801980197</v>
      </c>
      <c r="AR30" s="5">
        <v>9.2399999999999996E-2</v>
      </c>
    </row>
    <row r="31" spans="1:45" x14ac:dyDescent="0.25">
      <c r="A31" s="5">
        <v>2012</v>
      </c>
      <c r="B31" s="14">
        <v>41088</v>
      </c>
      <c r="C31" s="1" t="s">
        <v>40</v>
      </c>
      <c r="D31" s="3" t="s">
        <v>31</v>
      </c>
      <c r="E31" s="3" t="s">
        <v>45</v>
      </c>
      <c r="F31" s="3" t="s">
        <v>35</v>
      </c>
      <c r="G31" s="3" t="s">
        <v>440</v>
      </c>
      <c r="H31" s="3" t="s">
        <v>33</v>
      </c>
      <c r="I31" s="2" t="s">
        <v>37</v>
      </c>
      <c r="J31" s="10" t="s">
        <v>90</v>
      </c>
      <c r="K31" s="10" t="s">
        <v>30</v>
      </c>
      <c r="L31" s="5">
        <v>7</v>
      </c>
      <c r="M31" s="5">
        <v>2</v>
      </c>
      <c r="N31" s="5">
        <v>53</v>
      </c>
      <c r="O31" s="5">
        <v>58</v>
      </c>
      <c r="P31" s="5">
        <v>80.5</v>
      </c>
      <c r="Q31" s="5">
        <v>2.02</v>
      </c>
      <c r="R31" s="5">
        <v>7.7539999999999996</v>
      </c>
      <c r="S31" s="5">
        <v>9.6300000000000008</v>
      </c>
      <c r="T31" s="5">
        <v>9.6300000000000008</v>
      </c>
      <c r="U31" s="5" t="e">
        <v>#N/A</v>
      </c>
      <c r="V31" s="5" t="e">
        <v>#N/A</v>
      </c>
      <c r="W31" s="5">
        <v>0</v>
      </c>
      <c r="X31" s="5">
        <v>1.609</v>
      </c>
      <c r="Y31" s="5">
        <v>0</v>
      </c>
      <c r="Z31" s="5">
        <v>9.6300000000000008</v>
      </c>
      <c r="AA31" s="5">
        <v>11.239000000000001</v>
      </c>
      <c r="AB31" s="5">
        <v>39</v>
      </c>
      <c r="AC31" s="5" t="e">
        <v>#N/A</v>
      </c>
      <c r="AD31" s="5" t="e">
        <v>#N/A</v>
      </c>
      <c r="AE31" s="5" t="e">
        <v>#N/A</v>
      </c>
      <c r="AF31" s="5">
        <v>0.1419</v>
      </c>
      <c r="AG31" s="5">
        <v>0</v>
      </c>
      <c r="AH31" s="5" t="e">
        <v>#N/A</v>
      </c>
      <c r="AI31" s="5">
        <v>3.6384615384615383E-3</v>
      </c>
      <c r="AJ31" s="5" t="e">
        <v>#N/A</v>
      </c>
      <c r="AK31" s="5" t="e">
        <v>#N/A</v>
      </c>
      <c r="AL31" s="5">
        <v>0</v>
      </c>
      <c r="AM31" s="5">
        <v>4.3499999999999997E-2</v>
      </c>
      <c r="AN31" s="5">
        <v>0</v>
      </c>
      <c r="AO31" s="5">
        <v>0.18540000000000001</v>
      </c>
      <c r="AP31" s="104">
        <v>2.4692307692307695E-5</v>
      </c>
      <c r="AQ31" s="5">
        <v>147.35202492211837</v>
      </c>
      <c r="AR31" s="5">
        <v>0.1419</v>
      </c>
    </row>
    <row r="32" spans="1:45" x14ac:dyDescent="0.25">
      <c r="A32" s="5">
        <v>2012</v>
      </c>
      <c r="B32" s="14">
        <v>41089</v>
      </c>
      <c r="C32" s="1" t="s">
        <v>40</v>
      </c>
      <c r="D32" s="3" t="s">
        <v>31</v>
      </c>
      <c r="E32" s="3" t="s">
        <v>13</v>
      </c>
      <c r="F32" s="3" t="s">
        <v>35</v>
      </c>
      <c r="G32" s="3" t="s">
        <v>440</v>
      </c>
      <c r="H32" s="3" t="s">
        <v>33</v>
      </c>
      <c r="I32" s="2" t="s">
        <v>46</v>
      </c>
      <c r="J32" s="10" t="s">
        <v>0</v>
      </c>
      <c r="K32" s="10" t="s">
        <v>28</v>
      </c>
      <c r="L32" s="5">
        <v>3</v>
      </c>
      <c r="M32" s="5">
        <v>8</v>
      </c>
      <c r="N32" s="5">
        <v>18.5</v>
      </c>
      <c r="O32" s="5">
        <v>22.5</v>
      </c>
      <c r="P32" s="5">
        <v>97</v>
      </c>
      <c r="Q32" s="5">
        <v>0.1</v>
      </c>
      <c r="R32" s="5">
        <v>15.903</v>
      </c>
      <c r="S32" s="5">
        <v>15.337</v>
      </c>
      <c r="T32" s="5">
        <v>15.337</v>
      </c>
      <c r="U32" s="5" t="e">
        <v>#N/A</v>
      </c>
      <c r="V32" s="5" t="e">
        <v>#N/A</v>
      </c>
      <c r="W32" s="5">
        <v>0</v>
      </c>
      <c r="X32" s="5">
        <v>1.0820000000000001</v>
      </c>
      <c r="Y32" s="5">
        <v>0</v>
      </c>
      <c r="Z32" s="5">
        <v>30.673999999999999</v>
      </c>
      <c r="AA32" s="5">
        <v>31.756</v>
      </c>
      <c r="AB32" s="5">
        <v>7</v>
      </c>
      <c r="AC32" s="5" t="e">
        <v>#N/A</v>
      </c>
      <c r="AD32" s="5" t="e">
        <v>#N/A</v>
      </c>
      <c r="AE32" s="5">
        <v>0</v>
      </c>
      <c r="AF32" s="5">
        <v>0.123</v>
      </c>
      <c r="AG32" s="5">
        <v>1.5000000000000013E-3</v>
      </c>
      <c r="AH32" s="5" t="e">
        <v>#N/A</v>
      </c>
      <c r="AI32" s="5">
        <v>1.7571428571428571E-2</v>
      </c>
      <c r="AJ32" s="5" t="e">
        <v>#N/A</v>
      </c>
      <c r="AK32" s="5" t="e">
        <v>#N/A</v>
      </c>
      <c r="AL32" s="5">
        <v>0</v>
      </c>
      <c r="AM32" s="5">
        <v>3.1399999999999997E-2</v>
      </c>
      <c r="AN32" s="5">
        <v>0</v>
      </c>
      <c r="AO32" s="5">
        <v>0.15439999999999998</v>
      </c>
      <c r="AP32" s="5">
        <v>2.1910000000000001E-4</v>
      </c>
      <c r="AQ32" s="5">
        <v>80.198213470691783</v>
      </c>
      <c r="AR32" s="5">
        <v>0.1245</v>
      </c>
    </row>
    <row r="33" spans="1:45" x14ac:dyDescent="0.25">
      <c r="A33" s="5">
        <v>2012</v>
      </c>
      <c r="B33" s="14">
        <v>41089</v>
      </c>
      <c r="C33" s="1" t="s">
        <v>40</v>
      </c>
      <c r="D33" s="3" t="s">
        <v>31</v>
      </c>
      <c r="E33" s="3" t="s">
        <v>13</v>
      </c>
      <c r="F33" s="3" t="s">
        <v>35</v>
      </c>
      <c r="G33" s="3" t="s">
        <v>440</v>
      </c>
      <c r="H33" s="3" t="s">
        <v>33</v>
      </c>
      <c r="I33" s="2" t="s">
        <v>46</v>
      </c>
      <c r="J33" s="10" t="s">
        <v>56</v>
      </c>
      <c r="K33" s="10" t="s">
        <v>28</v>
      </c>
      <c r="L33" s="5">
        <v>8</v>
      </c>
      <c r="M33" s="5">
        <v>6</v>
      </c>
      <c r="N33" s="5">
        <v>13.5</v>
      </c>
      <c r="O33" s="5">
        <v>15.5</v>
      </c>
      <c r="P33" s="5">
        <v>101</v>
      </c>
      <c r="Q33" s="5">
        <v>0.14000000000000001</v>
      </c>
      <c r="R33" s="5">
        <v>20.154</v>
      </c>
      <c r="S33" s="5">
        <v>20.997</v>
      </c>
      <c r="T33" s="5">
        <v>20.997</v>
      </c>
      <c r="U33" s="5" t="e">
        <v>#N/A</v>
      </c>
      <c r="V33" s="5" t="e">
        <v>#N/A</v>
      </c>
      <c r="W33" s="5">
        <v>0</v>
      </c>
      <c r="X33" s="5">
        <v>1.9990000000000001</v>
      </c>
      <c r="Y33" s="5">
        <v>0</v>
      </c>
      <c r="Z33" s="5">
        <v>41.994</v>
      </c>
      <c r="AA33" s="5">
        <v>43.993000000000002</v>
      </c>
      <c r="AB33" s="5">
        <v>16</v>
      </c>
      <c r="AC33" s="5" t="e">
        <v>#N/A</v>
      </c>
      <c r="AD33" s="5" t="e">
        <v>#N/A</v>
      </c>
      <c r="AE33" s="5">
        <v>0</v>
      </c>
      <c r="AF33" s="5">
        <v>0.17</v>
      </c>
      <c r="AG33" s="5">
        <v>1.3999999999999985E-2</v>
      </c>
      <c r="AH33" s="5" t="e">
        <v>#N/A</v>
      </c>
      <c r="AI33" s="5">
        <v>1.0625000000000001E-2</v>
      </c>
      <c r="AJ33" s="5" t="e">
        <v>#N/A</v>
      </c>
      <c r="AK33" s="5" t="e">
        <v>#N/A</v>
      </c>
      <c r="AL33" s="5">
        <v>0</v>
      </c>
      <c r="AM33" s="5">
        <v>6.8400000000000002E-2</v>
      </c>
      <c r="AN33" s="5">
        <v>0</v>
      </c>
      <c r="AO33" s="5">
        <v>0.2384</v>
      </c>
      <c r="AP33" s="5">
        <v>1.3123124999999999E-4</v>
      </c>
      <c r="AQ33" s="5">
        <v>80.963947230556755</v>
      </c>
      <c r="AR33" s="5">
        <v>0.184</v>
      </c>
    </row>
    <row r="34" spans="1:45" x14ac:dyDescent="0.25">
      <c r="A34" s="5">
        <v>2012</v>
      </c>
      <c r="B34" s="14">
        <v>41089</v>
      </c>
      <c r="C34" s="1" t="s">
        <v>40</v>
      </c>
      <c r="D34" s="3" t="s">
        <v>31</v>
      </c>
      <c r="E34" s="3" t="s">
        <v>13</v>
      </c>
      <c r="F34" s="3" t="s">
        <v>35</v>
      </c>
      <c r="G34" s="3" t="s">
        <v>440</v>
      </c>
      <c r="H34" s="3" t="s">
        <v>33</v>
      </c>
      <c r="I34" s="2" t="s">
        <v>36</v>
      </c>
      <c r="J34" s="10" t="s">
        <v>57</v>
      </c>
      <c r="K34" s="10" t="s">
        <v>29</v>
      </c>
      <c r="L34" s="5">
        <v>3</v>
      </c>
      <c r="M34" s="5">
        <v>8</v>
      </c>
      <c r="N34" s="5">
        <v>46</v>
      </c>
      <c r="O34" s="5">
        <v>51</v>
      </c>
      <c r="P34" s="5">
        <v>96</v>
      </c>
      <c r="Q34" s="5">
        <v>1.93</v>
      </c>
      <c r="R34" s="5">
        <v>16.942</v>
      </c>
      <c r="S34" s="5">
        <v>21.556999999999999</v>
      </c>
      <c r="T34" s="5">
        <v>21.556999999999999</v>
      </c>
      <c r="U34" s="5" t="e">
        <v>#N/A</v>
      </c>
      <c r="V34" s="5" t="e">
        <v>#N/A</v>
      </c>
      <c r="W34" s="5">
        <v>0</v>
      </c>
      <c r="X34" s="5">
        <v>1.71</v>
      </c>
      <c r="Y34" s="5">
        <v>0.28899999999999998</v>
      </c>
      <c r="Z34" s="5">
        <v>43.402999999999999</v>
      </c>
      <c r="AA34" s="5">
        <v>45.113</v>
      </c>
      <c r="AB34" s="5">
        <v>21</v>
      </c>
      <c r="AC34" s="5" t="e">
        <v>#N/A</v>
      </c>
      <c r="AD34" s="5" t="e">
        <v>#N/A</v>
      </c>
      <c r="AE34" s="5">
        <v>0</v>
      </c>
      <c r="AF34" s="5">
        <v>0.106</v>
      </c>
      <c r="AG34" s="5">
        <v>5.7999999999999996E-3</v>
      </c>
      <c r="AH34" s="5" t="e">
        <v>#N/A</v>
      </c>
      <c r="AI34" s="5">
        <v>5.0476190476190473E-3</v>
      </c>
      <c r="AJ34" s="5" t="e">
        <v>#N/A</v>
      </c>
      <c r="AK34" s="5" t="e">
        <v>#N/A</v>
      </c>
      <c r="AL34" s="5">
        <v>0</v>
      </c>
      <c r="AM34" s="5">
        <v>6.7599999999999993E-2</v>
      </c>
      <c r="AN34" s="5">
        <v>7.6E-3</v>
      </c>
      <c r="AO34" s="5">
        <v>0.18119999999999997</v>
      </c>
      <c r="AP34" s="5">
        <v>1.0265238095238095E-4</v>
      </c>
      <c r="AQ34" s="5">
        <v>49.171962703530177</v>
      </c>
      <c r="AR34" s="5">
        <v>0.1118</v>
      </c>
    </row>
    <row r="35" spans="1:45" x14ac:dyDescent="0.25">
      <c r="A35" s="5">
        <v>2012</v>
      </c>
      <c r="B35" s="14">
        <v>41089</v>
      </c>
      <c r="C35" s="1" t="s">
        <v>40</v>
      </c>
      <c r="D35" s="3" t="s">
        <v>31</v>
      </c>
      <c r="E35" s="3" t="s">
        <v>13</v>
      </c>
      <c r="F35" s="3" t="s">
        <v>35</v>
      </c>
      <c r="G35" s="3" t="s">
        <v>440</v>
      </c>
      <c r="H35" s="3" t="s">
        <v>33</v>
      </c>
      <c r="I35" s="2" t="s">
        <v>46</v>
      </c>
      <c r="J35" s="10" t="s">
        <v>2</v>
      </c>
      <c r="K35" s="10" t="s">
        <v>29</v>
      </c>
      <c r="L35" s="5">
        <v>7</v>
      </c>
      <c r="M35" s="5">
        <v>6</v>
      </c>
      <c r="N35" s="5">
        <v>44</v>
      </c>
      <c r="O35" s="5">
        <v>48.5</v>
      </c>
      <c r="P35" s="5">
        <v>101</v>
      </c>
      <c r="Q35" s="5">
        <v>0.88</v>
      </c>
      <c r="R35" s="5">
        <v>28.760999999999999</v>
      </c>
      <c r="S35" s="5">
        <v>36.201000000000001</v>
      </c>
      <c r="T35" s="5">
        <v>36.201000000000001</v>
      </c>
      <c r="U35" s="5" t="e">
        <v>#N/A</v>
      </c>
      <c r="V35" s="5" t="e">
        <v>#N/A</v>
      </c>
      <c r="W35" s="5">
        <v>0</v>
      </c>
      <c r="X35" s="5">
        <v>1.9019999999999999</v>
      </c>
      <c r="Y35" s="5">
        <v>1.3859999999999999</v>
      </c>
      <c r="Z35" s="5">
        <v>73.787999999999997</v>
      </c>
      <c r="AA35" s="5">
        <v>75.69</v>
      </c>
      <c r="AB35" s="5">
        <v>24</v>
      </c>
      <c r="AC35" s="5" t="e">
        <v>#N/A</v>
      </c>
      <c r="AD35" s="5" t="e">
        <v>#N/A</v>
      </c>
      <c r="AE35" s="5">
        <v>0</v>
      </c>
      <c r="AF35" s="5">
        <v>0.20499999999999999</v>
      </c>
      <c r="AG35" s="5">
        <v>2.0000000000000573E-4</v>
      </c>
      <c r="AH35" s="5" t="e">
        <v>#N/A</v>
      </c>
      <c r="AI35" s="5">
        <v>8.5416666666666662E-3</v>
      </c>
      <c r="AJ35" s="5" t="e">
        <v>#N/A</v>
      </c>
      <c r="AK35" s="5" t="e">
        <v>#N/A</v>
      </c>
      <c r="AL35" s="5">
        <v>0</v>
      </c>
      <c r="AM35" s="5">
        <v>5.5899999999999998E-2</v>
      </c>
      <c r="AN35" s="5">
        <v>2.24E-2</v>
      </c>
      <c r="AO35" s="5">
        <v>0.28329999999999994</v>
      </c>
      <c r="AP35" s="5">
        <v>1.508375E-4</v>
      </c>
      <c r="AQ35" s="5">
        <v>56.62826993729454</v>
      </c>
      <c r="AR35" s="5">
        <v>0.20519999999999999</v>
      </c>
    </row>
    <row r="36" spans="1:45" x14ac:dyDescent="0.25">
      <c r="A36" s="5">
        <v>2012</v>
      </c>
      <c r="B36" s="14">
        <v>41089</v>
      </c>
      <c r="C36" s="1" t="s">
        <v>40</v>
      </c>
      <c r="D36" s="3" t="s">
        <v>31</v>
      </c>
      <c r="E36" s="3" t="s">
        <v>13</v>
      </c>
      <c r="F36" s="3" t="s">
        <v>35</v>
      </c>
      <c r="G36" s="3" t="s">
        <v>440</v>
      </c>
      <c r="H36" s="3" t="s">
        <v>33</v>
      </c>
      <c r="I36" s="2" t="s">
        <v>36</v>
      </c>
      <c r="J36" s="10" t="s">
        <v>82</v>
      </c>
      <c r="K36" s="10" t="s">
        <v>30</v>
      </c>
      <c r="L36" s="5">
        <v>8</v>
      </c>
      <c r="M36" s="5">
        <v>3</v>
      </c>
      <c r="N36" s="5">
        <v>68</v>
      </c>
      <c r="O36" s="5">
        <v>72.5</v>
      </c>
      <c r="P36" s="5">
        <v>99</v>
      </c>
      <c r="Q36" s="5">
        <v>1.2</v>
      </c>
      <c r="R36" s="5">
        <v>10.897</v>
      </c>
      <c r="S36" s="5">
        <v>8.923</v>
      </c>
      <c r="T36" s="5">
        <v>8.923</v>
      </c>
      <c r="U36" s="5" t="e">
        <v>#N/A</v>
      </c>
      <c r="V36" s="5" t="e">
        <v>#N/A</v>
      </c>
      <c r="W36" s="5">
        <v>0</v>
      </c>
      <c r="X36" s="5">
        <v>1.659</v>
      </c>
      <c r="Y36" s="5">
        <v>0</v>
      </c>
      <c r="Z36" s="5">
        <v>17.846</v>
      </c>
      <c r="AA36" s="5">
        <v>19.504999999999999</v>
      </c>
      <c r="AB36" s="5">
        <v>14</v>
      </c>
      <c r="AC36" s="5">
        <v>0</v>
      </c>
      <c r="AD36" s="5" t="e">
        <v>#N/A</v>
      </c>
      <c r="AE36" s="5">
        <v>0</v>
      </c>
      <c r="AF36" s="5">
        <v>4.1000000000000002E-2</v>
      </c>
      <c r="AG36" s="5">
        <v>0</v>
      </c>
      <c r="AH36" s="5" t="e">
        <v>#N/A</v>
      </c>
      <c r="AI36" s="5">
        <v>2.9285714285714288E-3</v>
      </c>
      <c r="AJ36" s="5" t="e">
        <v>#N/A</v>
      </c>
      <c r="AK36" s="5" t="e">
        <v>#N/A</v>
      </c>
      <c r="AL36" s="5">
        <v>0</v>
      </c>
      <c r="AM36" s="5">
        <v>3.0800000000000001E-2</v>
      </c>
      <c r="AN36" s="5">
        <v>0</v>
      </c>
      <c r="AO36" s="5">
        <v>7.1800000000000003E-2</v>
      </c>
      <c r="AP36" s="5">
        <v>6.3735714285714288E-5</v>
      </c>
      <c r="AQ36" s="5">
        <v>45.948671971310098</v>
      </c>
      <c r="AR36" s="5">
        <v>4.1000000000000002E-2</v>
      </c>
    </row>
    <row r="37" spans="1:45" x14ac:dyDescent="0.25">
      <c r="A37" s="5">
        <v>2012</v>
      </c>
      <c r="B37" s="14">
        <v>41089</v>
      </c>
      <c r="C37" s="1" t="s">
        <v>40</v>
      </c>
      <c r="D37" s="3" t="s">
        <v>31</v>
      </c>
      <c r="E37" s="3" t="s">
        <v>13</v>
      </c>
      <c r="F37" s="3" t="s">
        <v>35</v>
      </c>
      <c r="G37" s="3" t="s">
        <v>440</v>
      </c>
      <c r="H37" s="3" t="s">
        <v>33</v>
      </c>
      <c r="I37" s="2" t="s">
        <v>36</v>
      </c>
      <c r="J37" s="10" t="s">
        <v>76</v>
      </c>
      <c r="K37" s="10" t="s">
        <v>30</v>
      </c>
      <c r="L37" s="5">
        <v>3</v>
      </c>
      <c r="M37" s="5">
        <v>9</v>
      </c>
      <c r="N37" s="5">
        <v>72</v>
      </c>
      <c r="O37" s="5">
        <v>75</v>
      </c>
      <c r="P37" s="5">
        <v>98</v>
      </c>
      <c r="Q37" s="5">
        <v>1.26</v>
      </c>
      <c r="R37" s="5">
        <v>12.36</v>
      </c>
      <c r="S37" s="5">
        <v>11.605</v>
      </c>
      <c r="T37" s="5">
        <v>11.605</v>
      </c>
      <c r="U37" s="5" t="e">
        <v>#N/A</v>
      </c>
      <c r="V37" s="5" t="e">
        <v>#N/A</v>
      </c>
      <c r="W37" s="5">
        <v>0</v>
      </c>
      <c r="X37" s="5">
        <v>1.659</v>
      </c>
      <c r="Y37" s="5">
        <v>0</v>
      </c>
      <c r="Z37" s="5">
        <v>23.21</v>
      </c>
      <c r="AA37" s="5">
        <v>24.869</v>
      </c>
      <c r="AB37" s="5">
        <v>16</v>
      </c>
      <c r="AC37" s="5" t="e">
        <v>#N/A</v>
      </c>
      <c r="AD37" s="5" t="e">
        <v>#N/A</v>
      </c>
      <c r="AE37" s="5">
        <v>0</v>
      </c>
      <c r="AF37" s="5">
        <v>4.2999999999999997E-2</v>
      </c>
      <c r="AG37" s="5">
        <v>1.3000000000000025E-3</v>
      </c>
      <c r="AH37" s="5" t="e">
        <v>#N/A</v>
      </c>
      <c r="AI37" s="5">
        <v>2.6874999999999998E-3</v>
      </c>
      <c r="AJ37" s="5" t="e">
        <v>#N/A</v>
      </c>
      <c r="AK37" s="5" t="e">
        <v>#N/A</v>
      </c>
      <c r="AL37" s="5">
        <v>0</v>
      </c>
      <c r="AM37" s="5">
        <v>6.2899999999999998E-2</v>
      </c>
      <c r="AN37" s="5">
        <v>0</v>
      </c>
      <c r="AO37" s="5">
        <v>0.10589999999999999</v>
      </c>
      <c r="AP37" s="5">
        <v>7.2531250000000005E-5</v>
      </c>
      <c r="AQ37" s="5">
        <v>37.052994398965957</v>
      </c>
      <c r="AR37" s="5">
        <v>4.4299999999999999E-2</v>
      </c>
    </row>
    <row r="38" spans="1:45" x14ac:dyDescent="0.25">
      <c r="A38" s="5">
        <v>2012</v>
      </c>
      <c r="B38" s="14">
        <v>41089</v>
      </c>
      <c r="C38" s="1" t="s">
        <v>40</v>
      </c>
      <c r="D38" s="3" t="s">
        <v>31</v>
      </c>
      <c r="E38" s="3" t="s">
        <v>14</v>
      </c>
      <c r="F38" s="3" t="s">
        <v>35</v>
      </c>
      <c r="G38" s="3" t="s">
        <v>440</v>
      </c>
      <c r="H38" s="3" t="s">
        <v>32</v>
      </c>
      <c r="I38" s="3" t="s">
        <v>36</v>
      </c>
      <c r="J38" s="3" t="s">
        <v>10</v>
      </c>
      <c r="K38" s="10" t="s">
        <v>28</v>
      </c>
      <c r="L38" s="5">
        <v>6</v>
      </c>
      <c r="M38" s="5">
        <v>1</v>
      </c>
      <c r="N38" s="5">
        <v>30</v>
      </c>
      <c r="O38" s="5">
        <v>35</v>
      </c>
      <c r="P38" s="5">
        <v>94.5</v>
      </c>
      <c r="Q38" s="5">
        <v>0.47</v>
      </c>
      <c r="R38" s="5">
        <v>12.488</v>
      </c>
      <c r="S38" s="5">
        <v>16</v>
      </c>
      <c r="T38" s="5">
        <v>16</v>
      </c>
      <c r="U38" s="5" t="e">
        <v>#N/A</v>
      </c>
      <c r="V38" s="5" t="e">
        <v>#N/A</v>
      </c>
      <c r="W38" s="5">
        <v>0</v>
      </c>
      <c r="X38" s="5">
        <v>1.179</v>
      </c>
      <c r="Y38" s="5">
        <v>0.66</v>
      </c>
      <c r="Z38" s="5">
        <v>16.66</v>
      </c>
      <c r="AA38" s="5">
        <v>17.838999999999999</v>
      </c>
      <c r="AB38" s="5">
        <v>14</v>
      </c>
      <c r="AC38" s="5" t="e">
        <v>#N/A</v>
      </c>
      <c r="AD38" s="5" t="e">
        <v>#N/A</v>
      </c>
      <c r="AE38" s="5">
        <v>0</v>
      </c>
      <c r="AF38" s="5">
        <v>0.11799999999999999</v>
      </c>
      <c r="AG38" s="5">
        <v>1.9000000000000128E-3</v>
      </c>
      <c r="AH38" s="5" t="e">
        <v>#N/A</v>
      </c>
      <c r="AI38" s="5">
        <v>8.4285714285714276E-3</v>
      </c>
      <c r="AJ38" s="5" t="e">
        <v>#N/A</v>
      </c>
      <c r="AK38" s="5" t="e">
        <v>#N/A</v>
      </c>
      <c r="AL38" s="5">
        <v>0</v>
      </c>
      <c r="AM38" s="5">
        <v>5.6500000000000002E-2</v>
      </c>
      <c r="AN38" s="5">
        <v>1.89E-2</v>
      </c>
      <c r="AO38" s="5">
        <v>0.19339999999999999</v>
      </c>
      <c r="AP38" s="5">
        <v>1.142857142857143E-4</v>
      </c>
      <c r="AQ38" s="5">
        <v>73.749999999999986</v>
      </c>
      <c r="AR38" s="5">
        <v>0.11990000000000001</v>
      </c>
    </row>
    <row r="39" spans="1:45" x14ac:dyDescent="0.25">
      <c r="A39" s="5">
        <v>2012</v>
      </c>
      <c r="B39" s="14">
        <v>41089</v>
      </c>
      <c r="C39" s="1" t="s">
        <v>40</v>
      </c>
      <c r="D39" s="3" t="s">
        <v>31</v>
      </c>
      <c r="E39" s="3" t="s">
        <v>14</v>
      </c>
      <c r="F39" s="3" t="s">
        <v>35</v>
      </c>
      <c r="G39" s="3" t="s">
        <v>440</v>
      </c>
      <c r="H39" s="3" t="s">
        <v>32</v>
      </c>
      <c r="I39" s="2" t="s">
        <v>36</v>
      </c>
      <c r="J39" s="3" t="s">
        <v>93</v>
      </c>
      <c r="K39" s="10" t="s">
        <v>28</v>
      </c>
      <c r="L39" s="5">
        <v>1</v>
      </c>
      <c r="M39" s="5">
        <v>9</v>
      </c>
      <c r="N39" s="5">
        <v>26.5</v>
      </c>
      <c r="O39" s="5">
        <v>30.5</v>
      </c>
      <c r="P39" s="5">
        <v>95</v>
      </c>
      <c r="Q39" s="5">
        <v>0.44</v>
      </c>
      <c r="R39" s="5">
        <v>13.670999999999999</v>
      </c>
      <c r="S39" s="5">
        <v>15.189</v>
      </c>
      <c r="T39" s="5">
        <v>15.189</v>
      </c>
      <c r="U39" s="5" t="e">
        <v>#N/A</v>
      </c>
      <c r="V39" s="5" t="e">
        <v>#N/A</v>
      </c>
      <c r="W39" s="5">
        <v>0.93500000000000005</v>
      </c>
      <c r="X39" s="5">
        <v>2.714</v>
      </c>
      <c r="Y39" s="5">
        <v>0</v>
      </c>
      <c r="Z39" s="5">
        <v>16.123999999999999</v>
      </c>
      <c r="AA39" s="5">
        <v>18.837999999999997</v>
      </c>
      <c r="AB39" s="5">
        <v>31</v>
      </c>
      <c r="AC39" s="5" t="e">
        <v>#N/A</v>
      </c>
      <c r="AD39" s="5" t="e">
        <v>#N/A</v>
      </c>
      <c r="AE39" s="5">
        <v>5</v>
      </c>
      <c r="AF39" s="5">
        <v>0.109</v>
      </c>
      <c r="AG39" s="5">
        <v>2.6000000000000051E-3</v>
      </c>
      <c r="AH39" s="5" t="e">
        <v>#N/A</v>
      </c>
      <c r="AI39" s="5">
        <v>3.5161290322580645E-3</v>
      </c>
      <c r="AJ39" s="5" t="e">
        <v>#N/A</v>
      </c>
      <c r="AK39" s="5" t="e">
        <v>#N/A</v>
      </c>
      <c r="AL39" s="5">
        <v>2.93E-2</v>
      </c>
      <c r="AM39" s="5">
        <v>9.1399999999999995E-2</v>
      </c>
      <c r="AN39" s="5">
        <v>0</v>
      </c>
      <c r="AO39" s="5">
        <v>0.22970000000000002</v>
      </c>
      <c r="AP39" s="5">
        <v>4.8996774193548391E-5</v>
      </c>
      <c r="AQ39" s="5">
        <v>71.762459674764628</v>
      </c>
      <c r="AR39" s="5">
        <v>0.1116</v>
      </c>
    </row>
    <row r="40" spans="1:45" ht="15.75" customHeight="1" x14ac:dyDescent="0.25">
      <c r="A40" s="5">
        <v>2012</v>
      </c>
      <c r="B40" s="14">
        <v>41089</v>
      </c>
      <c r="C40" s="1" t="s">
        <v>40</v>
      </c>
      <c r="D40" s="3" t="s">
        <v>31</v>
      </c>
      <c r="E40" s="3" t="s">
        <v>14</v>
      </c>
      <c r="F40" s="3" t="s">
        <v>35</v>
      </c>
      <c r="G40" s="3" t="s">
        <v>440</v>
      </c>
      <c r="H40" s="3" t="s">
        <v>32</v>
      </c>
      <c r="I40" s="2" t="s">
        <v>46</v>
      </c>
      <c r="J40" s="3" t="s">
        <v>11</v>
      </c>
      <c r="K40" s="10" t="s">
        <v>29</v>
      </c>
      <c r="L40" s="5">
        <v>7</v>
      </c>
      <c r="M40" s="5">
        <v>7</v>
      </c>
      <c r="N40" s="5">
        <v>40</v>
      </c>
      <c r="O40" s="5">
        <v>42</v>
      </c>
      <c r="P40" s="5">
        <v>96</v>
      </c>
      <c r="Q40" s="5">
        <v>1.21</v>
      </c>
      <c r="R40" s="5">
        <v>6.7519999999999998</v>
      </c>
      <c r="S40" s="5">
        <v>23.385000000000002</v>
      </c>
      <c r="T40" s="5">
        <v>23.385000000000002</v>
      </c>
      <c r="U40" s="5" t="e">
        <v>#N/A</v>
      </c>
      <c r="V40" s="5" t="e">
        <v>#N/A</v>
      </c>
      <c r="W40" s="5">
        <v>0</v>
      </c>
      <c r="X40" s="5">
        <v>1.415</v>
      </c>
      <c r="Y40" s="5">
        <v>1.514</v>
      </c>
      <c r="Z40" s="5">
        <v>24.899000000000001</v>
      </c>
      <c r="AA40" s="5">
        <v>26.314</v>
      </c>
      <c r="AB40" s="5">
        <v>12</v>
      </c>
      <c r="AC40" s="5" t="e">
        <v>#N/A</v>
      </c>
      <c r="AD40" s="5" t="e">
        <v>#N/A</v>
      </c>
      <c r="AE40" s="5">
        <v>0</v>
      </c>
      <c r="AF40" s="5">
        <v>0.19500000000000001</v>
      </c>
      <c r="AG40" s="5">
        <v>4.500000000000004E-3</v>
      </c>
      <c r="AH40" s="5" t="e">
        <v>#N/A</v>
      </c>
      <c r="AI40" s="5">
        <v>1.6250000000000001E-2</v>
      </c>
      <c r="AJ40" s="5" t="e">
        <v>#N/A</v>
      </c>
      <c r="AK40" s="5" t="e">
        <v>#N/A</v>
      </c>
      <c r="AL40" s="5">
        <v>0</v>
      </c>
      <c r="AM40" s="5">
        <v>7.6700000000000004E-2</v>
      </c>
      <c r="AN40" s="5">
        <v>3.4700000000000002E-2</v>
      </c>
      <c r="AO40" s="5">
        <v>0.30640000000000001</v>
      </c>
      <c r="AP40" s="5">
        <v>1.9487500000000003E-4</v>
      </c>
      <c r="AQ40" s="5">
        <v>83.386786401539439</v>
      </c>
      <c r="AR40" s="5">
        <v>0.19950000000000001</v>
      </c>
    </row>
    <row r="41" spans="1:45" x14ac:dyDescent="0.25">
      <c r="A41" s="5">
        <v>2012</v>
      </c>
      <c r="B41" s="14">
        <v>41089</v>
      </c>
      <c r="C41" s="1" t="s">
        <v>40</v>
      </c>
      <c r="D41" s="3" t="s">
        <v>31</v>
      </c>
      <c r="E41" s="3" t="s">
        <v>14</v>
      </c>
      <c r="F41" s="3" t="s">
        <v>35</v>
      </c>
      <c r="G41" s="3" t="s">
        <v>440</v>
      </c>
      <c r="H41" s="3" t="s">
        <v>32</v>
      </c>
      <c r="I41" s="2" t="s">
        <v>36</v>
      </c>
      <c r="J41" s="3" t="s">
        <v>8</v>
      </c>
      <c r="K41" s="10" t="s">
        <v>29</v>
      </c>
      <c r="L41" s="5">
        <v>6</v>
      </c>
      <c r="M41" s="5">
        <v>1</v>
      </c>
      <c r="N41" s="5">
        <v>44</v>
      </c>
      <c r="O41" s="5">
        <v>48</v>
      </c>
      <c r="P41" s="5">
        <v>90</v>
      </c>
      <c r="Q41" s="5">
        <v>0.4</v>
      </c>
      <c r="R41" s="5">
        <v>12.965</v>
      </c>
      <c r="S41" s="5">
        <v>17.844000000000001</v>
      </c>
      <c r="T41" s="5">
        <v>17.844000000000001</v>
      </c>
      <c r="U41" s="5" t="e">
        <v>#N/A</v>
      </c>
      <c r="V41" s="5" t="e">
        <v>#N/A</v>
      </c>
      <c r="W41" s="5">
        <v>0</v>
      </c>
      <c r="X41" s="5">
        <v>1.7430000000000001</v>
      </c>
      <c r="Y41" s="5">
        <v>0</v>
      </c>
      <c r="Z41" s="5">
        <v>17.844000000000001</v>
      </c>
      <c r="AA41" s="5">
        <v>19.587</v>
      </c>
      <c r="AB41" s="5">
        <v>19</v>
      </c>
      <c r="AC41" s="5" t="e">
        <v>#N/A</v>
      </c>
      <c r="AD41" s="5" t="e">
        <v>#N/A</v>
      </c>
      <c r="AE41" s="5">
        <v>0</v>
      </c>
      <c r="AF41" s="5">
        <v>0.121</v>
      </c>
      <c r="AG41" s="5">
        <v>6.7000000000000115E-3</v>
      </c>
      <c r="AH41" s="5" t="e">
        <v>#N/A</v>
      </c>
      <c r="AI41" s="5">
        <v>6.3684210526315788E-3</v>
      </c>
      <c r="AJ41" s="5" t="e">
        <v>#N/A</v>
      </c>
      <c r="AK41" s="5" t="e">
        <v>#N/A</v>
      </c>
      <c r="AL41" s="5">
        <v>0</v>
      </c>
      <c r="AM41" s="5">
        <v>8.2100000000000006E-2</v>
      </c>
      <c r="AN41" s="5">
        <v>0</v>
      </c>
      <c r="AO41" s="5">
        <v>0.2031</v>
      </c>
      <c r="AP41" s="5">
        <v>9.3915789473684219E-5</v>
      </c>
      <c r="AQ41" s="5">
        <v>67.809908092355968</v>
      </c>
      <c r="AR41" s="5">
        <v>0.12770000000000001</v>
      </c>
    </row>
    <row r="42" spans="1:45" x14ac:dyDescent="0.25">
      <c r="A42" s="5">
        <v>2012</v>
      </c>
      <c r="B42" s="14">
        <v>41089</v>
      </c>
      <c r="C42" s="1" t="s">
        <v>40</v>
      </c>
      <c r="D42" s="3" t="s">
        <v>31</v>
      </c>
      <c r="E42" s="3" t="s">
        <v>14</v>
      </c>
      <c r="F42" s="3" t="s">
        <v>35</v>
      </c>
      <c r="G42" s="3" t="s">
        <v>440</v>
      </c>
      <c r="H42" s="3" t="s">
        <v>32</v>
      </c>
      <c r="I42" s="12" t="s">
        <v>39</v>
      </c>
      <c r="J42" s="3" t="s">
        <v>84</v>
      </c>
      <c r="K42" s="10" t="s">
        <v>30</v>
      </c>
      <c r="L42" s="5">
        <v>8</v>
      </c>
      <c r="M42" s="5">
        <v>3</v>
      </c>
      <c r="N42" s="5">
        <v>62</v>
      </c>
      <c r="O42" s="5">
        <v>66</v>
      </c>
      <c r="P42" s="5">
        <v>97</v>
      </c>
      <c r="Q42" s="5">
        <v>1.44</v>
      </c>
      <c r="R42" s="5">
        <v>6.7519999999999998</v>
      </c>
      <c r="S42" s="5">
        <v>14.332000000000001</v>
      </c>
      <c r="T42" s="5">
        <v>14.332000000000001</v>
      </c>
      <c r="U42" s="5" t="e">
        <v>#N/A</v>
      </c>
      <c r="V42" s="5" t="e">
        <v>#N/A</v>
      </c>
      <c r="W42" s="5">
        <v>0</v>
      </c>
      <c r="X42" s="5">
        <v>0.38900000000000001</v>
      </c>
      <c r="Y42" s="5">
        <v>0.78600000000000003</v>
      </c>
      <c r="Z42" s="5">
        <v>15.118</v>
      </c>
      <c r="AA42" s="5">
        <v>15.507</v>
      </c>
      <c r="AB42" s="5">
        <v>19</v>
      </c>
      <c r="AC42" s="5">
        <v>0</v>
      </c>
      <c r="AD42" s="5" t="e">
        <v>#N/A</v>
      </c>
      <c r="AE42" s="5">
        <v>0</v>
      </c>
      <c r="AF42" s="5">
        <v>6.8699999999999997E-2</v>
      </c>
      <c r="AG42" s="5">
        <v>0</v>
      </c>
      <c r="AH42" s="5" t="e">
        <v>#N/A</v>
      </c>
      <c r="AI42" s="5">
        <v>3.6157894736842102E-3</v>
      </c>
      <c r="AJ42" s="5" t="e">
        <v>#N/A</v>
      </c>
      <c r="AK42" s="5" t="e">
        <v>#N/A</v>
      </c>
      <c r="AL42" s="5">
        <v>0</v>
      </c>
      <c r="AM42" s="5">
        <v>1.12E-2</v>
      </c>
      <c r="AN42" s="5">
        <v>1.9300000000000001E-2</v>
      </c>
      <c r="AO42" s="5">
        <v>9.9199999999999997E-2</v>
      </c>
      <c r="AP42" s="5">
        <v>7.5431578947368429E-5</v>
      </c>
      <c r="AQ42" s="5">
        <v>47.934691599218525</v>
      </c>
      <c r="AR42" s="5">
        <v>6.8699999999999997E-2</v>
      </c>
    </row>
    <row r="43" spans="1:45" x14ac:dyDescent="0.25">
      <c r="A43" s="5">
        <v>2012</v>
      </c>
      <c r="B43" s="14">
        <v>41089</v>
      </c>
      <c r="C43" s="1" t="s">
        <v>40</v>
      </c>
      <c r="D43" s="3" t="s">
        <v>31</v>
      </c>
      <c r="E43" s="3" t="s">
        <v>14</v>
      </c>
      <c r="F43" s="3" t="s">
        <v>35</v>
      </c>
      <c r="G43" s="3" t="s">
        <v>440</v>
      </c>
      <c r="H43" s="3" t="s">
        <v>32</v>
      </c>
      <c r="I43" s="12" t="s">
        <v>39</v>
      </c>
      <c r="J43" s="3" t="s">
        <v>83</v>
      </c>
      <c r="K43" s="10" t="s">
        <v>30</v>
      </c>
      <c r="L43" s="5">
        <v>3</v>
      </c>
      <c r="M43" s="5">
        <v>4</v>
      </c>
      <c r="N43" s="5">
        <v>68</v>
      </c>
      <c r="O43" s="5">
        <v>73</v>
      </c>
      <c r="P43" s="5">
        <v>94</v>
      </c>
      <c r="Q43" s="5">
        <v>1.81</v>
      </c>
      <c r="R43" s="5">
        <v>8.2230000000000008</v>
      </c>
      <c r="S43" s="5">
        <v>10.773999999999999</v>
      </c>
      <c r="T43" s="5">
        <v>10.773999999999999</v>
      </c>
      <c r="U43" s="5" t="e">
        <v>#N/A</v>
      </c>
      <c r="V43" s="5" t="e">
        <v>#N/A</v>
      </c>
      <c r="W43" s="5">
        <v>0</v>
      </c>
      <c r="X43" s="5">
        <v>0.25</v>
      </c>
      <c r="Y43" s="5">
        <v>0.443</v>
      </c>
      <c r="Z43" s="5">
        <v>11.216999999999999</v>
      </c>
      <c r="AA43" s="5">
        <v>11.466999999999999</v>
      </c>
      <c r="AB43" s="5">
        <v>47</v>
      </c>
      <c r="AC43" s="5">
        <v>0</v>
      </c>
      <c r="AD43" s="5" t="e">
        <v>#N/A</v>
      </c>
      <c r="AE43" s="5">
        <v>0</v>
      </c>
      <c r="AF43" s="5">
        <v>4.36E-2</v>
      </c>
      <c r="AG43" s="5">
        <v>0</v>
      </c>
      <c r="AH43" s="5" t="e">
        <v>#N/A</v>
      </c>
      <c r="AI43" s="5">
        <v>9.2765957446808514E-4</v>
      </c>
      <c r="AJ43" s="5" t="e">
        <v>#N/A</v>
      </c>
      <c r="AK43" s="5" t="e">
        <v>#N/A</v>
      </c>
      <c r="AL43" s="5">
        <v>0</v>
      </c>
      <c r="AM43" s="5">
        <v>6.7000000000000002E-3</v>
      </c>
      <c r="AN43" s="5">
        <v>1.1599999999999999E-2</v>
      </c>
      <c r="AO43" s="5">
        <v>6.1899999999999997E-2</v>
      </c>
      <c r="AP43" s="5">
        <v>2.2923404255319151E-5</v>
      </c>
      <c r="AQ43" s="5">
        <v>40.467792834601816</v>
      </c>
      <c r="AR43" s="5">
        <v>4.36E-2</v>
      </c>
    </row>
    <row r="44" spans="1:45" x14ac:dyDescent="0.25">
      <c r="A44" s="5">
        <v>2012</v>
      </c>
      <c r="B44" s="6">
        <v>41097</v>
      </c>
      <c r="C44" s="1" t="s">
        <v>40</v>
      </c>
      <c r="D44" s="3" t="s">
        <v>49</v>
      </c>
      <c r="E44" s="1" t="s">
        <v>15</v>
      </c>
      <c r="F44" s="3" t="s">
        <v>35</v>
      </c>
      <c r="G44" s="3" t="s">
        <v>440</v>
      </c>
      <c r="H44" s="3" t="s">
        <v>33</v>
      </c>
      <c r="I44" s="2" t="s">
        <v>46</v>
      </c>
      <c r="J44" s="10" t="s">
        <v>58</v>
      </c>
      <c r="K44" s="10" t="s">
        <v>28</v>
      </c>
      <c r="L44" s="5">
        <v>5</v>
      </c>
      <c r="M44" s="5">
        <v>9</v>
      </c>
      <c r="N44" s="24" t="e">
        <v>#N/A</v>
      </c>
      <c r="O44" s="24" t="e">
        <v>#N/A</v>
      </c>
      <c r="P44" s="24" t="e">
        <v>#N/A</v>
      </c>
      <c r="Q44" s="5">
        <v>0.34</v>
      </c>
      <c r="R44" s="5">
        <v>12.474</v>
      </c>
      <c r="S44" s="5">
        <v>20.477</v>
      </c>
      <c r="T44" s="5">
        <v>20.477</v>
      </c>
      <c r="U44" s="5" t="e">
        <v>#N/A</v>
      </c>
      <c r="V44" s="5" t="e">
        <v>#N/A</v>
      </c>
      <c r="W44" s="5" t="e">
        <v>#N/A</v>
      </c>
      <c r="X44" s="5" t="e">
        <v>#N/A</v>
      </c>
      <c r="Y44" s="5">
        <v>0.72699999999999998</v>
      </c>
      <c r="Z44" s="5">
        <v>0.72699999999999998</v>
      </c>
      <c r="AA44" s="5">
        <v>0.72699999999999998</v>
      </c>
      <c r="AB44" s="5">
        <v>13</v>
      </c>
      <c r="AC44" s="5" t="e">
        <v>#N/A</v>
      </c>
      <c r="AD44" s="5" t="e">
        <v>#N/A</v>
      </c>
      <c r="AE44" s="5" t="e">
        <v>#N/A</v>
      </c>
      <c r="AF44" s="5">
        <v>0.183</v>
      </c>
      <c r="AG44" s="5">
        <v>6.9000000000000172E-3</v>
      </c>
      <c r="AH44" s="5" t="e">
        <v>#N/A</v>
      </c>
      <c r="AI44" s="5">
        <v>1.4076923076923077E-2</v>
      </c>
      <c r="AJ44" s="5" t="e">
        <v>#N/A</v>
      </c>
      <c r="AK44" s="5" t="e">
        <v>#N/A</v>
      </c>
      <c r="AL44" s="5">
        <v>0</v>
      </c>
      <c r="AM44" s="5">
        <v>0</v>
      </c>
      <c r="AN44" s="5">
        <v>4.9399999999999999E-2</v>
      </c>
      <c r="AO44" s="5">
        <v>0.2324</v>
      </c>
      <c r="AP44" s="5">
        <v>1.5751538461538462E-4</v>
      </c>
      <c r="AQ44" s="5">
        <v>89.368559847633932</v>
      </c>
      <c r="AR44" s="5">
        <v>0.18990000000000001</v>
      </c>
    </row>
    <row r="45" spans="1:45" x14ac:dyDescent="0.25">
      <c r="A45" s="5">
        <v>2012</v>
      </c>
      <c r="B45" s="6">
        <v>41097</v>
      </c>
      <c r="C45" s="1" t="s">
        <v>40</v>
      </c>
      <c r="D45" s="3" t="s">
        <v>49</v>
      </c>
      <c r="E45" s="1" t="s">
        <v>15</v>
      </c>
      <c r="F45" s="3" t="s">
        <v>35</v>
      </c>
      <c r="G45" s="3" t="s">
        <v>440</v>
      </c>
      <c r="H45" s="3" t="s">
        <v>33</v>
      </c>
      <c r="I45" s="2" t="s">
        <v>46</v>
      </c>
      <c r="J45" s="10" t="s">
        <v>0</v>
      </c>
      <c r="K45" s="10" t="s">
        <v>28</v>
      </c>
      <c r="L45" s="5">
        <v>9</v>
      </c>
      <c r="M45" s="5">
        <v>3</v>
      </c>
      <c r="N45" s="24" t="e">
        <v>#N/A</v>
      </c>
      <c r="O45" s="24" t="e">
        <v>#N/A</v>
      </c>
      <c r="P45" s="24" t="e">
        <v>#N/A</v>
      </c>
      <c r="Q45" s="5">
        <v>0.13</v>
      </c>
      <c r="R45" s="5">
        <v>25.317</v>
      </c>
      <c r="S45" s="5">
        <v>27.609000000000002</v>
      </c>
      <c r="T45" s="5">
        <v>27.609000000000002</v>
      </c>
      <c r="U45" s="5" t="e">
        <v>#N/A</v>
      </c>
      <c r="V45" s="5" t="e">
        <v>#N/A</v>
      </c>
      <c r="W45" s="5">
        <v>3.05</v>
      </c>
      <c r="X45" s="5" t="e">
        <v>#N/A</v>
      </c>
      <c r="Y45" s="5" t="e">
        <v>#N/A</v>
      </c>
      <c r="Z45" s="5">
        <v>3.05</v>
      </c>
      <c r="AA45" s="5">
        <v>3.05</v>
      </c>
      <c r="AB45" s="5">
        <v>11</v>
      </c>
      <c r="AC45" s="5" t="e">
        <v>#N/A</v>
      </c>
      <c r="AD45" s="5" t="e">
        <v>#N/A</v>
      </c>
      <c r="AE45" s="5">
        <v>0</v>
      </c>
      <c r="AF45" s="5">
        <v>0.29099999999999998</v>
      </c>
      <c r="AG45" s="5">
        <v>9.8000000000000309E-3</v>
      </c>
      <c r="AH45" s="5" t="e">
        <v>#N/A</v>
      </c>
      <c r="AI45" s="5">
        <v>2.6454545454545453E-2</v>
      </c>
      <c r="AJ45" s="5" t="e">
        <v>#N/A</v>
      </c>
      <c r="AK45" s="5" t="e">
        <v>#N/A</v>
      </c>
      <c r="AL45" s="5">
        <v>0</v>
      </c>
      <c r="AM45" s="5">
        <v>0</v>
      </c>
      <c r="AN45" s="5">
        <v>9.2200000000000004E-2</v>
      </c>
      <c r="AO45" s="5">
        <v>0.38319999999999999</v>
      </c>
      <c r="AP45" s="5">
        <v>2.5099090909090909E-4</v>
      </c>
      <c r="AQ45" s="5">
        <v>105.40041290883406</v>
      </c>
      <c r="AR45" s="5">
        <v>0.30080000000000001</v>
      </c>
    </row>
    <row r="46" spans="1:45" x14ac:dyDescent="0.25">
      <c r="A46" s="5">
        <v>2012</v>
      </c>
      <c r="B46" s="6">
        <v>41097</v>
      </c>
      <c r="C46" s="1" t="s">
        <v>40</v>
      </c>
      <c r="D46" s="3" t="s">
        <v>49</v>
      </c>
      <c r="E46" s="1" t="s">
        <v>15</v>
      </c>
      <c r="F46" s="3" t="s">
        <v>35</v>
      </c>
      <c r="G46" s="3" t="s">
        <v>440</v>
      </c>
      <c r="H46" s="3" t="s">
        <v>33</v>
      </c>
      <c r="I46" s="2" t="s">
        <v>46</v>
      </c>
      <c r="J46" s="10" t="s">
        <v>60</v>
      </c>
      <c r="K46" s="10" t="s">
        <v>29</v>
      </c>
      <c r="L46" s="5">
        <v>6</v>
      </c>
      <c r="M46" s="5">
        <v>10</v>
      </c>
      <c r="N46" s="5">
        <v>50</v>
      </c>
      <c r="O46" s="5">
        <v>55</v>
      </c>
      <c r="P46" s="5">
        <v>95</v>
      </c>
      <c r="Q46" s="5">
        <v>1.75</v>
      </c>
      <c r="R46" s="5">
        <v>13.600999999999999</v>
      </c>
      <c r="S46" s="5">
        <v>15.054</v>
      </c>
      <c r="T46" s="5">
        <v>15.054</v>
      </c>
      <c r="U46" s="5" t="e">
        <v>#N/A</v>
      </c>
      <c r="V46" s="5" t="e">
        <v>#N/A</v>
      </c>
      <c r="W46" s="5" t="e">
        <v>#N/A</v>
      </c>
      <c r="X46" s="5" t="e">
        <v>#N/A</v>
      </c>
      <c r="Y46" s="5">
        <v>0.22700000000000001</v>
      </c>
      <c r="Z46" s="5">
        <v>0.22700000000000001</v>
      </c>
      <c r="AA46" s="5">
        <v>0.22700000000000001</v>
      </c>
      <c r="AB46" s="5">
        <v>5</v>
      </c>
      <c r="AC46" s="5" t="e">
        <v>#N/A</v>
      </c>
      <c r="AD46" s="5" t="e">
        <v>#N/A</v>
      </c>
      <c r="AE46" s="5" t="e">
        <v>#N/A</v>
      </c>
      <c r="AF46" s="5">
        <v>8.5999999999999993E-2</v>
      </c>
      <c r="AG46" s="5">
        <v>1.4000000000000123E-3</v>
      </c>
      <c r="AH46" s="5" t="e">
        <v>#N/A</v>
      </c>
      <c r="AI46" s="5">
        <v>1.72E-2</v>
      </c>
      <c r="AJ46" s="5" t="e">
        <v>#N/A</v>
      </c>
      <c r="AK46" s="5" t="e">
        <v>#N/A</v>
      </c>
      <c r="AL46" s="5">
        <v>0</v>
      </c>
      <c r="AM46" s="5">
        <v>0</v>
      </c>
      <c r="AN46" s="5">
        <v>7.4000000000000003E-3</v>
      </c>
      <c r="AO46" s="5">
        <v>9.3399999999999997E-2</v>
      </c>
      <c r="AP46" s="5">
        <v>3.0108000000000001E-4</v>
      </c>
      <c r="AQ46" s="5">
        <v>57.127673707984584</v>
      </c>
      <c r="AR46" s="5">
        <v>8.7400000000000005E-2</v>
      </c>
    </row>
    <row r="47" spans="1:45" x14ac:dyDescent="0.25">
      <c r="A47" s="5">
        <v>2012</v>
      </c>
      <c r="B47" s="6">
        <v>41097</v>
      </c>
      <c r="C47" s="1" t="s">
        <v>40</v>
      </c>
      <c r="D47" s="3" t="s">
        <v>49</v>
      </c>
      <c r="E47" s="1" t="s">
        <v>15</v>
      </c>
      <c r="F47" s="3" t="s">
        <v>35</v>
      </c>
      <c r="G47" s="3" t="s">
        <v>440</v>
      </c>
      <c r="H47" s="3" t="s">
        <v>33</v>
      </c>
      <c r="I47" s="2" t="s">
        <v>46</v>
      </c>
      <c r="J47" s="10" t="s">
        <v>59</v>
      </c>
      <c r="K47" s="10" t="s">
        <v>29</v>
      </c>
      <c r="L47" s="5">
        <v>2</v>
      </c>
      <c r="M47" s="5">
        <v>5</v>
      </c>
      <c r="N47" s="5">
        <v>35</v>
      </c>
      <c r="O47" s="5">
        <v>40</v>
      </c>
      <c r="P47" s="5">
        <v>95</v>
      </c>
      <c r="Q47" s="5">
        <v>0.18</v>
      </c>
      <c r="R47" s="5">
        <v>22.550999999999998</v>
      </c>
      <c r="S47" s="5">
        <v>31.943999999999999</v>
      </c>
      <c r="T47" s="5">
        <v>31.943999999999999</v>
      </c>
      <c r="U47" s="5" t="e">
        <v>#N/A</v>
      </c>
      <c r="V47" s="5" t="e">
        <v>#N/A</v>
      </c>
      <c r="W47" s="5">
        <v>2.3130000000000002</v>
      </c>
      <c r="X47" s="5" t="e">
        <v>#N/A</v>
      </c>
      <c r="Y47" s="5" t="e">
        <v>#N/A</v>
      </c>
      <c r="Z47" s="5">
        <v>2.3130000000000002</v>
      </c>
      <c r="AA47" s="5">
        <v>2.3130000000000002</v>
      </c>
      <c r="AB47" s="5">
        <v>8</v>
      </c>
      <c r="AC47" s="5" t="e">
        <v>#N/A</v>
      </c>
      <c r="AD47" s="5" t="e">
        <v>#N/A</v>
      </c>
      <c r="AE47" s="5">
        <v>0</v>
      </c>
      <c r="AF47" s="5">
        <v>0.253</v>
      </c>
      <c r="AG47" s="5">
        <v>3.5999999999999921E-3</v>
      </c>
      <c r="AH47" s="5" t="e">
        <v>#N/A</v>
      </c>
      <c r="AI47" s="5">
        <v>3.1625E-2</v>
      </c>
      <c r="AJ47" s="5" t="e">
        <v>#N/A</v>
      </c>
      <c r="AK47" s="5" t="e">
        <v>#N/A</v>
      </c>
      <c r="AL47" s="5">
        <v>0</v>
      </c>
      <c r="AM47" s="5">
        <v>3.2599999999999997E-2</v>
      </c>
      <c r="AN47" s="5">
        <v>8.2100000000000006E-2</v>
      </c>
      <c r="AO47" s="5">
        <v>0.36770000000000003</v>
      </c>
      <c r="AP47" s="5">
        <v>3.993E-4</v>
      </c>
      <c r="AQ47" s="5">
        <v>79.201101928374655</v>
      </c>
      <c r="AR47" s="5">
        <v>0.25659999999999999</v>
      </c>
    </row>
    <row r="48" spans="1:45" x14ac:dyDescent="0.25">
      <c r="A48" s="5">
        <v>2012</v>
      </c>
      <c r="B48" s="6">
        <v>41097</v>
      </c>
      <c r="C48" s="1" t="s">
        <v>40</v>
      </c>
      <c r="D48" s="3" t="s">
        <v>49</v>
      </c>
      <c r="E48" s="1" t="s">
        <v>15</v>
      </c>
      <c r="F48" s="3" t="s">
        <v>35</v>
      </c>
      <c r="G48" s="3" t="s">
        <v>440</v>
      </c>
      <c r="H48" s="3" t="s">
        <v>33</v>
      </c>
      <c r="I48" s="2" t="s">
        <v>46</v>
      </c>
      <c r="J48" s="10" t="s">
        <v>85</v>
      </c>
      <c r="K48" s="10" t="s">
        <v>30</v>
      </c>
      <c r="L48" s="5">
        <v>8</v>
      </c>
      <c r="M48" s="5">
        <v>3</v>
      </c>
      <c r="N48" s="5">
        <v>76.5</v>
      </c>
      <c r="O48" s="5">
        <v>65</v>
      </c>
      <c r="P48" s="5">
        <v>90</v>
      </c>
      <c r="Q48" s="5">
        <v>1.1000000000000001</v>
      </c>
      <c r="R48" s="5">
        <v>14.346</v>
      </c>
      <c r="S48" s="5">
        <v>22.593</v>
      </c>
      <c r="T48" s="5">
        <v>22.593</v>
      </c>
      <c r="U48" s="5" t="e">
        <v>#N/A</v>
      </c>
      <c r="V48" s="5" t="e">
        <v>#N/A</v>
      </c>
      <c r="W48" s="5" t="e">
        <v>#N/A</v>
      </c>
      <c r="X48" s="5" t="e">
        <v>#N/A</v>
      </c>
      <c r="Y48" s="5">
        <v>1.0529999999999999</v>
      </c>
      <c r="Z48" s="5">
        <v>1.0529999999999999</v>
      </c>
      <c r="AA48" s="5">
        <v>1.0529999999999999</v>
      </c>
      <c r="AB48" s="5">
        <v>10</v>
      </c>
      <c r="AC48" s="5" t="e">
        <v>#N/A</v>
      </c>
      <c r="AD48" s="5" t="e">
        <v>#N/A</v>
      </c>
      <c r="AE48" s="5" t="e">
        <v>#N/A</v>
      </c>
      <c r="AF48" s="5">
        <v>0.13400000000000001</v>
      </c>
      <c r="AG48" s="5">
        <v>2.3999999999999855E-3</v>
      </c>
      <c r="AH48" s="5" t="e">
        <v>#N/A</v>
      </c>
      <c r="AI48" s="5">
        <v>1.34E-2</v>
      </c>
      <c r="AJ48" s="5" t="e">
        <v>#N/A</v>
      </c>
      <c r="AK48" s="5" t="e">
        <v>#N/A</v>
      </c>
      <c r="AL48" s="5">
        <v>0</v>
      </c>
      <c r="AM48" s="5">
        <v>1.17E-2</v>
      </c>
      <c r="AN48" s="5">
        <v>1.23E-2</v>
      </c>
      <c r="AO48" s="5">
        <v>0.158</v>
      </c>
      <c r="AP48" s="5">
        <v>2.2593E-4</v>
      </c>
      <c r="AQ48" s="5">
        <v>59.31040587792679</v>
      </c>
      <c r="AR48" s="5">
        <v>0.13639999999999999</v>
      </c>
      <c r="AS48" s="5" t="s">
        <v>70</v>
      </c>
    </row>
    <row r="49" spans="1:44" x14ac:dyDescent="0.25">
      <c r="A49" s="5">
        <v>2012</v>
      </c>
      <c r="B49" s="6">
        <v>41097</v>
      </c>
      <c r="C49" s="1" t="s">
        <v>40</v>
      </c>
      <c r="D49" s="3" t="s">
        <v>49</v>
      </c>
      <c r="E49" s="1" t="s">
        <v>15</v>
      </c>
      <c r="F49" s="3" t="s">
        <v>35</v>
      </c>
      <c r="G49" s="3" t="s">
        <v>440</v>
      </c>
      <c r="H49" s="3" t="s">
        <v>33</v>
      </c>
      <c r="I49" s="2" t="s">
        <v>46</v>
      </c>
      <c r="J49" s="10" t="s">
        <v>86</v>
      </c>
      <c r="K49" s="10" t="s">
        <v>30</v>
      </c>
      <c r="L49" s="5">
        <v>8</v>
      </c>
      <c r="M49" s="5">
        <v>10</v>
      </c>
      <c r="N49" s="5">
        <v>71</v>
      </c>
      <c r="O49" s="5">
        <v>72</v>
      </c>
      <c r="P49" s="5">
        <v>93.5</v>
      </c>
      <c r="Q49" s="5">
        <v>1.89</v>
      </c>
      <c r="R49" s="5">
        <v>14.891999999999999</v>
      </c>
      <c r="S49" s="5">
        <v>24.963000000000001</v>
      </c>
      <c r="T49" s="5">
        <v>24.963000000000001</v>
      </c>
      <c r="U49" s="5" t="e">
        <v>#N/A</v>
      </c>
      <c r="V49" s="5" t="e">
        <v>#N/A</v>
      </c>
      <c r="W49" s="5" t="e">
        <v>#N/A</v>
      </c>
      <c r="X49" s="5" t="e">
        <v>#N/A</v>
      </c>
      <c r="Y49" s="5">
        <v>1.4039999999999999</v>
      </c>
      <c r="Z49" s="5">
        <v>1.4039999999999999</v>
      </c>
      <c r="AA49" s="5">
        <v>26.367000000000001</v>
      </c>
      <c r="AB49" s="5">
        <v>6</v>
      </c>
      <c r="AC49" s="5" t="e">
        <v>#N/A</v>
      </c>
      <c r="AD49" s="5" t="e">
        <v>#N/A</v>
      </c>
      <c r="AE49" s="5" t="e">
        <v>#N/A</v>
      </c>
      <c r="AF49" s="5">
        <v>9.7199999999999995E-2</v>
      </c>
      <c r="AG49" s="5">
        <v>-3.8000000000000117E-3</v>
      </c>
      <c r="AH49" s="5" t="e">
        <v>#N/A</v>
      </c>
      <c r="AI49" s="5">
        <v>1.6199999999999999E-2</v>
      </c>
      <c r="AJ49" s="5" t="e">
        <v>#N/A</v>
      </c>
      <c r="AK49" s="5" t="e">
        <v>#N/A</v>
      </c>
      <c r="AL49" s="5">
        <v>0</v>
      </c>
      <c r="AM49" s="5">
        <v>0</v>
      </c>
      <c r="AN49" s="5">
        <v>2.2800000000000001E-2</v>
      </c>
      <c r="AO49" s="5">
        <v>0.12</v>
      </c>
      <c r="AP49" s="5">
        <v>4.1605000000000006E-4</v>
      </c>
      <c r="AQ49" s="5">
        <v>38.937627688979681</v>
      </c>
      <c r="AR49" s="5">
        <v>9.7199999999999995E-2</v>
      </c>
    </row>
    <row r="50" spans="1:44" x14ac:dyDescent="0.25">
      <c r="A50" s="5">
        <v>2012</v>
      </c>
      <c r="B50" s="14">
        <v>41097</v>
      </c>
      <c r="C50" s="16" t="s">
        <v>40</v>
      </c>
      <c r="D50" s="16" t="s">
        <v>49</v>
      </c>
      <c r="E50" s="16" t="s">
        <v>16</v>
      </c>
      <c r="F50" s="16" t="s">
        <v>35</v>
      </c>
      <c r="G50" s="3" t="s">
        <v>440</v>
      </c>
      <c r="H50" s="17" t="s">
        <v>32</v>
      </c>
      <c r="I50" s="2" t="s">
        <v>36</v>
      </c>
      <c r="J50" s="20" t="s">
        <v>4</v>
      </c>
      <c r="K50" s="10" t="s">
        <v>28</v>
      </c>
      <c r="L50" s="5">
        <v>3</v>
      </c>
      <c r="M50" s="5">
        <v>6</v>
      </c>
      <c r="N50" s="5">
        <v>21</v>
      </c>
      <c r="O50" s="5">
        <v>23.5</v>
      </c>
      <c r="P50" s="5">
        <v>99</v>
      </c>
      <c r="Q50" s="5">
        <v>0.53</v>
      </c>
      <c r="R50" s="5">
        <v>8.77</v>
      </c>
      <c r="S50" s="5">
        <v>10.137</v>
      </c>
      <c r="T50" s="5">
        <v>10.137</v>
      </c>
      <c r="U50" s="5" t="e">
        <v>#N/A</v>
      </c>
      <c r="V50" s="5" t="e">
        <v>#N/A</v>
      </c>
      <c r="W50" s="5">
        <v>1.0549999999999999</v>
      </c>
      <c r="X50" s="5">
        <v>1.101</v>
      </c>
      <c r="Y50" s="5">
        <v>0.89900000000000002</v>
      </c>
      <c r="Z50" s="5">
        <v>12.091000000000001</v>
      </c>
      <c r="AA50" s="5">
        <v>13.192</v>
      </c>
      <c r="AB50" s="5">
        <v>20</v>
      </c>
      <c r="AC50" s="5" t="e">
        <v>#N/A</v>
      </c>
      <c r="AD50" s="5" t="e">
        <v>#N/A</v>
      </c>
      <c r="AE50" s="5">
        <v>3</v>
      </c>
      <c r="AF50" s="5">
        <v>9.5000000000000001E-2</v>
      </c>
      <c r="AG50" s="5">
        <v>2.9999999999999472E-4</v>
      </c>
      <c r="AH50" s="5" t="e">
        <v>#N/A</v>
      </c>
      <c r="AI50" s="5">
        <v>4.7499999999999999E-3</v>
      </c>
      <c r="AJ50" s="5" t="e">
        <v>#N/A</v>
      </c>
      <c r="AK50" s="5" t="e">
        <v>#N/A</v>
      </c>
      <c r="AL50" s="5">
        <v>3.9300000000000002E-2</v>
      </c>
      <c r="AM50" s="5">
        <v>6.3500000000000001E-2</v>
      </c>
      <c r="AN50" s="5">
        <v>3.9199999999999999E-2</v>
      </c>
      <c r="AO50" s="5">
        <v>0.23699999999999999</v>
      </c>
      <c r="AP50" s="5">
        <v>5.0685000000000007E-5</v>
      </c>
      <c r="AQ50" s="5">
        <v>93.716089572851914</v>
      </c>
      <c r="AR50" s="5">
        <v>9.5299999999999996E-2</v>
      </c>
    </row>
    <row r="51" spans="1:44" x14ac:dyDescent="0.25">
      <c r="A51" s="5">
        <v>2012</v>
      </c>
      <c r="B51" s="14">
        <v>41097</v>
      </c>
      <c r="C51" s="16" t="s">
        <v>40</v>
      </c>
      <c r="D51" s="16" t="s">
        <v>49</v>
      </c>
      <c r="E51" s="16" t="s">
        <v>16</v>
      </c>
      <c r="F51" s="16" t="s">
        <v>35</v>
      </c>
      <c r="G51" s="3" t="s">
        <v>440</v>
      </c>
      <c r="H51" s="17" t="s">
        <v>32</v>
      </c>
      <c r="I51" s="2" t="s">
        <v>36</v>
      </c>
      <c r="J51" s="20" t="s">
        <v>47</v>
      </c>
      <c r="K51" s="10" t="s">
        <v>28</v>
      </c>
      <c r="L51" s="5">
        <v>1</v>
      </c>
      <c r="M51" s="5">
        <v>9</v>
      </c>
      <c r="N51" s="5">
        <v>8</v>
      </c>
      <c r="O51" s="5">
        <v>13</v>
      </c>
      <c r="P51" s="5">
        <v>93.5</v>
      </c>
      <c r="Q51" s="5">
        <v>0.15</v>
      </c>
      <c r="R51" s="5">
        <v>11.946999999999999</v>
      </c>
      <c r="S51" s="5">
        <v>12.423999999999999</v>
      </c>
      <c r="T51" s="5">
        <v>12.423999999999999</v>
      </c>
      <c r="U51" s="5" t="e">
        <v>#N/A</v>
      </c>
      <c r="V51" s="5" t="e">
        <v>#N/A</v>
      </c>
      <c r="W51" s="5">
        <v>2.6080000000000001</v>
      </c>
      <c r="X51" s="5">
        <v>2.923</v>
      </c>
      <c r="Y51" s="5">
        <v>0.68400000000000005</v>
      </c>
      <c r="Z51" s="5">
        <v>15.715999999999999</v>
      </c>
      <c r="AA51" s="5">
        <v>18.638999999999999</v>
      </c>
      <c r="AB51" s="5">
        <v>27</v>
      </c>
      <c r="AC51" s="5" t="e">
        <v>#N/A</v>
      </c>
      <c r="AD51" s="5" t="e">
        <v>#N/A</v>
      </c>
      <c r="AE51" s="5">
        <v>10</v>
      </c>
      <c r="AF51" s="5">
        <v>0.11899999999999999</v>
      </c>
      <c r="AG51" s="5">
        <v>1.3999999999999985E-3</v>
      </c>
      <c r="AH51" s="5" t="e">
        <v>#N/A</v>
      </c>
      <c r="AI51" s="5">
        <v>4.4074074074074076E-3</v>
      </c>
      <c r="AJ51" s="5" t="e">
        <v>#N/A</v>
      </c>
      <c r="AK51" s="5" t="e">
        <v>#N/A</v>
      </c>
      <c r="AL51" s="5">
        <v>9.7799999999999998E-2</v>
      </c>
      <c r="AM51" s="5">
        <v>0.1401</v>
      </c>
      <c r="AN51" s="5">
        <v>3.2800000000000003E-2</v>
      </c>
      <c r="AO51" s="5">
        <v>0.38969999999999999</v>
      </c>
      <c r="AP51" s="5">
        <v>4.6014814814814819E-5</v>
      </c>
      <c r="AQ51" s="5">
        <v>95.782356728911779</v>
      </c>
      <c r="AR51" s="5">
        <v>0.12039999999999999</v>
      </c>
    </row>
    <row r="52" spans="1:44" x14ac:dyDescent="0.25">
      <c r="A52" s="5">
        <v>2012</v>
      </c>
      <c r="B52" s="14">
        <v>41097</v>
      </c>
      <c r="C52" s="16" t="s">
        <v>40</v>
      </c>
      <c r="D52" s="16" t="s">
        <v>49</v>
      </c>
      <c r="E52" s="16" t="s">
        <v>16</v>
      </c>
      <c r="F52" s="16" t="s">
        <v>35</v>
      </c>
      <c r="G52" s="3" t="s">
        <v>440</v>
      </c>
      <c r="H52" s="17" t="s">
        <v>32</v>
      </c>
      <c r="I52" s="2" t="s">
        <v>36</v>
      </c>
      <c r="J52" s="20" t="s">
        <v>61</v>
      </c>
      <c r="K52" s="10" t="s">
        <v>29</v>
      </c>
      <c r="L52" s="5">
        <v>8</v>
      </c>
      <c r="M52" s="5">
        <v>1</v>
      </c>
      <c r="N52" s="5">
        <v>48.5</v>
      </c>
      <c r="O52" s="5">
        <v>53</v>
      </c>
      <c r="P52" s="5">
        <v>93</v>
      </c>
      <c r="Q52" s="5">
        <v>0.81</v>
      </c>
      <c r="R52" s="5">
        <v>12.529</v>
      </c>
      <c r="S52" s="5">
        <v>20.196999999999999</v>
      </c>
      <c r="T52" s="5">
        <v>20.196999999999999</v>
      </c>
      <c r="U52" s="5" t="e">
        <v>#N/A</v>
      </c>
      <c r="V52" s="5" t="e">
        <v>#N/A</v>
      </c>
      <c r="W52" s="5">
        <v>0</v>
      </c>
      <c r="X52" s="5">
        <v>1.5620000000000001</v>
      </c>
      <c r="Y52" s="5">
        <v>0.28199999999999997</v>
      </c>
      <c r="Z52" s="5">
        <v>20.478999999999999</v>
      </c>
      <c r="AA52" s="5">
        <v>22.041</v>
      </c>
      <c r="AB52" s="5">
        <v>27</v>
      </c>
      <c r="AC52" s="5" t="e">
        <v>#N/A</v>
      </c>
      <c r="AD52" s="5" t="e">
        <v>#N/A</v>
      </c>
      <c r="AE52" s="5">
        <v>1</v>
      </c>
      <c r="AF52" s="5">
        <v>0.125</v>
      </c>
      <c r="AG52" s="5">
        <v>2.7999999999999969E-3</v>
      </c>
      <c r="AH52" s="5" t="e">
        <v>#N/A</v>
      </c>
      <c r="AI52" s="5">
        <v>4.6296296296296294E-3</v>
      </c>
      <c r="AJ52" s="5" t="e">
        <v>#N/A</v>
      </c>
      <c r="AK52" s="5" t="e">
        <v>#N/A</v>
      </c>
      <c r="AL52" s="5">
        <v>7.4000000000000003E-3</v>
      </c>
      <c r="AM52" s="5">
        <v>7.8600000000000003E-2</v>
      </c>
      <c r="AN52" s="5">
        <v>9.7000000000000003E-3</v>
      </c>
      <c r="AO52" s="5">
        <v>0.22070000000000001</v>
      </c>
      <c r="AP52" s="5">
        <v>7.4803703703703715E-5</v>
      </c>
      <c r="AQ52" s="5">
        <v>61.890379759370198</v>
      </c>
      <c r="AR52" s="5">
        <v>0.1278</v>
      </c>
    </row>
    <row r="53" spans="1:44" x14ac:dyDescent="0.25">
      <c r="A53" s="5">
        <v>2012</v>
      </c>
      <c r="B53" s="14">
        <v>41097</v>
      </c>
      <c r="C53" s="16" t="s">
        <v>40</v>
      </c>
      <c r="D53" s="16" t="s">
        <v>49</v>
      </c>
      <c r="E53" s="16" t="s">
        <v>16</v>
      </c>
      <c r="F53" s="16" t="s">
        <v>35</v>
      </c>
      <c r="G53" s="3" t="s">
        <v>440</v>
      </c>
      <c r="H53" s="17" t="s">
        <v>32</v>
      </c>
      <c r="I53" s="2" t="s">
        <v>36</v>
      </c>
      <c r="J53" s="20" t="s">
        <v>52</v>
      </c>
      <c r="K53" s="10" t="s">
        <v>29</v>
      </c>
      <c r="L53" s="5">
        <v>7</v>
      </c>
      <c r="M53" s="5">
        <v>6</v>
      </c>
      <c r="N53" s="5">
        <v>54</v>
      </c>
      <c r="O53" s="5">
        <v>58</v>
      </c>
      <c r="P53" s="5">
        <v>96.6</v>
      </c>
      <c r="Q53" s="5">
        <v>1.48</v>
      </c>
      <c r="R53" s="5">
        <v>14.77</v>
      </c>
      <c r="S53" s="5">
        <v>18.484999999999999</v>
      </c>
      <c r="T53" s="5">
        <v>18.484999999999999</v>
      </c>
      <c r="U53" s="5" t="e">
        <v>#N/A</v>
      </c>
      <c r="V53" s="5" t="e">
        <v>#N/A</v>
      </c>
      <c r="W53" s="5">
        <v>0</v>
      </c>
      <c r="X53" s="5">
        <v>2.7050000000000001</v>
      </c>
      <c r="Y53" s="5">
        <v>0.45900000000000002</v>
      </c>
      <c r="Z53" s="5">
        <v>18.943999999999999</v>
      </c>
      <c r="AA53" s="5">
        <v>21.648999999999997</v>
      </c>
      <c r="AB53" s="5">
        <v>27</v>
      </c>
      <c r="AC53" s="5" t="e">
        <v>#N/A</v>
      </c>
      <c r="AD53" s="5" t="e">
        <v>#N/A</v>
      </c>
      <c r="AE53" s="5">
        <v>0</v>
      </c>
      <c r="AF53" s="5">
        <v>0.14050000000000001</v>
      </c>
      <c r="AG53" s="5">
        <v>-2.4999999999999745E-3</v>
      </c>
      <c r="AH53" s="5" t="e">
        <v>#N/A</v>
      </c>
      <c r="AI53" s="5">
        <v>5.2037037037037043E-3</v>
      </c>
      <c r="AJ53" s="5" t="e">
        <v>#N/A</v>
      </c>
      <c r="AK53" s="5" t="e">
        <v>#N/A</v>
      </c>
      <c r="AL53" s="5">
        <v>0</v>
      </c>
      <c r="AM53" s="5">
        <v>8.77E-2</v>
      </c>
      <c r="AN53" s="5">
        <v>3.0800000000000001E-2</v>
      </c>
      <c r="AO53" s="5">
        <v>0.25900000000000001</v>
      </c>
      <c r="AP53" s="5">
        <v>6.8462962962962973E-5</v>
      </c>
      <c r="AQ53" s="5">
        <v>76.007573708412224</v>
      </c>
      <c r="AR53" s="5">
        <v>0.14050000000000001</v>
      </c>
    </row>
    <row r="54" spans="1:44" x14ac:dyDescent="0.25">
      <c r="A54" s="5">
        <v>2012</v>
      </c>
      <c r="B54" s="14">
        <v>41097</v>
      </c>
      <c r="C54" s="16" t="s">
        <v>40</v>
      </c>
      <c r="D54" s="16" t="s">
        <v>49</v>
      </c>
      <c r="E54" s="16" t="s">
        <v>16</v>
      </c>
      <c r="F54" s="16" t="s">
        <v>35</v>
      </c>
      <c r="G54" s="3" t="s">
        <v>440</v>
      </c>
      <c r="H54" s="17" t="s">
        <v>32</v>
      </c>
      <c r="I54" s="2" t="s">
        <v>51</v>
      </c>
      <c r="J54" s="20" t="s">
        <v>87</v>
      </c>
      <c r="K54" s="10" t="s">
        <v>30</v>
      </c>
      <c r="L54" s="5">
        <v>4</v>
      </c>
      <c r="M54" s="5">
        <v>1</v>
      </c>
      <c r="N54" s="5">
        <v>74</v>
      </c>
      <c r="O54" s="5">
        <v>81</v>
      </c>
      <c r="P54" s="5">
        <v>97</v>
      </c>
      <c r="Q54" s="5">
        <v>1.01</v>
      </c>
      <c r="R54" s="5">
        <v>3.569</v>
      </c>
      <c r="S54" s="5">
        <v>9.48</v>
      </c>
      <c r="T54" s="5">
        <v>9.48</v>
      </c>
      <c r="U54" s="5" t="e">
        <v>#N/A</v>
      </c>
      <c r="V54" s="5" t="e">
        <v>#N/A</v>
      </c>
      <c r="W54" s="5">
        <v>0</v>
      </c>
      <c r="X54" s="5">
        <v>0.92700000000000005</v>
      </c>
      <c r="Y54" s="5">
        <v>0.46100000000000002</v>
      </c>
      <c r="Z54" s="5">
        <v>9.9410000000000007</v>
      </c>
      <c r="AA54" s="5">
        <v>10.868</v>
      </c>
      <c r="AB54" s="5">
        <v>39</v>
      </c>
      <c r="AC54" s="5" t="e">
        <v>#N/A</v>
      </c>
      <c r="AD54" s="5" t="e">
        <v>#N/A</v>
      </c>
      <c r="AE54" s="5">
        <v>0</v>
      </c>
      <c r="AF54" s="5">
        <v>0.10050000000000001</v>
      </c>
      <c r="AG54" s="5">
        <v>0</v>
      </c>
      <c r="AH54" s="5" t="e">
        <v>#N/A</v>
      </c>
      <c r="AI54" s="5">
        <v>2.5769230769230769E-3</v>
      </c>
      <c r="AJ54" s="5" t="e">
        <v>#N/A</v>
      </c>
      <c r="AK54" s="5" t="e">
        <v>#N/A</v>
      </c>
      <c r="AL54" s="5">
        <v>0</v>
      </c>
      <c r="AM54" s="5">
        <v>1.8800000000000001E-2</v>
      </c>
      <c r="AN54" s="5">
        <v>5.1999999999999998E-3</v>
      </c>
      <c r="AO54" s="5">
        <v>0.1245</v>
      </c>
      <c r="AP54" s="5">
        <v>2.430769230769231E-5</v>
      </c>
      <c r="AQ54" s="5">
        <v>106.01265822784811</v>
      </c>
      <c r="AR54" s="5">
        <v>0.10050000000000001</v>
      </c>
    </row>
    <row r="55" spans="1:44" x14ac:dyDescent="0.25">
      <c r="A55" s="5">
        <v>2012</v>
      </c>
      <c r="B55" s="14">
        <v>41097</v>
      </c>
      <c r="C55" s="16" t="s">
        <v>40</v>
      </c>
      <c r="D55" s="16" t="s">
        <v>49</v>
      </c>
      <c r="E55" s="16" t="s">
        <v>16</v>
      </c>
      <c r="F55" s="16" t="s">
        <v>35</v>
      </c>
      <c r="G55" s="3" t="s">
        <v>440</v>
      </c>
      <c r="H55" s="17" t="s">
        <v>32</v>
      </c>
      <c r="I55" s="2" t="s">
        <v>36</v>
      </c>
      <c r="J55" s="20" t="s">
        <v>77</v>
      </c>
      <c r="K55" s="10" t="s">
        <v>30</v>
      </c>
      <c r="L55" s="5">
        <v>9</v>
      </c>
      <c r="M55" s="5">
        <v>3</v>
      </c>
      <c r="N55" s="5">
        <v>74</v>
      </c>
      <c r="O55" s="5">
        <v>81</v>
      </c>
      <c r="P55" s="5">
        <v>97</v>
      </c>
      <c r="Q55" s="5">
        <v>1.81</v>
      </c>
      <c r="R55" s="5">
        <v>7.9290000000000003</v>
      </c>
      <c r="S55" s="5">
        <v>7.391</v>
      </c>
      <c r="T55" s="5">
        <v>7.391</v>
      </c>
      <c r="U55" s="5" t="e">
        <v>#N/A</v>
      </c>
      <c r="V55" s="5" t="e">
        <v>#N/A</v>
      </c>
      <c r="W55" s="5">
        <v>0</v>
      </c>
      <c r="X55" s="5">
        <v>2.73</v>
      </c>
      <c r="Y55" s="5">
        <v>0</v>
      </c>
      <c r="Z55" s="5">
        <v>7.391</v>
      </c>
      <c r="AA55" s="5">
        <v>10.121</v>
      </c>
      <c r="AB55" s="5">
        <v>12</v>
      </c>
      <c r="AC55" s="5" t="e">
        <v>#N/A</v>
      </c>
      <c r="AD55" s="5" t="e">
        <v>#N/A</v>
      </c>
      <c r="AE55" s="5">
        <v>0</v>
      </c>
      <c r="AF55" s="5">
        <v>3.4200000000000001E-2</v>
      </c>
      <c r="AG55" s="5">
        <v>-8.000000000000021E-4</v>
      </c>
      <c r="AH55" s="5" t="e">
        <v>#N/A</v>
      </c>
      <c r="AI55" s="5">
        <v>2.8500000000000001E-3</v>
      </c>
      <c r="AJ55" s="5" t="e">
        <v>#N/A</v>
      </c>
      <c r="AK55" s="5" t="e">
        <v>#N/A</v>
      </c>
      <c r="AL55" s="5">
        <v>0</v>
      </c>
      <c r="AM55" s="5">
        <v>8.1799999999999998E-2</v>
      </c>
      <c r="AN55" s="5">
        <v>0</v>
      </c>
      <c r="AO55" s="5">
        <v>0.11599999999999999</v>
      </c>
      <c r="AP55" s="5">
        <v>6.1591666666666668E-5</v>
      </c>
      <c r="AQ55" s="5">
        <v>46.272493573264782</v>
      </c>
      <c r="AR55" s="5">
        <v>3.4200000000000001E-2</v>
      </c>
    </row>
    <row r="56" spans="1:44" x14ac:dyDescent="0.25">
      <c r="A56" s="5">
        <v>2012</v>
      </c>
      <c r="B56" s="6">
        <v>41103</v>
      </c>
      <c r="C56" s="1" t="s">
        <v>40</v>
      </c>
      <c r="D56" s="3" t="s">
        <v>49</v>
      </c>
      <c r="E56" s="1" t="s">
        <v>17</v>
      </c>
      <c r="F56" s="3" t="s">
        <v>35</v>
      </c>
      <c r="G56" s="3" t="s">
        <v>440</v>
      </c>
      <c r="H56" s="3" t="s">
        <v>32</v>
      </c>
      <c r="I56" s="2" t="s">
        <v>36</v>
      </c>
      <c r="J56" s="20" t="s">
        <v>4</v>
      </c>
      <c r="K56" s="10" t="s">
        <v>28</v>
      </c>
      <c r="L56" s="5">
        <v>8</v>
      </c>
      <c r="M56" s="5">
        <v>9</v>
      </c>
      <c r="N56" s="5">
        <v>5</v>
      </c>
      <c r="O56" s="5">
        <v>10</v>
      </c>
      <c r="P56" s="5">
        <v>85</v>
      </c>
      <c r="Q56" s="5">
        <v>0</v>
      </c>
      <c r="R56" s="18">
        <v>14.683</v>
      </c>
      <c r="S56" s="5">
        <v>18.562000000000001</v>
      </c>
      <c r="T56" s="5">
        <v>18.562000000000001</v>
      </c>
      <c r="U56" s="5" t="e">
        <v>#N/A</v>
      </c>
      <c r="V56" s="5" t="e">
        <v>#N/A</v>
      </c>
      <c r="W56" s="5" t="e">
        <v>#N/A</v>
      </c>
      <c r="X56" s="5">
        <v>4.0869999999999997</v>
      </c>
      <c r="Y56" s="5" t="e">
        <v>#N/A</v>
      </c>
      <c r="Z56" s="5">
        <v>18.562000000000001</v>
      </c>
      <c r="AA56" s="5">
        <v>22.649000000000001</v>
      </c>
      <c r="AB56" s="5">
        <v>26</v>
      </c>
      <c r="AC56" s="5" t="e">
        <v>#N/A</v>
      </c>
      <c r="AD56" s="5" t="e">
        <v>#N/A</v>
      </c>
      <c r="AE56" s="5" t="e">
        <v>#N/A</v>
      </c>
      <c r="AF56" s="5">
        <v>0.193</v>
      </c>
      <c r="AG56" s="5">
        <v>3.2000000000000084E-3</v>
      </c>
      <c r="AH56" s="5" t="e">
        <v>#N/A</v>
      </c>
      <c r="AI56" s="5">
        <v>7.4230769230769229E-3</v>
      </c>
      <c r="AJ56" s="5" t="e">
        <v>#N/A</v>
      </c>
      <c r="AK56" s="5" t="e">
        <v>#N/A</v>
      </c>
      <c r="AL56" s="5" t="e">
        <v>#N/A</v>
      </c>
      <c r="AM56" s="5">
        <v>0.2427</v>
      </c>
      <c r="AN56" s="5" t="e">
        <v>#N/A</v>
      </c>
      <c r="AO56" s="5">
        <v>0.43890000000000001</v>
      </c>
      <c r="AP56" s="5">
        <v>7.1392307692307692E-5</v>
      </c>
      <c r="AQ56" s="5">
        <v>103.97586466975541</v>
      </c>
      <c r="AR56" s="5">
        <v>0.19620000000000001</v>
      </c>
    </row>
    <row r="57" spans="1:44" x14ac:dyDescent="0.25">
      <c r="A57" s="5">
        <v>2012</v>
      </c>
      <c r="B57" s="6">
        <v>41103</v>
      </c>
      <c r="C57" s="1" t="s">
        <v>40</v>
      </c>
      <c r="D57" s="3" t="s">
        <v>49</v>
      </c>
      <c r="E57" s="1" t="s">
        <v>17</v>
      </c>
      <c r="F57" s="3" t="s">
        <v>35</v>
      </c>
      <c r="G57" s="3" t="s">
        <v>440</v>
      </c>
      <c r="H57" s="3" t="s">
        <v>32</v>
      </c>
      <c r="I57" s="2" t="s">
        <v>36</v>
      </c>
      <c r="J57" s="20" t="s">
        <v>47</v>
      </c>
      <c r="K57" s="10" t="s">
        <v>28</v>
      </c>
      <c r="L57" s="5">
        <v>1</v>
      </c>
      <c r="M57" s="5">
        <v>7</v>
      </c>
      <c r="N57" s="5">
        <v>16</v>
      </c>
      <c r="O57" s="5">
        <v>20</v>
      </c>
      <c r="P57" s="5">
        <v>87.5</v>
      </c>
      <c r="Q57" s="5">
        <v>0.19</v>
      </c>
      <c r="R57" s="5">
        <v>20.97</v>
      </c>
      <c r="S57" s="5">
        <v>25.713000000000001</v>
      </c>
      <c r="T57" s="5">
        <v>25.713000000000001</v>
      </c>
      <c r="U57" s="5" t="e">
        <v>#N/A</v>
      </c>
      <c r="V57" s="5" t="e">
        <v>#N/A</v>
      </c>
      <c r="W57" s="5">
        <v>3.7640000000000002</v>
      </c>
      <c r="X57" s="5">
        <v>4.6840000000000002</v>
      </c>
      <c r="Y57" s="5">
        <v>0.78700000000000003</v>
      </c>
      <c r="Z57" s="5">
        <v>30.263999999999999</v>
      </c>
      <c r="AA57" s="5">
        <v>34.948</v>
      </c>
      <c r="AB57" s="5">
        <v>50</v>
      </c>
      <c r="AC57" s="5" t="e">
        <v>#N/A</v>
      </c>
      <c r="AD57" s="5" t="e">
        <v>#N/A</v>
      </c>
      <c r="AE57" s="5" t="e">
        <v>#N/A</v>
      </c>
      <c r="AF57" s="5">
        <v>0.22900000000000001</v>
      </c>
      <c r="AG57" s="5">
        <v>5.1999999999999824E-3</v>
      </c>
      <c r="AH57" s="5" t="e">
        <v>#N/A</v>
      </c>
      <c r="AI57" s="5">
        <v>4.5799999999999999E-3</v>
      </c>
      <c r="AJ57" s="5" t="e">
        <v>#N/A</v>
      </c>
      <c r="AK57" s="5" t="e">
        <v>#N/A</v>
      </c>
      <c r="AL57" s="5">
        <v>0.10100000000000001</v>
      </c>
      <c r="AM57" s="5">
        <v>0.32750000000000001</v>
      </c>
      <c r="AN57" s="5">
        <v>1.83E-2</v>
      </c>
      <c r="AO57" s="5">
        <v>0.68100000000000005</v>
      </c>
      <c r="AP57" s="5">
        <v>5.1426000000000005E-5</v>
      </c>
      <c r="AQ57" s="5">
        <v>89.060008555983345</v>
      </c>
      <c r="AR57" s="5">
        <v>0.23419999999999999</v>
      </c>
    </row>
    <row r="58" spans="1:44" x14ac:dyDescent="0.25">
      <c r="A58" s="5">
        <v>2012</v>
      </c>
      <c r="B58" s="6">
        <v>41103</v>
      </c>
      <c r="C58" s="1" t="s">
        <v>40</v>
      </c>
      <c r="D58" s="3" t="s">
        <v>49</v>
      </c>
      <c r="E58" s="1" t="s">
        <v>17</v>
      </c>
      <c r="F58" s="3" t="s">
        <v>35</v>
      </c>
      <c r="G58" s="3" t="s">
        <v>440</v>
      </c>
      <c r="H58" s="3" t="s">
        <v>32</v>
      </c>
      <c r="I58" s="2" t="s">
        <v>36</v>
      </c>
      <c r="J58" s="20" t="s">
        <v>5</v>
      </c>
      <c r="K58" s="10" t="s">
        <v>29</v>
      </c>
      <c r="L58" s="5">
        <v>6</v>
      </c>
      <c r="M58" s="5">
        <v>9</v>
      </c>
      <c r="N58" s="5">
        <v>37.5</v>
      </c>
      <c r="O58" s="5">
        <v>42</v>
      </c>
      <c r="P58" s="5">
        <v>83</v>
      </c>
      <c r="Q58" s="5">
        <v>1.73</v>
      </c>
      <c r="R58" s="18">
        <v>9.8580000000000005</v>
      </c>
      <c r="S58" s="5">
        <v>16.407</v>
      </c>
      <c r="T58" s="5">
        <v>16.407</v>
      </c>
      <c r="U58" s="5" t="e">
        <v>#N/A</v>
      </c>
      <c r="V58" s="5" t="e">
        <v>#N/A</v>
      </c>
      <c r="W58" s="5" t="e">
        <v>#N/A</v>
      </c>
      <c r="X58" s="5">
        <v>1.889</v>
      </c>
      <c r="Y58" s="5" t="e">
        <v>#N/A</v>
      </c>
      <c r="Z58" s="5">
        <v>16.407</v>
      </c>
      <c r="AA58" s="5">
        <v>18.295999999999999</v>
      </c>
      <c r="AB58" s="5">
        <v>19</v>
      </c>
      <c r="AC58" s="5" t="e">
        <v>#N/A</v>
      </c>
      <c r="AD58" s="5" t="e">
        <v>#N/A</v>
      </c>
      <c r="AE58" s="5" t="e">
        <v>#N/A</v>
      </c>
      <c r="AF58" s="5">
        <v>0.104</v>
      </c>
      <c r="AG58" s="5">
        <v>3.2000000000000084E-3</v>
      </c>
      <c r="AH58" s="5" t="e">
        <v>#N/A</v>
      </c>
      <c r="AI58" s="5">
        <v>5.4736842105263155E-3</v>
      </c>
      <c r="AJ58" s="5" t="e">
        <v>#N/A</v>
      </c>
      <c r="AK58" s="5" t="e">
        <v>#N/A</v>
      </c>
      <c r="AL58" s="5" t="e">
        <v>#N/A</v>
      </c>
      <c r="AM58" s="5">
        <v>8.6999999999999994E-2</v>
      </c>
      <c r="AN58" s="5" t="e">
        <v>#N/A</v>
      </c>
      <c r="AO58" s="5">
        <v>0.19419999999999998</v>
      </c>
      <c r="AP58" s="5">
        <v>8.6352631578947374E-5</v>
      </c>
      <c r="AQ58" s="5">
        <v>63.387578472603145</v>
      </c>
      <c r="AR58" s="5">
        <v>0.1072</v>
      </c>
    </row>
    <row r="59" spans="1:44" x14ac:dyDescent="0.25">
      <c r="A59" s="5">
        <v>2012</v>
      </c>
      <c r="B59" s="6">
        <v>41103</v>
      </c>
      <c r="C59" s="1" t="s">
        <v>40</v>
      </c>
      <c r="D59" s="3" t="s">
        <v>49</v>
      </c>
      <c r="E59" s="1" t="s">
        <v>17</v>
      </c>
      <c r="F59" s="3" t="s">
        <v>35</v>
      </c>
      <c r="G59" s="3" t="s">
        <v>440</v>
      </c>
      <c r="H59" s="3" t="s">
        <v>32</v>
      </c>
      <c r="I59" s="2" t="s">
        <v>39</v>
      </c>
      <c r="J59" s="20" t="s">
        <v>62</v>
      </c>
      <c r="K59" s="10" t="s">
        <v>29</v>
      </c>
      <c r="L59" s="5">
        <v>6</v>
      </c>
      <c r="M59" s="5">
        <v>5</v>
      </c>
      <c r="N59" s="5">
        <v>41</v>
      </c>
      <c r="O59" s="5">
        <v>45</v>
      </c>
      <c r="P59" s="5">
        <v>88</v>
      </c>
      <c r="Q59" s="5">
        <v>1.78</v>
      </c>
      <c r="R59" s="26">
        <v>18.184999999999999</v>
      </c>
      <c r="S59" s="5">
        <v>23.04</v>
      </c>
      <c r="T59" s="26">
        <v>23.04</v>
      </c>
      <c r="U59" s="5" t="e">
        <v>#N/A</v>
      </c>
      <c r="V59" s="5" t="e">
        <v>#N/A</v>
      </c>
      <c r="W59" s="27">
        <v>3.7160000000000002</v>
      </c>
      <c r="X59" s="28" t="e">
        <v>#N/A</v>
      </c>
      <c r="Y59" s="28" t="e">
        <v>#N/A</v>
      </c>
      <c r="Z59" s="5">
        <v>26.756</v>
      </c>
      <c r="AA59" s="5">
        <v>26.756</v>
      </c>
      <c r="AB59" s="5">
        <v>64</v>
      </c>
      <c r="AC59" s="5">
        <v>0</v>
      </c>
      <c r="AD59" s="5" t="e">
        <v>#N/A</v>
      </c>
      <c r="AE59" s="5" t="e">
        <v>#N/A</v>
      </c>
      <c r="AF59" s="5">
        <v>0.11650000000000001</v>
      </c>
      <c r="AG59" s="5">
        <v>0</v>
      </c>
      <c r="AH59" s="5" t="e">
        <v>#N/A</v>
      </c>
      <c r="AI59" s="5">
        <v>1.8203125000000001E-3</v>
      </c>
      <c r="AJ59" s="5" t="e">
        <v>#N/A</v>
      </c>
      <c r="AK59" s="5" t="e">
        <v>#N/A</v>
      </c>
      <c r="AL59" s="5" t="e">
        <v>#N/A</v>
      </c>
      <c r="AM59" s="5">
        <v>0.1101</v>
      </c>
      <c r="AN59" s="5" t="e">
        <v>#N/A</v>
      </c>
      <c r="AO59" s="5">
        <v>0.22660000000000002</v>
      </c>
      <c r="AP59" s="5">
        <v>3.6000000000000001E-5</v>
      </c>
      <c r="AQ59" s="5">
        <v>50.564236111111114</v>
      </c>
      <c r="AR59" s="5">
        <v>0.11650000000000001</v>
      </c>
    </row>
    <row r="60" spans="1:44" x14ac:dyDescent="0.25">
      <c r="A60" s="5">
        <v>2012</v>
      </c>
      <c r="B60" s="6">
        <v>41103</v>
      </c>
      <c r="C60" s="1" t="s">
        <v>40</v>
      </c>
      <c r="D60" s="3" t="s">
        <v>49</v>
      </c>
      <c r="E60" s="1" t="s">
        <v>17</v>
      </c>
      <c r="F60" s="3" t="s">
        <v>35</v>
      </c>
      <c r="G60" s="3" t="s">
        <v>440</v>
      </c>
      <c r="H60" s="3" t="s">
        <v>32</v>
      </c>
      <c r="I60" s="2" t="s">
        <v>39</v>
      </c>
      <c r="J60" s="20" t="s">
        <v>53</v>
      </c>
      <c r="K60" s="10" t="s">
        <v>30</v>
      </c>
      <c r="L60" s="5">
        <v>1</v>
      </c>
      <c r="M60" s="5">
        <v>1</v>
      </c>
      <c r="N60" s="5">
        <v>52</v>
      </c>
      <c r="O60" s="5">
        <v>57</v>
      </c>
      <c r="P60" s="5">
        <v>83</v>
      </c>
      <c r="Q60" s="5">
        <v>3.09</v>
      </c>
      <c r="R60" s="29">
        <v>8.5449999999999999</v>
      </c>
      <c r="S60" s="5">
        <v>12.628</v>
      </c>
      <c r="T60" s="9">
        <v>12.628</v>
      </c>
      <c r="U60" s="5" t="e">
        <v>#N/A</v>
      </c>
      <c r="V60" s="5" t="e">
        <v>#N/A</v>
      </c>
      <c r="W60" s="9" t="e">
        <v>#N/A</v>
      </c>
      <c r="X60" s="9">
        <v>2.766</v>
      </c>
      <c r="Y60" s="9" t="e">
        <v>#N/A</v>
      </c>
      <c r="Z60" s="5">
        <v>15.394</v>
      </c>
      <c r="AA60" s="5">
        <v>15.394</v>
      </c>
      <c r="AB60" s="5">
        <v>30</v>
      </c>
      <c r="AC60" s="5">
        <v>0</v>
      </c>
      <c r="AD60" s="5" t="e">
        <v>#N/A</v>
      </c>
      <c r="AE60" s="5" t="e">
        <v>#N/A</v>
      </c>
      <c r="AF60" s="5">
        <v>0.39700000000000002</v>
      </c>
      <c r="AG60" s="5">
        <v>0</v>
      </c>
      <c r="AH60" s="5" t="e">
        <v>#N/A</v>
      </c>
      <c r="AI60" s="5">
        <v>1.3233333333333335E-2</v>
      </c>
      <c r="AJ60" s="5" t="e">
        <v>#N/A</v>
      </c>
      <c r="AK60" s="5" t="e">
        <v>#N/A</v>
      </c>
      <c r="AL60" s="5" t="e">
        <v>#N/A</v>
      </c>
      <c r="AM60" s="5">
        <v>3.9600000000000003E-2</v>
      </c>
      <c r="AN60" s="5" t="e">
        <v>#N/A</v>
      </c>
      <c r="AO60" s="5">
        <v>0.43660000000000004</v>
      </c>
      <c r="AP60" s="5">
        <v>4.2093333333333339E-5</v>
      </c>
      <c r="AQ60" s="5">
        <v>314.38074121000949</v>
      </c>
      <c r="AR60" s="5">
        <v>0.39700000000000002</v>
      </c>
    </row>
    <row r="61" spans="1:44" x14ac:dyDescent="0.25">
      <c r="A61" s="5">
        <v>2012</v>
      </c>
      <c r="B61" s="6">
        <v>41103</v>
      </c>
      <c r="C61" s="1" t="s">
        <v>40</v>
      </c>
      <c r="D61" s="3" t="s">
        <v>49</v>
      </c>
      <c r="E61" s="1" t="s">
        <v>17</v>
      </c>
      <c r="F61" s="3" t="s">
        <v>35</v>
      </c>
      <c r="G61" s="3" t="s">
        <v>440</v>
      </c>
      <c r="H61" s="3" t="s">
        <v>32</v>
      </c>
      <c r="I61" s="2" t="s">
        <v>36</v>
      </c>
      <c r="J61" s="20" t="s">
        <v>82</v>
      </c>
      <c r="K61" s="10" t="s">
        <v>30</v>
      </c>
      <c r="L61" s="5">
        <v>1</v>
      </c>
      <c r="M61" s="5">
        <v>9</v>
      </c>
      <c r="N61" s="5">
        <v>55</v>
      </c>
      <c r="O61" s="5">
        <v>59</v>
      </c>
      <c r="P61" s="5">
        <v>82</v>
      </c>
      <c r="Q61" s="5">
        <v>2.14</v>
      </c>
      <c r="R61" s="18">
        <v>13.195</v>
      </c>
      <c r="S61" s="5">
        <v>19.425000000000001</v>
      </c>
      <c r="T61" s="5">
        <v>19.425000000000001</v>
      </c>
      <c r="U61" s="5" t="e">
        <v>#N/A</v>
      </c>
      <c r="V61" s="5" t="e">
        <v>#N/A</v>
      </c>
      <c r="W61" s="5" t="e">
        <v>#N/A</v>
      </c>
      <c r="X61" s="5">
        <v>1.0429999999999999</v>
      </c>
      <c r="Y61" s="5">
        <v>0.48</v>
      </c>
      <c r="Z61" s="5">
        <v>19.905000000000001</v>
      </c>
      <c r="AA61" s="5">
        <v>20.948</v>
      </c>
      <c r="AB61" s="5">
        <v>13</v>
      </c>
      <c r="AC61" s="5" t="e">
        <v>#N/A</v>
      </c>
      <c r="AD61" s="5" t="e">
        <v>#N/A</v>
      </c>
      <c r="AE61" s="5" t="e">
        <v>#N/A</v>
      </c>
      <c r="AF61" s="5">
        <v>0.115</v>
      </c>
      <c r="AG61" s="5">
        <v>2.1999999999999936E-3</v>
      </c>
      <c r="AH61" s="5" t="e">
        <v>#N/A</v>
      </c>
      <c r="AI61" s="5">
        <v>8.8461538461538473E-3</v>
      </c>
      <c r="AJ61" s="5" t="e">
        <v>#N/A</v>
      </c>
      <c r="AK61" s="5" t="e">
        <v>#N/A</v>
      </c>
      <c r="AL61" s="5" t="e">
        <v>#N/A</v>
      </c>
      <c r="AM61" s="5">
        <v>0.53600000000000003</v>
      </c>
      <c r="AN61" s="5">
        <v>1.8499999999999999E-2</v>
      </c>
      <c r="AO61" s="5">
        <v>0.67169999999999996</v>
      </c>
      <c r="AP61" s="5">
        <v>1.4942307692307694E-4</v>
      </c>
      <c r="AQ61" s="5">
        <v>59.202059202059196</v>
      </c>
      <c r="AR61" s="5">
        <v>0.1172</v>
      </c>
    </row>
    <row r="62" spans="1:44" x14ac:dyDescent="0.25">
      <c r="A62" s="5">
        <v>2012</v>
      </c>
      <c r="B62" s="14">
        <v>41103</v>
      </c>
      <c r="C62" s="16" t="s">
        <v>40</v>
      </c>
      <c r="D62" s="16" t="s">
        <v>49</v>
      </c>
      <c r="E62" s="16" t="s">
        <v>18</v>
      </c>
      <c r="F62" s="16" t="s">
        <v>35</v>
      </c>
      <c r="G62" s="3" t="s">
        <v>440</v>
      </c>
      <c r="H62" s="17" t="s">
        <v>32</v>
      </c>
      <c r="I62" s="2" t="s">
        <v>36</v>
      </c>
      <c r="J62" s="20" t="s">
        <v>10</v>
      </c>
      <c r="K62" s="10" t="s">
        <v>28</v>
      </c>
      <c r="L62" s="5">
        <v>6</v>
      </c>
      <c r="M62" s="5">
        <v>5</v>
      </c>
      <c r="N62" s="5">
        <v>21</v>
      </c>
      <c r="O62" s="5">
        <v>25</v>
      </c>
      <c r="P62" s="5">
        <v>100</v>
      </c>
      <c r="Q62" s="5">
        <v>0</v>
      </c>
      <c r="R62" s="5">
        <v>12.32</v>
      </c>
      <c r="S62" s="5">
        <v>15.28</v>
      </c>
      <c r="T62" s="5">
        <v>15.28</v>
      </c>
      <c r="U62" s="5" t="e">
        <v>#N/A</v>
      </c>
      <c r="V62" s="5" t="e">
        <v>#N/A</v>
      </c>
      <c r="W62" s="5" t="e">
        <v>#N/A</v>
      </c>
      <c r="X62" s="5">
        <v>3.4</v>
      </c>
      <c r="Y62" s="5">
        <v>1.2509999999999999</v>
      </c>
      <c r="Z62" s="5">
        <v>16.530999999999999</v>
      </c>
      <c r="AA62" s="5">
        <v>15.28</v>
      </c>
      <c r="AB62" s="5">
        <v>25</v>
      </c>
      <c r="AC62" s="5">
        <v>0</v>
      </c>
      <c r="AD62" s="5" t="e">
        <v>#N/A</v>
      </c>
      <c r="AE62" s="5" t="e">
        <v>#N/A</v>
      </c>
      <c r="AF62" s="5">
        <v>0.1168</v>
      </c>
      <c r="AG62" s="5">
        <v>0</v>
      </c>
      <c r="AH62" s="5" t="e">
        <v>#N/A</v>
      </c>
      <c r="AI62" s="5">
        <v>4.6719999999999999E-3</v>
      </c>
      <c r="AJ62" s="5" t="e">
        <v>#N/A</v>
      </c>
      <c r="AK62" s="5" t="e">
        <v>#N/A</v>
      </c>
      <c r="AL62" s="5" t="e">
        <v>#N/A</v>
      </c>
      <c r="AM62" s="5">
        <v>0.14749999999999999</v>
      </c>
      <c r="AN62" s="5">
        <v>3.8100000000000002E-2</v>
      </c>
      <c r="AO62" s="5">
        <v>0.3024</v>
      </c>
      <c r="AP62" s="5">
        <v>6.1119999999999998E-5</v>
      </c>
      <c r="AQ62" s="5">
        <v>76.439790575916234</v>
      </c>
      <c r="AR62" s="5">
        <v>0.1168</v>
      </c>
    </row>
    <row r="63" spans="1:44" x14ac:dyDescent="0.25">
      <c r="A63" s="5">
        <v>2012</v>
      </c>
      <c r="B63" s="14">
        <v>41103</v>
      </c>
      <c r="C63" s="16" t="s">
        <v>40</v>
      </c>
      <c r="D63" s="16" t="s">
        <v>49</v>
      </c>
      <c r="E63" s="16" t="s">
        <v>18</v>
      </c>
      <c r="F63" s="16" t="s">
        <v>35</v>
      </c>
      <c r="G63" s="3" t="s">
        <v>440</v>
      </c>
      <c r="H63" s="17" t="s">
        <v>32</v>
      </c>
      <c r="I63" s="2" t="s">
        <v>36</v>
      </c>
      <c r="J63" s="20" t="s">
        <v>12</v>
      </c>
      <c r="K63" s="10" t="s">
        <v>28</v>
      </c>
      <c r="L63" s="5">
        <v>8</v>
      </c>
      <c r="M63" s="5">
        <v>8</v>
      </c>
      <c r="N63" s="5">
        <v>22</v>
      </c>
      <c r="O63" s="5">
        <v>27</v>
      </c>
      <c r="P63" s="5">
        <v>108</v>
      </c>
      <c r="Q63" s="5">
        <v>0</v>
      </c>
      <c r="R63" s="5">
        <v>14.106</v>
      </c>
      <c r="S63" s="5">
        <v>20.111000000000001</v>
      </c>
      <c r="T63" s="5">
        <v>20.111000000000001</v>
      </c>
      <c r="U63" s="5" t="e">
        <v>#N/A</v>
      </c>
      <c r="V63" s="5" t="e">
        <v>#N/A</v>
      </c>
      <c r="W63" s="5" t="e">
        <v>#N/A</v>
      </c>
      <c r="X63" s="5">
        <v>2.0190000000000001</v>
      </c>
      <c r="Y63" s="5" t="e">
        <v>#N/A</v>
      </c>
      <c r="Z63" s="5">
        <v>20.111000000000001</v>
      </c>
      <c r="AA63" s="5">
        <v>20.111000000000001</v>
      </c>
      <c r="AB63" s="5">
        <v>30</v>
      </c>
      <c r="AC63" s="5" t="e">
        <v>#N/A</v>
      </c>
      <c r="AD63" s="5" t="e">
        <v>#N/A</v>
      </c>
      <c r="AE63" s="5" t="e">
        <v>#N/A</v>
      </c>
      <c r="AF63" s="5">
        <v>0.152</v>
      </c>
      <c r="AG63" s="5">
        <v>2.7999999999999969E-3</v>
      </c>
      <c r="AH63" s="5" t="e">
        <v>#N/A</v>
      </c>
      <c r="AI63" s="5">
        <v>5.0666666666666664E-3</v>
      </c>
      <c r="AJ63" s="5" t="e">
        <v>#N/A</v>
      </c>
      <c r="AK63" s="5" t="e">
        <v>#N/A</v>
      </c>
      <c r="AL63" s="5">
        <v>4.0000000000000001E-3</v>
      </c>
      <c r="AM63" s="5">
        <v>0.19400000000000001</v>
      </c>
      <c r="AN63" s="5">
        <v>5.8999999999999999E-3</v>
      </c>
      <c r="AO63" s="5">
        <v>0.35870000000000002</v>
      </c>
      <c r="AP63" s="5">
        <v>6.7036666666666668E-5</v>
      </c>
      <c r="AQ63" s="5">
        <v>75.580528069215845</v>
      </c>
      <c r="AR63" s="5">
        <v>0.15479999999999999</v>
      </c>
    </row>
    <row r="64" spans="1:44" x14ac:dyDescent="0.25">
      <c r="A64" s="5">
        <v>2012</v>
      </c>
      <c r="B64" s="14">
        <v>41103</v>
      </c>
      <c r="C64" s="1" t="s">
        <v>40</v>
      </c>
      <c r="D64" s="16" t="s">
        <v>49</v>
      </c>
      <c r="E64" s="1" t="s">
        <v>18</v>
      </c>
      <c r="F64" s="1" t="s">
        <v>35</v>
      </c>
      <c r="G64" s="3" t="s">
        <v>440</v>
      </c>
      <c r="H64" s="1" t="s">
        <v>32</v>
      </c>
      <c r="I64" s="2" t="s">
        <v>36</v>
      </c>
      <c r="J64" s="20" t="s">
        <v>8</v>
      </c>
      <c r="K64" s="10" t="s">
        <v>29</v>
      </c>
      <c r="L64" s="5">
        <v>4</v>
      </c>
      <c r="M64" s="5">
        <v>5</v>
      </c>
      <c r="N64" s="5">
        <v>51</v>
      </c>
      <c r="O64" s="5">
        <v>56</v>
      </c>
      <c r="P64" s="24" t="e">
        <v>#N/A</v>
      </c>
      <c r="Q64" s="5">
        <v>1.82</v>
      </c>
      <c r="R64" s="5">
        <v>13.285</v>
      </c>
      <c r="S64" s="5">
        <v>14.379</v>
      </c>
      <c r="T64" s="5">
        <v>14.379</v>
      </c>
      <c r="U64" s="5" t="e">
        <v>#N/A</v>
      </c>
      <c r="V64" s="5" t="e">
        <v>#N/A</v>
      </c>
      <c r="W64" s="5">
        <v>0</v>
      </c>
      <c r="X64" s="5">
        <v>3.3090000000000002</v>
      </c>
      <c r="Y64" s="5">
        <v>0</v>
      </c>
      <c r="Z64" s="5">
        <v>14.379</v>
      </c>
      <c r="AA64" s="5">
        <v>14.379</v>
      </c>
      <c r="AB64" s="5">
        <v>33</v>
      </c>
      <c r="AC64" s="5" t="e">
        <v>#N/A</v>
      </c>
      <c r="AD64" s="5" t="e">
        <v>#N/A</v>
      </c>
      <c r="AE64" s="5" t="e">
        <v>#N/A</v>
      </c>
      <c r="AF64" s="5">
        <v>7.3999999999999996E-2</v>
      </c>
      <c r="AG64" s="5">
        <v>1.0000000000000286E-4</v>
      </c>
      <c r="AH64" s="5" t="e">
        <v>#N/A</v>
      </c>
      <c r="AI64" s="5">
        <v>2.2424242424242424E-3</v>
      </c>
      <c r="AJ64" s="5" t="e">
        <v>#N/A</v>
      </c>
      <c r="AK64" s="5" t="e">
        <v>#N/A</v>
      </c>
      <c r="AL64" s="5" t="e">
        <v>#N/A</v>
      </c>
      <c r="AM64" s="5">
        <v>0.13730000000000001</v>
      </c>
      <c r="AN64" s="5" t="e">
        <v>#N/A</v>
      </c>
      <c r="AO64" s="5">
        <v>0.2114</v>
      </c>
      <c r="AP64" s="5">
        <v>4.3572727272727273E-5</v>
      </c>
      <c r="AQ64" s="5">
        <v>51.463940468739132</v>
      </c>
      <c r="AR64" s="5">
        <v>7.4099999999999999E-2</v>
      </c>
    </row>
    <row r="65" spans="1:44" x14ac:dyDescent="0.25">
      <c r="A65" s="5">
        <v>2012</v>
      </c>
      <c r="B65" s="14">
        <v>41103</v>
      </c>
      <c r="C65" s="1" t="s">
        <v>40</v>
      </c>
      <c r="D65" s="16" t="s">
        <v>49</v>
      </c>
      <c r="E65" s="1" t="s">
        <v>18</v>
      </c>
      <c r="F65" s="1" t="s">
        <v>35</v>
      </c>
      <c r="G65" s="3" t="s">
        <v>440</v>
      </c>
      <c r="H65" s="1" t="s">
        <v>32</v>
      </c>
      <c r="I65" s="2" t="s">
        <v>46</v>
      </c>
      <c r="J65" s="20" t="s">
        <v>11</v>
      </c>
      <c r="K65" s="10" t="s">
        <v>29</v>
      </c>
      <c r="L65" s="5">
        <v>2</v>
      </c>
      <c r="M65" s="5">
        <v>5</v>
      </c>
      <c r="N65" s="5">
        <v>50</v>
      </c>
      <c r="O65" s="5">
        <v>55</v>
      </c>
      <c r="P65" s="24" t="e">
        <v>#N/A</v>
      </c>
      <c r="Q65" s="5">
        <v>1.83</v>
      </c>
      <c r="R65" s="5">
        <v>18.353999999999999</v>
      </c>
      <c r="S65" s="5">
        <v>22.96</v>
      </c>
      <c r="T65" s="5">
        <v>22.96</v>
      </c>
      <c r="U65" s="5" t="e">
        <v>#N/A</v>
      </c>
      <c r="V65" s="5" t="e">
        <v>#N/A</v>
      </c>
      <c r="W65" s="5">
        <v>0</v>
      </c>
      <c r="X65" s="5">
        <v>1.2509999999999999</v>
      </c>
      <c r="Y65" s="5">
        <v>0.77500000000000002</v>
      </c>
      <c r="Z65" s="5">
        <v>23.734999999999999</v>
      </c>
      <c r="AA65" s="5">
        <v>22.96</v>
      </c>
      <c r="AB65" s="5">
        <v>5</v>
      </c>
      <c r="AC65" s="5" t="e">
        <v>#N/A</v>
      </c>
      <c r="AD65" s="5">
        <v>3</v>
      </c>
      <c r="AE65" s="5" t="e">
        <v>#N/A</v>
      </c>
      <c r="AF65" s="5">
        <v>0.16500000000000001</v>
      </c>
      <c r="AG65" s="5">
        <v>8.0999999999999961E-3</v>
      </c>
      <c r="AH65" s="5">
        <v>3.0999999999999999E-3</v>
      </c>
      <c r="AI65" s="5">
        <v>3.3000000000000002E-2</v>
      </c>
      <c r="AJ65" s="5" t="e">
        <v>#N/A</v>
      </c>
      <c r="AK65" s="5">
        <v>1.0333333333333334E-3</v>
      </c>
      <c r="AL65" s="5" t="e">
        <v>#N/A</v>
      </c>
      <c r="AM65" s="5">
        <v>2.3699999999999999E-2</v>
      </c>
      <c r="AN65" s="5">
        <v>0.47799999999999998</v>
      </c>
      <c r="AO65" s="5">
        <v>0.67789999999999995</v>
      </c>
      <c r="AP65" s="5">
        <v>4.5920000000000005E-4</v>
      </c>
      <c r="AQ65" s="5">
        <v>71.864111498257827</v>
      </c>
      <c r="AR65" s="5">
        <v>0.1731</v>
      </c>
    </row>
    <row r="66" spans="1:44" x14ac:dyDescent="0.25">
      <c r="A66" s="5">
        <v>2012</v>
      </c>
      <c r="B66" s="14">
        <v>41103</v>
      </c>
      <c r="C66" s="5" t="s">
        <v>40</v>
      </c>
      <c r="D66" s="16" t="s">
        <v>49</v>
      </c>
      <c r="E66" s="5" t="s">
        <v>18</v>
      </c>
      <c r="F66" s="5" t="s">
        <v>35</v>
      </c>
      <c r="G66" s="3" t="s">
        <v>440</v>
      </c>
      <c r="H66" s="2" t="s">
        <v>32</v>
      </c>
      <c r="I66" s="2" t="s">
        <v>36</v>
      </c>
      <c r="J66" s="20" t="s">
        <v>77</v>
      </c>
      <c r="K66" s="10" t="s">
        <v>30</v>
      </c>
      <c r="L66" s="5">
        <v>5</v>
      </c>
      <c r="M66" s="5">
        <v>6</v>
      </c>
      <c r="N66" s="5">
        <v>60</v>
      </c>
      <c r="O66" s="5">
        <v>65</v>
      </c>
      <c r="P66" s="24" t="e">
        <v>#N/A</v>
      </c>
      <c r="Q66" s="5">
        <v>2.11</v>
      </c>
      <c r="R66" s="5">
        <v>12.84</v>
      </c>
      <c r="S66" s="5">
        <v>11.590999999999999</v>
      </c>
      <c r="T66" s="5">
        <v>11.590999999999999</v>
      </c>
      <c r="U66" s="5" t="e">
        <v>#N/A</v>
      </c>
      <c r="V66" s="5" t="e">
        <v>#N/A</v>
      </c>
      <c r="W66" s="5">
        <v>0</v>
      </c>
      <c r="X66" s="5">
        <v>0</v>
      </c>
      <c r="Y66" s="5">
        <v>1.579</v>
      </c>
      <c r="Z66" s="5">
        <v>13.17</v>
      </c>
      <c r="AA66" s="5">
        <v>11.590999999999999</v>
      </c>
      <c r="AB66" s="5">
        <v>5</v>
      </c>
      <c r="AC66" s="5" t="e">
        <v>#N/A</v>
      </c>
      <c r="AD66" s="5" t="e">
        <v>#N/A</v>
      </c>
      <c r="AE66" s="5" t="e">
        <v>#N/A</v>
      </c>
      <c r="AF66" s="5">
        <v>3.7999999999999999E-2</v>
      </c>
      <c r="AG66" s="5">
        <v>3.599999999999999E-3</v>
      </c>
      <c r="AH66" s="5" t="e">
        <v>#N/A</v>
      </c>
      <c r="AI66" s="5">
        <v>7.6E-3</v>
      </c>
      <c r="AJ66" s="5" t="e">
        <v>#N/A</v>
      </c>
      <c r="AK66" s="5" t="e">
        <v>#N/A</v>
      </c>
      <c r="AL66" s="5" t="e">
        <v>#N/A</v>
      </c>
      <c r="AM66" s="5" t="e">
        <v>#N/A</v>
      </c>
      <c r="AN66" s="5">
        <v>4.3799999999999999E-2</v>
      </c>
      <c r="AO66" s="5">
        <v>8.5400000000000004E-2</v>
      </c>
      <c r="AP66" s="5">
        <v>2.3181999999999999E-4</v>
      </c>
      <c r="AQ66" s="5">
        <v>32.784056595634546</v>
      </c>
      <c r="AR66" s="5">
        <v>4.1599999999999998E-2</v>
      </c>
    </row>
    <row r="67" spans="1:44" x14ac:dyDescent="0.25">
      <c r="A67" s="5">
        <v>2012</v>
      </c>
      <c r="B67" s="14">
        <v>41103</v>
      </c>
      <c r="C67" s="5" t="s">
        <v>40</v>
      </c>
      <c r="D67" s="16" t="s">
        <v>49</v>
      </c>
      <c r="E67" s="5" t="s">
        <v>18</v>
      </c>
      <c r="F67" s="5" t="s">
        <v>35</v>
      </c>
      <c r="G67" s="3" t="s">
        <v>440</v>
      </c>
      <c r="H67" s="2" t="s">
        <v>32</v>
      </c>
      <c r="I67" s="2" t="s">
        <v>36</v>
      </c>
      <c r="J67" s="20" t="s">
        <v>78</v>
      </c>
      <c r="K67" s="10" t="s">
        <v>30</v>
      </c>
      <c r="L67" s="5">
        <v>3</v>
      </c>
      <c r="M67" s="5">
        <v>9</v>
      </c>
      <c r="N67" s="5">
        <v>64</v>
      </c>
      <c r="O67" s="5">
        <v>68</v>
      </c>
      <c r="P67" s="24" t="e">
        <v>#N/A</v>
      </c>
      <c r="Q67" s="5">
        <v>1.66</v>
      </c>
      <c r="R67" s="5">
        <v>12.885</v>
      </c>
      <c r="S67" s="5">
        <v>14.45</v>
      </c>
      <c r="T67" s="5">
        <v>14.45</v>
      </c>
      <c r="U67" s="5" t="e">
        <v>#N/A</v>
      </c>
      <c r="V67" s="5" t="e">
        <v>#N/A</v>
      </c>
      <c r="W67" s="5">
        <v>0</v>
      </c>
      <c r="X67" s="5">
        <v>0.93100000000000005</v>
      </c>
      <c r="Y67" s="5">
        <v>0.56999999999999995</v>
      </c>
      <c r="Z67" s="5">
        <v>15.02</v>
      </c>
      <c r="AA67" s="5">
        <v>14.45</v>
      </c>
      <c r="AB67" s="5">
        <v>9</v>
      </c>
      <c r="AC67" s="5" t="e">
        <v>#N/A</v>
      </c>
      <c r="AD67" s="5" t="e">
        <v>#N/A</v>
      </c>
      <c r="AE67" s="5" t="e">
        <v>#N/A</v>
      </c>
      <c r="AF67" s="5">
        <v>6.2E-2</v>
      </c>
      <c r="AG67" s="5">
        <v>7.8000000000000014E-3</v>
      </c>
      <c r="AH67" s="5" t="e">
        <v>#N/A</v>
      </c>
      <c r="AI67" s="5">
        <v>6.8888888888888888E-3</v>
      </c>
      <c r="AJ67" s="5" t="e">
        <v>#N/A</v>
      </c>
      <c r="AK67" s="5" t="e">
        <v>#N/A</v>
      </c>
      <c r="AL67" s="5" t="e">
        <v>#N/A</v>
      </c>
      <c r="AM67" s="5">
        <v>3.7499999999999999E-2</v>
      </c>
      <c r="AN67" s="5">
        <v>1.72E-2</v>
      </c>
      <c r="AO67" s="5">
        <v>0.1245</v>
      </c>
      <c r="AP67" s="5">
        <v>1.6055555555555558E-4</v>
      </c>
      <c r="AQ67" s="5">
        <v>42.906574394463668</v>
      </c>
      <c r="AR67" s="5">
        <v>6.9800000000000001E-2</v>
      </c>
    </row>
    <row r="68" spans="1:44" x14ac:dyDescent="0.25">
      <c r="A68" s="5">
        <v>2012</v>
      </c>
      <c r="B68" s="6">
        <v>41107</v>
      </c>
      <c r="C68" s="1" t="s">
        <v>40</v>
      </c>
      <c r="D68" s="3" t="s">
        <v>49</v>
      </c>
      <c r="E68" s="1" t="s">
        <v>19</v>
      </c>
      <c r="F68" s="3" t="s">
        <v>35</v>
      </c>
      <c r="G68" s="3" t="s">
        <v>440</v>
      </c>
      <c r="H68" s="3" t="s">
        <v>33</v>
      </c>
      <c r="I68" s="2" t="s">
        <v>46</v>
      </c>
      <c r="J68" s="7" t="s">
        <v>63</v>
      </c>
      <c r="K68" s="10" t="s">
        <v>28</v>
      </c>
      <c r="L68" s="5">
        <v>5</v>
      </c>
      <c r="M68" s="5">
        <v>5</v>
      </c>
      <c r="N68" s="5">
        <v>13</v>
      </c>
      <c r="O68" s="5">
        <v>18</v>
      </c>
      <c r="P68" s="5">
        <v>91.5</v>
      </c>
      <c r="Q68" s="5">
        <v>0</v>
      </c>
      <c r="R68" s="5">
        <v>8.1910000000000007</v>
      </c>
      <c r="S68" s="5">
        <v>10.629</v>
      </c>
      <c r="T68" s="5">
        <v>9.9429999999999996</v>
      </c>
      <c r="U68" s="5" t="e">
        <v>#N/A</v>
      </c>
      <c r="V68" s="5">
        <v>0.68600000000000005</v>
      </c>
      <c r="W68" s="5">
        <v>0</v>
      </c>
      <c r="X68" s="5">
        <v>0</v>
      </c>
      <c r="Y68" s="5">
        <v>1.22</v>
      </c>
      <c r="Z68" s="5">
        <v>11.849</v>
      </c>
      <c r="AA68" s="5">
        <v>11.849</v>
      </c>
      <c r="AB68" s="5">
        <v>4</v>
      </c>
      <c r="AC68" s="5" t="e">
        <v>#N/A</v>
      </c>
      <c r="AD68" s="5">
        <v>6</v>
      </c>
      <c r="AE68" s="5">
        <v>0</v>
      </c>
      <c r="AF68" s="5">
        <v>9.2999999999999999E-2</v>
      </c>
      <c r="AG68" s="5">
        <v>4.7999999999999987E-3</v>
      </c>
      <c r="AH68" s="5">
        <v>1.0500000000000001E-2</v>
      </c>
      <c r="AI68" s="5">
        <v>2.325E-2</v>
      </c>
      <c r="AJ68" s="5" t="e">
        <v>#N/A</v>
      </c>
      <c r="AK68" s="5">
        <v>1.75E-3</v>
      </c>
      <c r="AL68" s="5">
        <v>0</v>
      </c>
      <c r="AM68" s="5">
        <v>0</v>
      </c>
      <c r="AN68" s="5">
        <v>4.2000000000000003E-2</v>
      </c>
      <c r="AO68" s="5">
        <v>0.15029999999999999</v>
      </c>
      <c r="AP68" s="5">
        <v>2.4857500000000001E-4</v>
      </c>
      <c r="AQ68" s="5">
        <v>93.533138891682583</v>
      </c>
      <c r="AR68" s="5">
        <v>9.7799999999999998E-2</v>
      </c>
    </row>
    <row r="69" spans="1:44" x14ac:dyDescent="0.25">
      <c r="A69" s="5">
        <v>2012</v>
      </c>
      <c r="B69" s="6">
        <v>41107</v>
      </c>
      <c r="C69" s="1" t="s">
        <v>40</v>
      </c>
      <c r="D69" s="3" t="s">
        <v>49</v>
      </c>
      <c r="E69" s="1" t="s">
        <v>19</v>
      </c>
      <c r="F69" s="3" t="s">
        <v>35</v>
      </c>
      <c r="G69" s="3" t="s">
        <v>440</v>
      </c>
      <c r="H69" s="3" t="s">
        <v>33</v>
      </c>
      <c r="I69" s="2" t="s">
        <v>46</v>
      </c>
      <c r="J69" s="7" t="s">
        <v>0</v>
      </c>
      <c r="K69" s="10" t="s">
        <v>28</v>
      </c>
      <c r="L69" s="5">
        <v>1</v>
      </c>
      <c r="M69" s="5">
        <v>7</v>
      </c>
      <c r="N69" s="5">
        <v>12.5</v>
      </c>
      <c r="O69" s="5">
        <v>17.5</v>
      </c>
      <c r="P69" s="5">
        <v>89.5</v>
      </c>
      <c r="Q69" s="5">
        <v>0</v>
      </c>
      <c r="R69" s="5">
        <v>24.829000000000001</v>
      </c>
      <c r="S69" s="13">
        <v>37.270000000000003</v>
      </c>
      <c r="T69" s="5">
        <v>37</v>
      </c>
      <c r="U69" s="5" t="e">
        <v>#N/A</v>
      </c>
      <c r="V69" s="5">
        <v>0.27</v>
      </c>
      <c r="W69" s="5">
        <v>0</v>
      </c>
      <c r="X69" s="5">
        <v>0.53</v>
      </c>
      <c r="Y69" s="5">
        <v>2.6219999999999999</v>
      </c>
      <c r="Z69" s="5">
        <v>39.892000000000003</v>
      </c>
      <c r="AA69" s="5">
        <v>40.422000000000004</v>
      </c>
      <c r="AB69" s="5">
        <v>14</v>
      </c>
      <c r="AC69" s="5" t="e">
        <v>#N/A</v>
      </c>
      <c r="AD69" s="5">
        <v>4</v>
      </c>
      <c r="AE69" s="5">
        <v>0</v>
      </c>
      <c r="AF69" s="5">
        <v>0.34899999999999998</v>
      </c>
      <c r="AG69" s="5">
        <v>9.7000000000000419E-3</v>
      </c>
      <c r="AH69" s="5">
        <v>2.2000000000000001E-3</v>
      </c>
      <c r="AI69" s="5">
        <v>2.4928571428571428E-2</v>
      </c>
      <c r="AJ69" s="5" t="e">
        <v>#N/A</v>
      </c>
      <c r="AK69" s="5">
        <v>5.5000000000000003E-4</v>
      </c>
      <c r="AL69" s="5">
        <v>0</v>
      </c>
      <c r="AM69" s="5">
        <v>3.2399999999999998E-2</v>
      </c>
      <c r="AN69" s="5">
        <v>0.14749999999999999</v>
      </c>
      <c r="AO69" s="5">
        <v>0.54079999999999995</v>
      </c>
      <c r="AP69" s="5">
        <v>2.642857142857143E-4</v>
      </c>
      <c r="AQ69" s="5">
        <v>94.324324324324309</v>
      </c>
      <c r="AR69" s="5">
        <v>0.35870000000000002</v>
      </c>
    </row>
    <row r="70" spans="1:44" x14ac:dyDescent="0.25">
      <c r="A70" s="5">
        <v>2012</v>
      </c>
      <c r="B70" s="6">
        <v>41107</v>
      </c>
      <c r="C70" s="1" t="s">
        <v>40</v>
      </c>
      <c r="D70" s="3" t="s">
        <v>49</v>
      </c>
      <c r="E70" s="1" t="s">
        <v>19</v>
      </c>
      <c r="F70" s="3" t="s">
        <v>35</v>
      </c>
      <c r="G70" s="3" t="s">
        <v>440</v>
      </c>
      <c r="H70" s="3" t="s">
        <v>33</v>
      </c>
      <c r="I70" s="2" t="s">
        <v>46</v>
      </c>
      <c r="J70" s="7" t="s">
        <v>2</v>
      </c>
      <c r="K70" s="10" t="s">
        <v>29</v>
      </c>
      <c r="L70" s="5">
        <v>5</v>
      </c>
      <c r="M70" s="5">
        <v>8</v>
      </c>
      <c r="N70" s="5">
        <v>58</v>
      </c>
      <c r="O70" s="5">
        <v>62</v>
      </c>
      <c r="P70" s="5">
        <v>91</v>
      </c>
      <c r="Q70" s="5">
        <v>1.23</v>
      </c>
      <c r="R70" s="5">
        <v>20.177</v>
      </c>
      <c r="S70" s="5">
        <v>26.435000000000002</v>
      </c>
      <c r="T70" s="5">
        <v>26.239000000000001</v>
      </c>
      <c r="U70" s="5" t="e">
        <v>#N/A</v>
      </c>
      <c r="V70" s="5">
        <v>0.19600000000000001</v>
      </c>
      <c r="W70" s="5">
        <v>0</v>
      </c>
      <c r="X70" s="5">
        <v>0</v>
      </c>
      <c r="Y70" s="5">
        <v>0.95899999999999996</v>
      </c>
      <c r="Z70" s="5">
        <v>27.394000000000002</v>
      </c>
      <c r="AA70" s="5">
        <v>27.394000000000002</v>
      </c>
      <c r="AB70" s="5">
        <v>7</v>
      </c>
      <c r="AC70" s="5" t="e">
        <v>#N/A</v>
      </c>
      <c r="AD70" s="5">
        <v>4</v>
      </c>
      <c r="AE70" s="5">
        <v>0</v>
      </c>
      <c r="AF70" s="5">
        <v>0.183</v>
      </c>
      <c r="AG70" s="5">
        <v>2.2000000000000075E-3</v>
      </c>
      <c r="AH70" s="5">
        <v>8.0000000000000004E-4</v>
      </c>
      <c r="AI70" s="5">
        <v>2.6142857142857141E-2</v>
      </c>
      <c r="AJ70" s="5" t="e">
        <v>#N/A</v>
      </c>
      <c r="AK70" s="5">
        <v>2.0000000000000001E-4</v>
      </c>
      <c r="AL70" s="5">
        <v>0</v>
      </c>
      <c r="AM70" s="5">
        <v>0</v>
      </c>
      <c r="AN70" s="5">
        <v>3.78E-2</v>
      </c>
      <c r="AO70" s="5">
        <v>0.2238</v>
      </c>
      <c r="AP70" s="5">
        <v>3.7484285714285719E-4</v>
      </c>
      <c r="AQ70" s="5">
        <v>69.743511566751778</v>
      </c>
      <c r="AR70" s="5">
        <v>0.1852</v>
      </c>
    </row>
    <row r="71" spans="1:44" x14ac:dyDescent="0.25">
      <c r="A71" s="5">
        <v>2012</v>
      </c>
      <c r="B71" s="6">
        <v>41107</v>
      </c>
      <c r="C71" s="1" t="s">
        <v>40</v>
      </c>
      <c r="D71" s="3" t="s">
        <v>49</v>
      </c>
      <c r="E71" s="1" t="s">
        <v>19</v>
      </c>
      <c r="F71" s="3" t="s">
        <v>35</v>
      </c>
      <c r="G71" s="3" t="s">
        <v>440</v>
      </c>
      <c r="H71" s="3" t="s">
        <v>33</v>
      </c>
      <c r="I71" s="2" t="s">
        <v>46</v>
      </c>
      <c r="J71" s="7" t="s">
        <v>1</v>
      </c>
      <c r="K71" s="10" t="s">
        <v>29</v>
      </c>
      <c r="L71" s="5">
        <v>6</v>
      </c>
      <c r="M71" s="5">
        <v>1</v>
      </c>
      <c r="N71" s="5">
        <v>64</v>
      </c>
      <c r="O71" s="5">
        <v>68</v>
      </c>
      <c r="P71" s="5">
        <v>98</v>
      </c>
      <c r="Q71" s="5">
        <v>1.69</v>
      </c>
      <c r="R71" s="5">
        <v>23.295000000000002</v>
      </c>
      <c r="S71" s="5">
        <v>25.259</v>
      </c>
      <c r="T71" s="5">
        <v>25.259</v>
      </c>
      <c r="U71" s="5" t="e">
        <v>#N/A</v>
      </c>
      <c r="V71" s="5">
        <v>0</v>
      </c>
      <c r="W71" s="5">
        <v>0</v>
      </c>
      <c r="X71" s="5">
        <v>0</v>
      </c>
      <c r="Y71" s="5">
        <v>1.0920000000000001</v>
      </c>
      <c r="Z71" s="5">
        <v>26.350999999999999</v>
      </c>
      <c r="AA71" s="5">
        <v>26.350999999999999</v>
      </c>
      <c r="AB71" s="5">
        <v>7</v>
      </c>
      <c r="AC71" s="5" t="e">
        <v>#N/A</v>
      </c>
      <c r="AD71" s="5">
        <v>0</v>
      </c>
      <c r="AE71" s="5">
        <v>0</v>
      </c>
      <c r="AF71" s="5">
        <v>0.16300000000000001</v>
      </c>
      <c r="AG71" s="5">
        <v>-3.040000000000001E-2</v>
      </c>
      <c r="AH71" s="5">
        <v>0</v>
      </c>
      <c r="AI71" s="5">
        <v>2.3285714285714288E-2</v>
      </c>
      <c r="AJ71" s="5" t="e">
        <v>#N/A</v>
      </c>
      <c r="AK71" s="5" t="e">
        <v>#N/A</v>
      </c>
      <c r="AL71" s="5">
        <v>0</v>
      </c>
      <c r="AM71" s="5">
        <v>0</v>
      </c>
      <c r="AN71" s="5">
        <v>4.5900000000000003E-2</v>
      </c>
      <c r="AO71" s="5">
        <v>0.17849999999999999</v>
      </c>
      <c r="AP71" s="5">
        <v>3.6084285714285718E-4</v>
      </c>
      <c r="AQ71" s="5">
        <v>64.531454135159748</v>
      </c>
      <c r="AR71" s="5">
        <v>0.1326</v>
      </c>
    </row>
    <row r="72" spans="1:44" x14ac:dyDescent="0.25">
      <c r="A72" s="5">
        <v>2012</v>
      </c>
      <c r="B72" s="6">
        <v>41107</v>
      </c>
      <c r="C72" s="1" t="s">
        <v>40</v>
      </c>
      <c r="D72" s="3" t="s">
        <v>49</v>
      </c>
      <c r="E72" s="1" t="s">
        <v>19</v>
      </c>
      <c r="F72" s="3" t="s">
        <v>35</v>
      </c>
      <c r="G72" s="3" t="s">
        <v>440</v>
      </c>
      <c r="H72" s="3" t="s">
        <v>33</v>
      </c>
      <c r="I72" s="12" t="s">
        <v>39</v>
      </c>
      <c r="J72" s="7" t="s">
        <v>54</v>
      </c>
      <c r="K72" s="10" t="s">
        <v>30</v>
      </c>
      <c r="L72" s="5">
        <v>4</v>
      </c>
      <c r="M72" s="5">
        <v>4</v>
      </c>
      <c r="N72" s="5">
        <v>70</v>
      </c>
      <c r="O72" s="5">
        <v>75</v>
      </c>
      <c r="P72" s="5">
        <v>106</v>
      </c>
      <c r="Q72" s="5">
        <v>1.23</v>
      </c>
      <c r="R72" s="5">
        <v>9.0449999999999999</v>
      </c>
      <c r="S72" s="5">
        <v>10.349</v>
      </c>
      <c r="T72" s="5">
        <v>10.349</v>
      </c>
      <c r="U72" s="5" t="e">
        <v>#N/A</v>
      </c>
      <c r="V72" s="5">
        <v>0</v>
      </c>
      <c r="W72" s="5">
        <v>0</v>
      </c>
      <c r="X72" s="5">
        <v>1.6990000000000001</v>
      </c>
      <c r="Y72" s="5">
        <v>0</v>
      </c>
      <c r="Z72" s="5">
        <v>10.349</v>
      </c>
      <c r="AA72" s="5">
        <v>12.048</v>
      </c>
      <c r="AB72" s="5">
        <v>20</v>
      </c>
      <c r="AC72" s="5">
        <v>0</v>
      </c>
      <c r="AD72" s="5">
        <v>0</v>
      </c>
      <c r="AE72" s="5">
        <v>1</v>
      </c>
      <c r="AF72" s="5">
        <v>4.8399999999999999E-2</v>
      </c>
      <c r="AG72" s="5">
        <v>0</v>
      </c>
      <c r="AH72" s="5">
        <v>0</v>
      </c>
      <c r="AI72" s="5">
        <v>2.4199999999999998E-3</v>
      </c>
      <c r="AJ72" s="5" t="e">
        <v>#N/A</v>
      </c>
      <c r="AK72" s="5" t="e">
        <v>#N/A</v>
      </c>
      <c r="AL72" s="5">
        <v>7.1000000000000004E-3</v>
      </c>
      <c r="AM72" s="5">
        <v>3.7600000000000001E-2</v>
      </c>
      <c r="AN72" s="5">
        <v>0</v>
      </c>
      <c r="AO72" s="5">
        <v>9.3100000000000002E-2</v>
      </c>
      <c r="AP72" s="5">
        <v>5.1745E-5</v>
      </c>
      <c r="AQ72" s="5">
        <v>46.767803652526808</v>
      </c>
      <c r="AR72" s="5">
        <v>4.8399999999999999E-2</v>
      </c>
    </row>
    <row r="73" spans="1:44" x14ac:dyDescent="0.25">
      <c r="A73" s="5">
        <v>2012</v>
      </c>
      <c r="B73" s="6">
        <v>41107</v>
      </c>
      <c r="C73" s="1" t="s">
        <v>40</v>
      </c>
      <c r="D73" s="3" t="s">
        <v>49</v>
      </c>
      <c r="E73" s="1" t="s">
        <v>19</v>
      </c>
      <c r="F73" s="3" t="s">
        <v>35</v>
      </c>
      <c r="G73" s="3" t="s">
        <v>440</v>
      </c>
      <c r="H73" s="3" t="s">
        <v>33</v>
      </c>
      <c r="I73" s="12" t="s">
        <v>39</v>
      </c>
      <c r="J73" s="7" t="s">
        <v>53</v>
      </c>
      <c r="K73" s="10" t="s">
        <v>30</v>
      </c>
      <c r="L73" s="5">
        <v>5</v>
      </c>
      <c r="M73" s="5">
        <v>8</v>
      </c>
      <c r="N73" s="5">
        <v>65.5</v>
      </c>
      <c r="O73" s="5">
        <v>72</v>
      </c>
      <c r="P73" s="5">
        <v>102</v>
      </c>
      <c r="Q73" s="5">
        <v>1.69</v>
      </c>
      <c r="R73" s="5">
        <v>14.023</v>
      </c>
      <c r="S73" s="5">
        <v>12.959</v>
      </c>
      <c r="T73" s="5">
        <v>12.959</v>
      </c>
      <c r="U73" s="5" t="e">
        <v>#N/A</v>
      </c>
      <c r="V73" s="5">
        <v>0</v>
      </c>
      <c r="W73" s="5">
        <v>0</v>
      </c>
      <c r="X73" s="5">
        <v>1.766</v>
      </c>
      <c r="Y73" s="5">
        <v>0</v>
      </c>
      <c r="Z73" s="5">
        <v>12.959</v>
      </c>
      <c r="AA73" s="5">
        <v>14.725</v>
      </c>
      <c r="AB73" s="5">
        <v>19</v>
      </c>
      <c r="AC73" s="5">
        <v>0</v>
      </c>
      <c r="AD73" s="5">
        <v>0</v>
      </c>
      <c r="AE73" s="5">
        <v>0</v>
      </c>
      <c r="AF73" s="5">
        <v>6.3899999999999998E-2</v>
      </c>
      <c r="AG73" s="5">
        <v>0</v>
      </c>
      <c r="AH73" s="5">
        <v>0</v>
      </c>
      <c r="AI73" s="5">
        <v>3.3631578947368422E-3</v>
      </c>
      <c r="AJ73" s="5" t="e">
        <v>#N/A</v>
      </c>
      <c r="AK73" s="5" t="e">
        <v>#N/A</v>
      </c>
      <c r="AL73" s="5">
        <v>0</v>
      </c>
      <c r="AM73" s="5">
        <v>5.2400000000000002E-2</v>
      </c>
      <c r="AN73" s="5">
        <v>0</v>
      </c>
      <c r="AO73" s="5">
        <v>0.1163</v>
      </c>
      <c r="AP73" s="5">
        <v>6.8205263157894742E-5</v>
      </c>
      <c r="AQ73" s="5">
        <v>49.309360290145847</v>
      </c>
      <c r="AR73" s="5">
        <v>6.3899999999999998E-2</v>
      </c>
    </row>
    <row r="74" spans="1:44" x14ac:dyDescent="0.25">
      <c r="A74" s="5">
        <v>2012</v>
      </c>
      <c r="B74" s="6">
        <v>41107</v>
      </c>
      <c r="C74" s="1" t="s">
        <v>40</v>
      </c>
      <c r="D74" s="3" t="s">
        <v>49</v>
      </c>
      <c r="E74" s="1" t="s">
        <v>20</v>
      </c>
      <c r="F74" s="3" t="s">
        <v>35</v>
      </c>
      <c r="G74" s="3" t="s">
        <v>440</v>
      </c>
      <c r="H74" s="3" t="s">
        <v>33</v>
      </c>
      <c r="I74" s="2" t="s">
        <v>46</v>
      </c>
      <c r="J74" s="20" t="s">
        <v>6</v>
      </c>
      <c r="K74" s="10" t="s">
        <v>28</v>
      </c>
      <c r="L74" s="5">
        <v>6</v>
      </c>
      <c r="M74" s="5">
        <v>4</v>
      </c>
      <c r="N74" s="5">
        <v>1</v>
      </c>
      <c r="O74" s="5">
        <v>6</v>
      </c>
      <c r="P74" s="5">
        <v>100</v>
      </c>
      <c r="Q74" s="5">
        <v>0</v>
      </c>
      <c r="R74" s="5">
        <v>11.558</v>
      </c>
      <c r="S74" s="5">
        <v>15.352</v>
      </c>
      <c r="T74" s="5">
        <v>13.77</v>
      </c>
      <c r="U74" s="5">
        <v>0.78100000000000003</v>
      </c>
      <c r="V74" s="5">
        <v>0.80100000000000005</v>
      </c>
      <c r="W74" s="5">
        <v>0</v>
      </c>
      <c r="X74" s="5">
        <v>0</v>
      </c>
      <c r="Y74" s="5">
        <v>2.2719999999999998</v>
      </c>
      <c r="Z74" s="5">
        <v>16.843</v>
      </c>
      <c r="AA74" s="5">
        <v>32.975999999999999</v>
      </c>
      <c r="AB74" s="5">
        <v>3</v>
      </c>
      <c r="AC74" s="5">
        <v>3</v>
      </c>
      <c r="AD74" s="5">
        <v>3</v>
      </c>
      <c r="AE74" s="5">
        <v>0</v>
      </c>
      <c r="AF74" s="5">
        <v>0.1454</v>
      </c>
      <c r="AG74" s="5">
        <v>1.6199999999999999E-2</v>
      </c>
      <c r="AH74" s="5">
        <v>7.3999999999999996E-2</v>
      </c>
      <c r="AI74" s="5">
        <v>4.8466666666666665E-2</v>
      </c>
      <c r="AJ74" s="5">
        <v>5.3999999999999994E-3</v>
      </c>
      <c r="AK74" s="5">
        <v>2.4666666666666667E-2</v>
      </c>
      <c r="AL74" s="5">
        <v>0</v>
      </c>
      <c r="AM74" s="5">
        <v>0</v>
      </c>
      <c r="AN74" s="5">
        <v>0.14269999999999999</v>
      </c>
      <c r="AO74" s="5">
        <v>0.37829999999999997</v>
      </c>
      <c r="AP74" s="5">
        <v>4.5899999999999999E-4</v>
      </c>
      <c r="AQ74" s="5">
        <v>105.59186637618011</v>
      </c>
      <c r="AR74" s="5" t="e">
        <v>#N/A</v>
      </c>
    </row>
    <row r="75" spans="1:44" x14ac:dyDescent="0.25">
      <c r="A75" s="5">
        <v>2012</v>
      </c>
      <c r="B75" s="6">
        <v>41107</v>
      </c>
      <c r="C75" s="1" t="s">
        <v>40</v>
      </c>
      <c r="D75" s="3" t="s">
        <v>49</v>
      </c>
      <c r="E75" s="1" t="s">
        <v>20</v>
      </c>
      <c r="F75" s="3" t="s">
        <v>35</v>
      </c>
      <c r="G75" s="3" t="s">
        <v>440</v>
      </c>
      <c r="H75" s="3" t="s">
        <v>33</v>
      </c>
      <c r="I75" s="2" t="s">
        <v>46</v>
      </c>
      <c r="J75" s="20" t="s">
        <v>7</v>
      </c>
      <c r="K75" s="10" t="s">
        <v>28</v>
      </c>
      <c r="L75" s="5">
        <v>1</v>
      </c>
      <c r="M75" s="5">
        <v>1</v>
      </c>
      <c r="N75" s="5">
        <v>17</v>
      </c>
      <c r="O75" s="5">
        <v>20</v>
      </c>
      <c r="P75" s="5">
        <v>100</v>
      </c>
      <c r="Q75" s="5">
        <v>0</v>
      </c>
      <c r="R75" s="5">
        <v>21.606999999999999</v>
      </c>
      <c r="S75" s="5">
        <v>31.590999999999998</v>
      </c>
      <c r="T75" s="5">
        <v>29.29</v>
      </c>
      <c r="U75" s="5">
        <v>0.89200000000000002</v>
      </c>
      <c r="V75" s="5">
        <v>1.409</v>
      </c>
      <c r="W75" s="5">
        <v>0</v>
      </c>
      <c r="X75" s="5">
        <v>0.45100000000000001</v>
      </c>
      <c r="Y75" s="5">
        <v>1.478</v>
      </c>
      <c r="Z75" s="5">
        <v>32.177</v>
      </c>
      <c r="AA75" s="5">
        <v>65.111000000000004</v>
      </c>
      <c r="AB75" s="5">
        <v>12</v>
      </c>
      <c r="AC75" s="5">
        <v>12</v>
      </c>
      <c r="AD75" s="5">
        <v>11</v>
      </c>
      <c r="AE75" s="5">
        <v>0</v>
      </c>
      <c r="AF75" s="5">
        <v>0.29649999999999999</v>
      </c>
      <c r="AG75" s="5">
        <v>1.6500000000000001E-2</v>
      </c>
      <c r="AH75" s="5">
        <v>1.03E-2</v>
      </c>
      <c r="AI75" s="5">
        <v>2.4708333333333332E-2</v>
      </c>
      <c r="AJ75" s="5">
        <v>1.3750000000000001E-3</v>
      </c>
      <c r="AK75" s="5">
        <v>9.3636363636363633E-4</v>
      </c>
      <c r="AL75" s="5">
        <v>0</v>
      </c>
      <c r="AM75" s="5">
        <v>3.0200000000000001E-2</v>
      </c>
      <c r="AN75" s="5">
        <v>8.0199999999999994E-2</v>
      </c>
      <c r="AO75" s="5">
        <v>0.43369999999999997</v>
      </c>
      <c r="AP75" s="5">
        <v>2.4408333333333335E-4</v>
      </c>
      <c r="AQ75" s="5">
        <v>101.22908842608398</v>
      </c>
      <c r="AR75" s="5" t="e">
        <v>#N/A</v>
      </c>
    </row>
    <row r="76" spans="1:44" x14ac:dyDescent="0.25">
      <c r="A76" s="5">
        <v>2012</v>
      </c>
      <c r="B76" s="6">
        <v>41107</v>
      </c>
      <c r="C76" s="1" t="s">
        <v>40</v>
      </c>
      <c r="D76" s="3" t="s">
        <v>49</v>
      </c>
      <c r="E76" s="1" t="s">
        <v>20</v>
      </c>
      <c r="F76" s="3" t="s">
        <v>35</v>
      </c>
      <c r="G76" s="3" t="s">
        <v>440</v>
      </c>
      <c r="H76" s="3" t="s">
        <v>33</v>
      </c>
      <c r="I76" s="2" t="s">
        <v>46</v>
      </c>
      <c r="J76" s="20" t="s">
        <v>11</v>
      </c>
      <c r="K76" s="10" t="s">
        <v>29</v>
      </c>
      <c r="L76" s="5">
        <v>4</v>
      </c>
      <c r="M76" s="5">
        <v>5</v>
      </c>
      <c r="N76" s="5">
        <v>57</v>
      </c>
      <c r="O76" s="5">
        <v>61</v>
      </c>
      <c r="P76" s="5">
        <v>99</v>
      </c>
      <c r="Q76" s="5">
        <v>1</v>
      </c>
      <c r="R76" s="5">
        <v>14.824</v>
      </c>
      <c r="S76" s="5">
        <v>15.008000000000001</v>
      </c>
      <c r="T76" s="5">
        <v>14.609</v>
      </c>
      <c r="U76" s="5">
        <v>0.16900000000000001</v>
      </c>
      <c r="V76" s="5">
        <v>0.23</v>
      </c>
      <c r="W76" s="5">
        <v>0</v>
      </c>
      <c r="X76" s="5">
        <v>0</v>
      </c>
      <c r="Y76" s="5">
        <v>0.79500000000000004</v>
      </c>
      <c r="Z76" s="5">
        <v>15.634</v>
      </c>
      <c r="AA76" s="5">
        <v>30.811000000000003</v>
      </c>
      <c r="AB76" s="5">
        <v>3</v>
      </c>
      <c r="AC76" s="5">
        <v>3</v>
      </c>
      <c r="AD76" s="5">
        <v>4</v>
      </c>
      <c r="AE76" s="5">
        <v>0</v>
      </c>
      <c r="AF76" s="5">
        <v>0.1009</v>
      </c>
      <c r="AG76" s="5">
        <v>2.7000000000000001E-3</v>
      </c>
      <c r="AH76" s="5">
        <v>1E-3</v>
      </c>
      <c r="AI76" s="5">
        <v>3.3633333333333335E-2</v>
      </c>
      <c r="AJ76" s="5">
        <v>9.0000000000000008E-4</v>
      </c>
      <c r="AK76" s="5">
        <v>2.5000000000000001E-4</v>
      </c>
      <c r="AL76" s="5">
        <v>0</v>
      </c>
      <c r="AM76" s="5">
        <v>0</v>
      </c>
      <c r="AN76" s="5">
        <v>2.41E-2</v>
      </c>
      <c r="AO76" s="5">
        <v>0.12870000000000001</v>
      </c>
      <c r="AP76" s="5">
        <v>4.8696666666666667E-4</v>
      </c>
      <c r="AQ76" s="5">
        <v>69.067013484838114</v>
      </c>
      <c r="AR76" s="5" t="e">
        <v>#N/A</v>
      </c>
    </row>
    <row r="77" spans="1:44" x14ac:dyDescent="0.25">
      <c r="A77" s="5">
        <v>2012</v>
      </c>
      <c r="B77" s="6">
        <v>41107</v>
      </c>
      <c r="C77" s="1" t="s">
        <v>40</v>
      </c>
      <c r="D77" s="3" t="s">
        <v>49</v>
      </c>
      <c r="E77" s="1" t="s">
        <v>20</v>
      </c>
      <c r="F77" s="3" t="s">
        <v>35</v>
      </c>
      <c r="G77" s="3" t="s">
        <v>440</v>
      </c>
      <c r="H77" s="3" t="s">
        <v>33</v>
      </c>
      <c r="I77" s="2" t="s">
        <v>46</v>
      </c>
      <c r="J77" s="20" t="s">
        <v>3</v>
      </c>
      <c r="K77" s="10" t="s">
        <v>29</v>
      </c>
      <c r="L77" s="5">
        <v>5</v>
      </c>
      <c r="M77" s="5">
        <v>3</v>
      </c>
      <c r="N77" s="5">
        <v>52</v>
      </c>
      <c r="O77" s="5">
        <v>55</v>
      </c>
      <c r="P77" s="5">
        <v>100</v>
      </c>
      <c r="Q77" s="5">
        <v>1.27</v>
      </c>
      <c r="R77" s="5">
        <v>16.689</v>
      </c>
      <c r="S77" s="5">
        <v>25.443999999999999</v>
      </c>
      <c r="T77" s="5">
        <v>23.782999999999998</v>
      </c>
      <c r="U77" s="5">
        <v>0.38200000000000001</v>
      </c>
      <c r="V77" s="5">
        <v>1.2789999999999999</v>
      </c>
      <c r="W77" s="5">
        <v>0</v>
      </c>
      <c r="X77" s="5">
        <v>0</v>
      </c>
      <c r="Y77" s="5">
        <v>1.294</v>
      </c>
      <c r="Z77" s="5">
        <v>26.355999999999998</v>
      </c>
      <c r="AA77" s="5">
        <v>52.181999999999988</v>
      </c>
      <c r="AB77" s="5">
        <v>8</v>
      </c>
      <c r="AC77" s="5">
        <v>6</v>
      </c>
      <c r="AD77" s="5">
        <v>8</v>
      </c>
      <c r="AE77" s="5">
        <v>0</v>
      </c>
      <c r="AF77" s="5">
        <v>0.1724</v>
      </c>
      <c r="AG77" s="5">
        <v>4.7999999999999996E-3</v>
      </c>
      <c r="AH77" s="5">
        <v>6.3E-3</v>
      </c>
      <c r="AI77" s="5">
        <v>2.155E-2</v>
      </c>
      <c r="AJ77" s="5">
        <v>7.9999999999999993E-4</v>
      </c>
      <c r="AK77" s="5">
        <v>7.8750000000000001E-4</v>
      </c>
      <c r="AL77" s="5">
        <v>0</v>
      </c>
      <c r="AM77" s="5">
        <v>0</v>
      </c>
      <c r="AN77" s="5">
        <v>4.8000000000000001E-2</v>
      </c>
      <c r="AO77" s="5">
        <v>0.23149999999999998</v>
      </c>
      <c r="AP77" s="5">
        <v>2.9728749999999998E-4</v>
      </c>
      <c r="AQ77" s="5">
        <v>72.488752470251868</v>
      </c>
      <c r="AR77" s="5" t="e">
        <v>#N/A</v>
      </c>
    </row>
    <row r="78" spans="1:44" x14ac:dyDescent="0.25">
      <c r="A78" s="5">
        <v>2012</v>
      </c>
      <c r="B78" s="6">
        <v>41107</v>
      </c>
      <c r="C78" s="1" t="s">
        <v>40</v>
      </c>
      <c r="D78" s="3" t="s">
        <v>49</v>
      </c>
      <c r="E78" s="1" t="s">
        <v>20</v>
      </c>
      <c r="F78" s="3" t="s">
        <v>35</v>
      </c>
      <c r="G78" s="3" t="s">
        <v>440</v>
      </c>
      <c r="H78" s="3" t="s">
        <v>33</v>
      </c>
      <c r="I78" s="12" t="s">
        <v>39</v>
      </c>
      <c r="J78" s="20" t="s">
        <v>83</v>
      </c>
      <c r="K78" s="10" t="s">
        <v>30</v>
      </c>
      <c r="L78" s="5">
        <v>7</v>
      </c>
      <c r="M78" s="5">
        <v>3</v>
      </c>
      <c r="N78" s="5">
        <v>67</v>
      </c>
      <c r="O78" s="5">
        <v>71</v>
      </c>
      <c r="P78" s="5">
        <v>102</v>
      </c>
      <c r="Q78" s="5">
        <v>1.37</v>
      </c>
      <c r="R78" s="5">
        <v>6.883</v>
      </c>
      <c r="S78" s="5">
        <v>14.397</v>
      </c>
      <c r="T78" s="5">
        <v>14.397</v>
      </c>
      <c r="U78" s="5">
        <v>0</v>
      </c>
      <c r="V78" s="5">
        <v>0</v>
      </c>
      <c r="W78" s="5">
        <v>0</v>
      </c>
      <c r="X78" s="5">
        <v>1.29</v>
      </c>
      <c r="Y78" s="5">
        <v>0</v>
      </c>
      <c r="Z78" s="5">
        <v>14.397</v>
      </c>
      <c r="AA78" s="5">
        <v>30.084</v>
      </c>
      <c r="AB78" s="5">
        <v>18</v>
      </c>
      <c r="AC78" s="4" t="e">
        <v>#N/A</v>
      </c>
      <c r="AD78" s="5">
        <v>0</v>
      </c>
      <c r="AE78" s="5">
        <v>0</v>
      </c>
      <c r="AF78" s="5">
        <v>6.6500000000000004E-2</v>
      </c>
      <c r="AG78" s="5">
        <v>0</v>
      </c>
      <c r="AH78" s="5">
        <v>0</v>
      </c>
      <c r="AI78" s="5">
        <v>3.6944444444444446E-3</v>
      </c>
      <c r="AJ78" s="4" t="e">
        <v>#N/A</v>
      </c>
      <c r="AK78" s="4" t="e">
        <v>#N/A</v>
      </c>
      <c r="AL78" s="5">
        <v>0</v>
      </c>
      <c r="AM78" s="5">
        <v>3.9699999999999999E-2</v>
      </c>
      <c r="AN78" s="5">
        <v>0</v>
      </c>
      <c r="AO78" s="5">
        <v>0.1062</v>
      </c>
      <c r="AP78" s="5">
        <v>7.9983333333333344E-5</v>
      </c>
      <c r="AQ78" s="5">
        <v>46.19017850941168</v>
      </c>
      <c r="AR78" s="5" t="e">
        <v>#N/A</v>
      </c>
    </row>
    <row r="79" spans="1:44" x14ac:dyDescent="0.25">
      <c r="A79" s="5">
        <v>2012</v>
      </c>
      <c r="B79" s="6">
        <v>41107</v>
      </c>
      <c r="C79" s="1" t="s">
        <v>40</v>
      </c>
      <c r="D79" s="3" t="s">
        <v>49</v>
      </c>
      <c r="E79" s="1" t="s">
        <v>20</v>
      </c>
      <c r="F79" s="3" t="s">
        <v>35</v>
      </c>
      <c r="G79" s="3" t="s">
        <v>440</v>
      </c>
      <c r="H79" s="3" t="s">
        <v>33</v>
      </c>
      <c r="I79" s="12" t="s">
        <v>39</v>
      </c>
      <c r="J79" s="20" t="s">
        <v>84</v>
      </c>
      <c r="K79" s="10" t="s">
        <v>30</v>
      </c>
      <c r="L79" s="5">
        <v>2</v>
      </c>
      <c r="M79" s="5">
        <v>9</v>
      </c>
      <c r="N79" s="5">
        <v>68</v>
      </c>
      <c r="O79" s="5">
        <v>72</v>
      </c>
      <c r="P79" s="5">
        <v>100</v>
      </c>
      <c r="Q79" s="5">
        <v>1.8</v>
      </c>
      <c r="R79" s="5">
        <v>9.6590000000000007</v>
      </c>
      <c r="S79" s="5">
        <v>15.378</v>
      </c>
      <c r="T79" s="5">
        <v>15.378</v>
      </c>
      <c r="U79" s="5">
        <v>0</v>
      </c>
      <c r="V79" s="5">
        <v>0</v>
      </c>
      <c r="W79" s="5">
        <v>0</v>
      </c>
      <c r="X79" s="5">
        <v>2.8250000000000002</v>
      </c>
      <c r="Y79" s="5">
        <v>0</v>
      </c>
      <c r="Z79" s="5">
        <v>15.378</v>
      </c>
      <c r="AA79" s="5">
        <v>33.581000000000003</v>
      </c>
      <c r="AB79" s="5">
        <v>38</v>
      </c>
      <c r="AC79" s="4" t="e">
        <v>#N/A</v>
      </c>
      <c r="AD79" s="5">
        <v>0</v>
      </c>
      <c r="AE79" s="5">
        <v>0</v>
      </c>
      <c r="AF79" s="5">
        <v>6.8500000000000005E-2</v>
      </c>
      <c r="AG79" s="5">
        <v>0</v>
      </c>
      <c r="AH79" s="5">
        <v>0</v>
      </c>
      <c r="AI79" s="5">
        <v>1.8026315789473686E-3</v>
      </c>
      <c r="AJ79" s="4" t="e">
        <v>#N/A</v>
      </c>
      <c r="AK79" s="4" t="e">
        <v>#N/A</v>
      </c>
      <c r="AL79" s="5">
        <v>0</v>
      </c>
      <c r="AM79" s="5">
        <v>8.1500000000000003E-2</v>
      </c>
      <c r="AN79" s="5">
        <v>0</v>
      </c>
      <c r="AO79" s="5">
        <v>0.15000000000000002</v>
      </c>
      <c r="AP79" s="5">
        <v>4.0468421052631583E-5</v>
      </c>
      <c r="AQ79" s="5">
        <v>44.54415398621407</v>
      </c>
      <c r="AR79" s="5" t="e">
        <v>#N/A</v>
      </c>
    </row>
    <row r="80" spans="1:44" x14ac:dyDescent="0.25">
      <c r="A80" s="5">
        <v>2012</v>
      </c>
      <c r="B80" s="6">
        <v>41109</v>
      </c>
      <c r="C80" s="1" t="s">
        <v>40</v>
      </c>
      <c r="D80" s="5" t="s">
        <v>31</v>
      </c>
      <c r="E80" s="1" t="s">
        <v>21</v>
      </c>
      <c r="F80" s="1" t="s">
        <v>35</v>
      </c>
      <c r="G80" s="3" t="s">
        <v>440</v>
      </c>
      <c r="H80" s="1" t="s">
        <v>33</v>
      </c>
      <c r="I80" s="2" t="s">
        <v>46</v>
      </c>
      <c r="J80" s="10" t="s">
        <v>63</v>
      </c>
      <c r="K80" s="10" t="s">
        <v>28</v>
      </c>
      <c r="L80" s="5">
        <v>3</v>
      </c>
      <c r="M80" s="5">
        <v>8</v>
      </c>
      <c r="N80" s="5">
        <v>7</v>
      </c>
      <c r="O80" s="5">
        <v>11</v>
      </c>
      <c r="P80" s="5">
        <v>118</v>
      </c>
      <c r="Q80" s="5">
        <v>0</v>
      </c>
      <c r="R80" s="5">
        <v>18.396999999999998</v>
      </c>
      <c r="S80" s="5">
        <v>32.173000000000002</v>
      </c>
      <c r="T80" s="5">
        <v>30.745999999999999</v>
      </c>
      <c r="U80" s="5">
        <v>0.83699999999999997</v>
      </c>
      <c r="V80" s="5">
        <v>0.59</v>
      </c>
      <c r="W80" s="5">
        <v>0</v>
      </c>
      <c r="X80" s="5">
        <v>1.363</v>
      </c>
      <c r="Y80" s="5">
        <v>0.47499999999999998</v>
      </c>
      <c r="Z80" s="5">
        <v>31.811</v>
      </c>
      <c r="AA80" s="5">
        <v>34.011000000000003</v>
      </c>
      <c r="AB80" s="5">
        <v>33.5</v>
      </c>
      <c r="AC80" s="5">
        <v>17</v>
      </c>
      <c r="AD80" s="5">
        <v>6</v>
      </c>
      <c r="AE80" s="5">
        <v>0</v>
      </c>
      <c r="AF80" s="5">
        <v>0.2767</v>
      </c>
      <c r="AG80" s="5">
        <v>1.09E-2</v>
      </c>
      <c r="AH80" s="5">
        <v>4.1000000000000003E-3</v>
      </c>
      <c r="AI80" s="5">
        <v>8.2597014925373143E-3</v>
      </c>
      <c r="AJ80" s="5">
        <v>6.4117647058823529E-4</v>
      </c>
      <c r="AK80" s="5">
        <v>6.8333333333333343E-4</v>
      </c>
      <c r="AL80" s="5">
        <v>0</v>
      </c>
      <c r="AM80" s="5">
        <v>6.6000000000000003E-2</v>
      </c>
      <c r="AN80" s="5">
        <v>1.83E-2</v>
      </c>
      <c r="AO80" s="5">
        <v>0.376</v>
      </c>
      <c r="AP80" s="5">
        <v>9.1779104477611936E-5</v>
      </c>
      <c r="AQ80" s="5">
        <v>89.995446562154427</v>
      </c>
      <c r="AR80" s="5" t="e">
        <v>#N/A</v>
      </c>
    </row>
    <row r="81" spans="1:44" x14ac:dyDescent="0.25">
      <c r="A81" s="5">
        <v>2012</v>
      </c>
      <c r="B81" s="6">
        <v>41109</v>
      </c>
      <c r="C81" s="1" t="s">
        <v>40</v>
      </c>
      <c r="D81" s="5" t="s">
        <v>31</v>
      </c>
      <c r="E81" s="1" t="s">
        <v>21</v>
      </c>
      <c r="F81" s="1" t="s">
        <v>35</v>
      </c>
      <c r="G81" s="3" t="s">
        <v>440</v>
      </c>
      <c r="H81" s="1" t="s">
        <v>33</v>
      </c>
      <c r="I81" s="2" t="s">
        <v>46</v>
      </c>
      <c r="J81" s="10" t="s">
        <v>0</v>
      </c>
      <c r="K81" s="10" t="s">
        <v>28</v>
      </c>
      <c r="L81" s="5">
        <v>4</v>
      </c>
      <c r="M81" s="5">
        <v>4</v>
      </c>
      <c r="N81" s="5">
        <v>17</v>
      </c>
      <c r="O81" s="5">
        <v>20</v>
      </c>
      <c r="P81" s="5">
        <v>91</v>
      </c>
      <c r="Q81" s="5">
        <v>0.47</v>
      </c>
      <c r="R81" s="5">
        <v>19.45</v>
      </c>
      <c r="S81" s="5">
        <v>33.923999999999999</v>
      </c>
      <c r="T81" s="5">
        <v>31.587</v>
      </c>
      <c r="U81" s="5">
        <v>0.70899999999999996</v>
      </c>
      <c r="V81" s="5">
        <v>1.6279999999999999</v>
      </c>
      <c r="W81" s="5">
        <v>0</v>
      </c>
      <c r="X81" s="5">
        <v>1.3069999999999999</v>
      </c>
      <c r="Y81" s="5">
        <v>1.2290000000000001</v>
      </c>
      <c r="Z81" s="5">
        <v>34.443999999999996</v>
      </c>
      <c r="AA81" s="5">
        <v>36.46</v>
      </c>
      <c r="AB81" s="5">
        <v>28</v>
      </c>
      <c r="AC81" s="5">
        <v>12</v>
      </c>
      <c r="AD81" s="5">
        <v>8</v>
      </c>
      <c r="AE81" s="5">
        <v>0</v>
      </c>
      <c r="AF81" s="5">
        <v>0.34</v>
      </c>
      <c r="AG81" s="5">
        <v>1.47E-2</v>
      </c>
      <c r="AH81" s="5">
        <v>0</v>
      </c>
      <c r="AI81" s="5">
        <v>1.2142857142857144E-2</v>
      </c>
      <c r="AJ81" s="5">
        <v>1.225E-3</v>
      </c>
      <c r="AK81" s="5">
        <v>0</v>
      </c>
      <c r="AL81" s="5">
        <v>0</v>
      </c>
      <c r="AM81" s="5">
        <v>0.10299999999999999</v>
      </c>
      <c r="AN81" s="5">
        <v>6.1800000000000001E-2</v>
      </c>
      <c r="AO81" s="5">
        <v>0.51949999999999996</v>
      </c>
      <c r="AP81" s="5">
        <v>1.1281071428571429E-4</v>
      </c>
      <c r="AQ81" s="5">
        <v>107.63921866590687</v>
      </c>
      <c r="AR81" s="5" t="e">
        <v>#N/A</v>
      </c>
    </row>
    <row r="82" spans="1:44" x14ac:dyDescent="0.25">
      <c r="A82" s="5">
        <v>2012</v>
      </c>
      <c r="B82" s="6">
        <v>41109</v>
      </c>
      <c r="C82" s="1" t="s">
        <v>40</v>
      </c>
      <c r="D82" s="5" t="s">
        <v>31</v>
      </c>
      <c r="E82" s="1" t="s">
        <v>21</v>
      </c>
      <c r="F82" s="1" t="s">
        <v>35</v>
      </c>
      <c r="G82" s="3" t="s">
        <v>440</v>
      </c>
      <c r="H82" s="1" t="s">
        <v>33</v>
      </c>
      <c r="I82" s="2" t="s">
        <v>46</v>
      </c>
      <c r="J82" s="10" t="s">
        <v>94</v>
      </c>
      <c r="K82" s="10" t="s">
        <v>29</v>
      </c>
      <c r="L82" s="5">
        <v>6</v>
      </c>
      <c r="M82" s="5">
        <v>6</v>
      </c>
      <c r="N82" s="5">
        <v>52</v>
      </c>
      <c r="O82" s="5">
        <v>56</v>
      </c>
      <c r="P82" s="5">
        <v>87</v>
      </c>
      <c r="Q82" s="5">
        <v>0.72</v>
      </c>
      <c r="R82" s="5">
        <v>12.7</v>
      </c>
      <c r="S82" s="5">
        <v>15.327</v>
      </c>
      <c r="T82" s="5">
        <v>15.119</v>
      </c>
      <c r="U82" s="5">
        <v>0.20799999999999999</v>
      </c>
      <c r="V82" s="5">
        <v>0</v>
      </c>
      <c r="W82" s="5">
        <v>0</v>
      </c>
      <c r="X82" s="5">
        <v>0</v>
      </c>
      <c r="Y82" s="5">
        <v>0.66400000000000003</v>
      </c>
      <c r="Z82" s="5">
        <v>15.782999999999999</v>
      </c>
      <c r="AA82" s="5">
        <v>15.991</v>
      </c>
      <c r="AB82" s="5">
        <v>5</v>
      </c>
      <c r="AC82" s="5">
        <v>4</v>
      </c>
      <c r="AD82" s="5">
        <v>0</v>
      </c>
      <c r="AE82" s="5">
        <v>0</v>
      </c>
      <c r="AF82" s="5">
        <v>0.1115</v>
      </c>
      <c r="AG82" s="5">
        <v>3.8E-3</v>
      </c>
      <c r="AH82" s="5">
        <v>0</v>
      </c>
      <c r="AI82" s="5">
        <v>2.23E-2</v>
      </c>
      <c r="AJ82" s="5">
        <v>9.5E-4</v>
      </c>
      <c r="AK82" s="5" t="e">
        <v>#N/A</v>
      </c>
      <c r="AL82" s="5">
        <v>0</v>
      </c>
      <c r="AM82" s="5">
        <v>0</v>
      </c>
      <c r="AN82" s="5">
        <v>2.3900000000000001E-2</v>
      </c>
      <c r="AO82" s="5">
        <v>0.13919999999999999</v>
      </c>
      <c r="AP82" s="5">
        <v>3.0237999999999999E-4</v>
      </c>
      <c r="AQ82" s="5">
        <v>73.748263774059126</v>
      </c>
      <c r="AR82" s="5" t="e">
        <v>#N/A</v>
      </c>
    </row>
    <row r="83" spans="1:44" x14ac:dyDescent="0.25">
      <c r="A83" s="5">
        <v>2012</v>
      </c>
      <c r="B83" s="6">
        <v>41109</v>
      </c>
      <c r="C83" s="1" t="s">
        <v>40</v>
      </c>
      <c r="D83" s="5" t="s">
        <v>31</v>
      </c>
      <c r="E83" s="1" t="s">
        <v>21</v>
      </c>
      <c r="F83" s="1" t="s">
        <v>35</v>
      </c>
      <c r="G83" s="3" t="s">
        <v>440</v>
      </c>
      <c r="H83" s="1" t="s">
        <v>33</v>
      </c>
      <c r="I83" s="2" t="s">
        <v>36</v>
      </c>
      <c r="J83" s="10" t="s">
        <v>52</v>
      </c>
      <c r="K83" s="10" t="s">
        <v>29</v>
      </c>
      <c r="L83" s="5">
        <v>3</v>
      </c>
      <c r="M83" s="5">
        <v>4</v>
      </c>
      <c r="N83" s="5">
        <v>58</v>
      </c>
      <c r="O83" s="5">
        <v>60</v>
      </c>
      <c r="P83" s="5">
        <v>88</v>
      </c>
      <c r="Q83" s="5">
        <v>0.84</v>
      </c>
      <c r="R83" s="5">
        <v>13.266</v>
      </c>
      <c r="S83" s="5">
        <v>17.869999999999997</v>
      </c>
      <c r="T83" s="5">
        <v>17.478999999999999</v>
      </c>
      <c r="U83" s="5">
        <v>0.39100000000000001</v>
      </c>
      <c r="V83" s="5">
        <v>0</v>
      </c>
      <c r="W83" s="5">
        <v>0.435</v>
      </c>
      <c r="X83" s="5">
        <v>2.5190000000000001</v>
      </c>
      <c r="Y83" s="5">
        <v>0</v>
      </c>
      <c r="Z83" s="5">
        <v>17.913999999999998</v>
      </c>
      <c r="AA83" s="5">
        <v>20.823999999999998</v>
      </c>
      <c r="AB83" s="5">
        <v>24.5</v>
      </c>
      <c r="AC83" s="5">
        <v>22</v>
      </c>
      <c r="AD83" s="5">
        <v>0</v>
      </c>
      <c r="AE83" s="5">
        <v>3</v>
      </c>
      <c r="AF83" s="5">
        <v>0.1018</v>
      </c>
      <c r="AG83" s="5">
        <v>5.1999999999999998E-3</v>
      </c>
      <c r="AH83" s="5">
        <v>0</v>
      </c>
      <c r="AI83" s="5">
        <v>4.1551020408163268E-3</v>
      </c>
      <c r="AJ83" s="5">
        <v>2.3636363636363636E-4</v>
      </c>
      <c r="AK83" s="5" t="e">
        <v>#N/A</v>
      </c>
      <c r="AL83" s="5">
        <v>1.52E-2</v>
      </c>
      <c r="AM83" s="5">
        <v>9.5299999999999996E-2</v>
      </c>
      <c r="AN83" s="5">
        <v>1.06E-2</v>
      </c>
      <c r="AO83" s="5">
        <v>0.2281</v>
      </c>
      <c r="AP83" s="5">
        <v>7.1342857142857135E-5</v>
      </c>
      <c r="AQ83" s="5">
        <v>58.241318153212433</v>
      </c>
      <c r="AR83" s="5" t="e">
        <v>#N/A</v>
      </c>
    </row>
    <row r="84" spans="1:44" x14ac:dyDescent="0.25">
      <c r="A84" s="5">
        <v>2012</v>
      </c>
      <c r="B84" s="6">
        <v>41109</v>
      </c>
      <c r="C84" s="1" t="s">
        <v>40</v>
      </c>
      <c r="D84" s="5" t="s">
        <v>31</v>
      </c>
      <c r="E84" s="1" t="s">
        <v>21</v>
      </c>
      <c r="F84" s="1" t="s">
        <v>35</v>
      </c>
      <c r="G84" s="3" t="s">
        <v>440</v>
      </c>
      <c r="H84" s="1" t="s">
        <v>33</v>
      </c>
      <c r="I84" s="2" t="s">
        <v>46</v>
      </c>
      <c r="J84" s="10" t="s">
        <v>66</v>
      </c>
      <c r="K84" s="10" t="s">
        <v>29</v>
      </c>
      <c r="L84" s="5">
        <v>6</v>
      </c>
      <c r="M84" s="5">
        <v>6</v>
      </c>
      <c r="N84" s="5">
        <v>52</v>
      </c>
      <c r="O84" s="5">
        <v>56</v>
      </c>
      <c r="P84" s="5">
        <v>87</v>
      </c>
      <c r="Q84" s="5">
        <v>0.72</v>
      </c>
      <c r="R84" s="5">
        <v>25.257999999999999</v>
      </c>
      <c r="S84" s="5">
        <v>37.531999999999996</v>
      </c>
      <c r="T84" s="5">
        <v>36.896999999999998</v>
      </c>
      <c r="U84" s="5">
        <v>0.497</v>
      </c>
      <c r="V84" s="5">
        <v>0.13800000000000001</v>
      </c>
      <c r="W84" s="5">
        <v>0.09</v>
      </c>
      <c r="X84" s="5">
        <v>0.55100000000000005</v>
      </c>
      <c r="Y84" s="5">
        <v>1.0449999999999999</v>
      </c>
      <c r="Z84" s="5">
        <v>38.17</v>
      </c>
      <c r="AA84" s="5">
        <v>39.218000000000004</v>
      </c>
      <c r="AB84" s="5">
        <v>16</v>
      </c>
      <c r="AC84" s="5">
        <v>12</v>
      </c>
      <c r="AD84" s="5">
        <v>3</v>
      </c>
      <c r="AE84" s="5">
        <v>0</v>
      </c>
      <c r="AF84" s="5">
        <v>0.22090000000000001</v>
      </c>
      <c r="AG84" s="5">
        <v>8.0999999999999996E-3</v>
      </c>
      <c r="AH84" s="5">
        <v>2.0000000000000001E-4</v>
      </c>
      <c r="AI84" s="5">
        <v>1.3806250000000001E-2</v>
      </c>
      <c r="AJ84" s="5">
        <v>6.7499999999999993E-4</v>
      </c>
      <c r="AK84" s="5">
        <v>6.666666666666667E-5</v>
      </c>
      <c r="AL84" s="5">
        <v>0</v>
      </c>
      <c r="AM84" s="5">
        <v>5.6300000000000003E-2</v>
      </c>
      <c r="AN84" s="5">
        <v>3.1300000000000001E-2</v>
      </c>
      <c r="AO84" s="5">
        <v>0.31680000000000003</v>
      </c>
      <c r="AP84" s="5">
        <v>2.3060625000000001E-4</v>
      </c>
      <c r="AQ84" s="5">
        <v>59.869366073122478</v>
      </c>
      <c r="AR84" s="5" t="e">
        <v>#N/A</v>
      </c>
    </row>
    <row r="85" spans="1:44" x14ac:dyDescent="0.25">
      <c r="A85" s="5">
        <v>2012</v>
      </c>
      <c r="B85" s="6">
        <v>41109</v>
      </c>
      <c r="C85" s="1" t="s">
        <v>40</v>
      </c>
      <c r="D85" s="5" t="s">
        <v>31</v>
      </c>
      <c r="E85" s="1" t="s">
        <v>21</v>
      </c>
      <c r="F85" s="1" t="s">
        <v>35</v>
      </c>
      <c r="G85" s="3" t="s">
        <v>440</v>
      </c>
      <c r="H85" s="1" t="s">
        <v>33</v>
      </c>
      <c r="I85" s="2" t="s">
        <v>36</v>
      </c>
      <c r="J85" s="10" t="s">
        <v>67</v>
      </c>
      <c r="K85" s="10" t="s">
        <v>30</v>
      </c>
      <c r="L85" s="5">
        <v>3</v>
      </c>
      <c r="M85" s="5">
        <v>7</v>
      </c>
      <c r="N85" s="5">
        <v>86</v>
      </c>
      <c r="O85" s="5">
        <v>68</v>
      </c>
      <c r="P85" s="5">
        <v>87</v>
      </c>
      <c r="Q85" s="5">
        <v>1.08</v>
      </c>
      <c r="R85" s="5">
        <v>4.1020000000000003</v>
      </c>
      <c r="S85" s="5">
        <v>12.625999999999999</v>
      </c>
      <c r="T85" s="5">
        <v>12.417999999999999</v>
      </c>
      <c r="U85" s="5">
        <v>0.20799999999999999</v>
      </c>
      <c r="V85" s="5">
        <v>0</v>
      </c>
      <c r="W85" s="5">
        <v>0.14699999999999999</v>
      </c>
      <c r="X85" s="5">
        <v>2.048</v>
      </c>
      <c r="Y85" s="5">
        <v>0</v>
      </c>
      <c r="Z85" s="5">
        <v>12.565</v>
      </c>
      <c r="AA85" s="5">
        <v>14.821</v>
      </c>
      <c r="AB85" s="5">
        <v>18</v>
      </c>
      <c r="AC85" s="5">
        <v>13</v>
      </c>
      <c r="AD85" s="5">
        <v>0</v>
      </c>
      <c r="AE85" s="5">
        <v>1</v>
      </c>
      <c r="AF85" s="5">
        <v>6.9900000000000004E-2</v>
      </c>
      <c r="AG85" s="5">
        <v>3.0000000000000001E-3</v>
      </c>
      <c r="AH85" s="5">
        <v>0</v>
      </c>
      <c r="AI85" s="5">
        <v>3.8833333333333337E-3</v>
      </c>
      <c r="AJ85" s="5">
        <v>2.3076923076923076E-4</v>
      </c>
      <c r="AK85" s="5" t="e">
        <v>#N/A</v>
      </c>
      <c r="AL85" s="5">
        <v>5.8999999999999999E-3</v>
      </c>
      <c r="AM85" s="5">
        <v>8.2500000000000004E-2</v>
      </c>
      <c r="AN85" s="5">
        <v>0</v>
      </c>
      <c r="AO85" s="5">
        <v>0.1613</v>
      </c>
      <c r="AP85" s="5">
        <v>6.8988888888888884E-5</v>
      </c>
      <c r="AQ85" s="5">
        <v>56.28925752939282</v>
      </c>
      <c r="AR85" s="5" t="e">
        <v>#N/A</v>
      </c>
    </row>
    <row r="86" spans="1:44" x14ac:dyDescent="0.25">
      <c r="A86" s="5">
        <v>2012</v>
      </c>
      <c r="B86" s="6">
        <v>41109</v>
      </c>
      <c r="C86" s="1" t="s">
        <v>40</v>
      </c>
      <c r="D86" s="5" t="s">
        <v>31</v>
      </c>
      <c r="E86" s="1" t="s">
        <v>21</v>
      </c>
      <c r="F86" s="1" t="s">
        <v>35</v>
      </c>
      <c r="G86" s="3" t="s">
        <v>440</v>
      </c>
      <c r="H86" s="1" t="s">
        <v>33</v>
      </c>
      <c r="I86" s="2" t="s">
        <v>46</v>
      </c>
      <c r="J86" s="10" t="s">
        <v>68</v>
      </c>
      <c r="K86" s="10" t="s">
        <v>30</v>
      </c>
      <c r="L86" s="5">
        <v>10</v>
      </c>
      <c r="M86" s="5">
        <v>1</v>
      </c>
      <c r="N86" s="5">
        <v>69</v>
      </c>
      <c r="O86" s="5">
        <v>72</v>
      </c>
      <c r="P86" s="5">
        <v>100</v>
      </c>
      <c r="Q86" s="5">
        <v>2.4300000000000002</v>
      </c>
      <c r="R86" s="5">
        <v>22.088000000000001</v>
      </c>
      <c r="S86" s="5">
        <v>16.169999999999998</v>
      </c>
      <c r="T86" s="5">
        <v>15.840999999999999</v>
      </c>
      <c r="U86" s="5">
        <v>0.32900000000000001</v>
      </c>
      <c r="V86" s="5">
        <v>0</v>
      </c>
      <c r="W86" s="5">
        <v>6.8000000000000005E-2</v>
      </c>
      <c r="X86" s="5">
        <v>0.93200000000000005</v>
      </c>
      <c r="Y86" s="5">
        <v>0</v>
      </c>
      <c r="Z86" s="5">
        <v>15.908999999999999</v>
      </c>
      <c r="AA86" s="5">
        <v>17.169999999999998</v>
      </c>
      <c r="AB86" s="5">
        <v>8.5</v>
      </c>
      <c r="AC86" s="5">
        <v>8</v>
      </c>
      <c r="AD86" s="5">
        <v>0</v>
      </c>
      <c r="AE86" s="5">
        <v>1</v>
      </c>
      <c r="AF86" s="5">
        <v>0.16350000000000001</v>
      </c>
      <c r="AG86" s="5">
        <v>4.2999999999999999E-4</v>
      </c>
      <c r="AH86" s="5">
        <v>0</v>
      </c>
      <c r="AI86" s="5">
        <v>1.9235294117647059E-2</v>
      </c>
      <c r="AJ86" s="5">
        <v>5.3749999999999999E-5</v>
      </c>
      <c r="AK86" s="5" t="e">
        <v>#N/A</v>
      </c>
      <c r="AL86" s="5">
        <v>0</v>
      </c>
      <c r="AM86" s="5">
        <v>3.7100000000000001E-2</v>
      </c>
      <c r="AN86" s="5">
        <v>0</v>
      </c>
      <c r="AO86" s="5">
        <v>0.20103000000000001</v>
      </c>
      <c r="AP86" s="5">
        <v>1.8636470588235293E-4</v>
      </c>
      <c r="AQ86" s="5">
        <v>103.21318098604887</v>
      </c>
      <c r="AR86" s="5" t="e">
        <v>#N/A</v>
      </c>
    </row>
    <row r="87" spans="1:44" x14ac:dyDescent="0.25">
      <c r="A87" s="5">
        <v>2012</v>
      </c>
      <c r="B87" s="6">
        <v>41109</v>
      </c>
      <c r="C87" s="1" t="s">
        <v>40</v>
      </c>
      <c r="D87" s="5" t="s">
        <v>31</v>
      </c>
      <c r="E87" s="1" t="s">
        <v>21</v>
      </c>
      <c r="F87" s="1" t="s">
        <v>35</v>
      </c>
      <c r="G87" s="3" t="s">
        <v>440</v>
      </c>
      <c r="H87" s="1" t="s">
        <v>33</v>
      </c>
      <c r="I87" s="2" t="s">
        <v>36</v>
      </c>
      <c r="J87" s="10" t="s">
        <v>69</v>
      </c>
      <c r="K87" s="10" t="s">
        <v>30</v>
      </c>
      <c r="L87" s="24" t="e">
        <v>#N/A</v>
      </c>
      <c r="M87" s="24" t="e">
        <v>#N/A</v>
      </c>
      <c r="N87" s="24" t="e">
        <v>#N/A</v>
      </c>
      <c r="O87" s="24" t="e">
        <v>#N/A</v>
      </c>
      <c r="P87" s="24" t="e">
        <v>#N/A</v>
      </c>
      <c r="Q87" s="24" t="e">
        <v>#N/A</v>
      </c>
      <c r="R87" s="24" t="e">
        <v>#N/A</v>
      </c>
      <c r="S87" s="5">
        <v>4.9670000000000005</v>
      </c>
      <c r="T87" s="5">
        <v>4.8860000000000001</v>
      </c>
      <c r="U87" s="5">
        <v>8.1000000000000003E-2</v>
      </c>
      <c r="V87" s="5">
        <v>0</v>
      </c>
      <c r="W87" s="5">
        <v>0</v>
      </c>
      <c r="X87" s="5">
        <v>0.52900000000000003</v>
      </c>
      <c r="Y87" s="5">
        <v>0</v>
      </c>
      <c r="Z87" s="5">
        <v>4.8860000000000001</v>
      </c>
      <c r="AA87" s="5">
        <v>5.4960000000000004</v>
      </c>
      <c r="AB87" s="5">
        <v>6</v>
      </c>
      <c r="AC87" s="5">
        <v>6</v>
      </c>
      <c r="AD87" s="5">
        <v>0</v>
      </c>
      <c r="AE87" s="5">
        <v>0</v>
      </c>
      <c r="AF87" s="5">
        <v>2.4299999999999999E-2</v>
      </c>
      <c r="AG87" s="5">
        <v>8.9999999999999993E-3</v>
      </c>
      <c r="AH87" s="5">
        <v>0</v>
      </c>
      <c r="AI87" s="5">
        <v>4.0499999999999998E-3</v>
      </c>
      <c r="AJ87" s="5">
        <v>1.4999999999999998E-3</v>
      </c>
      <c r="AK87" s="5" t="e">
        <v>#N/A</v>
      </c>
      <c r="AL87" s="5">
        <v>0</v>
      </c>
      <c r="AM87" s="5">
        <v>1.77E-2</v>
      </c>
      <c r="AN87" s="5">
        <v>0</v>
      </c>
      <c r="AO87" s="5">
        <v>5.0999999999999997E-2</v>
      </c>
      <c r="AP87" s="5">
        <v>8.1433333333333339E-5</v>
      </c>
      <c r="AQ87" s="5">
        <v>49.733933688088406</v>
      </c>
      <c r="AR87" s="5" t="e">
        <v>#N/A</v>
      </c>
    </row>
    <row r="88" spans="1:44" x14ac:dyDescent="0.25">
      <c r="A88" s="5">
        <v>2012</v>
      </c>
      <c r="B88" s="6">
        <v>41109</v>
      </c>
      <c r="C88" s="1" t="s">
        <v>40</v>
      </c>
      <c r="D88" s="3" t="s">
        <v>31</v>
      </c>
      <c r="E88" s="1" t="s">
        <v>22</v>
      </c>
      <c r="F88" s="3" t="s">
        <v>35</v>
      </c>
      <c r="G88" s="3" t="s">
        <v>440</v>
      </c>
      <c r="H88" s="3" t="s">
        <v>32</v>
      </c>
      <c r="I88" s="2" t="s">
        <v>46</v>
      </c>
      <c r="J88" s="20" t="s">
        <v>7</v>
      </c>
      <c r="K88" s="10" t="s">
        <v>28</v>
      </c>
      <c r="L88" s="5">
        <v>6</v>
      </c>
      <c r="M88" s="5">
        <v>7</v>
      </c>
      <c r="N88" s="5">
        <v>7</v>
      </c>
      <c r="O88" s="5">
        <v>11</v>
      </c>
      <c r="P88" s="5">
        <v>106</v>
      </c>
      <c r="Q88" s="5">
        <v>0.08</v>
      </c>
      <c r="R88" s="5">
        <v>13.41</v>
      </c>
      <c r="S88" s="5">
        <v>19.897000000000002</v>
      </c>
      <c r="T88" s="5">
        <v>18.678000000000001</v>
      </c>
      <c r="U88" s="5">
        <v>0.57199999999999995</v>
      </c>
      <c r="V88" s="5">
        <v>0.64700000000000002</v>
      </c>
      <c r="W88" s="5">
        <v>0.59399999999999997</v>
      </c>
      <c r="X88" s="5">
        <v>0.78700000000000003</v>
      </c>
      <c r="Y88" s="5">
        <v>0.20100000000000001</v>
      </c>
      <c r="Z88" s="5">
        <v>20.692</v>
      </c>
      <c r="AA88" s="5">
        <v>21.478999999999999</v>
      </c>
      <c r="AB88" s="5">
        <v>4</v>
      </c>
      <c r="AC88" s="5">
        <v>4</v>
      </c>
      <c r="AD88" s="5">
        <v>4</v>
      </c>
      <c r="AE88" s="5">
        <v>2</v>
      </c>
      <c r="AF88" s="5">
        <v>2.2020000000000001E-2</v>
      </c>
      <c r="AG88" s="5">
        <v>1.6400000000000001E-2</v>
      </c>
      <c r="AH88" s="5">
        <v>5.1000000000000004E-3</v>
      </c>
      <c r="AI88" s="5">
        <v>5.5050000000000003E-3</v>
      </c>
      <c r="AJ88" s="5">
        <v>4.1000000000000003E-3</v>
      </c>
      <c r="AK88" s="5">
        <v>1.2750000000000001E-3</v>
      </c>
      <c r="AL88" s="5">
        <v>3.0200000000000001E-2</v>
      </c>
      <c r="AM88" s="5">
        <v>0</v>
      </c>
      <c r="AN88" s="5">
        <v>6.3399999999999998E-2</v>
      </c>
      <c r="AO88" s="5">
        <v>0.13712000000000002</v>
      </c>
      <c r="AP88" s="5">
        <v>4.6695000000000005E-4</v>
      </c>
      <c r="AQ88" s="5">
        <v>11.789270799871506</v>
      </c>
      <c r="AR88" s="5" t="e">
        <v>#N/A</v>
      </c>
    </row>
    <row r="89" spans="1:44" x14ac:dyDescent="0.25">
      <c r="A89" s="5">
        <v>2012</v>
      </c>
      <c r="B89" s="6">
        <v>41109</v>
      </c>
      <c r="C89" s="1" t="s">
        <v>40</v>
      </c>
      <c r="D89" s="3" t="s">
        <v>31</v>
      </c>
      <c r="E89" s="1" t="s">
        <v>22</v>
      </c>
      <c r="F89" s="3" t="s">
        <v>35</v>
      </c>
      <c r="G89" s="3" t="s">
        <v>440</v>
      </c>
      <c r="H89" s="3" t="s">
        <v>32</v>
      </c>
      <c r="I89" s="2" t="s">
        <v>36</v>
      </c>
      <c r="J89" s="20" t="s">
        <v>10</v>
      </c>
      <c r="K89" s="10" t="s">
        <v>28</v>
      </c>
      <c r="L89" s="5">
        <v>3</v>
      </c>
      <c r="M89" s="5">
        <v>4</v>
      </c>
      <c r="N89" s="5">
        <v>14</v>
      </c>
      <c r="O89" s="5">
        <v>19</v>
      </c>
      <c r="P89" s="5">
        <v>100</v>
      </c>
      <c r="Q89" s="5">
        <v>0</v>
      </c>
      <c r="R89" s="5">
        <v>17.853999999999999</v>
      </c>
      <c r="S89" s="5">
        <v>25.816000000000003</v>
      </c>
      <c r="T89" s="5">
        <v>25.556000000000001</v>
      </c>
      <c r="U89" s="5">
        <v>0.26</v>
      </c>
      <c r="V89" s="5">
        <v>0</v>
      </c>
      <c r="W89" s="5">
        <v>0</v>
      </c>
      <c r="X89" s="5">
        <v>2.97</v>
      </c>
      <c r="Y89" s="5">
        <v>0</v>
      </c>
      <c r="Z89" s="5">
        <v>25.816000000000003</v>
      </c>
      <c r="AA89" s="5">
        <v>28.786000000000001</v>
      </c>
      <c r="AB89" s="5">
        <v>20.5</v>
      </c>
      <c r="AC89" s="5">
        <v>10</v>
      </c>
      <c r="AD89" s="5">
        <v>0</v>
      </c>
      <c r="AE89" s="5">
        <v>0</v>
      </c>
      <c r="AF89" s="5">
        <v>0.26519999999999999</v>
      </c>
      <c r="AG89" s="5">
        <v>3.5999999999999999E-3</v>
      </c>
      <c r="AH89" s="5">
        <v>0</v>
      </c>
      <c r="AI89" s="5">
        <v>1.2936585365853659E-2</v>
      </c>
      <c r="AJ89" s="5">
        <v>3.5999999999999997E-4</v>
      </c>
      <c r="AK89" s="5" t="e">
        <v>#N/A</v>
      </c>
      <c r="AL89" s="5">
        <v>0</v>
      </c>
      <c r="AM89" s="5">
        <v>0.17</v>
      </c>
      <c r="AN89" s="5">
        <v>0</v>
      </c>
      <c r="AO89" s="5">
        <v>0.43879999999999997</v>
      </c>
      <c r="AP89" s="5">
        <v>1.2466341463414636E-4</v>
      </c>
      <c r="AQ89" s="5">
        <v>103.77210831115978</v>
      </c>
      <c r="AR89" s="5" t="e">
        <v>#N/A</v>
      </c>
    </row>
    <row r="90" spans="1:44" x14ac:dyDescent="0.25">
      <c r="A90" s="5">
        <v>2012</v>
      </c>
      <c r="B90" s="6">
        <v>41109</v>
      </c>
      <c r="C90" s="1" t="s">
        <v>40</v>
      </c>
      <c r="D90" s="3" t="s">
        <v>31</v>
      </c>
      <c r="E90" s="1" t="s">
        <v>22</v>
      </c>
      <c r="F90" s="3" t="s">
        <v>35</v>
      </c>
      <c r="G90" s="3" t="s">
        <v>440</v>
      </c>
      <c r="H90" s="3" t="s">
        <v>32</v>
      </c>
      <c r="I90" s="2" t="s">
        <v>36</v>
      </c>
      <c r="J90" s="20" t="s">
        <v>9</v>
      </c>
      <c r="K90" s="10" t="s">
        <v>29</v>
      </c>
      <c r="L90" s="5">
        <v>6</v>
      </c>
      <c r="M90" s="5">
        <v>8</v>
      </c>
      <c r="N90" s="5">
        <v>36</v>
      </c>
      <c r="O90" s="5">
        <v>39</v>
      </c>
      <c r="P90" s="5">
        <v>108</v>
      </c>
      <c r="Q90" s="5">
        <v>0.88</v>
      </c>
      <c r="R90" s="5">
        <v>14.287000000000001</v>
      </c>
      <c r="S90" s="5">
        <v>20.291</v>
      </c>
      <c r="T90" s="5">
        <v>19.969000000000001</v>
      </c>
      <c r="U90" s="5">
        <v>0.32200000000000001</v>
      </c>
      <c r="V90" s="5">
        <v>0</v>
      </c>
      <c r="W90" s="5">
        <v>0</v>
      </c>
      <c r="X90" s="5">
        <v>1.3149999999999999</v>
      </c>
      <c r="Y90" s="5">
        <v>0</v>
      </c>
      <c r="Z90" s="5">
        <v>20.291</v>
      </c>
      <c r="AA90" s="5">
        <v>21.606000000000002</v>
      </c>
      <c r="AB90" s="5">
        <v>16</v>
      </c>
      <c r="AC90" s="5">
        <v>12</v>
      </c>
      <c r="AD90" s="5">
        <v>0</v>
      </c>
      <c r="AE90" s="5">
        <v>0</v>
      </c>
      <c r="AF90" s="5">
        <v>0.17050000000000001</v>
      </c>
      <c r="AG90" s="5">
        <v>5.1999999999999998E-3</v>
      </c>
      <c r="AH90" s="5">
        <v>0</v>
      </c>
      <c r="AI90" s="5">
        <v>1.0656250000000001E-2</v>
      </c>
      <c r="AJ90" s="5">
        <v>4.3333333333333331E-4</v>
      </c>
      <c r="AK90" s="5" t="e">
        <v>#N/A</v>
      </c>
      <c r="AL90" s="5">
        <v>0</v>
      </c>
      <c r="AM90" s="5">
        <v>7.1099999999999997E-2</v>
      </c>
      <c r="AN90" s="5">
        <v>0</v>
      </c>
      <c r="AO90" s="5">
        <v>0.24680000000000002</v>
      </c>
      <c r="AP90" s="5">
        <v>1.2480625000000001E-4</v>
      </c>
      <c r="AQ90" s="5">
        <v>85.382342631078174</v>
      </c>
      <c r="AR90" s="5" t="e">
        <v>#N/A</v>
      </c>
    </row>
    <row r="91" spans="1:44" x14ac:dyDescent="0.25">
      <c r="A91" s="5">
        <v>2012</v>
      </c>
      <c r="B91" s="6">
        <v>41109</v>
      </c>
      <c r="C91" s="1" t="s">
        <v>40</v>
      </c>
      <c r="D91" s="3" t="s">
        <v>31</v>
      </c>
      <c r="E91" s="1" t="s">
        <v>22</v>
      </c>
      <c r="F91" s="3" t="s">
        <v>35</v>
      </c>
      <c r="G91" s="3" t="s">
        <v>440</v>
      </c>
      <c r="H91" s="3" t="s">
        <v>32</v>
      </c>
      <c r="I91" s="2" t="s">
        <v>36</v>
      </c>
      <c r="J91" s="20" t="s">
        <v>8</v>
      </c>
      <c r="K91" s="10" t="s">
        <v>29</v>
      </c>
      <c r="L91" s="5">
        <v>9</v>
      </c>
      <c r="M91" s="5">
        <v>6</v>
      </c>
      <c r="N91" s="5">
        <v>44</v>
      </c>
      <c r="O91" s="5">
        <v>48</v>
      </c>
      <c r="P91" s="5">
        <v>87</v>
      </c>
      <c r="Q91" s="5">
        <v>0.85</v>
      </c>
      <c r="R91" s="5">
        <v>16.594999999999999</v>
      </c>
      <c r="S91" s="5">
        <v>24.013999999999999</v>
      </c>
      <c r="T91" s="5">
        <v>23.619</v>
      </c>
      <c r="U91" s="5">
        <v>0.39500000000000002</v>
      </c>
      <c r="V91" s="5">
        <v>0</v>
      </c>
      <c r="W91" s="5">
        <v>0</v>
      </c>
      <c r="X91" s="5">
        <v>1.978</v>
      </c>
      <c r="Y91" s="5">
        <v>0</v>
      </c>
      <c r="Z91" s="5">
        <v>24.013999999999999</v>
      </c>
      <c r="AA91" s="5">
        <v>25.992000000000001</v>
      </c>
      <c r="AB91" s="5">
        <v>22</v>
      </c>
      <c r="AC91" s="5">
        <v>18</v>
      </c>
      <c r="AD91" s="5">
        <v>0</v>
      </c>
      <c r="AE91" s="5">
        <v>0</v>
      </c>
      <c r="AF91" s="5">
        <v>0.14899999999999999</v>
      </c>
      <c r="AG91" s="5">
        <v>5.1999999999999998E-3</v>
      </c>
      <c r="AH91" s="5">
        <v>0</v>
      </c>
      <c r="AI91" s="5">
        <v>6.7727272727272723E-3</v>
      </c>
      <c r="AJ91" s="5">
        <v>2.8888888888888888E-4</v>
      </c>
      <c r="AK91" s="5" t="e">
        <v>#N/A</v>
      </c>
      <c r="AL91" s="5">
        <v>0</v>
      </c>
      <c r="AM91" s="5">
        <v>0.10100000000000001</v>
      </c>
      <c r="AN91" s="5">
        <v>0</v>
      </c>
      <c r="AO91" s="5">
        <v>0.25519999999999998</v>
      </c>
      <c r="AP91" s="5">
        <v>1.0735909090909091E-4</v>
      </c>
      <c r="AQ91" s="5">
        <v>63.084804606460892</v>
      </c>
      <c r="AR91" s="5" t="e">
        <v>#N/A</v>
      </c>
    </row>
    <row r="92" spans="1:44" x14ac:dyDescent="0.25">
      <c r="A92" s="5">
        <v>2012</v>
      </c>
      <c r="B92" s="6">
        <v>41109</v>
      </c>
      <c r="C92" s="1" t="s">
        <v>40</v>
      </c>
      <c r="D92" s="3" t="s">
        <v>31</v>
      </c>
      <c r="E92" s="1" t="s">
        <v>22</v>
      </c>
      <c r="F92" s="3" t="s">
        <v>35</v>
      </c>
      <c r="G92" s="3" t="s">
        <v>440</v>
      </c>
      <c r="H92" s="3" t="s">
        <v>32</v>
      </c>
      <c r="I92" s="2" t="s">
        <v>36</v>
      </c>
      <c r="J92" s="20" t="s">
        <v>78</v>
      </c>
      <c r="K92" s="10" t="s">
        <v>30</v>
      </c>
      <c r="L92" s="5">
        <v>5</v>
      </c>
      <c r="M92" s="5">
        <v>10</v>
      </c>
      <c r="N92" s="5">
        <v>62</v>
      </c>
      <c r="O92" s="5">
        <v>67</v>
      </c>
      <c r="P92" s="5">
        <v>105</v>
      </c>
      <c r="Q92" s="5">
        <v>2.2000000000000002</v>
      </c>
      <c r="R92" s="5">
        <v>11.875</v>
      </c>
      <c r="S92" s="5">
        <v>10.224</v>
      </c>
      <c r="T92" s="5">
        <v>10.141999999999999</v>
      </c>
      <c r="U92" s="5">
        <v>8.199999999999999E-2</v>
      </c>
      <c r="V92" s="5">
        <v>0</v>
      </c>
      <c r="W92" s="5">
        <v>0</v>
      </c>
      <c r="X92" s="5">
        <v>1.5209999999999999</v>
      </c>
      <c r="Y92" s="5">
        <v>0</v>
      </c>
      <c r="Z92" s="5">
        <v>10.224</v>
      </c>
      <c r="AA92" s="5">
        <v>11.745000000000001</v>
      </c>
      <c r="AB92" s="5">
        <v>4</v>
      </c>
      <c r="AC92" s="5">
        <v>4</v>
      </c>
      <c r="AD92" s="5">
        <v>0</v>
      </c>
      <c r="AE92" s="5">
        <v>0</v>
      </c>
      <c r="AF92" s="5">
        <v>7.2499999999999995E-2</v>
      </c>
      <c r="AG92" s="5">
        <v>3.3E-3</v>
      </c>
      <c r="AH92" s="5" t="e">
        <v>#N/A</v>
      </c>
      <c r="AI92" s="5">
        <v>1.8124999999999999E-2</v>
      </c>
      <c r="AJ92" s="5">
        <v>8.25E-4</v>
      </c>
      <c r="AK92" s="5" t="e">
        <v>#N/A</v>
      </c>
      <c r="AL92" s="5">
        <v>0</v>
      </c>
      <c r="AM92" s="5">
        <v>7.6200000000000004E-2</v>
      </c>
      <c r="AN92" s="5">
        <v>0</v>
      </c>
      <c r="AO92" s="5">
        <v>0.152</v>
      </c>
      <c r="AP92" s="5">
        <v>2.5355000000000001E-4</v>
      </c>
      <c r="AQ92" s="5">
        <v>71.484914218102929</v>
      </c>
      <c r="AR92" s="5" t="e">
        <v>#N/A</v>
      </c>
    </row>
    <row r="93" spans="1:44" x14ac:dyDescent="0.25">
      <c r="A93" s="5">
        <v>2012</v>
      </c>
      <c r="B93" s="6">
        <v>41109</v>
      </c>
      <c r="C93" s="1" t="s">
        <v>40</v>
      </c>
      <c r="D93" s="3" t="s">
        <v>31</v>
      </c>
      <c r="E93" s="1" t="s">
        <v>22</v>
      </c>
      <c r="F93" s="3" t="s">
        <v>35</v>
      </c>
      <c r="G93" s="3" t="s">
        <v>440</v>
      </c>
      <c r="H93" s="3" t="s">
        <v>32</v>
      </c>
      <c r="I93" s="2" t="s">
        <v>46</v>
      </c>
      <c r="J93" s="20" t="s">
        <v>88</v>
      </c>
      <c r="K93" s="10" t="s">
        <v>30</v>
      </c>
      <c r="L93" s="5">
        <v>10</v>
      </c>
      <c r="M93" s="5">
        <v>2</v>
      </c>
      <c r="N93" s="5">
        <v>59</v>
      </c>
      <c r="O93" s="5">
        <v>62</v>
      </c>
      <c r="P93" s="5">
        <v>95</v>
      </c>
      <c r="Q93" s="5">
        <v>2.83</v>
      </c>
      <c r="R93" s="5">
        <v>14.874000000000001</v>
      </c>
      <c r="S93" s="5">
        <v>16.03</v>
      </c>
      <c r="T93" s="5">
        <v>15.853</v>
      </c>
      <c r="U93" s="5">
        <v>0.17699999999999999</v>
      </c>
      <c r="V93" s="5">
        <v>0</v>
      </c>
      <c r="W93" s="5">
        <v>0</v>
      </c>
      <c r="X93" s="5">
        <v>0</v>
      </c>
      <c r="Y93" s="5">
        <v>1.28</v>
      </c>
      <c r="Z93" s="5">
        <v>17.310000000000002</v>
      </c>
      <c r="AA93" s="5">
        <v>17.310000000000002</v>
      </c>
      <c r="AB93" s="5">
        <v>3</v>
      </c>
      <c r="AC93" s="5">
        <v>3</v>
      </c>
      <c r="AD93" s="5">
        <v>0</v>
      </c>
      <c r="AE93" s="5">
        <v>0</v>
      </c>
      <c r="AF93" s="5">
        <v>9.5299999999999996E-2</v>
      </c>
      <c r="AG93" s="5">
        <v>4.1000000000000003E-3</v>
      </c>
      <c r="AH93" s="5" t="e">
        <v>#N/A</v>
      </c>
      <c r="AI93" s="5">
        <v>3.1766666666666665E-2</v>
      </c>
      <c r="AJ93" s="5">
        <v>1.3666666666666669E-3</v>
      </c>
      <c r="AK93" s="5" t="e">
        <v>#N/A</v>
      </c>
      <c r="AL93" s="5">
        <v>0</v>
      </c>
      <c r="AM93" s="5">
        <v>0</v>
      </c>
      <c r="AN93" s="5">
        <v>3.8300000000000001E-2</v>
      </c>
      <c r="AO93" s="5">
        <v>0.13769999999999999</v>
      </c>
      <c r="AP93" s="5">
        <v>5.2843333333333329E-4</v>
      </c>
      <c r="AQ93" s="5">
        <v>60.114804768813471</v>
      </c>
      <c r="AR93" s="5" t="e">
        <v>#N/A</v>
      </c>
    </row>
    <row r="94" spans="1:44" x14ac:dyDescent="0.25">
      <c r="A94" s="5">
        <v>2012</v>
      </c>
      <c r="B94" s="14">
        <v>41117</v>
      </c>
      <c r="C94" s="1" t="s">
        <v>40</v>
      </c>
      <c r="D94" s="1" t="s">
        <v>48</v>
      </c>
      <c r="E94" s="1" t="s">
        <v>23</v>
      </c>
      <c r="F94" s="1" t="s">
        <v>35</v>
      </c>
      <c r="G94" s="3" t="s">
        <v>440</v>
      </c>
      <c r="H94" s="1" t="s">
        <v>32</v>
      </c>
      <c r="I94" s="2" t="s">
        <v>36</v>
      </c>
      <c r="J94" s="20" t="s">
        <v>47</v>
      </c>
      <c r="K94" s="10" t="s">
        <v>28</v>
      </c>
      <c r="L94" s="5">
        <v>2</v>
      </c>
      <c r="M94" s="5">
        <v>9</v>
      </c>
      <c r="N94" s="5">
        <v>13</v>
      </c>
      <c r="O94" s="5">
        <v>18</v>
      </c>
      <c r="P94" s="5">
        <v>140</v>
      </c>
      <c r="Q94" s="5">
        <v>0</v>
      </c>
      <c r="R94" s="5">
        <v>9.8640000000000008</v>
      </c>
      <c r="S94" s="5">
        <v>10.146000000000001</v>
      </c>
      <c r="T94" s="5">
        <v>9.5380000000000003</v>
      </c>
      <c r="U94" s="5">
        <v>0.60799999999999998</v>
      </c>
      <c r="V94" s="5">
        <v>0</v>
      </c>
      <c r="W94" s="5">
        <v>1.149</v>
      </c>
      <c r="X94" s="5">
        <v>3.88</v>
      </c>
      <c r="Y94" s="5">
        <v>0</v>
      </c>
      <c r="Z94" s="5">
        <v>10.687000000000001</v>
      </c>
      <c r="AA94" s="5">
        <v>15.175000000000001</v>
      </c>
      <c r="AB94" s="5">
        <v>30</v>
      </c>
      <c r="AC94" s="5">
        <v>22</v>
      </c>
      <c r="AD94" s="5">
        <v>0</v>
      </c>
      <c r="AE94" s="5">
        <v>4</v>
      </c>
      <c r="AF94" s="5">
        <v>0.1076</v>
      </c>
      <c r="AG94" s="5">
        <v>1.12E-2</v>
      </c>
      <c r="AH94" s="5">
        <v>0</v>
      </c>
      <c r="AI94" s="5">
        <v>3.5866666666666668E-3</v>
      </c>
      <c r="AJ94" s="5">
        <v>5.0909090909090913E-4</v>
      </c>
      <c r="AK94" s="5" t="e">
        <v>#N/A</v>
      </c>
      <c r="AL94" s="5">
        <v>4.5199999999999997E-2</v>
      </c>
      <c r="AM94" s="5">
        <v>0.2056</v>
      </c>
      <c r="AN94" s="5">
        <v>0</v>
      </c>
      <c r="AO94" s="5">
        <v>0.36960000000000004</v>
      </c>
      <c r="AP94" s="5">
        <v>3.179333333333334E-5</v>
      </c>
      <c r="AQ94" s="5">
        <v>112.81191025372195</v>
      </c>
      <c r="AR94" s="5" t="e">
        <v>#N/A</v>
      </c>
    </row>
    <row r="95" spans="1:44" x14ac:dyDescent="0.25">
      <c r="A95" s="5">
        <v>2012</v>
      </c>
      <c r="B95" s="14">
        <v>41117</v>
      </c>
      <c r="C95" s="1" t="s">
        <v>40</v>
      </c>
      <c r="D95" s="1" t="s">
        <v>48</v>
      </c>
      <c r="E95" s="1" t="s">
        <v>23</v>
      </c>
      <c r="F95" s="1" t="s">
        <v>35</v>
      </c>
      <c r="G95" s="3" t="s">
        <v>440</v>
      </c>
      <c r="H95" s="1" t="s">
        <v>32</v>
      </c>
      <c r="I95" s="2" t="s">
        <v>36</v>
      </c>
      <c r="J95" s="20" t="s">
        <v>4</v>
      </c>
      <c r="K95" s="10" t="s">
        <v>28</v>
      </c>
      <c r="L95" s="5">
        <v>10</v>
      </c>
      <c r="M95" s="5">
        <v>2</v>
      </c>
      <c r="N95" s="5">
        <v>34</v>
      </c>
      <c r="O95" s="5">
        <v>38</v>
      </c>
      <c r="P95" s="5">
        <v>138</v>
      </c>
      <c r="Q95" s="5">
        <v>0</v>
      </c>
      <c r="R95" s="5">
        <v>14.569000000000001</v>
      </c>
      <c r="S95" s="5">
        <v>20.8</v>
      </c>
      <c r="T95" s="5">
        <v>20.228999999999999</v>
      </c>
      <c r="U95" s="5">
        <v>0.57099999999999995</v>
      </c>
      <c r="V95" s="5">
        <v>0</v>
      </c>
      <c r="W95" s="5">
        <v>0</v>
      </c>
      <c r="X95" s="5">
        <v>3.056</v>
      </c>
      <c r="Y95" s="5">
        <v>0</v>
      </c>
      <c r="Z95" s="5">
        <v>20.228999999999999</v>
      </c>
      <c r="AA95" s="5">
        <v>23.856000000000002</v>
      </c>
      <c r="AB95" s="5">
        <v>22</v>
      </c>
      <c r="AC95" s="5">
        <v>16</v>
      </c>
      <c r="AD95" s="5">
        <v>0</v>
      </c>
      <c r="AE95" s="5">
        <v>1</v>
      </c>
      <c r="AF95" s="5">
        <v>0.2167</v>
      </c>
      <c r="AG95" s="5">
        <v>6.0000000000000001E-3</v>
      </c>
      <c r="AH95" s="5">
        <v>0</v>
      </c>
      <c r="AI95" s="5">
        <v>9.8499999999999994E-3</v>
      </c>
      <c r="AJ95" s="5">
        <v>3.7500000000000001E-4</v>
      </c>
      <c r="AK95" s="5" t="e">
        <v>#N/A</v>
      </c>
      <c r="AL95" s="5">
        <v>1.21E-2</v>
      </c>
      <c r="AM95" s="5">
        <v>0.14710000000000001</v>
      </c>
      <c r="AN95" s="5">
        <v>0</v>
      </c>
      <c r="AO95" s="5">
        <v>0.38190000000000002</v>
      </c>
      <c r="AP95" s="5">
        <v>9.1950000000000012E-5</v>
      </c>
      <c r="AQ95" s="5">
        <v>107.12343665035344</v>
      </c>
      <c r="AR95" s="5" t="e">
        <v>#N/A</v>
      </c>
    </row>
    <row r="96" spans="1:44" x14ac:dyDescent="0.25">
      <c r="A96" s="5">
        <v>2012</v>
      </c>
      <c r="B96" s="14">
        <v>41117</v>
      </c>
      <c r="C96" s="1" t="s">
        <v>40</v>
      </c>
      <c r="D96" s="1" t="s">
        <v>48</v>
      </c>
      <c r="E96" s="1" t="s">
        <v>23</v>
      </c>
      <c r="F96" s="1" t="s">
        <v>35</v>
      </c>
      <c r="G96" s="3" t="s">
        <v>440</v>
      </c>
      <c r="H96" s="1" t="s">
        <v>32</v>
      </c>
      <c r="I96" s="2" t="s">
        <v>46</v>
      </c>
      <c r="J96" s="20" t="s">
        <v>1</v>
      </c>
      <c r="K96" s="10" t="s">
        <v>29</v>
      </c>
      <c r="L96" s="5">
        <v>6</v>
      </c>
      <c r="M96" s="5">
        <v>2</v>
      </c>
      <c r="N96" s="5">
        <v>76</v>
      </c>
      <c r="O96" s="5">
        <v>72</v>
      </c>
      <c r="P96" s="5">
        <v>143</v>
      </c>
      <c r="Q96" s="5">
        <v>1.69</v>
      </c>
      <c r="R96" s="5">
        <v>17.565000000000001</v>
      </c>
      <c r="S96" s="5">
        <v>21.234000000000002</v>
      </c>
      <c r="T96" s="5">
        <v>20.835000000000001</v>
      </c>
      <c r="U96" s="5">
        <v>0.39900000000000002</v>
      </c>
      <c r="V96" s="5">
        <v>0</v>
      </c>
      <c r="W96" s="5">
        <v>0</v>
      </c>
      <c r="X96" s="5">
        <v>0.77500000000000002</v>
      </c>
      <c r="Y96" s="5">
        <v>0</v>
      </c>
      <c r="Z96" s="5">
        <v>20.835000000000001</v>
      </c>
      <c r="AA96" s="5">
        <v>22.009</v>
      </c>
      <c r="AB96" s="5">
        <v>7</v>
      </c>
      <c r="AC96" s="5">
        <v>4</v>
      </c>
      <c r="AD96" s="5">
        <v>0</v>
      </c>
      <c r="AE96" s="5">
        <v>0</v>
      </c>
      <c r="AF96" s="5">
        <v>0.14330000000000001</v>
      </c>
      <c r="AG96" s="5">
        <v>5.4000000000000003E-3</v>
      </c>
      <c r="AH96" s="5">
        <v>0</v>
      </c>
      <c r="AI96" s="5">
        <v>2.0471428571428574E-2</v>
      </c>
      <c r="AJ96" s="5">
        <v>1.3500000000000001E-3</v>
      </c>
      <c r="AK96" s="5" t="e">
        <v>#N/A</v>
      </c>
      <c r="AL96" s="5">
        <v>0</v>
      </c>
      <c r="AM96" s="5">
        <v>2.12E-2</v>
      </c>
      <c r="AN96" s="5">
        <v>1.4E-3</v>
      </c>
      <c r="AO96" s="5">
        <v>0.17130000000000001</v>
      </c>
      <c r="AP96" s="5">
        <v>2.9764285714285716E-4</v>
      </c>
      <c r="AQ96" s="5">
        <v>68.778497720182386</v>
      </c>
      <c r="AR96" s="5" t="e">
        <v>#N/A</v>
      </c>
    </row>
    <row r="97" spans="1:45" x14ac:dyDescent="0.25">
      <c r="A97" s="5">
        <v>2012</v>
      </c>
      <c r="B97" s="14">
        <v>41117</v>
      </c>
      <c r="C97" s="1" t="s">
        <v>40</v>
      </c>
      <c r="D97" s="1" t="s">
        <v>48</v>
      </c>
      <c r="E97" s="1" t="s">
        <v>23</v>
      </c>
      <c r="F97" s="1" t="s">
        <v>35</v>
      </c>
      <c r="G97" s="3" t="s">
        <v>440</v>
      </c>
      <c r="H97" s="1" t="s">
        <v>32</v>
      </c>
      <c r="I97" s="2" t="s">
        <v>36</v>
      </c>
      <c r="J97" s="20" t="s">
        <v>52</v>
      </c>
      <c r="K97" s="10" t="s">
        <v>29</v>
      </c>
      <c r="L97" s="5">
        <v>4</v>
      </c>
      <c r="M97" s="5">
        <v>6</v>
      </c>
      <c r="N97" s="5">
        <v>76</v>
      </c>
      <c r="O97" s="5">
        <v>80</v>
      </c>
      <c r="P97" s="5">
        <v>138</v>
      </c>
      <c r="Q97" s="5">
        <v>1.88</v>
      </c>
      <c r="R97" s="5">
        <v>19.568000000000001</v>
      </c>
      <c r="S97" s="5">
        <v>30.16</v>
      </c>
      <c r="T97" s="5">
        <v>29.338999999999999</v>
      </c>
      <c r="U97" s="5">
        <v>0.82099999999999995</v>
      </c>
      <c r="V97" s="5">
        <v>0</v>
      </c>
      <c r="W97" s="5">
        <v>0</v>
      </c>
      <c r="X97" s="5">
        <v>4.5990000000000002</v>
      </c>
      <c r="Y97" s="5" t="e">
        <v>#N/A</v>
      </c>
      <c r="Z97" s="5">
        <v>29.338999999999999</v>
      </c>
      <c r="AA97" s="5">
        <v>34.759</v>
      </c>
      <c r="AB97" s="5">
        <v>20</v>
      </c>
      <c r="AC97" s="5">
        <v>19</v>
      </c>
      <c r="AD97" s="5">
        <v>0</v>
      </c>
      <c r="AE97" s="5">
        <v>0</v>
      </c>
      <c r="AF97" s="5">
        <v>0.18729999999999999</v>
      </c>
      <c r="AG97" s="5">
        <v>1.23E-2</v>
      </c>
      <c r="AH97" s="5">
        <v>0</v>
      </c>
      <c r="AI97" s="5">
        <v>9.3650000000000001E-3</v>
      </c>
      <c r="AJ97" s="5">
        <v>6.4736842105263162E-4</v>
      </c>
      <c r="AK97" s="5" t="e">
        <v>#N/A</v>
      </c>
      <c r="AL97" s="5">
        <v>0</v>
      </c>
      <c r="AM97" s="5">
        <v>0.22159999999999999</v>
      </c>
      <c r="AN97" s="5">
        <v>0</v>
      </c>
      <c r="AO97" s="5">
        <v>0.42120000000000002</v>
      </c>
      <c r="AP97" s="5">
        <v>1.4669500000000002E-4</v>
      </c>
      <c r="AQ97" s="5">
        <v>63.839940011588666</v>
      </c>
      <c r="AR97" s="5" t="e">
        <v>#N/A</v>
      </c>
    </row>
    <row r="98" spans="1:45" x14ac:dyDescent="0.25">
      <c r="A98" s="5">
        <v>2012</v>
      </c>
      <c r="B98" s="14">
        <v>41117</v>
      </c>
      <c r="C98" s="1" t="s">
        <v>40</v>
      </c>
      <c r="D98" s="1" t="s">
        <v>48</v>
      </c>
      <c r="E98" s="1" t="s">
        <v>23</v>
      </c>
      <c r="F98" s="1" t="s">
        <v>35</v>
      </c>
      <c r="G98" s="3" t="s">
        <v>440</v>
      </c>
      <c r="H98" s="1" t="s">
        <v>32</v>
      </c>
      <c r="I98" s="2" t="s">
        <v>36</v>
      </c>
      <c r="J98" s="20" t="s">
        <v>82</v>
      </c>
      <c r="K98" s="10" t="s">
        <v>30</v>
      </c>
      <c r="L98" s="5">
        <v>6</v>
      </c>
      <c r="M98" s="5">
        <v>9</v>
      </c>
      <c r="N98" s="5">
        <v>87</v>
      </c>
      <c r="O98" s="5">
        <v>92</v>
      </c>
      <c r="P98" s="5">
        <v>137</v>
      </c>
      <c r="Q98" s="5">
        <v>2.08</v>
      </c>
      <c r="R98" s="5">
        <v>9.8170000000000002</v>
      </c>
      <c r="S98" s="5">
        <v>16.741</v>
      </c>
      <c r="T98" s="5">
        <v>16.521000000000001</v>
      </c>
      <c r="U98" s="5">
        <v>0.22</v>
      </c>
      <c r="V98" s="5">
        <v>0</v>
      </c>
      <c r="W98" s="5">
        <v>0</v>
      </c>
      <c r="X98" s="5">
        <v>2.0960000000000001</v>
      </c>
      <c r="Y98" s="5" t="e">
        <v>#N/A</v>
      </c>
      <c r="Z98" s="5">
        <v>16.521000000000001</v>
      </c>
      <c r="AA98" s="5">
        <v>18.837</v>
      </c>
      <c r="AB98" s="5">
        <v>15</v>
      </c>
      <c r="AC98" s="5">
        <v>9</v>
      </c>
      <c r="AD98" s="5">
        <v>0</v>
      </c>
      <c r="AE98" s="5">
        <v>0</v>
      </c>
      <c r="AF98" s="5">
        <v>7.9399999999999998E-2</v>
      </c>
      <c r="AG98" s="5">
        <v>1.2999999999999999E-3</v>
      </c>
      <c r="AH98" s="5">
        <v>0</v>
      </c>
      <c r="AI98" s="5">
        <v>5.2933333333333331E-3</v>
      </c>
      <c r="AJ98" s="5">
        <v>1.4444444444444444E-4</v>
      </c>
      <c r="AK98" s="5" t="e">
        <v>#N/A</v>
      </c>
      <c r="AL98" s="5">
        <v>0</v>
      </c>
      <c r="AM98" s="5">
        <v>0.1022</v>
      </c>
      <c r="AN98" s="5">
        <v>0</v>
      </c>
      <c r="AO98" s="5">
        <v>0.18290000000000001</v>
      </c>
      <c r="AP98" s="5">
        <v>1.1014000000000001E-4</v>
      </c>
      <c r="AQ98" s="5">
        <v>48.060044791477509</v>
      </c>
      <c r="AR98" s="5" t="e">
        <v>#N/A</v>
      </c>
    </row>
    <row r="99" spans="1:45" x14ac:dyDescent="0.25">
      <c r="A99" s="5">
        <v>2012</v>
      </c>
      <c r="B99" s="14">
        <v>41117</v>
      </c>
      <c r="C99" s="1" t="s">
        <v>40</v>
      </c>
      <c r="D99" s="1" t="s">
        <v>48</v>
      </c>
      <c r="E99" s="1" t="s">
        <v>23</v>
      </c>
      <c r="F99" s="1" t="s">
        <v>35</v>
      </c>
      <c r="G99" s="3" t="s">
        <v>440</v>
      </c>
      <c r="H99" s="1" t="s">
        <v>32</v>
      </c>
      <c r="I99" s="2" t="s">
        <v>36</v>
      </c>
      <c r="J99" s="20" t="s">
        <v>76</v>
      </c>
      <c r="K99" s="10" t="s">
        <v>30</v>
      </c>
      <c r="L99" s="5">
        <v>4</v>
      </c>
      <c r="M99" s="5">
        <v>6</v>
      </c>
      <c r="N99" s="5">
        <v>95</v>
      </c>
      <c r="O99" s="5">
        <v>100</v>
      </c>
      <c r="P99" s="5">
        <v>138</v>
      </c>
      <c r="Q99" s="5">
        <v>1.65</v>
      </c>
      <c r="R99" s="5">
        <v>14.411</v>
      </c>
      <c r="S99" s="5">
        <v>17.864999999999998</v>
      </c>
      <c r="T99" s="5">
        <v>17.312999999999999</v>
      </c>
      <c r="U99" s="5">
        <v>0.55200000000000005</v>
      </c>
      <c r="V99" s="5">
        <v>0</v>
      </c>
      <c r="W99" s="5">
        <v>0</v>
      </c>
      <c r="X99" s="5">
        <v>2.2749999999999999</v>
      </c>
      <c r="Y99" s="5" t="e">
        <v>#N/A</v>
      </c>
      <c r="Z99" s="5">
        <v>17.312999999999999</v>
      </c>
      <c r="AA99" s="5">
        <v>20.139999999999997</v>
      </c>
      <c r="AB99" s="5">
        <v>13</v>
      </c>
      <c r="AC99" s="5">
        <v>11</v>
      </c>
      <c r="AD99" s="5">
        <v>0</v>
      </c>
      <c r="AE99" s="5">
        <v>0</v>
      </c>
      <c r="AF99" s="5">
        <v>8.14E-2</v>
      </c>
      <c r="AG99" s="5">
        <v>5.4999999999999997E-3</v>
      </c>
      <c r="AH99" s="5">
        <v>0</v>
      </c>
      <c r="AI99" s="5">
        <v>6.2615384615384616E-3</v>
      </c>
      <c r="AJ99" s="5">
        <v>5.0000000000000001E-4</v>
      </c>
      <c r="AK99" s="5" t="e">
        <v>#N/A</v>
      </c>
      <c r="AL99" s="5">
        <v>0</v>
      </c>
      <c r="AM99" s="5">
        <v>6.6199999999999995E-2</v>
      </c>
      <c r="AN99" s="5">
        <v>0</v>
      </c>
      <c r="AO99" s="5">
        <v>0.15310000000000001</v>
      </c>
      <c r="AP99" s="5">
        <v>1.3317692307692307E-4</v>
      </c>
      <c r="AQ99" s="5">
        <v>47.016692658695774</v>
      </c>
      <c r="AR99" s="5" t="e">
        <v>#N/A</v>
      </c>
    </row>
    <row r="100" spans="1:45" x14ac:dyDescent="0.25">
      <c r="A100" s="5">
        <v>2012</v>
      </c>
      <c r="B100" s="30">
        <v>41124</v>
      </c>
      <c r="C100" s="11" t="s">
        <v>40</v>
      </c>
      <c r="D100" s="11" t="s">
        <v>31</v>
      </c>
      <c r="E100" s="11" t="s">
        <v>24</v>
      </c>
      <c r="F100" s="11" t="s">
        <v>34</v>
      </c>
      <c r="G100" s="3" t="s">
        <v>440</v>
      </c>
      <c r="H100" s="11" t="s">
        <v>33</v>
      </c>
      <c r="I100" s="2" t="s">
        <v>46</v>
      </c>
      <c r="J100" s="20" t="s">
        <v>0</v>
      </c>
      <c r="K100" s="20" t="s">
        <v>28</v>
      </c>
      <c r="L100" s="5">
        <v>1</v>
      </c>
      <c r="M100" s="5">
        <v>6</v>
      </c>
      <c r="N100" s="5">
        <v>20</v>
      </c>
      <c r="O100" s="5">
        <v>23</v>
      </c>
      <c r="P100" s="5">
        <v>148</v>
      </c>
      <c r="Q100" s="5">
        <v>0</v>
      </c>
      <c r="R100" s="5">
        <v>10.49</v>
      </c>
      <c r="S100" s="5">
        <v>15.023</v>
      </c>
      <c r="T100" s="5">
        <v>14.321</v>
      </c>
      <c r="U100" s="5">
        <v>0.625</v>
      </c>
      <c r="V100" s="5">
        <v>7.6999999999999999E-2</v>
      </c>
      <c r="W100" s="5">
        <v>0</v>
      </c>
      <c r="X100" s="5">
        <v>0.751</v>
      </c>
      <c r="Y100" s="5">
        <v>0</v>
      </c>
      <c r="Z100" s="5">
        <v>15.023</v>
      </c>
      <c r="AA100" s="5">
        <v>15.773999999999999</v>
      </c>
      <c r="AB100" s="5">
        <v>6</v>
      </c>
      <c r="AC100" s="5">
        <v>6</v>
      </c>
      <c r="AD100" s="5">
        <v>2</v>
      </c>
      <c r="AE100" s="5">
        <v>0</v>
      </c>
      <c r="AF100" s="5">
        <v>0.16550000000000001</v>
      </c>
      <c r="AG100" s="5">
        <v>1.0999999999999999E-2</v>
      </c>
      <c r="AH100" s="5">
        <v>0</v>
      </c>
      <c r="AI100" s="5">
        <v>1.1556455554779695E-2</v>
      </c>
      <c r="AJ100" s="5">
        <v>1.7599999999999998E-2</v>
      </c>
      <c r="AK100" s="5">
        <v>0</v>
      </c>
      <c r="AL100" s="5" t="e">
        <v>#N/A</v>
      </c>
      <c r="AM100" s="5">
        <v>3.0200000000000001E-2</v>
      </c>
      <c r="AN100" s="5" t="e">
        <v>#N/A</v>
      </c>
      <c r="AO100" s="5">
        <v>0.20670000000000002</v>
      </c>
      <c r="AP100" s="5">
        <v>2.3868333333333333E-4</v>
      </c>
      <c r="AQ100" s="5">
        <v>115.56455554779696</v>
      </c>
      <c r="AR100" s="5" t="e">
        <v>#N/A</v>
      </c>
    </row>
    <row r="101" spans="1:45" x14ac:dyDescent="0.25">
      <c r="A101" s="5">
        <v>2012</v>
      </c>
      <c r="B101" s="30">
        <v>41124</v>
      </c>
      <c r="C101" s="11" t="s">
        <v>40</v>
      </c>
      <c r="D101" s="11" t="s">
        <v>31</v>
      </c>
      <c r="E101" s="11" t="s">
        <v>24</v>
      </c>
      <c r="F101" s="11" t="s">
        <v>34</v>
      </c>
      <c r="G101" s="3" t="s">
        <v>440</v>
      </c>
      <c r="H101" s="11" t="s">
        <v>33</v>
      </c>
      <c r="I101" s="2" t="s">
        <v>46</v>
      </c>
      <c r="J101" s="20" t="s">
        <v>56</v>
      </c>
      <c r="K101" s="10" t="s">
        <v>28</v>
      </c>
      <c r="L101" s="5">
        <v>2</v>
      </c>
      <c r="M101" s="5">
        <v>8</v>
      </c>
      <c r="N101" s="5">
        <v>28</v>
      </c>
      <c r="O101" s="5">
        <v>31</v>
      </c>
      <c r="P101" s="5">
        <v>153</v>
      </c>
      <c r="Q101" s="5">
        <v>0.51</v>
      </c>
      <c r="R101" s="5">
        <v>11.231999999999999</v>
      </c>
      <c r="S101" s="5">
        <v>19.560000000000002</v>
      </c>
      <c r="T101" s="5">
        <v>18.579000000000001</v>
      </c>
      <c r="U101" s="5">
        <v>0.74199999999999999</v>
      </c>
      <c r="V101" s="5">
        <v>0.23899999999999999</v>
      </c>
      <c r="W101" s="5">
        <v>0</v>
      </c>
      <c r="X101" s="5">
        <v>2.2949999999999999</v>
      </c>
      <c r="Y101" s="5">
        <v>1.153</v>
      </c>
      <c r="Z101" s="5">
        <v>20.713000000000001</v>
      </c>
      <c r="AA101" s="5">
        <v>23.008000000000003</v>
      </c>
      <c r="AB101" s="5">
        <v>10</v>
      </c>
      <c r="AC101" s="5">
        <v>7</v>
      </c>
      <c r="AD101" s="5">
        <v>5</v>
      </c>
      <c r="AE101" s="5">
        <v>0</v>
      </c>
      <c r="AF101" s="5">
        <v>0.16739999999999999</v>
      </c>
      <c r="AG101" s="5">
        <v>1.14E-2</v>
      </c>
      <c r="AH101" s="5">
        <v>2.3E-3</v>
      </c>
      <c r="AI101" s="5">
        <v>9.0101727757145155E-3</v>
      </c>
      <c r="AJ101" s="5">
        <v>1.5363881401617251E-2</v>
      </c>
      <c r="AK101" s="5">
        <v>9.6234309623430964E-3</v>
      </c>
      <c r="AL101" s="5" t="e">
        <v>#N/A</v>
      </c>
      <c r="AM101" s="5">
        <v>0.12570000000000001</v>
      </c>
      <c r="AN101" s="5" t="e">
        <v>#N/A</v>
      </c>
      <c r="AO101" s="5">
        <v>0.30679999999999996</v>
      </c>
      <c r="AP101" s="5">
        <v>1.8579000000000002E-4</v>
      </c>
      <c r="AQ101" s="5">
        <v>90.101727757145156</v>
      </c>
      <c r="AR101" s="5" t="e">
        <v>#N/A</v>
      </c>
    </row>
    <row r="102" spans="1:45" x14ac:dyDescent="0.25">
      <c r="A102" s="5">
        <v>2012</v>
      </c>
      <c r="B102" s="30">
        <v>41124</v>
      </c>
      <c r="C102" s="11" t="s">
        <v>40</v>
      </c>
      <c r="D102" s="11" t="s">
        <v>31</v>
      </c>
      <c r="E102" s="11" t="s">
        <v>24</v>
      </c>
      <c r="F102" s="11" t="s">
        <v>34</v>
      </c>
      <c r="G102" s="3" t="s">
        <v>440</v>
      </c>
      <c r="H102" s="11" t="s">
        <v>33</v>
      </c>
      <c r="I102" s="2" t="s">
        <v>38</v>
      </c>
      <c r="J102" s="20" t="s">
        <v>73</v>
      </c>
      <c r="K102" s="10" t="s">
        <v>29</v>
      </c>
      <c r="L102" s="11">
        <v>2</v>
      </c>
      <c r="M102" s="11">
        <v>7</v>
      </c>
      <c r="N102" s="11">
        <v>57</v>
      </c>
      <c r="O102" s="11">
        <v>58</v>
      </c>
      <c r="P102" s="11">
        <v>151</v>
      </c>
      <c r="Q102" s="11">
        <v>0.88</v>
      </c>
      <c r="R102" s="5">
        <v>17.516999999999999</v>
      </c>
      <c r="S102" s="5">
        <v>20.306000000000001</v>
      </c>
      <c r="T102" s="5">
        <v>19.917000000000002</v>
      </c>
      <c r="U102" s="5">
        <v>0.38900000000000001</v>
      </c>
      <c r="V102" s="5">
        <v>0</v>
      </c>
      <c r="W102" s="5">
        <v>0</v>
      </c>
      <c r="X102" s="5">
        <v>0.93500000000000005</v>
      </c>
      <c r="Y102" s="5">
        <v>0</v>
      </c>
      <c r="Z102" s="5">
        <v>20.306000000000001</v>
      </c>
      <c r="AA102" s="5">
        <v>21.241</v>
      </c>
      <c r="AB102" s="5">
        <v>3</v>
      </c>
      <c r="AC102" s="5">
        <v>3</v>
      </c>
      <c r="AD102" s="5">
        <v>0</v>
      </c>
      <c r="AE102" s="5">
        <v>0</v>
      </c>
      <c r="AF102" s="5">
        <v>0.16270000000000001</v>
      </c>
      <c r="AG102" s="5">
        <v>7.7000000000000002E-3</v>
      </c>
      <c r="AH102" s="5" t="e">
        <v>#N/A</v>
      </c>
      <c r="AI102" s="5">
        <v>8.1689009388964205E-3</v>
      </c>
      <c r="AJ102" s="5">
        <v>1.9794344473007711E-2</v>
      </c>
      <c r="AK102" s="5" t="e">
        <v>#N/A</v>
      </c>
      <c r="AL102" s="5" t="e">
        <v>#N/A</v>
      </c>
      <c r="AM102" s="5">
        <v>4.2299999999999997E-2</v>
      </c>
      <c r="AN102" s="5" t="e">
        <v>#N/A</v>
      </c>
      <c r="AO102" s="5">
        <v>0.21270000000000003</v>
      </c>
      <c r="AP102" s="5">
        <v>6.6390000000000015E-4</v>
      </c>
      <c r="AQ102" s="5">
        <v>81.689009388964195</v>
      </c>
      <c r="AR102" s="5" t="e">
        <v>#N/A</v>
      </c>
    </row>
    <row r="103" spans="1:45" x14ac:dyDescent="0.25">
      <c r="A103" s="5">
        <v>2012</v>
      </c>
      <c r="B103" s="30">
        <v>41124</v>
      </c>
      <c r="C103" s="11" t="s">
        <v>40</v>
      </c>
      <c r="D103" s="11" t="s">
        <v>31</v>
      </c>
      <c r="E103" s="11" t="s">
        <v>24</v>
      </c>
      <c r="F103" s="11" t="s">
        <v>34</v>
      </c>
      <c r="G103" s="3" t="s">
        <v>440</v>
      </c>
      <c r="H103" s="11" t="s">
        <v>33</v>
      </c>
      <c r="I103" s="2" t="s">
        <v>38</v>
      </c>
      <c r="J103" s="20" t="s">
        <v>72</v>
      </c>
      <c r="K103" s="10" t="s">
        <v>29</v>
      </c>
      <c r="L103" s="5">
        <v>7</v>
      </c>
      <c r="M103" s="5">
        <v>4</v>
      </c>
      <c r="N103" s="5">
        <v>81</v>
      </c>
      <c r="O103" s="5">
        <v>77</v>
      </c>
      <c r="P103" s="5">
        <v>158</v>
      </c>
      <c r="Q103" s="5">
        <v>2.06</v>
      </c>
      <c r="R103" s="5">
        <v>22.608000000000001</v>
      </c>
      <c r="S103" s="5">
        <v>23.743000000000002</v>
      </c>
      <c r="T103" s="5">
        <v>23.446000000000002</v>
      </c>
      <c r="U103" s="5">
        <v>0.29699999999999999</v>
      </c>
      <c r="V103" s="5">
        <v>0</v>
      </c>
      <c r="W103" s="5">
        <v>0</v>
      </c>
      <c r="X103" s="5">
        <v>0</v>
      </c>
      <c r="Y103" s="5">
        <v>0.74</v>
      </c>
      <c r="Z103" s="5">
        <v>24.483000000000001</v>
      </c>
      <c r="AA103" s="5">
        <v>24.483000000000001</v>
      </c>
      <c r="AB103" s="5">
        <v>4</v>
      </c>
      <c r="AC103" s="5">
        <v>4</v>
      </c>
      <c r="AD103" s="5">
        <v>0</v>
      </c>
      <c r="AE103" s="5">
        <v>0</v>
      </c>
      <c r="AF103" s="5">
        <v>0.1507</v>
      </c>
      <c r="AG103" s="5">
        <v>5.3E-3</v>
      </c>
      <c r="AH103" s="5" t="e">
        <v>#N/A</v>
      </c>
      <c r="AI103" s="5">
        <v>6.4275356137507463E-3</v>
      </c>
      <c r="AJ103" s="5">
        <v>1.7845117845117844E-2</v>
      </c>
      <c r="AK103" s="5" t="e">
        <v>#N/A</v>
      </c>
      <c r="AL103" s="5" t="e">
        <v>#N/A</v>
      </c>
      <c r="AM103" s="5">
        <v>3.3300000000000003E-2</v>
      </c>
      <c r="AN103" s="5" t="e">
        <v>#N/A</v>
      </c>
      <c r="AO103" s="5">
        <v>0.1893</v>
      </c>
      <c r="AP103" s="5">
        <v>5.8615000000000002E-4</v>
      </c>
      <c r="AQ103" s="5">
        <v>64.275356137507458</v>
      </c>
      <c r="AR103" s="5" t="e">
        <v>#N/A</v>
      </c>
    </row>
    <row r="104" spans="1:45" x14ac:dyDescent="0.25">
      <c r="A104" s="5">
        <v>2012</v>
      </c>
      <c r="B104" s="30">
        <v>41124</v>
      </c>
      <c r="C104" s="11" t="s">
        <v>40</v>
      </c>
      <c r="D104" s="11" t="s">
        <v>31</v>
      </c>
      <c r="E104" s="11" t="s">
        <v>24</v>
      </c>
      <c r="F104" s="11" t="s">
        <v>34</v>
      </c>
      <c r="G104" s="3" t="s">
        <v>440</v>
      </c>
      <c r="H104" s="11" t="s">
        <v>33</v>
      </c>
      <c r="I104" s="2" t="s">
        <v>38</v>
      </c>
      <c r="J104" s="20" t="s">
        <v>92</v>
      </c>
      <c r="K104" s="10" t="s">
        <v>30</v>
      </c>
      <c r="L104" s="5">
        <v>6</v>
      </c>
      <c r="M104" s="5">
        <v>8</v>
      </c>
      <c r="N104" s="5">
        <v>92</v>
      </c>
      <c r="O104" s="5">
        <v>94</v>
      </c>
      <c r="P104" s="5">
        <v>144</v>
      </c>
      <c r="Q104" s="5">
        <v>3.09</v>
      </c>
      <c r="R104" s="5">
        <v>17.262</v>
      </c>
      <c r="S104" s="5">
        <v>21.419</v>
      </c>
      <c r="T104" s="5">
        <v>20.812999999999999</v>
      </c>
      <c r="U104" s="5">
        <v>0.60599999999999998</v>
      </c>
      <c r="V104" s="5">
        <v>0</v>
      </c>
      <c r="W104" s="5">
        <v>0</v>
      </c>
      <c r="X104" s="5">
        <v>1.1990000000000001</v>
      </c>
      <c r="Y104" s="5" t="e">
        <v>#N/A</v>
      </c>
      <c r="Z104" s="5">
        <v>21.419</v>
      </c>
      <c r="AA104" s="5">
        <v>22.618000000000002</v>
      </c>
      <c r="AB104" s="5">
        <v>4</v>
      </c>
      <c r="AC104" s="5">
        <v>4</v>
      </c>
      <c r="AD104" s="5">
        <v>0</v>
      </c>
      <c r="AE104" s="5">
        <v>0</v>
      </c>
      <c r="AF104" s="5">
        <v>0.159</v>
      </c>
      <c r="AG104" s="5">
        <v>1.29E-2</v>
      </c>
      <c r="AH104" s="5" t="e">
        <v>#N/A</v>
      </c>
      <c r="AI104" s="5">
        <v>7.6394561091625429E-3</v>
      </c>
      <c r="AJ104" s="5">
        <v>2.1287128712871289E-2</v>
      </c>
      <c r="AK104" s="5" t="e">
        <v>#N/A</v>
      </c>
      <c r="AL104" s="5" t="e">
        <v>#N/A</v>
      </c>
      <c r="AM104" s="5">
        <v>2.1000000000000001E-2</v>
      </c>
      <c r="AN104" s="5" t="e">
        <v>#N/A</v>
      </c>
      <c r="AO104" s="5">
        <v>7.5800000000000006E-2</v>
      </c>
      <c r="AP104" s="5">
        <v>5.2032499999999998E-4</v>
      </c>
      <c r="AQ104" s="5">
        <v>76.394561091625434</v>
      </c>
      <c r="AR104" s="5" t="e">
        <v>#N/A</v>
      </c>
    </row>
    <row r="105" spans="1:45" x14ac:dyDescent="0.25">
      <c r="A105" s="5">
        <v>2012</v>
      </c>
      <c r="B105" s="30">
        <v>41124</v>
      </c>
      <c r="C105" s="11" t="s">
        <v>40</v>
      </c>
      <c r="D105" s="11" t="s">
        <v>31</v>
      </c>
      <c r="E105" s="11" t="s">
        <v>24</v>
      </c>
      <c r="F105" s="11" t="s">
        <v>34</v>
      </c>
      <c r="G105" s="3" t="s">
        <v>440</v>
      </c>
      <c r="H105" s="11" t="s">
        <v>33</v>
      </c>
      <c r="I105" s="4" t="s">
        <v>38</v>
      </c>
      <c r="J105" s="106" t="s">
        <v>483</v>
      </c>
      <c r="K105" s="10" t="s">
        <v>30</v>
      </c>
      <c r="L105" s="5">
        <v>3</v>
      </c>
      <c r="M105" s="5">
        <v>5</v>
      </c>
      <c r="N105" s="5">
        <v>92</v>
      </c>
      <c r="O105" s="5">
        <v>96</v>
      </c>
      <c r="P105" s="5">
        <v>148</v>
      </c>
      <c r="Q105" s="5">
        <v>2.36</v>
      </c>
      <c r="R105" s="5">
        <v>18.795000000000002</v>
      </c>
      <c r="S105" s="5">
        <v>26.324000000000002</v>
      </c>
      <c r="T105" s="5">
        <v>25.702000000000002</v>
      </c>
      <c r="U105" s="5">
        <v>0.622</v>
      </c>
      <c r="V105" s="5">
        <v>0</v>
      </c>
      <c r="W105" s="5">
        <v>0</v>
      </c>
      <c r="X105" s="5">
        <v>0.70099999999999996</v>
      </c>
      <c r="Y105" s="5">
        <v>0.33200000000000002</v>
      </c>
      <c r="Z105" s="5">
        <v>26.656000000000002</v>
      </c>
      <c r="AA105" s="5">
        <v>27.357000000000003</v>
      </c>
      <c r="AB105" s="5">
        <v>9</v>
      </c>
      <c r="AC105" s="5">
        <v>8</v>
      </c>
      <c r="AD105" s="5">
        <v>0</v>
      </c>
      <c r="AE105" s="5">
        <v>0</v>
      </c>
      <c r="AF105" s="5">
        <v>0.13589999999999999</v>
      </c>
      <c r="AG105" s="5">
        <v>7.7000000000000002E-3</v>
      </c>
      <c r="AH105" s="5" t="e">
        <v>#N/A</v>
      </c>
      <c r="AI105" s="5">
        <v>5.2875262625476614E-3</v>
      </c>
      <c r="AJ105" s="5">
        <v>1.2379421221864952E-2</v>
      </c>
      <c r="AK105" s="5" t="e">
        <v>#N/A</v>
      </c>
      <c r="AL105" s="5" t="e">
        <v>#N/A</v>
      </c>
      <c r="AM105" s="5">
        <v>4.19E-2</v>
      </c>
      <c r="AN105" s="5" t="e">
        <v>#N/A</v>
      </c>
      <c r="AO105" s="5">
        <v>0.1855</v>
      </c>
      <c r="AP105" s="5">
        <v>2.855777777777778E-4</v>
      </c>
      <c r="AQ105" s="5">
        <v>52.875262625476608</v>
      </c>
      <c r="AR105" s="5" t="e">
        <v>#N/A</v>
      </c>
    </row>
    <row r="106" spans="1:45" x14ac:dyDescent="0.25">
      <c r="A106" s="5">
        <v>2012</v>
      </c>
      <c r="B106" s="6">
        <v>41124</v>
      </c>
      <c r="C106" s="1" t="s">
        <v>40</v>
      </c>
      <c r="D106" s="3" t="s">
        <v>31</v>
      </c>
      <c r="E106" s="1" t="s">
        <v>25</v>
      </c>
      <c r="F106" s="3" t="s">
        <v>35</v>
      </c>
      <c r="G106" s="3" t="s">
        <v>440</v>
      </c>
      <c r="H106" s="3" t="s">
        <v>32</v>
      </c>
      <c r="I106" s="2" t="s">
        <v>36</v>
      </c>
      <c r="J106" s="20" t="s">
        <v>12</v>
      </c>
      <c r="K106" s="10" t="s">
        <v>28</v>
      </c>
      <c r="L106" s="5">
        <v>1</v>
      </c>
      <c r="M106" s="5">
        <v>5</v>
      </c>
      <c r="N106" s="5">
        <v>4</v>
      </c>
      <c r="O106" s="5">
        <v>9</v>
      </c>
      <c r="P106" s="5">
        <v>101</v>
      </c>
      <c r="Q106" s="5">
        <v>0</v>
      </c>
      <c r="R106" s="5">
        <v>10.029</v>
      </c>
      <c r="S106" s="5">
        <v>10.616999999999999</v>
      </c>
      <c r="T106" s="5">
        <v>10.462999999999999</v>
      </c>
      <c r="U106" s="5">
        <v>0.154</v>
      </c>
      <c r="V106" s="5">
        <v>0</v>
      </c>
      <c r="W106" s="5">
        <v>0</v>
      </c>
      <c r="X106" s="5">
        <v>1.679</v>
      </c>
      <c r="Y106" s="5">
        <v>0.49099999999999999</v>
      </c>
      <c r="Z106" s="5">
        <v>11.107999999999999</v>
      </c>
      <c r="AA106" s="5">
        <v>12.786999999999999</v>
      </c>
      <c r="AB106" s="5">
        <v>10</v>
      </c>
      <c r="AC106" s="5">
        <v>8</v>
      </c>
      <c r="AD106" s="5">
        <v>0</v>
      </c>
      <c r="AE106" s="5">
        <v>0</v>
      </c>
      <c r="AF106" s="5">
        <v>9.6699999999999994E-2</v>
      </c>
      <c r="AG106" s="5">
        <v>1.2999999999999999E-3</v>
      </c>
      <c r="AH106" s="5" t="e">
        <v>#N/A</v>
      </c>
      <c r="AI106" s="5">
        <v>9.6699999999999998E-3</v>
      </c>
      <c r="AJ106" s="5">
        <v>1.6249999999999999E-4</v>
      </c>
      <c r="AK106" s="5" t="e">
        <v>#N/A</v>
      </c>
      <c r="AL106" s="5" t="e">
        <v>#N/A</v>
      </c>
      <c r="AM106" s="5">
        <v>0.10489999999999999</v>
      </c>
      <c r="AN106" s="5" t="e">
        <v>#N/A</v>
      </c>
      <c r="AO106" s="5">
        <v>0.20289999999999997</v>
      </c>
      <c r="AP106" s="5">
        <v>1.0463000000000001E-4</v>
      </c>
      <c r="AQ106" s="5">
        <v>92.420911784383051</v>
      </c>
      <c r="AR106" s="5" t="e">
        <v>#N/A</v>
      </c>
    </row>
    <row r="107" spans="1:45" x14ac:dyDescent="0.25">
      <c r="A107" s="5">
        <v>2012</v>
      </c>
      <c r="B107" s="6">
        <v>41124</v>
      </c>
      <c r="C107" s="1" t="s">
        <v>40</v>
      </c>
      <c r="D107" s="3" t="s">
        <v>31</v>
      </c>
      <c r="E107" s="1" t="s">
        <v>25</v>
      </c>
      <c r="F107" s="3" t="s">
        <v>35</v>
      </c>
      <c r="G107" s="3" t="s">
        <v>440</v>
      </c>
      <c r="H107" s="3" t="s">
        <v>32</v>
      </c>
      <c r="I107" s="2" t="s">
        <v>36</v>
      </c>
      <c r="J107" s="20" t="s">
        <v>10</v>
      </c>
      <c r="K107" s="20" t="s">
        <v>28</v>
      </c>
      <c r="L107" s="5">
        <v>5</v>
      </c>
      <c r="M107" s="5">
        <v>6</v>
      </c>
      <c r="N107" s="5">
        <v>5</v>
      </c>
      <c r="O107" s="5">
        <v>9</v>
      </c>
      <c r="P107" s="5">
        <v>106</v>
      </c>
      <c r="Q107" s="5">
        <v>0</v>
      </c>
      <c r="R107" s="5">
        <v>10.843</v>
      </c>
      <c r="S107" s="5">
        <v>12.346</v>
      </c>
      <c r="T107" s="5">
        <v>12.202999999999999</v>
      </c>
      <c r="U107" s="5">
        <v>0.14299999999999999</v>
      </c>
      <c r="V107" s="5">
        <v>0</v>
      </c>
      <c r="W107" s="5">
        <v>0</v>
      </c>
      <c r="X107" s="5">
        <v>2.766</v>
      </c>
      <c r="Y107" s="5">
        <v>0</v>
      </c>
      <c r="Z107" s="5">
        <v>12.346</v>
      </c>
      <c r="AA107" s="5">
        <v>15.112</v>
      </c>
      <c r="AB107" s="5">
        <v>19</v>
      </c>
      <c r="AC107" s="5">
        <v>12</v>
      </c>
      <c r="AD107" s="5">
        <v>0</v>
      </c>
      <c r="AE107" s="5">
        <v>0</v>
      </c>
      <c r="AF107" s="5">
        <v>0.1067</v>
      </c>
      <c r="AG107" s="5">
        <v>1.1000000000000001E-3</v>
      </c>
      <c r="AH107" s="5" t="e">
        <v>#N/A</v>
      </c>
      <c r="AI107" s="5">
        <v>5.6157894736842103E-3</v>
      </c>
      <c r="AJ107" s="5">
        <v>9.1666666666666668E-5</v>
      </c>
      <c r="AK107" s="5" t="e">
        <v>#N/A</v>
      </c>
      <c r="AL107" s="5" t="e">
        <v>#N/A</v>
      </c>
      <c r="AM107" s="5">
        <v>0.11990000000000001</v>
      </c>
      <c r="AN107" s="5">
        <v>0.121</v>
      </c>
      <c r="AO107" s="5">
        <v>0.34870000000000001</v>
      </c>
      <c r="AP107" s="5">
        <v>6.4226315789473677E-5</v>
      </c>
      <c r="AQ107" s="5">
        <v>87.437515365074177</v>
      </c>
      <c r="AR107" s="5" t="e">
        <v>#N/A</v>
      </c>
    </row>
    <row r="108" spans="1:45" x14ac:dyDescent="0.25">
      <c r="A108" s="5">
        <v>2012</v>
      </c>
      <c r="B108" s="6">
        <v>41125</v>
      </c>
      <c r="C108" s="1" t="s">
        <v>40</v>
      </c>
      <c r="D108" s="3" t="s">
        <v>31</v>
      </c>
      <c r="E108" s="1" t="s">
        <v>25</v>
      </c>
      <c r="F108" s="3" t="s">
        <v>35</v>
      </c>
      <c r="G108" s="3" t="s">
        <v>440</v>
      </c>
      <c r="H108" s="3" t="s">
        <v>32</v>
      </c>
      <c r="I108" s="2" t="s">
        <v>36</v>
      </c>
      <c r="J108" s="20" t="s">
        <v>8</v>
      </c>
      <c r="K108" s="10" t="s">
        <v>29</v>
      </c>
      <c r="L108" s="5">
        <v>1</v>
      </c>
      <c r="M108" s="5">
        <v>7</v>
      </c>
      <c r="N108" s="5">
        <v>43</v>
      </c>
      <c r="O108" s="5">
        <v>47</v>
      </c>
      <c r="P108" s="5">
        <v>94</v>
      </c>
      <c r="Q108" s="5">
        <v>0.74</v>
      </c>
      <c r="R108" s="5">
        <v>7.6769999999999996</v>
      </c>
      <c r="S108" s="5">
        <v>8.0250000000000004</v>
      </c>
      <c r="T108" s="5">
        <v>7.923</v>
      </c>
      <c r="U108" s="5">
        <v>0.10199999999999999</v>
      </c>
      <c r="V108" s="5">
        <v>0</v>
      </c>
      <c r="W108" s="5">
        <v>0</v>
      </c>
      <c r="X108" s="5">
        <v>1.214</v>
      </c>
      <c r="Y108" s="5">
        <v>0</v>
      </c>
      <c r="Z108" s="5">
        <v>8.0250000000000004</v>
      </c>
      <c r="AA108" s="5">
        <v>9.2390000000000008</v>
      </c>
      <c r="AB108" s="5">
        <v>4</v>
      </c>
      <c r="AC108" s="5">
        <v>4</v>
      </c>
      <c r="AD108" s="5">
        <v>0</v>
      </c>
      <c r="AE108" s="5">
        <v>0</v>
      </c>
      <c r="AF108" s="5">
        <v>5.3100000000000001E-2</v>
      </c>
      <c r="AG108" s="5">
        <v>0</v>
      </c>
      <c r="AH108" s="5" t="e">
        <v>#N/A</v>
      </c>
      <c r="AI108" s="5">
        <v>1.3275E-2</v>
      </c>
      <c r="AJ108" s="5">
        <v>0</v>
      </c>
      <c r="AK108" s="5" t="e">
        <v>#N/A</v>
      </c>
      <c r="AL108" s="5" t="e">
        <v>#N/A</v>
      </c>
      <c r="AM108" s="5">
        <v>4.2999999999999997E-2</v>
      </c>
      <c r="AN108" s="5" t="e">
        <v>#N/A</v>
      </c>
      <c r="AO108" s="5">
        <v>9.6099999999999991E-2</v>
      </c>
      <c r="AP108" s="5">
        <v>1.98075E-4</v>
      </c>
      <c r="AQ108" s="5">
        <v>67.020068156001514</v>
      </c>
      <c r="AR108" s="5" t="e">
        <v>#N/A</v>
      </c>
      <c r="AS108" s="5" t="s">
        <v>65</v>
      </c>
    </row>
    <row r="109" spans="1:45" x14ac:dyDescent="0.25">
      <c r="A109" s="5">
        <v>2012</v>
      </c>
      <c r="B109" s="6">
        <v>41125</v>
      </c>
      <c r="C109" s="1" t="s">
        <v>40</v>
      </c>
      <c r="D109" s="3" t="s">
        <v>31</v>
      </c>
      <c r="E109" s="1" t="s">
        <v>25</v>
      </c>
      <c r="F109" s="3" t="s">
        <v>35</v>
      </c>
      <c r="G109" s="3" t="s">
        <v>440</v>
      </c>
      <c r="H109" s="3" t="s">
        <v>32</v>
      </c>
      <c r="I109" s="2" t="s">
        <v>36</v>
      </c>
      <c r="J109" s="20" t="s">
        <v>9</v>
      </c>
      <c r="K109" s="10" t="s">
        <v>29</v>
      </c>
      <c r="L109" s="5">
        <v>7</v>
      </c>
      <c r="M109" s="5">
        <v>8</v>
      </c>
      <c r="N109" s="5">
        <v>41</v>
      </c>
      <c r="O109" s="5">
        <v>46</v>
      </c>
      <c r="P109" s="5">
        <v>93</v>
      </c>
      <c r="Q109" s="5">
        <v>1.54</v>
      </c>
      <c r="R109" s="5">
        <v>13.087999999999999</v>
      </c>
      <c r="S109" s="5">
        <v>11.396000000000001</v>
      </c>
      <c r="T109" s="5">
        <v>10.932</v>
      </c>
      <c r="U109" s="5">
        <v>0.46400000000000002</v>
      </c>
      <c r="V109" s="5">
        <v>0</v>
      </c>
      <c r="W109" s="5">
        <v>0</v>
      </c>
      <c r="X109" s="5">
        <v>2.625</v>
      </c>
      <c r="Y109" s="5">
        <v>0</v>
      </c>
      <c r="Z109" s="5">
        <v>11.396000000000001</v>
      </c>
      <c r="AA109" s="5">
        <v>14.021000000000001</v>
      </c>
      <c r="AB109" s="5">
        <v>15</v>
      </c>
      <c r="AC109" s="5">
        <v>15</v>
      </c>
      <c r="AD109" s="5">
        <v>0</v>
      </c>
      <c r="AE109" s="5">
        <v>0</v>
      </c>
      <c r="AF109" s="5">
        <v>7.0900000000000005E-2</v>
      </c>
      <c r="AG109" s="5">
        <v>2E-3</v>
      </c>
      <c r="AH109" s="5" t="e">
        <v>#N/A</v>
      </c>
      <c r="AI109" s="5">
        <v>4.7266666666666672E-3</v>
      </c>
      <c r="AJ109" s="5">
        <v>1.3333333333333334E-4</v>
      </c>
      <c r="AK109" s="5" t="e">
        <v>#N/A</v>
      </c>
      <c r="AL109" s="5" t="e">
        <v>#N/A</v>
      </c>
      <c r="AM109" s="5">
        <v>0.1512</v>
      </c>
      <c r="AN109" s="5" t="e">
        <v>#N/A</v>
      </c>
      <c r="AO109" s="5">
        <v>0.22410000000000002</v>
      </c>
      <c r="AP109" s="5">
        <v>7.2880000000000007E-5</v>
      </c>
      <c r="AQ109" s="5">
        <v>64.855470179290151</v>
      </c>
      <c r="AR109" s="5" t="e">
        <v>#N/A</v>
      </c>
    </row>
    <row r="110" spans="1:45" x14ac:dyDescent="0.25">
      <c r="A110" s="5">
        <v>2012</v>
      </c>
      <c r="B110" s="6">
        <v>41125</v>
      </c>
      <c r="C110" s="1" t="s">
        <v>40</v>
      </c>
      <c r="D110" s="3" t="s">
        <v>31</v>
      </c>
      <c r="E110" s="1" t="s">
        <v>25</v>
      </c>
      <c r="F110" s="3" t="s">
        <v>35</v>
      </c>
      <c r="G110" s="3" t="s">
        <v>440</v>
      </c>
      <c r="H110" s="3" t="s">
        <v>32</v>
      </c>
      <c r="I110" s="2" t="s">
        <v>36</v>
      </c>
      <c r="J110" s="20" t="s">
        <v>77</v>
      </c>
      <c r="K110" s="10" t="s">
        <v>30</v>
      </c>
      <c r="L110" s="5">
        <v>7</v>
      </c>
      <c r="M110" s="5">
        <v>4</v>
      </c>
      <c r="N110" s="5">
        <v>69</v>
      </c>
      <c r="O110" s="5">
        <v>71</v>
      </c>
      <c r="P110" s="5">
        <v>100</v>
      </c>
      <c r="Q110" s="5">
        <v>1.76</v>
      </c>
      <c r="R110" s="5">
        <v>8.9339999999999993</v>
      </c>
      <c r="S110" s="5">
        <v>9.3019999999999996</v>
      </c>
      <c r="T110" s="5">
        <v>9.1440000000000001</v>
      </c>
      <c r="U110" s="5">
        <v>0.158</v>
      </c>
      <c r="V110" s="5">
        <v>0</v>
      </c>
      <c r="W110" s="5">
        <v>0</v>
      </c>
      <c r="X110" s="5">
        <v>1.3360000000000001</v>
      </c>
      <c r="Y110" s="5">
        <v>0</v>
      </c>
      <c r="Z110" s="5">
        <v>9.3019999999999996</v>
      </c>
      <c r="AA110" s="5">
        <v>10.638</v>
      </c>
      <c r="AB110" s="5">
        <v>6</v>
      </c>
      <c r="AC110" s="5">
        <v>4</v>
      </c>
      <c r="AD110" s="5">
        <v>0</v>
      </c>
      <c r="AE110" s="5">
        <v>0</v>
      </c>
      <c r="AF110" s="5">
        <v>0.06</v>
      </c>
      <c r="AG110" s="5">
        <v>1.1999999999999999E-3</v>
      </c>
      <c r="AH110" s="5" t="e">
        <v>#N/A</v>
      </c>
      <c r="AI110" s="5">
        <v>0.01</v>
      </c>
      <c r="AJ110" s="5">
        <v>2.9999999999999997E-4</v>
      </c>
      <c r="AK110" s="5" t="e">
        <v>#N/A</v>
      </c>
      <c r="AL110" s="5" t="e">
        <v>#N/A</v>
      </c>
      <c r="AM110" s="5">
        <v>5.2699999999999997E-2</v>
      </c>
      <c r="AN110" s="5" t="e">
        <v>#N/A</v>
      </c>
      <c r="AO110" s="5">
        <v>0.1139</v>
      </c>
      <c r="AP110" s="5">
        <v>1.5240000000000002E-4</v>
      </c>
      <c r="AQ110" s="5">
        <v>65.616797900262455</v>
      </c>
      <c r="AR110" s="5" t="e">
        <v>#N/A</v>
      </c>
    </row>
    <row r="111" spans="1:45" x14ac:dyDescent="0.25">
      <c r="A111" s="5">
        <v>2012</v>
      </c>
      <c r="B111" s="6">
        <v>41125</v>
      </c>
      <c r="C111" s="1" t="s">
        <v>40</v>
      </c>
      <c r="D111" s="3" t="s">
        <v>31</v>
      </c>
      <c r="E111" s="1" t="s">
        <v>25</v>
      </c>
      <c r="F111" s="3" t="s">
        <v>35</v>
      </c>
      <c r="G111" s="3" t="s">
        <v>440</v>
      </c>
      <c r="H111" s="3" t="s">
        <v>32</v>
      </c>
      <c r="I111" s="2" t="s">
        <v>36</v>
      </c>
      <c r="J111" s="20" t="s">
        <v>78</v>
      </c>
      <c r="K111" s="10" t="s">
        <v>30</v>
      </c>
      <c r="L111" s="5">
        <v>2</v>
      </c>
      <c r="M111" s="5">
        <v>5</v>
      </c>
      <c r="N111" s="5">
        <v>75</v>
      </c>
      <c r="O111" s="5">
        <v>77</v>
      </c>
      <c r="P111" s="5">
        <v>95</v>
      </c>
      <c r="Q111" s="5">
        <v>1.76</v>
      </c>
      <c r="R111" s="5">
        <v>16.222999999999999</v>
      </c>
      <c r="S111" s="5">
        <v>12.654999999999999</v>
      </c>
      <c r="T111" s="5">
        <v>12.343999999999999</v>
      </c>
      <c r="U111" s="5">
        <v>0.311</v>
      </c>
      <c r="V111" s="5">
        <v>0</v>
      </c>
      <c r="W111" s="5">
        <v>0</v>
      </c>
      <c r="X111" s="5">
        <v>2.048</v>
      </c>
      <c r="Y111" s="5">
        <v>0</v>
      </c>
      <c r="Z111" s="5">
        <v>12.654999999999999</v>
      </c>
      <c r="AA111" s="5">
        <v>14.702999999999999</v>
      </c>
      <c r="AB111" s="5">
        <v>11</v>
      </c>
      <c r="AC111" s="5">
        <v>11</v>
      </c>
      <c r="AD111" s="5">
        <v>0</v>
      </c>
      <c r="AE111" s="5">
        <v>0</v>
      </c>
      <c r="AF111" s="5">
        <v>7.6399999999999996E-2</v>
      </c>
      <c r="AG111" s="5">
        <v>3.5999999999999999E-3</v>
      </c>
      <c r="AH111" s="5" t="e">
        <v>#N/A</v>
      </c>
      <c r="AI111" s="5">
        <v>6.9454545454545455E-3</v>
      </c>
      <c r="AJ111" s="5">
        <v>3.2727272727272726E-4</v>
      </c>
      <c r="AK111" s="5" t="e">
        <v>#N/A</v>
      </c>
      <c r="AL111" s="5" t="e">
        <v>#N/A</v>
      </c>
      <c r="AM111" s="5">
        <v>8.5300000000000001E-2</v>
      </c>
      <c r="AN111" s="5" t="e">
        <v>#N/A</v>
      </c>
      <c r="AO111" s="5">
        <v>0.1653</v>
      </c>
      <c r="AP111" s="5">
        <v>1.1221818181818182E-4</v>
      </c>
      <c r="AQ111" s="5">
        <v>61.892417368762146</v>
      </c>
      <c r="AR111" s="5" t="e">
        <v>#N/A</v>
      </c>
    </row>
    <row r="112" spans="1:45" x14ac:dyDescent="0.25">
      <c r="A112" s="5">
        <v>2012</v>
      </c>
      <c r="B112" s="6">
        <v>41128</v>
      </c>
      <c r="C112" s="1" t="s">
        <v>40</v>
      </c>
      <c r="D112" s="3" t="s">
        <v>49</v>
      </c>
      <c r="E112" s="1" t="s">
        <v>26</v>
      </c>
      <c r="F112" s="3" t="s">
        <v>34</v>
      </c>
      <c r="G112" s="3" t="s">
        <v>440</v>
      </c>
      <c r="H112" s="3" t="s">
        <v>32</v>
      </c>
      <c r="I112" s="2" t="s">
        <v>36</v>
      </c>
      <c r="J112" s="20" t="s">
        <v>47</v>
      </c>
      <c r="K112" s="20" t="s">
        <v>28</v>
      </c>
      <c r="L112" s="5">
        <v>10</v>
      </c>
      <c r="M112" s="5">
        <v>3</v>
      </c>
      <c r="N112" s="5">
        <v>27</v>
      </c>
      <c r="O112" s="5">
        <v>31</v>
      </c>
      <c r="P112" s="5">
        <v>124</v>
      </c>
      <c r="Q112" s="5">
        <v>0</v>
      </c>
      <c r="R112" s="5">
        <v>8.0250000000000004</v>
      </c>
      <c r="S112" s="5">
        <v>9.6549999999999994</v>
      </c>
      <c r="T112" s="5">
        <v>9.41</v>
      </c>
      <c r="U112" s="5">
        <v>0.245</v>
      </c>
      <c r="V112" s="5">
        <v>0</v>
      </c>
      <c r="W112" s="5">
        <v>0</v>
      </c>
      <c r="X112" s="5">
        <v>2.1150000000000002</v>
      </c>
      <c r="Y112" s="5">
        <v>0</v>
      </c>
      <c r="Z112" s="5">
        <v>9.41</v>
      </c>
      <c r="AA112" s="5">
        <v>11.77</v>
      </c>
      <c r="AB112" s="5">
        <v>20</v>
      </c>
      <c r="AC112" s="5">
        <v>20</v>
      </c>
      <c r="AD112" s="5">
        <v>0</v>
      </c>
      <c r="AE112" s="5">
        <v>0</v>
      </c>
      <c r="AF112" s="5">
        <v>8.0100000000000005E-2</v>
      </c>
      <c r="AG112" s="5">
        <v>2.5999999999999999E-3</v>
      </c>
      <c r="AH112" s="5" t="e">
        <v>#N/A</v>
      </c>
      <c r="AI112" s="5">
        <v>4.0049999999999999E-3</v>
      </c>
      <c r="AJ112" s="5">
        <v>1.2999999999999999E-4</v>
      </c>
      <c r="AK112" s="5" t="e">
        <v>#N/A</v>
      </c>
      <c r="AL112" s="5" t="e">
        <v>#N/A</v>
      </c>
      <c r="AM112" s="5">
        <v>0.12590000000000001</v>
      </c>
      <c r="AN112" s="5" t="e">
        <v>#N/A</v>
      </c>
      <c r="AO112" s="5">
        <v>0.20860000000000001</v>
      </c>
      <c r="AP112" s="5">
        <v>4.7050000000000005E-5</v>
      </c>
      <c r="AQ112" s="5">
        <v>85.122210414452709</v>
      </c>
      <c r="AR112" s="5" t="e">
        <v>#N/A</v>
      </c>
    </row>
    <row r="113" spans="1:44" x14ac:dyDescent="0.25">
      <c r="A113" s="5">
        <v>2012</v>
      </c>
      <c r="B113" s="6">
        <v>41128</v>
      </c>
      <c r="C113" s="1" t="s">
        <v>40</v>
      </c>
      <c r="D113" s="3" t="s">
        <v>49</v>
      </c>
      <c r="E113" s="1" t="s">
        <v>26</v>
      </c>
      <c r="F113" s="3" t="s">
        <v>34</v>
      </c>
      <c r="G113" s="3" t="s">
        <v>440</v>
      </c>
      <c r="H113" s="3" t="s">
        <v>32</v>
      </c>
      <c r="I113" s="2" t="s">
        <v>36</v>
      </c>
      <c r="J113" s="20" t="s">
        <v>4</v>
      </c>
      <c r="K113" s="10" t="s">
        <v>28</v>
      </c>
      <c r="L113" s="5">
        <v>8</v>
      </c>
      <c r="M113" s="5">
        <v>5</v>
      </c>
      <c r="N113" s="5">
        <v>31</v>
      </c>
      <c r="O113" s="5">
        <v>36</v>
      </c>
      <c r="P113" s="5">
        <v>127</v>
      </c>
      <c r="Q113" s="5">
        <v>0</v>
      </c>
      <c r="R113" s="5">
        <v>12.403</v>
      </c>
      <c r="S113" s="5">
        <v>12.438000000000001</v>
      </c>
      <c r="T113" s="5">
        <v>12.048</v>
      </c>
      <c r="U113" s="5">
        <v>0.39</v>
      </c>
      <c r="V113" s="5">
        <v>0</v>
      </c>
      <c r="W113" s="5">
        <v>1.9830000000000001</v>
      </c>
      <c r="X113" s="5">
        <v>2.3069999999999999</v>
      </c>
      <c r="Y113" s="5">
        <v>0</v>
      </c>
      <c r="Z113" s="5">
        <v>14.031000000000001</v>
      </c>
      <c r="AA113" s="5">
        <v>16.728000000000002</v>
      </c>
      <c r="AB113" s="5">
        <v>21</v>
      </c>
      <c r="AC113" s="5">
        <v>15</v>
      </c>
      <c r="AD113" s="5">
        <v>0</v>
      </c>
      <c r="AE113" s="5">
        <v>3</v>
      </c>
      <c r="AF113" s="5">
        <v>0.94299999999999995</v>
      </c>
      <c r="AG113" s="5">
        <v>2.5999999999999999E-3</v>
      </c>
      <c r="AH113" s="5" t="e">
        <v>#N/A</v>
      </c>
      <c r="AI113" s="5">
        <v>4.4904761904761906E-2</v>
      </c>
      <c r="AJ113" s="5">
        <v>1.7333333333333334E-4</v>
      </c>
      <c r="AK113" s="5" t="e">
        <v>#N/A</v>
      </c>
      <c r="AL113" s="5">
        <v>3.27E-2</v>
      </c>
      <c r="AM113" s="5">
        <v>0.1249</v>
      </c>
      <c r="AN113" s="5" t="e">
        <v>#N/A</v>
      </c>
      <c r="AO113" s="5">
        <v>1.1032</v>
      </c>
      <c r="AP113" s="5">
        <v>5.7371428571428573E-5</v>
      </c>
      <c r="AQ113" s="5">
        <v>782.70252324037176</v>
      </c>
      <c r="AR113" s="5" t="e">
        <v>#N/A</v>
      </c>
    </row>
    <row r="114" spans="1:44" x14ac:dyDescent="0.25">
      <c r="A114" s="5">
        <v>2012</v>
      </c>
      <c r="B114" s="6">
        <v>41128</v>
      </c>
      <c r="C114" s="1" t="s">
        <v>40</v>
      </c>
      <c r="D114" s="3" t="s">
        <v>49</v>
      </c>
      <c r="E114" s="1" t="s">
        <v>26</v>
      </c>
      <c r="F114" s="3" t="s">
        <v>34</v>
      </c>
      <c r="G114" s="3" t="s">
        <v>440</v>
      </c>
      <c r="H114" s="3" t="s">
        <v>32</v>
      </c>
      <c r="I114" s="2" t="s">
        <v>36</v>
      </c>
      <c r="J114" s="20" t="s">
        <v>5</v>
      </c>
      <c r="K114" s="10" t="s">
        <v>29</v>
      </c>
      <c r="L114" s="5">
        <v>6</v>
      </c>
      <c r="M114" s="5">
        <v>9</v>
      </c>
      <c r="N114" s="5">
        <v>55</v>
      </c>
      <c r="O114" s="5">
        <v>60</v>
      </c>
      <c r="P114" s="5">
        <v>114</v>
      </c>
      <c r="Q114" s="5">
        <v>0.7</v>
      </c>
      <c r="R114" s="5">
        <v>12.1</v>
      </c>
      <c r="S114" s="5">
        <v>14.998999999999999</v>
      </c>
      <c r="T114" s="5">
        <v>14.635999999999999</v>
      </c>
      <c r="U114" s="5">
        <v>0.36299999999999999</v>
      </c>
      <c r="V114" s="5">
        <v>0</v>
      </c>
      <c r="W114" s="5">
        <v>0</v>
      </c>
      <c r="X114" s="5">
        <v>1.7789999999999999</v>
      </c>
      <c r="Y114" s="5">
        <v>0</v>
      </c>
      <c r="Z114" s="5">
        <v>14.635999999999999</v>
      </c>
      <c r="AA114" s="5">
        <v>16.777999999999999</v>
      </c>
      <c r="AB114" s="5">
        <v>25</v>
      </c>
      <c r="AC114" s="5">
        <v>17</v>
      </c>
      <c r="AD114" s="5">
        <v>0</v>
      </c>
      <c r="AE114" s="5">
        <v>0</v>
      </c>
      <c r="AF114" s="5">
        <v>8.3500000000000005E-2</v>
      </c>
      <c r="AG114" s="5">
        <v>3.2000000000000002E-3</v>
      </c>
      <c r="AH114" s="5" t="e">
        <v>#N/A</v>
      </c>
      <c r="AI114" s="5">
        <v>3.3400000000000001E-3</v>
      </c>
      <c r="AJ114" s="5">
        <v>1.8823529411764707E-4</v>
      </c>
      <c r="AK114" s="5" t="e">
        <v>#N/A</v>
      </c>
      <c r="AL114" s="5" t="e">
        <v>#N/A</v>
      </c>
      <c r="AM114" s="5">
        <v>8.5599999999999996E-2</v>
      </c>
      <c r="AN114" s="5" t="e">
        <v>#N/A</v>
      </c>
      <c r="AO114" s="5">
        <v>0.17230000000000001</v>
      </c>
      <c r="AP114" s="5">
        <v>5.8544000000000001E-5</v>
      </c>
      <c r="AQ114" s="5">
        <v>57.051106859797763</v>
      </c>
      <c r="AR114" s="5" t="e">
        <v>#N/A</v>
      </c>
    </row>
    <row r="115" spans="1:44" x14ac:dyDescent="0.25">
      <c r="A115" s="5">
        <v>2012</v>
      </c>
      <c r="B115" s="6">
        <v>41128</v>
      </c>
      <c r="C115" s="1" t="s">
        <v>40</v>
      </c>
      <c r="D115" s="3" t="s">
        <v>49</v>
      </c>
      <c r="E115" s="1" t="s">
        <v>26</v>
      </c>
      <c r="F115" s="3" t="s">
        <v>34</v>
      </c>
      <c r="G115" s="3" t="s">
        <v>440</v>
      </c>
      <c r="H115" s="3" t="s">
        <v>32</v>
      </c>
      <c r="I115" s="2" t="s">
        <v>46</v>
      </c>
      <c r="J115" s="20" t="s">
        <v>95</v>
      </c>
      <c r="K115" s="10" t="s">
        <v>29</v>
      </c>
      <c r="L115" s="5">
        <v>4</v>
      </c>
      <c r="M115" s="5">
        <v>3</v>
      </c>
      <c r="N115" s="5">
        <v>49</v>
      </c>
      <c r="O115" s="5">
        <v>50</v>
      </c>
      <c r="P115" s="5">
        <v>115</v>
      </c>
      <c r="Q115" s="5">
        <v>1.8</v>
      </c>
      <c r="R115" s="5">
        <v>30.776</v>
      </c>
      <c r="S115" s="5">
        <v>43.244</v>
      </c>
      <c r="T115" s="5">
        <v>42.14</v>
      </c>
      <c r="U115" s="5">
        <v>1.1040000000000001</v>
      </c>
      <c r="V115" s="5">
        <v>0</v>
      </c>
      <c r="W115" s="5">
        <v>0</v>
      </c>
      <c r="X115" s="5">
        <v>2.7280000000000002</v>
      </c>
      <c r="Y115" s="5">
        <v>1.3680000000000001</v>
      </c>
      <c r="Z115" s="5">
        <v>43.508000000000003</v>
      </c>
      <c r="AA115" s="5">
        <v>47.34</v>
      </c>
      <c r="AB115" s="5">
        <v>29</v>
      </c>
      <c r="AC115" s="5">
        <v>29</v>
      </c>
      <c r="AD115" s="5">
        <v>0</v>
      </c>
      <c r="AE115" s="5">
        <v>0</v>
      </c>
      <c r="AF115" s="5">
        <v>0.39960000000000001</v>
      </c>
      <c r="AG115" s="5">
        <v>2.1100000000000001E-2</v>
      </c>
      <c r="AH115" s="5">
        <v>1.6000000000000001E-3</v>
      </c>
      <c r="AI115" s="5">
        <v>1.3779310344827586E-2</v>
      </c>
      <c r="AJ115" s="5">
        <v>7.2758620689655177E-4</v>
      </c>
      <c r="AK115" s="5" t="e">
        <v>#N/A</v>
      </c>
      <c r="AL115" s="5" t="e">
        <v>#N/A</v>
      </c>
      <c r="AM115" s="5">
        <v>0.1439</v>
      </c>
      <c r="AN115" s="5">
        <v>6.1400000000000003E-2</v>
      </c>
      <c r="AO115" s="5">
        <v>0.62760000000000005</v>
      </c>
      <c r="AP115" s="5">
        <v>1.4531034482758619E-4</v>
      </c>
      <c r="AQ115" s="5">
        <v>94.826767916468924</v>
      </c>
      <c r="AR115" s="5" t="e">
        <v>#N/A</v>
      </c>
    </row>
    <row r="116" spans="1:44" x14ac:dyDescent="0.25">
      <c r="A116" s="5">
        <v>2012</v>
      </c>
      <c r="B116" s="6">
        <v>41128</v>
      </c>
      <c r="C116" s="1" t="s">
        <v>40</v>
      </c>
      <c r="D116" s="3" t="s">
        <v>49</v>
      </c>
      <c r="E116" s="1" t="s">
        <v>26</v>
      </c>
      <c r="F116" s="3" t="s">
        <v>34</v>
      </c>
      <c r="G116" s="3" t="s">
        <v>440</v>
      </c>
      <c r="H116" s="3" t="s">
        <v>32</v>
      </c>
      <c r="I116" s="2" t="s">
        <v>46</v>
      </c>
      <c r="J116" s="20" t="s">
        <v>96</v>
      </c>
      <c r="K116" s="10" t="s">
        <v>30</v>
      </c>
      <c r="L116" s="5">
        <v>7</v>
      </c>
      <c r="M116" s="5">
        <v>7</v>
      </c>
      <c r="N116" s="5">
        <v>76</v>
      </c>
      <c r="O116" s="5">
        <v>77</v>
      </c>
      <c r="P116" s="5">
        <v>115</v>
      </c>
      <c r="Q116" s="5">
        <v>2.12</v>
      </c>
      <c r="R116" s="5">
        <v>15.837999999999999</v>
      </c>
      <c r="S116" s="5">
        <v>17.466999999999999</v>
      </c>
      <c r="T116" s="5">
        <v>17.056999999999999</v>
      </c>
      <c r="U116" s="5">
        <v>0.41</v>
      </c>
      <c r="V116" s="5">
        <v>0</v>
      </c>
      <c r="W116" s="5">
        <v>0</v>
      </c>
      <c r="X116" s="5">
        <v>0.81299999999999994</v>
      </c>
      <c r="Y116" s="5">
        <v>0.91300000000000003</v>
      </c>
      <c r="Z116" s="5">
        <v>17.97</v>
      </c>
      <c r="AA116" s="5">
        <v>19.192999999999998</v>
      </c>
      <c r="AB116" s="5">
        <v>9</v>
      </c>
      <c r="AC116" s="5">
        <v>6</v>
      </c>
      <c r="AD116" s="5">
        <v>0</v>
      </c>
      <c r="AE116" s="5">
        <v>0</v>
      </c>
      <c r="AF116" s="5">
        <v>9.9699999999999997E-2</v>
      </c>
      <c r="AG116" s="5">
        <v>3.8999999999999998E-3</v>
      </c>
      <c r="AH116" s="5" t="e">
        <v>#N/A</v>
      </c>
      <c r="AI116" s="5">
        <v>1.1077777777777777E-2</v>
      </c>
      <c r="AJ116" s="5">
        <v>6.4999999999999997E-4</v>
      </c>
      <c r="AK116" s="5" t="e">
        <v>#N/A</v>
      </c>
      <c r="AL116" s="5" t="e">
        <v>#N/A</v>
      </c>
      <c r="AM116" s="5">
        <v>3.6999999999999998E-2</v>
      </c>
      <c r="AN116" s="5">
        <v>0.03</v>
      </c>
      <c r="AO116" s="5">
        <v>0.1706</v>
      </c>
      <c r="AP116" s="5">
        <v>1.895222222222222E-4</v>
      </c>
      <c r="AQ116" s="5">
        <v>58.451075804654984</v>
      </c>
      <c r="AR116" s="5" t="e">
        <v>#N/A</v>
      </c>
    </row>
    <row r="117" spans="1:44" x14ac:dyDescent="0.25">
      <c r="A117" s="5">
        <v>2012</v>
      </c>
      <c r="B117" s="6">
        <v>41128</v>
      </c>
      <c r="C117" s="1" t="s">
        <v>40</v>
      </c>
      <c r="D117" s="3" t="s">
        <v>49</v>
      </c>
      <c r="E117" s="1" t="s">
        <v>26</v>
      </c>
      <c r="F117" s="3" t="s">
        <v>34</v>
      </c>
      <c r="G117" s="3" t="s">
        <v>440</v>
      </c>
      <c r="H117" s="3" t="s">
        <v>32</v>
      </c>
      <c r="I117" s="2" t="s">
        <v>36</v>
      </c>
      <c r="J117" s="20" t="s">
        <v>76</v>
      </c>
      <c r="K117" s="10" t="s">
        <v>30</v>
      </c>
      <c r="L117" s="5">
        <v>10</v>
      </c>
      <c r="M117" s="5">
        <v>2</v>
      </c>
      <c r="N117" s="5">
        <v>72</v>
      </c>
      <c r="O117" s="5">
        <v>73</v>
      </c>
      <c r="P117" s="5">
        <v>111</v>
      </c>
      <c r="Q117" s="5">
        <v>3.22</v>
      </c>
      <c r="R117" s="5">
        <v>18.751000000000001</v>
      </c>
      <c r="S117" s="5">
        <v>24.971</v>
      </c>
      <c r="T117" s="5">
        <v>24.193999999999999</v>
      </c>
      <c r="U117" s="5">
        <v>0.77700000000000002</v>
      </c>
      <c r="V117" s="5">
        <v>0</v>
      </c>
      <c r="W117" s="5">
        <v>0</v>
      </c>
      <c r="X117" s="5">
        <v>3.976</v>
      </c>
      <c r="Y117" s="5">
        <v>0</v>
      </c>
      <c r="Z117" s="5">
        <v>24.193999999999999</v>
      </c>
      <c r="AA117" s="5">
        <v>28.946999999999999</v>
      </c>
      <c r="AB117" s="5">
        <v>38</v>
      </c>
      <c r="AC117" s="5">
        <v>28</v>
      </c>
      <c r="AD117" s="5">
        <v>0</v>
      </c>
      <c r="AE117" s="5">
        <v>0</v>
      </c>
      <c r="AF117" s="5">
        <v>0.13669999999999999</v>
      </c>
      <c r="AG117" s="5">
        <v>5.4999999999999997E-3</v>
      </c>
      <c r="AH117" s="5" t="e">
        <v>#N/A</v>
      </c>
      <c r="AI117" s="5">
        <v>3.5973684210526312E-3</v>
      </c>
      <c r="AJ117" s="5">
        <v>1.9642857142857141E-4</v>
      </c>
      <c r="AK117" s="5" t="e">
        <v>#N/A</v>
      </c>
      <c r="AL117" s="5" t="e">
        <v>#N/A</v>
      </c>
      <c r="AM117" s="5">
        <v>0.2006</v>
      </c>
      <c r="AN117" s="5" t="e">
        <v>#N/A</v>
      </c>
      <c r="AO117" s="5">
        <v>0.34279999999999999</v>
      </c>
      <c r="AP117" s="5">
        <v>6.3668421052631577E-5</v>
      </c>
      <c r="AQ117" s="5">
        <v>56.501611969909895</v>
      </c>
      <c r="AR117" s="5" t="e">
        <v>#N/A</v>
      </c>
    </row>
  </sheetData>
  <sortState ref="B3:AX118">
    <sortCondition descending="1" ref="K3:K118"/>
    <sortCondition ref="R3:R118"/>
    <sortCondition ref="AQ3:AQ118"/>
  </sortState>
  <phoneticPr fontId="20" type="noConversion"/>
  <dataValidations count="10">
    <dataValidation type="list" allowBlank="1" showInputMessage="1" showErrorMessage="1" sqref="H56:H61 H27:H28 H32:H49 H64:H99 H106:H117">
      <formula1>DomVeg</formula1>
    </dataValidation>
    <dataValidation type="list" allowBlank="1" showInputMessage="1" showErrorMessage="1" sqref="I26:I28 I42:I54 I56:I93 J3:J14 I100:I117 K2:K7 J45:J50 J33:J38 J57:J62 J101:J106">
      <formula1>Species</formula1>
    </dataValidation>
    <dataValidation type="list" allowBlank="1" showInputMessage="1" showErrorMessage="1" sqref="L32:L37 M2:M7 K26:K28 K44:K71 K73:K117">
      <formula1>CanopyPosition</formula1>
    </dataValidation>
    <dataValidation type="list" allowBlank="1" showInputMessage="1" showErrorMessage="1" sqref="M32:M37 L102:L117 N2:N7 L26:L28 L44:L71 L73:L86 L88:L100">
      <formula1>Row</formula1>
    </dataValidation>
    <dataValidation type="list" allowBlank="1" showInputMessage="1" showErrorMessage="1" sqref="N32:N37 M102:M117 O2:O7 M26:M28 M44:M71 M73:M86 M88:M100">
      <formula1>Pin</formula1>
    </dataValidation>
    <dataValidation type="list" allowBlank="1" showInputMessage="1" showErrorMessage="1" sqref="E106:E117 E64:E99 E32:E49 E27:E28 E56:E61 E2:E7">
      <formula1>SampleID</formula1>
    </dataValidation>
    <dataValidation type="list" allowBlank="1" showInputMessage="1" showErrorMessage="1" sqref="D56:D61 D27:D28 D32:D49 D68:D99 D106:D117 D2:D7">
      <formula1>Group</formula1>
    </dataValidation>
    <dataValidation type="list" allowBlank="1" showInputMessage="1" showErrorMessage="1" sqref="F56:F61 F27:F28 F32:F49 F64:F99 F106:F117 F2:F7">
      <formula1>Treatment</formula1>
    </dataValidation>
    <dataValidation type="list" allowBlank="1" showInputMessage="1" showErrorMessage="1" sqref="C27:C28 C56:C61 C32:C49 C64:C99 C106:C117 C2:C7">
      <formula1>Site</formula1>
    </dataValidation>
    <dataValidation type="list" allowBlank="1" showInputMessage="1" showErrorMessage="1" sqref="G2:G117">
      <formula1>Measurement</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N638"/>
  <sheetViews>
    <sheetView topLeftCell="A539" zoomScale="96" zoomScaleNormal="96" workbookViewId="0">
      <selection activeCell="B587" sqref="B587"/>
    </sheetView>
  </sheetViews>
  <sheetFormatPr defaultRowHeight="12.75" x14ac:dyDescent="0.2"/>
  <cols>
    <col min="1" max="1" width="9.140625" style="116"/>
    <col min="2" max="2" width="26.5703125" style="116" customWidth="1"/>
    <col min="3" max="3" width="51.85546875" style="116" customWidth="1"/>
    <col min="4" max="4" width="11.7109375" style="116" customWidth="1"/>
    <col min="5" max="5" width="13.85546875" style="116" customWidth="1"/>
    <col min="6" max="257" width="9.140625" style="116"/>
    <col min="258" max="258" width="26.5703125" style="116" customWidth="1"/>
    <col min="259" max="259" width="51.85546875" style="116" customWidth="1"/>
    <col min="260" max="260" width="11.7109375" style="116" customWidth="1"/>
    <col min="261" max="261" width="13.85546875" style="116" customWidth="1"/>
    <col min="262" max="513" width="9.140625" style="116"/>
    <col min="514" max="514" width="26.5703125" style="116" customWidth="1"/>
    <col min="515" max="515" width="51.85546875" style="116" customWidth="1"/>
    <col min="516" max="516" width="11.7109375" style="116" customWidth="1"/>
    <col min="517" max="517" width="13.85546875" style="116" customWidth="1"/>
    <col min="518" max="769" width="9.140625" style="116"/>
    <col min="770" max="770" width="26.5703125" style="116" customWidth="1"/>
    <col min="771" max="771" width="51.85546875" style="116" customWidth="1"/>
    <col min="772" max="772" width="11.7109375" style="116" customWidth="1"/>
    <col min="773" max="773" width="13.85546875" style="116" customWidth="1"/>
    <col min="774" max="1025" width="9.140625" style="116"/>
    <col min="1026" max="1026" width="26.5703125" style="116" customWidth="1"/>
    <col min="1027" max="1027" width="51.85546875" style="116" customWidth="1"/>
    <col min="1028" max="1028" width="11.7109375" style="116" customWidth="1"/>
    <col min="1029" max="1029" width="13.85546875" style="116" customWidth="1"/>
    <col min="1030" max="1281" width="9.140625" style="116"/>
    <col min="1282" max="1282" width="26.5703125" style="116" customWidth="1"/>
    <col min="1283" max="1283" width="51.85546875" style="116" customWidth="1"/>
    <col min="1284" max="1284" width="11.7109375" style="116" customWidth="1"/>
    <col min="1285" max="1285" width="13.85546875" style="116" customWidth="1"/>
    <col min="1286" max="1537" width="9.140625" style="116"/>
    <col min="1538" max="1538" width="26.5703125" style="116" customWidth="1"/>
    <col min="1539" max="1539" width="51.85546875" style="116" customWidth="1"/>
    <col min="1540" max="1540" width="11.7109375" style="116" customWidth="1"/>
    <col min="1541" max="1541" width="13.85546875" style="116" customWidth="1"/>
    <col min="1542" max="1793" width="9.140625" style="116"/>
    <col min="1794" max="1794" width="26.5703125" style="116" customWidth="1"/>
    <col min="1795" max="1795" width="51.85546875" style="116" customWidth="1"/>
    <col min="1796" max="1796" width="11.7109375" style="116" customWidth="1"/>
    <col min="1797" max="1797" width="13.85546875" style="116" customWidth="1"/>
    <col min="1798" max="2049" width="9.140625" style="116"/>
    <col min="2050" max="2050" width="26.5703125" style="116" customWidth="1"/>
    <col min="2051" max="2051" width="51.85546875" style="116" customWidth="1"/>
    <col min="2052" max="2052" width="11.7109375" style="116" customWidth="1"/>
    <col min="2053" max="2053" width="13.85546875" style="116" customWidth="1"/>
    <col min="2054" max="2305" width="9.140625" style="116"/>
    <col min="2306" max="2306" width="26.5703125" style="116" customWidth="1"/>
    <col min="2307" max="2307" width="51.85546875" style="116" customWidth="1"/>
    <col min="2308" max="2308" width="11.7109375" style="116" customWidth="1"/>
    <col min="2309" max="2309" width="13.85546875" style="116" customWidth="1"/>
    <col min="2310" max="2561" width="9.140625" style="116"/>
    <col min="2562" max="2562" width="26.5703125" style="116" customWidth="1"/>
    <col min="2563" max="2563" width="51.85546875" style="116" customWidth="1"/>
    <col min="2564" max="2564" width="11.7109375" style="116" customWidth="1"/>
    <col min="2565" max="2565" width="13.85546875" style="116" customWidth="1"/>
    <col min="2566" max="2817" width="9.140625" style="116"/>
    <col min="2818" max="2818" width="26.5703125" style="116" customWidth="1"/>
    <col min="2819" max="2819" width="51.85546875" style="116" customWidth="1"/>
    <col min="2820" max="2820" width="11.7109375" style="116" customWidth="1"/>
    <col min="2821" max="2821" width="13.85546875" style="116" customWidth="1"/>
    <col min="2822" max="3073" width="9.140625" style="116"/>
    <col min="3074" max="3074" width="26.5703125" style="116" customWidth="1"/>
    <col min="3075" max="3075" width="51.85546875" style="116" customWidth="1"/>
    <col min="3076" max="3076" width="11.7109375" style="116" customWidth="1"/>
    <col min="3077" max="3077" width="13.85546875" style="116" customWidth="1"/>
    <col min="3078" max="3329" width="9.140625" style="116"/>
    <col min="3330" max="3330" width="26.5703125" style="116" customWidth="1"/>
    <col min="3331" max="3331" width="51.85546875" style="116" customWidth="1"/>
    <col min="3332" max="3332" width="11.7109375" style="116" customWidth="1"/>
    <col min="3333" max="3333" width="13.85546875" style="116" customWidth="1"/>
    <col min="3334" max="3585" width="9.140625" style="116"/>
    <col min="3586" max="3586" width="26.5703125" style="116" customWidth="1"/>
    <col min="3587" max="3587" width="51.85546875" style="116" customWidth="1"/>
    <col min="3588" max="3588" width="11.7109375" style="116" customWidth="1"/>
    <col min="3589" max="3589" width="13.85546875" style="116" customWidth="1"/>
    <col min="3590" max="3841" width="9.140625" style="116"/>
    <col min="3842" max="3842" width="26.5703125" style="116" customWidth="1"/>
    <col min="3843" max="3843" width="51.85546875" style="116" customWidth="1"/>
    <col min="3844" max="3844" width="11.7109375" style="116" customWidth="1"/>
    <col min="3845" max="3845" width="13.85546875" style="116" customWidth="1"/>
    <col min="3846" max="4097" width="9.140625" style="116"/>
    <col min="4098" max="4098" width="26.5703125" style="116" customWidth="1"/>
    <col min="4099" max="4099" width="51.85546875" style="116" customWidth="1"/>
    <col min="4100" max="4100" width="11.7109375" style="116" customWidth="1"/>
    <col min="4101" max="4101" width="13.85546875" style="116" customWidth="1"/>
    <col min="4102" max="4353" width="9.140625" style="116"/>
    <col min="4354" max="4354" width="26.5703125" style="116" customWidth="1"/>
    <col min="4355" max="4355" width="51.85546875" style="116" customWidth="1"/>
    <col min="4356" max="4356" width="11.7109375" style="116" customWidth="1"/>
    <col min="4357" max="4357" width="13.85546875" style="116" customWidth="1"/>
    <col min="4358" max="4609" width="9.140625" style="116"/>
    <col min="4610" max="4610" width="26.5703125" style="116" customWidth="1"/>
    <col min="4611" max="4611" width="51.85546875" style="116" customWidth="1"/>
    <col min="4612" max="4612" width="11.7109375" style="116" customWidth="1"/>
    <col min="4613" max="4613" width="13.85546875" style="116" customWidth="1"/>
    <col min="4614" max="4865" width="9.140625" style="116"/>
    <col min="4866" max="4866" width="26.5703125" style="116" customWidth="1"/>
    <col min="4867" max="4867" width="51.85546875" style="116" customWidth="1"/>
    <col min="4868" max="4868" width="11.7109375" style="116" customWidth="1"/>
    <col min="4869" max="4869" width="13.85546875" style="116" customWidth="1"/>
    <col min="4870" max="5121" width="9.140625" style="116"/>
    <col min="5122" max="5122" width="26.5703125" style="116" customWidth="1"/>
    <col min="5123" max="5123" width="51.85546875" style="116" customWidth="1"/>
    <col min="5124" max="5124" width="11.7109375" style="116" customWidth="1"/>
    <col min="5125" max="5125" width="13.85546875" style="116" customWidth="1"/>
    <col min="5126" max="5377" width="9.140625" style="116"/>
    <col min="5378" max="5378" width="26.5703125" style="116" customWidth="1"/>
    <col min="5379" max="5379" width="51.85546875" style="116" customWidth="1"/>
    <col min="5380" max="5380" width="11.7109375" style="116" customWidth="1"/>
    <col min="5381" max="5381" width="13.85546875" style="116" customWidth="1"/>
    <col min="5382" max="5633" width="9.140625" style="116"/>
    <col min="5634" max="5634" width="26.5703125" style="116" customWidth="1"/>
    <col min="5635" max="5635" width="51.85546875" style="116" customWidth="1"/>
    <col min="5636" max="5636" width="11.7109375" style="116" customWidth="1"/>
    <col min="5637" max="5637" width="13.85546875" style="116" customWidth="1"/>
    <col min="5638" max="5889" width="9.140625" style="116"/>
    <col min="5890" max="5890" width="26.5703125" style="116" customWidth="1"/>
    <col min="5891" max="5891" width="51.85546875" style="116" customWidth="1"/>
    <col min="5892" max="5892" width="11.7109375" style="116" customWidth="1"/>
    <col min="5893" max="5893" width="13.85546875" style="116" customWidth="1"/>
    <col min="5894" max="6145" width="9.140625" style="116"/>
    <col min="6146" max="6146" width="26.5703125" style="116" customWidth="1"/>
    <col min="6147" max="6147" width="51.85546875" style="116" customWidth="1"/>
    <col min="6148" max="6148" width="11.7109375" style="116" customWidth="1"/>
    <col min="6149" max="6149" width="13.85546875" style="116" customWidth="1"/>
    <col min="6150" max="6401" width="9.140625" style="116"/>
    <col min="6402" max="6402" width="26.5703125" style="116" customWidth="1"/>
    <col min="6403" max="6403" width="51.85546875" style="116" customWidth="1"/>
    <col min="6404" max="6404" width="11.7109375" style="116" customWidth="1"/>
    <col min="6405" max="6405" width="13.85546875" style="116" customWidth="1"/>
    <col min="6406" max="6657" width="9.140625" style="116"/>
    <col min="6658" max="6658" width="26.5703125" style="116" customWidth="1"/>
    <col min="6659" max="6659" width="51.85546875" style="116" customWidth="1"/>
    <col min="6660" max="6660" width="11.7109375" style="116" customWidth="1"/>
    <col min="6661" max="6661" width="13.85546875" style="116" customWidth="1"/>
    <col min="6662" max="6913" width="9.140625" style="116"/>
    <col min="6914" max="6914" width="26.5703125" style="116" customWidth="1"/>
    <col min="6915" max="6915" width="51.85546875" style="116" customWidth="1"/>
    <col min="6916" max="6916" width="11.7109375" style="116" customWidth="1"/>
    <col min="6917" max="6917" width="13.85546875" style="116" customWidth="1"/>
    <col min="6918" max="7169" width="9.140625" style="116"/>
    <col min="7170" max="7170" width="26.5703125" style="116" customWidth="1"/>
    <col min="7171" max="7171" width="51.85546875" style="116" customWidth="1"/>
    <col min="7172" max="7172" width="11.7109375" style="116" customWidth="1"/>
    <col min="7173" max="7173" width="13.85546875" style="116" customWidth="1"/>
    <col min="7174" max="7425" width="9.140625" style="116"/>
    <col min="7426" max="7426" width="26.5703125" style="116" customWidth="1"/>
    <col min="7427" max="7427" width="51.85546875" style="116" customWidth="1"/>
    <col min="7428" max="7428" width="11.7109375" style="116" customWidth="1"/>
    <col min="7429" max="7429" width="13.85546875" style="116" customWidth="1"/>
    <col min="7430" max="7681" width="9.140625" style="116"/>
    <col min="7682" max="7682" width="26.5703125" style="116" customWidth="1"/>
    <col min="7683" max="7683" width="51.85546875" style="116" customWidth="1"/>
    <col min="7684" max="7684" width="11.7109375" style="116" customWidth="1"/>
    <col min="7685" max="7685" width="13.85546875" style="116" customWidth="1"/>
    <col min="7686" max="7937" width="9.140625" style="116"/>
    <col min="7938" max="7938" width="26.5703125" style="116" customWidth="1"/>
    <col min="7939" max="7939" width="51.85546875" style="116" customWidth="1"/>
    <col min="7940" max="7940" width="11.7109375" style="116" customWidth="1"/>
    <col min="7941" max="7941" width="13.85546875" style="116" customWidth="1"/>
    <col min="7942" max="8193" width="9.140625" style="116"/>
    <col min="8194" max="8194" width="26.5703125" style="116" customWidth="1"/>
    <col min="8195" max="8195" width="51.85546875" style="116" customWidth="1"/>
    <col min="8196" max="8196" width="11.7109375" style="116" customWidth="1"/>
    <col min="8197" max="8197" width="13.85546875" style="116" customWidth="1"/>
    <col min="8198" max="8449" width="9.140625" style="116"/>
    <col min="8450" max="8450" width="26.5703125" style="116" customWidth="1"/>
    <col min="8451" max="8451" width="51.85546875" style="116" customWidth="1"/>
    <col min="8452" max="8452" width="11.7109375" style="116" customWidth="1"/>
    <col min="8453" max="8453" width="13.85546875" style="116" customWidth="1"/>
    <col min="8454" max="8705" width="9.140625" style="116"/>
    <col min="8706" max="8706" width="26.5703125" style="116" customWidth="1"/>
    <col min="8707" max="8707" width="51.85546875" style="116" customWidth="1"/>
    <col min="8708" max="8708" width="11.7109375" style="116" customWidth="1"/>
    <col min="8709" max="8709" width="13.85546875" style="116" customWidth="1"/>
    <col min="8710" max="8961" width="9.140625" style="116"/>
    <col min="8962" max="8962" width="26.5703125" style="116" customWidth="1"/>
    <col min="8963" max="8963" width="51.85546875" style="116" customWidth="1"/>
    <col min="8964" max="8964" width="11.7109375" style="116" customWidth="1"/>
    <col min="8965" max="8965" width="13.85546875" style="116" customWidth="1"/>
    <col min="8966" max="9217" width="9.140625" style="116"/>
    <col min="9218" max="9218" width="26.5703125" style="116" customWidth="1"/>
    <col min="9219" max="9219" width="51.85546875" style="116" customWidth="1"/>
    <col min="9220" max="9220" width="11.7109375" style="116" customWidth="1"/>
    <col min="9221" max="9221" width="13.85546875" style="116" customWidth="1"/>
    <col min="9222" max="9473" width="9.140625" style="116"/>
    <col min="9474" max="9474" width="26.5703125" style="116" customWidth="1"/>
    <col min="9475" max="9475" width="51.85546875" style="116" customWidth="1"/>
    <col min="9476" max="9476" width="11.7109375" style="116" customWidth="1"/>
    <col min="9477" max="9477" width="13.85546875" style="116" customWidth="1"/>
    <col min="9478" max="9729" width="9.140625" style="116"/>
    <col min="9730" max="9730" width="26.5703125" style="116" customWidth="1"/>
    <col min="9731" max="9731" width="51.85546875" style="116" customWidth="1"/>
    <col min="9732" max="9732" width="11.7109375" style="116" customWidth="1"/>
    <col min="9733" max="9733" width="13.85546875" style="116" customWidth="1"/>
    <col min="9734" max="9985" width="9.140625" style="116"/>
    <col min="9986" max="9986" width="26.5703125" style="116" customWidth="1"/>
    <col min="9987" max="9987" width="51.85546875" style="116" customWidth="1"/>
    <col min="9988" max="9988" width="11.7109375" style="116" customWidth="1"/>
    <col min="9989" max="9989" width="13.85546875" style="116" customWidth="1"/>
    <col min="9990" max="10241" width="9.140625" style="116"/>
    <col min="10242" max="10242" width="26.5703125" style="116" customWidth="1"/>
    <col min="10243" max="10243" width="51.85546875" style="116" customWidth="1"/>
    <col min="10244" max="10244" width="11.7109375" style="116" customWidth="1"/>
    <col min="10245" max="10245" width="13.85546875" style="116" customWidth="1"/>
    <col min="10246" max="10497" width="9.140625" style="116"/>
    <col min="10498" max="10498" width="26.5703125" style="116" customWidth="1"/>
    <col min="10499" max="10499" width="51.85546875" style="116" customWidth="1"/>
    <col min="10500" max="10500" width="11.7109375" style="116" customWidth="1"/>
    <col min="10501" max="10501" width="13.85546875" style="116" customWidth="1"/>
    <col min="10502" max="10753" width="9.140625" style="116"/>
    <col min="10754" max="10754" width="26.5703125" style="116" customWidth="1"/>
    <col min="10755" max="10755" width="51.85546875" style="116" customWidth="1"/>
    <col min="10756" max="10756" width="11.7109375" style="116" customWidth="1"/>
    <col min="10757" max="10757" width="13.85546875" style="116" customWidth="1"/>
    <col min="10758" max="11009" width="9.140625" style="116"/>
    <col min="11010" max="11010" width="26.5703125" style="116" customWidth="1"/>
    <col min="11011" max="11011" width="51.85546875" style="116" customWidth="1"/>
    <col min="11012" max="11012" width="11.7109375" style="116" customWidth="1"/>
    <col min="11013" max="11013" width="13.85546875" style="116" customWidth="1"/>
    <col min="11014" max="11265" width="9.140625" style="116"/>
    <col min="11266" max="11266" width="26.5703125" style="116" customWidth="1"/>
    <col min="11267" max="11267" width="51.85546875" style="116" customWidth="1"/>
    <col min="11268" max="11268" width="11.7109375" style="116" customWidth="1"/>
    <col min="11269" max="11269" width="13.85546875" style="116" customWidth="1"/>
    <col min="11270" max="11521" width="9.140625" style="116"/>
    <col min="11522" max="11522" width="26.5703125" style="116" customWidth="1"/>
    <col min="11523" max="11523" width="51.85546875" style="116" customWidth="1"/>
    <col min="11524" max="11524" width="11.7109375" style="116" customWidth="1"/>
    <col min="11525" max="11525" width="13.85546875" style="116" customWidth="1"/>
    <col min="11526" max="11777" width="9.140625" style="116"/>
    <col min="11778" max="11778" width="26.5703125" style="116" customWidth="1"/>
    <col min="11779" max="11779" width="51.85546875" style="116" customWidth="1"/>
    <col min="11780" max="11780" width="11.7109375" style="116" customWidth="1"/>
    <col min="11781" max="11781" width="13.85546875" style="116" customWidth="1"/>
    <col min="11782" max="12033" width="9.140625" style="116"/>
    <col min="12034" max="12034" width="26.5703125" style="116" customWidth="1"/>
    <col min="12035" max="12035" width="51.85546875" style="116" customWidth="1"/>
    <col min="12036" max="12036" width="11.7109375" style="116" customWidth="1"/>
    <col min="12037" max="12037" width="13.85546875" style="116" customWidth="1"/>
    <col min="12038" max="12289" width="9.140625" style="116"/>
    <col min="12290" max="12290" width="26.5703125" style="116" customWidth="1"/>
    <col min="12291" max="12291" width="51.85546875" style="116" customWidth="1"/>
    <col min="12292" max="12292" width="11.7109375" style="116" customWidth="1"/>
    <col min="12293" max="12293" width="13.85546875" style="116" customWidth="1"/>
    <col min="12294" max="12545" width="9.140625" style="116"/>
    <col min="12546" max="12546" width="26.5703125" style="116" customWidth="1"/>
    <col min="12547" max="12547" width="51.85546875" style="116" customWidth="1"/>
    <col min="12548" max="12548" width="11.7109375" style="116" customWidth="1"/>
    <col min="12549" max="12549" width="13.85546875" style="116" customWidth="1"/>
    <col min="12550" max="12801" width="9.140625" style="116"/>
    <col min="12802" max="12802" width="26.5703125" style="116" customWidth="1"/>
    <col min="12803" max="12803" width="51.85546875" style="116" customWidth="1"/>
    <col min="12804" max="12804" width="11.7109375" style="116" customWidth="1"/>
    <col min="12805" max="12805" width="13.85546875" style="116" customWidth="1"/>
    <col min="12806" max="13057" width="9.140625" style="116"/>
    <col min="13058" max="13058" width="26.5703125" style="116" customWidth="1"/>
    <col min="13059" max="13059" width="51.85546875" style="116" customWidth="1"/>
    <col min="13060" max="13060" width="11.7109375" style="116" customWidth="1"/>
    <col min="13061" max="13061" width="13.85546875" style="116" customWidth="1"/>
    <col min="13062" max="13313" width="9.140625" style="116"/>
    <col min="13314" max="13314" width="26.5703125" style="116" customWidth="1"/>
    <col min="13315" max="13315" width="51.85546875" style="116" customWidth="1"/>
    <col min="13316" max="13316" width="11.7109375" style="116" customWidth="1"/>
    <col min="13317" max="13317" width="13.85546875" style="116" customWidth="1"/>
    <col min="13318" max="13569" width="9.140625" style="116"/>
    <col min="13570" max="13570" width="26.5703125" style="116" customWidth="1"/>
    <col min="13571" max="13571" width="51.85546875" style="116" customWidth="1"/>
    <col min="13572" max="13572" width="11.7109375" style="116" customWidth="1"/>
    <col min="13573" max="13573" width="13.85546875" style="116" customWidth="1"/>
    <col min="13574" max="13825" width="9.140625" style="116"/>
    <col min="13826" max="13826" width="26.5703125" style="116" customWidth="1"/>
    <col min="13827" max="13827" width="51.85546875" style="116" customWidth="1"/>
    <col min="13828" max="13828" width="11.7109375" style="116" customWidth="1"/>
    <col min="13829" max="13829" width="13.85546875" style="116" customWidth="1"/>
    <col min="13830" max="14081" width="9.140625" style="116"/>
    <col min="14082" max="14082" width="26.5703125" style="116" customWidth="1"/>
    <col min="14083" max="14083" width="51.85546875" style="116" customWidth="1"/>
    <col min="14084" max="14084" width="11.7109375" style="116" customWidth="1"/>
    <col min="14085" max="14085" width="13.85546875" style="116" customWidth="1"/>
    <col min="14086" max="14337" width="9.140625" style="116"/>
    <col min="14338" max="14338" width="26.5703125" style="116" customWidth="1"/>
    <col min="14339" max="14339" width="51.85546875" style="116" customWidth="1"/>
    <col min="14340" max="14340" width="11.7109375" style="116" customWidth="1"/>
    <col min="14341" max="14341" width="13.85546875" style="116" customWidth="1"/>
    <col min="14342" max="14593" width="9.140625" style="116"/>
    <col min="14594" max="14594" width="26.5703125" style="116" customWidth="1"/>
    <col min="14595" max="14595" width="51.85546875" style="116" customWidth="1"/>
    <col min="14596" max="14596" width="11.7109375" style="116" customWidth="1"/>
    <col min="14597" max="14597" width="13.85546875" style="116" customWidth="1"/>
    <col min="14598" max="14849" width="9.140625" style="116"/>
    <col min="14850" max="14850" width="26.5703125" style="116" customWidth="1"/>
    <col min="14851" max="14851" width="51.85546875" style="116" customWidth="1"/>
    <col min="14852" max="14852" width="11.7109375" style="116" customWidth="1"/>
    <col min="14853" max="14853" width="13.85546875" style="116" customWidth="1"/>
    <col min="14854" max="15105" width="9.140625" style="116"/>
    <col min="15106" max="15106" width="26.5703125" style="116" customWidth="1"/>
    <col min="15107" max="15107" width="51.85546875" style="116" customWidth="1"/>
    <col min="15108" max="15108" width="11.7109375" style="116" customWidth="1"/>
    <col min="15109" max="15109" width="13.85546875" style="116" customWidth="1"/>
    <col min="15110" max="15361" width="9.140625" style="116"/>
    <col min="15362" max="15362" width="26.5703125" style="116" customWidth="1"/>
    <col min="15363" max="15363" width="51.85546875" style="116" customWidth="1"/>
    <col min="15364" max="15364" width="11.7109375" style="116" customWidth="1"/>
    <col min="15365" max="15365" width="13.85546875" style="116" customWidth="1"/>
    <col min="15366" max="15617" width="9.140625" style="116"/>
    <col min="15618" max="15618" width="26.5703125" style="116" customWidth="1"/>
    <col min="15619" max="15619" width="51.85546875" style="116" customWidth="1"/>
    <col min="15620" max="15620" width="11.7109375" style="116" customWidth="1"/>
    <col min="15621" max="15621" width="13.85546875" style="116" customWidth="1"/>
    <col min="15622" max="15873" width="9.140625" style="116"/>
    <col min="15874" max="15874" width="26.5703125" style="116" customWidth="1"/>
    <col min="15875" max="15875" width="51.85546875" style="116" customWidth="1"/>
    <col min="15876" max="15876" width="11.7109375" style="116" customWidth="1"/>
    <col min="15877" max="15877" width="13.85546875" style="116" customWidth="1"/>
    <col min="15878" max="16129" width="9.140625" style="116"/>
    <col min="16130" max="16130" width="26.5703125" style="116" customWidth="1"/>
    <col min="16131" max="16131" width="51.85546875" style="116" customWidth="1"/>
    <col min="16132" max="16132" width="11.7109375" style="116" customWidth="1"/>
    <col min="16133" max="16133" width="13.85546875" style="116" customWidth="1"/>
    <col min="16134" max="16384" width="9.140625" style="116"/>
  </cols>
  <sheetData>
    <row r="1" spans="1:14" x14ac:dyDescent="0.2">
      <c r="B1" s="35"/>
    </row>
    <row r="2" spans="1:14" ht="45" x14ac:dyDescent="0.2">
      <c r="A2" s="117" t="s">
        <v>543</v>
      </c>
      <c r="B2" s="118" t="s">
        <v>542</v>
      </c>
      <c r="C2" s="118" t="s">
        <v>544</v>
      </c>
      <c r="D2" s="119" t="s">
        <v>545</v>
      </c>
      <c r="E2" s="119" t="s">
        <v>546</v>
      </c>
      <c r="F2" s="120" t="s">
        <v>547</v>
      </c>
      <c r="G2" s="118" t="s">
        <v>548</v>
      </c>
      <c r="H2" s="118" t="s">
        <v>549</v>
      </c>
      <c r="I2" s="118" t="s">
        <v>550</v>
      </c>
      <c r="J2" s="118" t="s">
        <v>551</v>
      </c>
      <c r="K2" s="121" t="s">
        <v>552</v>
      </c>
      <c r="L2" s="118" t="s">
        <v>553</v>
      </c>
      <c r="M2" s="118" t="s">
        <v>554</v>
      </c>
      <c r="N2" s="118" t="s">
        <v>555</v>
      </c>
    </row>
    <row r="3" spans="1:14" x14ac:dyDescent="0.2">
      <c r="A3" s="116">
        <v>1169</v>
      </c>
      <c r="B3" s="35" t="s">
        <v>556</v>
      </c>
      <c r="C3" s="35" t="s">
        <v>557</v>
      </c>
      <c r="D3" s="116">
        <v>68.99666666666667</v>
      </c>
      <c r="E3" s="116">
        <v>-150.28100000000001</v>
      </c>
      <c r="F3" s="116" t="s">
        <v>558</v>
      </c>
      <c r="G3" s="116" t="s">
        <v>559</v>
      </c>
      <c r="H3" s="116" t="s">
        <v>558</v>
      </c>
      <c r="I3" s="116" t="s">
        <v>558</v>
      </c>
      <c r="J3" s="116" t="s">
        <v>560</v>
      </c>
      <c r="K3" s="116" t="s">
        <v>558</v>
      </c>
      <c r="L3" s="116" t="s">
        <v>558</v>
      </c>
      <c r="M3" s="122" t="str">
        <f t="shared" ref="M3:M66" si="0">HYPERLINK("http://maps.google.com/maps?q="&amp;D3&amp;","&amp;E3,"View on Google Map")</f>
        <v>View on Google Map</v>
      </c>
    </row>
    <row r="4" spans="1:14" x14ac:dyDescent="0.2">
      <c r="A4" s="116">
        <v>1170</v>
      </c>
      <c r="B4" s="35" t="s">
        <v>561</v>
      </c>
      <c r="C4" s="35" t="s">
        <v>562</v>
      </c>
      <c r="D4" s="116">
        <v>68.952222222222218</v>
      </c>
      <c r="E4" s="116">
        <v>-150.21249999999998</v>
      </c>
      <c r="F4" s="116" t="s">
        <v>558</v>
      </c>
      <c r="G4" s="116" t="s">
        <v>559</v>
      </c>
      <c r="H4" s="116" t="s">
        <v>558</v>
      </c>
      <c r="I4" s="116" t="s">
        <v>558</v>
      </c>
      <c r="J4" s="116" t="s">
        <v>560</v>
      </c>
      <c r="K4" s="116" t="s">
        <v>558</v>
      </c>
      <c r="L4" s="116" t="s">
        <v>558</v>
      </c>
      <c r="M4" s="122" t="str">
        <f t="shared" si="0"/>
        <v>View on Google Map</v>
      </c>
    </row>
    <row r="5" spans="1:14" x14ac:dyDescent="0.2">
      <c r="A5" s="116">
        <v>1171</v>
      </c>
      <c r="B5" s="35" t="s">
        <v>563</v>
      </c>
      <c r="C5" s="35" t="s">
        <v>564</v>
      </c>
      <c r="D5" s="116">
        <v>68.934444444444452</v>
      </c>
      <c r="E5" s="116">
        <v>-150.2727777777778</v>
      </c>
      <c r="F5" s="116" t="s">
        <v>558</v>
      </c>
      <c r="G5" s="116" t="s">
        <v>559</v>
      </c>
      <c r="H5" s="116" t="s">
        <v>558</v>
      </c>
      <c r="I5" s="116" t="s">
        <v>558</v>
      </c>
      <c r="J5" s="116" t="s">
        <v>565</v>
      </c>
      <c r="K5" s="116" t="s">
        <v>558</v>
      </c>
      <c r="L5" s="116" t="s">
        <v>566</v>
      </c>
      <c r="M5" s="122" t="str">
        <f t="shared" si="0"/>
        <v>View on Google Map</v>
      </c>
    </row>
    <row r="6" spans="1:14" x14ac:dyDescent="0.2">
      <c r="A6" s="116">
        <v>518</v>
      </c>
      <c r="B6" s="116" t="s">
        <v>567</v>
      </c>
      <c r="C6" s="116" t="s">
        <v>568</v>
      </c>
      <c r="D6" s="116">
        <v>68.900986000000003</v>
      </c>
      <c r="E6" s="116">
        <v>-151.308469</v>
      </c>
      <c r="F6" s="116">
        <v>350</v>
      </c>
      <c r="G6" s="116" t="s">
        <v>569</v>
      </c>
      <c r="H6" s="116" t="s">
        <v>558</v>
      </c>
      <c r="I6" s="116" t="s">
        <v>558</v>
      </c>
      <c r="J6" s="116" t="s">
        <v>570</v>
      </c>
      <c r="K6" s="116" t="s">
        <v>558</v>
      </c>
      <c r="L6" s="116" t="s">
        <v>571</v>
      </c>
      <c r="M6" s="122" t="str">
        <f t="shared" si="0"/>
        <v>View on Google Map</v>
      </c>
    </row>
    <row r="7" spans="1:14" x14ac:dyDescent="0.2">
      <c r="A7" s="116">
        <v>478</v>
      </c>
      <c r="B7" s="116" t="s">
        <v>572</v>
      </c>
      <c r="C7" s="116" t="s">
        <v>558</v>
      </c>
      <c r="D7" s="116">
        <v>68.510069999999999</v>
      </c>
      <c r="E7" s="116">
        <v>-149.62691000000001</v>
      </c>
      <c r="F7" s="116">
        <v>996</v>
      </c>
      <c r="G7" s="116" t="s">
        <v>569</v>
      </c>
      <c r="H7" s="116" t="s">
        <v>558</v>
      </c>
      <c r="I7" s="116" t="s">
        <v>558</v>
      </c>
      <c r="J7" s="116" t="s">
        <v>570</v>
      </c>
      <c r="K7" s="116" t="s">
        <v>558</v>
      </c>
      <c r="L7" s="116" t="s">
        <v>558</v>
      </c>
      <c r="M7" s="122" t="str">
        <f t="shared" si="0"/>
        <v>View on Google Map</v>
      </c>
    </row>
    <row r="8" spans="1:14" x14ac:dyDescent="0.2">
      <c r="A8" s="116">
        <v>479</v>
      </c>
      <c r="B8" s="116" t="s">
        <v>573</v>
      </c>
      <c r="C8" s="116" t="s">
        <v>558</v>
      </c>
      <c r="D8" s="116">
        <v>68.505080000000007</v>
      </c>
      <c r="E8" s="116">
        <v>-149.62766999999999</v>
      </c>
      <c r="F8" s="116">
        <v>986</v>
      </c>
      <c r="G8" s="116" t="s">
        <v>569</v>
      </c>
      <c r="H8" s="116" t="s">
        <v>558</v>
      </c>
      <c r="I8" s="116" t="s">
        <v>558</v>
      </c>
      <c r="J8" s="116" t="s">
        <v>570</v>
      </c>
      <c r="K8" s="116" t="s">
        <v>558</v>
      </c>
      <c r="L8" s="116" t="s">
        <v>558</v>
      </c>
      <c r="M8" s="122" t="str">
        <f t="shared" si="0"/>
        <v>View on Google Map</v>
      </c>
    </row>
    <row r="9" spans="1:14" x14ac:dyDescent="0.2">
      <c r="A9" s="116">
        <v>480</v>
      </c>
      <c r="B9" s="116" t="s">
        <v>574</v>
      </c>
      <c r="C9" s="116" t="s">
        <v>558</v>
      </c>
      <c r="D9" s="116">
        <v>68.502449999999996</v>
      </c>
      <c r="E9" s="116">
        <v>-149.63137</v>
      </c>
      <c r="F9" s="116">
        <v>982</v>
      </c>
      <c r="G9" s="116" t="s">
        <v>569</v>
      </c>
      <c r="H9" s="116" t="s">
        <v>558</v>
      </c>
      <c r="I9" s="116" t="s">
        <v>558</v>
      </c>
      <c r="J9" s="116" t="s">
        <v>570</v>
      </c>
      <c r="K9" s="116" t="s">
        <v>558</v>
      </c>
      <c r="L9" s="116" t="s">
        <v>558</v>
      </c>
      <c r="M9" s="122" t="str">
        <f t="shared" si="0"/>
        <v>View on Google Map</v>
      </c>
    </row>
    <row r="10" spans="1:14" x14ac:dyDescent="0.2">
      <c r="B10" s="116" t="s">
        <v>575</v>
      </c>
      <c r="C10" s="116" t="s">
        <v>576</v>
      </c>
      <c r="D10" s="116">
        <v>69.375833333333333</v>
      </c>
      <c r="E10" s="116">
        <v>-150.68138888888899</v>
      </c>
      <c r="G10" s="116" t="s">
        <v>577</v>
      </c>
      <c r="J10" s="116" t="s">
        <v>565</v>
      </c>
      <c r="L10" s="116" t="s">
        <v>566</v>
      </c>
      <c r="M10" s="122" t="str">
        <f t="shared" si="0"/>
        <v>View on Google Map</v>
      </c>
    </row>
    <row r="11" spans="1:14" x14ac:dyDescent="0.2">
      <c r="B11" s="116" t="s">
        <v>578</v>
      </c>
      <c r="C11" s="116" t="s">
        <v>576</v>
      </c>
      <c r="D11" s="116">
        <v>69.322777777777773</v>
      </c>
      <c r="E11" s="116">
        <v>-150.95055555555601</v>
      </c>
      <c r="G11" s="116" t="s">
        <v>577</v>
      </c>
      <c r="J11" s="116" t="s">
        <v>565</v>
      </c>
      <c r="L11" s="116" t="s">
        <v>566</v>
      </c>
      <c r="M11" s="122" t="str">
        <f t="shared" si="0"/>
        <v>View on Google Map</v>
      </c>
    </row>
    <row r="12" spans="1:14" x14ac:dyDescent="0.2">
      <c r="B12" s="116" t="s">
        <v>579</v>
      </c>
      <c r="C12" s="116" t="s">
        <v>576</v>
      </c>
      <c r="D12" s="116">
        <v>69.328055555555565</v>
      </c>
      <c r="E12" s="116">
        <v>-150.238055555556</v>
      </c>
      <c r="G12" s="116" t="s">
        <v>577</v>
      </c>
      <c r="J12" s="116" t="s">
        <v>565</v>
      </c>
      <c r="L12" s="116" t="s">
        <v>566</v>
      </c>
      <c r="M12" s="122" t="str">
        <f t="shared" si="0"/>
        <v>View on Google Map</v>
      </c>
    </row>
    <row r="13" spans="1:14" x14ac:dyDescent="0.2">
      <c r="B13" s="116" t="s">
        <v>580</v>
      </c>
      <c r="C13" s="116" t="s">
        <v>576</v>
      </c>
      <c r="D13" s="116">
        <v>69.30361111111111</v>
      </c>
      <c r="E13" s="116">
        <v>-149.56083333333299</v>
      </c>
      <c r="G13" s="116" t="s">
        <v>577</v>
      </c>
      <c r="J13" s="116" t="s">
        <v>565</v>
      </c>
      <c r="L13" s="116" t="s">
        <v>566</v>
      </c>
      <c r="M13" s="122" t="str">
        <f t="shared" si="0"/>
        <v>View on Google Map</v>
      </c>
    </row>
    <row r="14" spans="1:14" x14ac:dyDescent="0.2">
      <c r="A14" s="116">
        <v>7</v>
      </c>
      <c r="B14" s="116" t="s">
        <v>581</v>
      </c>
      <c r="C14" s="116" t="s">
        <v>582</v>
      </c>
      <c r="D14" s="116">
        <v>68.95</v>
      </c>
      <c r="E14" s="116">
        <v>-148.86666666666667</v>
      </c>
      <c r="F14" s="116">
        <v>360</v>
      </c>
      <c r="G14" s="116" t="s">
        <v>583</v>
      </c>
      <c r="H14" s="116" t="s">
        <v>558</v>
      </c>
      <c r="I14" s="116" t="s">
        <v>558</v>
      </c>
      <c r="J14" s="116" t="s">
        <v>584</v>
      </c>
      <c r="K14" s="116" t="s">
        <v>558</v>
      </c>
      <c r="L14" s="116" t="s">
        <v>585</v>
      </c>
      <c r="M14" s="122" t="str">
        <f t="shared" si="0"/>
        <v>View on Google Map</v>
      </c>
    </row>
    <row r="15" spans="1:14" x14ac:dyDescent="0.2">
      <c r="A15" s="116">
        <v>517</v>
      </c>
      <c r="B15" s="116" t="s">
        <v>586</v>
      </c>
      <c r="C15" s="116" t="s">
        <v>568</v>
      </c>
      <c r="D15" s="116">
        <v>68.467832999999999</v>
      </c>
      <c r="E15" s="116">
        <v>-151.47916699999999</v>
      </c>
      <c r="F15" s="116">
        <v>732</v>
      </c>
      <c r="G15" s="116" t="s">
        <v>569</v>
      </c>
      <c r="H15" s="116" t="s">
        <v>558</v>
      </c>
      <c r="I15" s="116" t="s">
        <v>558</v>
      </c>
      <c r="J15" s="116" t="s">
        <v>570</v>
      </c>
      <c r="K15" s="116" t="s">
        <v>558</v>
      </c>
      <c r="L15" s="116" t="s">
        <v>571</v>
      </c>
      <c r="M15" s="122" t="str">
        <f t="shared" si="0"/>
        <v>View on Google Map</v>
      </c>
    </row>
    <row r="16" spans="1:14" x14ac:dyDescent="0.2">
      <c r="A16" s="116">
        <v>516</v>
      </c>
      <c r="B16" s="116" t="s">
        <v>587</v>
      </c>
      <c r="C16" s="116" t="s">
        <v>568</v>
      </c>
      <c r="D16" s="116">
        <v>68.467500000000001</v>
      </c>
      <c r="E16" s="116">
        <v>-151.49433300000001</v>
      </c>
      <c r="F16" s="116">
        <v>769</v>
      </c>
      <c r="G16" s="116" t="s">
        <v>569</v>
      </c>
      <c r="H16" s="116" t="s">
        <v>558</v>
      </c>
      <c r="I16" s="116" t="s">
        <v>558</v>
      </c>
      <c r="J16" s="116" t="s">
        <v>570</v>
      </c>
      <c r="K16" s="116" t="s">
        <v>558</v>
      </c>
      <c r="L16" s="116" t="s">
        <v>571</v>
      </c>
      <c r="M16" s="122" t="str">
        <f t="shared" si="0"/>
        <v>View on Google Map</v>
      </c>
    </row>
    <row r="17" spans="1:13" x14ac:dyDescent="0.2">
      <c r="A17" s="116">
        <v>515</v>
      </c>
      <c r="B17" s="116" t="s">
        <v>588</v>
      </c>
      <c r="C17" s="116" t="s">
        <v>568</v>
      </c>
      <c r="D17" s="116">
        <v>68.463999999999999</v>
      </c>
      <c r="E17" s="116">
        <v>-151.51516699999999</v>
      </c>
      <c r="F17" s="116">
        <v>809</v>
      </c>
      <c r="G17" s="116" t="s">
        <v>569</v>
      </c>
      <c r="H17" s="116" t="s">
        <v>558</v>
      </c>
      <c r="I17" s="116" t="s">
        <v>558</v>
      </c>
      <c r="J17" s="116" t="s">
        <v>570</v>
      </c>
      <c r="K17" s="116" t="s">
        <v>558</v>
      </c>
      <c r="L17" s="116" t="s">
        <v>571</v>
      </c>
      <c r="M17" s="122" t="str">
        <f t="shared" si="0"/>
        <v>View on Google Map</v>
      </c>
    </row>
    <row r="18" spans="1:13" x14ac:dyDescent="0.2">
      <c r="A18" s="116">
        <v>1177</v>
      </c>
      <c r="B18" s="116" t="s">
        <v>589</v>
      </c>
      <c r="C18" s="116" t="s">
        <v>590</v>
      </c>
      <c r="D18" s="116">
        <v>68.99539</v>
      </c>
      <c r="E18" s="116">
        <v>-150.28278</v>
      </c>
      <c r="F18" s="116" t="s">
        <v>558</v>
      </c>
      <c r="G18" s="116" t="s">
        <v>559</v>
      </c>
      <c r="H18" s="116" t="s">
        <v>558</v>
      </c>
      <c r="I18" s="116" t="s">
        <v>558</v>
      </c>
      <c r="J18" s="116" t="s">
        <v>565</v>
      </c>
      <c r="K18" s="116" t="s">
        <v>558</v>
      </c>
      <c r="L18" s="116" t="s">
        <v>566</v>
      </c>
      <c r="M18" s="122" t="str">
        <f t="shared" si="0"/>
        <v>View on Google Map</v>
      </c>
    </row>
    <row r="19" spans="1:13" x14ac:dyDescent="0.2">
      <c r="A19" s="116">
        <v>1178</v>
      </c>
      <c r="B19" s="116" t="s">
        <v>591</v>
      </c>
      <c r="C19" s="116" t="s">
        <v>590</v>
      </c>
      <c r="D19" s="116">
        <v>68.996089999999995</v>
      </c>
      <c r="E19" s="116">
        <v>-150.29223999999999</v>
      </c>
      <c r="F19" s="116" t="s">
        <v>558</v>
      </c>
      <c r="G19" s="116" t="s">
        <v>559</v>
      </c>
      <c r="H19" s="116" t="s">
        <v>558</v>
      </c>
      <c r="I19" s="116" t="s">
        <v>558</v>
      </c>
      <c r="J19" s="116" t="s">
        <v>565</v>
      </c>
      <c r="K19" s="116" t="s">
        <v>558</v>
      </c>
      <c r="L19" s="116" t="s">
        <v>566</v>
      </c>
      <c r="M19" s="122" t="str">
        <f t="shared" si="0"/>
        <v>View on Google Map</v>
      </c>
    </row>
    <row r="20" spans="1:13" x14ac:dyDescent="0.2">
      <c r="A20" s="116">
        <v>1179</v>
      </c>
      <c r="B20" s="116" t="s">
        <v>592</v>
      </c>
      <c r="C20" s="116" t="s">
        <v>593</v>
      </c>
      <c r="D20" s="116">
        <v>68.953829999999996</v>
      </c>
      <c r="E20" s="116">
        <v>-150.20697000000001</v>
      </c>
      <c r="F20" s="116" t="s">
        <v>558</v>
      </c>
      <c r="G20" s="116" t="s">
        <v>559</v>
      </c>
      <c r="H20" s="116" t="s">
        <v>558</v>
      </c>
      <c r="I20" s="116" t="s">
        <v>558</v>
      </c>
      <c r="J20" s="116" t="s">
        <v>565</v>
      </c>
      <c r="K20" s="116" t="s">
        <v>558</v>
      </c>
      <c r="L20" s="116" t="s">
        <v>566</v>
      </c>
      <c r="M20" s="122" t="str">
        <f t="shared" si="0"/>
        <v>View on Google Map</v>
      </c>
    </row>
    <row r="21" spans="1:13" x14ac:dyDescent="0.2">
      <c r="A21" s="116">
        <v>1180</v>
      </c>
      <c r="B21" s="35" t="s">
        <v>594</v>
      </c>
      <c r="C21" s="116" t="s">
        <v>593</v>
      </c>
      <c r="D21" s="116">
        <v>68.951099999999997</v>
      </c>
      <c r="E21" s="116">
        <v>-150.20966000000001</v>
      </c>
      <c r="F21" s="116" t="s">
        <v>558</v>
      </c>
      <c r="G21" s="116" t="s">
        <v>559</v>
      </c>
      <c r="H21" s="116" t="s">
        <v>558</v>
      </c>
      <c r="I21" s="116" t="s">
        <v>558</v>
      </c>
      <c r="J21" s="116" t="s">
        <v>565</v>
      </c>
      <c r="K21" s="116" t="s">
        <v>558</v>
      </c>
      <c r="L21" s="116" t="s">
        <v>566</v>
      </c>
      <c r="M21" s="122" t="str">
        <f t="shared" si="0"/>
        <v>View on Google Map</v>
      </c>
    </row>
    <row r="22" spans="1:13" x14ac:dyDescent="0.2">
      <c r="A22" s="116">
        <v>1181</v>
      </c>
      <c r="B22" s="35" t="s">
        <v>595</v>
      </c>
      <c r="C22" s="116" t="s">
        <v>593</v>
      </c>
      <c r="D22" s="116">
        <v>68.950720000000004</v>
      </c>
      <c r="E22" s="116">
        <v>-150.19745</v>
      </c>
      <c r="F22" s="116" t="s">
        <v>558</v>
      </c>
      <c r="G22" s="116" t="s">
        <v>559</v>
      </c>
      <c r="H22" s="116" t="s">
        <v>558</v>
      </c>
      <c r="I22" s="116" t="s">
        <v>558</v>
      </c>
      <c r="J22" s="116" t="s">
        <v>565</v>
      </c>
      <c r="K22" s="116" t="s">
        <v>558</v>
      </c>
      <c r="L22" s="116" t="s">
        <v>566</v>
      </c>
      <c r="M22" s="122" t="str">
        <f t="shared" si="0"/>
        <v>View on Google Map</v>
      </c>
    </row>
    <row r="23" spans="1:13" x14ac:dyDescent="0.2">
      <c r="A23" s="116">
        <v>1182</v>
      </c>
      <c r="B23" s="35" t="s">
        <v>596</v>
      </c>
      <c r="C23" s="116" t="s">
        <v>593</v>
      </c>
      <c r="D23" s="116">
        <v>68.950149999999994</v>
      </c>
      <c r="E23" s="116">
        <v>-150.19701000000001</v>
      </c>
      <c r="F23" s="116" t="s">
        <v>558</v>
      </c>
      <c r="G23" s="116" t="s">
        <v>559</v>
      </c>
      <c r="H23" s="116" t="s">
        <v>558</v>
      </c>
      <c r="I23" s="116" t="s">
        <v>558</v>
      </c>
      <c r="J23" s="116" t="s">
        <v>565</v>
      </c>
      <c r="K23" s="116" t="s">
        <v>558</v>
      </c>
      <c r="L23" s="116" t="s">
        <v>566</v>
      </c>
      <c r="M23" s="122" t="str">
        <f t="shared" si="0"/>
        <v>View on Google Map</v>
      </c>
    </row>
    <row r="24" spans="1:13" x14ac:dyDescent="0.2">
      <c r="A24" s="116">
        <v>1183</v>
      </c>
      <c r="B24" s="35" t="s">
        <v>597</v>
      </c>
      <c r="C24" s="116" t="s">
        <v>593</v>
      </c>
      <c r="D24" s="116">
        <v>68.949629999999999</v>
      </c>
      <c r="E24" s="116">
        <v>-150.19672</v>
      </c>
      <c r="F24" s="116" t="s">
        <v>558</v>
      </c>
      <c r="G24" s="116" t="s">
        <v>559</v>
      </c>
      <c r="H24" s="116" t="s">
        <v>558</v>
      </c>
      <c r="I24" s="116" t="s">
        <v>558</v>
      </c>
      <c r="J24" s="116" t="s">
        <v>565</v>
      </c>
      <c r="K24" s="116" t="s">
        <v>558</v>
      </c>
      <c r="L24" s="116" t="s">
        <v>566</v>
      </c>
      <c r="M24" s="122" t="str">
        <f t="shared" si="0"/>
        <v>View on Google Map</v>
      </c>
    </row>
    <row r="25" spans="1:13" x14ac:dyDescent="0.2">
      <c r="A25" s="116">
        <v>1184</v>
      </c>
      <c r="B25" s="35" t="s">
        <v>598</v>
      </c>
      <c r="C25" s="116" t="s">
        <v>593</v>
      </c>
      <c r="D25" s="116">
        <v>68.952349999999996</v>
      </c>
      <c r="E25" s="116">
        <v>-150.20769999999999</v>
      </c>
      <c r="F25" s="116" t="s">
        <v>558</v>
      </c>
      <c r="G25" s="116" t="s">
        <v>559</v>
      </c>
      <c r="H25" s="116" t="s">
        <v>558</v>
      </c>
      <c r="I25" s="116" t="s">
        <v>558</v>
      </c>
      <c r="J25" s="116" t="s">
        <v>565</v>
      </c>
      <c r="K25" s="116" t="s">
        <v>558</v>
      </c>
      <c r="L25" s="116" t="s">
        <v>566</v>
      </c>
      <c r="M25" s="122" t="str">
        <f t="shared" si="0"/>
        <v>View on Google Map</v>
      </c>
    </row>
    <row r="26" spans="1:13" x14ac:dyDescent="0.2">
      <c r="A26" s="116">
        <v>1185</v>
      </c>
      <c r="B26" s="35" t="s">
        <v>599</v>
      </c>
      <c r="C26" s="116" t="s">
        <v>593</v>
      </c>
      <c r="D26" s="116">
        <v>68.933340000000001</v>
      </c>
      <c r="E26" s="116">
        <v>-150.27288999999999</v>
      </c>
      <c r="F26" s="116" t="s">
        <v>558</v>
      </c>
      <c r="G26" s="116" t="s">
        <v>559</v>
      </c>
      <c r="H26" s="116" t="s">
        <v>558</v>
      </c>
      <c r="I26" s="116" t="s">
        <v>558</v>
      </c>
      <c r="J26" s="116" t="s">
        <v>565</v>
      </c>
      <c r="K26" s="116" t="s">
        <v>558</v>
      </c>
      <c r="L26" s="116" t="s">
        <v>566</v>
      </c>
      <c r="M26" s="122" t="str">
        <f t="shared" si="0"/>
        <v>View on Google Map</v>
      </c>
    </row>
    <row r="27" spans="1:13" x14ac:dyDescent="0.2">
      <c r="A27" s="116">
        <v>1186</v>
      </c>
      <c r="B27" s="116" t="s">
        <v>600</v>
      </c>
      <c r="C27" s="116" t="s">
        <v>593</v>
      </c>
      <c r="D27" s="116">
        <v>68.935190000000006</v>
      </c>
      <c r="E27" s="116">
        <v>-150.26884000000001</v>
      </c>
      <c r="F27" s="116" t="s">
        <v>558</v>
      </c>
      <c r="G27" s="116" t="s">
        <v>559</v>
      </c>
      <c r="H27" s="116" t="s">
        <v>558</v>
      </c>
      <c r="I27" s="116" t="s">
        <v>558</v>
      </c>
      <c r="J27" s="116" t="s">
        <v>565</v>
      </c>
      <c r="K27" s="116" t="s">
        <v>558</v>
      </c>
      <c r="L27" s="116" t="s">
        <v>566</v>
      </c>
      <c r="M27" s="122" t="str">
        <f t="shared" si="0"/>
        <v>View on Google Map</v>
      </c>
    </row>
    <row r="28" spans="1:13" x14ac:dyDescent="0.2">
      <c r="A28" s="116">
        <v>1187</v>
      </c>
      <c r="B28" s="35" t="s">
        <v>601</v>
      </c>
      <c r="C28" s="116" t="s">
        <v>593</v>
      </c>
      <c r="D28" s="116">
        <v>68.997339999999994</v>
      </c>
      <c r="E28" s="116">
        <v>-150.30745999999999</v>
      </c>
      <c r="F28" s="116" t="s">
        <v>558</v>
      </c>
      <c r="G28" s="116" t="s">
        <v>559</v>
      </c>
      <c r="H28" s="116" t="s">
        <v>558</v>
      </c>
      <c r="I28" s="116" t="s">
        <v>558</v>
      </c>
      <c r="J28" s="116" t="s">
        <v>565</v>
      </c>
      <c r="K28" s="116" t="s">
        <v>558</v>
      </c>
      <c r="L28" s="116" t="s">
        <v>566</v>
      </c>
      <c r="M28" s="122" t="str">
        <f t="shared" si="0"/>
        <v>View on Google Map</v>
      </c>
    </row>
    <row r="29" spans="1:13" x14ac:dyDescent="0.2">
      <c r="A29" s="116">
        <v>1188</v>
      </c>
      <c r="B29" s="35" t="s">
        <v>602</v>
      </c>
      <c r="C29" s="116" t="s">
        <v>593</v>
      </c>
      <c r="D29" s="116">
        <v>68.950779999999995</v>
      </c>
      <c r="E29" s="116">
        <v>-150.19788</v>
      </c>
      <c r="F29" s="116" t="s">
        <v>558</v>
      </c>
      <c r="G29" s="116" t="s">
        <v>559</v>
      </c>
      <c r="H29" s="116" t="s">
        <v>558</v>
      </c>
      <c r="I29" s="116" t="s">
        <v>558</v>
      </c>
      <c r="J29" s="116" t="s">
        <v>565</v>
      </c>
      <c r="K29" s="116" t="s">
        <v>558</v>
      </c>
      <c r="L29" s="116" t="s">
        <v>566</v>
      </c>
      <c r="M29" s="122" t="str">
        <f t="shared" si="0"/>
        <v>View on Google Map</v>
      </c>
    </row>
    <row r="30" spans="1:13" x14ac:dyDescent="0.2">
      <c r="A30" s="116">
        <v>1189</v>
      </c>
      <c r="B30" s="35" t="s">
        <v>603</v>
      </c>
      <c r="C30" s="116" t="s">
        <v>593</v>
      </c>
      <c r="D30" s="116">
        <v>68.954440000000005</v>
      </c>
      <c r="E30" s="116">
        <v>-150.20644999999999</v>
      </c>
      <c r="F30" s="116" t="s">
        <v>558</v>
      </c>
      <c r="G30" s="116" t="s">
        <v>559</v>
      </c>
      <c r="H30" s="116" t="s">
        <v>558</v>
      </c>
      <c r="I30" s="116" t="s">
        <v>558</v>
      </c>
      <c r="J30" s="116" t="s">
        <v>565</v>
      </c>
      <c r="K30" s="116" t="s">
        <v>558</v>
      </c>
      <c r="L30" s="116" t="s">
        <v>566</v>
      </c>
      <c r="M30" s="122" t="str">
        <f t="shared" si="0"/>
        <v>View on Google Map</v>
      </c>
    </row>
    <row r="31" spans="1:13" x14ac:dyDescent="0.2">
      <c r="A31" s="116">
        <v>1190</v>
      </c>
      <c r="B31" s="35" t="s">
        <v>604</v>
      </c>
      <c r="C31" s="116" t="s">
        <v>593</v>
      </c>
      <c r="D31" s="116">
        <v>69.116330000000005</v>
      </c>
      <c r="E31" s="116">
        <v>-150.79077000000001</v>
      </c>
      <c r="F31" s="116" t="s">
        <v>558</v>
      </c>
      <c r="G31" s="116" t="s">
        <v>559</v>
      </c>
      <c r="H31" s="116" t="s">
        <v>558</v>
      </c>
      <c r="I31" s="116" t="s">
        <v>558</v>
      </c>
      <c r="J31" s="116" t="s">
        <v>565</v>
      </c>
      <c r="K31" s="116" t="s">
        <v>558</v>
      </c>
      <c r="L31" s="116" t="s">
        <v>566</v>
      </c>
      <c r="M31" s="122" t="str">
        <f t="shared" si="0"/>
        <v>View on Google Map</v>
      </c>
    </row>
    <row r="32" spans="1:13" x14ac:dyDescent="0.2">
      <c r="A32" s="116">
        <v>1191</v>
      </c>
      <c r="B32" s="35" t="s">
        <v>605</v>
      </c>
      <c r="C32" s="116" t="s">
        <v>593</v>
      </c>
      <c r="D32" s="116">
        <v>69.116150000000005</v>
      </c>
      <c r="E32" s="116">
        <v>-150.79553999999999</v>
      </c>
      <c r="F32" s="116" t="s">
        <v>558</v>
      </c>
      <c r="G32" s="116" t="s">
        <v>559</v>
      </c>
      <c r="H32" s="116" t="s">
        <v>558</v>
      </c>
      <c r="I32" s="116" t="s">
        <v>558</v>
      </c>
      <c r="J32" s="116" t="s">
        <v>565</v>
      </c>
      <c r="K32" s="116" t="s">
        <v>558</v>
      </c>
      <c r="L32" s="116" t="s">
        <v>566</v>
      </c>
      <c r="M32" s="122" t="str">
        <f t="shared" si="0"/>
        <v>View on Google Map</v>
      </c>
    </row>
    <row r="33" spans="1:14" x14ac:dyDescent="0.2">
      <c r="A33" s="116">
        <v>3</v>
      </c>
      <c r="B33" s="116" t="s">
        <v>606</v>
      </c>
      <c r="C33" s="116" t="s">
        <v>607</v>
      </c>
      <c r="D33" s="116">
        <v>68.266666666666666</v>
      </c>
      <c r="E33" s="116">
        <v>-149.44999999999999</v>
      </c>
      <c r="F33" s="116">
        <v>914</v>
      </c>
      <c r="G33" s="116" t="s">
        <v>583</v>
      </c>
      <c r="H33" s="116" t="s">
        <v>558</v>
      </c>
      <c r="I33" s="116" t="s">
        <v>558</v>
      </c>
      <c r="J33" s="116" t="s">
        <v>584</v>
      </c>
      <c r="K33" s="116" t="s">
        <v>558</v>
      </c>
      <c r="L33" s="116" t="s">
        <v>585</v>
      </c>
      <c r="M33" s="122" t="str">
        <f t="shared" si="0"/>
        <v>View on Google Map</v>
      </c>
    </row>
    <row r="34" spans="1:14" x14ac:dyDescent="0.2">
      <c r="A34" s="116">
        <v>2</v>
      </c>
      <c r="B34" s="116" t="s">
        <v>608</v>
      </c>
      <c r="C34" s="116" t="s">
        <v>609</v>
      </c>
      <c r="D34" s="116">
        <v>68.266666666666666</v>
      </c>
      <c r="E34" s="116">
        <v>-149.46666666666667</v>
      </c>
      <c r="F34" s="116">
        <v>914</v>
      </c>
      <c r="G34" s="116" t="s">
        <v>583</v>
      </c>
      <c r="H34" s="116" t="s">
        <v>558</v>
      </c>
      <c r="I34" s="116" t="s">
        <v>558</v>
      </c>
      <c r="J34" s="116" t="s">
        <v>584</v>
      </c>
      <c r="K34" s="116" t="s">
        <v>558</v>
      </c>
      <c r="L34" s="116" t="s">
        <v>585</v>
      </c>
      <c r="M34" s="122" t="str">
        <f t="shared" si="0"/>
        <v>View on Google Map</v>
      </c>
    </row>
    <row r="35" spans="1:14" x14ac:dyDescent="0.2">
      <c r="A35" s="116">
        <v>25</v>
      </c>
      <c r="B35" s="116" t="s">
        <v>610</v>
      </c>
      <c r="C35" s="116" t="s">
        <v>558</v>
      </c>
      <c r="D35" s="116" t="s">
        <v>558</v>
      </c>
      <c r="E35" s="116" t="s">
        <v>558</v>
      </c>
      <c r="F35" s="116">
        <v>1097</v>
      </c>
      <c r="G35" s="116" t="s">
        <v>583</v>
      </c>
      <c r="H35" s="116" t="s">
        <v>611</v>
      </c>
      <c r="I35" s="116" t="s">
        <v>558</v>
      </c>
      <c r="J35" s="116" t="s">
        <v>584</v>
      </c>
      <c r="K35" s="116" t="s">
        <v>558</v>
      </c>
      <c r="L35" s="116" t="s">
        <v>558</v>
      </c>
      <c r="M35" s="122" t="str">
        <f t="shared" si="0"/>
        <v>View on Google Map</v>
      </c>
    </row>
    <row r="36" spans="1:14" x14ac:dyDescent="0.2">
      <c r="A36" s="116">
        <v>26</v>
      </c>
      <c r="B36" s="116" t="s">
        <v>612</v>
      </c>
      <c r="C36" s="116" t="s">
        <v>558</v>
      </c>
      <c r="D36" s="116" t="s">
        <v>558</v>
      </c>
      <c r="E36" s="116" t="s">
        <v>558</v>
      </c>
      <c r="F36" s="116">
        <v>1280</v>
      </c>
      <c r="G36" s="116" t="s">
        <v>583</v>
      </c>
      <c r="H36" s="116" t="s">
        <v>613</v>
      </c>
      <c r="I36" s="116" t="s">
        <v>558</v>
      </c>
      <c r="J36" s="116" t="s">
        <v>584</v>
      </c>
      <c r="K36" s="116" t="s">
        <v>558</v>
      </c>
      <c r="L36" s="116" t="s">
        <v>558</v>
      </c>
      <c r="M36" s="122" t="str">
        <f t="shared" si="0"/>
        <v>View on Google Map</v>
      </c>
    </row>
    <row r="37" spans="1:14" x14ac:dyDescent="0.2">
      <c r="A37" s="116">
        <v>27</v>
      </c>
      <c r="B37" s="116" t="s">
        <v>614</v>
      </c>
      <c r="C37" s="116" t="s">
        <v>558</v>
      </c>
      <c r="D37" s="116" t="s">
        <v>558</v>
      </c>
      <c r="E37" s="116" t="s">
        <v>558</v>
      </c>
      <c r="F37" s="116">
        <v>1555</v>
      </c>
      <c r="G37" s="116" t="s">
        <v>583</v>
      </c>
      <c r="H37" s="116" t="s">
        <v>615</v>
      </c>
      <c r="I37" s="116" t="s">
        <v>558</v>
      </c>
      <c r="J37" s="116" t="s">
        <v>584</v>
      </c>
      <c r="K37" s="116" t="s">
        <v>558</v>
      </c>
      <c r="L37" s="116" t="s">
        <v>558</v>
      </c>
      <c r="M37" s="122" t="str">
        <f t="shared" si="0"/>
        <v>View on Google Map</v>
      </c>
    </row>
    <row r="38" spans="1:14" ht="12.75" customHeight="1" x14ac:dyDescent="0.2">
      <c r="A38" s="116">
        <v>138</v>
      </c>
      <c r="B38" s="116" t="s">
        <v>616</v>
      </c>
      <c r="C38" s="116" t="s">
        <v>558</v>
      </c>
      <c r="D38" s="116">
        <v>70.283333333333331</v>
      </c>
      <c r="E38" s="116">
        <v>-148.30000000000001</v>
      </c>
      <c r="F38" s="116">
        <v>6</v>
      </c>
      <c r="G38" s="116" t="s">
        <v>569</v>
      </c>
      <c r="H38" s="116" t="s">
        <v>617</v>
      </c>
      <c r="I38" s="116" t="s">
        <v>558</v>
      </c>
      <c r="J38" s="116" t="s">
        <v>584</v>
      </c>
      <c r="K38" s="116" t="s">
        <v>558</v>
      </c>
      <c r="L38" s="116" t="s">
        <v>585</v>
      </c>
      <c r="M38" s="122" t="str">
        <f t="shared" si="0"/>
        <v>View on Google Map</v>
      </c>
    </row>
    <row r="39" spans="1:14" ht="12.75" customHeight="1" x14ac:dyDescent="0.2">
      <c r="A39" s="116">
        <v>31</v>
      </c>
      <c r="B39" s="116" t="s">
        <v>618</v>
      </c>
      <c r="C39" s="116" t="s">
        <v>558</v>
      </c>
      <c r="D39" s="116">
        <v>68.957566666999995</v>
      </c>
      <c r="E39" s="116">
        <v>-150.236266667</v>
      </c>
      <c r="F39" s="116">
        <v>386.18</v>
      </c>
      <c r="G39" s="116" t="s">
        <v>583</v>
      </c>
      <c r="H39" s="116" t="s">
        <v>558</v>
      </c>
      <c r="I39" s="116" t="s">
        <v>558</v>
      </c>
      <c r="J39" s="116" t="s">
        <v>619</v>
      </c>
      <c r="K39" s="116" t="s">
        <v>558</v>
      </c>
      <c r="L39" s="116" t="s">
        <v>566</v>
      </c>
      <c r="M39" s="122" t="str">
        <f t="shared" si="0"/>
        <v>View on Google Map</v>
      </c>
    </row>
    <row r="40" spans="1:14" ht="12.75" customHeight="1" x14ac:dyDescent="0.2">
      <c r="A40" s="116">
        <v>131</v>
      </c>
      <c r="B40" s="116" t="s">
        <v>620</v>
      </c>
      <c r="C40" s="116" t="s">
        <v>558</v>
      </c>
      <c r="D40" s="116">
        <v>70.333333333333329</v>
      </c>
      <c r="E40" s="116">
        <v>-148.93333333333334</v>
      </c>
      <c r="F40" s="116">
        <v>3</v>
      </c>
      <c r="G40" s="116" t="s">
        <v>569</v>
      </c>
      <c r="H40" s="116" t="s">
        <v>621</v>
      </c>
      <c r="I40" s="116" t="s">
        <v>558</v>
      </c>
      <c r="J40" s="116" t="s">
        <v>584</v>
      </c>
      <c r="K40" s="116" t="s">
        <v>558</v>
      </c>
      <c r="L40" s="116" t="s">
        <v>585</v>
      </c>
      <c r="M40" s="122" t="str">
        <f t="shared" si="0"/>
        <v>View on Google Map</v>
      </c>
    </row>
    <row r="41" spans="1:14" s="123" customFormat="1" ht="12.75" customHeight="1" x14ac:dyDescent="0.2">
      <c r="A41" s="116">
        <v>132</v>
      </c>
      <c r="B41" s="116" t="s">
        <v>622</v>
      </c>
      <c r="C41" s="116" t="s">
        <v>558</v>
      </c>
      <c r="D41" s="116">
        <v>70.333333333333329</v>
      </c>
      <c r="E41" s="116">
        <v>-148.93333333333334</v>
      </c>
      <c r="F41" s="116">
        <v>3</v>
      </c>
      <c r="G41" s="116" t="s">
        <v>569</v>
      </c>
      <c r="H41" s="116" t="s">
        <v>623</v>
      </c>
      <c r="I41" s="116" t="s">
        <v>558</v>
      </c>
      <c r="J41" s="116" t="s">
        <v>584</v>
      </c>
      <c r="K41" s="116" t="s">
        <v>558</v>
      </c>
      <c r="L41" s="116" t="s">
        <v>585</v>
      </c>
      <c r="M41" s="122" t="str">
        <f t="shared" si="0"/>
        <v>View on Google Map</v>
      </c>
      <c r="N41" s="116"/>
    </row>
    <row r="42" spans="1:14" ht="12.75" customHeight="1" x14ac:dyDescent="0.2">
      <c r="A42" s="116">
        <v>141</v>
      </c>
      <c r="B42" s="116" t="s">
        <v>624</v>
      </c>
      <c r="C42" s="116" t="s">
        <v>625</v>
      </c>
      <c r="D42" s="116">
        <v>68.63333333333334</v>
      </c>
      <c r="E42" s="116">
        <v>-149.6</v>
      </c>
      <c r="F42" s="116">
        <v>720</v>
      </c>
      <c r="G42" s="116" t="s">
        <v>569</v>
      </c>
      <c r="H42" s="116" t="s">
        <v>626</v>
      </c>
      <c r="I42" s="116" t="s">
        <v>627</v>
      </c>
      <c r="J42" s="116" t="s">
        <v>584</v>
      </c>
      <c r="K42" s="116" t="s">
        <v>558</v>
      </c>
      <c r="L42" s="116" t="s">
        <v>585</v>
      </c>
      <c r="M42" s="122" t="str">
        <f t="shared" si="0"/>
        <v>View on Google Map</v>
      </c>
    </row>
    <row r="43" spans="1:14" ht="12.75" customHeight="1" x14ac:dyDescent="0.2">
      <c r="A43" s="116">
        <v>160</v>
      </c>
      <c r="B43" s="116" t="s">
        <v>628</v>
      </c>
      <c r="C43" s="116" t="s">
        <v>558</v>
      </c>
      <c r="D43" s="116">
        <v>68.599999999999994</v>
      </c>
      <c r="E43" s="116">
        <v>-149.18333333333334</v>
      </c>
      <c r="F43" s="116">
        <v>864</v>
      </c>
      <c r="G43" s="116" t="s">
        <v>569</v>
      </c>
      <c r="H43" s="116" t="s">
        <v>629</v>
      </c>
      <c r="I43" s="116" t="s">
        <v>630</v>
      </c>
      <c r="J43" s="116" t="s">
        <v>584</v>
      </c>
      <c r="K43" s="116">
        <v>246</v>
      </c>
      <c r="L43" s="116" t="s">
        <v>585</v>
      </c>
      <c r="M43" s="122" t="str">
        <f t="shared" si="0"/>
        <v>View on Google Map</v>
      </c>
    </row>
    <row r="44" spans="1:14" ht="12.75" customHeight="1" x14ac:dyDescent="0.2">
      <c r="A44" s="116">
        <v>481</v>
      </c>
      <c r="B44" s="116" t="s">
        <v>631</v>
      </c>
      <c r="C44" s="116" t="s">
        <v>558</v>
      </c>
      <c r="D44" s="116">
        <v>68.976716667000005</v>
      </c>
      <c r="E44" s="116">
        <v>-150.20383333300001</v>
      </c>
      <c r="F44" s="116">
        <v>362</v>
      </c>
      <c r="G44" s="116" t="s">
        <v>569</v>
      </c>
      <c r="H44" s="116" t="s">
        <v>558</v>
      </c>
      <c r="I44" s="116" t="s">
        <v>558</v>
      </c>
      <c r="J44" s="116" t="s">
        <v>619</v>
      </c>
      <c r="K44" s="116" t="s">
        <v>558</v>
      </c>
      <c r="L44" s="116" t="s">
        <v>566</v>
      </c>
      <c r="M44" s="122" t="str">
        <f t="shared" si="0"/>
        <v>View on Google Map</v>
      </c>
    </row>
    <row r="45" spans="1:14" x14ac:dyDescent="0.2">
      <c r="A45" s="116">
        <v>21</v>
      </c>
      <c r="B45" s="116" t="s">
        <v>632</v>
      </c>
      <c r="C45" s="116" t="s">
        <v>558</v>
      </c>
      <c r="D45" s="116" t="s">
        <v>558</v>
      </c>
      <c r="E45" s="116" t="s">
        <v>558</v>
      </c>
      <c r="F45" s="116" t="s">
        <v>558</v>
      </c>
      <c r="G45" s="116" t="s">
        <v>583</v>
      </c>
      <c r="H45" s="116" t="s">
        <v>558</v>
      </c>
      <c r="I45" s="116" t="s">
        <v>558</v>
      </c>
      <c r="J45" s="116" t="s">
        <v>584</v>
      </c>
      <c r="K45" s="116" t="s">
        <v>558</v>
      </c>
      <c r="L45" s="116" t="s">
        <v>558</v>
      </c>
      <c r="M45" s="122" t="str">
        <f t="shared" si="0"/>
        <v>View on Google Map</v>
      </c>
      <c r="N45" s="123"/>
    </row>
    <row r="46" spans="1:14" x14ac:dyDescent="0.2">
      <c r="A46" s="116">
        <v>470</v>
      </c>
      <c r="B46" s="116" t="s">
        <v>633</v>
      </c>
      <c r="C46" s="116" t="s">
        <v>558</v>
      </c>
      <c r="D46" s="116">
        <v>68.829459999999997</v>
      </c>
      <c r="E46" s="116">
        <v>-149.77891</v>
      </c>
      <c r="F46" s="116">
        <v>634</v>
      </c>
      <c r="G46" s="116" t="s">
        <v>569</v>
      </c>
      <c r="H46" s="116" t="s">
        <v>558</v>
      </c>
      <c r="I46" s="116" t="s">
        <v>558</v>
      </c>
      <c r="J46" s="116" t="s">
        <v>570</v>
      </c>
      <c r="K46" s="116" t="s">
        <v>558</v>
      </c>
      <c r="L46" s="116" t="s">
        <v>558</v>
      </c>
      <c r="M46" s="122" t="str">
        <f t="shared" si="0"/>
        <v>View on Google Map</v>
      </c>
    </row>
    <row r="47" spans="1:14" x14ac:dyDescent="0.2">
      <c r="A47" s="116">
        <v>471</v>
      </c>
      <c r="B47" s="116" t="s">
        <v>634</v>
      </c>
      <c r="C47" s="116" t="s">
        <v>558</v>
      </c>
      <c r="D47" s="116">
        <v>68.832939999999994</v>
      </c>
      <c r="E47" s="116">
        <v>-149.76775000000001</v>
      </c>
      <c r="F47" s="116">
        <v>624</v>
      </c>
      <c r="G47" s="116" t="s">
        <v>569</v>
      </c>
      <c r="H47" s="116" t="s">
        <v>558</v>
      </c>
      <c r="I47" s="116" t="s">
        <v>558</v>
      </c>
      <c r="J47" s="116" t="s">
        <v>570</v>
      </c>
      <c r="K47" s="116" t="s">
        <v>558</v>
      </c>
      <c r="L47" s="116" t="s">
        <v>558</v>
      </c>
      <c r="M47" s="122" t="str">
        <f t="shared" si="0"/>
        <v>View on Google Map</v>
      </c>
    </row>
    <row r="48" spans="1:14" x14ac:dyDescent="0.2">
      <c r="A48" s="116">
        <v>472</v>
      </c>
      <c r="B48" s="116" t="s">
        <v>635</v>
      </c>
      <c r="C48" s="116" t="s">
        <v>558</v>
      </c>
      <c r="D48" s="116">
        <v>68.828059999999994</v>
      </c>
      <c r="E48" s="116">
        <v>-149.76449</v>
      </c>
      <c r="F48" s="116">
        <v>624</v>
      </c>
      <c r="G48" s="116" t="s">
        <v>569</v>
      </c>
      <c r="H48" s="116" t="s">
        <v>558</v>
      </c>
      <c r="I48" s="116" t="s">
        <v>558</v>
      </c>
      <c r="J48" s="116" t="s">
        <v>570</v>
      </c>
      <c r="K48" s="116" t="s">
        <v>558</v>
      </c>
      <c r="L48" s="116" t="s">
        <v>558</v>
      </c>
      <c r="M48" s="122" t="str">
        <f t="shared" si="0"/>
        <v>View on Google Map</v>
      </c>
    </row>
    <row r="49" spans="1:13" x14ac:dyDescent="0.2">
      <c r="A49" s="116">
        <v>473</v>
      </c>
      <c r="B49" s="116" t="s">
        <v>636</v>
      </c>
      <c r="C49" s="116" t="s">
        <v>558</v>
      </c>
      <c r="D49" s="116">
        <v>68.826400000000007</v>
      </c>
      <c r="E49" s="116">
        <v>-149.7585</v>
      </c>
      <c r="F49" s="116">
        <v>592</v>
      </c>
      <c r="G49" s="116" t="s">
        <v>569</v>
      </c>
      <c r="H49" s="116" t="s">
        <v>558</v>
      </c>
      <c r="I49" s="116" t="s">
        <v>558</v>
      </c>
      <c r="J49" s="116" t="s">
        <v>570</v>
      </c>
      <c r="K49" s="116" t="s">
        <v>558</v>
      </c>
      <c r="L49" s="116" t="s">
        <v>558</v>
      </c>
      <c r="M49" s="122" t="str">
        <f t="shared" si="0"/>
        <v>View on Google Map</v>
      </c>
    </row>
    <row r="50" spans="1:13" x14ac:dyDescent="0.2">
      <c r="A50" s="116">
        <v>474</v>
      </c>
      <c r="B50" s="116" t="s">
        <v>637</v>
      </c>
      <c r="C50" s="116" t="s">
        <v>558</v>
      </c>
      <c r="D50" s="116">
        <v>68.827349999999996</v>
      </c>
      <c r="E50" s="116">
        <v>-149.74993000000001</v>
      </c>
      <c r="F50" s="116">
        <v>592</v>
      </c>
      <c r="G50" s="116" t="s">
        <v>569</v>
      </c>
      <c r="H50" s="116" t="s">
        <v>558</v>
      </c>
      <c r="I50" s="116" t="s">
        <v>558</v>
      </c>
      <c r="J50" s="116" t="s">
        <v>570</v>
      </c>
      <c r="K50" s="116" t="s">
        <v>558</v>
      </c>
      <c r="L50" s="116" t="s">
        <v>558</v>
      </c>
      <c r="M50" s="122" t="str">
        <f t="shared" si="0"/>
        <v>View on Google Map</v>
      </c>
    </row>
    <row r="51" spans="1:13" x14ac:dyDescent="0.2">
      <c r="A51" s="116">
        <v>475</v>
      </c>
      <c r="B51" s="116" t="s">
        <v>638</v>
      </c>
      <c r="C51" s="116" t="s">
        <v>558</v>
      </c>
      <c r="D51" s="116">
        <v>68.831180000000003</v>
      </c>
      <c r="E51" s="116">
        <v>-149.74606</v>
      </c>
      <c r="F51" s="116">
        <v>593</v>
      </c>
      <c r="G51" s="116" t="s">
        <v>569</v>
      </c>
      <c r="H51" s="116" t="s">
        <v>639</v>
      </c>
      <c r="I51" s="116" t="s">
        <v>558</v>
      </c>
      <c r="J51" s="116" t="s">
        <v>570</v>
      </c>
      <c r="K51" s="116" t="s">
        <v>558</v>
      </c>
      <c r="L51" s="116" t="s">
        <v>558</v>
      </c>
      <c r="M51" s="122" t="str">
        <f t="shared" si="0"/>
        <v>View on Google Map</v>
      </c>
    </row>
    <row r="52" spans="1:13" x14ac:dyDescent="0.2">
      <c r="A52" s="116">
        <v>476</v>
      </c>
      <c r="B52" s="116" t="s">
        <v>640</v>
      </c>
      <c r="C52" s="116" t="s">
        <v>558</v>
      </c>
      <c r="D52" s="116">
        <v>68.825339999999997</v>
      </c>
      <c r="E52" s="116">
        <v>-149.76837</v>
      </c>
      <c r="F52" s="116">
        <v>621</v>
      </c>
      <c r="G52" s="116" t="s">
        <v>569</v>
      </c>
      <c r="H52" s="116" t="s">
        <v>558</v>
      </c>
      <c r="I52" s="116" t="s">
        <v>558</v>
      </c>
      <c r="J52" s="116" t="s">
        <v>570</v>
      </c>
      <c r="K52" s="116" t="s">
        <v>558</v>
      </c>
      <c r="L52" s="116" t="s">
        <v>558</v>
      </c>
      <c r="M52" s="122" t="str">
        <f t="shared" si="0"/>
        <v>View on Google Map</v>
      </c>
    </row>
    <row r="53" spans="1:13" x14ac:dyDescent="0.2">
      <c r="A53" s="116">
        <v>477</v>
      </c>
      <c r="B53" s="116" t="s">
        <v>641</v>
      </c>
      <c r="C53" s="116" t="s">
        <v>558</v>
      </c>
      <c r="D53" s="116">
        <v>68.821740000000005</v>
      </c>
      <c r="E53" s="116">
        <v>-149.76378</v>
      </c>
      <c r="F53" s="116">
        <v>605</v>
      </c>
      <c r="G53" s="116" t="s">
        <v>569</v>
      </c>
      <c r="H53" s="116" t="s">
        <v>558</v>
      </c>
      <c r="I53" s="116" t="s">
        <v>558</v>
      </c>
      <c r="J53" s="116" t="s">
        <v>570</v>
      </c>
      <c r="K53" s="116" t="s">
        <v>558</v>
      </c>
      <c r="L53" s="116" t="s">
        <v>558</v>
      </c>
      <c r="M53" s="122" t="str">
        <f t="shared" si="0"/>
        <v>View on Google Map</v>
      </c>
    </row>
    <row r="54" spans="1:13" x14ac:dyDescent="0.2">
      <c r="A54" s="116">
        <v>1174</v>
      </c>
      <c r="B54" s="116" t="s">
        <v>642</v>
      </c>
      <c r="C54" s="116" t="s">
        <v>558</v>
      </c>
      <c r="D54" s="116">
        <v>68.933938330000004</v>
      </c>
      <c r="E54" s="116">
        <v>-150.27111830000001</v>
      </c>
      <c r="F54" s="116" t="s">
        <v>558</v>
      </c>
      <c r="G54" s="116" t="s">
        <v>559</v>
      </c>
      <c r="H54" s="116" t="s">
        <v>558</v>
      </c>
      <c r="I54" s="116" t="s">
        <v>558</v>
      </c>
      <c r="J54" s="116" t="s">
        <v>565</v>
      </c>
      <c r="K54" s="116" t="s">
        <v>558</v>
      </c>
      <c r="L54" s="116" t="s">
        <v>566</v>
      </c>
      <c r="M54" s="122" t="str">
        <f t="shared" si="0"/>
        <v>View on Google Map</v>
      </c>
    </row>
    <row r="55" spans="1:13" x14ac:dyDescent="0.2">
      <c r="A55" s="116">
        <v>242</v>
      </c>
      <c r="B55" s="116" t="s">
        <v>643</v>
      </c>
      <c r="C55" s="116" t="s">
        <v>558</v>
      </c>
      <c r="D55" s="116" t="s">
        <v>558</v>
      </c>
      <c r="E55" s="116" t="s">
        <v>558</v>
      </c>
      <c r="F55" s="116">
        <v>390.2439024390244</v>
      </c>
      <c r="G55" s="116" t="s">
        <v>569</v>
      </c>
      <c r="H55" s="116" t="s">
        <v>558</v>
      </c>
      <c r="I55" s="116" t="s">
        <v>558</v>
      </c>
      <c r="J55" s="116" t="s">
        <v>584</v>
      </c>
      <c r="K55" s="116" t="s">
        <v>558</v>
      </c>
      <c r="L55" s="116" t="s">
        <v>644</v>
      </c>
      <c r="M55" s="122" t="str">
        <f t="shared" si="0"/>
        <v>View on Google Map</v>
      </c>
    </row>
    <row r="56" spans="1:13" x14ac:dyDescent="0.2">
      <c r="A56" s="116">
        <v>192</v>
      </c>
      <c r="B56" s="116" t="s">
        <v>645</v>
      </c>
      <c r="C56" s="116" t="s">
        <v>558</v>
      </c>
      <c r="D56" s="116">
        <v>69.233333333333334</v>
      </c>
      <c r="E56" s="116">
        <v>-148.94999999999999</v>
      </c>
      <c r="F56" s="116">
        <v>325</v>
      </c>
      <c r="G56" s="116" t="s">
        <v>569</v>
      </c>
      <c r="H56" s="116" t="s">
        <v>646</v>
      </c>
      <c r="I56" s="116" t="s">
        <v>558</v>
      </c>
      <c r="J56" s="116" t="s">
        <v>584</v>
      </c>
      <c r="K56" s="116" t="s">
        <v>558</v>
      </c>
      <c r="L56" s="116" t="s">
        <v>647</v>
      </c>
      <c r="M56" s="122" t="str">
        <f t="shared" si="0"/>
        <v>View on Google Map</v>
      </c>
    </row>
    <row r="57" spans="1:13" x14ac:dyDescent="0.2">
      <c r="A57" s="116">
        <v>277</v>
      </c>
      <c r="B57" s="116" t="s">
        <v>645</v>
      </c>
      <c r="C57" s="116" t="s">
        <v>558</v>
      </c>
      <c r="D57" s="116">
        <v>70.374600000000001</v>
      </c>
      <c r="E57" s="116">
        <v>-149.06383333333332</v>
      </c>
      <c r="F57" s="116">
        <v>6</v>
      </c>
      <c r="G57" s="116" t="s">
        <v>569</v>
      </c>
      <c r="H57" s="116" t="s">
        <v>648</v>
      </c>
      <c r="I57" s="116" t="s">
        <v>558</v>
      </c>
      <c r="J57" s="116" t="s">
        <v>584</v>
      </c>
      <c r="K57" s="116" t="s">
        <v>558</v>
      </c>
      <c r="L57" s="116" t="s">
        <v>649</v>
      </c>
      <c r="M57" s="122" t="str">
        <f t="shared" si="0"/>
        <v>View on Google Map</v>
      </c>
    </row>
    <row r="58" spans="1:13" x14ac:dyDescent="0.2">
      <c r="A58" s="116">
        <v>193</v>
      </c>
      <c r="B58" s="116" t="s">
        <v>650</v>
      </c>
      <c r="C58" s="116" t="s">
        <v>558</v>
      </c>
      <c r="D58" s="116">
        <v>69.283333333333331</v>
      </c>
      <c r="E58" s="116">
        <v>-148.9</v>
      </c>
      <c r="F58" s="116">
        <v>346</v>
      </c>
      <c r="G58" s="116" t="s">
        <v>569</v>
      </c>
      <c r="H58" s="116" t="s">
        <v>651</v>
      </c>
      <c r="I58" s="116" t="s">
        <v>558</v>
      </c>
      <c r="J58" s="116" t="s">
        <v>584</v>
      </c>
      <c r="K58" s="116" t="s">
        <v>558</v>
      </c>
      <c r="L58" s="116" t="s">
        <v>647</v>
      </c>
      <c r="M58" s="122" t="str">
        <f t="shared" si="0"/>
        <v>View on Google Map</v>
      </c>
    </row>
    <row r="59" spans="1:13" x14ac:dyDescent="0.2">
      <c r="A59" s="116">
        <v>278</v>
      </c>
      <c r="B59" s="116" t="s">
        <v>650</v>
      </c>
      <c r="C59" s="116" t="s">
        <v>558</v>
      </c>
      <c r="D59" s="116">
        <v>70.374600000000001</v>
      </c>
      <c r="E59" s="116">
        <v>-149.06383333333332</v>
      </c>
      <c r="F59" s="116">
        <v>6</v>
      </c>
      <c r="G59" s="116" t="s">
        <v>569</v>
      </c>
      <c r="H59" s="116" t="s">
        <v>652</v>
      </c>
      <c r="I59" s="116" t="s">
        <v>558</v>
      </c>
      <c r="J59" s="116" t="s">
        <v>584</v>
      </c>
      <c r="K59" s="116" t="s">
        <v>558</v>
      </c>
      <c r="L59" s="116" t="s">
        <v>649</v>
      </c>
      <c r="M59" s="122" t="str">
        <f t="shared" si="0"/>
        <v>View on Google Map</v>
      </c>
    </row>
    <row r="60" spans="1:13" x14ac:dyDescent="0.2">
      <c r="A60" s="116">
        <v>194</v>
      </c>
      <c r="B60" s="116" t="s">
        <v>653</v>
      </c>
      <c r="C60" s="116" t="s">
        <v>558</v>
      </c>
      <c r="D60" s="116">
        <v>69.716666666666669</v>
      </c>
      <c r="E60" s="116">
        <v>-149.44999999999999</v>
      </c>
      <c r="F60" s="116">
        <v>91</v>
      </c>
      <c r="G60" s="116" t="s">
        <v>569</v>
      </c>
      <c r="H60" s="116" t="s">
        <v>654</v>
      </c>
      <c r="I60" s="116" t="s">
        <v>558</v>
      </c>
      <c r="J60" s="116" t="s">
        <v>584</v>
      </c>
      <c r="K60" s="116" t="s">
        <v>558</v>
      </c>
      <c r="L60" s="116" t="s">
        <v>647</v>
      </c>
      <c r="M60" s="122" t="str">
        <f t="shared" si="0"/>
        <v>View on Google Map</v>
      </c>
    </row>
    <row r="61" spans="1:13" x14ac:dyDescent="0.2">
      <c r="A61" s="116">
        <v>279</v>
      </c>
      <c r="B61" s="116" t="s">
        <v>653</v>
      </c>
      <c r="C61" s="116" t="s">
        <v>558</v>
      </c>
      <c r="D61" s="116">
        <v>70.367750000000001</v>
      </c>
      <c r="E61" s="116">
        <v>-148.8357</v>
      </c>
      <c r="F61" s="116">
        <v>6</v>
      </c>
      <c r="G61" s="116" t="s">
        <v>569</v>
      </c>
      <c r="H61" s="116" t="s">
        <v>655</v>
      </c>
      <c r="I61" s="116" t="s">
        <v>558</v>
      </c>
      <c r="J61" s="116" t="s">
        <v>584</v>
      </c>
      <c r="K61" s="116" t="s">
        <v>558</v>
      </c>
      <c r="L61" s="116" t="s">
        <v>649</v>
      </c>
      <c r="M61" s="122" t="str">
        <f t="shared" si="0"/>
        <v>View on Google Map</v>
      </c>
    </row>
    <row r="62" spans="1:13" x14ac:dyDescent="0.2">
      <c r="A62" s="116">
        <v>195</v>
      </c>
      <c r="B62" s="116" t="s">
        <v>656</v>
      </c>
      <c r="C62" s="116" t="s">
        <v>558</v>
      </c>
      <c r="D62" s="116">
        <v>69.716666666666669</v>
      </c>
      <c r="E62" s="116">
        <v>-149.44999999999999</v>
      </c>
      <c r="F62" s="116">
        <v>91</v>
      </c>
      <c r="G62" s="116" t="s">
        <v>569</v>
      </c>
      <c r="H62" s="116" t="s">
        <v>657</v>
      </c>
      <c r="I62" s="116" t="s">
        <v>558</v>
      </c>
      <c r="J62" s="116" t="s">
        <v>584</v>
      </c>
      <c r="K62" s="116" t="s">
        <v>558</v>
      </c>
      <c r="L62" s="116" t="s">
        <v>647</v>
      </c>
      <c r="M62" s="122" t="str">
        <f t="shared" si="0"/>
        <v>View on Google Map</v>
      </c>
    </row>
    <row r="63" spans="1:13" x14ac:dyDescent="0.2">
      <c r="A63" s="116">
        <v>280</v>
      </c>
      <c r="B63" s="116" t="s">
        <v>656</v>
      </c>
      <c r="C63" s="116" t="s">
        <v>558</v>
      </c>
      <c r="D63" s="116">
        <v>70.367750000000001</v>
      </c>
      <c r="E63" s="116">
        <v>-148.8357</v>
      </c>
      <c r="F63" s="116">
        <v>6</v>
      </c>
      <c r="G63" s="116" t="s">
        <v>569</v>
      </c>
      <c r="H63" s="116" t="s">
        <v>658</v>
      </c>
      <c r="I63" s="116" t="s">
        <v>558</v>
      </c>
      <c r="J63" s="116" t="s">
        <v>584</v>
      </c>
      <c r="K63" s="116" t="s">
        <v>558</v>
      </c>
      <c r="L63" s="116" t="s">
        <v>649</v>
      </c>
      <c r="M63" s="122" t="str">
        <f t="shared" si="0"/>
        <v>View on Google Map</v>
      </c>
    </row>
    <row r="64" spans="1:13" x14ac:dyDescent="0.2">
      <c r="A64" s="116">
        <v>196</v>
      </c>
      <c r="B64" s="116" t="s">
        <v>659</v>
      </c>
      <c r="C64" s="116" t="s">
        <v>558</v>
      </c>
      <c r="D64" s="116">
        <v>69.833333333333329</v>
      </c>
      <c r="E64" s="116">
        <v>-149.75</v>
      </c>
      <c r="F64" s="116">
        <v>80</v>
      </c>
      <c r="G64" s="116" t="s">
        <v>569</v>
      </c>
      <c r="H64" s="116" t="s">
        <v>660</v>
      </c>
      <c r="I64" s="116" t="s">
        <v>558</v>
      </c>
      <c r="J64" s="116" t="s">
        <v>584</v>
      </c>
      <c r="K64" s="116" t="s">
        <v>558</v>
      </c>
      <c r="L64" s="116" t="s">
        <v>647</v>
      </c>
      <c r="M64" s="122" t="str">
        <f t="shared" si="0"/>
        <v>View on Google Map</v>
      </c>
    </row>
    <row r="65" spans="1:13" x14ac:dyDescent="0.2">
      <c r="A65" s="116">
        <v>281</v>
      </c>
      <c r="B65" s="116" t="s">
        <v>659</v>
      </c>
      <c r="C65" s="116" t="s">
        <v>558</v>
      </c>
      <c r="D65" s="116">
        <v>70.26821666666666</v>
      </c>
      <c r="E65" s="116">
        <v>-149.20859999999999</v>
      </c>
      <c r="F65" s="116">
        <v>15</v>
      </c>
      <c r="G65" s="116" t="s">
        <v>569</v>
      </c>
      <c r="H65" s="116" t="s">
        <v>661</v>
      </c>
      <c r="I65" s="116" t="s">
        <v>558</v>
      </c>
      <c r="J65" s="116" t="s">
        <v>584</v>
      </c>
      <c r="K65" s="116" t="s">
        <v>558</v>
      </c>
      <c r="L65" s="116" t="s">
        <v>649</v>
      </c>
      <c r="M65" s="122" t="str">
        <f t="shared" si="0"/>
        <v>View on Google Map</v>
      </c>
    </row>
    <row r="66" spans="1:13" x14ac:dyDescent="0.2">
      <c r="A66" s="116">
        <v>197</v>
      </c>
      <c r="B66" s="116" t="s">
        <v>662</v>
      </c>
      <c r="C66" s="116" t="s">
        <v>558</v>
      </c>
      <c r="D66" s="116">
        <v>70.283333333333331</v>
      </c>
      <c r="E66" s="116">
        <v>-150.19999999999999</v>
      </c>
      <c r="F66" s="116">
        <v>12</v>
      </c>
      <c r="G66" s="116" t="s">
        <v>569</v>
      </c>
      <c r="H66" s="116" t="s">
        <v>663</v>
      </c>
      <c r="I66" s="116" t="s">
        <v>558</v>
      </c>
      <c r="J66" s="116" t="s">
        <v>584</v>
      </c>
      <c r="K66" s="116" t="s">
        <v>558</v>
      </c>
      <c r="L66" s="116" t="s">
        <v>647</v>
      </c>
      <c r="M66" s="122" t="str">
        <f t="shared" si="0"/>
        <v>View on Google Map</v>
      </c>
    </row>
    <row r="67" spans="1:13" x14ac:dyDescent="0.2">
      <c r="A67" s="116">
        <v>282</v>
      </c>
      <c r="B67" s="116" t="s">
        <v>662</v>
      </c>
      <c r="C67" s="116" t="s">
        <v>558</v>
      </c>
      <c r="D67" s="116">
        <v>70.26821666666666</v>
      </c>
      <c r="E67" s="116">
        <v>-149.20859999999999</v>
      </c>
      <c r="F67" s="116">
        <v>15</v>
      </c>
      <c r="G67" s="116" t="s">
        <v>569</v>
      </c>
      <c r="H67" s="116" t="s">
        <v>664</v>
      </c>
      <c r="I67" s="116" t="s">
        <v>558</v>
      </c>
      <c r="J67" s="116" t="s">
        <v>584</v>
      </c>
      <c r="K67" s="116" t="s">
        <v>558</v>
      </c>
      <c r="L67" s="116" t="s">
        <v>649</v>
      </c>
      <c r="M67" s="122" t="str">
        <f t="shared" ref="M67:M130" si="1">HYPERLINK("http://maps.google.com/maps?q="&amp;D67&amp;","&amp;E67,"View on Google Map")</f>
        <v>View on Google Map</v>
      </c>
    </row>
    <row r="68" spans="1:13" x14ac:dyDescent="0.2">
      <c r="A68" s="116">
        <v>198</v>
      </c>
      <c r="B68" s="116" t="s">
        <v>665</v>
      </c>
      <c r="C68" s="116" t="s">
        <v>558</v>
      </c>
      <c r="D68" s="116">
        <v>70.283333333333331</v>
      </c>
      <c r="E68" s="116">
        <v>-150.19999999999999</v>
      </c>
      <c r="F68" s="116">
        <v>12</v>
      </c>
      <c r="G68" s="116" t="s">
        <v>569</v>
      </c>
      <c r="H68" s="116" t="s">
        <v>666</v>
      </c>
      <c r="I68" s="116" t="s">
        <v>558</v>
      </c>
      <c r="J68" s="116" t="s">
        <v>584</v>
      </c>
      <c r="K68" s="116" t="s">
        <v>558</v>
      </c>
      <c r="L68" s="116" t="s">
        <v>647</v>
      </c>
      <c r="M68" s="122" t="str">
        <f t="shared" si="1"/>
        <v>View on Google Map</v>
      </c>
    </row>
    <row r="69" spans="1:13" x14ac:dyDescent="0.2">
      <c r="A69" s="116">
        <v>283</v>
      </c>
      <c r="B69" s="116" t="s">
        <v>665</v>
      </c>
      <c r="C69" s="116" t="s">
        <v>558</v>
      </c>
      <c r="D69" s="116">
        <v>70.184266666666673</v>
      </c>
      <c r="E69" s="116">
        <v>-149.15443333333334</v>
      </c>
      <c r="F69" s="116">
        <v>15</v>
      </c>
      <c r="G69" s="116" t="s">
        <v>569</v>
      </c>
      <c r="H69" s="116" t="s">
        <v>667</v>
      </c>
      <c r="I69" s="116" t="s">
        <v>558</v>
      </c>
      <c r="J69" s="116" t="s">
        <v>584</v>
      </c>
      <c r="K69" s="116" t="s">
        <v>558</v>
      </c>
      <c r="L69" s="116" t="s">
        <v>649</v>
      </c>
      <c r="M69" s="122" t="str">
        <f t="shared" si="1"/>
        <v>View on Google Map</v>
      </c>
    </row>
    <row r="70" spans="1:13" x14ac:dyDescent="0.2">
      <c r="A70" s="116">
        <v>199</v>
      </c>
      <c r="B70" s="116" t="s">
        <v>668</v>
      </c>
      <c r="C70" s="116" t="s">
        <v>558</v>
      </c>
      <c r="D70" s="116">
        <v>70.416666666666671</v>
      </c>
      <c r="E70" s="116">
        <v>-150.19999999999999</v>
      </c>
      <c r="F70" s="116">
        <v>4</v>
      </c>
      <c r="G70" s="116" t="s">
        <v>569</v>
      </c>
      <c r="H70" s="116" t="s">
        <v>669</v>
      </c>
      <c r="I70" s="116" t="s">
        <v>558</v>
      </c>
      <c r="J70" s="116" t="s">
        <v>584</v>
      </c>
      <c r="K70" s="116" t="s">
        <v>558</v>
      </c>
      <c r="L70" s="116" t="s">
        <v>647</v>
      </c>
      <c r="M70" s="122" t="str">
        <f t="shared" si="1"/>
        <v>View on Google Map</v>
      </c>
    </row>
    <row r="71" spans="1:13" x14ac:dyDescent="0.2">
      <c r="A71" s="116">
        <v>284</v>
      </c>
      <c r="B71" s="116" t="s">
        <v>668</v>
      </c>
      <c r="C71" s="116" t="s">
        <v>558</v>
      </c>
      <c r="D71" s="116">
        <v>70.184266666666673</v>
      </c>
      <c r="E71" s="116">
        <v>-149.15443333333334</v>
      </c>
      <c r="F71" s="116">
        <v>15</v>
      </c>
      <c r="G71" s="116" t="s">
        <v>569</v>
      </c>
      <c r="H71" s="116" t="s">
        <v>670</v>
      </c>
      <c r="I71" s="116" t="s">
        <v>558</v>
      </c>
      <c r="J71" s="116" t="s">
        <v>584</v>
      </c>
      <c r="K71" s="116" t="s">
        <v>558</v>
      </c>
      <c r="L71" s="116" t="s">
        <v>649</v>
      </c>
      <c r="M71" s="122" t="str">
        <f t="shared" si="1"/>
        <v>View on Google Map</v>
      </c>
    </row>
    <row r="72" spans="1:13" x14ac:dyDescent="0.2">
      <c r="A72" s="116">
        <v>200</v>
      </c>
      <c r="B72" s="116" t="s">
        <v>671</v>
      </c>
      <c r="C72" s="116" t="s">
        <v>558</v>
      </c>
      <c r="D72" s="116">
        <v>70.283333333333331</v>
      </c>
      <c r="E72" s="116">
        <v>-149.81666666666666</v>
      </c>
      <c r="F72" s="116">
        <v>28.963414634146343</v>
      </c>
      <c r="G72" s="116" t="s">
        <v>569</v>
      </c>
      <c r="H72" s="116" t="s">
        <v>672</v>
      </c>
      <c r="I72" s="116" t="s">
        <v>558</v>
      </c>
      <c r="J72" s="116" t="s">
        <v>584</v>
      </c>
      <c r="K72" s="116" t="s">
        <v>558</v>
      </c>
      <c r="L72" s="116" t="s">
        <v>647</v>
      </c>
      <c r="M72" s="122" t="str">
        <f t="shared" si="1"/>
        <v>View on Google Map</v>
      </c>
    </row>
    <row r="73" spans="1:13" x14ac:dyDescent="0.2">
      <c r="A73" s="116">
        <v>285</v>
      </c>
      <c r="B73" s="116" t="s">
        <v>671</v>
      </c>
      <c r="C73" s="116" t="s">
        <v>558</v>
      </c>
      <c r="D73" s="116">
        <v>70.126099999999994</v>
      </c>
      <c r="E73" s="116">
        <v>-149.33773333333335</v>
      </c>
      <c r="F73" s="116">
        <v>30</v>
      </c>
      <c r="G73" s="116" t="s">
        <v>569</v>
      </c>
      <c r="H73" s="116" t="s">
        <v>673</v>
      </c>
      <c r="I73" s="116" t="s">
        <v>558</v>
      </c>
      <c r="J73" s="116" t="s">
        <v>584</v>
      </c>
      <c r="K73" s="116" t="s">
        <v>558</v>
      </c>
      <c r="L73" s="116" t="s">
        <v>649</v>
      </c>
      <c r="M73" s="122" t="str">
        <f t="shared" si="1"/>
        <v>View on Google Map</v>
      </c>
    </row>
    <row r="74" spans="1:13" x14ac:dyDescent="0.2">
      <c r="A74" s="116">
        <v>201</v>
      </c>
      <c r="B74" s="116" t="s">
        <v>674</v>
      </c>
      <c r="C74" s="116" t="s">
        <v>558</v>
      </c>
      <c r="D74" s="116">
        <v>70.283333333333331</v>
      </c>
      <c r="E74" s="116">
        <v>-149.81666666666666</v>
      </c>
      <c r="F74" s="116">
        <v>28.963414634146343</v>
      </c>
      <c r="G74" s="116" t="s">
        <v>569</v>
      </c>
      <c r="H74" s="116" t="s">
        <v>675</v>
      </c>
      <c r="I74" s="116" t="s">
        <v>558</v>
      </c>
      <c r="J74" s="116" t="s">
        <v>584</v>
      </c>
      <c r="K74" s="116" t="s">
        <v>558</v>
      </c>
      <c r="L74" s="116" t="s">
        <v>647</v>
      </c>
      <c r="M74" s="122" t="str">
        <f t="shared" si="1"/>
        <v>View on Google Map</v>
      </c>
    </row>
    <row r="75" spans="1:13" x14ac:dyDescent="0.2">
      <c r="A75" s="116">
        <v>286</v>
      </c>
      <c r="B75" s="116" t="s">
        <v>674</v>
      </c>
      <c r="C75" s="116" t="s">
        <v>558</v>
      </c>
      <c r="D75" s="116">
        <v>70.126099999999994</v>
      </c>
      <c r="E75" s="116">
        <v>-149.33773333333335</v>
      </c>
      <c r="F75" s="116">
        <v>30</v>
      </c>
      <c r="G75" s="116" t="s">
        <v>569</v>
      </c>
      <c r="H75" s="116" t="s">
        <v>676</v>
      </c>
      <c r="I75" s="116" t="s">
        <v>558</v>
      </c>
      <c r="J75" s="116" t="s">
        <v>584</v>
      </c>
      <c r="K75" s="116" t="s">
        <v>558</v>
      </c>
      <c r="L75" s="116" t="s">
        <v>649</v>
      </c>
      <c r="M75" s="122" t="str">
        <f t="shared" si="1"/>
        <v>View on Google Map</v>
      </c>
    </row>
    <row r="76" spans="1:13" x14ac:dyDescent="0.2">
      <c r="A76" s="116">
        <v>202</v>
      </c>
      <c r="B76" s="116" t="s">
        <v>677</v>
      </c>
      <c r="C76" s="116" t="s">
        <v>558</v>
      </c>
      <c r="D76" s="116">
        <v>70.45</v>
      </c>
      <c r="E76" s="116">
        <v>-149.16666666666666</v>
      </c>
      <c r="F76" s="116">
        <v>4.8780487804878048</v>
      </c>
      <c r="G76" s="116" t="s">
        <v>569</v>
      </c>
      <c r="H76" s="116" t="s">
        <v>678</v>
      </c>
      <c r="I76" s="116" t="s">
        <v>558</v>
      </c>
      <c r="J76" s="116" t="s">
        <v>584</v>
      </c>
      <c r="K76" s="116" t="s">
        <v>558</v>
      </c>
      <c r="L76" s="116" t="s">
        <v>647</v>
      </c>
      <c r="M76" s="122" t="str">
        <f t="shared" si="1"/>
        <v>View on Google Map</v>
      </c>
    </row>
    <row r="77" spans="1:13" x14ac:dyDescent="0.2">
      <c r="A77" s="116">
        <v>287</v>
      </c>
      <c r="B77" s="116" t="s">
        <v>677</v>
      </c>
      <c r="C77" s="116" t="s">
        <v>558</v>
      </c>
      <c r="D77" s="116">
        <v>69.9221</v>
      </c>
      <c r="E77" s="116">
        <v>-149.34523333333334</v>
      </c>
      <c r="F77" s="116">
        <v>61</v>
      </c>
      <c r="G77" s="116" t="s">
        <v>569</v>
      </c>
      <c r="H77" s="116" t="s">
        <v>679</v>
      </c>
      <c r="I77" s="116" t="s">
        <v>558</v>
      </c>
      <c r="J77" s="116" t="s">
        <v>584</v>
      </c>
      <c r="K77" s="116" t="s">
        <v>558</v>
      </c>
      <c r="L77" s="116" t="s">
        <v>649</v>
      </c>
      <c r="M77" s="122" t="str">
        <f t="shared" si="1"/>
        <v>View on Google Map</v>
      </c>
    </row>
    <row r="78" spans="1:13" x14ac:dyDescent="0.2">
      <c r="A78" s="116">
        <v>203</v>
      </c>
      <c r="B78" s="116" t="s">
        <v>680</v>
      </c>
      <c r="C78" s="116" t="s">
        <v>558</v>
      </c>
      <c r="D78" s="116">
        <v>70.233333333333334</v>
      </c>
      <c r="E78" s="116">
        <v>-148.88333333333333</v>
      </c>
      <c r="F78" s="116">
        <v>17.682926829268293</v>
      </c>
      <c r="G78" s="116" t="s">
        <v>569</v>
      </c>
      <c r="H78" s="116" t="s">
        <v>681</v>
      </c>
      <c r="I78" s="116" t="s">
        <v>558</v>
      </c>
      <c r="J78" s="116" t="s">
        <v>584</v>
      </c>
      <c r="K78" s="116" t="s">
        <v>558</v>
      </c>
      <c r="L78" s="116" t="s">
        <v>647</v>
      </c>
      <c r="M78" s="122" t="str">
        <f t="shared" si="1"/>
        <v>View on Google Map</v>
      </c>
    </row>
    <row r="79" spans="1:13" x14ac:dyDescent="0.2">
      <c r="A79" s="116">
        <v>288</v>
      </c>
      <c r="B79" s="116" t="s">
        <v>680</v>
      </c>
      <c r="C79" s="116" t="s">
        <v>558</v>
      </c>
      <c r="D79" s="116">
        <v>69.9221</v>
      </c>
      <c r="E79" s="116">
        <v>-149.34523333333334</v>
      </c>
      <c r="F79" s="116">
        <v>61</v>
      </c>
      <c r="G79" s="116" t="s">
        <v>569</v>
      </c>
      <c r="H79" s="116" t="s">
        <v>682</v>
      </c>
      <c r="I79" s="116" t="s">
        <v>558</v>
      </c>
      <c r="J79" s="116" t="s">
        <v>584</v>
      </c>
      <c r="K79" s="116" t="s">
        <v>558</v>
      </c>
      <c r="L79" s="116" t="s">
        <v>649</v>
      </c>
      <c r="M79" s="122" t="str">
        <f t="shared" si="1"/>
        <v>View on Google Map</v>
      </c>
    </row>
    <row r="80" spans="1:13" x14ac:dyDescent="0.2">
      <c r="A80" s="116">
        <v>204</v>
      </c>
      <c r="B80" s="116" t="s">
        <v>683</v>
      </c>
      <c r="C80" s="116" t="s">
        <v>558</v>
      </c>
      <c r="D80" s="116">
        <v>70.233333333333334</v>
      </c>
      <c r="E80" s="116">
        <v>-148.88333333333333</v>
      </c>
      <c r="F80" s="116">
        <v>17.682926829268293</v>
      </c>
      <c r="G80" s="116" t="s">
        <v>569</v>
      </c>
      <c r="H80" s="116" t="s">
        <v>684</v>
      </c>
      <c r="I80" s="116" t="s">
        <v>558</v>
      </c>
      <c r="J80" s="116" t="s">
        <v>584</v>
      </c>
      <c r="K80" s="116" t="s">
        <v>558</v>
      </c>
      <c r="L80" s="116" t="s">
        <v>647</v>
      </c>
      <c r="M80" s="122" t="str">
        <f t="shared" si="1"/>
        <v>View on Google Map</v>
      </c>
    </row>
    <row r="81" spans="1:13" x14ac:dyDescent="0.2">
      <c r="A81" s="116">
        <v>289</v>
      </c>
      <c r="B81" s="116" t="s">
        <v>683</v>
      </c>
      <c r="C81" s="116" t="s">
        <v>558</v>
      </c>
      <c r="D81" s="116">
        <v>69.986533333333327</v>
      </c>
      <c r="E81" s="116">
        <v>-150.08543333333333</v>
      </c>
      <c r="F81" s="116">
        <v>125</v>
      </c>
      <c r="G81" s="116" t="s">
        <v>569</v>
      </c>
      <c r="H81" s="116" t="s">
        <v>685</v>
      </c>
      <c r="I81" s="116" t="s">
        <v>558</v>
      </c>
      <c r="J81" s="116" t="s">
        <v>584</v>
      </c>
      <c r="K81" s="116" t="s">
        <v>558</v>
      </c>
      <c r="L81" s="116" t="s">
        <v>649</v>
      </c>
      <c r="M81" s="122" t="str">
        <f t="shared" si="1"/>
        <v>View on Google Map</v>
      </c>
    </row>
    <row r="82" spans="1:13" x14ac:dyDescent="0.2">
      <c r="A82" s="116">
        <v>205</v>
      </c>
      <c r="B82" s="116" t="s">
        <v>686</v>
      </c>
      <c r="C82" s="116" t="s">
        <v>558</v>
      </c>
      <c r="D82" s="116">
        <v>70.13333333333334</v>
      </c>
      <c r="E82" s="116">
        <v>-148.6</v>
      </c>
      <c r="F82" s="116">
        <v>24.390243902439025</v>
      </c>
      <c r="G82" s="116" t="s">
        <v>569</v>
      </c>
      <c r="H82" s="116" t="s">
        <v>687</v>
      </c>
      <c r="I82" s="116" t="s">
        <v>558</v>
      </c>
      <c r="J82" s="116" t="s">
        <v>584</v>
      </c>
      <c r="K82" s="116" t="s">
        <v>558</v>
      </c>
      <c r="L82" s="116" t="s">
        <v>647</v>
      </c>
      <c r="M82" s="122" t="str">
        <f t="shared" si="1"/>
        <v>View on Google Map</v>
      </c>
    </row>
    <row r="83" spans="1:13" x14ac:dyDescent="0.2">
      <c r="A83" s="116">
        <v>290</v>
      </c>
      <c r="B83" s="116" t="s">
        <v>686</v>
      </c>
      <c r="C83" s="116" t="s">
        <v>558</v>
      </c>
      <c r="D83" s="116">
        <v>69.986533333333327</v>
      </c>
      <c r="E83" s="116">
        <v>-150.08543333333333</v>
      </c>
      <c r="F83" s="116">
        <v>125</v>
      </c>
      <c r="G83" s="116" t="s">
        <v>569</v>
      </c>
      <c r="H83" s="116" t="s">
        <v>688</v>
      </c>
      <c r="I83" s="116" t="s">
        <v>558</v>
      </c>
      <c r="J83" s="116" t="s">
        <v>584</v>
      </c>
      <c r="K83" s="116" t="s">
        <v>558</v>
      </c>
      <c r="L83" s="116" t="s">
        <v>649</v>
      </c>
      <c r="M83" s="122" t="str">
        <f t="shared" si="1"/>
        <v>View on Google Map</v>
      </c>
    </row>
    <row r="84" spans="1:13" x14ac:dyDescent="0.2">
      <c r="A84" s="116">
        <v>291</v>
      </c>
      <c r="B84" s="116" t="s">
        <v>689</v>
      </c>
      <c r="C84" s="116" t="s">
        <v>558</v>
      </c>
      <c r="D84" s="116">
        <v>69.639166666666668</v>
      </c>
      <c r="E84" s="116">
        <v>-149.73946666666666</v>
      </c>
      <c r="F84" s="116">
        <v>91</v>
      </c>
      <c r="G84" s="116" t="s">
        <v>569</v>
      </c>
      <c r="H84" s="116" t="s">
        <v>690</v>
      </c>
      <c r="I84" s="116" t="s">
        <v>558</v>
      </c>
      <c r="J84" s="116" t="s">
        <v>584</v>
      </c>
      <c r="K84" s="116" t="s">
        <v>558</v>
      </c>
      <c r="L84" s="116" t="s">
        <v>649</v>
      </c>
      <c r="M84" s="122" t="str">
        <f t="shared" si="1"/>
        <v>View on Google Map</v>
      </c>
    </row>
    <row r="85" spans="1:13" x14ac:dyDescent="0.2">
      <c r="A85" s="116">
        <v>206</v>
      </c>
      <c r="B85" s="116" t="s">
        <v>691</v>
      </c>
      <c r="C85" s="116" t="s">
        <v>558</v>
      </c>
      <c r="D85" s="116">
        <v>70.11666666666666</v>
      </c>
      <c r="E85" s="116">
        <v>-146.16666666666666</v>
      </c>
      <c r="F85" s="116">
        <v>3.0487804878048781</v>
      </c>
      <c r="G85" s="116" t="s">
        <v>569</v>
      </c>
      <c r="H85" s="116" t="s">
        <v>692</v>
      </c>
      <c r="I85" s="116" t="s">
        <v>558</v>
      </c>
      <c r="J85" s="116" t="s">
        <v>584</v>
      </c>
      <c r="K85" s="116" t="s">
        <v>558</v>
      </c>
      <c r="L85" s="116" t="s">
        <v>647</v>
      </c>
      <c r="M85" s="122" t="str">
        <f t="shared" si="1"/>
        <v>View on Google Map</v>
      </c>
    </row>
    <row r="86" spans="1:13" x14ac:dyDescent="0.2">
      <c r="A86" s="116">
        <v>292</v>
      </c>
      <c r="B86" s="116" t="s">
        <v>691</v>
      </c>
      <c r="C86" s="116" t="s">
        <v>558</v>
      </c>
      <c r="D86" s="116">
        <v>69.639166666666668</v>
      </c>
      <c r="E86" s="116">
        <v>-149.73946666666666</v>
      </c>
      <c r="F86" s="116">
        <v>91</v>
      </c>
      <c r="G86" s="116" t="s">
        <v>569</v>
      </c>
      <c r="H86" s="116" t="s">
        <v>693</v>
      </c>
      <c r="I86" s="116" t="s">
        <v>558</v>
      </c>
      <c r="J86" s="116" t="s">
        <v>584</v>
      </c>
      <c r="K86" s="116" t="s">
        <v>558</v>
      </c>
      <c r="L86" s="116" t="s">
        <v>649</v>
      </c>
      <c r="M86" s="122" t="str">
        <f t="shared" si="1"/>
        <v>View on Google Map</v>
      </c>
    </row>
    <row r="87" spans="1:13" x14ac:dyDescent="0.2">
      <c r="A87" s="116">
        <v>207</v>
      </c>
      <c r="B87" s="116" t="s">
        <v>694</v>
      </c>
      <c r="C87" s="116" t="s">
        <v>558</v>
      </c>
      <c r="D87" s="116">
        <v>70.099999999999994</v>
      </c>
      <c r="E87" s="116">
        <v>-146.26666666666668</v>
      </c>
      <c r="F87" s="116">
        <v>9.1463414634146343</v>
      </c>
      <c r="G87" s="116" t="s">
        <v>569</v>
      </c>
      <c r="H87" s="116" t="s">
        <v>695</v>
      </c>
      <c r="I87" s="116" t="s">
        <v>558</v>
      </c>
      <c r="J87" s="116" t="s">
        <v>584</v>
      </c>
      <c r="K87" s="116" t="s">
        <v>558</v>
      </c>
      <c r="L87" s="116" t="s">
        <v>647</v>
      </c>
      <c r="M87" s="122" t="str">
        <f t="shared" si="1"/>
        <v>View on Google Map</v>
      </c>
    </row>
    <row r="88" spans="1:13" x14ac:dyDescent="0.2">
      <c r="A88" s="116">
        <v>293</v>
      </c>
      <c r="B88" s="116" t="s">
        <v>694</v>
      </c>
      <c r="C88" s="116" t="s">
        <v>558</v>
      </c>
      <c r="D88" s="116">
        <v>68.820783333333338</v>
      </c>
      <c r="E88" s="116">
        <v>-149.7646</v>
      </c>
      <c r="F88" s="116">
        <v>579</v>
      </c>
      <c r="G88" s="116" t="s">
        <v>569</v>
      </c>
      <c r="H88" s="116" t="s">
        <v>696</v>
      </c>
      <c r="I88" s="116" t="s">
        <v>558</v>
      </c>
      <c r="J88" s="116" t="s">
        <v>584</v>
      </c>
      <c r="K88" s="116" t="s">
        <v>558</v>
      </c>
      <c r="L88" s="116" t="s">
        <v>649</v>
      </c>
      <c r="M88" s="122" t="str">
        <f t="shared" si="1"/>
        <v>View on Google Map</v>
      </c>
    </row>
    <row r="89" spans="1:13" x14ac:dyDescent="0.2">
      <c r="A89" s="116">
        <v>208</v>
      </c>
      <c r="B89" s="116" t="s">
        <v>697</v>
      </c>
      <c r="C89" s="116" t="s">
        <v>558</v>
      </c>
      <c r="D89" s="116">
        <v>70.05</v>
      </c>
      <c r="E89" s="116">
        <v>-146.98333333333332</v>
      </c>
      <c r="F89" s="116">
        <v>24.390243902439025</v>
      </c>
      <c r="G89" s="116" t="s">
        <v>569</v>
      </c>
      <c r="H89" s="116" t="s">
        <v>698</v>
      </c>
      <c r="I89" s="116" t="s">
        <v>558</v>
      </c>
      <c r="J89" s="116" t="s">
        <v>584</v>
      </c>
      <c r="K89" s="116" t="s">
        <v>558</v>
      </c>
      <c r="L89" s="116" t="s">
        <v>647</v>
      </c>
      <c r="M89" s="122" t="str">
        <f t="shared" si="1"/>
        <v>View on Google Map</v>
      </c>
    </row>
    <row r="90" spans="1:13" x14ac:dyDescent="0.2">
      <c r="A90" s="116">
        <v>294</v>
      </c>
      <c r="B90" s="116" t="s">
        <v>697</v>
      </c>
      <c r="C90" s="116" t="s">
        <v>558</v>
      </c>
      <c r="D90" s="116">
        <v>68.820616666666666</v>
      </c>
      <c r="E90" s="116">
        <v>-149.74383333333333</v>
      </c>
      <c r="F90" s="116">
        <v>579</v>
      </c>
      <c r="G90" s="116" t="s">
        <v>569</v>
      </c>
      <c r="H90" s="116" t="s">
        <v>699</v>
      </c>
      <c r="I90" s="116" t="s">
        <v>558</v>
      </c>
      <c r="J90" s="116" t="s">
        <v>584</v>
      </c>
      <c r="K90" s="116" t="s">
        <v>558</v>
      </c>
      <c r="L90" s="116" t="s">
        <v>649</v>
      </c>
      <c r="M90" s="122" t="str">
        <f t="shared" si="1"/>
        <v>View on Google Map</v>
      </c>
    </row>
    <row r="91" spans="1:13" x14ac:dyDescent="0.2">
      <c r="A91" s="116">
        <v>209</v>
      </c>
      <c r="B91" s="116" t="s">
        <v>700</v>
      </c>
      <c r="C91" s="116" t="s">
        <v>558</v>
      </c>
      <c r="D91" s="116">
        <v>70.05</v>
      </c>
      <c r="E91" s="116">
        <v>-146.98333333333332</v>
      </c>
      <c r="F91" s="116">
        <v>24.390243902439025</v>
      </c>
      <c r="G91" s="116" t="s">
        <v>569</v>
      </c>
      <c r="H91" s="116" t="s">
        <v>701</v>
      </c>
      <c r="I91" s="116" t="s">
        <v>558</v>
      </c>
      <c r="J91" s="116" t="s">
        <v>584</v>
      </c>
      <c r="K91" s="116" t="s">
        <v>558</v>
      </c>
      <c r="L91" s="116" t="s">
        <v>647</v>
      </c>
      <c r="M91" s="122" t="str">
        <f t="shared" si="1"/>
        <v>View on Google Map</v>
      </c>
    </row>
    <row r="92" spans="1:13" x14ac:dyDescent="0.2">
      <c r="A92" s="116">
        <v>295</v>
      </c>
      <c r="B92" s="116" t="s">
        <v>700</v>
      </c>
      <c r="C92" s="116" t="s">
        <v>558</v>
      </c>
      <c r="D92" s="116">
        <v>68.821529999999996</v>
      </c>
      <c r="E92" s="116">
        <v>-149.05867000000001</v>
      </c>
      <c r="F92" s="116">
        <v>518</v>
      </c>
      <c r="G92" s="116" t="s">
        <v>569</v>
      </c>
      <c r="H92" s="116" t="s">
        <v>702</v>
      </c>
      <c r="I92" s="116" t="s">
        <v>558</v>
      </c>
      <c r="J92" s="116" t="s">
        <v>584</v>
      </c>
      <c r="K92" s="116" t="s">
        <v>558</v>
      </c>
      <c r="L92" s="116" t="s">
        <v>649</v>
      </c>
      <c r="M92" s="122" t="str">
        <f t="shared" si="1"/>
        <v>View on Google Map</v>
      </c>
    </row>
    <row r="93" spans="1:13" x14ac:dyDescent="0.2">
      <c r="A93" s="116">
        <v>210</v>
      </c>
      <c r="B93" s="116" t="s">
        <v>703</v>
      </c>
      <c r="C93" s="116" t="s">
        <v>558</v>
      </c>
      <c r="D93" s="116">
        <v>70.150000000000006</v>
      </c>
      <c r="E93" s="116">
        <v>-147.36666666666667</v>
      </c>
      <c r="F93" s="116">
        <v>6.7073170731707323</v>
      </c>
      <c r="G93" s="116" t="s">
        <v>569</v>
      </c>
      <c r="H93" s="116" t="s">
        <v>704</v>
      </c>
      <c r="I93" s="116" t="s">
        <v>558</v>
      </c>
      <c r="J93" s="116" t="s">
        <v>584</v>
      </c>
      <c r="K93" s="116" t="s">
        <v>558</v>
      </c>
      <c r="L93" s="116" t="s">
        <v>647</v>
      </c>
      <c r="M93" s="122" t="str">
        <f t="shared" si="1"/>
        <v>View on Google Map</v>
      </c>
    </row>
    <row r="94" spans="1:13" x14ac:dyDescent="0.2">
      <c r="A94" s="116">
        <v>296</v>
      </c>
      <c r="B94" s="116" t="s">
        <v>703</v>
      </c>
      <c r="C94" s="116" t="s">
        <v>558</v>
      </c>
      <c r="D94" s="116">
        <v>68.817116666666664</v>
      </c>
      <c r="E94" s="116">
        <v>-149.05956666666665</v>
      </c>
      <c r="F94" s="116">
        <v>518</v>
      </c>
      <c r="G94" s="116" t="s">
        <v>569</v>
      </c>
      <c r="H94" s="116" t="s">
        <v>705</v>
      </c>
      <c r="I94" s="116" t="s">
        <v>558</v>
      </c>
      <c r="J94" s="116" t="s">
        <v>584</v>
      </c>
      <c r="K94" s="116" t="s">
        <v>558</v>
      </c>
      <c r="L94" s="116" t="s">
        <v>649</v>
      </c>
      <c r="M94" s="122" t="str">
        <f t="shared" si="1"/>
        <v>View on Google Map</v>
      </c>
    </row>
    <row r="95" spans="1:13" x14ac:dyDescent="0.2">
      <c r="A95" s="116">
        <v>211</v>
      </c>
      <c r="B95" s="116" t="s">
        <v>706</v>
      </c>
      <c r="C95" s="116" t="s">
        <v>558</v>
      </c>
      <c r="D95" s="116">
        <v>70.150000000000006</v>
      </c>
      <c r="E95" s="116">
        <v>-147.36666666666667</v>
      </c>
      <c r="F95" s="116">
        <v>6.7073170731707323</v>
      </c>
      <c r="G95" s="116" t="s">
        <v>569</v>
      </c>
      <c r="H95" s="116" t="s">
        <v>707</v>
      </c>
      <c r="I95" s="116" t="s">
        <v>558</v>
      </c>
      <c r="J95" s="116" t="s">
        <v>584</v>
      </c>
      <c r="K95" s="116" t="s">
        <v>558</v>
      </c>
      <c r="L95" s="116" t="s">
        <v>647</v>
      </c>
      <c r="M95" s="122" t="str">
        <f t="shared" si="1"/>
        <v>View on Google Map</v>
      </c>
    </row>
    <row r="96" spans="1:13" x14ac:dyDescent="0.2">
      <c r="A96" s="116">
        <v>297</v>
      </c>
      <c r="B96" s="116" t="s">
        <v>706</v>
      </c>
      <c r="C96" s="116" t="s">
        <v>558</v>
      </c>
      <c r="D96" s="116">
        <v>69.356183333333334</v>
      </c>
      <c r="E96" s="116">
        <v>-150.21899999999999</v>
      </c>
      <c r="F96" s="116">
        <v>168</v>
      </c>
      <c r="G96" s="116" t="s">
        <v>569</v>
      </c>
      <c r="H96" s="116" t="s">
        <v>708</v>
      </c>
      <c r="I96" s="116" t="s">
        <v>558</v>
      </c>
      <c r="J96" s="116" t="s">
        <v>584</v>
      </c>
      <c r="K96" s="116" t="s">
        <v>558</v>
      </c>
      <c r="L96" s="116" t="s">
        <v>649</v>
      </c>
      <c r="M96" s="122" t="str">
        <f t="shared" si="1"/>
        <v>View on Google Map</v>
      </c>
    </row>
    <row r="97" spans="1:13" x14ac:dyDescent="0.2">
      <c r="A97" s="116">
        <v>212</v>
      </c>
      <c r="B97" s="116" t="s">
        <v>709</v>
      </c>
      <c r="C97" s="116" t="s">
        <v>558</v>
      </c>
      <c r="D97" s="116">
        <v>70.033333333333331</v>
      </c>
      <c r="E97" s="116">
        <v>-147.65</v>
      </c>
      <c r="F97" s="116">
        <v>28.04878048780488</v>
      </c>
      <c r="G97" s="116" t="s">
        <v>569</v>
      </c>
      <c r="H97" s="116" t="s">
        <v>710</v>
      </c>
      <c r="I97" s="116" t="s">
        <v>558</v>
      </c>
      <c r="J97" s="116" t="s">
        <v>584</v>
      </c>
      <c r="K97" s="116" t="s">
        <v>558</v>
      </c>
      <c r="L97" s="116" t="s">
        <v>647</v>
      </c>
      <c r="M97" s="122" t="str">
        <f t="shared" si="1"/>
        <v>View on Google Map</v>
      </c>
    </row>
    <row r="98" spans="1:13" x14ac:dyDescent="0.2">
      <c r="A98" s="116">
        <v>298</v>
      </c>
      <c r="B98" s="116" t="s">
        <v>709</v>
      </c>
      <c r="C98" s="116" t="s">
        <v>558</v>
      </c>
      <c r="D98" s="116">
        <v>69.356183333333334</v>
      </c>
      <c r="E98" s="116">
        <v>-150.21899999999999</v>
      </c>
      <c r="F98" s="116">
        <v>168</v>
      </c>
      <c r="G98" s="116" t="s">
        <v>569</v>
      </c>
      <c r="H98" s="116" t="s">
        <v>711</v>
      </c>
      <c r="I98" s="116" t="s">
        <v>558</v>
      </c>
      <c r="J98" s="116" t="s">
        <v>584</v>
      </c>
      <c r="K98" s="116" t="s">
        <v>558</v>
      </c>
      <c r="L98" s="116" t="s">
        <v>649</v>
      </c>
      <c r="M98" s="122" t="str">
        <f t="shared" si="1"/>
        <v>View on Google Map</v>
      </c>
    </row>
    <row r="99" spans="1:13" x14ac:dyDescent="0.2">
      <c r="A99" s="116">
        <v>213</v>
      </c>
      <c r="B99" s="116" t="s">
        <v>712</v>
      </c>
      <c r="C99" s="116" t="s">
        <v>558</v>
      </c>
      <c r="D99" s="116">
        <v>70.033333333333331</v>
      </c>
      <c r="E99" s="116">
        <v>-147.65</v>
      </c>
      <c r="F99" s="116">
        <v>28.04878048780488</v>
      </c>
      <c r="G99" s="116" t="s">
        <v>569</v>
      </c>
      <c r="H99" s="116" t="s">
        <v>713</v>
      </c>
      <c r="I99" s="116" t="s">
        <v>558</v>
      </c>
      <c r="J99" s="116" t="s">
        <v>584</v>
      </c>
      <c r="K99" s="116" t="s">
        <v>558</v>
      </c>
      <c r="L99" s="116" t="s">
        <v>647</v>
      </c>
      <c r="M99" s="122" t="str">
        <f t="shared" si="1"/>
        <v>View on Google Map</v>
      </c>
    </row>
    <row r="100" spans="1:13" x14ac:dyDescent="0.2">
      <c r="A100" s="116">
        <v>299</v>
      </c>
      <c r="B100" s="116" t="s">
        <v>712</v>
      </c>
      <c r="C100" s="116" t="s">
        <v>558</v>
      </c>
      <c r="D100" s="116">
        <v>69.5458</v>
      </c>
      <c r="E100" s="116">
        <v>-150.37883333333335</v>
      </c>
      <c r="F100" s="116">
        <v>107</v>
      </c>
      <c r="G100" s="116" t="s">
        <v>569</v>
      </c>
      <c r="H100" s="116" t="s">
        <v>714</v>
      </c>
      <c r="I100" s="116" t="s">
        <v>558</v>
      </c>
      <c r="J100" s="116" t="s">
        <v>584</v>
      </c>
      <c r="K100" s="116" t="s">
        <v>558</v>
      </c>
      <c r="L100" s="116" t="s">
        <v>649</v>
      </c>
      <c r="M100" s="122" t="str">
        <f t="shared" si="1"/>
        <v>View on Google Map</v>
      </c>
    </row>
    <row r="101" spans="1:13" x14ac:dyDescent="0.2">
      <c r="A101" s="116">
        <v>214</v>
      </c>
      <c r="B101" s="116" t="s">
        <v>715</v>
      </c>
      <c r="C101" s="116" t="s">
        <v>558</v>
      </c>
      <c r="D101" s="116">
        <v>69.833333333333329</v>
      </c>
      <c r="E101" s="116">
        <v>-147.93333333333334</v>
      </c>
      <c r="F101" s="116">
        <v>92.987804878048792</v>
      </c>
      <c r="G101" s="116" t="s">
        <v>569</v>
      </c>
      <c r="H101" s="116" t="s">
        <v>716</v>
      </c>
      <c r="I101" s="116" t="s">
        <v>558</v>
      </c>
      <c r="J101" s="116" t="s">
        <v>584</v>
      </c>
      <c r="K101" s="116" t="s">
        <v>558</v>
      </c>
      <c r="L101" s="116" t="s">
        <v>647</v>
      </c>
      <c r="M101" s="122" t="str">
        <f t="shared" si="1"/>
        <v>View on Google Map</v>
      </c>
    </row>
    <row r="102" spans="1:13" x14ac:dyDescent="0.2">
      <c r="A102" s="116">
        <v>300</v>
      </c>
      <c r="B102" s="116" t="s">
        <v>715</v>
      </c>
      <c r="C102" s="116" t="s">
        <v>558</v>
      </c>
      <c r="D102" s="116">
        <v>69.5458</v>
      </c>
      <c r="E102" s="116">
        <v>-150.37883333333335</v>
      </c>
      <c r="F102" s="116">
        <v>107</v>
      </c>
      <c r="G102" s="116" t="s">
        <v>569</v>
      </c>
      <c r="H102" s="116" t="s">
        <v>717</v>
      </c>
      <c r="I102" s="116" t="s">
        <v>558</v>
      </c>
      <c r="J102" s="116" t="s">
        <v>584</v>
      </c>
      <c r="K102" s="116" t="s">
        <v>558</v>
      </c>
      <c r="L102" s="116" t="s">
        <v>649</v>
      </c>
      <c r="M102" s="122" t="str">
        <f t="shared" si="1"/>
        <v>View on Google Map</v>
      </c>
    </row>
    <row r="103" spans="1:13" x14ac:dyDescent="0.2">
      <c r="A103" s="116">
        <v>215</v>
      </c>
      <c r="B103" s="116" t="s">
        <v>718</v>
      </c>
      <c r="C103" s="116" t="s">
        <v>558</v>
      </c>
      <c r="D103" s="116">
        <v>69.833333333333329</v>
      </c>
      <c r="E103" s="116">
        <v>-147.93333333333334</v>
      </c>
      <c r="F103" s="116">
        <v>92.987804878048792</v>
      </c>
      <c r="G103" s="116" t="s">
        <v>569</v>
      </c>
      <c r="H103" s="116" t="s">
        <v>719</v>
      </c>
      <c r="I103" s="116" t="s">
        <v>558</v>
      </c>
      <c r="J103" s="116" t="s">
        <v>584</v>
      </c>
      <c r="K103" s="116" t="s">
        <v>558</v>
      </c>
      <c r="L103" s="116" t="s">
        <v>647</v>
      </c>
      <c r="M103" s="122" t="str">
        <f t="shared" si="1"/>
        <v>View on Google Map</v>
      </c>
    </row>
    <row r="104" spans="1:13" x14ac:dyDescent="0.2">
      <c r="A104" s="116">
        <v>301</v>
      </c>
      <c r="B104" s="116" t="s">
        <v>718</v>
      </c>
      <c r="C104" s="116" t="s">
        <v>558</v>
      </c>
      <c r="D104" s="116">
        <v>69.523700000000005</v>
      </c>
      <c r="E104" s="116">
        <v>-150.55269999999999</v>
      </c>
      <c r="F104" s="116">
        <v>107</v>
      </c>
      <c r="G104" s="116" t="s">
        <v>569</v>
      </c>
      <c r="H104" s="116" t="s">
        <v>720</v>
      </c>
      <c r="I104" s="116" t="s">
        <v>558</v>
      </c>
      <c r="J104" s="116" t="s">
        <v>584</v>
      </c>
      <c r="K104" s="116" t="s">
        <v>558</v>
      </c>
      <c r="L104" s="116" t="s">
        <v>649</v>
      </c>
      <c r="M104" s="122" t="str">
        <f t="shared" si="1"/>
        <v>View on Google Map</v>
      </c>
    </row>
    <row r="105" spans="1:13" x14ac:dyDescent="0.2">
      <c r="A105" s="116">
        <v>216</v>
      </c>
      <c r="B105" s="116" t="s">
        <v>721</v>
      </c>
      <c r="C105" s="116" t="s">
        <v>558</v>
      </c>
      <c r="D105" s="116">
        <v>69.88333333333334</v>
      </c>
      <c r="E105" s="116">
        <v>-148.63333333333333</v>
      </c>
      <c r="F105" s="116">
        <v>118.90243902439025</v>
      </c>
      <c r="G105" s="116" t="s">
        <v>569</v>
      </c>
      <c r="H105" s="116" t="s">
        <v>722</v>
      </c>
      <c r="I105" s="116" t="s">
        <v>558</v>
      </c>
      <c r="J105" s="116" t="s">
        <v>584</v>
      </c>
      <c r="K105" s="116" t="s">
        <v>558</v>
      </c>
      <c r="L105" s="116" t="s">
        <v>647</v>
      </c>
      <c r="M105" s="122" t="str">
        <f t="shared" si="1"/>
        <v>View on Google Map</v>
      </c>
    </row>
    <row r="106" spans="1:13" x14ac:dyDescent="0.2">
      <c r="A106" s="116">
        <v>302</v>
      </c>
      <c r="B106" s="116" t="s">
        <v>721</v>
      </c>
      <c r="C106" s="116" t="s">
        <v>558</v>
      </c>
      <c r="D106" s="116">
        <v>69.523700000000005</v>
      </c>
      <c r="E106" s="116">
        <v>-150.55269999999999</v>
      </c>
      <c r="F106" s="116">
        <v>107</v>
      </c>
      <c r="G106" s="116" t="s">
        <v>569</v>
      </c>
      <c r="H106" s="116" t="s">
        <v>723</v>
      </c>
      <c r="I106" s="116" t="s">
        <v>558</v>
      </c>
      <c r="J106" s="116" t="s">
        <v>584</v>
      </c>
      <c r="K106" s="116" t="s">
        <v>558</v>
      </c>
      <c r="L106" s="116" t="s">
        <v>649</v>
      </c>
      <c r="M106" s="122" t="str">
        <f t="shared" si="1"/>
        <v>View on Google Map</v>
      </c>
    </row>
    <row r="107" spans="1:13" x14ac:dyDescent="0.2">
      <c r="A107" s="116">
        <v>217</v>
      </c>
      <c r="B107" s="116" t="s">
        <v>724</v>
      </c>
      <c r="C107" s="116" t="s">
        <v>558</v>
      </c>
      <c r="D107" s="116">
        <v>69.7</v>
      </c>
      <c r="E107" s="116">
        <v>-148.48333333333332</v>
      </c>
      <c r="F107" s="116">
        <v>125</v>
      </c>
      <c r="G107" s="116" t="s">
        <v>569</v>
      </c>
      <c r="H107" s="116" t="s">
        <v>725</v>
      </c>
      <c r="I107" s="116" t="s">
        <v>558</v>
      </c>
      <c r="J107" s="116" t="s">
        <v>584</v>
      </c>
      <c r="K107" s="116" t="s">
        <v>558</v>
      </c>
      <c r="L107" s="116" t="s">
        <v>647</v>
      </c>
      <c r="M107" s="122" t="str">
        <f t="shared" si="1"/>
        <v>View on Google Map</v>
      </c>
    </row>
    <row r="108" spans="1:13" x14ac:dyDescent="0.2">
      <c r="A108" s="116">
        <v>303</v>
      </c>
      <c r="B108" s="116" t="s">
        <v>724</v>
      </c>
      <c r="C108" s="116" t="s">
        <v>558</v>
      </c>
      <c r="D108" s="116">
        <v>69.610399999999998</v>
      </c>
      <c r="E108" s="116">
        <v>-148.82113333333334</v>
      </c>
      <c r="F108" s="116">
        <v>107</v>
      </c>
      <c r="G108" s="116" t="s">
        <v>569</v>
      </c>
      <c r="H108" s="116" t="s">
        <v>726</v>
      </c>
      <c r="I108" s="116" t="s">
        <v>558</v>
      </c>
      <c r="J108" s="116" t="s">
        <v>584</v>
      </c>
      <c r="K108" s="116" t="s">
        <v>558</v>
      </c>
      <c r="L108" s="116" t="s">
        <v>649</v>
      </c>
      <c r="M108" s="122" t="str">
        <f t="shared" si="1"/>
        <v>View on Google Map</v>
      </c>
    </row>
    <row r="109" spans="1:13" x14ac:dyDescent="0.2">
      <c r="A109" s="116">
        <v>218</v>
      </c>
      <c r="B109" s="116" t="s">
        <v>727</v>
      </c>
      <c r="C109" s="116" t="s">
        <v>558</v>
      </c>
      <c r="D109" s="116">
        <v>69.7</v>
      </c>
      <c r="E109" s="116">
        <v>-148.48333333333332</v>
      </c>
      <c r="F109" s="116">
        <v>125</v>
      </c>
      <c r="G109" s="116" t="s">
        <v>569</v>
      </c>
      <c r="H109" s="116" t="s">
        <v>728</v>
      </c>
      <c r="I109" s="116" t="s">
        <v>558</v>
      </c>
      <c r="J109" s="116" t="s">
        <v>584</v>
      </c>
      <c r="K109" s="116" t="s">
        <v>558</v>
      </c>
      <c r="L109" s="116" t="s">
        <v>647</v>
      </c>
      <c r="M109" s="122" t="str">
        <f t="shared" si="1"/>
        <v>View on Google Map</v>
      </c>
    </row>
    <row r="110" spans="1:13" x14ac:dyDescent="0.2">
      <c r="A110" s="116">
        <v>304</v>
      </c>
      <c r="B110" s="116" t="s">
        <v>727</v>
      </c>
      <c r="C110" s="116" t="s">
        <v>558</v>
      </c>
      <c r="D110" s="116">
        <v>69.610399999999998</v>
      </c>
      <c r="E110" s="116">
        <v>-148.82113333333334</v>
      </c>
      <c r="F110" s="116">
        <v>107</v>
      </c>
      <c r="G110" s="116" t="s">
        <v>569</v>
      </c>
      <c r="H110" s="116" t="s">
        <v>729</v>
      </c>
      <c r="I110" s="116" t="s">
        <v>558</v>
      </c>
      <c r="J110" s="116" t="s">
        <v>584</v>
      </c>
      <c r="K110" s="116" t="s">
        <v>558</v>
      </c>
      <c r="L110" s="116" t="s">
        <v>649</v>
      </c>
      <c r="M110" s="122" t="str">
        <f t="shared" si="1"/>
        <v>View on Google Map</v>
      </c>
    </row>
    <row r="111" spans="1:13" x14ac:dyDescent="0.2">
      <c r="A111" s="116">
        <v>232</v>
      </c>
      <c r="B111" s="116" t="s">
        <v>730</v>
      </c>
      <c r="C111" s="116" t="s">
        <v>558</v>
      </c>
      <c r="D111" s="116">
        <v>69.266666666666666</v>
      </c>
      <c r="E111" s="116">
        <v>-148.46666666666667</v>
      </c>
      <c r="F111" s="116">
        <v>338.71951219512198</v>
      </c>
      <c r="G111" s="116" t="s">
        <v>569</v>
      </c>
      <c r="H111" s="116" t="s">
        <v>731</v>
      </c>
      <c r="I111" s="116" t="s">
        <v>558</v>
      </c>
      <c r="J111" s="116" t="s">
        <v>584</v>
      </c>
      <c r="K111" s="116" t="s">
        <v>558</v>
      </c>
      <c r="L111" s="116" t="s">
        <v>647</v>
      </c>
      <c r="M111" s="122" t="str">
        <f t="shared" si="1"/>
        <v>View on Google Map</v>
      </c>
    </row>
    <row r="112" spans="1:13" x14ac:dyDescent="0.2">
      <c r="A112" s="116">
        <v>239</v>
      </c>
      <c r="B112" s="116" t="s">
        <v>732</v>
      </c>
      <c r="C112" s="116" t="s">
        <v>733</v>
      </c>
      <c r="D112" s="116" t="s">
        <v>558</v>
      </c>
      <c r="E112" s="116" t="s">
        <v>558</v>
      </c>
      <c r="F112" s="116" t="s">
        <v>558</v>
      </c>
      <c r="G112" s="116" t="s">
        <v>569</v>
      </c>
      <c r="H112" s="116" t="s">
        <v>558</v>
      </c>
      <c r="I112" s="116" t="s">
        <v>558</v>
      </c>
      <c r="J112" s="116" t="s">
        <v>584</v>
      </c>
      <c r="K112" s="116" t="s">
        <v>558</v>
      </c>
      <c r="L112" s="116" t="s">
        <v>734</v>
      </c>
      <c r="M112" s="122" t="str">
        <f t="shared" si="1"/>
        <v>View on Google Map</v>
      </c>
    </row>
    <row r="113" spans="1:13" x14ac:dyDescent="0.2">
      <c r="A113" s="116">
        <v>144</v>
      </c>
      <c r="B113" s="116" t="s">
        <v>735</v>
      </c>
      <c r="C113" s="116" t="s">
        <v>736</v>
      </c>
      <c r="D113" s="116">
        <v>68.63333333333334</v>
      </c>
      <c r="E113" s="116">
        <v>-149.6</v>
      </c>
      <c r="F113" s="116">
        <v>719</v>
      </c>
      <c r="G113" s="116" t="s">
        <v>569</v>
      </c>
      <c r="H113" s="116" t="s">
        <v>558</v>
      </c>
      <c r="I113" s="116" t="s">
        <v>558</v>
      </c>
      <c r="J113" s="116" t="s">
        <v>584</v>
      </c>
      <c r="K113" s="116" t="s">
        <v>558</v>
      </c>
      <c r="L113" s="116" t="s">
        <v>585</v>
      </c>
      <c r="M113" s="122" t="str">
        <f t="shared" si="1"/>
        <v>View on Google Map</v>
      </c>
    </row>
    <row r="114" spans="1:13" x14ac:dyDescent="0.2">
      <c r="A114" s="116">
        <v>401</v>
      </c>
      <c r="B114" s="116" t="s">
        <v>737</v>
      </c>
      <c r="C114" s="116" t="s">
        <v>558</v>
      </c>
      <c r="D114" s="116" t="s">
        <v>558</v>
      </c>
      <c r="E114" s="116" t="s">
        <v>558</v>
      </c>
      <c r="F114" s="116" t="s">
        <v>558</v>
      </c>
      <c r="G114" s="116" t="s">
        <v>569</v>
      </c>
      <c r="H114" s="116" t="s">
        <v>558</v>
      </c>
      <c r="I114" s="116" t="s">
        <v>558</v>
      </c>
      <c r="J114" s="116" t="s">
        <v>584</v>
      </c>
      <c r="K114" s="116" t="s">
        <v>558</v>
      </c>
      <c r="L114" s="116" t="s">
        <v>738</v>
      </c>
      <c r="M114" s="122" t="str">
        <f t="shared" si="1"/>
        <v>View on Google Map</v>
      </c>
    </row>
    <row r="115" spans="1:13" x14ac:dyDescent="0.2">
      <c r="A115" s="116">
        <v>403</v>
      </c>
      <c r="B115" s="116" t="s">
        <v>739</v>
      </c>
      <c r="C115" s="116" t="s">
        <v>558</v>
      </c>
      <c r="D115" s="116" t="s">
        <v>558</v>
      </c>
      <c r="E115" s="116" t="s">
        <v>558</v>
      </c>
      <c r="F115" s="116" t="s">
        <v>558</v>
      </c>
      <c r="G115" s="116" t="s">
        <v>569</v>
      </c>
      <c r="H115" s="116" t="s">
        <v>558</v>
      </c>
      <c r="I115" s="116" t="s">
        <v>558</v>
      </c>
      <c r="J115" s="116" t="s">
        <v>584</v>
      </c>
      <c r="K115" s="116" t="s">
        <v>558</v>
      </c>
      <c r="L115" s="116" t="s">
        <v>740</v>
      </c>
      <c r="M115" s="122" t="str">
        <f t="shared" si="1"/>
        <v>View on Google Map</v>
      </c>
    </row>
    <row r="116" spans="1:13" x14ac:dyDescent="0.2">
      <c r="A116" s="116">
        <v>403</v>
      </c>
      <c r="B116" s="116" t="s">
        <v>739</v>
      </c>
      <c r="C116" s="116" t="s">
        <v>558</v>
      </c>
      <c r="D116" s="116" t="s">
        <v>558</v>
      </c>
      <c r="E116" s="116" t="s">
        <v>558</v>
      </c>
      <c r="F116" s="116" t="s">
        <v>558</v>
      </c>
      <c r="G116" s="116" t="s">
        <v>569</v>
      </c>
      <c r="H116" s="116" t="s">
        <v>558</v>
      </c>
      <c r="I116" s="116" t="s">
        <v>558</v>
      </c>
      <c r="J116" s="116" t="s">
        <v>584</v>
      </c>
      <c r="K116" s="116" t="s">
        <v>558</v>
      </c>
      <c r="L116" s="116" t="s">
        <v>740</v>
      </c>
      <c r="M116" s="122" t="str">
        <f t="shared" si="1"/>
        <v>View on Google Map</v>
      </c>
    </row>
    <row r="117" spans="1:13" x14ac:dyDescent="0.2">
      <c r="A117" s="116">
        <v>1209</v>
      </c>
      <c r="B117" s="116" t="s">
        <v>741</v>
      </c>
      <c r="C117" s="116" t="s">
        <v>742</v>
      </c>
      <c r="D117" s="116">
        <v>68.934420000000003</v>
      </c>
      <c r="E117" s="116">
        <v>-150.21242000000001</v>
      </c>
      <c r="F117" s="116" t="s">
        <v>558</v>
      </c>
      <c r="G117" s="116" t="s">
        <v>559</v>
      </c>
      <c r="H117" s="116" t="s">
        <v>558</v>
      </c>
      <c r="I117" s="116" t="s">
        <v>558</v>
      </c>
      <c r="J117" s="116" t="s">
        <v>565</v>
      </c>
      <c r="K117" s="116" t="s">
        <v>558</v>
      </c>
      <c r="L117" s="116" t="s">
        <v>566</v>
      </c>
      <c r="M117" s="122" t="str">
        <f t="shared" si="1"/>
        <v>View on Google Map</v>
      </c>
    </row>
    <row r="118" spans="1:13" x14ac:dyDescent="0.2">
      <c r="A118" s="116">
        <v>482</v>
      </c>
      <c r="B118" s="116" t="s">
        <v>743</v>
      </c>
      <c r="C118" s="116" t="s">
        <v>558</v>
      </c>
      <c r="D118" s="116">
        <v>68.951483332999999</v>
      </c>
      <c r="E118" s="116">
        <v>-150.194333333</v>
      </c>
      <c r="F118" s="116">
        <v>399</v>
      </c>
      <c r="G118" s="116" t="s">
        <v>569</v>
      </c>
      <c r="H118" s="116" t="s">
        <v>558</v>
      </c>
      <c r="I118" s="116" t="s">
        <v>558</v>
      </c>
      <c r="J118" s="116" t="s">
        <v>619</v>
      </c>
      <c r="K118" s="116" t="s">
        <v>558</v>
      </c>
      <c r="L118" s="116" t="s">
        <v>566</v>
      </c>
      <c r="M118" s="122" t="str">
        <f t="shared" si="1"/>
        <v>View on Google Map</v>
      </c>
    </row>
    <row r="119" spans="1:13" x14ac:dyDescent="0.2">
      <c r="A119" s="116">
        <v>483</v>
      </c>
      <c r="B119" s="116" t="s">
        <v>744</v>
      </c>
      <c r="C119" s="116" t="s">
        <v>558</v>
      </c>
      <c r="D119" s="116">
        <v>68.950783333000004</v>
      </c>
      <c r="E119" s="116">
        <v>-150.19835</v>
      </c>
      <c r="F119" s="116">
        <v>399</v>
      </c>
      <c r="G119" s="116" t="s">
        <v>583</v>
      </c>
      <c r="H119" s="116" t="s">
        <v>745</v>
      </c>
      <c r="I119" s="116" t="s">
        <v>558</v>
      </c>
      <c r="J119" s="116" t="s">
        <v>619</v>
      </c>
      <c r="K119" s="116" t="s">
        <v>558</v>
      </c>
      <c r="L119" s="116" t="s">
        <v>566</v>
      </c>
      <c r="M119" s="122" t="str">
        <f t="shared" si="1"/>
        <v>View on Google Map</v>
      </c>
    </row>
    <row r="120" spans="1:13" x14ac:dyDescent="0.2">
      <c r="A120" s="116">
        <v>484</v>
      </c>
      <c r="B120" s="116" t="s">
        <v>746</v>
      </c>
      <c r="C120" s="116" t="s">
        <v>558</v>
      </c>
      <c r="D120" s="116">
        <v>68.957549999999998</v>
      </c>
      <c r="E120" s="116">
        <v>-150.200916667</v>
      </c>
      <c r="F120" s="116">
        <v>399</v>
      </c>
      <c r="G120" s="116" t="s">
        <v>569</v>
      </c>
      <c r="H120" s="116" t="s">
        <v>747</v>
      </c>
      <c r="I120" s="116" t="s">
        <v>748</v>
      </c>
      <c r="J120" s="116" t="s">
        <v>619</v>
      </c>
      <c r="K120" s="116" t="s">
        <v>558</v>
      </c>
      <c r="L120" s="116" t="s">
        <v>566</v>
      </c>
      <c r="M120" s="122" t="str">
        <f t="shared" si="1"/>
        <v>View on Google Map</v>
      </c>
    </row>
    <row r="121" spans="1:13" x14ac:dyDescent="0.2">
      <c r="A121" s="116">
        <v>485</v>
      </c>
      <c r="B121" s="116" t="s">
        <v>749</v>
      </c>
      <c r="C121" s="116" t="s">
        <v>558</v>
      </c>
      <c r="D121" s="116">
        <v>68.95675</v>
      </c>
      <c r="E121" s="116">
        <v>-150.19700833300001</v>
      </c>
      <c r="F121" s="116">
        <v>399</v>
      </c>
      <c r="G121" s="116" t="s">
        <v>569</v>
      </c>
      <c r="H121" s="116" t="s">
        <v>750</v>
      </c>
      <c r="I121" s="116" t="s">
        <v>558</v>
      </c>
      <c r="J121" s="116" t="s">
        <v>619</v>
      </c>
      <c r="K121" s="116" t="s">
        <v>558</v>
      </c>
      <c r="L121" s="116" t="s">
        <v>566</v>
      </c>
      <c r="M121" s="122" t="str">
        <f t="shared" si="1"/>
        <v>View on Google Map</v>
      </c>
    </row>
    <row r="122" spans="1:13" x14ac:dyDescent="0.2">
      <c r="A122" s="116">
        <v>514</v>
      </c>
      <c r="B122" s="116" t="s">
        <v>751</v>
      </c>
      <c r="C122" s="116" t="s">
        <v>568</v>
      </c>
      <c r="D122" s="116">
        <v>68.418130000000005</v>
      </c>
      <c r="E122" s="116">
        <v>-151.58454</v>
      </c>
      <c r="F122" s="116">
        <v>876</v>
      </c>
      <c r="G122" s="116" t="s">
        <v>569</v>
      </c>
      <c r="H122" s="116" t="s">
        <v>558</v>
      </c>
      <c r="I122" s="116" t="s">
        <v>558</v>
      </c>
      <c r="J122" s="116" t="s">
        <v>570</v>
      </c>
      <c r="K122" s="116" t="s">
        <v>558</v>
      </c>
      <c r="L122" s="116" t="s">
        <v>571</v>
      </c>
      <c r="M122" s="122" t="str">
        <f t="shared" si="1"/>
        <v>View on Google Map</v>
      </c>
    </row>
    <row r="123" spans="1:13" x14ac:dyDescent="0.2">
      <c r="A123" s="116">
        <v>400</v>
      </c>
      <c r="B123" s="116" t="s">
        <v>752</v>
      </c>
      <c r="C123" s="116" t="s">
        <v>558</v>
      </c>
      <c r="D123" s="116" t="s">
        <v>558</v>
      </c>
      <c r="E123" s="116" t="s">
        <v>558</v>
      </c>
      <c r="F123" s="116" t="s">
        <v>558</v>
      </c>
      <c r="G123" s="116" t="s">
        <v>569</v>
      </c>
      <c r="H123" s="116" t="s">
        <v>558</v>
      </c>
      <c r="I123" s="116" t="s">
        <v>558</v>
      </c>
      <c r="J123" s="116" t="s">
        <v>584</v>
      </c>
      <c r="K123" s="116" t="s">
        <v>558</v>
      </c>
      <c r="L123" s="116" t="s">
        <v>738</v>
      </c>
      <c r="M123" s="122" t="str">
        <f t="shared" si="1"/>
        <v>View on Google Map</v>
      </c>
    </row>
    <row r="124" spans="1:13" x14ac:dyDescent="0.2">
      <c r="A124" s="116">
        <v>137</v>
      </c>
      <c r="B124" s="116" t="s">
        <v>753</v>
      </c>
      <c r="C124" s="116" t="s">
        <v>558</v>
      </c>
      <c r="D124" s="116">
        <v>70.3</v>
      </c>
      <c r="E124" s="116">
        <v>-148.28333333333333</v>
      </c>
      <c r="F124" s="116">
        <v>6</v>
      </c>
      <c r="G124" s="116" t="s">
        <v>569</v>
      </c>
      <c r="H124" s="116" t="s">
        <v>754</v>
      </c>
      <c r="I124" s="116" t="s">
        <v>558</v>
      </c>
      <c r="J124" s="116" t="s">
        <v>584</v>
      </c>
      <c r="K124" s="116" t="s">
        <v>558</v>
      </c>
      <c r="L124" s="116" t="s">
        <v>585</v>
      </c>
      <c r="M124" s="122" t="str">
        <f t="shared" si="1"/>
        <v>View on Google Map</v>
      </c>
    </row>
    <row r="125" spans="1:13" x14ac:dyDescent="0.2">
      <c r="A125" s="116">
        <v>146</v>
      </c>
      <c r="B125" s="116" t="s">
        <v>755</v>
      </c>
      <c r="C125" s="116" t="s">
        <v>558</v>
      </c>
      <c r="D125" s="116">
        <v>68.626195602799996</v>
      </c>
      <c r="E125" s="116">
        <v>-149.55534770599999</v>
      </c>
      <c r="F125" s="116">
        <v>762</v>
      </c>
      <c r="G125" s="116" t="s">
        <v>569</v>
      </c>
      <c r="H125" s="116" t="s">
        <v>756</v>
      </c>
      <c r="I125" s="116" t="s">
        <v>757</v>
      </c>
      <c r="J125" s="116" t="s">
        <v>584</v>
      </c>
      <c r="K125" s="116" t="s">
        <v>558</v>
      </c>
      <c r="L125" s="116" t="s">
        <v>558</v>
      </c>
      <c r="M125" s="122" t="str">
        <f t="shared" si="1"/>
        <v>View on Google Map</v>
      </c>
    </row>
    <row r="126" spans="1:13" x14ac:dyDescent="0.2">
      <c r="A126" s="116">
        <v>18</v>
      </c>
      <c r="B126" s="116" t="s">
        <v>758</v>
      </c>
      <c r="C126" s="116" t="s">
        <v>558</v>
      </c>
      <c r="D126" s="116" t="s">
        <v>558</v>
      </c>
      <c r="E126" s="116" t="s">
        <v>558</v>
      </c>
      <c r="F126" s="116">
        <v>762</v>
      </c>
      <c r="G126" s="116" t="s">
        <v>583</v>
      </c>
      <c r="H126" s="116" t="s">
        <v>759</v>
      </c>
      <c r="I126" s="116" t="s">
        <v>760</v>
      </c>
      <c r="J126" s="116" t="s">
        <v>584</v>
      </c>
      <c r="K126" s="116" t="s">
        <v>558</v>
      </c>
      <c r="L126" s="116" t="s">
        <v>558</v>
      </c>
      <c r="M126" s="122" t="str">
        <f t="shared" si="1"/>
        <v>View on Google Map</v>
      </c>
    </row>
    <row r="127" spans="1:13" x14ac:dyDescent="0.2">
      <c r="A127" s="116">
        <v>310</v>
      </c>
      <c r="B127" s="116" t="s">
        <v>761</v>
      </c>
      <c r="C127" s="116" t="s">
        <v>558</v>
      </c>
      <c r="D127" s="116">
        <v>68.622894947099994</v>
      </c>
      <c r="E127" s="116">
        <v>-149.54328383999999</v>
      </c>
      <c r="F127" s="116" t="s">
        <v>558</v>
      </c>
      <c r="G127" s="116" t="s">
        <v>569</v>
      </c>
      <c r="H127" s="116" t="s">
        <v>762</v>
      </c>
      <c r="I127" s="116" t="s">
        <v>763</v>
      </c>
      <c r="J127" s="116" t="s">
        <v>584</v>
      </c>
      <c r="K127" s="116" t="s">
        <v>558</v>
      </c>
      <c r="L127" s="116" t="s">
        <v>558</v>
      </c>
      <c r="M127" s="122" t="str">
        <f t="shared" si="1"/>
        <v>View on Google Map</v>
      </c>
    </row>
    <row r="128" spans="1:13" x14ac:dyDescent="0.2">
      <c r="A128" s="116">
        <v>311</v>
      </c>
      <c r="B128" s="116" t="s">
        <v>764</v>
      </c>
      <c r="C128" s="116" t="s">
        <v>558</v>
      </c>
      <c r="D128" s="116">
        <v>68.623910828999996</v>
      </c>
      <c r="E128" s="116">
        <v>-149.53118563999999</v>
      </c>
      <c r="F128" s="116" t="s">
        <v>558</v>
      </c>
      <c r="G128" s="116" t="s">
        <v>569</v>
      </c>
      <c r="H128" s="116" t="s">
        <v>765</v>
      </c>
      <c r="I128" s="116" t="s">
        <v>766</v>
      </c>
      <c r="J128" s="116" t="s">
        <v>584</v>
      </c>
      <c r="K128" s="116" t="s">
        <v>558</v>
      </c>
      <c r="L128" s="116" t="s">
        <v>558</v>
      </c>
      <c r="M128" s="122" t="str">
        <f t="shared" si="1"/>
        <v>View on Google Map</v>
      </c>
    </row>
    <row r="129" spans="1:13" x14ac:dyDescent="0.2">
      <c r="A129" s="116">
        <v>312</v>
      </c>
      <c r="B129" s="116" t="s">
        <v>767</v>
      </c>
      <c r="C129" s="116" t="s">
        <v>558</v>
      </c>
      <c r="D129" s="116">
        <v>68.6277698106</v>
      </c>
      <c r="E129" s="116">
        <v>-149.497737003</v>
      </c>
      <c r="F129" s="116" t="s">
        <v>558</v>
      </c>
      <c r="G129" s="116" t="s">
        <v>569</v>
      </c>
      <c r="H129" s="116" t="s">
        <v>768</v>
      </c>
      <c r="I129" s="116" t="s">
        <v>769</v>
      </c>
      <c r="J129" s="116" t="s">
        <v>584</v>
      </c>
      <c r="K129" s="116" t="s">
        <v>558</v>
      </c>
      <c r="L129" s="116" t="s">
        <v>558</v>
      </c>
      <c r="M129" s="122" t="str">
        <f t="shared" si="1"/>
        <v>View on Google Map</v>
      </c>
    </row>
    <row r="130" spans="1:13" x14ac:dyDescent="0.2">
      <c r="A130" s="116">
        <v>145</v>
      </c>
      <c r="B130" s="116" t="s">
        <v>770</v>
      </c>
      <c r="C130" s="116" t="s">
        <v>558</v>
      </c>
      <c r="D130" s="116">
        <v>68.642611000000002</v>
      </c>
      <c r="E130" s="116">
        <v>-149.458079</v>
      </c>
      <c r="F130" s="116">
        <v>800</v>
      </c>
      <c r="G130" s="116" t="s">
        <v>569</v>
      </c>
      <c r="H130" s="116" t="s">
        <v>771</v>
      </c>
      <c r="I130" s="116" t="s">
        <v>772</v>
      </c>
      <c r="J130" s="116" t="s">
        <v>584</v>
      </c>
      <c r="K130" s="116" t="s">
        <v>558</v>
      </c>
      <c r="L130" s="116" t="s">
        <v>558</v>
      </c>
      <c r="M130" s="122" t="str">
        <f t="shared" si="1"/>
        <v>View on Google Map</v>
      </c>
    </row>
    <row r="131" spans="1:13" x14ac:dyDescent="0.2">
      <c r="A131" s="116">
        <v>399</v>
      </c>
      <c r="B131" s="116" t="s">
        <v>773</v>
      </c>
      <c r="C131" s="116" t="s">
        <v>558</v>
      </c>
      <c r="D131" s="116">
        <v>68.643427058300006</v>
      </c>
      <c r="E131" s="116">
        <v>-149.44056459199999</v>
      </c>
      <c r="F131" s="116">
        <v>792</v>
      </c>
      <c r="G131" s="116" t="s">
        <v>569</v>
      </c>
      <c r="H131" s="116" t="s">
        <v>774</v>
      </c>
      <c r="I131" s="116" t="s">
        <v>775</v>
      </c>
      <c r="J131" s="116" t="s">
        <v>584</v>
      </c>
      <c r="K131" s="116" t="s">
        <v>558</v>
      </c>
      <c r="L131" s="116" t="s">
        <v>558</v>
      </c>
      <c r="M131" s="122" t="str">
        <f t="shared" ref="M131:M194" si="2">HYPERLINK("http://maps.google.com/maps?q="&amp;D131&amp;","&amp;E131,"View on Google Map")</f>
        <v>View on Google Map</v>
      </c>
    </row>
    <row r="132" spans="1:13" x14ac:dyDescent="0.2">
      <c r="A132" s="116">
        <v>1605</v>
      </c>
      <c r="B132" s="116" t="s">
        <v>776</v>
      </c>
      <c r="C132" s="116" t="s">
        <v>558</v>
      </c>
      <c r="D132" s="116" t="s">
        <v>558</v>
      </c>
      <c r="E132" s="116" t="s">
        <v>558</v>
      </c>
      <c r="F132" s="116" t="s">
        <v>558</v>
      </c>
      <c r="G132" s="116" t="s">
        <v>583</v>
      </c>
      <c r="H132" s="116" t="s">
        <v>777</v>
      </c>
      <c r="I132" s="116" t="s">
        <v>778</v>
      </c>
      <c r="J132" s="116" t="s">
        <v>584</v>
      </c>
      <c r="K132" s="116" t="s">
        <v>558</v>
      </c>
      <c r="L132" s="116" t="s">
        <v>558</v>
      </c>
      <c r="M132" s="122" t="str">
        <f t="shared" si="2"/>
        <v>View on Google Map</v>
      </c>
    </row>
    <row r="133" spans="1:13" x14ac:dyDescent="0.2">
      <c r="A133" s="116">
        <v>1606</v>
      </c>
      <c r="B133" s="116" t="s">
        <v>779</v>
      </c>
      <c r="C133" s="116" t="s">
        <v>558</v>
      </c>
      <c r="D133" s="116" t="s">
        <v>558</v>
      </c>
      <c r="E133" s="116" t="s">
        <v>558</v>
      </c>
      <c r="F133" s="116" t="s">
        <v>558</v>
      </c>
      <c r="G133" s="116" t="s">
        <v>583</v>
      </c>
      <c r="H133" s="116" t="s">
        <v>780</v>
      </c>
      <c r="I133" s="116" t="s">
        <v>781</v>
      </c>
      <c r="J133" s="116" t="s">
        <v>584</v>
      </c>
      <c r="K133" s="116" t="s">
        <v>558</v>
      </c>
      <c r="L133" s="116" t="s">
        <v>558</v>
      </c>
      <c r="M133" s="122" t="str">
        <f t="shared" si="2"/>
        <v>View on Google Map</v>
      </c>
    </row>
    <row r="134" spans="1:13" x14ac:dyDescent="0.2">
      <c r="A134" s="116">
        <v>1604</v>
      </c>
      <c r="B134" s="116" t="s">
        <v>782</v>
      </c>
      <c r="C134" s="116" t="s">
        <v>558</v>
      </c>
      <c r="D134" s="116" t="s">
        <v>558</v>
      </c>
      <c r="E134" s="116" t="s">
        <v>558</v>
      </c>
      <c r="F134" s="116" t="s">
        <v>558</v>
      </c>
      <c r="G134" s="116" t="s">
        <v>583</v>
      </c>
      <c r="H134" s="116" t="s">
        <v>783</v>
      </c>
      <c r="I134" s="116" t="s">
        <v>784</v>
      </c>
      <c r="J134" s="116" t="s">
        <v>584</v>
      </c>
      <c r="K134" s="116" t="s">
        <v>558</v>
      </c>
      <c r="L134" s="116" t="s">
        <v>558</v>
      </c>
      <c r="M134" s="122" t="str">
        <f t="shared" si="2"/>
        <v>View on Google Map</v>
      </c>
    </row>
    <row r="135" spans="1:13" x14ac:dyDescent="0.2">
      <c r="A135" s="116">
        <v>24</v>
      </c>
      <c r="B135" s="116" t="s">
        <v>785</v>
      </c>
      <c r="C135" s="116" t="s">
        <v>558</v>
      </c>
      <c r="D135" s="116" t="s">
        <v>558</v>
      </c>
      <c r="E135" s="116" t="s">
        <v>558</v>
      </c>
      <c r="F135" s="116" t="s">
        <v>558</v>
      </c>
      <c r="G135" s="116" t="s">
        <v>583</v>
      </c>
      <c r="H135" s="116" t="s">
        <v>558</v>
      </c>
      <c r="I135" s="116" t="s">
        <v>558</v>
      </c>
      <c r="J135" s="116" t="s">
        <v>584</v>
      </c>
      <c r="K135" s="116" t="s">
        <v>558</v>
      </c>
      <c r="L135" s="116" t="s">
        <v>558</v>
      </c>
      <c r="M135" s="122" t="str">
        <f t="shared" si="2"/>
        <v>View on Google Map</v>
      </c>
    </row>
    <row r="136" spans="1:13" x14ac:dyDescent="0.2">
      <c r="A136" s="116">
        <v>143</v>
      </c>
      <c r="B136" s="116" t="s">
        <v>786</v>
      </c>
      <c r="C136" s="116" t="s">
        <v>787</v>
      </c>
      <c r="D136" s="116">
        <v>68.650000000000006</v>
      </c>
      <c r="E136" s="116">
        <v>-148.5</v>
      </c>
      <c r="F136" s="116">
        <v>525</v>
      </c>
      <c r="G136" s="116" t="s">
        <v>569</v>
      </c>
      <c r="H136" s="116" t="s">
        <v>558</v>
      </c>
      <c r="I136" s="116" t="s">
        <v>558</v>
      </c>
      <c r="J136" s="116" t="s">
        <v>584</v>
      </c>
      <c r="K136" s="116" t="s">
        <v>558</v>
      </c>
      <c r="L136" s="116" t="s">
        <v>585</v>
      </c>
      <c r="M136" s="122" t="str">
        <f t="shared" si="2"/>
        <v>View on Google Map</v>
      </c>
    </row>
    <row r="137" spans="1:13" x14ac:dyDescent="0.2">
      <c r="A137" s="116">
        <v>464</v>
      </c>
      <c r="B137" s="116" t="s">
        <v>788</v>
      </c>
      <c r="C137" s="116" t="s">
        <v>558</v>
      </c>
      <c r="D137" s="116">
        <v>68.793719999999993</v>
      </c>
      <c r="E137" s="116">
        <v>-149.47560999999999</v>
      </c>
      <c r="F137" s="116">
        <v>702</v>
      </c>
      <c r="G137" s="116" t="s">
        <v>569</v>
      </c>
      <c r="H137" s="116" t="s">
        <v>558</v>
      </c>
      <c r="I137" s="116" t="s">
        <v>558</v>
      </c>
      <c r="J137" s="116" t="s">
        <v>570</v>
      </c>
      <c r="K137" s="116" t="s">
        <v>558</v>
      </c>
      <c r="L137" s="116" t="s">
        <v>558</v>
      </c>
      <c r="M137" s="122" t="str">
        <f t="shared" si="2"/>
        <v>View on Google Map</v>
      </c>
    </row>
    <row r="138" spans="1:13" x14ac:dyDescent="0.2">
      <c r="A138" s="116">
        <v>465</v>
      </c>
      <c r="B138" s="116" t="s">
        <v>789</v>
      </c>
      <c r="C138" s="116" t="s">
        <v>558</v>
      </c>
      <c r="D138" s="116">
        <v>68.796220000000005</v>
      </c>
      <c r="E138" s="116">
        <v>-149.48222000000001</v>
      </c>
      <c r="F138" s="116">
        <v>698</v>
      </c>
      <c r="G138" s="116" t="s">
        <v>569</v>
      </c>
      <c r="H138" s="116" t="s">
        <v>558</v>
      </c>
      <c r="I138" s="116" t="s">
        <v>558</v>
      </c>
      <c r="J138" s="116" t="s">
        <v>570</v>
      </c>
      <c r="K138" s="116" t="s">
        <v>558</v>
      </c>
      <c r="L138" s="116" t="s">
        <v>558</v>
      </c>
      <c r="M138" s="122" t="str">
        <f t="shared" si="2"/>
        <v>View on Google Map</v>
      </c>
    </row>
    <row r="139" spans="1:13" x14ac:dyDescent="0.2">
      <c r="A139" s="116">
        <v>466</v>
      </c>
      <c r="B139" s="116" t="s">
        <v>790</v>
      </c>
      <c r="C139" s="116" t="s">
        <v>558</v>
      </c>
      <c r="D139" s="116">
        <v>68.798249999999996</v>
      </c>
      <c r="E139" s="116">
        <v>-149.47832</v>
      </c>
      <c r="F139" s="116">
        <v>697</v>
      </c>
      <c r="G139" s="116" t="s">
        <v>569</v>
      </c>
      <c r="H139" s="116" t="s">
        <v>558</v>
      </c>
      <c r="I139" s="116" t="s">
        <v>558</v>
      </c>
      <c r="J139" s="116" t="s">
        <v>570</v>
      </c>
      <c r="K139" s="116" t="s">
        <v>558</v>
      </c>
      <c r="L139" s="116" t="s">
        <v>558</v>
      </c>
      <c r="M139" s="122" t="str">
        <f t="shared" si="2"/>
        <v>View on Google Map</v>
      </c>
    </row>
    <row r="140" spans="1:13" x14ac:dyDescent="0.2">
      <c r="A140" s="116">
        <v>467</v>
      </c>
      <c r="B140" s="116" t="s">
        <v>791</v>
      </c>
      <c r="C140" s="116" t="s">
        <v>558</v>
      </c>
      <c r="D140" s="116">
        <v>68.794659999999993</v>
      </c>
      <c r="E140" s="116">
        <v>-149.46985000000001</v>
      </c>
      <c r="F140" s="116">
        <v>702</v>
      </c>
      <c r="G140" s="116" t="s">
        <v>569</v>
      </c>
      <c r="H140" s="116" t="s">
        <v>558</v>
      </c>
      <c r="I140" s="116" t="s">
        <v>558</v>
      </c>
      <c r="J140" s="116" t="s">
        <v>570</v>
      </c>
      <c r="K140" s="116" t="s">
        <v>558</v>
      </c>
      <c r="L140" s="116" t="s">
        <v>558</v>
      </c>
      <c r="M140" s="122" t="str">
        <f t="shared" si="2"/>
        <v>View on Google Map</v>
      </c>
    </row>
    <row r="141" spans="1:13" x14ac:dyDescent="0.2">
      <c r="A141" s="116">
        <v>468</v>
      </c>
      <c r="B141" s="116" t="s">
        <v>792</v>
      </c>
      <c r="C141" s="116" t="s">
        <v>558</v>
      </c>
      <c r="D141" s="116">
        <v>68.797669999999997</v>
      </c>
      <c r="E141" s="116">
        <v>-149.46574000000001</v>
      </c>
      <c r="F141" s="116">
        <v>692</v>
      </c>
      <c r="G141" s="116" t="s">
        <v>569</v>
      </c>
      <c r="H141" s="116" t="s">
        <v>558</v>
      </c>
      <c r="I141" s="116" t="s">
        <v>558</v>
      </c>
      <c r="J141" s="116" t="s">
        <v>570</v>
      </c>
      <c r="K141" s="116" t="s">
        <v>558</v>
      </c>
      <c r="L141" s="116" t="s">
        <v>558</v>
      </c>
      <c r="M141" s="122" t="str">
        <f t="shared" si="2"/>
        <v>View on Google Map</v>
      </c>
    </row>
    <row r="142" spans="1:13" x14ac:dyDescent="0.2">
      <c r="A142" s="116">
        <v>469</v>
      </c>
      <c r="B142" s="116" t="s">
        <v>793</v>
      </c>
      <c r="C142" s="116" t="s">
        <v>558</v>
      </c>
      <c r="D142" s="116">
        <v>68.802390000000003</v>
      </c>
      <c r="E142" s="116">
        <v>-149.46473</v>
      </c>
      <c r="F142" s="116">
        <v>683</v>
      </c>
      <c r="G142" s="116" t="s">
        <v>569</v>
      </c>
      <c r="H142" s="116" t="s">
        <v>558</v>
      </c>
      <c r="I142" s="116" t="s">
        <v>558</v>
      </c>
      <c r="J142" s="116" t="s">
        <v>570</v>
      </c>
      <c r="K142" s="116" t="s">
        <v>558</v>
      </c>
      <c r="L142" s="116" t="s">
        <v>558</v>
      </c>
      <c r="M142" s="122" t="str">
        <f t="shared" si="2"/>
        <v>View on Google Map</v>
      </c>
    </row>
    <row r="143" spans="1:13" x14ac:dyDescent="0.2">
      <c r="A143" s="116">
        <v>406</v>
      </c>
      <c r="B143" s="116" t="s">
        <v>794</v>
      </c>
      <c r="C143" s="116" t="s">
        <v>558</v>
      </c>
      <c r="D143" s="116" t="s">
        <v>558</v>
      </c>
      <c r="E143" s="116" t="s">
        <v>558</v>
      </c>
      <c r="F143" s="116" t="s">
        <v>558</v>
      </c>
      <c r="G143" s="116" t="s">
        <v>569</v>
      </c>
      <c r="H143" s="116" t="s">
        <v>558</v>
      </c>
      <c r="I143" s="116" t="s">
        <v>558</v>
      </c>
      <c r="J143" s="116" t="s">
        <v>584</v>
      </c>
      <c r="K143" s="116" t="s">
        <v>558</v>
      </c>
      <c r="L143" s="116" t="s">
        <v>740</v>
      </c>
      <c r="M143" s="122" t="str">
        <f t="shared" si="2"/>
        <v>View on Google Map</v>
      </c>
    </row>
    <row r="144" spans="1:13" x14ac:dyDescent="0.2">
      <c r="A144" s="116">
        <v>407</v>
      </c>
      <c r="B144" s="116" t="s">
        <v>795</v>
      </c>
      <c r="C144" s="116" t="s">
        <v>558</v>
      </c>
      <c r="D144" s="116" t="s">
        <v>558</v>
      </c>
      <c r="E144" s="116" t="s">
        <v>558</v>
      </c>
      <c r="F144" s="116" t="s">
        <v>558</v>
      </c>
      <c r="G144" s="116" t="s">
        <v>569</v>
      </c>
      <c r="H144" s="116" t="s">
        <v>558</v>
      </c>
      <c r="I144" s="116" t="s">
        <v>558</v>
      </c>
      <c r="J144" s="116" t="s">
        <v>584</v>
      </c>
      <c r="K144" s="116" t="s">
        <v>558</v>
      </c>
      <c r="L144" s="116" t="s">
        <v>740</v>
      </c>
      <c r="M144" s="122" t="str">
        <f t="shared" si="2"/>
        <v>View on Google Map</v>
      </c>
    </row>
    <row r="145" spans="1:13" x14ac:dyDescent="0.2">
      <c r="A145" s="116">
        <v>164</v>
      </c>
      <c r="B145" s="116" t="s">
        <v>796</v>
      </c>
      <c r="C145" s="116" t="s">
        <v>558</v>
      </c>
      <c r="D145" s="116">
        <v>68.683333333333337</v>
      </c>
      <c r="E145" s="116">
        <v>-149.07666666666699</v>
      </c>
      <c r="F145" s="116">
        <v>770</v>
      </c>
      <c r="G145" s="116" t="s">
        <v>569</v>
      </c>
      <c r="H145" s="116" t="s">
        <v>797</v>
      </c>
      <c r="I145" s="116" t="s">
        <v>798</v>
      </c>
      <c r="J145" s="116" t="s">
        <v>584</v>
      </c>
      <c r="K145" s="116">
        <v>274</v>
      </c>
      <c r="L145" s="116" t="s">
        <v>558</v>
      </c>
      <c r="M145" s="122" t="str">
        <f t="shared" si="2"/>
        <v>View on Google Map</v>
      </c>
    </row>
    <row r="146" spans="1:13" x14ac:dyDescent="0.2">
      <c r="A146" s="116">
        <v>165</v>
      </c>
      <c r="B146" s="116" t="s">
        <v>799</v>
      </c>
      <c r="C146" s="116" t="s">
        <v>558</v>
      </c>
      <c r="D146" s="116">
        <v>68.683333333333337</v>
      </c>
      <c r="E146" s="116">
        <v>-149.1</v>
      </c>
      <c r="F146" s="116">
        <v>785</v>
      </c>
      <c r="G146" s="116" t="s">
        <v>569</v>
      </c>
      <c r="H146" s="116" t="s">
        <v>800</v>
      </c>
      <c r="I146" s="116" t="s">
        <v>801</v>
      </c>
      <c r="J146" s="116" t="s">
        <v>584</v>
      </c>
      <c r="K146" s="116">
        <v>275</v>
      </c>
      <c r="L146" s="116" t="s">
        <v>558</v>
      </c>
      <c r="M146" s="122" t="str">
        <f t="shared" si="2"/>
        <v>View on Google Map</v>
      </c>
    </row>
    <row r="147" spans="1:13" x14ac:dyDescent="0.2">
      <c r="A147" s="116">
        <v>166</v>
      </c>
      <c r="B147" s="116" t="s">
        <v>802</v>
      </c>
      <c r="C147" s="116" t="s">
        <v>558</v>
      </c>
      <c r="D147" s="116">
        <v>68.666666666666671</v>
      </c>
      <c r="E147" s="116">
        <v>-149.1</v>
      </c>
      <c r="F147" s="116">
        <v>792</v>
      </c>
      <c r="G147" s="116" t="s">
        <v>569</v>
      </c>
      <c r="H147" s="116" t="s">
        <v>803</v>
      </c>
      <c r="I147" s="116" t="s">
        <v>804</v>
      </c>
      <c r="J147" s="116" t="s">
        <v>584</v>
      </c>
      <c r="K147" s="116">
        <v>276</v>
      </c>
      <c r="L147" s="116" t="s">
        <v>558</v>
      </c>
      <c r="M147" s="122" t="str">
        <f t="shared" si="2"/>
        <v>View on Google Map</v>
      </c>
    </row>
    <row r="148" spans="1:13" x14ac:dyDescent="0.2">
      <c r="A148" s="116">
        <v>167</v>
      </c>
      <c r="B148" s="116" t="s">
        <v>805</v>
      </c>
      <c r="C148" s="116" t="s">
        <v>558</v>
      </c>
      <c r="D148" s="116">
        <v>68.680000000000007</v>
      </c>
      <c r="E148" s="116">
        <v>-149.071666666667</v>
      </c>
      <c r="F148" s="116">
        <v>754</v>
      </c>
      <c r="G148" s="116" t="s">
        <v>569</v>
      </c>
      <c r="H148" s="116" t="s">
        <v>806</v>
      </c>
      <c r="I148" s="116" t="s">
        <v>807</v>
      </c>
      <c r="J148" s="116" t="s">
        <v>584</v>
      </c>
      <c r="K148" s="116" t="s">
        <v>558</v>
      </c>
      <c r="L148" s="116" t="s">
        <v>558</v>
      </c>
      <c r="M148" s="122" t="str">
        <f t="shared" si="2"/>
        <v>View on Google Map</v>
      </c>
    </row>
    <row r="149" spans="1:13" x14ac:dyDescent="0.2">
      <c r="A149" s="116">
        <v>168</v>
      </c>
      <c r="B149" s="116" t="s">
        <v>808</v>
      </c>
      <c r="C149" s="116" t="s">
        <v>558</v>
      </c>
      <c r="D149" s="116">
        <v>68.674999999999997</v>
      </c>
      <c r="E149" s="116">
        <v>-149.06</v>
      </c>
      <c r="F149" s="116" t="s">
        <v>558</v>
      </c>
      <c r="G149" s="116" t="s">
        <v>569</v>
      </c>
      <c r="H149" s="116" t="s">
        <v>809</v>
      </c>
      <c r="I149" s="116" t="s">
        <v>810</v>
      </c>
      <c r="J149" s="116" t="s">
        <v>584</v>
      </c>
      <c r="K149" s="116" t="s">
        <v>558</v>
      </c>
      <c r="L149" s="116" t="s">
        <v>558</v>
      </c>
      <c r="M149" s="122" t="str">
        <f t="shared" si="2"/>
        <v>View on Google Map</v>
      </c>
    </row>
    <row r="150" spans="1:13" x14ac:dyDescent="0.2">
      <c r="A150" s="116">
        <v>124</v>
      </c>
      <c r="B150" s="116" t="s">
        <v>811</v>
      </c>
      <c r="C150" s="116" t="s">
        <v>558</v>
      </c>
      <c r="D150" s="116">
        <v>68.466666666666669</v>
      </c>
      <c r="E150" s="116">
        <v>-149.5</v>
      </c>
      <c r="F150" s="116">
        <v>802</v>
      </c>
      <c r="G150" s="116" t="s">
        <v>569</v>
      </c>
      <c r="H150" s="116" t="s">
        <v>812</v>
      </c>
      <c r="I150" s="116" t="s">
        <v>558</v>
      </c>
      <c r="J150" s="116" t="s">
        <v>584</v>
      </c>
      <c r="K150" s="116" t="s">
        <v>558</v>
      </c>
      <c r="L150" s="116" t="s">
        <v>585</v>
      </c>
      <c r="M150" s="122" t="str">
        <f t="shared" si="2"/>
        <v>View on Google Map</v>
      </c>
    </row>
    <row r="151" spans="1:13" x14ac:dyDescent="0.2">
      <c r="A151" s="116">
        <v>432</v>
      </c>
      <c r="B151" s="116" t="s">
        <v>813</v>
      </c>
      <c r="C151" s="116" t="s">
        <v>558</v>
      </c>
      <c r="D151" s="116" t="s">
        <v>558</v>
      </c>
      <c r="E151" s="116" t="s">
        <v>558</v>
      </c>
      <c r="F151" s="116">
        <v>800</v>
      </c>
      <c r="G151" s="116" t="s">
        <v>569</v>
      </c>
      <c r="H151" s="116" t="s">
        <v>814</v>
      </c>
      <c r="I151" s="116" t="s">
        <v>558</v>
      </c>
      <c r="J151" s="116" t="s">
        <v>584</v>
      </c>
      <c r="K151" s="116" t="s">
        <v>558</v>
      </c>
      <c r="L151" s="116" t="s">
        <v>815</v>
      </c>
      <c r="M151" s="122" t="str">
        <f t="shared" si="2"/>
        <v>View on Google Map</v>
      </c>
    </row>
    <row r="152" spans="1:13" x14ac:dyDescent="0.2">
      <c r="A152" s="116">
        <v>433</v>
      </c>
      <c r="B152" s="116" t="s">
        <v>816</v>
      </c>
      <c r="C152" s="116" t="s">
        <v>558</v>
      </c>
      <c r="D152" s="116" t="s">
        <v>558</v>
      </c>
      <c r="E152" s="116" t="s">
        <v>558</v>
      </c>
      <c r="F152" s="116">
        <v>800</v>
      </c>
      <c r="G152" s="116" t="s">
        <v>569</v>
      </c>
      <c r="H152" s="116" t="s">
        <v>817</v>
      </c>
      <c r="I152" s="116" t="s">
        <v>558</v>
      </c>
      <c r="J152" s="116" t="s">
        <v>584</v>
      </c>
      <c r="K152" s="116" t="s">
        <v>558</v>
      </c>
      <c r="L152" s="116" t="s">
        <v>815</v>
      </c>
      <c r="M152" s="122" t="str">
        <f t="shared" si="2"/>
        <v>View on Google Map</v>
      </c>
    </row>
    <row r="153" spans="1:13" x14ac:dyDescent="0.2">
      <c r="A153" s="116">
        <v>434</v>
      </c>
      <c r="B153" s="116" t="s">
        <v>818</v>
      </c>
      <c r="C153" s="116" t="s">
        <v>558</v>
      </c>
      <c r="D153" s="116" t="s">
        <v>558</v>
      </c>
      <c r="E153" s="116" t="s">
        <v>558</v>
      </c>
      <c r="F153" s="116">
        <v>801</v>
      </c>
      <c r="G153" s="116" t="s">
        <v>569</v>
      </c>
      <c r="H153" s="116" t="s">
        <v>819</v>
      </c>
      <c r="I153" s="116" t="s">
        <v>558</v>
      </c>
      <c r="J153" s="116" t="s">
        <v>584</v>
      </c>
      <c r="K153" s="116" t="s">
        <v>558</v>
      </c>
      <c r="L153" s="116" t="s">
        <v>815</v>
      </c>
      <c r="M153" s="122" t="str">
        <f t="shared" si="2"/>
        <v>View on Google Map</v>
      </c>
    </row>
    <row r="154" spans="1:13" x14ac:dyDescent="0.2">
      <c r="A154" s="116">
        <v>435</v>
      </c>
      <c r="B154" s="116" t="s">
        <v>820</v>
      </c>
      <c r="C154" s="116" t="s">
        <v>558</v>
      </c>
      <c r="D154" s="116" t="s">
        <v>558</v>
      </c>
      <c r="E154" s="116" t="s">
        <v>558</v>
      </c>
      <c r="F154" s="116">
        <v>802</v>
      </c>
      <c r="G154" s="116" t="s">
        <v>569</v>
      </c>
      <c r="H154" s="116" t="s">
        <v>821</v>
      </c>
      <c r="I154" s="116" t="s">
        <v>558</v>
      </c>
      <c r="J154" s="116" t="s">
        <v>584</v>
      </c>
      <c r="K154" s="116" t="s">
        <v>558</v>
      </c>
      <c r="L154" s="116" t="s">
        <v>815</v>
      </c>
      <c r="M154" s="122" t="str">
        <f t="shared" si="2"/>
        <v>View on Google Map</v>
      </c>
    </row>
    <row r="155" spans="1:13" x14ac:dyDescent="0.2">
      <c r="A155" s="116">
        <v>436</v>
      </c>
      <c r="B155" s="116" t="s">
        <v>822</v>
      </c>
      <c r="C155" s="116" t="s">
        <v>558</v>
      </c>
      <c r="D155" s="116" t="s">
        <v>558</v>
      </c>
      <c r="E155" s="116" t="s">
        <v>558</v>
      </c>
      <c r="F155" s="116">
        <v>803</v>
      </c>
      <c r="G155" s="116" t="s">
        <v>569</v>
      </c>
      <c r="H155" s="116" t="s">
        <v>823</v>
      </c>
      <c r="I155" s="116" t="s">
        <v>558</v>
      </c>
      <c r="J155" s="116" t="s">
        <v>584</v>
      </c>
      <c r="K155" s="116" t="s">
        <v>558</v>
      </c>
      <c r="L155" s="116" t="s">
        <v>815</v>
      </c>
      <c r="M155" s="122" t="str">
        <f t="shared" si="2"/>
        <v>View on Google Map</v>
      </c>
    </row>
    <row r="156" spans="1:13" x14ac:dyDescent="0.2">
      <c r="A156" s="116">
        <v>437</v>
      </c>
      <c r="B156" s="116" t="s">
        <v>824</v>
      </c>
      <c r="C156" s="116" t="s">
        <v>558</v>
      </c>
      <c r="D156" s="116" t="s">
        <v>558</v>
      </c>
      <c r="E156" s="116" t="s">
        <v>558</v>
      </c>
      <c r="F156" s="116">
        <v>804</v>
      </c>
      <c r="G156" s="116" t="s">
        <v>569</v>
      </c>
      <c r="H156" s="116" t="s">
        <v>825</v>
      </c>
      <c r="I156" s="116" t="s">
        <v>558</v>
      </c>
      <c r="J156" s="116" t="s">
        <v>584</v>
      </c>
      <c r="K156" s="116" t="s">
        <v>558</v>
      </c>
      <c r="L156" s="116" t="s">
        <v>815</v>
      </c>
      <c r="M156" s="122" t="str">
        <f t="shared" si="2"/>
        <v>View on Google Map</v>
      </c>
    </row>
    <row r="157" spans="1:13" x14ac:dyDescent="0.2">
      <c r="A157" s="116">
        <v>438</v>
      </c>
      <c r="B157" s="116" t="s">
        <v>826</v>
      </c>
      <c r="C157" s="116" t="s">
        <v>558</v>
      </c>
      <c r="D157" s="116" t="s">
        <v>558</v>
      </c>
      <c r="E157" s="116" t="s">
        <v>558</v>
      </c>
      <c r="F157" s="116">
        <v>805</v>
      </c>
      <c r="G157" s="116" t="s">
        <v>569</v>
      </c>
      <c r="H157" s="116" t="s">
        <v>827</v>
      </c>
      <c r="I157" s="116" t="s">
        <v>558</v>
      </c>
      <c r="J157" s="116" t="s">
        <v>584</v>
      </c>
      <c r="K157" s="116" t="s">
        <v>558</v>
      </c>
      <c r="L157" s="116" t="s">
        <v>815</v>
      </c>
      <c r="M157" s="122" t="str">
        <f t="shared" si="2"/>
        <v>View on Google Map</v>
      </c>
    </row>
    <row r="158" spans="1:13" x14ac:dyDescent="0.2">
      <c r="A158" s="116">
        <v>439</v>
      </c>
      <c r="B158" s="116" t="s">
        <v>828</v>
      </c>
      <c r="C158" s="116" t="s">
        <v>558</v>
      </c>
      <c r="D158" s="116" t="s">
        <v>558</v>
      </c>
      <c r="E158" s="116" t="s">
        <v>558</v>
      </c>
      <c r="F158" s="116">
        <v>807</v>
      </c>
      <c r="G158" s="116" t="s">
        <v>569</v>
      </c>
      <c r="H158" s="116" t="s">
        <v>829</v>
      </c>
      <c r="I158" s="116" t="s">
        <v>558</v>
      </c>
      <c r="J158" s="116" t="s">
        <v>584</v>
      </c>
      <c r="K158" s="116" t="s">
        <v>558</v>
      </c>
      <c r="L158" s="116" t="s">
        <v>815</v>
      </c>
      <c r="M158" s="122" t="str">
        <f t="shared" si="2"/>
        <v>View on Google Map</v>
      </c>
    </row>
    <row r="159" spans="1:13" x14ac:dyDescent="0.2">
      <c r="A159" s="116">
        <v>440</v>
      </c>
      <c r="B159" s="116" t="s">
        <v>830</v>
      </c>
      <c r="C159" s="116" t="s">
        <v>558</v>
      </c>
      <c r="D159" s="116" t="s">
        <v>558</v>
      </c>
      <c r="E159" s="116" t="s">
        <v>558</v>
      </c>
      <c r="F159" s="116">
        <v>805</v>
      </c>
      <c r="G159" s="116" t="s">
        <v>569</v>
      </c>
      <c r="H159" s="116" t="s">
        <v>831</v>
      </c>
      <c r="I159" s="116" t="s">
        <v>558</v>
      </c>
      <c r="J159" s="116" t="s">
        <v>584</v>
      </c>
      <c r="K159" s="116" t="s">
        <v>558</v>
      </c>
      <c r="L159" s="116" t="s">
        <v>815</v>
      </c>
      <c r="M159" s="122" t="str">
        <f t="shared" si="2"/>
        <v>View on Google Map</v>
      </c>
    </row>
    <row r="160" spans="1:13" x14ac:dyDescent="0.2">
      <c r="A160" s="116">
        <v>441</v>
      </c>
      <c r="B160" s="116" t="s">
        <v>832</v>
      </c>
      <c r="C160" s="116" t="s">
        <v>558</v>
      </c>
      <c r="D160" s="116" t="s">
        <v>558</v>
      </c>
      <c r="E160" s="116" t="s">
        <v>558</v>
      </c>
      <c r="F160" s="116">
        <v>805</v>
      </c>
      <c r="G160" s="116" t="s">
        <v>569</v>
      </c>
      <c r="H160" s="116" t="s">
        <v>833</v>
      </c>
      <c r="I160" s="116" t="s">
        <v>558</v>
      </c>
      <c r="J160" s="116" t="s">
        <v>584</v>
      </c>
      <c r="K160" s="116" t="s">
        <v>558</v>
      </c>
      <c r="L160" s="116" t="s">
        <v>815</v>
      </c>
      <c r="M160" s="122" t="str">
        <f t="shared" si="2"/>
        <v>View on Google Map</v>
      </c>
    </row>
    <row r="161" spans="1:14" x14ac:dyDescent="0.2">
      <c r="A161" s="116">
        <v>442</v>
      </c>
      <c r="B161" s="116" t="s">
        <v>834</v>
      </c>
      <c r="C161" s="116" t="s">
        <v>558</v>
      </c>
      <c r="D161" s="116" t="s">
        <v>558</v>
      </c>
      <c r="E161" s="116" t="s">
        <v>558</v>
      </c>
      <c r="F161" s="116">
        <v>805</v>
      </c>
      <c r="G161" s="116" t="s">
        <v>569</v>
      </c>
      <c r="H161" s="116" t="s">
        <v>835</v>
      </c>
      <c r="I161" s="116" t="s">
        <v>558</v>
      </c>
      <c r="J161" s="116" t="s">
        <v>584</v>
      </c>
      <c r="K161" s="116" t="s">
        <v>558</v>
      </c>
      <c r="L161" s="116" t="s">
        <v>815</v>
      </c>
      <c r="M161" s="122" t="str">
        <f t="shared" si="2"/>
        <v>View on Google Map</v>
      </c>
    </row>
    <row r="162" spans="1:14" x14ac:dyDescent="0.2">
      <c r="A162" s="116">
        <v>443</v>
      </c>
      <c r="B162" s="116" t="s">
        <v>836</v>
      </c>
      <c r="C162" s="116" t="s">
        <v>558</v>
      </c>
      <c r="D162" s="116" t="s">
        <v>558</v>
      </c>
      <c r="E162" s="116" t="s">
        <v>558</v>
      </c>
      <c r="F162" s="116">
        <v>812</v>
      </c>
      <c r="G162" s="116" t="s">
        <v>569</v>
      </c>
      <c r="H162" s="116" t="s">
        <v>837</v>
      </c>
      <c r="I162" s="116" t="s">
        <v>558</v>
      </c>
      <c r="J162" s="116" t="s">
        <v>584</v>
      </c>
      <c r="K162" s="116" t="s">
        <v>558</v>
      </c>
      <c r="L162" s="116" t="s">
        <v>815</v>
      </c>
      <c r="M162" s="122" t="str">
        <f t="shared" si="2"/>
        <v>View on Google Map</v>
      </c>
    </row>
    <row r="163" spans="1:14" x14ac:dyDescent="0.2">
      <c r="A163" s="116">
        <v>28</v>
      </c>
      <c r="B163" s="116" t="s">
        <v>838</v>
      </c>
      <c r="C163" s="116" t="s">
        <v>558</v>
      </c>
      <c r="D163" s="116" t="s">
        <v>558</v>
      </c>
      <c r="E163" s="116" t="s">
        <v>558</v>
      </c>
      <c r="F163" s="116">
        <v>1189</v>
      </c>
      <c r="G163" s="116" t="s">
        <v>583</v>
      </c>
      <c r="H163" s="116" t="s">
        <v>839</v>
      </c>
      <c r="I163" s="116" t="s">
        <v>558</v>
      </c>
      <c r="J163" s="116" t="s">
        <v>584</v>
      </c>
      <c r="K163" s="116" t="s">
        <v>558</v>
      </c>
      <c r="L163" s="116" t="s">
        <v>558</v>
      </c>
      <c r="M163" s="122" t="str">
        <f t="shared" si="2"/>
        <v>View on Google Map</v>
      </c>
    </row>
    <row r="164" spans="1:14" x14ac:dyDescent="0.2">
      <c r="A164" s="116">
        <v>29</v>
      </c>
      <c r="B164" s="116" t="s">
        <v>840</v>
      </c>
      <c r="C164" s="116" t="s">
        <v>558</v>
      </c>
      <c r="D164" s="116" t="s">
        <v>558</v>
      </c>
      <c r="E164" s="116" t="s">
        <v>558</v>
      </c>
      <c r="F164" s="116">
        <v>1372</v>
      </c>
      <c r="G164" s="116" t="s">
        <v>583</v>
      </c>
      <c r="H164" s="116" t="s">
        <v>841</v>
      </c>
      <c r="I164" s="116" t="s">
        <v>558</v>
      </c>
      <c r="J164" s="116" t="s">
        <v>584</v>
      </c>
      <c r="K164" s="116" t="s">
        <v>558</v>
      </c>
      <c r="L164" s="116" t="s">
        <v>558</v>
      </c>
      <c r="M164" s="122" t="str">
        <f t="shared" si="2"/>
        <v>View on Google Map</v>
      </c>
    </row>
    <row r="165" spans="1:14" x14ac:dyDescent="0.2">
      <c r="A165" s="116">
        <v>30</v>
      </c>
      <c r="B165" s="116" t="s">
        <v>842</v>
      </c>
      <c r="C165" s="116" t="s">
        <v>558</v>
      </c>
      <c r="D165" s="116" t="s">
        <v>558</v>
      </c>
      <c r="E165" s="116" t="s">
        <v>558</v>
      </c>
      <c r="F165" s="116">
        <v>1463</v>
      </c>
      <c r="G165" s="116" t="s">
        <v>583</v>
      </c>
      <c r="H165" s="116" t="s">
        <v>843</v>
      </c>
      <c r="I165" s="116" t="s">
        <v>558</v>
      </c>
      <c r="J165" s="116" t="s">
        <v>584</v>
      </c>
      <c r="K165" s="116" t="s">
        <v>558</v>
      </c>
      <c r="L165" s="116" t="s">
        <v>558</v>
      </c>
      <c r="M165" s="122" t="str">
        <f t="shared" si="2"/>
        <v>View on Google Map</v>
      </c>
    </row>
    <row r="166" spans="1:14" x14ac:dyDescent="0.2">
      <c r="A166" s="116">
        <v>142</v>
      </c>
      <c r="B166" s="116" t="s">
        <v>844</v>
      </c>
      <c r="C166" s="116" t="s">
        <v>845</v>
      </c>
      <c r="D166" s="116">
        <v>68.53698</v>
      </c>
      <c r="E166" s="116">
        <v>-149.23740000000001</v>
      </c>
      <c r="F166" s="116">
        <v>883</v>
      </c>
      <c r="G166" s="116" t="s">
        <v>569</v>
      </c>
      <c r="H166" s="116" t="s">
        <v>846</v>
      </c>
      <c r="I166" s="116" t="s">
        <v>847</v>
      </c>
      <c r="J166" s="116" t="s">
        <v>584</v>
      </c>
      <c r="K166" s="116" t="s">
        <v>558</v>
      </c>
      <c r="L166" s="116" t="s">
        <v>585</v>
      </c>
      <c r="M166" s="122" t="str">
        <f t="shared" si="2"/>
        <v>View on Google Map</v>
      </c>
    </row>
    <row r="167" spans="1:14" x14ac:dyDescent="0.2">
      <c r="A167" s="116">
        <v>416</v>
      </c>
      <c r="B167" s="116" t="s">
        <v>848</v>
      </c>
      <c r="C167" s="116" t="s">
        <v>849</v>
      </c>
      <c r="D167" s="116">
        <v>68.496079978500006</v>
      </c>
      <c r="E167" s="116">
        <v>-149.60215567200001</v>
      </c>
      <c r="F167" s="116">
        <v>938</v>
      </c>
      <c r="G167" s="116" t="s">
        <v>569</v>
      </c>
      <c r="H167" s="116" t="s">
        <v>850</v>
      </c>
      <c r="I167" s="116" t="s">
        <v>558</v>
      </c>
      <c r="J167" s="116" t="s">
        <v>851</v>
      </c>
      <c r="K167" s="116" t="s">
        <v>558</v>
      </c>
      <c r="L167" s="116" t="s">
        <v>852</v>
      </c>
      <c r="M167" s="122" t="str">
        <f t="shared" si="2"/>
        <v>View on Google Map</v>
      </c>
      <c r="N167" s="116">
        <f>VALUE(MID(B167,5,3))</f>
        <v>100</v>
      </c>
    </row>
    <row r="168" spans="1:14" x14ac:dyDescent="0.2">
      <c r="A168" s="116">
        <v>417</v>
      </c>
      <c r="B168" s="116" t="s">
        <v>853</v>
      </c>
      <c r="C168" s="116" t="s">
        <v>854</v>
      </c>
      <c r="D168" s="116">
        <v>68.491641939700003</v>
      </c>
      <c r="E168" s="116">
        <v>-149.60743984699999</v>
      </c>
      <c r="F168" s="116">
        <v>937</v>
      </c>
      <c r="G168" s="116" t="s">
        <v>569</v>
      </c>
      <c r="H168" s="116" t="s">
        <v>855</v>
      </c>
      <c r="I168" s="116" t="s">
        <v>558</v>
      </c>
      <c r="J168" s="116" t="s">
        <v>851</v>
      </c>
      <c r="K168" s="116" t="s">
        <v>558</v>
      </c>
      <c r="L168" s="116" t="s">
        <v>852</v>
      </c>
      <c r="M168" s="122" t="str">
        <f t="shared" si="2"/>
        <v>View on Google Map</v>
      </c>
      <c r="N168" s="116">
        <f>VALUE(MID(B168,5,3))</f>
        <v>101</v>
      </c>
    </row>
    <row r="169" spans="1:14" x14ac:dyDescent="0.2">
      <c r="A169" s="116">
        <v>418</v>
      </c>
      <c r="B169" s="116" t="s">
        <v>856</v>
      </c>
      <c r="C169" s="116" t="s">
        <v>857</v>
      </c>
      <c r="D169" s="116">
        <v>68.485971524799993</v>
      </c>
      <c r="E169" s="116">
        <v>-149.611957343</v>
      </c>
      <c r="F169" s="116">
        <v>936</v>
      </c>
      <c r="G169" s="116" t="s">
        <v>569</v>
      </c>
      <c r="H169" s="116" t="s">
        <v>558</v>
      </c>
      <c r="I169" s="116" t="s">
        <v>558</v>
      </c>
      <c r="J169" s="116" t="s">
        <v>851</v>
      </c>
      <c r="K169" s="116" t="s">
        <v>558</v>
      </c>
      <c r="L169" s="116" t="s">
        <v>852</v>
      </c>
      <c r="M169" s="122" t="str">
        <f t="shared" si="2"/>
        <v>View on Google Map</v>
      </c>
      <c r="N169" s="116">
        <f>VALUE(MID(B169,5,3))</f>
        <v>102</v>
      </c>
    </row>
    <row r="170" spans="1:14" x14ac:dyDescent="0.2">
      <c r="A170" s="116">
        <v>419</v>
      </c>
      <c r="B170" s="116" t="s">
        <v>858</v>
      </c>
      <c r="C170" s="116" t="s">
        <v>859</v>
      </c>
      <c r="D170" s="116">
        <v>68.486418246300005</v>
      </c>
      <c r="E170" s="116">
        <v>-149.623539768</v>
      </c>
      <c r="F170" s="116">
        <v>934</v>
      </c>
      <c r="G170" s="116" t="s">
        <v>569</v>
      </c>
      <c r="H170" s="116" t="s">
        <v>860</v>
      </c>
      <c r="I170" s="116" t="s">
        <v>558</v>
      </c>
      <c r="J170" s="116" t="s">
        <v>851</v>
      </c>
      <c r="K170" s="116" t="s">
        <v>558</v>
      </c>
      <c r="L170" s="116" t="s">
        <v>852</v>
      </c>
      <c r="M170" s="122" t="str">
        <f t="shared" si="2"/>
        <v>View on Google Map</v>
      </c>
      <c r="N170" s="116">
        <f>VALUE(MID(B170,5,3))</f>
        <v>103</v>
      </c>
    </row>
    <row r="171" spans="1:14" x14ac:dyDescent="0.2">
      <c r="A171" s="116">
        <v>420</v>
      </c>
      <c r="B171" s="116" t="s">
        <v>861</v>
      </c>
      <c r="C171" s="116" t="s">
        <v>862</v>
      </c>
      <c r="D171" s="116">
        <v>68.480358182399996</v>
      </c>
      <c r="E171" s="116">
        <v>-149.621808276</v>
      </c>
      <c r="F171" s="116" t="s">
        <v>558</v>
      </c>
      <c r="G171" s="116" t="s">
        <v>569</v>
      </c>
      <c r="H171" s="116" t="s">
        <v>861</v>
      </c>
      <c r="I171" s="116" t="s">
        <v>558</v>
      </c>
      <c r="J171" s="116" t="s">
        <v>851</v>
      </c>
      <c r="K171" s="116" t="s">
        <v>558</v>
      </c>
      <c r="L171" s="116" t="s">
        <v>852</v>
      </c>
      <c r="M171" s="122" t="str">
        <f t="shared" si="2"/>
        <v>View on Google Map</v>
      </c>
      <c r="N171" s="116">
        <f t="shared" ref="N171:N198" si="3">VALUE(MID(H171,5,3))</f>
        <v>104</v>
      </c>
    </row>
    <row r="172" spans="1:14" x14ac:dyDescent="0.2">
      <c r="A172" s="116">
        <v>421</v>
      </c>
      <c r="B172" s="116" t="s">
        <v>863</v>
      </c>
      <c r="C172" s="116" t="s">
        <v>864</v>
      </c>
      <c r="D172" s="116">
        <v>68.487163894299997</v>
      </c>
      <c r="E172" s="116">
        <v>-149.57470926400001</v>
      </c>
      <c r="F172" s="116" t="s">
        <v>558</v>
      </c>
      <c r="G172" s="116" t="s">
        <v>569</v>
      </c>
      <c r="H172" s="116" t="s">
        <v>863</v>
      </c>
      <c r="I172" s="116" t="s">
        <v>558</v>
      </c>
      <c r="J172" s="116" t="s">
        <v>851</v>
      </c>
      <c r="K172" s="116" t="s">
        <v>558</v>
      </c>
      <c r="L172" s="116" t="s">
        <v>852</v>
      </c>
      <c r="M172" s="122" t="str">
        <f t="shared" si="2"/>
        <v>View on Google Map</v>
      </c>
      <c r="N172" s="116">
        <f t="shared" si="3"/>
        <v>105</v>
      </c>
    </row>
    <row r="173" spans="1:14" x14ac:dyDescent="0.2">
      <c r="A173" s="116">
        <v>422</v>
      </c>
      <c r="B173" s="116" t="s">
        <v>865</v>
      </c>
      <c r="C173" s="116" t="s">
        <v>866</v>
      </c>
      <c r="D173" s="116">
        <v>68.482007853900001</v>
      </c>
      <c r="E173" s="116">
        <v>-149.57357543099999</v>
      </c>
      <c r="F173" s="116" t="s">
        <v>558</v>
      </c>
      <c r="G173" s="116" t="s">
        <v>569</v>
      </c>
      <c r="H173" s="116" t="s">
        <v>865</v>
      </c>
      <c r="I173" s="116" t="s">
        <v>558</v>
      </c>
      <c r="J173" s="116" t="s">
        <v>851</v>
      </c>
      <c r="K173" s="116" t="s">
        <v>558</v>
      </c>
      <c r="L173" s="116" t="s">
        <v>852</v>
      </c>
      <c r="M173" s="122" t="str">
        <f t="shared" si="2"/>
        <v>View on Google Map</v>
      </c>
      <c r="N173" s="116">
        <f t="shared" si="3"/>
        <v>106</v>
      </c>
    </row>
    <row r="174" spans="1:14" x14ac:dyDescent="0.2">
      <c r="A174" s="116">
        <v>423</v>
      </c>
      <c r="B174" s="116" t="s">
        <v>867</v>
      </c>
      <c r="C174" s="116" t="s">
        <v>868</v>
      </c>
      <c r="D174" s="116">
        <v>68.480117783099999</v>
      </c>
      <c r="E174" s="116">
        <v>-149.553733964</v>
      </c>
      <c r="F174" s="116" t="s">
        <v>558</v>
      </c>
      <c r="G174" s="116" t="s">
        <v>569</v>
      </c>
      <c r="H174" s="116" t="s">
        <v>867</v>
      </c>
      <c r="I174" s="116" t="s">
        <v>558</v>
      </c>
      <c r="J174" s="116" t="s">
        <v>851</v>
      </c>
      <c r="K174" s="116" t="s">
        <v>558</v>
      </c>
      <c r="L174" s="116" t="s">
        <v>852</v>
      </c>
      <c r="M174" s="122" t="str">
        <f t="shared" si="2"/>
        <v>View on Google Map</v>
      </c>
      <c r="N174" s="116">
        <f t="shared" si="3"/>
        <v>107</v>
      </c>
    </row>
    <row r="175" spans="1:14" x14ac:dyDescent="0.2">
      <c r="A175" s="116">
        <v>424</v>
      </c>
      <c r="B175" s="116" t="s">
        <v>869</v>
      </c>
      <c r="C175" s="116" t="s">
        <v>870</v>
      </c>
      <c r="D175" s="116">
        <v>68.553470657600002</v>
      </c>
      <c r="E175" s="116">
        <v>-149.16702515599999</v>
      </c>
      <c r="F175" s="116" t="s">
        <v>558</v>
      </c>
      <c r="G175" s="116" t="s">
        <v>569</v>
      </c>
      <c r="H175" s="116" t="s">
        <v>869</v>
      </c>
      <c r="I175" s="116" t="s">
        <v>558</v>
      </c>
      <c r="J175" s="116" t="s">
        <v>851</v>
      </c>
      <c r="K175" s="116" t="s">
        <v>558</v>
      </c>
      <c r="L175" s="116" t="s">
        <v>852</v>
      </c>
      <c r="M175" s="122" t="str">
        <f t="shared" si="2"/>
        <v>View on Google Map</v>
      </c>
      <c r="N175" s="116">
        <f t="shared" si="3"/>
        <v>108</v>
      </c>
    </row>
    <row r="176" spans="1:14" x14ac:dyDescent="0.2">
      <c r="A176" s="116">
        <v>425</v>
      </c>
      <c r="B176" s="116" t="s">
        <v>871</v>
      </c>
      <c r="C176" s="116" t="s">
        <v>872</v>
      </c>
      <c r="D176" s="116">
        <v>68.557082457700005</v>
      </c>
      <c r="E176" s="116">
        <v>-149.154445686</v>
      </c>
      <c r="F176" s="116" t="s">
        <v>558</v>
      </c>
      <c r="G176" s="116" t="s">
        <v>569</v>
      </c>
      <c r="H176" s="116" t="s">
        <v>871</v>
      </c>
      <c r="I176" s="116" t="s">
        <v>558</v>
      </c>
      <c r="J176" s="116" t="s">
        <v>851</v>
      </c>
      <c r="K176" s="116" t="s">
        <v>558</v>
      </c>
      <c r="L176" s="116" t="s">
        <v>852</v>
      </c>
      <c r="M176" s="122" t="str">
        <f t="shared" si="2"/>
        <v>View on Google Map</v>
      </c>
      <c r="N176" s="116">
        <f t="shared" si="3"/>
        <v>109</v>
      </c>
    </row>
    <row r="177" spans="1:14" x14ac:dyDescent="0.2">
      <c r="A177" s="116">
        <v>426</v>
      </c>
      <c r="B177" s="116" t="s">
        <v>873</v>
      </c>
      <c r="C177" s="116" t="s">
        <v>874</v>
      </c>
      <c r="D177" s="116">
        <v>68.732874005799999</v>
      </c>
      <c r="E177" s="116">
        <v>-149.401461627</v>
      </c>
      <c r="F177" s="116" t="s">
        <v>558</v>
      </c>
      <c r="G177" s="116" t="s">
        <v>569</v>
      </c>
      <c r="H177" s="116" t="s">
        <v>873</v>
      </c>
      <c r="I177" s="116" t="s">
        <v>558</v>
      </c>
      <c r="J177" s="116" t="s">
        <v>851</v>
      </c>
      <c r="K177" s="116" t="s">
        <v>558</v>
      </c>
      <c r="L177" s="116" t="s">
        <v>852</v>
      </c>
      <c r="M177" s="122" t="str">
        <f t="shared" si="2"/>
        <v>View on Google Map</v>
      </c>
      <c r="N177" s="116">
        <f t="shared" si="3"/>
        <v>110</v>
      </c>
    </row>
    <row r="178" spans="1:14" x14ac:dyDescent="0.2">
      <c r="A178" s="116">
        <v>427</v>
      </c>
      <c r="B178" s="116" t="s">
        <v>875</v>
      </c>
      <c r="C178" s="116" t="s">
        <v>876</v>
      </c>
      <c r="D178" s="116">
        <v>68.728437910899999</v>
      </c>
      <c r="E178" s="116">
        <v>-149.39298449200001</v>
      </c>
      <c r="F178" s="116" t="s">
        <v>558</v>
      </c>
      <c r="G178" s="116" t="s">
        <v>569</v>
      </c>
      <c r="H178" s="116" t="s">
        <v>875</v>
      </c>
      <c r="I178" s="116" t="s">
        <v>558</v>
      </c>
      <c r="J178" s="116" t="s">
        <v>851</v>
      </c>
      <c r="K178" s="116" t="s">
        <v>558</v>
      </c>
      <c r="L178" s="116" t="s">
        <v>852</v>
      </c>
      <c r="M178" s="122" t="str">
        <f t="shared" si="2"/>
        <v>View on Google Map</v>
      </c>
      <c r="N178" s="116">
        <f t="shared" si="3"/>
        <v>111</v>
      </c>
    </row>
    <row r="179" spans="1:14" x14ac:dyDescent="0.2">
      <c r="A179" s="116">
        <v>428</v>
      </c>
      <c r="B179" s="116" t="s">
        <v>877</v>
      </c>
      <c r="C179" s="116" t="s">
        <v>878</v>
      </c>
      <c r="D179" s="116">
        <v>68.671908805499996</v>
      </c>
      <c r="E179" s="116">
        <v>-149.24817348299999</v>
      </c>
      <c r="F179" s="116" t="s">
        <v>558</v>
      </c>
      <c r="G179" s="116" t="s">
        <v>569</v>
      </c>
      <c r="H179" s="116" t="s">
        <v>877</v>
      </c>
      <c r="I179" s="116" t="s">
        <v>558</v>
      </c>
      <c r="J179" s="116" t="s">
        <v>851</v>
      </c>
      <c r="K179" s="116" t="s">
        <v>558</v>
      </c>
      <c r="L179" s="116" t="s">
        <v>852</v>
      </c>
      <c r="M179" s="122" t="str">
        <f t="shared" si="2"/>
        <v>View on Google Map</v>
      </c>
      <c r="N179" s="116">
        <f t="shared" si="3"/>
        <v>112</v>
      </c>
    </row>
    <row r="180" spans="1:14" x14ac:dyDescent="0.2">
      <c r="A180" s="116">
        <v>429</v>
      </c>
      <c r="B180" s="116" t="s">
        <v>879</v>
      </c>
      <c r="C180" s="116" t="s">
        <v>880</v>
      </c>
      <c r="D180" s="116">
        <v>68.679427639400004</v>
      </c>
      <c r="E180" s="116">
        <v>-149.23947084900001</v>
      </c>
      <c r="F180" s="116" t="s">
        <v>558</v>
      </c>
      <c r="G180" s="116" t="s">
        <v>569</v>
      </c>
      <c r="H180" s="116" t="s">
        <v>879</v>
      </c>
      <c r="I180" s="116" t="s">
        <v>558</v>
      </c>
      <c r="J180" s="116" t="s">
        <v>851</v>
      </c>
      <c r="K180" s="116" t="s">
        <v>558</v>
      </c>
      <c r="L180" s="116" t="s">
        <v>852</v>
      </c>
      <c r="M180" s="122" t="str">
        <f t="shared" si="2"/>
        <v>View on Google Map</v>
      </c>
      <c r="N180" s="116">
        <f t="shared" si="3"/>
        <v>113</v>
      </c>
    </row>
    <row r="181" spans="1:14" x14ac:dyDescent="0.2">
      <c r="A181" s="116">
        <v>430</v>
      </c>
      <c r="B181" s="116" t="s">
        <v>881</v>
      </c>
      <c r="C181" s="116" t="s">
        <v>882</v>
      </c>
      <c r="D181" s="116">
        <v>68.679424428600001</v>
      </c>
      <c r="E181" s="116">
        <v>-149.22969695099999</v>
      </c>
      <c r="F181" s="116" t="s">
        <v>558</v>
      </c>
      <c r="G181" s="116" t="s">
        <v>569</v>
      </c>
      <c r="H181" s="116" t="s">
        <v>881</v>
      </c>
      <c r="I181" s="116" t="s">
        <v>558</v>
      </c>
      <c r="J181" s="116" t="s">
        <v>851</v>
      </c>
      <c r="K181" s="116" t="s">
        <v>558</v>
      </c>
      <c r="L181" s="116" t="s">
        <v>852</v>
      </c>
      <c r="M181" s="122" t="str">
        <f t="shared" si="2"/>
        <v>View on Google Map</v>
      </c>
      <c r="N181" s="116">
        <f t="shared" si="3"/>
        <v>114</v>
      </c>
    </row>
    <row r="182" spans="1:14" x14ac:dyDescent="0.2">
      <c r="A182" s="116">
        <v>398</v>
      </c>
      <c r="B182" s="116" t="s">
        <v>883</v>
      </c>
      <c r="C182" s="116" t="s">
        <v>884</v>
      </c>
      <c r="D182" s="116">
        <v>68.569791782099998</v>
      </c>
      <c r="E182" s="116">
        <v>-149.43938491</v>
      </c>
      <c r="F182" s="116" t="s">
        <v>558</v>
      </c>
      <c r="G182" s="116" t="s">
        <v>569</v>
      </c>
      <c r="H182" s="116" t="s">
        <v>883</v>
      </c>
      <c r="I182" s="116" t="s">
        <v>558</v>
      </c>
      <c r="J182" s="116" t="s">
        <v>851</v>
      </c>
      <c r="K182" s="116" t="s">
        <v>558</v>
      </c>
      <c r="L182" s="116" t="s">
        <v>852</v>
      </c>
      <c r="M182" s="122" t="str">
        <f t="shared" si="2"/>
        <v>View on Google Map</v>
      </c>
      <c r="N182" s="116">
        <f t="shared" si="3"/>
        <v>82</v>
      </c>
    </row>
    <row r="183" spans="1:14" x14ac:dyDescent="0.2">
      <c r="A183" s="116">
        <v>389</v>
      </c>
      <c r="B183" s="116" t="s">
        <v>885</v>
      </c>
      <c r="C183" s="116" t="s">
        <v>886</v>
      </c>
      <c r="D183" s="116">
        <v>68.568883214500005</v>
      </c>
      <c r="E183" s="116">
        <v>-149.432996798</v>
      </c>
      <c r="F183" s="116" t="s">
        <v>558</v>
      </c>
      <c r="G183" s="116" t="s">
        <v>569</v>
      </c>
      <c r="H183" s="116" t="s">
        <v>885</v>
      </c>
      <c r="I183" s="116" t="s">
        <v>558</v>
      </c>
      <c r="J183" s="116" t="s">
        <v>851</v>
      </c>
      <c r="K183" s="116" t="s">
        <v>558</v>
      </c>
      <c r="L183" s="116" t="s">
        <v>852</v>
      </c>
      <c r="M183" s="122" t="str">
        <f t="shared" si="2"/>
        <v>View on Google Map</v>
      </c>
      <c r="N183" s="116">
        <f t="shared" si="3"/>
        <v>83</v>
      </c>
    </row>
    <row r="184" spans="1:14" x14ac:dyDescent="0.2">
      <c r="A184" s="116">
        <v>390</v>
      </c>
      <c r="B184" s="116" t="s">
        <v>887</v>
      </c>
      <c r="C184" s="116" t="s">
        <v>888</v>
      </c>
      <c r="D184" s="116">
        <v>68.571446755099998</v>
      </c>
      <c r="E184" s="116">
        <v>-149.43614776499999</v>
      </c>
      <c r="F184" s="116" t="s">
        <v>558</v>
      </c>
      <c r="G184" s="116" t="s">
        <v>569</v>
      </c>
      <c r="H184" s="116" t="s">
        <v>887</v>
      </c>
      <c r="I184" s="116" t="s">
        <v>558</v>
      </c>
      <c r="J184" s="116" t="s">
        <v>851</v>
      </c>
      <c r="K184" s="116" t="s">
        <v>558</v>
      </c>
      <c r="L184" s="116" t="s">
        <v>852</v>
      </c>
      <c r="M184" s="122" t="str">
        <f t="shared" si="2"/>
        <v>View on Google Map</v>
      </c>
      <c r="N184" s="116">
        <f t="shared" si="3"/>
        <v>84</v>
      </c>
    </row>
    <row r="185" spans="1:14" x14ac:dyDescent="0.2">
      <c r="A185" s="116">
        <v>391</v>
      </c>
      <c r="B185" s="116" t="s">
        <v>889</v>
      </c>
      <c r="C185" s="116" t="s">
        <v>890</v>
      </c>
      <c r="D185" s="116">
        <v>68.600419015400007</v>
      </c>
      <c r="E185" s="116">
        <v>-149.438677388</v>
      </c>
      <c r="F185" s="116" t="s">
        <v>558</v>
      </c>
      <c r="G185" s="116" t="s">
        <v>569</v>
      </c>
      <c r="H185" s="116" t="s">
        <v>889</v>
      </c>
      <c r="I185" s="116" t="s">
        <v>558</v>
      </c>
      <c r="J185" s="116" t="s">
        <v>851</v>
      </c>
      <c r="K185" s="116" t="s">
        <v>558</v>
      </c>
      <c r="L185" s="116" t="s">
        <v>852</v>
      </c>
      <c r="M185" s="122" t="str">
        <f t="shared" si="2"/>
        <v>View on Google Map</v>
      </c>
      <c r="N185" s="116">
        <f t="shared" si="3"/>
        <v>85</v>
      </c>
    </row>
    <row r="186" spans="1:14" x14ac:dyDescent="0.2">
      <c r="A186" s="116">
        <v>392</v>
      </c>
      <c r="B186" s="116" t="s">
        <v>891</v>
      </c>
      <c r="C186" s="116" t="s">
        <v>892</v>
      </c>
      <c r="D186" s="116">
        <v>68.632424610200005</v>
      </c>
      <c r="E186" s="116">
        <v>-149.41874062799999</v>
      </c>
      <c r="F186" s="116" t="s">
        <v>558</v>
      </c>
      <c r="G186" s="116" t="s">
        <v>569</v>
      </c>
      <c r="H186" s="116" t="s">
        <v>891</v>
      </c>
      <c r="I186" s="116" t="s">
        <v>558</v>
      </c>
      <c r="J186" s="116" t="s">
        <v>851</v>
      </c>
      <c r="K186" s="116" t="s">
        <v>558</v>
      </c>
      <c r="L186" s="116" t="s">
        <v>852</v>
      </c>
      <c r="M186" s="122" t="str">
        <f t="shared" si="2"/>
        <v>View on Google Map</v>
      </c>
      <c r="N186" s="116">
        <f t="shared" si="3"/>
        <v>86</v>
      </c>
    </row>
    <row r="187" spans="1:14" x14ac:dyDescent="0.2">
      <c r="A187" s="116">
        <v>393</v>
      </c>
      <c r="B187" s="116" t="s">
        <v>893</v>
      </c>
      <c r="C187" s="116" t="s">
        <v>894</v>
      </c>
      <c r="D187" s="116">
        <v>68.505704965899994</v>
      </c>
      <c r="E187" s="116">
        <v>-149.516276081</v>
      </c>
      <c r="F187" s="116" t="s">
        <v>558</v>
      </c>
      <c r="G187" s="116" t="s">
        <v>569</v>
      </c>
      <c r="H187" s="116" t="s">
        <v>893</v>
      </c>
      <c r="I187" s="116" t="s">
        <v>558</v>
      </c>
      <c r="J187" s="116" t="s">
        <v>851</v>
      </c>
      <c r="K187" s="116" t="s">
        <v>558</v>
      </c>
      <c r="L187" s="116" t="s">
        <v>852</v>
      </c>
      <c r="M187" s="122" t="str">
        <f t="shared" si="2"/>
        <v>View on Google Map</v>
      </c>
      <c r="N187" s="116">
        <f t="shared" si="3"/>
        <v>87</v>
      </c>
    </row>
    <row r="188" spans="1:14" x14ac:dyDescent="0.2">
      <c r="A188" s="116">
        <v>394</v>
      </c>
      <c r="B188" s="116" t="s">
        <v>895</v>
      </c>
      <c r="C188" s="116" t="s">
        <v>896</v>
      </c>
      <c r="D188" s="116">
        <v>68.509234808599999</v>
      </c>
      <c r="E188" s="116">
        <v>-149.58917678500001</v>
      </c>
      <c r="F188" s="116" t="s">
        <v>558</v>
      </c>
      <c r="G188" s="116" t="s">
        <v>569</v>
      </c>
      <c r="H188" s="116" t="s">
        <v>895</v>
      </c>
      <c r="I188" s="116" t="s">
        <v>558</v>
      </c>
      <c r="J188" s="116" t="s">
        <v>851</v>
      </c>
      <c r="K188" s="116" t="s">
        <v>558</v>
      </c>
      <c r="L188" s="116" t="s">
        <v>852</v>
      </c>
      <c r="M188" s="122" t="str">
        <f t="shared" si="2"/>
        <v>View on Google Map</v>
      </c>
      <c r="N188" s="116">
        <f t="shared" si="3"/>
        <v>88</v>
      </c>
    </row>
    <row r="189" spans="1:14" x14ac:dyDescent="0.2">
      <c r="A189" s="116">
        <v>395</v>
      </c>
      <c r="B189" s="116" t="s">
        <v>897</v>
      </c>
      <c r="C189" s="116" t="s">
        <v>898</v>
      </c>
      <c r="D189" s="116">
        <v>68.525650531300002</v>
      </c>
      <c r="E189" s="116">
        <v>-149.54161982299999</v>
      </c>
      <c r="F189" s="116" t="s">
        <v>558</v>
      </c>
      <c r="G189" s="116" t="s">
        <v>569</v>
      </c>
      <c r="H189" s="116" t="s">
        <v>897</v>
      </c>
      <c r="I189" s="116" t="s">
        <v>558</v>
      </c>
      <c r="J189" s="116" t="s">
        <v>851</v>
      </c>
      <c r="K189" s="116" t="s">
        <v>558</v>
      </c>
      <c r="L189" s="116" t="s">
        <v>852</v>
      </c>
      <c r="M189" s="122" t="str">
        <f t="shared" si="2"/>
        <v>View on Google Map</v>
      </c>
      <c r="N189" s="116">
        <f t="shared" si="3"/>
        <v>89</v>
      </c>
    </row>
    <row r="190" spans="1:14" x14ac:dyDescent="0.2">
      <c r="A190" s="116">
        <v>396</v>
      </c>
      <c r="B190" s="116" t="s">
        <v>899</v>
      </c>
      <c r="C190" s="116" t="s">
        <v>900</v>
      </c>
      <c r="D190" s="116">
        <v>68.531020060399996</v>
      </c>
      <c r="E190" s="116">
        <v>-149.54062336999999</v>
      </c>
      <c r="F190" s="116" t="s">
        <v>558</v>
      </c>
      <c r="G190" s="116" t="s">
        <v>569</v>
      </c>
      <c r="H190" s="116" t="s">
        <v>899</v>
      </c>
      <c r="I190" s="116" t="s">
        <v>558</v>
      </c>
      <c r="J190" s="116" t="s">
        <v>851</v>
      </c>
      <c r="K190" s="116" t="s">
        <v>558</v>
      </c>
      <c r="L190" s="116" t="s">
        <v>852</v>
      </c>
      <c r="M190" s="122" t="str">
        <f t="shared" si="2"/>
        <v>View on Google Map</v>
      </c>
      <c r="N190" s="116">
        <f t="shared" si="3"/>
        <v>90</v>
      </c>
    </row>
    <row r="191" spans="1:14" x14ac:dyDescent="0.2">
      <c r="A191" s="116">
        <v>397</v>
      </c>
      <c r="B191" s="116" t="s">
        <v>901</v>
      </c>
      <c r="C191" s="116" t="s">
        <v>902</v>
      </c>
      <c r="D191" s="116">
        <v>68.623892844400004</v>
      </c>
      <c r="E191" s="116">
        <v>-149.46955988600001</v>
      </c>
      <c r="F191" s="116" t="s">
        <v>558</v>
      </c>
      <c r="G191" s="116" t="s">
        <v>569</v>
      </c>
      <c r="H191" s="116" t="s">
        <v>901</v>
      </c>
      <c r="I191" s="116" t="s">
        <v>558</v>
      </c>
      <c r="J191" s="116" t="s">
        <v>851</v>
      </c>
      <c r="K191" s="116" t="s">
        <v>558</v>
      </c>
      <c r="L191" s="116" t="s">
        <v>852</v>
      </c>
      <c r="M191" s="122" t="str">
        <f t="shared" si="2"/>
        <v>View on Google Map</v>
      </c>
      <c r="N191" s="116">
        <f t="shared" si="3"/>
        <v>91</v>
      </c>
    </row>
    <row r="192" spans="1:14" x14ac:dyDescent="0.2">
      <c r="A192" s="116">
        <v>408</v>
      </c>
      <c r="B192" s="116" t="s">
        <v>903</v>
      </c>
      <c r="C192" s="116" t="s">
        <v>904</v>
      </c>
      <c r="D192" s="116">
        <v>68.606945965400001</v>
      </c>
      <c r="E192" s="116">
        <v>-149.195806014</v>
      </c>
      <c r="F192" s="116" t="s">
        <v>558</v>
      </c>
      <c r="G192" s="116" t="s">
        <v>569</v>
      </c>
      <c r="H192" s="116" t="s">
        <v>903</v>
      </c>
      <c r="I192" s="116" t="s">
        <v>558</v>
      </c>
      <c r="J192" s="116" t="s">
        <v>851</v>
      </c>
      <c r="K192" s="116" t="s">
        <v>558</v>
      </c>
      <c r="L192" s="116" t="s">
        <v>852</v>
      </c>
      <c r="M192" s="122" t="str">
        <f t="shared" si="2"/>
        <v>View on Google Map</v>
      </c>
      <c r="N192" s="116">
        <f t="shared" si="3"/>
        <v>92</v>
      </c>
    </row>
    <row r="193" spans="1:14" x14ac:dyDescent="0.2">
      <c r="A193" s="116">
        <v>409</v>
      </c>
      <c r="B193" s="116" t="s">
        <v>905</v>
      </c>
      <c r="C193" s="116" t="s">
        <v>906</v>
      </c>
      <c r="D193" s="116">
        <v>68.613688053999994</v>
      </c>
      <c r="E193" s="116">
        <v>-149.20287565500001</v>
      </c>
      <c r="F193" s="116" t="s">
        <v>558</v>
      </c>
      <c r="G193" s="116" t="s">
        <v>569</v>
      </c>
      <c r="H193" s="116" t="s">
        <v>905</v>
      </c>
      <c r="I193" s="116" t="s">
        <v>558</v>
      </c>
      <c r="J193" s="116" t="s">
        <v>851</v>
      </c>
      <c r="K193" s="116" t="s">
        <v>558</v>
      </c>
      <c r="L193" s="116" t="s">
        <v>852</v>
      </c>
      <c r="M193" s="122" t="str">
        <f t="shared" si="2"/>
        <v>View on Google Map</v>
      </c>
      <c r="N193" s="116">
        <f t="shared" si="3"/>
        <v>93</v>
      </c>
    </row>
    <row r="194" spans="1:14" x14ac:dyDescent="0.2">
      <c r="A194" s="116">
        <v>410</v>
      </c>
      <c r="B194" s="116" t="s">
        <v>907</v>
      </c>
      <c r="C194" s="116" t="s">
        <v>908</v>
      </c>
      <c r="D194" s="116">
        <v>68.617322837200007</v>
      </c>
      <c r="E194" s="116">
        <v>-149.21640989900001</v>
      </c>
      <c r="F194" s="116" t="s">
        <v>558</v>
      </c>
      <c r="G194" s="116" t="s">
        <v>569</v>
      </c>
      <c r="H194" s="116" t="s">
        <v>907</v>
      </c>
      <c r="I194" s="116" t="s">
        <v>558</v>
      </c>
      <c r="J194" s="116" t="s">
        <v>851</v>
      </c>
      <c r="K194" s="116" t="s">
        <v>558</v>
      </c>
      <c r="L194" s="116" t="s">
        <v>852</v>
      </c>
      <c r="M194" s="122" t="str">
        <f t="shared" si="2"/>
        <v>View on Google Map</v>
      </c>
      <c r="N194" s="116">
        <f t="shared" si="3"/>
        <v>94</v>
      </c>
    </row>
    <row r="195" spans="1:14" x14ac:dyDescent="0.2">
      <c r="A195" s="116">
        <v>411</v>
      </c>
      <c r="B195" s="116" t="s">
        <v>909</v>
      </c>
      <c r="C195" s="116" t="s">
        <v>910</v>
      </c>
      <c r="D195" s="116">
        <v>68.613551663999999</v>
      </c>
      <c r="E195" s="116">
        <v>-149.21844056</v>
      </c>
      <c r="F195" s="116" t="s">
        <v>558</v>
      </c>
      <c r="G195" s="116" t="s">
        <v>569</v>
      </c>
      <c r="H195" s="116" t="s">
        <v>909</v>
      </c>
      <c r="I195" s="116" t="s">
        <v>558</v>
      </c>
      <c r="J195" s="116" t="s">
        <v>851</v>
      </c>
      <c r="K195" s="116" t="s">
        <v>558</v>
      </c>
      <c r="L195" s="116" t="s">
        <v>852</v>
      </c>
      <c r="M195" s="122" t="str">
        <f t="shared" ref="M195:M258" si="4">HYPERLINK("http://maps.google.com/maps?q="&amp;D195&amp;","&amp;E195,"View on Google Map")</f>
        <v>View on Google Map</v>
      </c>
      <c r="N195" s="116">
        <f t="shared" si="3"/>
        <v>95</v>
      </c>
    </row>
    <row r="196" spans="1:14" x14ac:dyDescent="0.2">
      <c r="A196" s="116">
        <v>412</v>
      </c>
      <c r="B196" s="116" t="s">
        <v>911</v>
      </c>
      <c r="C196" s="116" t="s">
        <v>912</v>
      </c>
      <c r="D196" s="116">
        <v>68.609572079800003</v>
      </c>
      <c r="E196" s="116">
        <v>-149.20865205600001</v>
      </c>
      <c r="F196" s="116" t="s">
        <v>558</v>
      </c>
      <c r="G196" s="116" t="s">
        <v>569</v>
      </c>
      <c r="H196" s="116" t="s">
        <v>911</v>
      </c>
      <c r="I196" s="116" t="s">
        <v>558</v>
      </c>
      <c r="J196" s="116" t="s">
        <v>851</v>
      </c>
      <c r="K196" s="116" t="s">
        <v>558</v>
      </c>
      <c r="L196" s="116" t="s">
        <v>852</v>
      </c>
      <c r="M196" s="122" t="str">
        <f t="shared" si="4"/>
        <v>View on Google Map</v>
      </c>
      <c r="N196" s="116">
        <f t="shared" si="3"/>
        <v>96</v>
      </c>
    </row>
    <row r="197" spans="1:14" x14ac:dyDescent="0.2">
      <c r="A197" s="116">
        <v>413</v>
      </c>
      <c r="B197" s="116" t="s">
        <v>913</v>
      </c>
      <c r="C197" s="116" t="s">
        <v>914</v>
      </c>
      <c r="D197" s="116">
        <v>68.607097540200002</v>
      </c>
      <c r="E197" s="116">
        <v>-149.21482030499999</v>
      </c>
      <c r="F197" s="116" t="s">
        <v>558</v>
      </c>
      <c r="G197" s="116" t="s">
        <v>569</v>
      </c>
      <c r="H197" s="116" t="s">
        <v>913</v>
      </c>
      <c r="I197" s="116" t="s">
        <v>558</v>
      </c>
      <c r="J197" s="116" t="s">
        <v>851</v>
      </c>
      <c r="K197" s="116" t="s">
        <v>558</v>
      </c>
      <c r="L197" s="116" t="s">
        <v>852</v>
      </c>
      <c r="M197" s="122" t="str">
        <f t="shared" si="4"/>
        <v>View on Google Map</v>
      </c>
      <c r="N197" s="116">
        <f t="shared" si="3"/>
        <v>97</v>
      </c>
    </row>
    <row r="198" spans="1:14" x14ac:dyDescent="0.2">
      <c r="A198" s="116">
        <v>414</v>
      </c>
      <c r="B198" s="116" t="s">
        <v>915</v>
      </c>
      <c r="C198" s="116" t="s">
        <v>916</v>
      </c>
      <c r="D198" s="116">
        <v>68.605198711400007</v>
      </c>
      <c r="E198" s="116">
        <v>-149.27215046800001</v>
      </c>
      <c r="F198" s="116" t="s">
        <v>558</v>
      </c>
      <c r="G198" s="116" t="s">
        <v>569</v>
      </c>
      <c r="H198" s="116" t="s">
        <v>915</v>
      </c>
      <c r="I198" s="116" t="s">
        <v>558</v>
      </c>
      <c r="J198" s="116" t="s">
        <v>851</v>
      </c>
      <c r="K198" s="116" t="s">
        <v>558</v>
      </c>
      <c r="L198" s="116" t="s">
        <v>852</v>
      </c>
      <c r="M198" s="122" t="str">
        <f t="shared" si="4"/>
        <v>View on Google Map</v>
      </c>
      <c r="N198" s="116">
        <f t="shared" si="3"/>
        <v>98</v>
      </c>
    </row>
    <row r="199" spans="1:14" x14ac:dyDescent="0.2">
      <c r="A199" s="116">
        <v>415</v>
      </c>
      <c r="B199" s="116" t="s">
        <v>917</v>
      </c>
      <c r="C199" s="116" t="s">
        <v>918</v>
      </c>
      <c r="D199" s="116">
        <v>68.498375922400001</v>
      </c>
      <c r="E199" s="116">
        <v>-149.59842284699999</v>
      </c>
      <c r="F199" s="116">
        <v>947</v>
      </c>
      <c r="G199" s="116" t="s">
        <v>569</v>
      </c>
      <c r="H199" s="116" t="s">
        <v>919</v>
      </c>
      <c r="I199" s="116" t="s">
        <v>558</v>
      </c>
      <c r="J199" s="116" t="s">
        <v>851</v>
      </c>
      <c r="K199" s="116" t="s">
        <v>558</v>
      </c>
      <c r="L199" s="116" t="s">
        <v>852</v>
      </c>
      <c r="M199" s="122" t="str">
        <f t="shared" si="4"/>
        <v>View on Google Map</v>
      </c>
      <c r="N199" s="116">
        <f>VALUE(MID(B199,5,3))</f>
        <v>99</v>
      </c>
    </row>
    <row r="200" spans="1:14" x14ac:dyDescent="0.2">
      <c r="A200" s="116">
        <v>402</v>
      </c>
      <c r="B200" s="116" t="s">
        <v>920</v>
      </c>
      <c r="C200" s="116" t="s">
        <v>558</v>
      </c>
      <c r="D200" s="116" t="s">
        <v>558</v>
      </c>
      <c r="E200" s="116" t="s">
        <v>558</v>
      </c>
      <c r="F200" s="116" t="s">
        <v>558</v>
      </c>
      <c r="G200" s="116" t="s">
        <v>569</v>
      </c>
      <c r="H200" s="116" t="s">
        <v>558</v>
      </c>
      <c r="I200" s="116" t="s">
        <v>558</v>
      </c>
      <c r="J200" s="116" t="s">
        <v>584</v>
      </c>
      <c r="K200" s="116" t="s">
        <v>558</v>
      </c>
      <c r="L200" s="116" t="s">
        <v>738</v>
      </c>
      <c r="M200" s="122" t="str">
        <f t="shared" si="4"/>
        <v>View on Google Map</v>
      </c>
    </row>
    <row r="201" spans="1:14" x14ac:dyDescent="0.2">
      <c r="A201" s="116">
        <v>8</v>
      </c>
      <c r="B201" s="116" t="s">
        <v>921</v>
      </c>
      <c r="C201" s="116" t="s">
        <v>582</v>
      </c>
      <c r="D201" s="116">
        <v>69.150000000000006</v>
      </c>
      <c r="E201" s="116">
        <v>-148.83333333333334</v>
      </c>
      <c r="F201" s="116">
        <v>290</v>
      </c>
      <c r="G201" s="116" t="s">
        <v>583</v>
      </c>
      <c r="H201" s="116" t="s">
        <v>558</v>
      </c>
      <c r="I201" s="116" t="s">
        <v>558</v>
      </c>
      <c r="J201" s="116" t="s">
        <v>584</v>
      </c>
      <c r="K201" s="116" t="s">
        <v>558</v>
      </c>
      <c r="L201" s="116" t="s">
        <v>585</v>
      </c>
      <c r="M201" s="122" t="str">
        <f t="shared" si="4"/>
        <v>View on Google Map</v>
      </c>
    </row>
    <row r="202" spans="1:14" x14ac:dyDescent="0.2">
      <c r="A202" s="116">
        <v>219</v>
      </c>
      <c r="B202" s="116" t="s">
        <v>922</v>
      </c>
      <c r="C202" s="116" t="s">
        <v>558</v>
      </c>
      <c r="D202" s="116">
        <v>69.8</v>
      </c>
      <c r="E202" s="116">
        <v>-151.83333333333334</v>
      </c>
      <c r="F202" s="116">
        <v>60.365853658536601</v>
      </c>
      <c r="G202" s="116" t="s">
        <v>569</v>
      </c>
      <c r="H202" s="116" t="s">
        <v>923</v>
      </c>
      <c r="I202" s="116" t="s">
        <v>558</v>
      </c>
      <c r="J202" s="116" t="s">
        <v>584</v>
      </c>
      <c r="K202" s="116" t="s">
        <v>558</v>
      </c>
      <c r="L202" s="116" t="s">
        <v>924</v>
      </c>
      <c r="M202" s="122" t="str">
        <f t="shared" si="4"/>
        <v>View on Google Map</v>
      </c>
    </row>
    <row r="203" spans="1:14" x14ac:dyDescent="0.2">
      <c r="A203" s="116">
        <v>220</v>
      </c>
      <c r="B203" s="116" t="s">
        <v>925</v>
      </c>
      <c r="C203" s="116" t="s">
        <v>558</v>
      </c>
      <c r="D203" s="116">
        <v>69.75</v>
      </c>
      <c r="E203" s="116">
        <v>-151.5</v>
      </c>
      <c r="F203" s="116">
        <v>60.365853658536587</v>
      </c>
      <c r="G203" s="116" t="s">
        <v>569</v>
      </c>
      <c r="H203" s="116" t="s">
        <v>926</v>
      </c>
      <c r="I203" s="116" t="s">
        <v>558</v>
      </c>
      <c r="J203" s="116" t="s">
        <v>584</v>
      </c>
      <c r="K203" s="116" t="s">
        <v>558</v>
      </c>
      <c r="L203" s="116" t="s">
        <v>924</v>
      </c>
      <c r="M203" s="122" t="str">
        <f t="shared" si="4"/>
        <v>View on Google Map</v>
      </c>
    </row>
    <row r="204" spans="1:14" x14ac:dyDescent="0.2">
      <c r="A204" s="116">
        <v>221</v>
      </c>
      <c r="B204" s="116" t="s">
        <v>927</v>
      </c>
      <c r="C204" s="116" t="s">
        <v>558</v>
      </c>
      <c r="D204" s="116">
        <v>69.75</v>
      </c>
      <c r="E204" s="116">
        <v>-151.5</v>
      </c>
      <c r="F204" s="116">
        <v>30.487804878048781</v>
      </c>
      <c r="G204" s="116" t="s">
        <v>569</v>
      </c>
      <c r="H204" s="116" t="s">
        <v>928</v>
      </c>
      <c r="I204" s="116" t="s">
        <v>558</v>
      </c>
      <c r="J204" s="116" t="s">
        <v>584</v>
      </c>
      <c r="K204" s="116" t="s">
        <v>558</v>
      </c>
      <c r="L204" s="116" t="s">
        <v>924</v>
      </c>
      <c r="M204" s="122" t="str">
        <f t="shared" si="4"/>
        <v>View on Google Map</v>
      </c>
    </row>
    <row r="205" spans="1:14" x14ac:dyDescent="0.2">
      <c r="A205" s="116">
        <v>222</v>
      </c>
      <c r="B205" s="116" t="s">
        <v>929</v>
      </c>
      <c r="C205" s="116" t="s">
        <v>558</v>
      </c>
      <c r="D205" s="116">
        <v>69.7</v>
      </c>
      <c r="E205" s="116">
        <v>-151.16666666666666</v>
      </c>
      <c r="F205" s="116">
        <v>42.682926829268297</v>
      </c>
      <c r="G205" s="116" t="s">
        <v>569</v>
      </c>
      <c r="H205" s="116" t="s">
        <v>930</v>
      </c>
      <c r="I205" s="116" t="s">
        <v>558</v>
      </c>
      <c r="J205" s="116" t="s">
        <v>584</v>
      </c>
      <c r="K205" s="116" t="s">
        <v>558</v>
      </c>
      <c r="L205" s="116" t="s">
        <v>924</v>
      </c>
      <c r="M205" s="122" t="str">
        <f t="shared" si="4"/>
        <v>View on Google Map</v>
      </c>
    </row>
    <row r="206" spans="1:14" x14ac:dyDescent="0.2">
      <c r="A206" s="116">
        <v>223</v>
      </c>
      <c r="B206" s="116" t="s">
        <v>931</v>
      </c>
      <c r="C206" s="116" t="s">
        <v>558</v>
      </c>
      <c r="D206" s="116">
        <v>69.7</v>
      </c>
      <c r="E206" s="116">
        <v>-151.16666666666666</v>
      </c>
      <c r="F206" s="116">
        <v>42.682926829268297</v>
      </c>
      <c r="G206" s="116" t="s">
        <v>569</v>
      </c>
      <c r="H206" s="116" t="s">
        <v>932</v>
      </c>
      <c r="I206" s="116" t="s">
        <v>558</v>
      </c>
      <c r="J206" s="116" t="s">
        <v>584</v>
      </c>
      <c r="K206" s="116" t="s">
        <v>558</v>
      </c>
      <c r="L206" s="116" t="s">
        <v>924</v>
      </c>
      <c r="M206" s="122" t="str">
        <f t="shared" si="4"/>
        <v>View on Google Map</v>
      </c>
    </row>
    <row r="207" spans="1:14" x14ac:dyDescent="0.2">
      <c r="A207" s="116">
        <v>224</v>
      </c>
      <c r="B207" s="116" t="s">
        <v>933</v>
      </c>
      <c r="C207" s="116" t="s">
        <v>558</v>
      </c>
      <c r="D207" s="116">
        <v>69.516666666666666</v>
      </c>
      <c r="E207" s="116">
        <v>-150.86666666666667</v>
      </c>
      <c r="F207" s="116">
        <v>60.975609756097562</v>
      </c>
      <c r="G207" s="116" t="s">
        <v>569</v>
      </c>
      <c r="H207" s="116" t="s">
        <v>934</v>
      </c>
      <c r="I207" s="116" t="s">
        <v>558</v>
      </c>
      <c r="J207" s="116" t="s">
        <v>584</v>
      </c>
      <c r="K207" s="116" t="s">
        <v>558</v>
      </c>
      <c r="L207" s="116" t="s">
        <v>924</v>
      </c>
      <c r="M207" s="122" t="str">
        <f t="shared" si="4"/>
        <v>View on Google Map</v>
      </c>
    </row>
    <row r="208" spans="1:14" x14ac:dyDescent="0.2">
      <c r="A208" s="116">
        <v>225</v>
      </c>
      <c r="B208" s="116" t="s">
        <v>935</v>
      </c>
      <c r="C208" s="116" t="s">
        <v>558</v>
      </c>
      <c r="D208" s="116">
        <v>69.516666666666666</v>
      </c>
      <c r="E208" s="116">
        <v>-150.86666666666667</v>
      </c>
      <c r="F208" s="116">
        <v>60.975609756097562</v>
      </c>
      <c r="G208" s="116" t="s">
        <v>569</v>
      </c>
      <c r="H208" s="116" t="s">
        <v>936</v>
      </c>
      <c r="I208" s="116" t="s">
        <v>558</v>
      </c>
      <c r="J208" s="116" t="s">
        <v>584</v>
      </c>
      <c r="K208" s="116" t="s">
        <v>558</v>
      </c>
      <c r="L208" s="116" t="s">
        <v>924</v>
      </c>
      <c r="M208" s="122" t="str">
        <f t="shared" si="4"/>
        <v>View on Google Map</v>
      </c>
    </row>
    <row r="209" spans="1:13" x14ac:dyDescent="0.2">
      <c r="A209" s="116">
        <v>226</v>
      </c>
      <c r="B209" s="116" t="s">
        <v>937</v>
      </c>
      <c r="C209" s="116" t="s">
        <v>558</v>
      </c>
      <c r="D209" s="116">
        <v>69.25</v>
      </c>
      <c r="E209" s="116">
        <v>-150.43333333333334</v>
      </c>
      <c r="F209" s="116">
        <v>182.92682926829269</v>
      </c>
      <c r="G209" s="116" t="s">
        <v>569</v>
      </c>
      <c r="H209" s="116" t="s">
        <v>938</v>
      </c>
      <c r="I209" s="116" t="s">
        <v>558</v>
      </c>
      <c r="J209" s="116" t="s">
        <v>584</v>
      </c>
      <c r="K209" s="116" t="s">
        <v>558</v>
      </c>
      <c r="L209" s="116" t="s">
        <v>924</v>
      </c>
      <c r="M209" s="122" t="str">
        <f t="shared" si="4"/>
        <v>View on Google Map</v>
      </c>
    </row>
    <row r="210" spans="1:13" x14ac:dyDescent="0.2">
      <c r="A210" s="116">
        <v>227</v>
      </c>
      <c r="B210" s="116" t="s">
        <v>939</v>
      </c>
      <c r="C210" s="116" t="s">
        <v>558</v>
      </c>
      <c r="D210" s="116">
        <v>69.25</v>
      </c>
      <c r="E210" s="116">
        <v>-150.43333333333334</v>
      </c>
      <c r="F210" s="116">
        <v>182.92682926829269</v>
      </c>
      <c r="G210" s="116" t="s">
        <v>569</v>
      </c>
      <c r="H210" s="116" t="s">
        <v>940</v>
      </c>
      <c r="I210" s="116" t="s">
        <v>558</v>
      </c>
      <c r="J210" s="116" t="s">
        <v>584</v>
      </c>
      <c r="K210" s="116" t="s">
        <v>558</v>
      </c>
      <c r="L210" s="116" t="s">
        <v>924</v>
      </c>
      <c r="M210" s="122" t="str">
        <f t="shared" si="4"/>
        <v>View on Google Map</v>
      </c>
    </row>
    <row r="211" spans="1:13" x14ac:dyDescent="0.2">
      <c r="A211" s="116">
        <v>228</v>
      </c>
      <c r="B211" s="116" t="s">
        <v>941</v>
      </c>
      <c r="C211" s="116" t="s">
        <v>558</v>
      </c>
      <c r="D211" s="116">
        <v>69.25</v>
      </c>
      <c r="E211" s="116">
        <v>-151.16666666666666</v>
      </c>
      <c r="F211" s="116">
        <v>182.92682926829269</v>
      </c>
      <c r="G211" s="116" t="s">
        <v>569</v>
      </c>
      <c r="H211" s="116" t="s">
        <v>942</v>
      </c>
      <c r="I211" s="116" t="s">
        <v>558</v>
      </c>
      <c r="J211" s="116" t="s">
        <v>584</v>
      </c>
      <c r="K211" s="116" t="s">
        <v>558</v>
      </c>
      <c r="L211" s="116" t="s">
        <v>924</v>
      </c>
      <c r="M211" s="122" t="str">
        <f t="shared" si="4"/>
        <v>View on Google Map</v>
      </c>
    </row>
    <row r="212" spans="1:13" x14ac:dyDescent="0.2">
      <c r="A212" s="116">
        <v>229</v>
      </c>
      <c r="B212" s="116" t="s">
        <v>943</v>
      </c>
      <c r="C212" s="116" t="s">
        <v>558</v>
      </c>
      <c r="D212" s="116">
        <v>69.233333333333334</v>
      </c>
      <c r="E212" s="116">
        <v>-151.63333333333333</v>
      </c>
      <c r="F212" s="116">
        <v>178.35365853658539</v>
      </c>
      <c r="G212" s="116" t="s">
        <v>569</v>
      </c>
      <c r="H212" s="116" t="s">
        <v>944</v>
      </c>
      <c r="I212" s="116" t="s">
        <v>558</v>
      </c>
      <c r="J212" s="116" t="s">
        <v>584</v>
      </c>
      <c r="K212" s="116" t="s">
        <v>558</v>
      </c>
      <c r="L212" s="116" t="s">
        <v>924</v>
      </c>
      <c r="M212" s="122" t="str">
        <f t="shared" si="4"/>
        <v>View on Google Map</v>
      </c>
    </row>
    <row r="213" spans="1:13" x14ac:dyDescent="0.2">
      <c r="A213" s="116">
        <v>230</v>
      </c>
      <c r="B213" s="116" t="s">
        <v>945</v>
      </c>
      <c r="C213" s="116" t="s">
        <v>558</v>
      </c>
      <c r="D213" s="116">
        <v>68.900000000000006</v>
      </c>
      <c r="E213" s="116">
        <v>-151.28333333333333</v>
      </c>
      <c r="F213" s="116">
        <v>335.36585365853659</v>
      </c>
      <c r="G213" s="116" t="s">
        <v>569</v>
      </c>
      <c r="H213" s="116" t="s">
        <v>946</v>
      </c>
      <c r="I213" s="116" t="s">
        <v>558</v>
      </c>
      <c r="J213" s="116" t="s">
        <v>584</v>
      </c>
      <c r="K213" s="116" t="s">
        <v>558</v>
      </c>
      <c r="L213" s="116" t="s">
        <v>924</v>
      </c>
      <c r="M213" s="122" t="str">
        <f t="shared" si="4"/>
        <v>View on Google Map</v>
      </c>
    </row>
    <row r="214" spans="1:13" x14ac:dyDescent="0.2">
      <c r="A214" s="116">
        <v>231</v>
      </c>
      <c r="B214" s="116" t="s">
        <v>947</v>
      </c>
      <c r="C214" s="116" t="s">
        <v>558</v>
      </c>
      <c r="D214" s="116">
        <v>68.8</v>
      </c>
      <c r="E214" s="116">
        <v>-150.80000000000001</v>
      </c>
      <c r="F214" s="116">
        <v>411.58536585365857</v>
      </c>
      <c r="G214" s="116" t="s">
        <v>569</v>
      </c>
      <c r="H214" s="116" t="s">
        <v>948</v>
      </c>
      <c r="I214" s="116" t="s">
        <v>558</v>
      </c>
      <c r="J214" s="116" t="s">
        <v>584</v>
      </c>
      <c r="K214" s="116" t="s">
        <v>558</v>
      </c>
      <c r="L214" s="116" t="s">
        <v>924</v>
      </c>
      <c r="M214" s="122" t="str">
        <f t="shared" si="4"/>
        <v>View on Google Map</v>
      </c>
    </row>
    <row r="215" spans="1:13" x14ac:dyDescent="0.2">
      <c r="A215" s="116">
        <v>237</v>
      </c>
      <c r="B215" s="116" t="s">
        <v>949</v>
      </c>
      <c r="C215" s="116" t="s">
        <v>558</v>
      </c>
      <c r="D215" s="116">
        <v>68.783333333333331</v>
      </c>
      <c r="E215" s="116" t="s">
        <v>558</v>
      </c>
      <c r="F215" s="116">
        <v>681.40243902439033</v>
      </c>
      <c r="G215" s="116" t="s">
        <v>569</v>
      </c>
      <c r="H215" s="116" t="s">
        <v>950</v>
      </c>
      <c r="I215" s="116" t="s">
        <v>951</v>
      </c>
      <c r="J215" s="116" t="s">
        <v>584</v>
      </c>
      <c r="K215" s="116" t="s">
        <v>558</v>
      </c>
      <c r="L215" s="116" t="s">
        <v>924</v>
      </c>
      <c r="M215" s="122" t="str">
        <f t="shared" si="4"/>
        <v>View on Google Map</v>
      </c>
    </row>
    <row r="216" spans="1:13" x14ac:dyDescent="0.2">
      <c r="A216" s="116">
        <v>238</v>
      </c>
      <c r="B216" s="116" t="s">
        <v>952</v>
      </c>
      <c r="C216" s="116" t="s">
        <v>558</v>
      </c>
      <c r="D216" s="116">
        <v>68.783333333333331</v>
      </c>
      <c r="E216" s="116" t="s">
        <v>558</v>
      </c>
      <c r="F216" s="116">
        <v>681.40243902439033</v>
      </c>
      <c r="G216" s="116" t="s">
        <v>569</v>
      </c>
      <c r="H216" s="116" t="s">
        <v>953</v>
      </c>
      <c r="I216" s="116" t="s">
        <v>951</v>
      </c>
      <c r="J216" s="116" t="s">
        <v>584</v>
      </c>
      <c r="K216" s="116" t="s">
        <v>558</v>
      </c>
      <c r="L216" s="116" t="s">
        <v>924</v>
      </c>
      <c r="M216" s="122" t="str">
        <f t="shared" si="4"/>
        <v>View on Google Map</v>
      </c>
    </row>
    <row r="217" spans="1:13" x14ac:dyDescent="0.2">
      <c r="A217" s="116">
        <v>10</v>
      </c>
      <c r="B217" s="116" t="s">
        <v>954</v>
      </c>
      <c r="C217" s="116" t="s">
        <v>955</v>
      </c>
      <c r="D217" s="116">
        <v>68.644702925000004</v>
      </c>
      <c r="E217" s="116">
        <v>-149.41200613611099</v>
      </c>
      <c r="F217" s="116">
        <v>751.33799999999997</v>
      </c>
      <c r="G217" s="116" t="s">
        <v>583</v>
      </c>
      <c r="H217" s="116" t="s">
        <v>558</v>
      </c>
      <c r="I217" s="116" t="s">
        <v>558</v>
      </c>
      <c r="J217" s="116" t="s">
        <v>584</v>
      </c>
      <c r="K217" s="116" t="s">
        <v>558</v>
      </c>
      <c r="L217" s="116" t="s">
        <v>558</v>
      </c>
      <c r="M217" s="122" t="str">
        <f t="shared" si="4"/>
        <v>View on Google Map</v>
      </c>
    </row>
    <row r="218" spans="1:13" x14ac:dyDescent="0.2">
      <c r="A218" s="116">
        <v>486</v>
      </c>
      <c r="B218" s="116" t="s">
        <v>956</v>
      </c>
      <c r="C218" s="116" t="s">
        <v>558</v>
      </c>
      <c r="D218" s="116">
        <v>68.958333332999999</v>
      </c>
      <c r="E218" s="116">
        <v>-150.302016667</v>
      </c>
      <c r="F218" s="116">
        <v>382</v>
      </c>
      <c r="G218" s="116" t="s">
        <v>569</v>
      </c>
      <c r="H218" s="116" t="s">
        <v>558</v>
      </c>
      <c r="I218" s="116" t="s">
        <v>558</v>
      </c>
      <c r="J218" s="116" t="s">
        <v>619</v>
      </c>
      <c r="K218" s="116" t="s">
        <v>558</v>
      </c>
      <c r="L218" s="116" t="s">
        <v>566</v>
      </c>
      <c r="M218" s="122" t="str">
        <f t="shared" si="4"/>
        <v>View on Google Map</v>
      </c>
    </row>
    <row r="219" spans="1:13" x14ac:dyDescent="0.2">
      <c r="A219" s="116">
        <v>388</v>
      </c>
      <c r="B219" s="116" t="s">
        <v>957</v>
      </c>
      <c r="C219" s="116" t="s">
        <v>558</v>
      </c>
      <c r="D219" s="116">
        <v>68.556340000000006</v>
      </c>
      <c r="E219" s="116">
        <v>-149.56628000000001</v>
      </c>
      <c r="F219" s="116">
        <v>801</v>
      </c>
      <c r="G219" s="116" t="s">
        <v>569</v>
      </c>
      <c r="H219" s="116" t="s">
        <v>558</v>
      </c>
      <c r="I219" s="116" t="s">
        <v>558</v>
      </c>
      <c r="J219" s="116" t="s">
        <v>584</v>
      </c>
      <c r="K219" s="116" t="s">
        <v>558</v>
      </c>
      <c r="L219" s="116" t="s">
        <v>958</v>
      </c>
      <c r="M219" s="122" t="str">
        <f t="shared" si="4"/>
        <v>View on Google Map</v>
      </c>
    </row>
    <row r="220" spans="1:13" x14ac:dyDescent="0.2">
      <c r="A220" s="116">
        <v>450</v>
      </c>
      <c r="B220" s="116" t="s">
        <v>959</v>
      </c>
      <c r="C220" s="116" t="s">
        <v>558</v>
      </c>
      <c r="D220" s="116">
        <v>68.553610000000006</v>
      </c>
      <c r="E220" s="116">
        <v>-149.53397000000001</v>
      </c>
      <c r="F220" s="116">
        <v>820</v>
      </c>
      <c r="G220" s="116" t="s">
        <v>569</v>
      </c>
      <c r="H220" s="116" t="s">
        <v>960</v>
      </c>
      <c r="I220" s="116" t="s">
        <v>558</v>
      </c>
      <c r="J220" s="116" t="s">
        <v>570</v>
      </c>
      <c r="K220" s="116" t="s">
        <v>558</v>
      </c>
      <c r="L220" s="116" t="s">
        <v>558</v>
      </c>
      <c r="M220" s="122" t="str">
        <f t="shared" si="4"/>
        <v>View on Google Map</v>
      </c>
    </row>
    <row r="221" spans="1:13" x14ac:dyDescent="0.2">
      <c r="A221" s="116">
        <v>451</v>
      </c>
      <c r="B221" s="116" t="s">
        <v>961</v>
      </c>
      <c r="C221" s="116" t="s">
        <v>558</v>
      </c>
      <c r="D221" s="116">
        <v>68.545929999999998</v>
      </c>
      <c r="E221" s="116">
        <v>-149.54213999999999</v>
      </c>
      <c r="F221" s="116">
        <v>852</v>
      </c>
      <c r="G221" s="116" t="s">
        <v>569</v>
      </c>
      <c r="H221" s="116" t="s">
        <v>962</v>
      </c>
      <c r="I221" s="116" t="s">
        <v>558</v>
      </c>
      <c r="J221" s="116" t="s">
        <v>570</v>
      </c>
      <c r="K221" s="116" t="s">
        <v>558</v>
      </c>
      <c r="L221" s="116" t="s">
        <v>558</v>
      </c>
      <c r="M221" s="122" t="str">
        <f t="shared" si="4"/>
        <v>View on Google Map</v>
      </c>
    </row>
    <row r="222" spans="1:13" x14ac:dyDescent="0.2">
      <c r="A222" s="116">
        <v>531</v>
      </c>
      <c r="B222" s="116" t="s">
        <v>963</v>
      </c>
      <c r="C222" s="116" t="s">
        <v>964</v>
      </c>
      <c r="D222" s="116">
        <v>68.556769000000003</v>
      </c>
      <c r="E222" s="116">
        <v>-149.555385</v>
      </c>
      <c r="F222" s="116">
        <v>805</v>
      </c>
      <c r="G222" s="116" t="s">
        <v>583</v>
      </c>
      <c r="H222" s="116" t="s">
        <v>558</v>
      </c>
      <c r="I222" s="116" t="s">
        <v>558</v>
      </c>
      <c r="J222" s="116" t="s">
        <v>570</v>
      </c>
      <c r="K222" s="116" t="s">
        <v>558</v>
      </c>
      <c r="L222" s="116" t="s">
        <v>965</v>
      </c>
      <c r="M222" s="122" t="str">
        <f t="shared" si="4"/>
        <v>View on Google Map</v>
      </c>
    </row>
    <row r="223" spans="1:13" x14ac:dyDescent="0.2">
      <c r="A223" s="116">
        <v>532</v>
      </c>
      <c r="B223" s="116" t="s">
        <v>966</v>
      </c>
      <c r="C223" s="116" t="s">
        <v>964</v>
      </c>
      <c r="D223" s="116">
        <v>68.556635999999997</v>
      </c>
      <c r="E223" s="116">
        <v>-149.574457</v>
      </c>
      <c r="F223" s="116">
        <v>803</v>
      </c>
      <c r="G223" s="116" t="s">
        <v>583</v>
      </c>
      <c r="H223" s="116" t="s">
        <v>558</v>
      </c>
      <c r="I223" s="116" t="s">
        <v>558</v>
      </c>
      <c r="J223" s="116" t="s">
        <v>570</v>
      </c>
      <c r="K223" s="116" t="s">
        <v>558</v>
      </c>
      <c r="L223" s="116" t="s">
        <v>965</v>
      </c>
      <c r="M223" s="122" t="str">
        <f t="shared" si="4"/>
        <v>View on Google Map</v>
      </c>
    </row>
    <row r="224" spans="1:13" x14ac:dyDescent="0.2">
      <c r="A224" s="116">
        <v>120</v>
      </c>
      <c r="B224" s="116" t="s">
        <v>967</v>
      </c>
      <c r="C224" s="116" t="s">
        <v>558</v>
      </c>
      <c r="D224" s="116">
        <v>68.610781000000003</v>
      </c>
      <c r="E224" s="116">
        <v>-149.600742</v>
      </c>
      <c r="F224" s="116">
        <v>736</v>
      </c>
      <c r="G224" s="116" t="s">
        <v>569</v>
      </c>
      <c r="H224" s="116" t="s">
        <v>968</v>
      </c>
      <c r="I224" s="116" t="s">
        <v>558</v>
      </c>
      <c r="J224" s="116" t="s">
        <v>584</v>
      </c>
      <c r="K224" s="116">
        <v>313</v>
      </c>
      <c r="L224" s="116" t="s">
        <v>958</v>
      </c>
      <c r="M224" s="122" t="str">
        <f t="shared" si="4"/>
        <v>View on Google Map</v>
      </c>
    </row>
    <row r="225" spans="1:13" x14ac:dyDescent="0.2">
      <c r="A225" s="116">
        <v>191</v>
      </c>
      <c r="B225" s="116" t="s">
        <v>969</v>
      </c>
      <c r="C225" s="116" t="s">
        <v>970</v>
      </c>
      <c r="D225" s="116">
        <v>68.610349999999997</v>
      </c>
      <c r="E225" s="116">
        <v>-149.59976599999999</v>
      </c>
      <c r="F225" s="116">
        <v>736</v>
      </c>
      <c r="G225" s="116" t="s">
        <v>583</v>
      </c>
      <c r="H225" s="116" t="s">
        <v>971</v>
      </c>
      <c r="I225" s="116" t="s">
        <v>972</v>
      </c>
      <c r="J225" s="116" t="s">
        <v>584</v>
      </c>
      <c r="K225" s="116" t="s">
        <v>558</v>
      </c>
      <c r="L225" s="116" t="s">
        <v>973</v>
      </c>
      <c r="M225" s="122" t="str">
        <f t="shared" si="4"/>
        <v>View on Google Map</v>
      </c>
    </row>
    <row r="226" spans="1:13" x14ac:dyDescent="0.2">
      <c r="A226" s="116">
        <v>243</v>
      </c>
      <c r="B226" s="116" t="s">
        <v>974</v>
      </c>
      <c r="C226" s="116" t="s">
        <v>558</v>
      </c>
      <c r="D226" s="116">
        <v>68.611682999999999</v>
      </c>
      <c r="E226" s="116">
        <v>-149.599254</v>
      </c>
      <c r="F226" s="116">
        <v>736</v>
      </c>
      <c r="G226" s="116" t="s">
        <v>583</v>
      </c>
      <c r="H226" s="116" t="s">
        <v>975</v>
      </c>
      <c r="I226" s="116" t="s">
        <v>976</v>
      </c>
      <c r="J226" s="116" t="s">
        <v>584</v>
      </c>
      <c r="K226" s="116" t="s">
        <v>558</v>
      </c>
      <c r="L226" s="116" t="s">
        <v>973</v>
      </c>
      <c r="M226" s="122" t="str">
        <f t="shared" si="4"/>
        <v>View on Google Map</v>
      </c>
    </row>
    <row r="227" spans="1:13" x14ac:dyDescent="0.2">
      <c r="A227" s="116">
        <v>111</v>
      </c>
      <c r="B227" s="116" t="s">
        <v>977</v>
      </c>
      <c r="C227" s="116" t="s">
        <v>558</v>
      </c>
      <c r="D227" s="116">
        <v>68.568713078900004</v>
      </c>
      <c r="E227" s="116">
        <v>-149.58807625</v>
      </c>
      <c r="F227" s="116">
        <v>785</v>
      </c>
      <c r="G227" s="116" t="s">
        <v>569</v>
      </c>
      <c r="H227" s="116" t="s">
        <v>978</v>
      </c>
      <c r="I227" s="116" t="s">
        <v>979</v>
      </c>
      <c r="J227" s="116" t="s">
        <v>584</v>
      </c>
      <c r="K227" s="116" t="s">
        <v>558</v>
      </c>
      <c r="L227" s="116" t="s">
        <v>958</v>
      </c>
      <c r="M227" s="122" t="str">
        <f t="shared" si="4"/>
        <v>View on Google Map</v>
      </c>
    </row>
    <row r="228" spans="1:13" x14ac:dyDescent="0.2">
      <c r="A228" s="116">
        <v>175</v>
      </c>
      <c r="B228" s="116" t="s">
        <v>980</v>
      </c>
      <c r="C228" s="116" t="s">
        <v>558</v>
      </c>
      <c r="D228" s="116">
        <v>68.573999999999998</v>
      </c>
      <c r="E228" s="116">
        <v>-149.58356599999999</v>
      </c>
      <c r="F228" s="116">
        <v>774</v>
      </c>
      <c r="G228" s="116" t="s">
        <v>583</v>
      </c>
      <c r="H228" s="116" t="s">
        <v>981</v>
      </c>
      <c r="I228" s="116" t="s">
        <v>982</v>
      </c>
      <c r="J228" s="116" t="s">
        <v>584</v>
      </c>
      <c r="K228" s="116" t="s">
        <v>558</v>
      </c>
      <c r="L228" s="116" t="s">
        <v>973</v>
      </c>
      <c r="M228" s="122" t="str">
        <f t="shared" si="4"/>
        <v>View on Google Map</v>
      </c>
    </row>
    <row r="229" spans="1:13" x14ac:dyDescent="0.2">
      <c r="A229" s="116">
        <v>174</v>
      </c>
      <c r="B229" s="116" t="s">
        <v>983</v>
      </c>
      <c r="C229" s="116" t="s">
        <v>558</v>
      </c>
      <c r="D229" s="116">
        <v>68.572295999999994</v>
      </c>
      <c r="E229" s="116">
        <v>-149.58101400000001</v>
      </c>
      <c r="F229" s="116">
        <v>785</v>
      </c>
      <c r="G229" s="116" t="s">
        <v>583</v>
      </c>
      <c r="H229" s="116" t="s">
        <v>984</v>
      </c>
      <c r="I229" s="116" t="s">
        <v>985</v>
      </c>
      <c r="J229" s="116" t="s">
        <v>584</v>
      </c>
      <c r="K229" s="116" t="s">
        <v>558</v>
      </c>
      <c r="L229" s="116" t="s">
        <v>973</v>
      </c>
      <c r="M229" s="122" t="str">
        <f t="shared" si="4"/>
        <v>View on Google Map</v>
      </c>
    </row>
    <row r="230" spans="1:13" x14ac:dyDescent="0.2">
      <c r="A230" s="116">
        <v>112</v>
      </c>
      <c r="B230" s="116" t="s">
        <v>986</v>
      </c>
      <c r="C230" s="116" t="s">
        <v>558</v>
      </c>
      <c r="D230" s="116">
        <v>68.571319563299994</v>
      </c>
      <c r="E230" s="116">
        <v>-149.56588161799999</v>
      </c>
      <c r="F230" s="116">
        <v>785</v>
      </c>
      <c r="G230" s="116" t="s">
        <v>569</v>
      </c>
      <c r="H230" s="116" t="s">
        <v>987</v>
      </c>
      <c r="I230" s="116" t="s">
        <v>988</v>
      </c>
      <c r="J230" s="116" t="s">
        <v>584</v>
      </c>
      <c r="K230" s="116" t="s">
        <v>558</v>
      </c>
      <c r="L230" s="116" t="s">
        <v>958</v>
      </c>
      <c r="M230" s="122" t="str">
        <f t="shared" si="4"/>
        <v>View on Google Map</v>
      </c>
    </row>
    <row r="231" spans="1:13" x14ac:dyDescent="0.2">
      <c r="A231" s="116">
        <v>176</v>
      </c>
      <c r="B231" s="116" t="s">
        <v>989</v>
      </c>
      <c r="C231" s="116" t="s">
        <v>558</v>
      </c>
      <c r="D231" s="116">
        <v>68.574783330000002</v>
      </c>
      <c r="E231" s="116">
        <v>-149.58205000000001</v>
      </c>
      <c r="F231" s="116">
        <v>774</v>
      </c>
      <c r="G231" s="116" t="s">
        <v>583</v>
      </c>
      <c r="H231" s="116" t="s">
        <v>990</v>
      </c>
      <c r="I231" s="116" t="s">
        <v>991</v>
      </c>
      <c r="J231" s="116" t="s">
        <v>584</v>
      </c>
      <c r="K231" s="116" t="s">
        <v>558</v>
      </c>
      <c r="L231" s="116" t="s">
        <v>973</v>
      </c>
      <c r="M231" s="122" t="str">
        <f t="shared" si="4"/>
        <v>View on Google Map</v>
      </c>
    </row>
    <row r="232" spans="1:13" x14ac:dyDescent="0.2">
      <c r="A232" s="116">
        <v>173</v>
      </c>
      <c r="B232" s="116" t="s">
        <v>992</v>
      </c>
      <c r="C232" s="116" t="s">
        <v>558</v>
      </c>
      <c r="D232" s="116">
        <v>68.572546000000003</v>
      </c>
      <c r="E232" s="116">
        <v>-149.570268</v>
      </c>
      <c r="F232" s="116">
        <v>785</v>
      </c>
      <c r="G232" s="116" t="s">
        <v>583</v>
      </c>
      <c r="H232" s="116" t="s">
        <v>993</v>
      </c>
      <c r="I232" s="116" t="s">
        <v>994</v>
      </c>
      <c r="J232" s="116" t="s">
        <v>584</v>
      </c>
      <c r="K232" s="116" t="s">
        <v>558</v>
      </c>
      <c r="L232" s="116" t="s">
        <v>973</v>
      </c>
      <c r="M232" s="122" t="str">
        <f t="shared" si="4"/>
        <v>View on Google Map</v>
      </c>
    </row>
    <row r="233" spans="1:13" x14ac:dyDescent="0.2">
      <c r="A233" s="116">
        <v>113</v>
      </c>
      <c r="B233" s="116" t="s">
        <v>995</v>
      </c>
      <c r="C233" s="116" t="s">
        <v>558</v>
      </c>
      <c r="D233" s="116">
        <v>68.575536630100004</v>
      </c>
      <c r="E233" s="116">
        <v>-149.583644456</v>
      </c>
      <c r="F233" s="116">
        <v>774</v>
      </c>
      <c r="G233" s="116" t="s">
        <v>569</v>
      </c>
      <c r="H233" s="116" t="s">
        <v>996</v>
      </c>
      <c r="I233" s="116" t="s">
        <v>997</v>
      </c>
      <c r="J233" s="116" t="s">
        <v>584</v>
      </c>
      <c r="K233" s="116" t="s">
        <v>558</v>
      </c>
      <c r="L233" s="116" t="s">
        <v>958</v>
      </c>
      <c r="M233" s="122" t="str">
        <f t="shared" si="4"/>
        <v>View on Google Map</v>
      </c>
    </row>
    <row r="234" spans="1:13" x14ac:dyDescent="0.2">
      <c r="A234" s="116">
        <v>177</v>
      </c>
      <c r="B234" s="116" t="s">
        <v>998</v>
      </c>
      <c r="C234" s="116" t="s">
        <v>558</v>
      </c>
      <c r="D234" s="116">
        <v>68.577539999999999</v>
      </c>
      <c r="E234" s="116">
        <v>-149.58200299999999</v>
      </c>
      <c r="F234" s="116">
        <v>774</v>
      </c>
      <c r="G234" s="116" t="s">
        <v>583</v>
      </c>
      <c r="H234" s="116" t="s">
        <v>999</v>
      </c>
      <c r="I234" s="116" t="s">
        <v>1000</v>
      </c>
      <c r="J234" s="116" t="s">
        <v>584</v>
      </c>
      <c r="K234" s="116" t="s">
        <v>558</v>
      </c>
      <c r="L234" s="116" t="s">
        <v>973</v>
      </c>
      <c r="M234" s="122" t="str">
        <f t="shared" si="4"/>
        <v>View on Google Map</v>
      </c>
    </row>
    <row r="235" spans="1:13" x14ac:dyDescent="0.2">
      <c r="A235" s="116">
        <v>114</v>
      </c>
      <c r="B235" s="116" t="s">
        <v>1001</v>
      </c>
      <c r="C235" s="116" t="s">
        <v>558</v>
      </c>
      <c r="D235" s="116">
        <v>68.579567150000003</v>
      </c>
      <c r="E235" s="116">
        <v>-149.58405938000001</v>
      </c>
      <c r="F235" s="116">
        <v>770</v>
      </c>
      <c r="G235" s="116" t="s">
        <v>569</v>
      </c>
      <c r="H235" s="116" t="s">
        <v>1002</v>
      </c>
      <c r="I235" s="116" t="s">
        <v>1003</v>
      </c>
      <c r="J235" s="116" t="s">
        <v>584</v>
      </c>
      <c r="K235" s="116" t="s">
        <v>558</v>
      </c>
      <c r="L235" s="116" t="s">
        <v>958</v>
      </c>
      <c r="M235" s="122" t="str">
        <f t="shared" si="4"/>
        <v>View on Google Map</v>
      </c>
    </row>
    <row r="236" spans="1:13" x14ac:dyDescent="0.2">
      <c r="A236" s="116">
        <v>179</v>
      </c>
      <c r="B236" s="116" t="s">
        <v>1004</v>
      </c>
      <c r="C236" s="116" t="s">
        <v>558</v>
      </c>
      <c r="D236" s="116">
        <v>68.584233330000004</v>
      </c>
      <c r="E236" s="116">
        <v>-149.58359999999999</v>
      </c>
      <c r="F236" s="116">
        <v>770</v>
      </c>
      <c r="G236" s="116" t="s">
        <v>583</v>
      </c>
      <c r="H236" s="116" t="s">
        <v>1005</v>
      </c>
      <c r="I236" s="116" t="s">
        <v>1006</v>
      </c>
      <c r="J236" s="116" t="s">
        <v>584</v>
      </c>
      <c r="K236" s="116" t="s">
        <v>558</v>
      </c>
      <c r="L236" s="116" t="s">
        <v>973</v>
      </c>
      <c r="M236" s="122" t="str">
        <f t="shared" si="4"/>
        <v>View on Google Map</v>
      </c>
    </row>
    <row r="237" spans="1:13" x14ac:dyDescent="0.2">
      <c r="A237" s="116">
        <v>178</v>
      </c>
      <c r="B237" s="116" t="s">
        <v>1007</v>
      </c>
      <c r="C237" s="116" t="s">
        <v>558</v>
      </c>
      <c r="D237" s="116">
        <v>68.581429999999997</v>
      </c>
      <c r="E237" s="116">
        <v>-149.58609999999999</v>
      </c>
      <c r="F237" s="116">
        <v>770</v>
      </c>
      <c r="G237" s="116" t="s">
        <v>583</v>
      </c>
      <c r="H237" s="116" t="s">
        <v>1008</v>
      </c>
      <c r="I237" s="116" t="s">
        <v>1009</v>
      </c>
      <c r="J237" s="116" t="s">
        <v>584</v>
      </c>
      <c r="K237" s="116" t="s">
        <v>558</v>
      </c>
      <c r="L237" s="116" t="s">
        <v>973</v>
      </c>
      <c r="M237" s="122" t="str">
        <f t="shared" si="4"/>
        <v>View on Google Map</v>
      </c>
    </row>
    <row r="238" spans="1:13" x14ac:dyDescent="0.2">
      <c r="A238" s="116">
        <v>115</v>
      </c>
      <c r="B238" s="116" t="s">
        <v>1010</v>
      </c>
      <c r="C238" s="116" t="s">
        <v>558</v>
      </c>
      <c r="D238" s="116">
        <v>68.587387439099999</v>
      </c>
      <c r="E238" s="116">
        <v>-149.589625877</v>
      </c>
      <c r="F238" s="116">
        <v>767</v>
      </c>
      <c r="G238" s="116" t="s">
        <v>569</v>
      </c>
      <c r="H238" s="116" t="s">
        <v>1011</v>
      </c>
      <c r="I238" s="116" t="s">
        <v>1012</v>
      </c>
      <c r="J238" s="116" t="s">
        <v>584</v>
      </c>
      <c r="K238" s="116" t="s">
        <v>558</v>
      </c>
      <c r="L238" s="116" t="s">
        <v>958</v>
      </c>
      <c r="M238" s="122" t="str">
        <f t="shared" si="4"/>
        <v>View on Google Map</v>
      </c>
    </row>
    <row r="239" spans="1:13" x14ac:dyDescent="0.2">
      <c r="A239" s="116">
        <v>181</v>
      </c>
      <c r="B239" s="116" t="s">
        <v>1013</v>
      </c>
      <c r="C239" s="116" t="s">
        <v>558</v>
      </c>
      <c r="D239" s="116">
        <v>68.594916670000003</v>
      </c>
      <c r="E239" s="116">
        <v>-149.58631600000001</v>
      </c>
      <c r="F239" s="116">
        <v>754</v>
      </c>
      <c r="G239" s="116" t="s">
        <v>583</v>
      </c>
      <c r="H239" s="116" t="s">
        <v>1014</v>
      </c>
      <c r="I239" s="116" t="s">
        <v>1015</v>
      </c>
      <c r="J239" s="116" t="s">
        <v>584</v>
      </c>
      <c r="K239" s="116" t="s">
        <v>558</v>
      </c>
      <c r="L239" s="116" t="s">
        <v>973</v>
      </c>
      <c r="M239" s="122" t="str">
        <f t="shared" si="4"/>
        <v>View on Google Map</v>
      </c>
    </row>
    <row r="240" spans="1:13" x14ac:dyDescent="0.2">
      <c r="A240" s="116">
        <v>180</v>
      </c>
      <c r="B240" s="116" t="s">
        <v>1016</v>
      </c>
      <c r="C240" s="116" t="s">
        <v>558</v>
      </c>
      <c r="D240" s="116">
        <v>68.589087000000006</v>
      </c>
      <c r="E240" s="116">
        <v>-149.58921900000001</v>
      </c>
      <c r="F240" s="116">
        <v>767</v>
      </c>
      <c r="G240" s="116" t="s">
        <v>583</v>
      </c>
      <c r="H240" s="116" t="s">
        <v>1017</v>
      </c>
      <c r="I240" s="116" t="s">
        <v>1018</v>
      </c>
      <c r="J240" s="116" t="s">
        <v>584</v>
      </c>
      <c r="K240" s="116" t="s">
        <v>558</v>
      </c>
      <c r="L240" s="116" t="s">
        <v>973</v>
      </c>
      <c r="M240" s="122" t="str">
        <f t="shared" si="4"/>
        <v>View on Google Map</v>
      </c>
    </row>
    <row r="241" spans="1:13" x14ac:dyDescent="0.2">
      <c r="A241" s="116">
        <v>116</v>
      </c>
      <c r="B241" s="116" t="s">
        <v>1019</v>
      </c>
      <c r="C241" s="116" t="s">
        <v>558</v>
      </c>
      <c r="D241" s="116">
        <v>68.596592403900004</v>
      </c>
      <c r="E241" s="116">
        <v>-149.59264335</v>
      </c>
      <c r="F241" s="116">
        <v>754</v>
      </c>
      <c r="G241" s="116" t="s">
        <v>569</v>
      </c>
      <c r="H241" s="116" t="s">
        <v>1020</v>
      </c>
      <c r="I241" s="116" t="s">
        <v>1021</v>
      </c>
      <c r="J241" s="116" t="s">
        <v>584</v>
      </c>
      <c r="K241" s="116" t="s">
        <v>558</v>
      </c>
      <c r="L241" s="116" t="s">
        <v>958</v>
      </c>
      <c r="M241" s="122" t="str">
        <f t="shared" si="4"/>
        <v>View on Google Map</v>
      </c>
    </row>
    <row r="242" spans="1:13" x14ac:dyDescent="0.2">
      <c r="A242" s="116">
        <v>431</v>
      </c>
      <c r="B242" s="116" t="s">
        <v>1022</v>
      </c>
      <c r="C242" s="116" t="s">
        <v>558</v>
      </c>
      <c r="D242" s="116">
        <v>68.582061999999993</v>
      </c>
      <c r="E242" s="116">
        <v>-149.62293199999999</v>
      </c>
      <c r="F242" s="116">
        <v>806</v>
      </c>
      <c r="G242" s="116" t="s">
        <v>569</v>
      </c>
      <c r="H242" s="116" t="s">
        <v>1023</v>
      </c>
      <c r="I242" s="116" t="s">
        <v>1024</v>
      </c>
      <c r="J242" s="116" t="s">
        <v>584</v>
      </c>
      <c r="K242" s="116" t="s">
        <v>558</v>
      </c>
      <c r="L242" s="116" t="s">
        <v>958</v>
      </c>
      <c r="M242" s="122" t="str">
        <f t="shared" si="4"/>
        <v>View on Google Map</v>
      </c>
    </row>
    <row r="243" spans="1:13" x14ac:dyDescent="0.2">
      <c r="A243" s="116">
        <v>444</v>
      </c>
      <c r="B243" s="116" t="s">
        <v>1025</v>
      </c>
      <c r="C243" s="116" t="s">
        <v>558</v>
      </c>
      <c r="D243" s="116">
        <v>68.578643</v>
      </c>
      <c r="E243" s="116">
        <v>-149.62110200000001</v>
      </c>
      <c r="F243" s="116">
        <v>808</v>
      </c>
      <c r="G243" s="116" t="s">
        <v>583</v>
      </c>
      <c r="H243" s="116" t="s">
        <v>1026</v>
      </c>
      <c r="I243" s="116" t="s">
        <v>1027</v>
      </c>
      <c r="J243" s="116" t="s">
        <v>584</v>
      </c>
      <c r="K243" s="116" t="s">
        <v>558</v>
      </c>
      <c r="L243" s="116" t="s">
        <v>973</v>
      </c>
      <c r="M243" s="122" t="str">
        <f t="shared" si="4"/>
        <v>View on Google Map</v>
      </c>
    </row>
    <row r="244" spans="1:13" x14ac:dyDescent="0.2">
      <c r="A244" s="116">
        <v>535</v>
      </c>
      <c r="B244" s="116" t="s">
        <v>1028</v>
      </c>
      <c r="C244" s="116" t="s">
        <v>1029</v>
      </c>
      <c r="D244" s="116">
        <v>68.585839000000007</v>
      </c>
      <c r="E244" s="116">
        <v>-149.62222299999999</v>
      </c>
      <c r="F244" s="116">
        <v>805</v>
      </c>
      <c r="G244" s="116" t="s">
        <v>583</v>
      </c>
      <c r="H244" s="116" t="s">
        <v>558</v>
      </c>
      <c r="I244" s="116" t="s">
        <v>558</v>
      </c>
      <c r="J244" s="116" t="s">
        <v>570</v>
      </c>
      <c r="K244" s="116" t="s">
        <v>558</v>
      </c>
      <c r="L244" s="116" t="s">
        <v>1030</v>
      </c>
      <c r="M244" s="122" t="str">
        <f t="shared" si="4"/>
        <v>View on Google Map</v>
      </c>
    </row>
    <row r="245" spans="1:13" x14ac:dyDescent="0.2">
      <c r="A245" s="116">
        <v>536</v>
      </c>
      <c r="B245" s="116" t="s">
        <v>1031</v>
      </c>
      <c r="C245" s="116" t="s">
        <v>1029</v>
      </c>
      <c r="D245" s="116">
        <v>68.591329999999999</v>
      </c>
      <c r="E245" s="116">
        <v>-149.61154199999999</v>
      </c>
      <c r="F245" s="116">
        <v>775</v>
      </c>
      <c r="G245" s="116" t="s">
        <v>583</v>
      </c>
      <c r="H245" s="116" t="s">
        <v>558</v>
      </c>
      <c r="I245" s="116" t="s">
        <v>558</v>
      </c>
      <c r="J245" s="116" t="s">
        <v>570</v>
      </c>
      <c r="K245" s="116" t="s">
        <v>558</v>
      </c>
      <c r="L245" s="116" t="s">
        <v>1030</v>
      </c>
      <c r="M245" s="122" t="str">
        <f t="shared" si="4"/>
        <v>View on Google Map</v>
      </c>
    </row>
    <row r="246" spans="1:13" x14ac:dyDescent="0.2">
      <c r="A246" s="116">
        <v>445</v>
      </c>
      <c r="B246" s="116" t="s">
        <v>1032</v>
      </c>
      <c r="C246" s="116" t="s">
        <v>558</v>
      </c>
      <c r="D246" s="116">
        <v>68.583569999999995</v>
      </c>
      <c r="E246" s="116">
        <v>-149.62384</v>
      </c>
      <c r="F246" s="116">
        <v>808</v>
      </c>
      <c r="G246" s="116" t="s">
        <v>583</v>
      </c>
      <c r="H246" s="116" t="s">
        <v>1033</v>
      </c>
      <c r="I246" s="116" t="s">
        <v>1034</v>
      </c>
      <c r="J246" s="116" t="s">
        <v>584</v>
      </c>
      <c r="K246" s="116" t="s">
        <v>558</v>
      </c>
      <c r="L246" s="116" t="s">
        <v>973</v>
      </c>
      <c r="M246" s="122" t="str">
        <f t="shared" si="4"/>
        <v>View on Google Map</v>
      </c>
    </row>
    <row r="247" spans="1:13" x14ac:dyDescent="0.2">
      <c r="A247" s="116">
        <v>182</v>
      </c>
      <c r="B247" s="116" t="s">
        <v>1035</v>
      </c>
      <c r="C247" s="116" t="s">
        <v>558</v>
      </c>
      <c r="D247" s="116">
        <v>68.596883329999997</v>
      </c>
      <c r="E247" s="116">
        <v>-149.60124999999999</v>
      </c>
      <c r="F247" s="116">
        <v>754</v>
      </c>
      <c r="G247" s="116" t="s">
        <v>583</v>
      </c>
      <c r="H247" s="116" t="s">
        <v>1036</v>
      </c>
      <c r="I247" s="116" t="s">
        <v>1037</v>
      </c>
      <c r="J247" s="116" t="s">
        <v>584</v>
      </c>
      <c r="K247" s="116" t="s">
        <v>558</v>
      </c>
      <c r="L247" s="116" t="s">
        <v>973</v>
      </c>
      <c r="M247" s="122" t="str">
        <f t="shared" si="4"/>
        <v>View on Google Map</v>
      </c>
    </row>
    <row r="248" spans="1:13" x14ac:dyDescent="0.2">
      <c r="A248" s="116">
        <v>183</v>
      </c>
      <c r="B248" s="116" t="s">
        <v>1038</v>
      </c>
      <c r="C248" s="116" t="s">
        <v>558</v>
      </c>
      <c r="D248" s="116">
        <v>68.598684000000006</v>
      </c>
      <c r="E248" s="116">
        <v>-149.599853</v>
      </c>
      <c r="F248" s="116">
        <v>754</v>
      </c>
      <c r="G248" s="116" t="s">
        <v>583</v>
      </c>
      <c r="H248" s="116" t="s">
        <v>1039</v>
      </c>
      <c r="I248" s="116" t="s">
        <v>1040</v>
      </c>
      <c r="J248" s="116" t="s">
        <v>584</v>
      </c>
      <c r="K248" s="116" t="s">
        <v>558</v>
      </c>
      <c r="L248" s="116" t="s">
        <v>973</v>
      </c>
      <c r="M248" s="122" t="str">
        <f t="shared" si="4"/>
        <v>View on Google Map</v>
      </c>
    </row>
    <row r="249" spans="1:13" x14ac:dyDescent="0.2">
      <c r="A249" s="116">
        <v>117</v>
      </c>
      <c r="B249" s="116" t="s">
        <v>1041</v>
      </c>
      <c r="C249" s="116" t="s">
        <v>558</v>
      </c>
      <c r="D249" s="116">
        <v>68.600874798199996</v>
      </c>
      <c r="E249" s="116">
        <v>-149.596582063</v>
      </c>
      <c r="F249" s="116">
        <v>742</v>
      </c>
      <c r="G249" s="116" t="s">
        <v>569</v>
      </c>
      <c r="H249" s="116" t="s">
        <v>1042</v>
      </c>
      <c r="I249" s="116" t="s">
        <v>1043</v>
      </c>
      <c r="J249" s="116" t="s">
        <v>584</v>
      </c>
      <c r="K249" s="116" t="s">
        <v>558</v>
      </c>
      <c r="L249" s="116" t="s">
        <v>958</v>
      </c>
      <c r="M249" s="122" t="str">
        <f t="shared" si="4"/>
        <v>View on Google Map</v>
      </c>
    </row>
    <row r="250" spans="1:13" x14ac:dyDescent="0.2">
      <c r="A250" s="116">
        <v>187</v>
      </c>
      <c r="B250" s="116" t="s">
        <v>1044</v>
      </c>
      <c r="C250" s="116" t="s">
        <v>558</v>
      </c>
      <c r="D250" s="116">
        <v>68.618183329999994</v>
      </c>
      <c r="E250" s="116">
        <v>-149.596766</v>
      </c>
      <c r="F250" s="116">
        <v>728</v>
      </c>
      <c r="G250" s="116" t="s">
        <v>583</v>
      </c>
      <c r="H250" s="116" t="s">
        <v>1045</v>
      </c>
      <c r="I250" s="116" t="s">
        <v>1046</v>
      </c>
      <c r="J250" s="116" t="s">
        <v>584</v>
      </c>
      <c r="K250" s="116" t="s">
        <v>558</v>
      </c>
      <c r="L250" s="116" t="s">
        <v>973</v>
      </c>
      <c r="M250" s="122" t="str">
        <f t="shared" si="4"/>
        <v>View on Google Map</v>
      </c>
    </row>
    <row r="251" spans="1:13" x14ac:dyDescent="0.2">
      <c r="A251" s="116">
        <v>184</v>
      </c>
      <c r="B251" s="116" t="s">
        <v>1047</v>
      </c>
      <c r="C251" s="116" t="s">
        <v>558</v>
      </c>
      <c r="D251" s="116">
        <v>68.601830000000007</v>
      </c>
      <c r="E251" s="116">
        <v>-149.59671299999999</v>
      </c>
      <c r="F251" s="116">
        <v>742</v>
      </c>
      <c r="G251" s="116" t="s">
        <v>583</v>
      </c>
      <c r="H251" s="116" t="s">
        <v>1048</v>
      </c>
      <c r="I251" s="116" t="s">
        <v>1049</v>
      </c>
      <c r="J251" s="116" t="s">
        <v>584</v>
      </c>
      <c r="K251" s="116" t="s">
        <v>558</v>
      </c>
      <c r="L251" s="116" t="s">
        <v>973</v>
      </c>
      <c r="M251" s="122" t="str">
        <f t="shared" si="4"/>
        <v>View on Google Map</v>
      </c>
    </row>
    <row r="252" spans="1:13" x14ac:dyDescent="0.2">
      <c r="A252" s="116">
        <v>118</v>
      </c>
      <c r="B252" s="116" t="s">
        <v>1050</v>
      </c>
      <c r="C252" s="116" t="s">
        <v>558</v>
      </c>
      <c r="D252" s="116">
        <v>68.6101575207</v>
      </c>
      <c r="E252" s="116">
        <v>-149.582211513</v>
      </c>
      <c r="F252" s="116">
        <v>744</v>
      </c>
      <c r="G252" s="116" t="s">
        <v>569</v>
      </c>
      <c r="H252" s="116" t="s">
        <v>1051</v>
      </c>
      <c r="I252" s="116" t="s">
        <v>1052</v>
      </c>
      <c r="J252" s="116" t="s">
        <v>584</v>
      </c>
      <c r="K252" s="116" t="s">
        <v>558</v>
      </c>
      <c r="L252" s="116" t="s">
        <v>958</v>
      </c>
      <c r="M252" s="122" t="str">
        <f t="shared" si="4"/>
        <v>View on Google Map</v>
      </c>
    </row>
    <row r="253" spans="1:13" x14ac:dyDescent="0.2">
      <c r="A253" s="116">
        <v>172</v>
      </c>
      <c r="B253" s="116" t="s">
        <v>1053</v>
      </c>
      <c r="C253" s="116" t="s">
        <v>558</v>
      </c>
      <c r="D253" s="116">
        <v>68.573666666666668</v>
      </c>
      <c r="E253" s="116">
        <v>-149.53716666666699</v>
      </c>
      <c r="F253" s="116">
        <v>808</v>
      </c>
      <c r="G253" s="116" t="s">
        <v>583</v>
      </c>
      <c r="H253" s="116" t="s">
        <v>1054</v>
      </c>
      <c r="I253" s="116" t="s">
        <v>1055</v>
      </c>
      <c r="J253" s="116" t="s">
        <v>584</v>
      </c>
      <c r="K253" s="116" t="s">
        <v>558</v>
      </c>
      <c r="L253" s="116" t="s">
        <v>973</v>
      </c>
      <c r="M253" s="122" t="str">
        <f t="shared" si="4"/>
        <v>View on Google Map</v>
      </c>
    </row>
    <row r="254" spans="1:13" x14ac:dyDescent="0.2">
      <c r="A254" s="116">
        <v>533</v>
      </c>
      <c r="B254" s="116" t="s">
        <v>1056</v>
      </c>
      <c r="C254" s="116" t="s">
        <v>1029</v>
      </c>
      <c r="D254" s="116">
        <v>68.599999999999994</v>
      </c>
      <c r="E254" s="116">
        <v>-149.57599999999999</v>
      </c>
      <c r="F254" s="116">
        <v>762</v>
      </c>
      <c r="G254" s="116" t="s">
        <v>583</v>
      </c>
      <c r="H254" s="116" t="s">
        <v>558</v>
      </c>
      <c r="I254" s="116" t="s">
        <v>558</v>
      </c>
      <c r="J254" s="116" t="s">
        <v>570</v>
      </c>
      <c r="K254" s="116" t="s">
        <v>558</v>
      </c>
      <c r="L254" s="116" t="s">
        <v>1030</v>
      </c>
      <c r="M254" s="122" t="str">
        <f t="shared" si="4"/>
        <v>View on Google Map</v>
      </c>
    </row>
    <row r="255" spans="1:13" x14ac:dyDescent="0.2">
      <c r="A255" s="116">
        <v>534</v>
      </c>
      <c r="B255" s="116" t="s">
        <v>1057</v>
      </c>
      <c r="C255" s="116" t="s">
        <v>1029</v>
      </c>
      <c r="D255" s="116">
        <v>68.601493000000005</v>
      </c>
      <c r="E255" s="116">
        <v>-149.579071</v>
      </c>
      <c r="F255" s="116">
        <v>760</v>
      </c>
      <c r="G255" s="116" t="s">
        <v>583</v>
      </c>
      <c r="H255" s="116" t="s">
        <v>558</v>
      </c>
      <c r="I255" s="116" t="s">
        <v>558</v>
      </c>
      <c r="J255" s="116" t="s">
        <v>570</v>
      </c>
      <c r="K255" s="116" t="s">
        <v>558</v>
      </c>
      <c r="L255" s="116" t="s">
        <v>1030</v>
      </c>
      <c r="M255" s="122" t="str">
        <f t="shared" si="4"/>
        <v>View on Google Map</v>
      </c>
    </row>
    <row r="256" spans="1:13" x14ac:dyDescent="0.2">
      <c r="A256" s="116">
        <v>185</v>
      </c>
      <c r="B256" s="116" t="s">
        <v>1058</v>
      </c>
      <c r="C256" s="116" t="s">
        <v>558</v>
      </c>
      <c r="D256" s="116">
        <v>68.60853333</v>
      </c>
      <c r="E256" s="116">
        <v>-149.58763300000001</v>
      </c>
      <c r="F256" s="116">
        <v>744</v>
      </c>
      <c r="G256" s="116" t="s">
        <v>583</v>
      </c>
      <c r="H256" s="116" t="s">
        <v>1059</v>
      </c>
      <c r="I256" s="116" t="s">
        <v>1060</v>
      </c>
      <c r="J256" s="116" t="s">
        <v>584</v>
      </c>
      <c r="K256" s="116" t="s">
        <v>558</v>
      </c>
      <c r="L256" s="116" t="s">
        <v>973</v>
      </c>
      <c r="M256" s="122" t="str">
        <f t="shared" si="4"/>
        <v>View on Google Map</v>
      </c>
    </row>
    <row r="257" spans="1:13" x14ac:dyDescent="0.2">
      <c r="A257" s="116">
        <v>547</v>
      </c>
      <c r="B257" s="116" t="s">
        <v>1061</v>
      </c>
      <c r="C257" s="116" t="s">
        <v>1062</v>
      </c>
      <c r="D257" s="116">
        <v>68.611012000000002</v>
      </c>
      <c r="E257" s="116">
        <v>-149.57365200000001</v>
      </c>
      <c r="F257" s="116">
        <v>744</v>
      </c>
      <c r="G257" s="116" t="s">
        <v>583</v>
      </c>
      <c r="H257" s="116" t="s">
        <v>558</v>
      </c>
      <c r="I257" s="116" t="s">
        <v>558</v>
      </c>
      <c r="J257" s="116" t="s">
        <v>1063</v>
      </c>
      <c r="K257" s="116" t="s">
        <v>558</v>
      </c>
      <c r="L257" s="116" t="s">
        <v>1064</v>
      </c>
      <c r="M257" s="122" t="str">
        <f t="shared" si="4"/>
        <v>View on Google Map</v>
      </c>
    </row>
    <row r="258" spans="1:13" x14ac:dyDescent="0.2">
      <c r="A258" s="116">
        <v>548</v>
      </c>
      <c r="B258" s="116" t="s">
        <v>1065</v>
      </c>
      <c r="C258" s="116" t="s">
        <v>1062</v>
      </c>
      <c r="D258" s="116">
        <v>68.612117999999995</v>
      </c>
      <c r="E258" s="116">
        <v>-149.576359</v>
      </c>
      <c r="F258" s="116">
        <v>744</v>
      </c>
      <c r="G258" s="116" t="s">
        <v>583</v>
      </c>
      <c r="H258" s="116" t="s">
        <v>558</v>
      </c>
      <c r="I258" s="116" t="s">
        <v>558</v>
      </c>
      <c r="J258" s="116" t="s">
        <v>1063</v>
      </c>
      <c r="K258" s="116" t="s">
        <v>558</v>
      </c>
      <c r="L258" s="116" t="s">
        <v>1064</v>
      </c>
      <c r="M258" s="122" t="str">
        <f t="shared" si="4"/>
        <v>View on Google Map</v>
      </c>
    </row>
    <row r="259" spans="1:13" x14ac:dyDescent="0.2">
      <c r="A259" s="116">
        <v>546</v>
      </c>
      <c r="B259" s="116" t="s">
        <v>1066</v>
      </c>
      <c r="C259" s="116" t="s">
        <v>1062</v>
      </c>
      <c r="D259" s="116">
        <v>68.608949999999993</v>
      </c>
      <c r="E259" s="116">
        <v>-149.57907399999999</v>
      </c>
      <c r="F259" s="116">
        <v>744</v>
      </c>
      <c r="G259" s="116" t="s">
        <v>583</v>
      </c>
      <c r="H259" s="116" t="s">
        <v>558</v>
      </c>
      <c r="I259" s="116" t="s">
        <v>558</v>
      </c>
      <c r="J259" s="116" t="s">
        <v>1063</v>
      </c>
      <c r="K259" s="116" t="s">
        <v>558</v>
      </c>
      <c r="L259" s="116" t="s">
        <v>1064</v>
      </c>
      <c r="M259" s="122" t="str">
        <f t="shared" ref="M259:M322" si="5">HYPERLINK("http://maps.google.com/maps?q="&amp;D259&amp;","&amp;E259,"View on Google Map")</f>
        <v>View on Google Map</v>
      </c>
    </row>
    <row r="260" spans="1:13" x14ac:dyDescent="0.2">
      <c r="A260" s="116">
        <v>545</v>
      </c>
      <c r="B260" s="116" t="s">
        <v>1067</v>
      </c>
      <c r="C260" s="116" t="s">
        <v>1062</v>
      </c>
      <c r="D260" s="116">
        <v>68.609307999999999</v>
      </c>
      <c r="E260" s="116">
        <v>-149.57375200000001</v>
      </c>
      <c r="F260" s="116">
        <v>744</v>
      </c>
      <c r="G260" s="116" t="s">
        <v>583</v>
      </c>
      <c r="H260" s="116" t="s">
        <v>558</v>
      </c>
      <c r="I260" s="116" t="s">
        <v>558</v>
      </c>
      <c r="J260" s="116" t="s">
        <v>1063</v>
      </c>
      <c r="K260" s="116" t="s">
        <v>558</v>
      </c>
      <c r="L260" s="116" t="s">
        <v>1064</v>
      </c>
      <c r="M260" s="122" t="str">
        <f t="shared" si="5"/>
        <v>View on Google Map</v>
      </c>
    </row>
    <row r="261" spans="1:13" x14ac:dyDescent="0.2">
      <c r="A261" s="116">
        <v>549</v>
      </c>
      <c r="B261" s="116" t="s">
        <v>1068</v>
      </c>
      <c r="C261" s="116" t="s">
        <v>558</v>
      </c>
      <c r="D261" s="116" t="s">
        <v>558</v>
      </c>
      <c r="E261" s="116" t="s">
        <v>558</v>
      </c>
      <c r="F261" s="116" t="s">
        <v>558</v>
      </c>
      <c r="G261" s="116" t="s">
        <v>583</v>
      </c>
      <c r="H261" s="116" t="s">
        <v>558</v>
      </c>
      <c r="I261" s="116" t="s">
        <v>558</v>
      </c>
      <c r="J261" s="116" t="s">
        <v>570</v>
      </c>
      <c r="K261" s="116" t="s">
        <v>558</v>
      </c>
      <c r="L261" s="116" t="s">
        <v>1069</v>
      </c>
      <c r="M261" s="122" t="str">
        <f t="shared" si="5"/>
        <v>View on Google Map</v>
      </c>
    </row>
    <row r="262" spans="1:13" x14ac:dyDescent="0.2">
      <c r="A262" s="116">
        <v>188</v>
      </c>
      <c r="B262" s="116" t="s">
        <v>1070</v>
      </c>
      <c r="C262" s="116" t="s">
        <v>558</v>
      </c>
      <c r="D262" s="116">
        <v>68.61838333</v>
      </c>
      <c r="E262" s="116">
        <v>-149.59649999999999</v>
      </c>
      <c r="F262" s="116">
        <v>728</v>
      </c>
      <c r="G262" s="116" t="s">
        <v>583</v>
      </c>
      <c r="H262" s="116" t="s">
        <v>1071</v>
      </c>
      <c r="I262" s="116" t="s">
        <v>1072</v>
      </c>
      <c r="J262" s="116" t="s">
        <v>584</v>
      </c>
      <c r="K262" s="116" t="s">
        <v>558</v>
      </c>
      <c r="L262" s="116" t="s">
        <v>973</v>
      </c>
      <c r="M262" s="122" t="str">
        <f t="shared" si="5"/>
        <v>View on Google Map</v>
      </c>
    </row>
    <row r="263" spans="1:13" x14ac:dyDescent="0.2">
      <c r="A263" s="116">
        <v>541</v>
      </c>
      <c r="B263" s="116" t="s">
        <v>1073</v>
      </c>
      <c r="C263" s="116" t="s">
        <v>1062</v>
      </c>
      <c r="D263" s="116">
        <v>68.609846000000005</v>
      </c>
      <c r="E263" s="116">
        <v>-149.58295100000001</v>
      </c>
      <c r="F263" s="116">
        <v>744</v>
      </c>
      <c r="G263" s="116" t="s">
        <v>569</v>
      </c>
      <c r="H263" s="116" t="s">
        <v>558</v>
      </c>
      <c r="I263" s="116" t="s">
        <v>558</v>
      </c>
      <c r="J263" s="116" t="s">
        <v>1063</v>
      </c>
      <c r="K263" s="116" t="s">
        <v>558</v>
      </c>
      <c r="L263" s="116" t="s">
        <v>1064</v>
      </c>
      <c r="M263" s="122" t="str">
        <f t="shared" si="5"/>
        <v>View on Google Map</v>
      </c>
    </row>
    <row r="264" spans="1:13" x14ac:dyDescent="0.2">
      <c r="A264" s="116">
        <v>539</v>
      </c>
      <c r="B264" s="116" t="s">
        <v>1074</v>
      </c>
      <c r="C264" s="116" t="s">
        <v>1062</v>
      </c>
      <c r="D264" s="116">
        <v>68.610575999999995</v>
      </c>
      <c r="E264" s="116">
        <v>-149.576018</v>
      </c>
      <c r="F264" s="116">
        <v>744</v>
      </c>
      <c r="G264" s="116" t="s">
        <v>569</v>
      </c>
      <c r="H264" s="116" t="s">
        <v>558</v>
      </c>
      <c r="I264" s="116" t="s">
        <v>558</v>
      </c>
      <c r="J264" s="116" t="s">
        <v>1063</v>
      </c>
      <c r="K264" s="116" t="s">
        <v>558</v>
      </c>
      <c r="L264" s="116" t="s">
        <v>1064</v>
      </c>
      <c r="M264" s="122" t="str">
        <f t="shared" si="5"/>
        <v>View on Google Map</v>
      </c>
    </row>
    <row r="265" spans="1:13" x14ac:dyDescent="0.2">
      <c r="A265" s="116">
        <v>538</v>
      </c>
      <c r="B265" s="116" t="s">
        <v>1075</v>
      </c>
      <c r="C265" s="116" t="s">
        <v>1062</v>
      </c>
      <c r="D265" s="116">
        <v>68.610889</v>
      </c>
      <c r="E265" s="116">
        <v>-149.576108</v>
      </c>
      <c r="F265" s="116">
        <v>744</v>
      </c>
      <c r="G265" s="116" t="s">
        <v>583</v>
      </c>
      <c r="H265" s="116" t="s">
        <v>558</v>
      </c>
      <c r="I265" s="116" t="s">
        <v>558</v>
      </c>
      <c r="J265" s="116" t="s">
        <v>1063</v>
      </c>
      <c r="K265" s="116" t="s">
        <v>558</v>
      </c>
      <c r="L265" s="116" t="s">
        <v>1064</v>
      </c>
      <c r="M265" s="122" t="str">
        <f t="shared" si="5"/>
        <v>View on Google Map</v>
      </c>
    </row>
    <row r="266" spans="1:13" x14ac:dyDescent="0.2">
      <c r="A266" s="116">
        <v>544</v>
      </c>
      <c r="B266" s="116" t="s">
        <v>1076</v>
      </c>
      <c r="C266" s="116" t="s">
        <v>1062</v>
      </c>
      <c r="D266" s="116">
        <v>68.610529</v>
      </c>
      <c r="E266" s="116">
        <v>-149.58864199999999</v>
      </c>
      <c r="F266" s="116">
        <v>744</v>
      </c>
      <c r="G266" s="116" t="s">
        <v>569</v>
      </c>
      <c r="H266" s="116" t="s">
        <v>558</v>
      </c>
      <c r="I266" s="116" t="s">
        <v>558</v>
      </c>
      <c r="J266" s="116" t="s">
        <v>1063</v>
      </c>
      <c r="K266" s="116" t="s">
        <v>558</v>
      </c>
      <c r="L266" s="116" t="s">
        <v>1064</v>
      </c>
      <c r="M266" s="122" t="str">
        <f t="shared" si="5"/>
        <v>View on Google Map</v>
      </c>
    </row>
    <row r="267" spans="1:13" x14ac:dyDescent="0.2">
      <c r="A267" s="116">
        <v>540</v>
      </c>
      <c r="B267" s="116" t="s">
        <v>1077</v>
      </c>
      <c r="C267" s="116" t="s">
        <v>1062</v>
      </c>
      <c r="D267" s="116">
        <v>68.609842</v>
      </c>
      <c r="E267" s="116">
        <v>-149.575346</v>
      </c>
      <c r="F267" s="116">
        <v>744</v>
      </c>
      <c r="G267" s="116" t="s">
        <v>569</v>
      </c>
      <c r="H267" s="116" t="s">
        <v>558</v>
      </c>
      <c r="I267" s="116" t="s">
        <v>558</v>
      </c>
      <c r="J267" s="116" t="s">
        <v>1063</v>
      </c>
      <c r="K267" s="116" t="s">
        <v>558</v>
      </c>
      <c r="L267" s="116" t="s">
        <v>1064</v>
      </c>
      <c r="M267" s="122" t="str">
        <f t="shared" si="5"/>
        <v>View on Google Map</v>
      </c>
    </row>
    <row r="268" spans="1:13" x14ac:dyDescent="0.2">
      <c r="A268" s="116">
        <v>542</v>
      </c>
      <c r="B268" s="116" t="s">
        <v>1078</v>
      </c>
      <c r="C268" s="116" t="s">
        <v>1062</v>
      </c>
      <c r="D268" s="116">
        <v>68.609202999999994</v>
      </c>
      <c r="E268" s="116">
        <v>-149.588257</v>
      </c>
      <c r="F268" s="116">
        <v>744</v>
      </c>
      <c r="G268" s="116" t="s">
        <v>569</v>
      </c>
      <c r="H268" s="116" t="s">
        <v>558</v>
      </c>
      <c r="I268" s="116" t="s">
        <v>558</v>
      </c>
      <c r="J268" s="116" t="s">
        <v>1063</v>
      </c>
      <c r="K268" s="116" t="s">
        <v>558</v>
      </c>
      <c r="L268" s="116" t="s">
        <v>1064</v>
      </c>
      <c r="M268" s="122" t="str">
        <f t="shared" si="5"/>
        <v>View on Google Map</v>
      </c>
    </row>
    <row r="269" spans="1:13" x14ac:dyDescent="0.2">
      <c r="A269" s="116">
        <v>543</v>
      </c>
      <c r="B269" s="116" t="s">
        <v>1079</v>
      </c>
      <c r="C269" s="116" t="s">
        <v>1062</v>
      </c>
      <c r="D269" s="116">
        <v>68.610028</v>
      </c>
      <c r="E269" s="116">
        <v>-149.588391</v>
      </c>
      <c r="F269" s="116">
        <v>744</v>
      </c>
      <c r="G269" s="116" t="s">
        <v>569</v>
      </c>
      <c r="H269" s="116" t="s">
        <v>558</v>
      </c>
      <c r="I269" s="116" t="s">
        <v>558</v>
      </c>
      <c r="J269" s="116" t="s">
        <v>1063</v>
      </c>
      <c r="K269" s="116" t="s">
        <v>558</v>
      </c>
      <c r="L269" s="116" t="s">
        <v>1064</v>
      </c>
      <c r="M269" s="122" t="str">
        <f t="shared" si="5"/>
        <v>View on Google Map</v>
      </c>
    </row>
    <row r="270" spans="1:13" x14ac:dyDescent="0.2">
      <c r="A270" s="116">
        <v>537</v>
      </c>
      <c r="B270" s="116" t="s">
        <v>1080</v>
      </c>
      <c r="C270" s="116" t="s">
        <v>1062</v>
      </c>
      <c r="D270" s="116">
        <v>68.611514</v>
      </c>
      <c r="E270" s="116">
        <v>-149.577617</v>
      </c>
      <c r="F270" s="116">
        <v>744</v>
      </c>
      <c r="G270" s="116" t="s">
        <v>583</v>
      </c>
      <c r="H270" s="116" t="s">
        <v>558</v>
      </c>
      <c r="I270" s="116" t="s">
        <v>558</v>
      </c>
      <c r="J270" s="116" t="s">
        <v>1063</v>
      </c>
      <c r="K270" s="116" t="s">
        <v>558</v>
      </c>
      <c r="L270" s="116" t="s">
        <v>1064</v>
      </c>
      <c r="M270" s="122" t="str">
        <f t="shared" si="5"/>
        <v>View on Google Map</v>
      </c>
    </row>
    <row r="271" spans="1:13" x14ac:dyDescent="0.2">
      <c r="A271" s="116">
        <v>15</v>
      </c>
      <c r="B271" s="116" t="s">
        <v>1081</v>
      </c>
      <c r="C271" s="116" t="s">
        <v>558</v>
      </c>
      <c r="D271" s="116" t="s">
        <v>558</v>
      </c>
      <c r="E271" s="116" t="s">
        <v>558</v>
      </c>
      <c r="F271" s="116">
        <v>744</v>
      </c>
      <c r="G271" s="116" t="s">
        <v>583</v>
      </c>
      <c r="H271" s="116" t="s">
        <v>1082</v>
      </c>
      <c r="I271" s="116" t="s">
        <v>1083</v>
      </c>
      <c r="J271" s="116" t="s">
        <v>584</v>
      </c>
      <c r="K271" s="116">
        <v>186</v>
      </c>
      <c r="L271" s="116" t="s">
        <v>558</v>
      </c>
      <c r="M271" s="122" t="str">
        <f t="shared" si="5"/>
        <v>View on Google Map</v>
      </c>
    </row>
    <row r="272" spans="1:13" x14ac:dyDescent="0.2">
      <c r="A272" s="116">
        <v>305</v>
      </c>
      <c r="B272" s="116" t="s">
        <v>1084</v>
      </c>
      <c r="C272" s="116" t="s">
        <v>1085</v>
      </c>
      <c r="D272" s="116" t="s">
        <v>558</v>
      </c>
      <c r="E272" s="116" t="s">
        <v>558</v>
      </c>
      <c r="F272" s="116" t="s">
        <v>558</v>
      </c>
      <c r="G272" s="116" t="s">
        <v>583</v>
      </c>
      <c r="H272" s="116" t="s">
        <v>1086</v>
      </c>
      <c r="I272" s="116" t="s">
        <v>1087</v>
      </c>
      <c r="J272" s="116" t="s">
        <v>584</v>
      </c>
      <c r="K272" s="116" t="s">
        <v>558</v>
      </c>
      <c r="L272" s="116" t="s">
        <v>973</v>
      </c>
      <c r="M272" s="122" t="str">
        <f t="shared" si="5"/>
        <v>View on Google Map</v>
      </c>
    </row>
    <row r="273" spans="1:13" x14ac:dyDescent="0.2">
      <c r="A273" s="116">
        <v>119</v>
      </c>
      <c r="B273" s="116" t="s">
        <v>1088</v>
      </c>
      <c r="C273" s="116" t="s">
        <v>558</v>
      </c>
      <c r="D273" s="116">
        <v>68.618964513199998</v>
      </c>
      <c r="E273" s="116">
        <v>-149.59549733099999</v>
      </c>
      <c r="F273" s="116">
        <v>728</v>
      </c>
      <c r="G273" s="116" t="s">
        <v>569</v>
      </c>
      <c r="H273" s="116" t="s">
        <v>1089</v>
      </c>
      <c r="I273" s="116" t="s">
        <v>1090</v>
      </c>
      <c r="J273" s="116" t="s">
        <v>584</v>
      </c>
      <c r="K273" s="116" t="s">
        <v>558</v>
      </c>
      <c r="L273" s="116" t="s">
        <v>958</v>
      </c>
      <c r="M273" s="122" t="str">
        <f t="shared" si="5"/>
        <v>View on Google Map</v>
      </c>
    </row>
    <row r="274" spans="1:13" x14ac:dyDescent="0.2">
      <c r="A274" s="116">
        <v>244</v>
      </c>
      <c r="B274" s="116" t="s">
        <v>1091</v>
      </c>
      <c r="C274" s="116" t="s">
        <v>558</v>
      </c>
      <c r="D274" s="116">
        <v>68.619383330000005</v>
      </c>
      <c r="E274" s="116">
        <v>-149.59528299999999</v>
      </c>
      <c r="F274" s="116">
        <v>728</v>
      </c>
      <c r="G274" s="116" t="s">
        <v>583</v>
      </c>
      <c r="H274" s="116" t="s">
        <v>1092</v>
      </c>
      <c r="I274" s="116" t="s">
        <v>1093</v>
      </c>
      <c r="J274" s="116" t="s">
        <v>584</v>
      </c>
      <c r="K274" s="116" t="s">
        <v>558</v>
      </c>
      <c r="L274" s="116" t="s">
        <v>973</v>
      </c>
      <c r="M274" s="122" t="str">
        <f t="shared" si="5"/>
        <v>View on Google Map</v>
      </c>
    </row>
    <row r="275" spans="1:13" x14ac:dyDescent="0.2">
      <c r="B275" s="116" t="s">
        <v>1094</v>
      </c>
      <c r="C275" s="116" t="s">
        <v>955</v>
      </c>
      <c r="D275" s="116">
        <v>68.544377999999995</v>
      </c>
      <c r="E275" s="116">
        <v>-149.521467</v>
      </c>
      <c r="G275" s="116" t="s">
        <v>1095</v>
      </c>
      <c r="J275" s="35" t="s">
        <v>584</v>
      </c>
      <c r="M275" s="122" t="str">
        <f t="shared" si="5"/>
        <v>View on Google Map</v>
      </c>
    </row>
    <row r="276" spans="1:13" x14ac:dyDescent="0.2">
      <c r="B276" s="116" t="s">
        <v>1096</v>
      </c>
      <c r="C276" s="116" t="s">
        <v>955</v>
      </c>
      <c r="D276" s="116">
        <v>68.548204999999996</v>
      </c>
      <c r="E276" s="116">
        <v>-149.52195</v>
      </c>
      <c r="G276" s="116" t="s">
        <v>1095</v>
      </c>
      <c r="J276" s="35" t="s">
        <v>584</v>
      </c>
      <c r="M276" s="122" t="str">
        <f t="shared" si="5"/>
        <v>View on Google Map</v>
      </c>
    </row>
    <row r="277" spans="1:13" x14ac:dyDescent="0.2">
      <c r="B277" s="116" t="s">
        <v>1097</v>
      </c>
      <c r="C277" s="116" t="s">
        <v>955</v>
      </c>
      <c r="D277" s="116">
        <v>68.548062999999999</v>
      </c>
      <c r="E277" s="116">
        <v>-149.521309</v>
      </c>
      <c r="G277" s="116" t="s">
        <v>1095</v>
      </c>
      <c r="J277" s="35" t="s">
        <v>584</v>
      </c>
      <c r="M277" s="122" t="str">
        <f t="shared" si="5"/>
        <v>View on Google Map</v>
      </c>
    </row>
    <row r="278" spans="1:13" x14ac:dyDescent="0.2">
      <c r="B278" s="116" t="s">
        <v>1098</v>
      </c>
      <c r="C278" s="116" t="s">
        <v>955</v>
      </c>
      <c r="D278" s="116">
        <v>68.544113999999993</v>
      </c>
      <c r="E278" s="116">
        <v>-149.52220800000001</v>
      </c>
      <c r="G278" s="116" t="s">
        <v>1095</v>
      </c>
      <c r="J278" s="35" t="s">
        <v>584</v>
      </c>
      <c r="M278" s="122" t="str">
        <f t="shared" si="5"/>
        <v>View on Google Map</v>
      </c>
    </row>
    <row r="279" spans="1:13" x14ac:dyDescent="0.2">
      <c r="B279" s="116" t="s">
        <v>1099</v>
      </c>
      <c r="C279" s="116" t="s">
        <v>955</v>
      </c>
      <c r="D279" s="116">
        <v>68.547873999999993</v>
      </c>
      <c r="E279" s="116">
        <v>-149.52158900000001</v>
      </c>
      <c r="G279" s="116" t="s">
        <v>1095</v>
      </c>
      <c r="J279" s="35" t="s">
        <v>584</v>
      </c>
      <c r="M279" s="122" t="str">
        <f t="shared" si="5"/>
        <v>View on Google Map</v>
      </c>
    </row>
    <row r="280" spans="1:13" x14ac:dyDescent="0.2">
      <c r="B280" s="116" t="s">
        <v>1100</v>
      </c>
      <c r="C280" s="116" t="s">
        <v>955</v>
      </c>
      <c r="D280" s="116">
        <v>68.616620304999998</v>
      </c>
      <c r="E280" s="116">
        <v>-149.31797396100001</v>
      </c>
      <c r="F280" s="116">
        <v>880.55700000000002</v>
      </c>
      <c r="G280" s="116" t="s">
        <v>1095</v>
      </c>
      <c r="J280" s="35" t="s">
        <v>584</v>
      </c>
      <c r="M280" s="122" t="str">
        <f t="shared" si="5"/>
        <v>View on Google Map</v>
      </c>
    </row>
    <row r="281" spans="1:13" x14ac:dyDescent="0.2">
      <c r="B281" s="116" t="s">
        <v>1101</v>
      </c>
      <c r="C281" s="116" t="s">
        <v>955</v>
      </c>
      <c r="D281" s="116">
        <v>68.618287679000005</v>
      </c>
      <c r="E281" s="116">
        <v>-149.318578011</v>
      </c>
      <c r="F281" s="116">
        <v>877.59500000000003</v>
      </c>
      <c r="G281" s="116" t="s">
        <v>1095</v>
      </c>
      <c r="J281" s="35" t="s">
        <v>584</v>
      </c>
      <c r="M281" s="122" t="str">
        <f t="shared" si="5"/>
        <v>View on Google Map</v>
      </c>
    </row>
    <row r="282" spans="1:13" x14ac:dyDescent="0.2">
      <c r="B282" s="116" t="s">
        <v>1102</v>
      </c>
      <c r="C282" s="116" t="s">
        <v>955</v>
      </c>
      <c r="D282" s="116">
        <v>68.619548409999993</v>
      </c>
      <c r="E282" s="116">
        <v>-149.31832187699999</v>
      </c>
      <c r="F282" s="116">
        <v>875.59299999999996</v>
      </c>
      <c r="G282" s="116" t="s">
        <v>1095</v>
      </c>
      <c r="J282" s="35" t="s">
        <v>584</v>
      </c>
      <c r="M282" s="122" t="str">
        <f t="shared" si="5"/>
        <v>View on Google Map</v>
      </c>
    </row>
    <row r="283" spans="1:13" x14ac:dyDescent="0.2">
      <c r="B283" s="116" t="s">
        <v>1103</v>
      </c>
      <c r="C283" s="116" t="s">
        <v>955</v>
      </c>
      <c r="D283" s="116">
        <v>68.621317497999996</v>
      </c>
      <c r="E283" s="116">
        <v>-149.31921364300001</v>
      </c>
      <c r="F283" s="116">
        <v>874.15200000000004</v>
      </c>
      <c r="G283" s="116" t="s">
        <v>1095</v>
      </c>
      <c r="J283" s="35" t="s">
        <v>584</v>
      </c>
      <c r="M283" s="122" t="str">
        <f t="shared" si="5"/>
        <v>View on Google Map</v>
      </c>
    </row>
    <row r="284" spans="1:13" x14ac:dyDescent="0.2">
      <c r="A284" s="116">
        <v>11</v>
      </c>
      <c r="B284" s="116" t="s">
        <v>1104</v>
      </c>
      <c r="C284" s="116" t="s">
        <v>558</v>
      </c>
      <c r="D284" s="116" t="s">
        <v>558</v>
      </c>
      <c r="E284" s="116" t="s">
        <v>558</v>
      </c>
      <c r="F284" s="116">
        <v>884</v>
      </c>
      <c r="G284" s="116" t="s">
        <v>583</v>
      </c>
      <c r="H284" s="116" t="s">
        <v>1105</v>
      </c>
      <c r="I284" s="116" t="s">
        <v>1106</v>
      </c>
      <c r="J284" s="116" t="s">
        <v>584</v>
      </c>
      <c r="K284" s="116" t="s">
        <v>558</v>
      </c>
      <c r="L284" s="116" t="s">
        <v>558</v>
      </c>
      <c r="M284" s="122" t="str">
        <f t="shared" si="5"/>
        <v>View on Google Map</v>
      </c>
    </row>
    <row r="285" spans="1:13" x14ac:dyDescent="0.2">
      <c r="B285" s="116" t="s">
        <v>1107</v>
      </c>
      <c r="C285" s="116" t="s">
        <v>955</v>
      </c>
      <c r="D285" s="116">
        <v>68.625256622999999</v>
      </c>
      <c r="E285" s="116">
        <v>-149.32463380199999</v>
      </c>
      <c r="F285" s="116">
        <v>862.80799999999999</v>
      </c>
      <c r="G285" s="116" t="s">
        <v>1095</v>
      </c>
      <c r="J285" s="35" t="s">
        <v>584</v>
      </c>
      <c r="M285" s="122" t="str">
        <f t="shared" si="5"/>
        <v>View on Google Map</v>
      </c>
    </row>
    <row r="286" spans="1:13" x14ac:dyDescent="0.2">
      <c r="B286" s="116" t="s">
        <v>1108</v>
      </c>
      <c r="C286" s="116" t="s">
        <v>955</v>
      </c>
      <c r="D286" s="116">
        <v>68.641922837999999</v>
      </c>
      <c r="E286" s="116">
        <v>-149.342972559</v>
      </c>
      <c r="F286" s="116">
        <v>834.62599999999998</v>
      </c>
      <c r="G286" s="116" t="s">
        <v>1095</v>
      </c>
      <c r="J286" s="35" t="s">
        <v>584</v>
      </c>
      <c r="M286" s="122" t="str">
        <f t="shared" si="5"/>
        <v>View on Google Map</v>
      </c>
    </row>
    <row r="287" spans="1:13" x14ac:dyDescent="0.2">
      <c r="A287" s="116">
        <v>1141</v>
      </c>
      <c r="B287" s="116" t="s">
        <v>1109</v>
      </c>
      <c r="C287" s="116" t="s">
        <v>558</v>
      </c>
      <c r="D287" s="116" t="s">
        <v>558</v>
      </c>
      <c r="E287" s="116" t="s">
        <v>558</v>
      </c>
      <c r="F287" s="116" t="s">
        <v>558</v>
      </c>
      <c r="G287" s="116" t="s">
        <v>559</v>
      </c>
      <c r="H287" s="116" t="s">
        <v>1110</v>
      </c>
      <c r="I287" s="116" t="s">
        <v>558</v>
      </c>
      <c r="J287" s="116" t="s">
        <v>584</v>
      </c>
      <c r="K287" s="116" t="s">
        <v>558</v>
      </c>
      <c r="L287" s="116" t="s">
        <v>558</v>
      </c>
      <c r="M287" s="122" t="str">
        <f t="shared" si="5"/>
        <v>View on Google Map</v>
      </c>
    </row>
    <row r="288" spans="1:13" x14ac:dyDescent="0.2">
      <c r="A288" s="116">
        <v>1142</v>
      </c>
      <c r="B288" s="116" t="s">
        <v>1111</v>
      </c>
      <c r="C288" s="116" t="s">
        <v>558</v>
      </c>
      <c r="D288" s="116" t="s">
        <v>558</v>
      </c>
      <c r="E288" s="116" t="s">
        <v>558</v>
      </c>
      <c r="F288" s="116" t="s">
        <v>558</v>
      </c>
      <c r="G288" s="116" t="s">
        <v>583</v>
      </c>
      <c r="H288" s="116" t="s">
        <v>1112</v>
      </c>
      <c r="I288" s="116" t="s">
        <v>558</v>
      </c>
      <c r="J288" s="116" t="s">
        <v>1113</v>
      </c>
      <c r="K288" s="116" t="s">
        <v>558</v>
      </c>
      <c r="L288" s="116" t="s">
        <v>558</v>
      </c>
      <c r="M288" s="122" t="str">
        <f t="shared" si="5"/>
        <v>View on Google Map</v>
      </c>
    </row>
    <row r="289" spans="1:13" x14ac:dyDescent="0.2">
      <c r="A289" s="116">
        <v>1143</v>
      </c>
      <c r="B289" s="116" t="s">
        <v>1114</v>
      </c>
      <c r="C289" s="116" t="s">
        <v>558</v>
      </c>
      <c r="D289" s="116" t="s">
        <v>558</v>
      </c>
      <c r="E289" s="116" t="s">
        <v>558</v>
      </c>
      <c r="F289" s="116" t="s">
        <v>558</v>
      </c>
      <c r="G289" s="116" t="s">
        <v>583</v>
      </c>
      <c r="H289" s="116" t="s">
        <v>558</v>
      </c>
      <c r="I289" s="116" t="s">
        <v>558</v>
      </c>
      <c r="J289" s="116" t="s">
        <v>1113</v>
      </c>
      <c r="K289" s="116" t="s">
        <v>558</v>
      </c>
      <c r="L289" s="116" t="s">
        <v>558</v>
      </c>
      <c r="M289" s="122" t="str">
        <f t="shared" si="5"/>
        <v>View on Google Map</v>
      </c>
    </row>
    <row r="290" spans="1:13" x14ac:dyDescent="0.2">
      <c r="A290" s="116">
        <v>1140</v>
      </c>
      <c r="B290" s="116" t="s">
        <v>1115</v>
      </c>
      <c r="C290" s="116" t="s">
        <v>558</v>
      </c>
      <c r="D290" s="116" t="s">
        <v>558</v>
      </c>
      <c r="E290" s="116" t="s">
        <v>558</v>
      </c>
      <c r="F290" s="116" t="s">
        <v>558</v>
      </c>
      <c r="G290" s="116" t="s">
        <v>559</v>
      </c>
      <c r="H290" s="116" t="s">
        <v>1116</v>
      </c>
      <c r="I290" s="116" t="s">
        <v>1117</v>
      </c>
      <c r="J290" s="116" t="s">
        <v>584</v>
      </c>
      <c r="K290" s="116" t="s">
        <v>558</v>
      </c>
      <c r="L290" s="116" t="s">
        <v>558</v>
      </c>
      <c r="M290" s="122" t="str">
        <f t="shared" si="5"/>
        <v>View on Google Map</v>
      </c>
    </row>
    <row r="291" spans="1:13" x14ac:dyDescent="0.2">
      <c r="A291" s="116">
        <v>1173</v>
      </c>
      <c r="B291" s="116" t="s">
        <v>1118</v>
      </c>
      <c r="C291" s="116" t="s">
        <v>558</v>
      </c>
      <c r="D291" s="116" t="s">
        <v>558</v>
      </c>
      <c r="E291" s="116" t="s">
        <v>558</v>
      </c>
      <c r="F291" s="116" t="s">
        <v>558</v>
      </c>
      <c r="G291" s="116" t="s">
        <v>559</v>
      </c>
      <c r="H291" s="116" t="s">
        <v>1119</v>
      </c>
      <c r="I291" s="116" t="s">
        <v>558</v>
      </c>
      <c r="J291" s="116" t="s">
        <v>565</v>
      </c>
      <c r="K291" s="116" t="s">
        <v>558</v>
      </c>
      <c r="L291" s="116" t="s">
        <v>566</v>
      </c>
      <c r="M291" s="122" t="str">
        <f t="shared" si="5"/>
        <v>View on Google Map</v>
      </c>
    </row>
    <row r="292" spans="1:13" x14ac:dyDescent="0.2">
      <c r="A292" s="116">
        <v>1144</v>
      </c>
      <c r="B292" s="116" t="s">
        <v>1120</v>
      </c>
      <c r="C292" s="116" t="s">
        <v>558</v>
      </c>
      <c r="D292" s="116" t="s">
        <v>558</v>
      </c>
      <c r="E292" s="116" t="s">
        <v>558</v>
      </c>
      <c r="F292" s="116" t="s">
        <v>558</v>
      </c>
      <c r="G292" s="116" t="s">
        <v>583</v>
      </c>
      <c r="H292" s="116" t="s">
        <v>1120</v>
      </c>
      <c r="I292" s="116" t="s">
        <v>558</v>
      </c>
      <c r="J292" s="116" t="s">
        <v>1113</v>
      </c>
      <c r="K292" s="116" t="s">
        <v>558</v>
      </c>
      <c r="L292" s="116" t="s">
        <v>558</v>
      </c>
      <c r="M292" s="122" t="str">
        <f t="shared" si="5"/>
        <v>View on Google Map</v>
      </c>
    </row>
    <row r="293" spans="1:13" x14ac:dyDescent="0.2">
      <c r="A293" s="116">
        <v>1145</v>
      </c>
      <c r="B293" s="116" t="s">
        <v>1121</v>
      </c>
      <c r="C293" s="116" t="s">
        <v>558</v>
      </c>
      <c r="D293" s="116" t="s">
        <v>558</v>
      </c>
      <c r="E293" s="116" t="s">
        <v>558</v>
      </c>
      <c r="F293" s="116" t="s">
        <v>558</v>
      </c>
      <c r="G293" s="116" t="s">
        <v>583</v>
      </c>
      <c r="H293" s="116" t="s">
        <v>1121</v>
      </c>
      <c r="I293" s="116" t="s">
        <v>558</v>
      </c>
      <c r="J293" s="116" t="s">
        <v>1113</v>
      </c>
      <c r="K293" s="116" t="s">
        <v>558</v>
      </c>
      <c r="L293" s="116" t="s">
        <v>558</v>
      </c>
      <c r="M293" s="122" t="str">
        <f t="shared" si="5"/>
        <v>View on Google Map</v>
      </c>
    </row>
    <row r="294" spans="1:13" x14ac:dyDescent="0.2">
      <c r="A294" s="116">
        <v>1146</v>
      </c>
      <c r="B294" s="116" t="s">
        <v>1122</v>
      </c>
      <c r="C294" s="116" t="s">
        <v>558</v>
      </c>
      <c r="D294" s="116" t="s">
        <v>558</v>
      </c>
      <c r="E294" s="116" t="s">
        <v>558</v>
      </c>
      <c r="F294" s="116" t="s">
        <v>558</v>
      </c>
      <c r="G294" s="116" t="s">
        <v>559</v>
      </c>
      <c r="H294" s="116" t="s">
        <v>1122</v>
      </c>
      <c r="I294" s="116" t="s">
        <v>558</v>
      </c>
      <c r="J294" s="116" t="s">
        <v>1113</v>
      </c>
      <c r="K294" s="116" t="s">
        <v>558</v>
      </c>
      <c r="L294" s="116" t="s">
        <v>558</v>
      </c>
      <c r="M294" s="122" t="str">
        <f t="shared" si="5"/>
        <v>View on Google Map</v>
      </c>
    </row>
    <row r="295" spans="1:13" x14ac:dyDescent="0.2">
      <c r="A295" s="116">
        <v>1147</v>
      </c>
      <c r="B295" s="116" t="s">
        <v>1123</v>
      </c>
      <c r="C295" s="116" t="s">
        <v>558</v>
      </c>
      <c r="D295" s="116" t="s">
        <v>558</v>
      </c>
      <c r="E295" s="116" t="s">
        <v>558</v>
      </c>
      <c r="F295" s="116" t="s">
        <v>558</v>
      </c>
      <c r="G295" s="116" t="s">
        <v>559</v>
      </c>
      <c r="H295" s="116" t="s">
        <v>1123</v>
      </c>
      <c r="I295" s="116" t="s">
        <v>558</v>
      </c>
      <c r="J295" s="116" t="s">
        <v>1113</v>
      </c>
      <c r="K295" s="116" t="s">
        <v>558</v>
      </c>
      <c r="L295" s="116" t="s">
        <v>558</v>
      </c>
      <c r="M295" s="122" t="str">
        <f t="shared" si="5"/>
        <v>View on Google Map</v>
      </c>
    </row>
    <row r="296" spans="1:13" x14ac:dyDescent="0.2">
      <c r="A296" s="116">
        <v>1148</v>
      </c>
      <c r="B296" s="116" t="s">
        <v>1124</v>
      </c>
      <c r="C296" s="116" t="s">
        <v>558</v>
      </c>
      <c r="D296" s="116" t="s">
        <v>558</v>
      </c>
      <c r="E296" s="116" t="s">
        <v>558</v>
      </c>
      <c r="F296" s="116" t="s">
        <v>558</v>
      </c>
      <c r="G296" s="116" t="s">
        <v>559</v>
      </c>
      <c r="H296" s="116" t="s">
        <v>1124</v>
      </c>
      <c r="I296" s="116" t="s">
        <v>1125</v>
      </c>
      <c r="J296" s="116" t="s">
        <v>1113</v>
      </c>
      <c r="K296" s="116" t="s">
        <v>558</v>
      </c>
      <c r="L296" s="116" t="s">
        <v>558</v>
      </c>
      <c r="M296" s="122" t="str">
        <f t="shared" si="5"/>
        <v>View on Google Map</v>
      </c>
    </row>
    <row r="297" spans="1:13" x14ac:dyDescent="0.2">
      <c r="A297" s="116">
        <v>1149</v>
      </c>
      <c r="B297" s="116" t="s">
        <v>1126</v>
      </c>
      <c r="C297" s="116" t="s">
        <v>558</v>
      </c>
      <c r="D297" s="116" t="s">
        <v>558</v>
      </c>
      <c r="E297" s="116" t="s">
        <v>558</v>
      </c>
      <c r="F297" s="116" t="s">
        <v>558</v>
      </c>
      <c r="G297" s="116" t="s">
        <v>559</v>
      </c>
      <c r="H297" s="116" t="s">
        <v>1126</v>
      </c>
      <c r="I297" s="116" t="s">
        <v>1127</v>
      </c>
      <c r="J297" s="116" t="s">
        <v>1113</v>
      </c>
      <c r="K297" s="116" t="s">
        <v>558</v>
      </c>
      <c r="L297" s="116" t="s">
        <v>558</v>
      </c>
      <c r="M297" s="122" t="str">
        <f t="shared" si="5"/>
        <v>View on Google Map</v>
      </c>
    </row>
    <row r="298" spans="1:13" x14ac:dyDescent="0.2">
      <c r="A298" s="116">
        <v>1150</v>
      </c>
      <c r="B298" s="116" t="s">
        <v>1128</v>
      </c>
      <c r="C298" s="116" t="s">
        <v>558</v>
      </c>
      <c r="D298" s="116" t="s">
        <v>558</v>
      </c>
      <c r="E298" s="116" t="s">
        <v>558</v>
      </c>
      <c r="F298" s="116" t="s">
        <v>558</v>
      </c>
      <c r="G298" s="116" t="s">
        <v>559</v>
      </c>
      <c r="H298" s="116" t="s">
        <v>1128</v>
      </c>
      <c r="I298" s="116" t="s">
        <v>1129</v>
      </c>
      <c r="J298" s="116" t="s">
        <v>1113</v>
      </c>
      <c r="K298" s="116" t="s">
        <v>558</v>
      </c>
      <c r="L298" s="116" t="s">
        <v>558</v>
      </c>
      <c r="M298" s="122" t="str">
        <f t="shared" si="5"/>
        <v>View on Google Map</v>
      </c>
    </row>
    <row r="299" spans="1:13" x14ac:dyDescent="0.2">
      <c r="A299" s="116">
        <v>1151</v>
      </c>
      <c r="B299" s="116" t="s">
        <v>1130</v>
      </c>
      <c r="C299" s="116" t="s">
        <v>558</v>
      </c>
      <c r="D299" s="116" t="s">
        <v>558</v>
      </c>
      <c r="E299" s="116" t="s">
        <v>558</v>
      </c>
      <c r="F299" s="116" t="s">
        <v>558</v>
      </c>
      <c r="G299" s="116" t="s">
        <v>559</v>
      </c>
      <c r="H299" s="116" t="s">
        <v>1130</v>
      </c>
      <c r="I299" s="116" t="s">
        <v>1131</v>
      </c>
      <c r="J299" s="116" t="s">
        <v>1113</v>
      </c>
      <c r="K299" s="116" t="s">
        <v>558</v>
      </c>
      <c r="L299" s="116" t="s">
        <v>558</v>
      </c>
      <c r="M299" s="122" t="str">
        <f t="shared" si="5"/>
        <v>View on Google Map</v>
      </c>
    </row>
    <row r="300" spans="1:13" x14ac:dyDescent="0.2">
      <c r="A300" s="116">
        <v>1152</v>
      </c>
      <c r="B300" s="116" t="s">
        <v>1132</v>
      </c>
      <c r="C300" s="116" t="s">
        <v>558</v>
      </c>
      <c r="D300" s="116" t="s">
        <v>558</v>
      </c>
      <c r="E300" s="116" t="s">
        <v>558</v>
      </c>
      <c r="F300" s="116" t="s">
        <v>558</v>
      </c>
      <c r="G300" s="116" t="s">
        <v>559</v>
      </c>
      <c r="H300" s="116" t="s">
        <v>1132</v>
      </c>
      <c r="I300" s="116" t="s">
        <v>1133</v>
      </c>
      <c r="J300" s="116" t="s">
        <v>1113</v>
      </c>
      <c r="K300" s="116" t="s">
        <v>558</v>
      </c>
      <c r="L300" s="116" t="s">
        <v>558</v>
      </c>
      <c r="M300" s="122" t="str">
        <f t="shared" si="5"/>
        <v>View on Google Map</v>
      </c>
    </row>
    <row r="301" spans="1:13" x14ac:dyDescent="0.2">
      <c r="A301" s="116">
        <v>1153</v>
      </c>
      <c r="B301" s="116" t="s">
        <v>1134</v>
      </c>
      <c r="C301" s="116" t="s">
        <v>558</v>
      </c>
      <c r="D301" s="116" t="s">
        <v>558</v>
      </c>
      <c r="E301" s="116" t="s">
        <v>558</v>
      </c>
      <c r="F301" s="116" t="s">
        <v>558</v>
      </c>
      <c r="G301" s="116" t="s">
        <v>559</v>
      </c>
      <c r="H301" s="116" t="s">
        <v>1134</v>
      </c>
      <c r="I301" s="116" t="s">
        <v>1135</v>
      </c>
      <c r="J301" s="116" t="s">
        <v>1113</v>
      </c>
      <c r="K301" s="116" t="s">
        <v>558</v>
      </c>
      <c r="L301" s="116" t="s">
        <v>558</v>
      </c>
      <c r="M301" s="122" t="str">
        <f t="shared" si="5"/>
        <v>View on Google Map</v>
      </c>
    </row>
    <row r="302" spans="1:13" x14ac:dyDescent="0.2">
      <c r="A302" s="116">
        <v>1154</v>
      </c>
      <c r="B302" s="116" t="s">
        <v>1136</v>
      </c>
      <c r="C302" s="116" t="s">
        <v>558</v>
      </c>
      <c r="D302" s="116" t="s">
        <v>558</v>
      </c>
      <c r="E302" s="116" t="s">
        <v>558</v>
      </c>
      <c r="F302" s="116" t="s">
        <v>558</v>
      </c>
      <c r="G302" s="116" t="s">
        <v>559</v>
      </c>
      <c r="H302" s="116" t="s">
        <v>1136</v>
      </c>
      <c r="I302" s="116" t="s">
        <v>1137</v>
      </c>
      <c r="J302" s="116" t="s">
        <v>1113</v>
      </c>
      <c r="K302" s="116" t="s">
        <v>558</v>
      </c>
      <c r="L302" s="116" t="s">
        <v>558</v>
      </c>
      <c r="M302" s="122" t="str">
        <f t="shared" si="5"/>
        <v>View on Google Map</v>
      </c>
    </row>
    <row r="303" spans="1:13" x14ac:dyDescent="0.2">
      <c r="A303" s="116">
        <v>1155</v>
      </c>
      <c r="B303" s="116" t="s">
        <v>1138</v>
      </c>
      <c r="C303" s="116" t="s">
        <v>558</v>
      </c>
      <c r="D303" s="116" t="s">
        <v>558</v>
      </c>
      <c r="E303" s="116" t="s">
        <v>558</v>
      </c>
      <c r="F303" s="116" t="s">
        <v>558</v>
      </c>
      <c r="G303" s="116" t="s">
        <v>559</v>
      </c>
      <c r="H303" s="116" t="s">
        <v>1138</v>
      </c>
      <c r="I303" s="116" t="s">
        <v>1139</v>
      </c>
      <c r="J303" s="116" t="s">
        <v>1113</v>
      </c>
      <c r="K303" s="116" t="s">
        <v>558</v>
      </c>
      <c r="L303" s="116" t="s">
        <v>558</v>
      </c>
      <c r="M303" s="122" t="str">
        <f t="shared" si="5"/>
        <v>View on Google Map</v>
      </c>
    </row>
    <row r="304" spans="1:13" x14ac:dyDescent="0.2">
      <c r="A304" s="116">
        <v>1156</v>
      </c>
      <c r="B304" s="116" t="s">
        <v>1140</v>
      </c>
      <c r="C304" s="116" t="s">
        <v>558</v>
      </c>
      <c r="D304" s="116" t="s">
        <v>558</v>
      </c>
      <c r="E304" s="116" t="s">
        <v>558</v>
      </c>
      <c r="F304" s="116" t="s">
        <v>558</v>
      </c>
      <c r="G304" s="116" t="s">
        <v>559</v>
      </c>
      <c r="H304" s="116" t="s">
        <v>1140</v>
      </c>
      <c r="I304" s="116" t="s">
        <v>1141</v>
      </c>
      <c r="J304" s="116" t="s">
        <v>1113</v>
      </c>
      <c r="K304" s="116" t="s">
        <v>558</v>
      </c>
      <c r="L304" s="116" t="s">
        <v>558</v>
      </c>
      <c r="M304" s="122" t="str">
        <f t="shared" si="5"/>
        <v>View on Google Map</v>
      </c>
    </row>
    <row r="305" spans="1:13" x14ac:dyDescent="0.2">
      <c r="A305" s="116">
        <v>1157</v>
      </c>
      <c r="B305" s="116" t="s">
        <v>1142</v>
      </c>
      <c r="C305" s="116" t="s">
        <v>558</v>
      </c>
      <c r="D305" s="116" t="s">
        <v>558</v>
      </c>
      <c r="E305" s="116" t="s">
        <v>558</v>
      </c>
      <c r="F305" s="116" t="s">
        <v>558</v>
      </c>
      <c r="G305" s="116" t="s">
        <v>559</v>
      </c>
      <c r="H305" s="116" t="s">
        <v>1142</v>
      </c>
      <c r="I305" s="116" t="s">
        <v>1143</v>
      </c>
      <c r="J305" s="116" t="s">
        <v>1113</v>
      </c>
      <c r="K305" s="116" t="s">
        <v>558</v>
      </c>
      <c r="L305" s="116" t="s">
        <v>558</v>
      </c>
      <c r="M305" s="122" t="str">
        <f t="shared" si="5"/>
        <v>View on Google Map</v>
      </c>
    </row>
    <row r="306" spans="1:13" x14ac:dyDescent="0.2">
      <c r="A306" s="116">
        <v>1158</v>
      </c>
      <c r="B306" s="116" t="s">
        <v>1144</v>
      </c>
      <c r="C306" s="116" t="s">
        <v>558</v>
      </c>
      <c r="D306" s="116" t="s">
        <v>558</v>
      </c>
      <c r="E306" s="116" t="s">
        <v>558</v>
      </c>
      <c r="F306" s="116" t="s">
        <v>558</v>
      </c>
      <c r="G306" s="116" t="s">
        <v>559</v>
      </c>
      <c r="H306" s="116" t="s">
        <v>1144</v>
      </c>
      <c r="I306" s="116" t="s">
        <v>1145</v>
      </c>
      <c r="J306" s="116" t="s">
        <v>1113</v>
      </c>
      <c r="K306" s="116" t="s">
        <v>558</v>
      </c>
      <c r="L306" s="116" t="s">
        <v>558</v>
      </c>
      <c r="M306" s="122" t="str">
        <f t="shared" si="5"/>
        <v>View on Google Map</v>
      </c>
    </row>
    <row r="307" spans="1:13" x14ac:dyDescent="0.2">
      <c r="A307" s="116">
        <v>1159</v>
      </c>
      <c r="B307" s="116" t="s">
        <v>1146</v>
      </c>
      <c r="C307" s="116" t="s">
        <v>558</v>
      </c>
      <c r="D307" s="116" t="s">
        <v>558</v>
      </c>
      <c r="E307" s="116" t="s">
        <v>558</v>
      </c>
      <c r="F307" s="116" t="s">
        <v>558</v>
      </c>
      <c r="G307" s="116" t="s">
        <v>559</v>
      </c>
      <c r="H307" s="116" t="s">
        <v>1146</v>
      </c>
      <c r="I307" s="116" t="s">
        <v>1147</v>
      </c>
      <c r="J307" s="116" t="s">
        <v>1113</v>
      </c>
      <c r="K307" s="116" t="s">
        <v>558</v>
      </c>
      <c r="L307" s="116" t="s">
        <v>558</v>
      </c>
      <c r="M307" s="122" t="str">
        <f t="shared" si="5"/>
        <v>View on Google Map</v>
      </c>
    </row>
    <row r="308" spans="1:13" x14ac:dyDescent="0.2">
      <c r="A308" s="116">
        <v>1160</v>
      </c>
      <c r="B308" s="116" t="s">
        <v>1148</v>
      </c>
      <c r="C308" s="116" t="s">
        <v>558</v>
      </c>
      <c r="D308" s="116" t="s">
        <v>558</v>
      </c>
      <c r="E308" s="116" t="s">
        <v>558</v>
      </c>
      <c r="F308" s="116" t="s">
        <v>558</v>
      </c>
      <c r="G308" s="116" t="s">
        <v>559</v>
      </c>
      <c r="H308" s="116" t="s">
        <v>1148</v>
      </c>
      <c r="I308" s="116" t="s">
        <v>1149</v>
      </c>
      <c r="J308" s="116" t="s">
        <v>1113</v>
      </c>
      <c r="K308" s="116" t="s">
        <v>558</v>
      </c>
      <c r="L308" s="116" t="s">
        <v>558</v>
      </c>
      <c r="M308" s="122" t="str">
        <f t="shared" si="5"/>
        <v>View on Google Map</v>
      </c>
    </row>
    <row r="309" spans="1:13" x14ac:dyDescent="0.2">
      <c r="A309" s="116">
        <v>1161</v>
      </c>
      <c r="B309" s="116" t="s">
        <v>1150</v>
      </c>
      <c r="C309" s="116" t="s">
        <v>558</v>
      </c>
      <c r="D309" s="116" t="s">
        <v>558</v>
      </c>
      <c r="E309" s="116" t="s">
        <v>558</v>
      </c>
      <c r="F309" s="116" t="s">
        <v>558</v>
      </c>
      <c r="G309" s="116" t="s">
        <v>559</v>
      </c>
      <c r="H309" s="116" t="s">
        <v>1150</v>
      </c>
      <c r="I309" s="116" t="s">
        <v>1151</v>
      </c>
      <c r="J309" s="116" t="s">
        <v>1113</v>
      </c>
      <c r="K309" s="116" t="s">
        <v>558</v>
      </c>
      <c r="L309" s="116" t="s">
        <v>558</v>
      </c>
      <c r="M309" s="122" t="str">
        <f t="shared" si="5"/>
        <v>View on Google Map</v>
      </c>
    </row>
    <row r="310" spans="1:13" x14ac:dyDescent="0.2">
      <c r="A310" s="116">
        <v>1162</v>
      </c>
      <c r="B310" s="116" t="s">
        <v>1152</v>
      </c>
      <c r="C310" s="116" t="s">
        <v>558</v>
      </c>
      <c r="D310" s="116" t="s">
        <v>558</v>
      </c>
      <c r="E310" s="116" t="s">
        <v>558</v>
      </c>
      <c r="F310" s="116" t="s">
        <v>558</v>
      </c>
      <c r="G310" s="116" t="s">
        <v>559</v>
      </c>
      <c r="H310" s="116" t="s">
        <v>1152</v>
      </c>
      <c r="I310" s="116" t="s">
        <v>1153</v>
      </c>
      <c r="J310" s="116" t="s">
        <v>1113</v>
      </c>
      <c r="K310" s="116" t="s">
        <v>558</v>
      </c>
      <c r="L310" s="116" t="s">
        <v>558</v>
      </c>
      <c r="M310" s="122" t="str">
        <f t="shared" si="5"/>
        <v>View on Google Map</v>
      </c>
    </row>
    <row r="311" spans="1:13" x14ac:dyDescent="0.2">
      <c r="A311" s="116">
        <v>1163</v>
      </c>
      <c r="B311" s="116" t="s">
        <v>1154</v>
      </c>
      <c r="C311" s="116" t="s">
        <v>558</v>
      </c>
      <c r="D311" s="116" t="s">
        <v>558</v>
      </c>
      <c r="E311" s="116" t="s">
        <v>558</v>
      </c>
      <c r="F311" s="116" t="s">
        <v>558</v>
      </c>
      <c r="G311" s="116" t="s">
        <v>559</v>
      </c>
      <c r="H311" s="116" t="s">
        <v>1154</v>
      </c>
      <c r="I311" s="116" t="s">
        <v>1155</v>
      </c>
      <c r="J311" s="116" t="s">
        <v>1113</v>
      </c>
      <c r="K311" s="116" t="s">
        <v>558</v>
      </c>
      <c r="L311" s="116" t="s">
        <v>558</v>
      </c>
      <c r="M311" s="122" t="str">
        <f t="shared" si="5"/>
        <v>View on Google Map</v>
      </c>
    </row>
    <row r="312" spans="1:13" x14ac:dyDescent="0.2">
      <c r="A312" s="116">
        <v>1164</v>
      </c>
      <c r="B312" s="116" t="s">
        <v>1156</v>
      </c>
      <c r="C312" s="116" t="s">
        <v>558</v>
      </c>
      <c r="D312" s="116" t="s">
        <v>558</v>
      </c>
      <c r="E312" s="116" t="s">
        <v>558</v>
      </c>
      <c r="F312" s="116" t="s">
        <v>558</v>
      </c>
      <c r="G312" s="116" t="s">
        <v>559</v>
      </c>
      <c r="H312" s="116" t="s">
        <v>1156</v>
      </c>
      <c r="I312" s="116" t="s">
        <v>1157</v>
      </c>
      <c r="J312" s="116" t="s">
        <v>1113</v>
      </c>
      <c r="K312" s="116" t="s">
        <v>558</v>
      </c>
      <c r="L312" s="116" t="s">
        <v>558</v>
      </c>
      <c r="M312" s="122" t="str">
        <f t="shared" si="5"/>
        <v>View on Google Map</v>
      </c>
    </row>
    <row r="313" spans="1:13" x14ac:dyDescent="0.2">
      <c r="A313" s="116">
        <v>1165</v>
      </c>
      <c r="B313" s="116" t="s">
        <v>1158</v>
      </c>
      <c r="C313" s="116" t="s">
        <v>558</v>
      </c>
      <c r="D313" s="116" t="s">
        <v>558</v>
      </c>
      <c r="E313" s="116" t="s">
        <v>558</v>
      </c>
      <c r="F313" s="116" t="s">
        <v>558</v>
      </c>
      <c r="G313" s="116" t="s">
        <v>559</v>
      </c>
      <c r="H313" s="116" t="s">
        <v>1158</v>
      </c>
      <c r="I313" s="116" t="s">
        <v>558</v>
      </c>
      <c r="J313" s="116" t="s">
        <v>1113</v>
      </c>
      <c r="K313" s="116" t="s">
        <v>558</v>
      </c>
      <c r="L313" s="116" t="s">
        <v>558</v>
      </c>
      <c r="M313" s="122" t="str">
        <f t="shared" si="5"/>
        <v>View on Google Map</v>
      </c>
    </row>
    <row r="314" spans="1:13" x14ac:dyDescent="0.2">
      <c r="A314" s="116">
        <v>1166</v>
      </c>
      <c r="B314" s="116" t="s">
        <v>1159</v>
      </c>
      <c r="C314" s="116" t="s">
        <v>558</v>
      </c>
      <c r="D314" s="116" t="s">
        <v>558</v>
      </c>
      <c r="E314" s="116" t="s">
        <v>558</v>
      </c>
      <c r="F314" s="116" t="s">
        <v>558</v>
      </c>
      <c r="G314" s="116" t="s">
        <v>559</v>
      </c>
      <c r="H314" s="116" t="s">
        <v>1159</v>
      </c>
      <c r="I314" s="116" t="s">
        <v>558</v>
      </c>
      <c r="J314" s="116" t="s">
        <v>1113</v>
      </c>
      <c r="K314" s="116" t="s">
        <v>558</v>
      </c>
      <c r="L314" s="116" t="s">
        <v>558</v>
      </c>
      <c r="M314" s="122" t="str">
        <f t="shared" si="5"/>
        <v>View on Google Map</v>
      </c>
    </row>
    <row r="315" spans="1:13" x14ac:dyDescent="0.2">
      <c r="A315" s="116">
        <v>1167</v>
      </c>
      <c r="B315" s="116" t="s">
        <v>1160</v>
      </c>
      <c r="C315" s="116" t="s">
        <v>1161</v>
      </c>
      <c r="D315" s="116" t="s">
        <v>558</v>
      </c>
      <c r="E315" s="116" t="s">
        <v>558</v>
      </c>
      <c r="F315" s="116" t="s">
        <v>558</v>
      </c>
      <c r="G315" s="116" t="s">
        <v>559</v>
      </c>
      <c r="H315" s="116" t="s">
        <v>1160</v>
      </c>
      <c r="I315" s="116" t="s">
        <v>558</v>
      </c>
      <c r="J315" s="116" t="s">
        <v>560</v>
      </c>
      <c r="K315" s="116" t="s">
        <v>558</v>
      </c>
      <c r="L315" s="116" t="s">
        <v>558</v>
      </c>
      <c r="M315" s="122" t="str">
        <f t="shared" si="5"/>
        <v>View on Google Map</v>
      </c>
    </row>
    <row r="316" spans="1:13" x14ac:dyDescent="0.2">
      <c r="A316" s="116">
        <v>1168</v>
      </c>
      <c r="B316" s="116" t="s">
        <v>1162</v>
      </c>
      <c r="C316" s="116" t="s">
        <v>1161</v>
      </c>
      <c r="D316" s="116" t="s">
        <v>558</v>
      </c>
      <c r="E316" s="116" t="s">
        <v>558</v>
      </c>
      <c r="F316" s="116" t="s">
        <v>558</v>
      </c>
      <c r="G316" s="116" t="s">
        <v>559</v>
      </c>
      <c r="H316" s="116" t="s">
        <v>1162</v>
      </c>
      <c r="I316" s="116" t="s">
        <v>558</v>
      </c>
      <c r="J316" s="116" t="s">
        <v>560</v>
      </c>
      <c r="K316" s="116" t="s">
        <v>558</v>
      </c>
      <c r="L316" s="116" t="s">
        <v>558</v>
      </c>
      <c r="M316" s="122" t="str">
        <f t="shared" si="5"/>
        <v>View on Google Map</v>
      </c>
    </row>
    <row r="317" spans="1:13" x14ac:dyDescent="0.2">
      <c r="A317" s="116">
        <v>125</v>
      </c>
      <c r="B317" s="116" t="s">
        <v>1163</v>
      </c>
      <c r="C317" s="116" t="s">
        <v>558</v>
      </c>
      <c r="D317" s="116">
        <v>68.52364</v>
      </c>
      <c r="E317" s="116">
        <v>-149.48141000000001</v>
      </c>
      <c r="F317" s="116">
        <v>881</v>
      </c>
      <c r="G317" s="116" t="s">
        <v>569</v>
      </c>
      <c r="H317" s="116" t="s">
        <v>1164</v>
      </c>
      <c r="I317" s="116" t="s">
        <v>558</v>
      </c>
      <c r="J317" s="116" t="s">
        <v>584</v>
      </c>
      <c r="K317" s="116" t="s">
        <v>558</v>
      </c>
      <c r="L317" s="116" t="s">
        <v>585</v>
      </c>
      <c r="M317" s="122" t="str">
        <f t="shared" si="5"/>
        <v>View on Google Map</v>
      </c>
    </row>
    <row r="318" spans="1:13" x14ac:dyDescent="0.2">
      <c r="A318" s="116">
        <v>110</v>
      </c>
      <c r="B318" s="116" t="s">
        <v>1165</v>
      </c>
      <c r="C318" s="116" t="s">
        <v>558</v>
      </c>
      <c r="D318" s="116">
        <v>68.687380000000005</v>
      </c>
      <c r="E318" s="116">
        <v>-149.67458999999999</v>
      </c>
      <c r="F318" s="116">
        <v>747</v>
      </c>
      <c r="G318" s="116" t="s">
        <v>569</v>
      </c>
      <c r="H318" s="116" t="s">
        <v>1166</v>
      </c>
      <c r="I318" s="116" t="s">
        <v>558</v>
      </c>
      <c r="J318" s="116" t="s">
        <v>584</v>
      </c>
      <c r="K318" s="116" t="s">
        <v>558</v>
      </c>
      <c r="L318" s="116" t="s">
        <v>558</v>
      </c>
      <c r="M318" s="122" t="str">
        <f t="shared" si="5"/>
        <v>View on Google Map</v>
      </c>
    </row>
    <row r="319" spans="1:13" x14ac:dyDescent="0.2">
      <c r="A319" s="116">
        <v>159</v>
      </c>
      <c r="B319" s="116" t="s">
        <v>1167</v>
      </c>
      <c r="C319" s="116" t="s">
        <v>558</v>
      </c>
      <c r="D319" s="116">
        <v>68.38333333333334</v>
      </c>
      <c r="E319" s="116">
        <v>-149.91666666666666</v>
      </c>
      <c r="F319" s="116">
        <v>681</v>
      </c>
      <c r="G319" s="116" t="s">
        <v>569</v>
      </c>
      <c r="H319" s="116" t="s">
        <v>1168</v>
      </c>
      <c r="I319" s="116" t="s">
        <v>558</v>
      </c>
      <c r="J319" s="116" t="s">
        <v>584</v>
      </c>
      <c r="K319" s="116" t="s">
        <v>558</v>
      </c>
      <c r="L319" s="116" t="s">
        <v>585</v>
      </c>
      <c r="M319" s="122" t="str">
        <f t="shared" si="5"/>
        <v>View on Google Map</v>
      </c>
    </row>
    <row r="320" spans="1:13" x14ac:dyDescent="0.2">
      <c r="B320" s="116" t="s">
        <v>1169</v>
      </c>
      <c r="C320" s="116" t="s">
        <v>1170</v>
      </c>
      <c r="D320" s="116">
        <v>68.590049999999991</v>
      </c>
      <c r="E320" s="116">
        <v>-149.72444166666699</v>
      </c>
      <c r="G320" s="116" t="s">
        <v>1095</v>
      </c>
      <c r="J320" s="35" t="s">
        <v>584</v>
      </c>
      <c r="M320" s="122" t="str">
        <f t="shared" si="5"/>
        <v>View on Google Map</v>
      </c>
    </row>
    <row r="321" spans="1:13" x14ac:dyDescent="0.2">
      <c r="B321" s="116" t="s">
        <v>1171</v>
      </c>
      <c r="C321" s="116" t="s">
        <v>1170</v>
      </c>
      <c r="D321" s="116">
        <v>68.590219444444443</v>
      </c>
      <c r="E321" s="116">
        <v>-149.725272222222</v>
      </c>
      <c r="G321" s="116" t="s">
        <v>1095</v>
      </c>
      <c r="J321" s="35" t="s">
        <v>584</v>
      </c>
      <c r="M321" s="122" t="str">
        <f t="shared" si="5"/>
        <v>View on Google Map</v>
      </c>
    </row>
    <row r="322" spans="1:13" x14ac:dyDescent="0.2">
      <c r="A322" s="116">
        <v>32</v>
      </c>
      <c r="B322" s="116" t="s">
        <v>1172</v>
      </c>
      <c r="C322" s="116" t="s">
        <v>558</v>
      </c>
      <c r="D322" s="116">
        <v>68.933499999999995</v>
      </c>
      <c r="E322" s="116">
        <v>-150.30600000000001</v>
      </c>
      <c r="F322" s="116" t="s">
        <v>558</v>
      </c>
      <c r="G322" s="116" t="s">
        <v>583</v>
      </c>
      <c r="H322" s="116" t="s">
        <v>1173</v>
      </c>
      <c r="I322" s="116" t="s">
        <v>558</v>
      </c>
      <c r="J322" s="116" t="s">
        <v>619</v>
      </c>
      <c r="K322" s="116" t="s">
        <v>558</v>
      </c>
      <c r="L322" s="116" t="s">
        <v>566</v>
      </c>
      <c r="M322" s="122" t="str">
        <f t="shared" si="5"/>
        <v>View on Google Map</v>
      </c>
    </row>
    <row r="323" spans="1:13" x14ac:dyDescent="0.2">
      <c r="A323" s="116">
        <v>33</v>
      </c>
      <c r="B323" s="116" t="s">
        <v>1174</v>
      </c>
      <c r="C323" s="116" t="s">
        <v>558</v>
      </c>
      <c r="D323" s="116">
        <v>68.908000000000001</v>
      </c>
      <c r="E323" s="116">
        <v>-150.114</v>
      </c>
      <c r="F323" s="116" t="s">
        <v>558</v>
      </c>
      <c r="G323" s="116" t="s">
        <v>583</v>
      </c>
      <c r="H323" s="116" t="s">
        <v>1175</v>
      </c>
      <c r="I323" s="116" t="s">
        <v>558</v>
      </c>
      <c r="J323" s="116" t="s">
        <v>619</v>
      </c>
      <c r="K323" s="116" t="s">
        <v>558</v>
      </c>
      <c r="L323" s="116" t="s">
        <v>566</v>
      </c>
      <c r="M323" s="122" t="str">
        <f t="shared" ref="M323:M386" si="6">HYPERLINK("http://maps.google.com/maps?q="&amp;D323&amp;","&amp;E323,"View on Google Map")</f>
        <v>View on Google Map</v>
      </c>
    </row>
    <row r="324" spans="1:13" x14ac:dyDescent="0.2">
      <c r="A324" s="116">
        <v>1</v>
      </c>
      <c r="B324" s="116" t="s">
        <v>1176</v>
      </c>
      <c r="C324" s="116" t="s">
        <v>1177</v>
      </c>
      <c r="D324" s="116">
        <v>68.639103747222222</v>
      </c>
      <c r="E324" s="116">
        <v>-149.39432556944399</v>
      </c>
      <c r="F324" s="116">
        <v>750.56600000000003</v>
      </c>
      <c r="G324" s="116" t="s">
        <v>1095</v>
      </c>
      <c r="J324" s="35" t="s">
        <v>584</v>
      </c>
      <c r="M324" s="122" t="str">
        <f t="shared" si="6"/>
        <v>View on Google Map</v>
      </c>
    </row>
    <row r="325" spans="1:13" x14ac:dyDescent="0.2">
      <c r="A325" s="116">
        <v>1</v>
      </c>
      <c r="B325" s="116" t="s">
        <v>1178</v>
      </c>
      <c r="C325" s="116" t="s">
        <v>1170</v>
      </c>
      <c r="D325" s="116">
        <v>68.638060455555561</v>
      </c>
      <c r="E325" s="116">
        <v>-149.391843363889</v>
      </c>
      <c r="F325" s="116">
        <v>750.601</v>
      </c>
      <c r="G325" s="116" t="s">
        <v>1095</v>
      </c>
      <c r="J325" s="35" t="s">
        <v>584</v>
      </c>
      <c r="M325" s="122" t="str">
        <f t="shared" si="6"/>
        <v>View on Google Map</v>
      </c>
    </row>
    <row r="326" spans="1:13" x14ac:dyDescent="0.2">
      <c r="A326" s="116">
        <v>1</v>
      </c>
      <c r="B326" s="116" t="s">
        <v>1179</v>
      </c>
      <c r="C326" s="116" t="s">
        <v>1180</v>
      </c>
      <c r="D326" s="116">
        <v>68.640747866666672</v>
      </c>
      <c r="E326" s="116">
        <v>-149.40056111111099</v>
      </c>
      <c r="F326" s="116">
        <v>747.74400000000003</v>
      </c>
      <c r="G326" s="116" t="s">
        <v>1095</v>
      </c>
      <c r="J326" s="35" t="s">
        <v>584</v>
      </c>
      <c r="M326" s="122" t="str">
        <f t="shared" si="6"/>
        <v>View on Google Map</v>
      </c>
    </row>
    <row r="327" spans="1:13" x14ac:dyDescent="0.2">
      <c r="A327" s="116">
        <v>1</v>
      </c>
      <c r="B327" s="116" t="s">
        <v>1181</v>
      </c>
      <c r="C327" s="116" t="s">
        <v>1170</v>
      </c>
      <c r="D327" s="116">
        <v>68.638399647222229</v>
      </c>
      <c r="E327" s="116">
        <v>-149.38922950555599</v>
      </c>
      <c r="F327" s="116">
        <v>752.79899999999998</v>
      </c>
      <c r="G327" s="116" t="s">
        <v>1095</v>
      </c>
      <c r="J327" s="35" t="s">
        <v>584</v>
      </c>
      <c r="M327" s="122" t="str">
        <f t="shared" si="6"/>
        <v>View on Google Map</v>
      </c>
    </row>
    <row r="328" spans="1:13" x14ac:dyDescent="0.2">
      <c r="A328" s="116">
        <v>1</v>
      </c>
      <c r="B328" s="116" t="s">
        <v>1182</v>
      </c>
      <c r="C328" s="116" t="s">
        <v>1170</v>
      </c>
      <c r="D328" s="116">
        <v>68.637445127777781</v>
      </c>
      <c r="E328" s="116">
        <v>-149.386685694444</v>
      </c>
      <c r="F328" s="116">
        <v>753.32</v>
      </c>
      <c r="G328" s="116" t="s">
        <v>1095</v>
      </c>
      <c r="J328" s="35" t="s">
        <v>584</v>
      </c>
      <c r="M328" s="122" t="str">
        <f t="shared" si="6"/>
        <v>View on Google Map</v>
      </c>
    </row>
    <row r="329" spans="1:13" x14ac:dyDescent="0.2">
      <c r="A329" s="116">
        <v>1</v>
      </c>
      <c r="B329" s="116" t="s">
        <v>1183</v>
      </c>
      <c r="C329" s="116" t="s">
        <v>955</v>
      </c>
      <c r="D329" s="116">
        <v>68.642054250000001</v>
      </c>
      <c r="E329" s="116">
        <v>-149.40350056666699</v>
      </c>
      <c r="F329" s="116">
        <v>746.26800000000003</v>
      </c>
      <c r="G329" s="116" t="s">
        <v>1095</v>
      </c>
      <c r="J329" s="35" t="s">
        <v>584</v>
      </c>
      <c r="M329" s="122" t="str">
        <f t="shared" si="6"/>
        <v>View on Google Map</v>
      </c>
    </row>
    <row r="330" spans="1:13" x14ac:dyDescent="0.2">
      <c r="A330" s="116">
        <v>1</v>
      </c>
      <c r="B330" s="116" t="s">
        <v>1184</v>
      </c>
      <c r="C330" s="116" t="s">
        <v>1185</v>
      </c>
      <c r="D330" s="116">
        <v>68.641460652777781</v>
      </c>
      <c r="E330" s="116">
        <v>-149.40187098888899</v>
      </c>
      <c r="F330" s="116">
        <v>747.17499999999995</v>
      </c>
      <c r="G330" s="116" t="s">
        <v>1095</v>
      </c>
      <c r="J330" s="35" t="s">
        <v>584</v>
      </c>
      <c r="M330" s="122" t="str">
        <f t="shared" si="6"/>
        <v>View on Google Map</v>
      </c>
    </row>
    <row r="331" spans="1:13" x14ac:dyDescent="0.2">
      <c r="A331" s="116">
        <v>1</v>
      </c>
      <c r="B331" s="116" t="s">
        <v>1186</v>
      </c>
      <c r="C331" s="116" t="s">
        <v>955</v>
      </c>
      <c r="D331" s="116">
        <v>68.643159841666673</v>
      </c>
      <c r="E331" s="116">
        <v>-149.40326701388901</v>
      </c>
      <c r="F331" s="116">
        <v>746.55200000000002</v>
      </c>
      <c r="G331" s="116" t="s">
        <v>1095</v>
      </c>
      <c r="J331" s="35" t="s">
        <v>584</v>
      </c>
      <c r="M331" s="122" t="str">
        <f t="shared" si="6"/>
        <v>View on Google Map</v>
      </c>
    </row>
    <row r="332" spans="1:13" x14ac:dyDescent="0.2">
      <c r="A332" s="116">
        <v>1</v>
      </c>
      <c r="B332" s="116" t="s">
        <v>1187</v>
      </c>
      <c r="C332" s="116" t="s">
        <v>1180</v>
      </c>
      <c r="D332" s="116">
        <v>68.636731430555557</v>
      </c>
      <c r="E332" s="116">
        <v>-149.38318683611101</v>
      </c>
      <c r="F332" s="116">
        <v>755.19299999999998</v>
      </c>
      <c r="G332" s="116" t="s">
        <v>1095</v>
      </c>
      <c r="J332" s="35" t="s">
        <v>584</v>
      </c>
      <c r="M332" s="122" t="str">
        <f t="shared" si="6"/>
        <v>View on Google Map</v>
      </c>
    </row>
    <row r="333" spans="1:13" x14ac:dyDescent="0.2">
      <c r="A333" s="116">
        <v>1</v>
      </c>
      <c r="B333" s="116" t="s">
        <v>1188</v>
      </c>
      <c r="C333" s="116" t="s">
        <v>1180</v>
      </c>
      <c r="D333" s="116">
        <v>68.643629936111111</v>
      </c>
      <c r="E333" s="116">
        <v>-149.40249773333301</v>
      </c>
      <c r="F333" s="116">
        <v>745.85199999999998</v>
      </c>
      <c r="G333" s="116" t="s">
        <v>1095</v>
      </c>
      <c r="J333" s="35" t="s">
        <v>584</v>
      </c>
      <c r="M333" s="122" t="str">
        <f t="shared" si="6"/>
        <v>View on Google Map</v>
      </c>
    </row>
    <row r="334" spans="1:13" x14ac:dyDescent="0.2">
      <c r="A334" s="116">
        <v>1</v>
      </c>
      <c r="B334" s="116" t="s">
        <v>1189</v>
      </c>
      <c r="C334" s="116" t="s">
        <v>1170</v>
      </c>
      <c r="D334" s="116">
        <v>68.644659113888892</v>
      </c>
      <c r="E334" s="116">
        <v>-149.405160461111</v>
      </c>
      <c r="F334" s="116">
        <v>744.06100000000004</v>
      </c>
      <c r="G334" s="116" t="s">
        <v>1095</v>
      </c>
      <c r="J334" s="35" t="s">
        <v>584</v>
      </c>
      <c r="M334" s="122" t="str">
        <f t="shared" si="6"/>
        <v>View on Google Map</v>
      </c>
    </row>
    <row r="335" spans="1:13" x14ac:dyDescent="0.2">
      <c r="A335" s="116">
        <v>1</v>
      </c>
      <c r="B335" s="116" t="s">
        <v>1190</v>
      </c>
      <c r="C335" s="116" t="s">
        <v>955</v>
      </c>
      <c r="D335" s="116">
        <v>68.646338200000002</v>
      </c>
      <c r="E335" s="116">
        <v>-149.41002641666699</v>
      </c>
      <c r="F335" s="116">
        <v>741.68899999999996</v>
      </c>
      <c r="G335" s="116" t="s">
        <v>1095</v>
      </c>
      <c r="J335" s="35" t="s">
        <v>584</v>
      </c>
      <c r="M335" s="122" t="str">
        <f t="shared" si="6"/>
        <v>View on Google Map</v>
      </c>
    </row>
    <row r="336" spans="1:13" x14ac:dyDescent="0.2">
      <c r="A336" s="116">
        <v>1</v>
      </c>
      <c r="B336" s="116" t="s">
        <v>1191</v>
      </c>
      <c r="C336" s="116" t="s">
        <v>1192</v>
      </c>
      <c r="D336" s="116">
        <v>68.646228841666669</v>
      </c>
      <c r="E336" s="116">
        <v>-149.40909021388899</v>
      </c>
      <c r="F336" s="116">
        <v>742.04</v>
      </c>
      <c r="G336" s="116" t="s">
        <v>1095</v>
      </c>
      <c r="J336" s="35" t="s">
        <v>584</v>
      </c>
      <c r="M336" s="122" t="str">
        <f t="shared" si="6"/>
        <v>View on Google Map</v>
      </c>
    </row>
    <row r="337" spans="1:13" x14ac:dyDescent="0.2">
      <c r="A337" s="116">
        <v>1</v>
      </c>
      <c r="B337" s="116" t="s">
        <v>1193</v>
      </c>
      <c r="C337" s="116" t="s">
        <v>1170</v>
      </c>
      <c r="D337" s="116">
        <v>68.647812641666675</v>
      </c>
      <c r="E337" s="116">
        <v>-149.41565431111101</v>
      </c>
      <c r="F337" s="116">
        <v>738.87300000000005</v>
      </c>
      <c r="G337" s="116" t="s">
        <v>1095</v>
      </c>
      <c r="J337" s="35" t="s">
        <v>584</v>
      </c>
      <c r="M337" s="122" t="str">
        <f t="shared" si="6"/>
        <v>View on Google Map</v>
      </c>
    </row>
    <row r="338" spans="1:13" x14ac:dyDescent="0.2">
      <c r="A338" s="116">
        <v>1</v>
      </c>
      <c r="B338" s="116" t="s">
        <v>1194</v>
      </c>
      <c r="C338" s="116" t="s">
        <v>955</v>
      </c>
      <c r="D338" s="116">
        <v>68.649547222222225</v>
      </c>
      <c r="E338" s="116">
        <v>-149.41615246388901</v>
      </c>
      <c r="F338" s="116">
        <v>737.07399999999996</v>
      </c>
      <c r="G338" s="116" t="s">
        <v>1095</v>
      </c>
      <c r="J338" s="35" t="s">
        <v>584</v>
      </c>
      <c r="M338" s="122" t="str">
        <f t="shared" si="6"/>
        <v>View on Google Map</v>
      </c>
    </row>
    <row r="339" spans="1:13" x14ac:dyDescent="0.2">
      <c r="A339" s="116">
        <v>1</v>
      </c>
      <c r="B339" s="116" t="s">
        <v>1195</v>
      </c>
      <c r="C339" s="116" t="s">
        <v>1180</v>
      </c>
      <c r="D339" s="116">
        <v>68.65164966388889</v>
      </c>
      <c r="E339" s="116">
        <v>-149.41647778611099</v>
      </c>
      <c r="F339" s="116">
        <v>735.41800000000001</v>
      </c>
      <c r="G339" s="116" t="s">
        <v>1095</v>
      </c>
      <c r="J339" s="35" t="s">
        <v>584</v>
      </c>
      <c r="M339" s="122" t="str">
        <f t="shared" si="6"/>
        <v>View on Google Map</v>
      </c>
    </row>
    <row r="340" spans="1:13" x14ac:dyDescent="0.2">
      <c r="A340" s="116">
        <v>1</v>
      </c>
      <c r="B340" s="116" t="s">
        <v>1196</v>
      </c>
      <c r="C340" s="116" t="s">
        <v>955</v>
      </c>
      <c r="D340" s="116">
        <v>68.652284541666674</v>
      </c>
      <c r="E340" s="116">
        <v>-149.41517665000001</v>
      </c>
      <c r="F340" s="116">
        <v>734.78499999999997</v>
      </c>
      <c r="G340" s="116" t="s">
        <v>1095</v>
      </c>
      <c r="J340" s="35" t="s">
        <v>584</v>
      </c>
      <c r="M340" s="122" t="str">
        <f t="shared" si="6"/>
        <v>View on Google Map</v>
      </c>
    </row>
    <row r="341" spans="1:13" x14ac:dyDescent="0.2">
      <c r="A341" s="116">
        <v>1</v>
      </c>
      <c r="B341" s="116" t="s">
        <v>1197</v>
      </c>
      <c r="C341" s="116" t="s">
        <v>1170</v>
      </c>
      <c r="D341" s="116">
        <v>68.653667241666668</v>
      </c>
      <c r="E341" s="116">
        <v>-149.420855111111</v>
      </c>
      <c r="F341" s="116">
        <v>732.173</v>
      </c>
      <c r="G341" s="116" t="s">
        <v>1095</v>
      </c>
      <c r="J341" s="35" t="s">
        <v>584</v>
      </c>
      <c r="M341" s="122" t="str">
        <f t="shared" si="6"/>
        <v>View on Google Map</v>
      </c>
    </row>
    <row r="342" spans="1:13" x14ac:dyDescent="0.2">
      <c r="A342" s="116">
        <v>1</v>
      </c>
      <c r="B342" s="116" t="s">
        <v>1198</v>
      </c>
      <c r="C342" s="116" t="s">
        <v>955</v>
      </c>
      <c r="D342" s="116">
        <v>68.658785577777778</v>
      </c>
      <c r="E342" s="116">
        <v>-149.42446433055599</v>
      </c>
      <c r="F342" s="116">
        <v>726.91899999999998</v>
      </c>
      <c r="G342" s="116" t="s">
        <v>1095</v>
      </c>
      <c r="J342" s="35" t="s">
        <v>584</v>
      </c>
      <c r="M342" s="122" t="str">
        <f t="shared" si="6"/>
        <v>View on Google Map</v>
      </c>
    </row>
    <row r="343" spans="1:13" x14ac:dyDescent="0.2">
      <c r="A343" s="116">
        <v>1</v>
      </c>
      <c r="B343" s="116" t="s">
        <v>1199</v>
      </c>
      <c r="C343" s="116" t="s">
        <v>1200</v>
      </c>
      <c r="D343" s="116">
        <v>68.638340663999998</v>
      </c>
      <c r="E343" s="116">
        <v>-149.39350505600001</v>
      </c>
      <c r="G343" s="116" t="s">
        <v>1095</v>
      </c>
      <c r="J343" s="35" t="s">
        <v>584</v>
      </c>
      <c r="M343" s="122" t="str">
        <f t="shared" si="6"/>
        <v>View on Google Map</v>
      </c>
    </row>
    <row r="344" spans="1:13" x14ac:dyDescent="0.2">
      <c r="A344" s="116">
        <v>1</v>
      </c>
      <c r="B344" s="35" t="s">
        <v>1201</v>
      </c>
      <c r="C344" s="35" t="s">
        <v>1201</v>
      </c>
      <c r="D344" s="116">
        <v>68.647525999999999</v>
      </c>
      <c r="E344" s="116">
        <v>-149.411416</v>
      </c>
      <c r="F344" s="116">
        <v>731</v>
      </c>
      <c r="G344" s="116" t="s">
        <v>583</v>
      </c>
      <c r="H344" s="116" t="s">
        <v>1202</v>
      </c>
      <c r="I344" s="116" t="s">
        <v>558</v>
      </c>
      <c r="J344" s="116" t="s">
        <v>584</v>
      </c>
      <c r="K344" s="116" t="s">
        <v>558</v>
      </c>
      <c r="L344" s="116" t="s">
        <v>558</v>
      </c>
      <c r="M344" s="122" t="str">
        <f t="shared" si="6"/>
        <v>View on Google Map</v>
      </c>
    </row>
    <row r="345" spans="1:13" x14ac:dyDescent="0.2">
      <c r="A345" s="116">
        <v>19</v>
      </c>
      <c r="B345" s="116" t="s">
        <v>1203</v>
      </c>
      <c r="C345" s="116" t="s">
        <v>558</v>
      </c>
      <c r="D345" s="116">
        <v>68.967611000000005</v>
      </c>
      <c r="E345" s="116">
        <v>-149.705342</v>
      </c>
      <c r="F345" s="116">
        <v>411</v>
      </c>
      <c r="G345" s="116" t="s">
        <v>583</v>
      </c>
      <c r="H345" s="116" t="s">
        <v>1204</v>
      </c>
      <c r="I345" s="116" t="s">
        <v>558</v>
      </c>
      <c r="J345" s="116" t="s">
        <v>584</v>
      </c>
      <c r="K345" s="116" t="s">
        <v>558</v>
      </c>
      <c r="L345" s="116" t="s">
        <v>558</v>
      </c>
      <c r="M345" s="122" t="str">
        <f t="shared" si="6"/>
        <v>View on Google Map</v>
      </c>
    </row>
    <row r="346" spans="1:13" x14ac:dyDescent="0.2">
      <c r="A346" s="116">
        <v>16</v>
      </c>
      <c r="B346" s="116" t="s">
        <v>1205</v>
      </c>
      <c r="C346" s="116" t="s">
        <v>558</v>
      </c>
      <c r="D346" s="116" t="s">
        <v>558</v>
      </c>
      <c r="E346" s="116" t="s">
        <v>558</v>
      </c>
      <c r="F346" s="116" t="s">
        <v>558</v>
      </c>
      <c r="G346" s="116" t="s">
        <v>583</v>
      </c>
      <c r="H346" s="116" t="s">
        <v>558</v>
      </c>
      <c r="I346" s="116" t="s">
        <v>558</v>
      </c>
      <c r="J346" s="116" t="s">
        <v>584</v>
      </c>
      <c r="K346" s="116" t="s">
        <v>558</v>
      </c>
      <c r="L346" s="116" t="s">
        <v>558</v>
      </c>
      <c r="M346" s="122" t="str">
        <f t="shared" si="6"/>
        <v>View on Google Map</v>
      </c>
    </row>
    <row r="347" spans="1:13" x14ac:dyDescent="0.2">
      <c r="A347" s="116">
        <v>1198</v>
      </c>
      <c r="B347" s="116" t="s">
        <v>1206</v>
      </c>
      <c r="C347" s="116" t="s">
        <v>742</v>
      </c>
      <c r="D347" s="116">
        <v>69.297460909999998</v>
      </c>
      <c r="E347" s="116">
        <v>-150.32340117999999</v>
      </c>
      <c r="F347" s="116" t="s">
        <v>558</v>
      </c>
      <c r="G347" s="116" t="s">
        <v>559</v>
      </c>
      <c r="H347" s="116" t="s">
        <v>558</v>
      </c>
      <c r="I347" s="116" t="s">
        <v>558</v>
      </c>
      <c r="J347" s="116" t="s">
        <v>565</v>
      </c>
      <c r="K347" s="116" t="s">
        <v>558</v>
      </c>
      <c r="L347" s="116" t="s">
        <v>566</v>
      </c>
      <c r="M347" s="122" t="str">
        <f t="shared" si="6"/>
        <v>View on Google Map</v>
      </c>
    </row>
    <row r="348" spans="1:13" x14ac:dyDescent="0.2">
      <c r="A348" s="116">
        <v>135</v>
      </c>
      <c r="B348" s="116" t="s">
        <v>1207</v>
      </c>
      <c r="C348" s="116" t="s">
        <v>558</v>
      </c>
      <c r="D348" s="116">
        <v>70.333333333333329</v>
      </c>
      <c r="E348" s="116">
        <v>-148.80000000000001</v>
      </c>
      <c r="F348" s="116">
        <v>4</v>
      </c>
      <c r="G348" s="116" t="s">
        <v>569</v>
      </c>
      <c r="H348" s="116" t="s">
        <v>1208</v>
      </c>
      <c r="I348" s="116" t="s">
        <v>558</v>
      </c>
      <c r="J348" s="116" t="s">
        <v>584</v>
      </c>
      <c r="K348" s="116" t="s">
        <v>558</v>
      </c>
      <c r="L348" s="116" t="s">
        <v>585</v>
      </c>
      <c r="M348" s="122" t="str">
        <f t="shared" si="6"/>
        <v>View on Google Map</v>
      </c>
    </row>
    <row r="349" spans="1:13" x14ac:dyDescent="0.2">
      <c r="A349" s="116">
        <v>126</v>
      </c>
      <c r="B349" s="116" t="s">
        <v>1209</v>
      </c>
      <c r="C349" s="116" t="s">
        <v>558</v>
      </c>
      <c r="D349" s="116">
        <v>68.733333333333334</v>
      </c>
      <c r="E349" s="116">
        <v>-148.93333333333334</v>
      </c>
      <c r="F349" s="116">
        <v>556</v>
      </c>
      <c r="G349" s="116" t="s">
        <v>569</v>
      </c>
      <c r="H349" s="116" t="s">
        <v>1210</v>
      </c>
      <c r="I349" s="116" t="s">
        <v>558</v>
      </c>
      <c r="J349" s="116" t="s">
        <v>584</v>
      </c>
      <c r="K349" s="116" t="s">
        <v>558</v>
      </c>
      <c r="L349" s="116" t="s">
        <v>585</v>
      </c>
      <c r="M349" s="122" t="str">
        <f t="shared" si="6"/>
        <v>View on Google Map</v>
      </c>
    </row>
    <row r="350" spans="1:13" x14ac:dyDescent="0.2">
      <c r="A350" s="116">
        <v>134</v>
      </c>
      <c r="B350" s="116" t="s">
        <v>1211</v>
      </c>
      <c r="C350" s="116" t="s">
        <v>558</v>
      </c>
      <c r="D350" s="116">
        <v>70.349999999999994</v>
      </c>
      <c r="E350" s="116">
        <v>-148.58333333333334</v>
      </c>
      <c r="F350" s="116">
        <v>2</v>
      </c>
      <c r="G350" s="116" t="s">
        <v>569</v>
      </c>
      <c r="H350" s="116" t="s">
        <v>1212</v>
      </c>
      <c r="I350" s="116" t="s">
        <v>558</v>
      </c>
      <c r="J350" s="116" t="s">
        <v>584</v>
      </c>
      <c r="K350" s="116" t="s">
        <v>558</v>
      </c>
      <c r="L350" s="116" t="s">
        <v>585</v>
      </c>
      <c r="M350" s="122" t="str">
        <f t="shared" si="6"/>
        <v>View on Google Map</v>
      </c>
    </row>
    <row r="351" spans="1:13" x14ac:dyDescent="0.2">
      <c r="A351" s="116">
        <v>128</v>
      </c>
      <c r="B351" s="116" t="s">
        <v>1213</v>
      </c>
      <c r="C351" s="116" t="s">
        <v>558</v>
      </c>
      <c r="D351" s="116">
        <v>69.033333333333331</v>
      </c>
      <c r="E351" s="116">
        <v>-148.85</v>
      </c>
      <c r="F351" s="116">
        <v>319</v>
      </c>
      <c r="G351" s="116" t="s">
        <v>569</v>
      </c>
      <c r="H351" s="116" t="s">
        <v>1214</v>
      </c>
      <c r="I351" s="116" t="s">
        <v>558</v>
      </c>
      <c r="J351" s="116" t="s">
        <v>584</v>
      </c>
      <c r="K351" s="116" t="s">
        <v>558</v>
      </c>
      <c r="L351" s="116" t="s">
        <v>585</v>
      </c>
      <c r="M351" s="122" t="str">
        <f t="shared" si="6"/>
        <v>View on Google Map</v>
      </c>
    </row>
    <row r="352" spans="1:13" x14ac:dyDescent="0.2">
      <c r="A352" s="116">
        <v>139</v>
      </c>
      <c r="B352" s="116" t="s">
        <v>1215</v>
      </c>
      <c r="C352" s="116" t="s">
        <v>558</v>
      </c>
      <c r="D352" s="116">
        <v>70.216666666666669</v>
      </c>
      <c r="E352" s="116">
        <v>-142.46666666666701</v>
      </c>
      <c r="F352" s="116">
        <v>15</v>
      </c>
      <c r="G352" s="116" t="s">
        <v>569</v>
      </c>
      <c r="H352" s="116" t="s">
        <v>1216</v>
      </c>
      <c r="I352" s="116" t="s">
        <v>1217</v>
      </c>
      <c r="J352" s="116" t="s">
        <v>584</v>
      </c>
      <c r="K352" s="116" t="s">
        <v>558</v>
      </c>
      <c r="L352" s="116" t="s">
        <v>585</v>
      </c>
      <c r="M352" s="122" t="str">
        <f t="shared" si="6"/>
        <v>View on Google Map</v>
      </c>
    </row>
    <row r="353" spans="1:14" x14ac:dyDescent="0.2">
      <c r="A353" s="116">
        <v>127</v>
      </c>
      <c r="B353" s="116" t="s">
        <v>1218</v>
      </c>
      <c r="C353" s="116" t="s">
        <v>558</v>
      </c>
      <c r="D353" s="116">
        <v>68.733333333333334</v>
      </c>
      <c r="E353" s="116">
        <v>-148.96666666666667</v>
      </c>
      <c r="F353" s="116">
        <v>597</v>
      </c>
      <c r="G353" s="116" t="s">
        <v>569</v>
      </c>
      <c r="H353" s="116" t="s">
        <v>1219</v>
      </c>
      <c r="I353" s="116" t="s">
        <v>558</v>
      </c>
      <c r="J353" s="116" t="s">
        <v>584</v>
      </c>
      <c r="K353" s="116" t="s">
        <v>558</v>
      </c>
      <c r="L353" s="116" t="s">
        <v>585</v>
      </c>
      <c r="M353" s="122" t="str">
        <f t="shared" si="6"/>
        <v>View on Google Map</v>
      </c>
    </row>
    <row r="354" spans="1:14" x14ac:dyDescent="0.2">
      <c r="A354" s="116">
        <v>133</v>
      </c>
      <c r="B354" s="116" t="s">
        <v>1220</v>
      </c>
      <c r="C354" s="116" t="s">
        <v>558</v>
      </c>
      <c r="D354" s="116">
        <v>70.36666666666666</v>
      </c>
      <c r="E354" s="116">
        <v>-148.5</v>
      </c>
      <c r="F354" s="116">
        <v>2</v>
      </c>
      <c r="G354" s="116" t="s">
        <v>569</v>
      </c>
      <c r="H354" s="116" t="s">
        <v>1221</v>
      </c>
      <c r="I354" s="116" t="s">
        <v>558</v>
      </c>
      <c r="J354" s="116" t="s">
        <v>584</v>
      </c>
      <c r="K354" s="116" t="s">
        <v>558</v>
      </c>
      <c r="L354" s="116" t="s">
        <v>585</v>
      </c>
      <c r="M354" s="122" t="str">
        <f t="shared" si="6"/>
        <v>View on Google Map</v>
      </c>
    </row>
    <row r="355" spans="1:14" x14ac:dyDescent="0.2">
      <c r="A355" s="116">
        <v>140</v>
      </c>
      <c r="B355" s="116" t="s">
        <v>1222</v>
      </c>
      <c r="C355" s="116" t="s">
        <v>558</v>
      </c>
      <c r="D355" s="116">
        <v>69.583333333333329</v>
      </c>
      <c r="E355" s="116">
        <v>-148.63333333333301</v>
      </c>
      <c r="F355" s="116">
        <v>145</v>
      </c>
      <c r="G355" s="116" t="s">
        <v>569</v>
      </c>
      <c r="H355" s="116" t="s">
        <v>1223</v>
      </c>
      <c r="I355" s="116" t="s">
        <v>1224</v>
      </c>
      <c r="J355" s="116" t="s">
        <v>584</v>
      </c>
      <c r="K355" s="116" t="s">
        <v>558</v>
      </c>
      <c r="L355" s="116" t="s">
        <v>585</v>
      </c>
      <c r="M355" s="122" t="str">
        <f t="shared" si="6"/>
        <v>View on Google Map</v>
      </c>
    </row>
    <row r="356" spans="1:14" x14ac:dyDescent="0.2">
      <c r="A356" s="116">
        <v>247</v>
      </c>
      <c r="B356" s="116" t="s">
        <v>1225</v>
      </c>
      <c r="C356" s="116" t="s">
        <v>1226</v>
      </c>
      <c r="D356" s="116">
        <v>68.687318124800001</v>
      </c>
      <c r="E356" s="116">
        <v>-150.043661294</v>
      </c>
      <c r="F356" s="116">
        <v>670</v>
      </c>
      <c r="G356" s="116" t="s">
        <v>569</v>
      </c>
      <c r="H356" s="116" t="s">
        <v>1227</v>
      </c>
      <c r="I356" s="116" t="s">
        <v>558</v>
      </c>
      <c r="J356" s="116" t="s">
        <v>851</v>
      </c>
      <c r="K356" s="116" t="s">
        <v>558</v>
      </c>
      <c r="L356" s="116" t="s">
        <v>852</v>
      </c>
      <c r="M356" s="122" t="str">
        <f t="shared" si="6"/>
        <v>View on Google Map</v>
      </c>
      <c r="N356" s="116">
        <f t="shared" ref="N356:N419" si="7">VALUE(MID(H356,5,3))</f>
        <v>1</v>
      </c>
    </row>
    <row r="357" spans="1:14" x14ac:dyDescent="0.2">
      <c r="A357" s="116">
        <v>248</v>
      </c>
      <c r="B357" s="116" t="s">
        <v>1228</v>
      </c>
      <c r="C357" s="116" t="s">
        <v>1229</v>
      </c>
      <c r="D357" s="116">
        <v>68.691799913400004</v>
      </c>
      <c r="E357" s="116">
        <v>-150.04995633499999</v>
      </c>
      <c r="F357" s="116">
        <v>670</v>
      </c>
      <c r="G357" s="116" t="s">
        <v>569</v>
      </c>
      <c r="H357" s="116" t="s">
        <v>1230</v>
      </c>
      <c r="I357" s="116" t="s">
        <v>558</v>
      </c>
      <c r="J357" s="116" t="s">
        <v>851</v>
      </c>
      <c r="K357" s="116" t="s">
        <v>558</v>
      </c>
      <c r="L357" s="116" t="s">
        <v>852</v>
      </c>
      <c r="M357" s="122" t="str">
        <f t="shared" si="6"/>
        <v>View on Google Map</v>
      </c>
      <c r="N357" s="116">
        <f t="shared" si="7"/>
        <v>2</v>
      </c>
    </row>
    <row r="358" spans="1:14" x14ac:dyDescent="0.2">
      <c r="A358" s="116">
        <v>249</v>
      </c>
      <c r="B358" s="116" t="s">
        <v>1231</v>
      </c>
      <c r="C358" s="116" t="s">
        <v>1232</v>
      </c>
      <c r="D358" s="116">
        <v>68.692272706200001</v>
      </c>
      <c r="E358" s="116">
        <v>-150.05393183499999</v>
      </c>
      <c r="F358" s="116">
        <v>670</v>
      </c>
      <c r="G358" s="116" t="s">
        <v>569</v>
      </c>
      <c r="H358" s="116" t="s">
        <v>1233</v>
      </c>
      <c r="I358" s="116" t="s">
        <v>558</v>
      </c>
      <c r="J358" s="116" t="s">
        <v>851</v>
      </c>
      <c r="K358" s="116" t="s">
        <v>558</v>
      </c>
      <c r="L358" s="116" t="s">
        <v>852</v>
      </c>
      <c r="M358" s="122" t="str">
        <f t="shared" si="6"/>
        <v>View on Google Map</v>
      </c>
      <c r="N358" s="116">
        <f t="shared" si="7"/>
        <v>3</v>
      </c>
    </row>
    <row r="359" spans="1:14" x14ac:dyDescent="0.2">
      <c r="A359" s="116">
        <v>250</v>
      </c>
      <c r="B359" s="116" t="s">
        <v>1234</v>
      </c>
      <c r="C359" s="116" t="s">
        <v>1235</v>
      </c>
      <c r="D359" s="116">
        <v>68.694180615799993</v>
      </c>
      <c r="E359" s="116">
        <v>-150.05828837300001</v>
      </c>
      <c r="F359" s="116">
        <v>670</v>
      </c>
      <c r="G359" s="116" t="s">
        <v>569</v>
      </c>
      <c r="H359" s="116" t="s">
        <v>1236</v>
      </c>
      <c r="I359" s="116" t="s">
        <v>558</v>
      </c>
      <c r="J359" s="116" t="s">
        <v>851</v>
      </c>
      <c r="K359" s="116" t="s">
        <v>558</v>
      </c>
      <c r="L359" s="116" t="s">
        <v>852</v>
      </c>
      <c r="M359" s="122" t="str">
        <f t="shared" si="6"/>
        <v>View on Google Map</v>
      </c>
      <c r="N359" s="116">
        <f t="shared" si="7"/>
        <v>4</v>
      </c>
    </row>
    <row r="360" spans="1:14" x14ac:dyDescent="0.2">
      <c r="A360" s="116">
        <v>251</v>
      </c>
      <c r="B360" s="116" t="s">
        <v>1237</v>
      </c>
      <c r="C360" s="116" t="s">
        <v>1238</v>
      </c>
      <c r="D360" s="116">
        <v>68.7077131315</v>
      </c>
      <c r="E360" s="116">
        <v>-150.04654580600001</v>
      </c>
      <c r="F360" s="116">
        <v>580</v>
      </c>
      <c r="G360" s="116" t="s">
        <v>569</v>
      </c>
      <c r="H360" s="116" t="s">
        <v>1239</v>
      </c>
      <c r="I360" s="116" t="s">
        <v>558</v>
      </c>
      <c r="J360" s="116" t="s">
        <v>851</v>
      </c>
      <c r="K360" s="116" t="s">
        <v>558</v>
      </c>
      <c r="L360" s="116" t="s">
        <v>852</v>
      </c>
      <c r="M360" s="122" t="str">
        <f t="shared" si="6"/>
        <v>View on Google Map</v>
      </c>
      <c r="N360" s="116">
        <f t="shared" si="7"/>
        <v>5</v>
      </c>
    </row>
    <row r="361" spans="1:14" x14ac:dyDescent="0.2">
      <c r="A361" s="116">
        <v>252</v>
      </c>
      <c r="B361" s="116" t="s">
        <v>1240</v>
      </c>
      <c r="C361" s="116" t="s">
        <v>1241</v>
      </c>
      <c r="D361" s="116">
        <v>68.713583961699996</v>
      </c>
      <c r="E361" s="116">
        <v>-150.03096474</v>
      </c>
      <c r="F361" s="116">
        <v>550</v>
      </c>
      <c r="G361" s="116" t="s">
        <v>569</v>
      </c>
      <c r="H361" s="116" t="s">
        <v>1242</v>
      </c>
      <c r="I361" s="116" t="s">
        <v>558</v>
      </c>
      <c r="J361" s="116" t="s">
        <v>851</v>
      </c>
      <c r="K361" s="116" t="s">
        <v>558</v>
      </c>
      <c r="L361" s="116" t="s">
        <v>852</v>
      </c>
      <c r="M361" s="122" t="str">
        <f t="shared" si="6"/>
        <v>View on Google Map</v>
      </c>
      <c r="N361" s="116">
        <f t="shared" si="7"/>
        <v>6</v>
      </c>
    </row>
    <row r="362" spans="1:14" x14ac:dyDescent="0.2">
      <c r="A362" s="116">
        <v>253</v>
      </c>
      <c r="B362" s="116" t="s">
        <v>1243</v>
      </c>
      <c r="C362" s="116" t="s">
        <v>1244</v>
      </c>
      <c r="D362" s="116">
        <v>68.717696468200003</v>
      </c>
      <c r="E362" s="116">
        <v>-150.03558023400001</v>
      </c>
      <c r="F362" s="116">
        <v>550</v>
      </c>
      <c r="G362" s="116" t="s">
        <v>569</v>
      </c>
      <c r="H362" s="116" t="s">
        <v>1245</v>
      </c>
      <c r="I362" s="116" t="s">
        <v>558</v>
      </c>
      <c r="J362" s="116" t="s">
        <v>851</v>
      </c>
      <c r="K362" s="116" t="s">
        <v>558</v>
      </c>
      <c r="L362" s="116" t="s">
        <v>852</v>
      </c>
      <c r="M362" s="122" t="str">
        <f t="shared" si="6"/>
        <v>View on Google Map</v>
      </c>
      <c r="N362" s="116">
        <f t="shared" si="7"/>
        <v>7</v>
      </c>
    </row>
    <row r="363" spans="1:14" x14ac:dyDescent="0.2">
      <c r="A363" s="116">
        <v>254</v>
      </c>
      <c r="B363" s="116" t="s">
        <v>1246</v>
      </c>
      <c r="C363" s="116" t="s">
        <v>1247</v>
      </c>
      <c r="D363" s="116">
        <v>68.724625849299997</v>
      </c>
      <c r="E363" s="116">
        <v>-150.02664640699999</v>
      </c>
      <c r="F363" s="116">
        <v>520</v>
      </c>
      <c r="G363" s="116" t="s">
        <v>569</v>
      </c>
      <c r="H363" s="116" t="s">
        <v>1248</v>
      </c>
      <c r="I363" s="116" t="s">
        <v>558</v>
      </c>
      <c r="J363" s="116" t="s">
        <v>851</v>
      </c>
      <c r="K363" s="116" t="s">
        <v>558</v>
      </c>
      <c r="L363" s="116" t="s">
        <v>852</v>
      </c>
      <c r="M363" s="122" t="str">
        <f t="shared" si="6"/>
        <v>View on Google Map</v>
      </c>
      <c r="N363" s="116">
        <f t="shared" si="7"/>
        <v>8</v>
      </c>
    </row>
    <row r="364" spans="1:14" x14ac:dyDescent="0.2">
      <c r="A364" s="116">
        <v>255</v>
      </c>
      <c r="B364" s="116" t="s">
        <v>1249</v>
      </c>
      <c r="C364" s="116" t="s">
        <v>1250</v>
      </c>
      <c r="D364" s="116">
        <v>68.728073916699998</v>
      </c>
      <c r="E364" s="116">
        <v>-150.03359923599999</v>
      </c>
      <c r="F364" s="116">
        <v>520</v>
      </c>
      <c r="G364" s="116" t="s">
        <v>569</v>
      </c>
      <c r="H364" s="116" t="s">
        <v>1251</v>
      </c>
      <c r="I364" s="116" t="s">
        <v>558</v>
      </c>
      <c r="J364" s="116" t="s">
        <v>851</v>
      </c>
      <c r="K364" s="116" t="s">
        <v>558</v>
      </c>
      <c r="L364" s="116" t="s">
        <v>852</v>
      </c>
      <c r="M364" s="122" t="str">
        <f t="shared" si="6"/>
        <v>View on Google Map</v>
      </c>
      <c r="N364" s="116">
        <f t="shared" si="7"/>
        <v>9</v>
      </c>
    </row>
    <row r="365" spans="1:14" x14ac:dyDescent="0.2">
      <c r="A365" s="116">
        <v>256</v>
      </c>
      <c r="B365" s="116" t="s">
        <v>1252</v>
      </c>
      <c r="C365" s="116" t="s">
        <v>1253</v>
      </c>
      <c r="D365" s="116">
        <v>68.701700654700005</v>
      </c>
      <c r="E365" s="116">
        <v>-149.74902999599999</v>
      </c>
      <c r="F365" s="116">
        <v>760</v>
      </c>
      <c r="G365" s="116" t="s">
        <v>569</v>
      </c>
      <c r="H365" s="116" t="s">
        <v>1254</v>
      </c>
      <c r="I365" s="116" t="s">
        <v>558</v>
      </c>
      <c r="J365" s="116" t="s">
        <v>851</v>
      </c>
      <c r="K365" s="116" t="s">
        <v>558</v>
      </c>
      <c r="L365" s="116" t="s">
        <v>852</v>
      </c>
      <c r="M365" s="122" t="str">
        <f t="shared" si="6"/>
        <v>View on Google Map</v>
      </c>
      <c r="N365" s="116">
        <f t="shared" si="7"/>
        <v>10</v>
      </c>
    </row>
    <row r="366" spans="1:14" x14ac:dyDescent="0.2">
      <c r="A366" s="116">
        <v>257</v>
      </c>
      <c r="B366" s="116" t="s">
        <v>1255</v>
      </c>
      <c r="C366" s="116" t="s">
        <v>1256</v>
      </c>
      <c r="D366" s="116">
        <v>68.701945515000006</v>
      </c>
      <c r="E366" s="116">
        <v>-149.745520981</v>
      </c>
      <c r="F366" s="116">
        <v>760</v>
      </c>
      <c r="G366" s="116" t="s">
        <v>569</v>
      </c>
      <c r="H366" s="116" t="s">
        <v>1257</v>
      </c>
      <c r="I366" s="116" t="s">
        <v>558</v>
      </c>
      <c r="J366" s="116" t="s">
        <v>851</v>
      </c>
      <c r="K366" s="116" t="s">
        <v>558</v>
      </c>
      <c r="L366" s="116" t="s">
        <v>852</v>
      </c>
      <c r="M366" s="122" t="str">
        <f t="shared" si="6"/>
        <v>View on Google Map</v>
      </c>
      <c r="N366" s="116">
        <f t="shared" si="7"/>
        <v>11</v>
      </c>
    </row>
    <row r="367" spans="1:14" x14ac:dyDescent="0.2">
      <c r="A367" s="116">
        <v>258</v>
      </c>
      <c r="B367" s="116" t="s">
        <v>1258</v>
      </c>
      <c r="C367" s="116" t="s">
        <v>1259</v>
      </c>
      <c r="D367" s="116">
        <v>68.704802601699996</v>
      </c>
      <c r="E367" s="116">
        <v>-149.73409678600001</v>
      </c>
      <c r="F367" s="116">
        <v>730</v>
      </c>
      <c r="G367" s="116" t="s">
        <v>569</v>
      </c>
      <c r="H367" s="116" t="s">
        <v>1260</v>
      </c>
      <c r="I367" s="116" t="s">
        <v>558</v>
      </c>
      <c r="J367" s="116" t="s">
        <v>851</v>
      </c>
      <c r="K367" s="116" t="s">
        <v>558</v>
      </c>
      <c r="L367" s="116" t="s">
        <v>852</v>
      </c>
      <c r="M367" s="122" t="str">
        <f t="shared" si="6"/>
        <v>View on Google Map</v>
      </c>
      <c r="N367" s="116">
        <f t="shared" si="7"/>
        <v>12</v>
      </c>
    </row>
    <row r="368" spans="1:14" x14ac:dyDescent="0.2">
      <c r="A368" s="116">
        <v>259</v>
      </c>
      <c r="B368" s="116" t="s">
        <v>1261</v>
      </c>
      <c r="C368" s="116" t="s">
        <v>1262</v>
      </c>
      <c r="D368" s="116">
        <v>68.703579720799993</v>
      </c>
      <c r="E368" s="116">
        <v>-149.717697128</v>
      </c>
      <c r="F368" s="116">
        <v>690</v>
      </c>
      <c r="G368" s="116" t="s">
        <v>569</v>
      </c>
      <c r="H368" s="116" t="s">
        <v>1263</v>
      </c>
      <c r="I368" s="116" t="s">
        <v>558</v>
      </c>
      <c r="J368" s="116" t="s">
        <v>851</v>
      </c>
      <c r="K368" s="116" t="s">
        <v>558</v>
      </c>
      <c r="L368" s="116" t="s">
        <v>852</v>
      </c>
      <c r="M368" s="122" t="str">
        <f t="shared" si="6"/>
        <v>View on Google Map</v>
      </c>
      <c r="N368" s="116">
        <f t="shared" si="7"/>
        <v>13</v>
      </c>
    </row>
    <row r="369" spans="1:14" x14ac:dyDescent="0.2">
      <c r="A369" s="116">
        <v>260</v>
      </c>
      <c r="B369" s="116" t="s">
        <v>1264</v>
      </c>
      <c r="C369" s="116" t="s">
        <v>1265</v>
      </c>
      <c r="D369" s="116">
        <v>68.702004088500004</v>
      </c>
      <c r="E369" s="116">
        <v>-149.71011160800001</v>
      </c>
      <c r="F369" s="116">
        <v>650</v>
      </c>
      <c r="G369" s="116" t="s">
        <v>569</v>
      </c>
      <c r="H369" s="116" t="s">
        <v>1266</v>
      </c>
      <c r="I369" s="116" t="s">
        <v>558</v>
      </c>
      <c r="J369" s="116" t="s">
        <v>851</v>
      </c>
      <c r="K369" s="116" t="s">
        <v>558</v>
      </c>
      <c r="L369" s="116" t="s">
        <v>852</v>
      </c>
      <c r="M369" s="122" t="str">
        <f t="shared" si="6"/>
        <v>View on Google Map</v>
      </c>
      <c r="N369" s="116">
        <f t="shared" si="7"/>
        <v>14</v>
      </c>
    </row>
    <row r="370" spans="1:14" x14ac:dyDescent="0.2">
      <c r="A370" s="116">
        <v>261</v>
      </c>
      <c r="B370" s="116" t="s">
        <v>1267</v>
      </c>
      <c r="C370" s="116" t="s">
        <v>1268</v>
      </c>
      <c r="D370" s="116">
        <v>68.707978848899998</v>
      </c>
      <c r="E370" s="116">
        <v>-149.715105897</v>
      </c>
      <c r="F370" s="116">
        <v>650</v>
      </c>
      <c r="G370" s="116" t="s">
        <v>569</v>
      </c>
      <c r="H370" s="116" t="s">
        <v>1269</v>
      </c>
      <c r="I370" s="116" t="s">
        <v>558</v>
      </c>
      <c r="J370" s="116" t="s">
        <v>851</v>
      </c>
      <c r="K370" s="116" t="s">
        <v>558</v>
      </c>
      <c r="L370" s="116" t="s">
        <v>852</v>
      </c>
      <c r="M370" s="122" t="str">
        <f t="shared" si="6"/>
        <v>View on Google Map</v>
      </c>
      <c r="N370" s="116">
        <f t="shared" si="7"/>
        <v>15</v>
      </c>
    </row>
    <row r="371" spans="1:14" x14ac:dyDescent="0.2">
      <c r="A371" s="116">
        <v>262</v>
      </c>
      <c r="B371" s="116" t="s">
        <v>1270</v>
      </c>
      <c r="C371" s="116" t="s">
        <v>1271</v>
      </c>
      <c r="D371" s="116">
        <v>68.707847844300005</v>
      </c>
      <c r="E371" s="116">
        <v>-149.69962200099999</v>
      </c>
      <c r="F371" s="116">
        <v>650</v>
      </c>
      <c r="G371" s="116" t="s">
        <v>569</v>
      </c>
      <c r="H371" s="116" t="s">
        <v>1272</v>
      </c>
      <c r="I371" s="116" t="s">
        <v>558</v>
      </c>
      <c r="J371" s="116" t="s">
        <v>851</v>
      </c>
      <c r="K371" s="116" t="s">
        <v>558</v>
      </c>
      <c r="L371" s="116" t="s">
        <v>852</v>
      </c>
      <c r="M371" s="122" t="str">
        <f t="shared" si="6"/>
        <v>View on Google Map</v>
      </c>
      <c r="N371" s="116">
        <f t="shared" si="7"/>
        <v>16</v>
      </c>
    </row>
    <row r="372" spans="1:14" x14ac:dyDescent="0.2">
      <c r="A372" s="116">
        <v>263</v>
      </c>
      <c r="B372" s="116" t="s">
        <v>1273</v>
      </c>
      <c r="C372" s="116" t="s">
        <v>1274</v>
      </c>
      <c r="D372" s="116">
        <v>68.7041606871</v>
      </c>
      <c r="E372" s="116">
        <v>-149.68743035400001</v>
      </c>
      <c r="F372" s="116">
        <v>650</v>
      </c>
      <c r="G372" s="116" t="s">
        <v>569</v>
      </c>
      <c r="H372" s="116" t="s">
        <v>1275</v>
      </c>
      <c r="I372" s="116" t="s">
        <v>558</v>
      </c>
      <c r="J372" s="116" t="s">
        <v>851</v>
      </c>
      <c r="K372" s="116" t="s">
        <v>558</v>
      </c>
      <c r="L372" s="116" t="s">
        <v>852</v>
      </c>
      <c r="M372" s="122" t="str">
        <f t="shared" si="6"/>
        <v>View on Google Map</v>
      </c>
      <c r="N372" s="116">
        <f t="shared" si="7"/>
        <v>17</v>
      </c>
    </row>
    <row r="373" spans="1:14" x14ac:dyDescent="0.2">
      <c r="A373" s="116">
        <v>264</v>
      </c>
      <c r="B373" s="116" t="s">
        <v>1276</v>
      </c>
      <c r="C373" s="116" t="s">
        <v>1277</v>
      </c>
      <c r="D373" s="116">
        <v>68.699385523999993</v>
      </c>
      <c r="E373" s="116">
        <v>-149.69396666399999</v>
      </c>
      <c r="F373" s="116">
        <v>650</v>
      </c>
      <c r="G373" s="116" t="s">
        <v>569</v>
      </c>
      <c r="H373" s="116" t="s">
        <v>1278</v>
      </c>
      <c r="I373" s="116" t="s">
        <v>558</v>
      </c>
      <c r="J373" s="116" t="s">
        <v>851</v>
      </c>
      <c r="K373" s="116" t="s">
        <v>558</v>
      </c>
      <c r="L373" s="116" t="s">
        <v>852</v>
      </c>
      <c r="M373" s="122" t="str">
        <f t="shared" si="6"/>
        <v>View on Google Map</v>
      </c>
      <c r="N373" s="116">
        <f t="shared" si="7"/>
        <v>18</v>
      </c>
    </row>
    <row r="374" spans="1:14" x14ac:dyDescent="0.2">
      <c r="A374" s="116">
        <v>265</v>
      </c>
      <c r="B374" s="116" t="s">
        <v>1279</v>
      </c>
      <c r="C374" s="116" t="s">
        <v>1280</v>
      </c>
      <c r="D374" s="116">
        <v>68.7022801743</v>
      </c>
      <c r="E374" s="116">
        <v>-149.70382138400001</v>
      </c>
      <c r="F374" s="116">
        <v>650</v>
      </c>
      <c r="G374" s="116" t="s">
        <v>569</v>
      </c>
      <c r="H374" s="116" t="s">
        <v>1281</v>
      </c>
      <c r="I374" s="116" t="s">
        <v>558</v>
      </c>
      <c r="J374" s="116" t="s">
        <v>851</v>
      </c>
      <c r="K374" s="116" t="s">
        <v>558</v>
      </c>
      <c r="L374" s="116" t="s">
        <v>852</v>
      </c>
      <c r="M374" s="122" t="str">
        <f t="shared" si="6"/>
        <v>View on Google Map</v>
      </c>
      <c r="N374" s="116">
        <f t="shared" si="7"/>
        <v>19</v>
      </c>
    </row>
    <row r="375" spans="1:14" x14ac:dyDescent="0.2">
      <c r="A375" s="116">
        <v>266</v>
      </c>
      <c r="B375" s="116" t="s">
        <v>1282</v>
      </c>
      <c r="C375" s="116" t="s">
        <v>1283</v>
      </c>
      <c r="D375" s="116">
        <v>68.691324054399999</v>
      </c>
      <c r="E375" s="116">
        <v>-149.78520674699999</v>
      </c>
      <c r="F375" s="116">
        <v>650</v>
      </c>
      <c r="G375" s="116" t="s">
        <v>569</v>
      </c>
      <c r="H375" s="116" t="s">
        <v>1284</v>
      </c>
      <c r="I375" s="116" t="s">
        <v>558</v>
      </c>
      <c r="J375" s="116" t="s">
        <v>851</v>
      </c>
      <c r="K375" s="116" t="s">
        <v>558</v>
      </c>
      <c r="L375" s="116" t="s">
        <v>852</v>
      </c>
      <c r="M375" s="122" t="str">
        <f t="shared" si="6"/>
        <v>View on Google Map</v>
      </c>
      <c r="N375" s="116">
        <f t="shared" si="7"/>
        <v>20</v>
      </c>
    </row>
    <row r="376" spans="1:14" x14ac:dyDescent="0.2">
      <c r="A376" s="116">
        <v>267</v>
      </c>
      <c r="B376" s="116" t="s">
        <v>1285</v>
      </c>
      <c r="C376" s="116" t="s">
        <v>1286</v>
      </c>
      <c r="D376" s="116">
        <v>68.682528721799997</v>
      </c>
      <c r="E376" s="116">
        <v>-149.77156908800001</v>
      </c>
      <c r="F376" s="116">
        <v>630</v>
      </c>
      <c r="G376" s="116" t="s">
        <v>569</v>
      </c>
      <c r="H376" s="116" t="s">
        <v>1287</v>
      </c>
      <c r="I376" s="116" t="s">
        <v>558</v>
      </c>
      <c r="J376" s="116" t="s">
        <v>851</v>
      </c>
      <c r="K376" s="116" t="s">
        <v>558</v>
      </c>
      <c r="L376" s="116" t="s">
        <v>852</v>
      </c>
      <c r="M376" s="122" t="str">
        <f t="shared" si="6"/>
        <v>View on Google Map</v>
      </c>
      <c r="N376" s="116">
        <f t="shared" si="7"/>
        <v>21</v>
      </c>
    </row>
    <row r="377" spans="1:14" x14ac:dyDescent="0.2">
      <c r="A377" s="116">
        <v>268</v>
      </c>
      <c r="B377" s="116" t="s">
        <v>1288</v>
      </c>
      <c r="C377" s="116" t="s">
        <v>1289</v>
      </c>
      <c r="D377" s="116">
        <v>68.6833666064</v>
      </c>
      <c r="E377" s="116">
        <v>-149.78602037900001</v>
      </c>
      <c r="F377" s="116">
        <v>620</v>
      </c>
      <c r="G377" s="116" t="s">
        <v>569</v>
      </c>
      <c r="H377" s="116" t="s">
        <v>1290</v>
      </c>
      <c r="I377" s="116" t="s">
        <v>558</v>
      </c>
      <c r="J377" s="116" t="s">
        <v>851</v>
      </c>
      <c r="K377" s="116" t="s">
        <v>558</v>
      </c>
      <c r="L377" s="116" t="s">
        <v>852</v>
      </c>
      <c r="M377" s="122" t="str">
        <f t="shared" si="6"/>
        <v>View on Google Map</v>
      </c>
      <c r="N377" s="116">
        <f t="shared" si="7"/>
        <v>22</v>
      </c>
    </row>
    <row r="378" spans="1:14" x14ac:dyDescent="0.2">
      <c r="A378" s="116">
        <v>269</v>
      </c>
      <c r="B378" s="116" t="s">
        <v>1291</v>
      </c>
      <c r="C378" s="116" t="s">
        <v>1292</v>
      </c>
      <c r="D378" s="116">
        <v>68.685049484000004</v>
      </c>
      <c r="E378" s="116">
        <v>-149.801322572</v>
      </c>
      <c r="F378" s="116">
        <v>590</v>
      </c>
      <c r="G378" s="116" t="s">
        <v>569</v>
      </c>
      <c r="H378" s="116" t="s">
        <v>1293</v>
      </c>
      <c r="I378" s="116" t="s">
        <v>558</v>
      </c>
      <c r="J378" s="116" t="s">
        <v>851</v>
      </c>
      <c r="K378" s="116" t="s">
        <v>558</v>
      </c>
      <c r="L378" s="116" t="s">
        <v>852</v>
      </c>
      <c r="M378" s="122" t="str">
        <f t="shared" si="6"/>
        <v>View on Google Map</v>
      </c>
      <c r="N378" s="116">
        <f t="shared" si="7"/>
        <v>23</v>
      </c>
    </row>
    <row r="379" spans="1:14" x14ac:dyDescent="0.2">
      <c r="A379" s="116">
        <v>270</v>
      </c>
      <c r="B379" s="116" t="s">
        <v>1294</v>
      </c>
      <c r="C379" s="116" t="s">
        <v>1295</v>
      </c>
      <c r="D379" s="116">
        <v>68.6853960145</v>
      </c>
      <c r="E379" s="116">
        <v>-149.80798693200001</v>
      </c>
      <c r="F379" s="116">
        <v>590</v>
      </c>
      <c r="G379" s="116" t="s">
        <v>569</v>
      </c>
      <c r="H379" s="116" t="s">
        <v>1296</v>
      </c>
      <c r="I379" s="116" t="s">
        <v>558</v>
      </c>
      <c r="J379" s="116" t="s">
        <v>851</v>
      </c>
      <c r="K379" s="116" t="s">
        <v>558</v>
      </c>
      <c r="L379" s="116" t="s">
        <v>852</v>
      </c>
      <c r="M379" s="122" t="str">
        <f t="shared" si="6"/>
        <v>View on Google Map</v>
      </c>
      <c r="N379" s="116">
        <f t="shared" si="7"/>
        <v>24</v>
      </c>
    </row>
    <row r="380" spans="1:14" x14ac:dyDescent="0.2">
      <c r="A380" s="116">
        <v>271</v>
      </c>
      <c r="B380" s="116" t="s">
        <v>1297</v>
      </c>
      <c r="C380" s="116" t="s">
        <v>1298</v>
      </c>
      <c r="D380" s="116">
        <v>68.682885549900007</v>
      </c>
      <c r="E380" s="116">
        <v>-149.809163652</v>
      </c>
      <c r="F380" s="116">
        <v>590</v>
      </c>
      <c r="G380" s="116" t="s">
        <v>569</v>
      </c>
      <c r="H380" s="116" t="s">
        <v>1299</v>
      </c>
      <c r="I380" s="116" t="s">
        <v>558</v>
      </c>
      <c r="J380" s="116" t="s">
        <v>851</v>
      </c>
      <c r="K380" s="116" t="s">
        <v>558</v>
      </c>
      <c r="L380" s="116" t="s">
        <v>852</v>
      </c>
      <c r="M380" s="122" t="str">
        <f t="shared" si="6"/>
        <v>View on Google Map</v>
      </c>
      <c r="N380" s="116">
        <f t="shared" si="7"/>
        <v>25</v>
      </c>
    </row>
    <row r="381" spans="1:14" x14ac:dyDescent="0.2">
      <c r="A381" s="116">
        <v>272</v>
      </c>
      <c r="B381" s="116" t="s">
        <v>1300</v>
      </c>
      <c r="C381" s="116" t="s">
        <v>1301</v>
      </c>
      <c r="D381" s="116">
        <v>68.682270906200003</v>
      </c>
      <c r="E381" s="116">
        <v>-149.81202356599999</v>
      </c>
      <c r="F381" s="116" t="s">
        <v>558</v>
      </c>
      <c r="G381" s="116" t="s">
        <v>569</v>
      </c>
      <c r="H381" s="116" t="s">
        <v>1302</v>
      </c>
      <c r="I381" s="116" t="s">
        <v>558</v>
      </c>
      <c r="J381" s="116" t="s">
        <v>851</v>
      </c>
      <c r="K381" s="116" t="s">
        <v>558</v>
      </c>
      <c r="L381" s="116" t="s">
        <v>852</v>
      </c>
      <c r="M381" s="122" t="str">
        <f t="shared" si="6"/>
        <v>View on Google Map</v>
      </c>
      <c r="N381" s="116">
        <f t="shared" si="7"/>
        <v>26</v>
      </c>
    </row>
    <row r="382" spans="1:14" x14ac:dyDescent="0.2">
      <c r="A382" s="116">
        <v>315</v>
      </c>
      <c r="B382" s="116" t="s">
        <v>1303</v>
      </c>
      <c r="C382" s="116" t="s">
        <v>1304</v>
      </c>
      <c r="D382" s="116">
        <v>68.568206306199997</v>
      </c>
      <c r="E382" s="116">
        <v>-149.167395043</v>
      </c>
      <c r="F382" s="116" t="s">
        <v>558</v>
      </c>
      <c r="G382" s="116" t="s">
        <v>569</v>
      </c>
      <c r="H382" s="116" t="s">
        <v>1305</v>
      </c>
      <c r="I382" s="116" t="s">
        <v>558</v>
      </c>
      <c r="J382" s="116" t="s">
        <v>851</v>
      </c>
      <c r="K382" s="116" t="s">
        <v>558</v>
      </c>
      <c r="L382" s="116" t="s">
        <v>852</v>
      </c>
      <c r="M382" s="122" t="str">
        <f t="shared" si="6"/>
        <v>View on Google Map</v>
      </c>
      <c r="N382" s="116">
        <f t="shared" si="7"/>
        <v>27</v>
      </c>
    </row>
    <row r="383" spans="1:14" x14ac:dyDescent="0.2">
      <c r="A383" s="116">
        <v>316</v>
      </c>
      <c r="B383" s="116" t="s">
        <v>1306</v>
      </c>
      <c r="C383" s="116" t="s">
        <v>1307</v>
      </c>
      <c r="D383" s="116">
        <v>68.563566134699997</v>
      </c>
      <c r="E383" s="116">
        <v>-149.17548626199999</v>
      </c>
      <c r="F383" s="116" t="s">
        <v>558</v>
      </c>
      <c r="G383" s="116" t="s">
        <v>569</v>
      </c>
      <c r="H383" s="116" t="s">
        <v>1308</v>
      </c>
      <c r="I383" s="116" t="s">
        <v>558</v>
      </c>
      <c r="J383" s="116" t="s">
        <v>851</v>
      </c>
      <c r="K383" s="116" t="s">
        <v>558</v>
      </c>
      <c r="L383" s="116" t="s">
        <v>852</v>
      </c>
      <c r="M383" s="122" t="str">
        <f t="shared" si="6"/>
        <v>View on Google Map</v>
      </c>
      <c r="N383" s="116">
        <f t="shared" si="7"/>
        <v>28</v>
      </c>
    </row>
    <row r="384" spans="1:14" x14ac:dyDescent="0.2">
      <c r="A384" s="116">
        <v>317</v>
      </c>
      <c r="B384" s="116" t="s">
        <v>1309</v>
      </c>
      <c r="C384" s="116" t="s">
        <v>1310</v>
      </c>
      <c r="D384" s="116">
        <v>68.567753827800004</v>
      </c>
      <c r="E384" s="116">
        <v>-149.18255546</v>
      </c>
      <c r="F384" s="116" t="s">
        <v>558</v>
      </c>
      <c r="G384" s="116" t="s">
        <v>569</v>
      </c>
      <c r="H384" s="116" t="s">
        <v>1311</v>
      </c>
      <c r="I384" s="116" t="s">
        <v>558</v>
      </c>
      <c r="J384" s="116" t="s">
        <v>851</v>
      </c>
      <c r="K384" s="116" t="s">
        <v>558</v>
      </c>
      <c r="L384" s="116" t="s">
        <v>852</v>
      </c>
      <c r="M384" s="122" t="str">
        <f t="shared" si="6"/>
        <v>View on Google Map</v>
      </c>
      <c r="N384" s="116">
        <f t="shared" si="7"/>
        <v>29</v>
      </c>
    </row>
    <row r="385" spans="1:14" x14ac:dyDescent="0.2">
      <c r="A385" s="116">
        <v>318</v>
      </c>
      <c r="B385" s="116" t="s">
        <v>1312</v>
      </c>
      <c r="C385" s="116" t="s">
        <v>1313</v>
      </c>
      <c r="D385" s="116">
        <v>68.575143231300004</v>
      </c>
      <c r="E385" s="116">
        <v>-149.187493434</v>
      </c>
      <c r="F385" s="116">
        <v>899</v>
      </c>
      <c r="G385" s="116" t="s">
        <v>569</v>
      </c>
      <c r="H385" s="116" t="s">
        <v>1314</v>
      </c>
      <c r="I385" s="116" t="s">
        <v>558</v>
      </c>
      <c r="J385" s="116" t="s">
        <v>851</v>
      </c>
      <c r="K385" s="116" t="s">
        <v>558</v>
      </c>
      <c r="L385" s="116" t="s">
        <v>852</v>
      </c>
      <c r="M385" s="122" t="str">
        <f t="shared" si="6"/>
        <v>View on Google Map</v>
      </c>
      <c r="N385" s="116">
        <f t="shared" si="7"/>
        <v>30</v>
      </c>
    </row>
    <row r="386" spans="1:14" x14ac:dyDescent="0.2">
      <c r="A386" s="116">
        <v>319</v>
      </c>
      <c r="B386" s="116" t="s">
        <v>1315</v>
      </c>
      <c r="C386" s="116" t="s">
        <v>1316</v>
      </c>
      <c r="D386" s="116">
        <v>68.575979722100001</v>
      </c>
      <c r="E386" s="116">
        <v>-149.19939190100001</v>
      </c>
      <c r="F386" s="116" t="s">
        <v>558</v>
      </c>
      <c r="G386" s="116" t="s">
        <v>569</v>
      </c>
      <c r="H386" s="116" t="s">
        <v>1317</v>
      </c>
      <c r="I386" s="116" t="s">
        <v>558</v>
      </c>
      <c r="J386" s="116" t="s">
        <v>851</v>
      </c>
      <c r="K386" s="116" t="s">
        <v>558</v>
      </c>
      <c r="L386" s="116" t="s">
        <v>852</v>
      </c>
      <c r="M386" s="122" t="str">
        <f t="shared" si="6"/>
        <v>View on Google Map</v>
      </c>
      <c r="N386" s="116">
        <f t="shared" si="7"/>
        <v>31</v>
      </c>
    </row>
    <row r="387" spans="1:14" x14ac:dyDescent="0.2">
      <c r="A387" s="116">
        <v>320</v>
      </c>
      <c r="B387" s="116" t="s">
        <v>1318</v>
      </c>
      <c r="C387" s="116" t="s">
        <v>1319</v>
      </c>
      <c r="D387" s="116">
        <v>68.576887217199996</v>
      </c>
      <c r="E387" s="116">
        <v>-149.17782305899999</v>
      </c>
      <c r="F387" s="116">
        <v>891</v>
      </c>
      <c r="G387" s="116" t="s">
        <v>569</v>
      </c>
      <c r="H387" s="116" t="s">
        <v>1320</v>
      </c>
      <c r="I387" s="116" t="s">
        <v>558</v>
      </c>
      <c r="J387" s="116" t="s">
        <v>851</v>
      </c>
      <c r="K387" s="116" t="s">
        <v>558</v>
      </c>
      <c r="L387" s="116" t="s">
        <v>852</v>
      </c>
      <c r="M387" s="122" t="str">
        <f t="shared" ref="M387:M450" si="8">HYPERLINK("http://maps.google.com/maps?q="&amp;D387&amp;","&amp;E387,"View on Google Map")</f>
        <v>View on Google Map</v>
      </c>
      <c r="N387" s="116">
        <f t="shared" si="7"/>
        <v>32</v>
      </c>
    </row>
    <row r="388" spans="1:14" x14ac:dyDescent="0.2">
      <c r="A388" s="116">
        <v>321</v>
      </c>
      <c r="B388" s="116" t="s">
        <v>1321</v>
      </c>
      <c r="C388" s="116" t="s">
        <v>1322</v>
      </c>
      <c r="D388" s="116">
        <v>68.581215404199995</v>
      </c>
      <c r="E388" s="116">
        <v>-149.17874205800001</v>
      </c>
      <c r="F388" s="116">
        <v>891</v>
      </c>
      <c r="G388" s="116" t="s">
        <v>569</v>
      </c>
      <c r="H388" s="116" t="s">
        <v>1323</v>
      </c>
      <c r="I388" s="116" t="s">
        <v>558</v>
      </c>
      <c r="J388" s="116" t="s">
        <v>851</v>
      </c>
      <c r="K388" s="116" t="s">
        <v>558</v>
      </c>
      <c r="L388" s="116" t="s">
        <v>852</v>
      </c>
      <c r="M388" s="122" t="str">
        <f t="shared" si="8"/>
        <v>View on Google Map</v>
      </c>
      <c r="N388" s="116">
        <f t="shared" si="7"/>
        <v>33</v>
      </c>
    </row>
    <row r="389" spans="1:14" x14ac:dyDescent="0.2">
      <c r="A389" s="116">
        <v>322</v>
      </c>
      <c r="B389" s="116" t="s">
        <v>1324</v>
      </c>
      <c r="C389" s="116" t="s">
        <v>1325</v>
      </c>
      <c r="D389" s="116">
        <v>68.587382761699999</v>
      </c>
      <c r="E389" s="116">
        <v>-149.144248847</v>
      </c>
      <c r="F389" s="116" t="s">
        <v>558</v>
      </c>
      <c r="G389" s="116" t="s">
        <v>569</v>
      </c>
      <c r="H389" s="116" t="s">
        <v>1326</v>
      </c>
      <c r="I389" s="116" t="s">
        <v>558</v>
      </c>
      <c r="J389" s="116" t="s">
        <v>851</v>
      </c>
      <c r="K389" s="116" t="s">
        <v>558</v>
      </c>
      <c r="L389" s="116" t="s">
        <v>852</v>
      </c>
      <c r="M389" s="122" t="str">
        <f t="shared" si="8"/>
        <v>View on Google Map</v>
      </c>
      <c r="N389" s="116">
        <f t="shared" si="7"/>
        <v>34</v>
      </c>
    </row>
    <row r="390" spans="1:14" x14ac:dyDescent="0.2">
      <c r="A390" s="116">
        <v>323</v>
      </c>
      <c r="B390" s="116" t="s">
        <v>1327</v>
      </c>
      <c r="C390" s="116" t="s">
        <v>1328</v>
      </c>
      <c r="D390" s="116">
        <v>68.548407480700007</v>
      </c>
      <c r="E390" s="116">
        <v>-150.03700547700001</v>
      </c>
      <c r="F390" s="116" t="s">
        <v>558</v>
      </c>
      <c r="G390" s="116" t="s">
        <v>569</v>
      </c>
      <c r="H390" s="116" t="s">
        <v>1329</v>
      </c>
      <c r="I390" s="116" t="s">
        <v>558</v>
      </c>
      <c r="J390" s="116" t="s">
        <v>851</v>
      </c>
      <c r="K390" s="116" t="s">
        <v>558</v>
      </c>
      <c r="L390" s="116" t="s">
        <v>852</v>
      </c>
      <c r="M390" s="122" t="str">
        <f t="shared" si="8"/>
        <v>View on Google Map</v>
      </c>
      <c r="N390" s="116">
        <f t="shared" si="7"/>
        <v>35</v>
      </c>
    </row>
    <row r="391" spans="1:14" x14ac:dyDescent="0.2">
      <c r="A391" s="116">
        <v>324</v>
      </c>
      <c r="B391" s="116" t="s">
        <v>1330</v>
      </c>
      <c r="C391" s="116" t="s">
        <v>1331</v>
      </c>
      <c r="D391" s="116">
        <v>68.550052273099993</v>
      </c>
      <c r="E391" s="116">
        <v>-150.02948327199999</v>
      </c>
      <c r="F391" s="116" t="s">
        <v>558</v>
      </c>
      <c r="G391" s="116" t="s">
        <v>569</v>
      </c>
      <c r="H391" s="116" t="s">
        <v>1332</v>
      </c>
      <c r="I391" s="116" t="s">
        <v>558</v>
      </c>
      <c r="J391" s="116" t="s">
        <v>851</v>
      </c>
      <c r="K391" s="116" t="s">
        <v>558</v>
      </c>
      <c r="L391" s="116" t="s">
        <v>852</v>
      </c>
      <c r="M391" s="122" t="str">
        <f t="shared" si="8"/>
        <v>View on Google Map</v>
      </c>
      <c r="N391" s="116">
        <f t="shared" si="7"/>
        <v>36</v>
      </c>
    </row>
    <row r="392" spans="1:14" x14ac:dyDescent="0.2">
      <c r="A392" s="116">
        <v>325</v>
      </c>
      <c r="B392" s="116" t="s">
        <v>1333</v>
      </c>
      <c r="C392" s="116" t="s">
        <v>1334</v>
      </c>
      <c r="D392" s="116">
        <v>68.5460242857</v>
      </c>
      <c r="E392" s="116">
        <v>-150.02463014</v>
      </c>
      <c r="F392" s="116" t="s">
        <v>558</v>
      </c>
      <c r="G392" s="116" t="s">
        <v>569</v>
      </c>
      <c r="H392" s="116" t="s">
        <v>1335</v>
      </c>
      <c r="I392" s="116" t="s">
        <v>558</v>
      </c>
      <c r="J392" s="116" t="s">
        <v>851</v>
      </c>
      <c r="K392" s="116" t="s">
        <v>558</v>
      </c>
      <c r="L392" s="116" t="s">
        <v>852</v>
      </c>
      <c r="M392" s="122" t="str">
        <f t="shared" si="8"/>
        <v>View on Google Map</v>
      </c>
      <c r="N392" s="116">
        <f t="shared" si="7"/>
        <v>37</v>
      </c>
    </row>
    <row r="393" spans="1:14" x14ac:dyDescent="0.2">
      <c r="A393" s="116">
        <v>326</v>
      </c>
      <c r="B393" s="116" t="s">
        <v>1336</v>
      </c>
      <c r="C393" s="116" t="s">
        <v>1337</v>
      </c>
      <c r="D393" s="116">
        <v>68.550135830100004</v>
      </c>
      <c r="E393" s="116">
        <v>-150.01499602000001</v>
      </c>
      <c r="F393" s="116" t="s">
        <v>558</v>
      </c>
      <c r="G393" s="116" t="s">
        <v>569</v>
      </c>
      <c r="H393" s="116" t="s">
        <v>1338</v>
      </c>
      <c r="I393" s="116" t="s">
        <v>558</v>
      </c>
      <c r="J393" s="116" t="s">
        <v>851</v>
      </c>
      <c r="K393" s="116" t="s">
        <v>558</v>
      </c>
      <c r="L393" s="116" t="s">
        <v>852</v>
      </c>
      <c r="M393" s="122" t="str">
        <f t="shared" si="8"/>
        <v>View on Google Map</v>
      </c>
      <c r="N393" s="116">
        <f t="shared" si="7"/>
        <v>38</v>
      </c>
    </row>
    <row r="394" spans="1:14" x14ac:dyDescent="0.2">
      <c r="A394" s="116">
        <v>327</v>
      </c>
      <c r="B394" s="116" t="s">
        <v>1339</v>
      </c>
      <c r="C394" s="116" t="s">
        <v>1340</v>
      </c>
      <c r="D394" s="116">
        <v>68.556356553000001</v>
      </c>
      <c r="E394" s="116">
        <v>-150.01283142599999</v>
      </c>
      <c r="F394" s="116" t="s">
        <v>558</v>
      </c>
      <c r="G394" s="116" t="s">
        <v>569</v>
      </c>
      <c r="H394" s="116" t="s">
        <v>1341</v>
      </c>
      <c r="I394" s="116" t="s">
        <v>558</v>
      </c>
      <c r="J394" s="116" t="s">
        <v>851</v>
      </c>
      <c r="K394" s="116" t="s">
        <v>558</v>
      </c>
      <c r="L394" s="116" t="s">
        <v>852</v>
      </c>
      <c r="M394" s="122" t="str">
        <f t="shared" si="8"/>
        <v>View on Google Map</v>
      </c>
      <c r="N394" s="116">
        <f t="shared" si="7"/>
        <v>39</v>
      </c>
    </row>
    <row r="395" spans="1:14" x14ac:dyDescent="0.2">
      <c r="A395" s="116">
        <v>328</v>
      </c>
      <c r="B395" s="116" t="s">
        <v>1342</v>
      </c>
      <c r="C395" s="116" t="s">
        <v>1343</v>
      </c>
      <c r="D395" s="116">
        <v>68.565564884200001</v>
      </c>
      <c r="E395" s="116">
        <v>-150.00164362699999</v>
      </c>
      <c r="F395" s="116" t="s">
        <v>558</v>
      </c>
      <c r="G395" s="116" t="s">
        <v>569</v>
      </c>
      <c r="H395" s="116" t="s">
        <v>1344</v>
      </c>
      <c r="I395" s="116" t="s">
        <v>558</v>
      </c>
      <c r="J395" s="116" t="s">
        <v>851</v>
      </c>
      <c r="K395" s="116" t="s">
        <v>558</v>
      </c>
      <c r="L395" s="116" t="s">
        <v>852</v>
      </c>
      <c r="M395" s="122" t="str">
        <f t="shared" si="8"/>
        <v>View on Google Map</v>
      </c>
      <c r="N395" s="116">
        <f t="shared" si="7"/>
        <v>40</v>
      </c>
    </row>
    <row r="396" spans="1:14" x14ac:dyDescent="0.2">
      <c r="A396" s="116">
        <v>329</v>
      </c>
      <c r="B396" s="116" t="s">
        <v>1345</v>
      </c>
      <c r="C396" s="116" t="s">
        <v>1346</v>
      </c>
      <c r="D396" s="116">
        <v>68.567838099200003</v>
      </c>
      <c r="E396" s="116">
        <v>-149.99849875500001</v>
      </c>
      <c r="F396" s="116" t="s">
        <v>558</v>
      </c>
      <c r="G396" s="116" t="s">
        <v>569</v>
      </c>
      <c r="H396" s="116" t="s">
        <v>1347</v>
      </c>
      <c r="I396" s="116" t="s">
        <v>558</v>
      </c>
      <c r="J396" s="116" t="s">
        <v>851</v>
      </c>
      <c r="K396" s="116" t="s">
        <v>558</v>
      </c>
      <c r="L396" s="116" t="s">
        <v>852</v>
      </c>
      <c r="M396" s="122" t="str">
        <f t="shared" si="8"/>
        <v>View on Google Map</v>
      </c>
      <c r="N396" s="116">
        <f t="shared" si="7"/>
        <v>41</v>
      </c>
    </row>
    <row r="397" spans="1:14" x14ac:dyDescent="0.2">
      <c r="A397" s="116">
        <v>330</v>
      </c>
      <c r="B397" s="116" t="s">
        <v>1348</v>
      </c>
      <c r="C397" s="116" t="s">
        <v>1349</v>
      </c>
      <c r="D397" s="116">
        <v>68.5855663241</v>
      </c>
      <c r="E397" s="116">
        <v>-149.98167511</v>
      </c>
      <c r="F397" s="116" t="s">
        <v>558</v>
      </c>
      <c r="G397" s="116" t="s">
        <v>569</v>
      </c>
      <c r="H397" s="116" t="s">
        <v>1350</v>
      </c>
      <c r="I397" s="116" t="s">
        <v>558</v>
      </c>
      <c r="J397" s="116" t="s">
        <v>851</v>
      </c>
      <c r="K397" s="116" t="s">
        <v>558</v>
      </c>
      <c r="L397" s="116" t="s">
        <v>852</v>
      </c>
      <c r="M397" s="122" t="str">
        <f t="shared" si="8"/>
        <v>View on Google Map</v>
      </c>
      <c r="N397" s="116">
        <f t="shared" si="7"/>
        <v>42</v>
      </c>
    </row>
    <row r="398" spans="1:14" x14ac:dyDescent="0.2">
      <c r="A398" s="116">
        <v>331</v>
      </c>
      <c r="B398" s="116" t="s">
        <v>1351</v>
      </c>
      <c r="C398" s="116" t="s">
        <v>1352</v>
      </c>
      <c r="D398" s="116">
        <v>68.534049837699996</v>
      </c>
      <c r="E398" s="116">
        <v>-149.157309078</v>
      </c>
      <c r="F398" s="116">
        <v>926</v>
      </c>
      <c r="G398" s="116" t="s">
        <v>569</v>
      </c>
      <c r="H398" s="116" t="s">
        <v>1353</v>
      </c>
      <c r="I398" s="116" t="s">
        <v>558</v>
      </c>
      <c r="J398" s="116" t="s">
        <v>851</v>
      </c>
      <c r="K398" s="116" t="s">
        <v>558</v>
      </c>
      <c r="L398" s="116" t="s">
        <v>852</v>
      </c>
      <c r="M398" s="122" t="str">
        <f t="shared" si="8"/>
        <v>View on Google Map</v>
      </c>
      <c r="N398" s="116">
        <f t="shared" si="7"/>
        <v>43</v>
      </c>
    </row>
    <row r="399" spans="1:14" x14ac:dyDescent="0.2">
      <c r="A399" s="116">
        <v>332</v>
      </c>
      <c r="B399" s="116" t="s">
        <v>1354</v>
      </c>
      <c r="C399" s="116" t="s">
        <v>1355</v>
      </c>
      <c r="D399" s="116">
        <v>68.533584622000006</v>
      </c>
      <c r="E399" s="116">
        <v>-149.16705049699999</v>
      </c>
      <c r="F399" s="116" t="s">
        <v>558</v>
      </c>
      <c r="G399" s="116" t="s">
        <v>569</v>
      </c>
      <c r="H399" s="116" t="s">
        <v>1356</v>
      </c>
      <c r="I399" s="116" t="s">
        <v>558</v>
      </c>
      <c r="J399" s="116" t="s">
        <v>851</v>
      </c>
      <c r="K399" s="116" t="s">
        <v>558</v>
      </c>
      <c r="L399" s="116" t="s">
        <v>852</v>
      </c>
      <c r="M399" s="122" t="str">
        <f t="shared" si="8"/>
        <v>View on Google Map</v>
      </c>
      <c r="N399" s="116">
        <f t="shared" si="7"/>
        <v>44</v>
      </c>
    </row>
    <row r="400" spans="1:14" x14ac:dyDescent="0.2">
      <c r="A400" s="116">
        <v>333</v>
      </c>
      <c r="B400" s="116" t="s">
        <v>1357</v>
      </c>
      <c r="C400" s="116" t="s">
        <v>1358</v>
      </c>
      <c r="D400" s="116">
        <v>68.533269411600003</v>
      </c>
      <c r="E400" s="116">
        <v>-149.19565723900001</v>
      </c>
      <c r="F400" s="116">
        <v>899</v>
      </c>
      <c r="G400" s="116" t="s">
        <v>569</v>
      </c>
      <c r="H400" s="116" t="s">
        <v>1359</v>
      </c>
      <c r="I400" s="116" t="s">
        <v>558</v>
      </c>
      <c r="J400" s="116" t="s">
        <v>851</v>
      </c>
      <c r="K400" s="116" t="s">
        <v>558</v>
      </c>
      <c r="L400" s="116" t="s">
        <v>852</v>
      </c>
      <c r="M400" s="122" t="str">
        <f t="shared" si="8"/>
        <v>View on Google Map</v>
      </c>
      <c r="N400" s="116">
        <f t="shared" si="7"/>
        <v>45</v>
      </c>
    </row>
    <row r="401" spans="1:14" x14ac:dyDescent="0.2">
      <c r="A401" s="116">
        <v>335</v>
      </c>
      <c r="B401" s="116" t="s">
        <v>1360</v>
      </c>
      <c r="C401" s="116" t="s">
        <v>1361</v>
      </c>
      <c r="D401" s="116">
        <v>68.516771954500001</v>
      </c>
      <c r="E401" s="116">
        <v>-150.05742084799999</v>
      </c>
      <c r="F401" s="116" t="s">
        <v>558</v>
      </c>
      <c r="G401" s="116" t="s">
        <v>569</v>
      </c>
      <c r="H401" s="116" t="s">
        <v>1362</v>
      </c>
      <c r="I401" s="116" t="s">
        <v>558</v>
      </c>
      <c r="J401" s="116" t="s">
        <v>851</v>
      </c>
      <c r="K401" s="116" t="s">
        <v>558</v>
      </c>
      <c r="L401" s="116" t="s">
        <v>852</v>
      </c>
      <c r="M401" s="122" t="str">
        <f t="shared" si="8"/>
        <v>View on Google Map</v>
      </c>
      <c r="N401" s="116">
        <f t="shared" si="7"/>
        <v>47</v>
      </c>
    </row>
    <row r="402" spans="1:14" x14ac:dyDescent="0.2">
      <c r="A402" s="116">
        <v>336</v>
      </c>
      <c r="B402" s="116" t="s">
        <v>1363</v>
      </c>
      <c r="C402" s="116" t="s">
        <v>1364</v>
      </c>
      <c r="D402" s="116">
        <v>68.531484729400006</v>
      </c>
      <c r="E402" s="116">
        <v>-150.04821666999999</v>
      </c>
      <c r="F402" s="116" t="s">
        <v>558</v>
      </c>
      <c r="G402" s="116" t="s">
        <v>569</v>
      </c>
      <c r="H402" s="116" t="s">
        <v>1365</v>
      </c>
      <c r="I402" s="116" t="s">
        <v>558</v>
      </c>
      <c r="J402" s="116" t="s">
        <v>851</v>
      </c>
      <c r="K402" s="116" t="s">
        <v>558</v>
      </c>
      <c r="L402" s="116" t="s">
        <v>852</v>
      </c>
      <c r="M402" s="122" t="str">
        <f t="shared" si="8"/>
        <v>View on Google Map</v>
      </c>
      <c r="N402" s="116">
        <f t="shared" si="7"/>
        <v>48</v>
      </c>
    </row>
    <row r="403" spans="1:14" x14ac:dyDescent="0.2">
      <c r="A403" s="116">
        <v>337</v>
      </c>
      <c r="B403" s="116" t="s">
        <v>1366</v>
      </c>
      <c r="C403" s="116" t="s">
        <v>1367</v>
      </c>
      <c r="D403" s="116">
        <v>68.525496449800002</v>
      </c>
      <c r="E403" s="116">
        <v>-150.03164010200001</v>
      </c>
      <c r="F403" s="116" t="s">
        <v>558</v>
      </c>
      <c r="G403" s="116" t="s">
        <v>569</v>
      </c>
      <c r="H403" s="116" t="s">
        <v>1368</v>
      </c>
      <c r="I403" s="116" t="s">
        <v>558</v>
      </c>
      <c r="J403" s="116" t="s">
        <v>851</v>
      </c>
      <c r="K403" s="116" t="s">
        <v>558</v>
      </c>
      <c r="L403" s="116" t="s">
        <v>852</v>
      </c>
      <c r="M403" s="122" t="str">
        <f t="shared" si="8"/>
        <v>View on Google Map</v>
      </c>
      <c r="N403" s="116">
        <f t="shared" si="7"/>
        <v>49</v>
      </c>
    </row>
    <row r="404" spans="1:14" x14ac:dyDescent="0.2">
      <c r="A404" s="116">
        <v>338</v>
      </c>
      <c r="B404" s="116" t="s">
        <v>1369</v>
      </c>
      <c r="C404" s="116" t="s">
        <v>1370</v>
      </c>
      <c r="D404" s="116">
        <v>68.522395926599998</v>
      </c>
      <c r="E404" s="116">
        <v>-150.02260567299999</v>
      </c>
      <c r="F404" s="116" t="s">
        <v>558</v>
      </c>
      <c r="G404" s="116" t="s">
        <v>569</v>
      </c>
      <c r="H404" s="116" t="s">
        <v>1371</v>
      </c>
      <c r="I404" s="116" t="s">
        <v>558</v>
      </c>
      <c r="J404" s="116" t="s">
        <v>851</v>
      </c>
      <c r="K404" s="116" t="s">
        <v>558</v>
      </c>
      <c r="L404" s="116" t="s">
        <v>852</v>
      </c>
      <c r="M404" s="122" t="str">
        <f t="shared" si="8"/>
        <v>View on Google Map</v>
      </c>
      <c r="N404" s="116">
        <f t="shared" si="7"/>
        <v>50</v>
      </c>
    </row>
    <row r="405" spans="1:14" x14ac:dyDescent="0.2">
      <c r="A405" s="116">
        <v>339</v>
      </c>
      <c r="B405" s="116" t="s">
        <v>1372</v>
      </c>
      <c r="C405" s="116" t="s">
        <v>1373</v>
      </c>
      <c r="D405" s="116">
        <v>68.574095052399997</v>
      </c>
      <c r="E405" s="116">
        <v>-149.97662969199999</v>
      </c>
      <c r="F405" s="116" t="s">
        <v>558</v>
      </c>
      <c r="G405" s="116" t="s">
        <v>569</v>
      </c>
      <c r="H405" s="116" t="s">
        <v>1374</v>
      </c>
      <c r="I405" s="116" t="s">
        <v>558</v>
      </c>
      <c r="J405" s="116" t="s">
        <v>851</v>
      </c>
      <c r="K405" s="116" t="s">
        <v>558</v>
      </c>
      <c r="L405" s="116" t="s">
        <v>852</v>
      </c>
      <c r="M405" s="122" t="str">
        <f t="shared" si="8"/>
        <v>View on Google Map</v>
      </c>
      <c r="N405" s="116">
        <f t="shared" si="7"/>
        <v>51</v>
      </c>
    </row>
    <row r="406" spans="1:14" x14ac:dyDescent="0.2">
      <c r="A406" s="116">
        <v>340</v>
      </c>
      <c r="B406" s="116" t="s">
        <v>1375</v>
      </c>
      <c r="C406" s="116" t="s">
        <v>1376</v>
      </c>
      <c r="D406" s="116">
        <v>68.571671305899997</v>
      </c>
      <c r="E406" s="116">
        <v>-149.972667672</v>
      </c>
      <c r="F406" s="116" t="s">
        <v>558</v>
      </c>
      <c r="G406" s="116" t="s">
        <v>569</v>
      </c>
      <c r="H406" s="116" t="s">
        <v>1377</v>
      </c>
      <c r="I406" s="116" t="s">
        <v>558</v>
      </c>
      <c r="J406" s="116" t="s">
        <v>851</v>
      </c>
      <c r="K406" s="116" t="s">
        <v>558</v>
      </c>
      <c r="L406" s="116" t="s">
        <v>852</v>
      </c>
      <c r="M406" s="122" t="str">
        <f t="shared" si="8"/>
        <v>View on Google Map</v>
      </c>
      <c r="N406" s="116">
        <f t="shared" si="7"/>
        <v>52</v>
      </c>
    </row>
    <row r="407" spans="1:14" x14ac:dyDescent="0.2">
      <c r="A407" s="116">
        <v>341</v>
      </c>
      <c r="B407" s="116" t="s">
        <v>1378</v>
      </c>
      <c r="C407" s="116" t="s">
        <v>1379</v>
      </c>
      <c r="D407" s="116">
        <v>68.562791718200003</v>
      </c>
      <c r="E407" s="116">
        <v>-149.977791473</v>
      </c>
      <c r="F407" s="116" t="s">
        <v>558</v>
      </c>
      <c r="G407" s="116" t="s">
        <v>569</v>
      </c>
      <c r="H407" s="116" t="s">
        <v>1380</v>
      </c>
      <c r="I407" s="116" t="s">
        <v>558</v>
      </c>
      <c r="J407" s="116" t="s">
        <v>851</v>
      </c>
      <c r="K407" s="116" t="s">
        <v>558</v>
      </c>
      <c r="L407" s="116" t="s">
        <v>852</v>
      </c>
      <c r="M407" s="122" t="str">
        <f t="shared" si="8"/>
        <v>View on Google Map</v>
      </c>
      <c r="N407" s="116">
        <f t="shared" si="7"/>
        <v>53</v>
      </c>
    </row>
    <row r="408" spans="1:14" x14ac:dyDescent="0.2">
      <c r="A408" s="116">
        <v>342</v>
      </c>
      <c r="B408" s="116" t="s">
        <v>1381</v>
      </c>
      <c r="C408" s="116" t="s">
        <v>1382</v>
      </c>
      <c r="D408" s="116">
        <v>68.556077412199997</v>
      </c>
      <c r="E408" s="116">
        <v>-149.93361884199999</v>
      </c>
      <c r="F408" s="116" t="s">
        <v>558</v>
      </c>
      <c r="G408" s="116" t="s">
        <v>569</v>
      </c>
      <c r="H408" s="116" t="s">
        <v>1383</v>
      </c>
      <c r="I408" s="116" t="s">
        <v>558</v>
      </c>
      <c r="J408" s="116" t="s">
        <v>851</v>
      </c>
      <c r="K408" s="116" t="s">
        <v>558</v>
      </c>
      <c r="L408" s="116" t="s">
        <v>852</v>
      </c>
      <c r="M408" s="122" t="str">
        <f t="shared" si="8"/>
        <v>View on Google Map</v>
      </c>
      <c r="N408" s="116">
        <f t="shared" si="7"/>
        <v>54</v>
      </c>
    </row>
    <row r="409" spans="1:14" x14ac:dyDescent="0.2">
      <c r="A409" s="116">
        <v>343</v>
      </c>
      <c r="B409" s="116" t="s">
        <v>1384</v>
      </c>
      <c r="C409" s="116" t="s">
        <v>1385</v>
      </c>
      <c r="D409" s="116">
        <v>68.567959712100006</v>
      </c>
      <c r="E409" s="116">
        <v>-149.89938475599999</v>
      </c>
      <c r="F409" s="116" t="s">
        <v>558</v>
      </c>
      <c r="G409" s="116" t="s">
        <v>569</v>
      </c>
      <c r="H409" s="116" t="s">
        <v>1386</v>
      </c>
      <c r="I409" s="116" t="s">
        <v>558</v>
      </c>
      <c r="J409" s="116" t="s">
        <v>851</v>
      </c>
      <c r="K409" s="116" t="s">
        <v>558</v>
      </c>
      <c r="L409" s="116" t="s">
        <v>852</v>
      </c>
      <c r="M409" s="122" t="str">
        <f t="shared" si="8"/>
        <v>View on Google Map</v>
      </c>
      <c r="N409" s="116">
        <f t="shared" si="7"/>
        <v>55</v>
      </c>
    </row>
    <row r="410" spans="1:14" x14ac:dyDescent="0.2">
      <c r="A410" s="116">
        <v>344</v>
      </c>
      <c r="B410" s="116" t="s">
        <v>1387</v>
      </c>
      <c r="C410" s="116" t="s">
        <v>1388</v>
      </c>
      <c r="D410" s="116">
        <v>68.615854386999999</v>
      </c>
      <c r="E410" s="116">
        <v>-149.123111674</v>
      </c>
      <c r="F410" s="116" t="s">
        <v>558</v>
      </c>
      <c r="G410" s="116" t="s">
        <v>569</v>
      </c>
      <c r="H410" s="116" t="s">
        <v>1389</v>
      </c>
      <c r="I410" s="116" t="s">
        <v>558</v>
      </c>
      <c r="J410" s="116" t="s">
        <v>851</v>
      </c>
      <c r="K410" s="116" t="s">
        <v>558</v>
      </c>
      <c r="L410" s="116" t="s">
        <v>852</v>
      </c>
      <c r="M410" s="122" t="str">
        <f t="shared" si="8"/>
        <v>View on Google Map</v>
      </c>
      <c r="N410" s="116">
        <f t="shared" si="7"/>
        <v>56</v>
      </c>
    </row>
    <row r="411" spans="1:14" x14ac:dyDescent="0.2">
      <c r="A411" s="116">
        <v>345</v>
      </c>
      <c r="B411" s="116" t="s">
        <v>1390</v>
      </c>
      <c r="C411" s="116" t="s">
        <v>1391</v>
      </c>
      <c r="D411" s="116">
        <v>68.622759303600006</v>
      </c>
      <c r="E411" s="116">
        <v>-149.15087640600001</v>
      </c>
      <c r="F411" s="116">
        <v>861</v>
      </c>
      <c r="G411" s="116" t="s">
        <v>569</v>
      </c>
      <c r="H411" s="116" t="s">
        <v>1392</v>
      </c>
      <c r="I411" s="116" t="s">
        <v>558</v>
      </c>
      <c r="J411" s="116" t="s">
        <v>851</v>
      </c>
      <c r="K411" s="116" t="s">
        <v>558</v>
      </c>
      <c r="L411" s="116" t="s">
        <v>852</v>
      </c>
      <c r="M411" s="122" t="str">
        <f t="shared" si="8"/>
        <v>View on Google Map</v>
      </c>
      <c r="N411" s="116">
        <f t="shared" si="7"/>
        <v>57</v>
      </c>
    </row>
    <row r="412" spans="1:14" x14ac:dyDescent="0.2">
      <c r="A412" s="116">
        <v>346</v>
      </c>
      <c r="B412" s="116" t="s">
        <v>1393</v>
      </c>
      <c r="C412" s="116" t="s">
        <v>1394</v>
      </c>
      <c r="D412" s="116">
        <v>68.625381351599998</v>
      </c>
      <c r="E412" s="116">
        <v>-149.13918719200001</v>
      </c>
      <c r="F412" s="116">
        <v>877</v>
      </c>
      <c r="G412" s="116" t="s">
        <v>569</v>
      </c>
      <c r="H412" s="116" t="s">
        <v>1395</v>
      </c>
      <c r="I412" s="116" t="s">
        <v>558</v>
      </c>
      <c r="J412" s="116" t="s">
        <v>851</v>
      </c>
      <c r="K412" s="116" t="s">
        <v>558</v>
      </c>
      <c r="L412" s="116" t="s">
        <v>852</v>
      </c>
      <c r="M412" s="122" t="str">
        <f t="shared" si="8"/>
        <v>View on Google Map</v>
      </c>
      <c r="N412" s="116">
        <f t="shared" si="7"/>
        <v>58</v>
      </c>
    </row>
    <row r="413" spans="1:14" x14ac:dyDescent="0.2">
      <c r="A413" s="116">
        <v>347</v>
      </c>
      <c r="B413" s="116" t="s">
        <v>1396</v>
      </c>
      <c r="C413" s="116" t="s">
        <v>1397</v>
      </c>
      <c r="D413" s="116">
        <v>68.630955107899993</v>
      </c>
      <c r="E413" s="116">
        <v>-149.161535972</v>
      </c>
      <c r="F413" s="116">
        <v>858</v>
      </c>
      <c r="G413" s="116" t="s">
        <v>569</v>
      </c>
      <c r="H413" s="116" t="s">
        <v>1398</v>
      </c>
      <c r="I413" s="116" t="s">
        <v>558</v>
      </c>
      <c r="J413" s="116" t="s">
        <v>851</v>
      </c>
      <c r="K413" s="116" t="s">
        <v>558</v>
      </c>
      <c r="L413" s="116" t="s">
        <v>852</v>
      </c>
      <c r="M413" s="122" t="str">
        <f t="shared" si="8"/>
        <v>View on Google Map</v>
      </c>
      <c r="N413" s="116">
        <f t="shared" si="7"/>
        <v>59</v>
      </c>
    </row>
    <row r="414" spans="1:14" x14ac:dyDescent="0.2">
      <c r="A414" s="116">
        <v>348</v>
      </c>
      <c r="B414" s="116" t="s">
        <v>1399</v>
      </c>
      <c r="C414" s="116" t="s">
        <v>1400</v>
      </c>
      <c r="D414" s="116">
        <v>68.636431312400006</v>
      </c>
      <c r="E414" s="116">
        <v>-149.14390222200001</v>
      </c>
      <c r="F414" s="116" t="s">
        <v>558</v>
      </c>
      <c r="G414" s="116" t="s">
        <v>569</v>
      </c>
      <c r="H414" s="116" t="s">
        <v>1401</v>
      </c>
      <c r="I414" s="116" t="s">
        <v>558</v>
      </c>
      <c r="J414" s="116" t="s">
        <v>851</v>
      </c>
      <c r="K414" s="116" t="s">
        <v>558</v>
      </c>
      <c r="L414" s="116" t="s">
        <v>852</v>
      </c>
      <c r="M414" s="122" t="str">
        <f t="shared" si="8"/>
        <v>View on Google Map</v>
      </c>
      <c r="N414" s="116">
        <f t="shared" si="7"/>
        <v>60</v>
      </c>
    </row>
    <row r="415" spans="1:14" x14ac:dyDescent="0.2">
      <c r="A415" s="116">
        <v>349</v>
      </c>
      <c r="B415" s="116" t="s">
        <v>1402</v>
      </c>
      <c r="C415" s="116" t="s">
        <v>1403</v>
      </c>
      <c r="D415" s="116">
        <v>68.638723598300004</v>
      </c>
      <c r="E415" s="116">
        <v>-149.17862426400001</v>
      </c>
      <c r="F415" s="116" t="s">
        <v>558</v>
      </c>
      <c r="G415" s="116" t="s">
        <v>569</v>
      </c>
      <c r="H415" s="116" t="s">
        <v>1404</v>
      </c>
      <c r="I415" s="116" t="s">
        <v>558</v>
      </c>
      <c r="J415" s="116" t="s">
        <v>851</v>
      </c>
      <c r="K415" s="116" t="s">
        <v>558</v>
      </c>
      <c r="L415" s="116" t="s">
        <v>852</v>
      </c>
      <c r="M415" s="122" t="str">
        <f t="shared" si="8"/>
        <v>View on Google Map</v>
      </c>
      <c r="N415" s="116">
        <f t="shared" si="7"/>
        <v>61</v>
      </c>
    </row>
    <row r="416" spans="1:14" x14ac:dyDescent="0.2">
      <c r="A416" s="116">
        <v>350</v>
      </c>
      <c r="B416" s="116" t="s">
        <v>1405</v>
      </c>
      <c r="C416" s="116" t="s">
        <v>1406</v>
      </c>
      <c r="D416" s="116">
        <v>68.634874735899999</v>
      </c>
      <c r="E416" s="116">
        <v>-149.193728236</v>
      </c>
      <c r="F416" s="116" t="s">
        <v>558</v>
      </c>
      <c r="G416" s="116" t="s">
        <v>569</v>
      </c>
      <c r="H416" s="116" t="s">
        <v>1407</v>
      </c>
      <c r="I416" s="116" t="s">
        <v>558</v>
      </c>
      <c r="J416" s="116" t="s">
        <v>851</v>
      </c>
      <c r="K416" s="116" t="s">
        <v>558</v>
      </c>
      <c r="L416" s="116" t="s">
        <v>852</v>
      </c>
      <c r="M416" s="122" t="str">
        <f t="shared" si="8"/>
        <v>View on Google Map</v>
      </c>
      <c r="N416" s="116">
        <f t="shared" si="7"/>
        <v>62</v>
      </c>
    </row>
    <row r="417" spans="1:14" x14ac:dyDescent="0.2">
      <c r="A417" s="116">
        <v>351</v>
      </c>
      <c r="B417" s="116" t="s">
        <v>1408</v>
      </c>
      <c r="C417" s="116" t="s">
        <v>1409</v>
      </c>
      <c r="D417" s="116">
        <v>68.630921065799996</v>
      </c>
      <c r="E417" s="116">
        <v>-149.19135200100001</v>
      </c>
      <c r="F417" s="116" t="s">
        <v>558</v>
      </c>
      <c r="G417" s="116" t="s">
        <v>569</v>
      </c>
      <c r="H417" s="116" t="s">
        <v>1410</v>
      </c>
      <c r="I417" s="116" t="s">
        <v>558</v>
      </c>
      <c r="J417" s="116" t="s">
        <v>851</v>
      </c>
      <c r="K417" s="116" t="s">
        <v>558</v>
      </c>
      <c r="L417" s="116" t="s">
        <v>852</v>
      </c>
      <c r="M417" s="122" t="str">
        <f t="shared" si="8"/>
        <v>View on Google Map</v>
      </c>
      <c r="N417" s="116">
        <f t="shared" si="7"/>
        <v>63</v>
      </c>
    </row>
    <row r="418" spans="1:14" x14ac:dyDescent="0.2">
      <c r="A418" s="116">
        <v>352</v>
      </c>
      <c r="B418" s="116" t="s">
        <v>1411</v>
      </c>
      <c r="C418" s="116" t="s">
        <v>1412</v>
      </c>
      <c r="D418" s="116">
        <v>68.635774522800006</v>
      </c>
      <c r="E418" s="116">
        <v>-149.20688041899999</v>
      </c>
      <c r="F418" s="116" t="s">
        <v>558</v>
      </c>
      <c r="G418" s="116" t="s">
        <v>569</v>
      </c>
      <c r="H418" s="116" t="s">
        <v>1413</v>
      </c>
      <c r="I418" s="116" t="s">
        <v>558</v>
      </c>
      <c r="J418" s="116" t="s">
        <v>851</v>
      </c>
      <c r="K418" s="116" t="s">
        <v>558</v>
      </c>
      <c r="L418" s="116" t="s">
        <v>852</v>
      </c>
      <c r="M418" s="122" t="str">
        <f t="shared" si="8"/>
        <v>View on Google Map</v>
      </c>
      <c r="N418" s="116">
        <f t="shared" si="7"/>
        <v>64</v>
      </c>
    </row>
    <row r="419" spans="1:14" x14ac:dyDescent="0.2">
      <c r="A419" s="116">
        <v>353</v>
      </c>
      <c r="B419" s="116" t="s">
        <v>1414</v>
      </c>
      <c r="C419" s="116" t="s">
        <v>1415</v>
      </c>
      <c r="D419" s="116">
        <v>68.585080002200002</v>
      </c>
      <c r="E419" s="116">
        <v>-149.208359645</v>
      </c>
      <c r="F419" s="116">
        <v>898</v>
      </c>
      <c r="G419" s="116" t="s">
        <v>569</v>
      </c>
      <c r="H419" s="116" t="s">
        <v>1416</v>
      </c>
      <c r="I419" s="116" t="s">
        <v>558</v>
      </c>
      <c r="J419" s="116" t="s">
        <v>851</v>
      </c>
      <c r="K419" s="116" t="s">
        <v>558</v>
      </c>
      <c r="L419" s="116" t="s">
        <v>852</v>
      </c>
      <c r="M419" s="122" t="str">
        <f t="shared" si="8"/>
        <v>View on Google Map</v>
      </c>
      <c r="N419" s="116">
        <f t="shared" si="7"/>
        <v>65</v>
      </c>
    </row>
    <row r="420" spans="1:14" x14ac:dyDescent="0.2">
      <c r="A420" s="116">
        <v>354</v>
      </c>
      <c r="B420" s="116" t="s">
        <v>1417</v>
      </c>
      <c r="C420" s="116" t="s">
        <v>1418</v>
      </c>
      <c r="D420" s="116">
        <v>68.583148055099997</v>
      </c>
      <c r="E420" s="116">
        <v>-149.19950362399999</v>
      </c>
      <c r="F420" s="116">
        <v>896</v>
      </c>
      <c r="G420" s="116" t="s">
        <v>569</v>
      </c>
      <c r="H420" s="116" t="s">
        <v>1419</v>
      </c>
      <c r="I420" s="116" t="s">
        <v>558</v>
      </c>
      <c r="J420" s="116" t="s">
        <v>851</v>
      </c>
      <c r="K420" s="116" t="s">
        <v>558</v>
      </c>
      <c r="L420" s="116" t="s">
        <v>852</v>
      </c>
      <c r="M420" s="122" t="str">
        <f t="shared" si="8"/>
        <v>View on Google Map</v>
      </c>
      <c r="N420" s="116">
        <f t="shared" ref="N420:N434" si="9">VALUE(MID(H420,5,3))</f>
        <v>66</v>
      </c>
    </row>
    <row r="421" spans="1:14" x14ac:dyDescent="0.2">
      <c r="A421" s="116">
        <v>355</v>
      </c>
      <c r="B421" s="116" t="s">
        <v>1420</v>
      </c>
      <c r="C421" s="116" t="s">
        <v>1421</v>
      </c>
      <c r="D421" s="116">
        <v>68.589302268899999</v>
      </c>
      <c r="E421" s="116">
        <v>-149.18432651699999</v>
      </c>
      <c r="F421" s="116">
        <v>880</v>
      </c>
      <c r="G421" s="116" t="s">
        <v>569</v>
      </c>
      <c r="H421" s="116" t="s">
        <v>1422</v>
      </c>
      <c r="I421" s="116" t="s">
        <v>558</v>
      </c>
      <c r="J421" s="116" t="s">
        <v>851</v>
      </c>
      <c r="K421" s="116" t="s">
        <v>558</v>
      </c>
      <c r="L421" s="116" t="s">
        <v>852</v>
      </c>
      <c r="M421" s="122" t="str">
        <f t="shared" si="8"/>
        <v>View on Google Map</v>
      </c>
      <c r="N421" s="116">
        <f t="shared" si="9"/>
        <v>67</v>
      </c>
    </row>
    <row r="422" spans="1:14" x14ac:dyDescent="0.2">
      <c r="A422" s="116">
        <v>357</v>
      </c>
      <c r="B422" s="116" t="s">
        <v>1423</v>
      </c>
      <c r="C422" s="116" t="s">
        <v>1424</v>
      </c>
      <c r="D422" s="116">
        <v>68.595953562800005</v>
      </c>
      <c r="E422" s="116">
        <v>-149.161045868</v>
      </c>
      <c r="F422" s="116" t="s">
        <v>558</v>
      </c>
      <c r="G422" s="116" t="s">
        <v>569</v>
      </c>
      <c r="H422" s="116" t="s">
        <v>1425</v>
      </c>
      <c r="I422" s="116" t="s">
        <v>558</v>
      </c>
      <c r="J422" s="116" t="s">
        <v>851</v>
      </c>
      <c r="K422" s="116" t="s">
        <v>558</v>
      </c>
      <c r="L422" s="116" t="s">
        <v>852</v>
      </c>
      <c r="M422" s="122" t="str">
        <f t="shared" si="8"/>
        <v>View on Google Map</v>
      </c>
      <c r="N422" s="116">
        <f t="shared" si="9"/>
        <v>69</v>
      </c>
    </row>
    <row r="423" spans="1:14" x14ac:dyDescent="0.2">
      <c r="A423" s="116">
        <v>358</v>
      </c>
      <c r="B423" s="116" t="s">
        <v>1426</v>
      </c>
      <c r="C423" s="116" t="s">
        <v>1427</v>
      </c>
      <c r="D423" s="116">
        <v>68.590721600400002</v>
      </c>
      <c r="E423" s="116">
        <v>-149.17612158099999</v>
      </c>
      <c r="F423" s="116" t="s">
        <v>558</v>
      </c>
      <c r="G423" s="116" t="s">
        <v>569</v>
      </c>
      <c r="H423" s="116" t="s">
        <v>1428</v>
      </c>
      <c r="I423" s="116" t="s">
        <v>558</v>
      </c>
      <c r="J423" s="116" t="s">
        <v>851</v>
      </c>
      <c r="K423" s="116" t="s">
        <v>558</v>
      </c>
      <c r="L423" s="116" t="s">
        <v>852</v>
      </c>
      <c r="M423" s="122" t="str">
        <f t="shared" si="8"/>
        <v>View on Google Map</v>
      </c>
      <c r="N423" s="116">
        <f t="shared" si="9"/>
        <v>70</v>
      </c>
    </row>
    <row r="424" spans="1:14" x14ac:dyDescent="0.2">
      <c r="A424" s="116">
        <v>359</v>
      </c>
      <c r="B424" s="116" t="s">
        <v>1429</v>
      </c>
      <c r="C424" s="116" t="s">
        <v>1430</v>
      </c>
      <c r="D424" s="116">
        <v>68.600362864999994</v>
      </c>
      <c r="E424" s="116">
        <v>-149.14055367099999</v>
      </c>
      <c r="F424" s="116" t="s">
        <v>558</v>
      </c>
      <c r="G424" s="116" t="s">
        <v>569</v>
      </c>
      <c r="H424" s="116" t="s">
        <v>1431</v>
      </c>
      <c r="I424" s="116" t="s">
        <v>558</v>
      </c>
      <c r="J424" s="116" t="s">
        <v>851</v>
      </c>
      <c r="K424" s="116" t="s">
        <v>558</v>
      </c>
      <c r="L424" s="116" t="s">
        <v>852</v>
      </c>
      <c r="M424" s="122" t="str">
        <f t="shared" si="8"/>
        <v>View on Google Map</v>
      </c>
      <c r="N424" s="116">
        <f t="shared" si="9"/>
        <v>71</v>
      </c>
    </row>
    <row r="425" spans="1:14" x14ac:dyDescent="0.2">
      <c r="A425" s="116">
        <v>360</v>
      </c>
      <c r="B425" s="116" t="s">
        <v>1432</v>
      </c>
      <c r="C425" s="116" t="s">
        <v>1433</v>
      </c>
      <c r="D425" s="116">
        <v>68.610380375800005</v>
      </c>
      <c r="E425" s="116">
        <v>-149.15074315300001</v>
      </c>
      <c r="F425" s="116" t="s">
        <v>558</v>
      </c>
      <c r="G425" s="116" t="s">
        <v>569</v>
      </c>
      <c r="H425" s="116" t="s">
        <v>1434</v>
      </c>
      <c r="I425" s="116" t="s">
        <v>558</v>
      </c>
      <c r="J425" s="116" t="s">
        <v>851</v>
      </c>
      <c r="K425" s="116" t="s">
        <v>558</v>
      </c>
      <c r="L425" s="116" t="s">
        <v>852</v>
      </c>
      <c r="M425" s="122" t="str">
        <f t="shared" si="8"/>
        <v>View on Google Map</v>
      </c>
      <c r="N425" s="116">
        <f t="shared" si="9"/>
        <v>72</v>
      </c>
    </row>
    <row r="426" spans="1:14" x14ac:dyDescent="0.2">
      <c r="A426" s="116">
        <v>361</v>
      </c>
      <c r="B426" s="116" t="s">
        <v>1435</v>
      </c>
      <c r="C426" s="116" t="s">
        <v>1436</v>
      </c>
      <c r="D426" s="116">
        <v>68.6163784405</v>
      </c>
      <c r="E426" s="116">
        <v>-149.16060521700001</v>
      </c>
      <c r="F426" s="116" t="s">
        <v>558</v>
      </c>
      <c r="G426" s="116" t="s">
        <v>569</v>
      </c>
      <c r="H426" s="116" t="s">
        <v>1437</v>
      </c>
      <c r="I426" s="116" t="s">
        <v>558</v>
      </c>
      <c r="J426" s="116" t="s">
        <v>851</v>
      </c>
      <c r="K426" s="116" t="s">
        <v>558</v>
      </c>
      <c r="L426" s="116" t="s">
        <v>852</v>
      </c>
      <c r="M426" s="122" t="str">
        <f t="shared" si="8"/>
        <v>View on Google Map</v>
      </c>
      <c r="N426" s="116">
        <f t="shared" si="9"/>
        <v>73</v>
      </c>
    </row>
    <row r="427" spans="1:14" x14ac:dyDescent="0.2">
      <c r="A427" s="116">
        <v>362</v>
      </c>
      <c r="B427" s="116" t="s">
        <v>1438</v>
      </c>
      <c r="C427" s="116" t="s">
        <v>1439</v>
      </c>
      <c r="D427" s="116">
        <v>68.617934232500005</v>
      </c>
      <c r="E427" s="116">
        <v>-149.18594585299999</v>
      </c>
      <c r="F427" s="116" t="s">
        <v>558</v>
      </c>
      <c r="G427" s="116" t="s">
        <v>569</v>
      </c>
      <c r="H427" s="116" t="s">
        <v>1440</v>
      </c>
      <c r="I427" s="116" t="s">
        <v>558</v>
      </c>
      <c r="J427" s="116" t="s">
        <v>851</v>
      </c>
      <c r="K427" s="116" t="s">
        <v>558</v>
      </c>
      <c r="L427" s="116" t="s">
        <v>852</v>
      </c>
      <c r="M427" s="122" t="str">
        <f t="shared" si="8"/>
        <v>View on Google Map</v>
      </c>
      <c r="N427" s="116">
        <f t="shared" si="9"/>
        <v>74</v>
      </c>
    </row>
    <row r="428" spans="1:14" x14ac:dyDescent="0.2">
      <c r="A428" s="116">
        <v>363</v>
      </c>
      <c r="B428" s="116" t="s">
        <v>1441</v>
      </c>
      <c r="C428" s="116" t="s">
        <v>1442</v>
      </c>
      <c r="D428" s="116">
        <v>68.614396448299999</v>
      </c>
      <c r="E428" s="116">
        <v>-149.19403818800001</v>
      </c>
      <c r="F428" s="116" t="s">
        <v>558</v>
      </c>
      <c r="G428" s="116" t="s">
        <v>569</v>
      </c>
      <c r="H428" s="116" t="s">
        <v>1443</v>
      </c>
      <c r="I428" s="116" t="s">
        <v>558</v>
      </c>
      <c r="J428" s="116" t="s">
        <v>851</v>
      </c>
      <c r="K428" s="116" t="s">
        <v>558</v>
      </c>
      <c r="L428" s="116" t="s">
        <v>852</v>
      </c>
      <c r="M428" s="122" t="str">
        <f t="shared" si="8"/>
        <v>View on Google Map</v>
      </c>
      <c r="N428" s="116">
        <f t="shared" si="9"/>
        <v>75</v>
      </c>
    </row>
    <row r="429" spans="1:14" x14ac:dyDescent="0.2">
      <c r="A429" s="116">
        <v>364</v>
      </c>
      <c r="B429" s="116" t="s">
        <v>1444</v>
      </c>
      <c r="C429" s="116" t="s">
        <v>1445</v>
      </c>
      <c r="D429" s="116">
        <v>68.694256581000005</v>
      </c>
      <c r="E429" s="116">
        <v>-149.73679655699999</v>
      </c>
      <c r="F429" s="116" t="s">
        <v>558</v>
      </c>
      <c r="G429" s="116" t="s">
        <v>569</v>
      </c>
      <c r="H429" s="116" t="s">
        <v>1446</v>
      </c>
      <c r="I429" s="116" t="s">
        <v>558</v>
      </c>
      <c r="J429" s="116" t="s">
        <v>851</v>
      </c>
      <c r="K429" s="116" t="s">
        <v>558</v>
      </c>
      <c r="L429" s="116" t="s">
        <v>852</v>
      </c>
      <c r="M429" s="122" t="str">
        <f t="shared" si="8"/>
        <v>View on Google Map</v>
      </c>
      <c r="N429" s="116">
        <f t="shared" si="9"/>
        <v>76</v>
      </c>
    </row>
    <row r="430" spans="1:14" x14ac:dyDescent="0.2">
      <c r="A430" s="116">
        <v>365</v>
      </c>
      <c r="B430" s="116" t="s">
        <v>1447</v>
      </c>
      <c r="C430" s="116" t="s">
        <v>1448</v>
      </c>
      <c r="D430" s="116">
        <v>68.696056827099994</v>
      </c>
      <c r="E430" s="116">
        <v>-149.73131395300001</v>
      </c>
      <c r="F430" s="116" t="s">
        <v>558</v>
      </c>
      <c r="G430" s="116" t="s">
        <v>569</v>
      </c>
      <c r="H430" s="116" t="s">
        <v>1449</v>
      </c>
      <c r="I430" s="116" t="s">
        <v>558</v>
      </c>
      <c r="J430" s="116" t="s">
        <v>851</v>
      </c>
      <c r="K430" s="116" t="s">
        <v>558</v>
      </c>
      <c r="L430" s="116" t="s">
        <v>852</v>
      </c>
      <c r="M430" s="122" t="str">
        <f t="shared" si="8"/>
        <v>View on Google Map</v>
      </c>
      <c r="N430" s="116">
        <f t="shared" si="9"/>
        <v>77</v>
      </c>
    </row>
    <row r="431" spans="1:14" x14ac:dyDescent="0.2">
      <c r="A431" s="116">
        <v>366</v>
      </c>
      <c r="B431" s="116" t="s">
        <v>1450</v>
      </c>
      <c r="C431" s="116" t="s">
        <v>1451</v>
      </c>
      <c r="D431" s="116">
        <v>68.696468206399999</v>
      </c>
      <c r="E431" s="116">
        <v>-149.708828248</v>
      </c>
      <c r="F431" s="116" t="s">
        <v>558</v>
      </c>
      <c r="G431" s="116" t="s">
        <v>569</v>
      </c>
      <c r="H431" s="116" t="s">
        <v>1452</v>
      </c>
      <c r="I431" s="116" t="s">
        <v>558</v>
      </c>
      <c r="J431" s="116" t="s">
        <v>851</v>
      </c>
      <c r="K431" s="116" t="s">
        <v>558</v>
      </c>
      <c r="L431" s="116" t="s">
        <v>852</v>
      </c>
      <c r="M431" s="122" t="str">
        <f t="shared" si="8"/>
        <v>View on Google Map</v>
      </c>
      <c r="N431" s="116">
        <f t="shared" si="9"/>
        <v>78</v>
      </c>
    </row>
    <row r="432" spans="1:14" x14ac:dyDescent="0.2">
      <c r="A432" s="116">
        <v>367</v>
      </c>
      <c r="B432" s="116" t="s">
        <v>1453</v>
      </c>
      <c r="C432" s="116" t="s">
        <v>1454</v>
      </c>
      <c r="D432" s="116">
        <v>68.688141157800004</v>
      </c>
      <c r="E432" s="116">
        <v>-149.73555264800001</v>
      </c>
      <c r="F432" s="116" t="s">
        <v>558</v>
      </c>
      <c r="G432" s="116" t="s">
        <v>569</v>
      </c>
      <c r="H432" s="116" t="s">
        <v>1455</v>
      </c>
      <c r="I432" s="116" t="s">
        <v>558</v>
      </c>
      <c r="J432" s="116" t="s">
        <v>851</v>
      </c>
      <c r="K432" s="116" t="s">
        <v>558</v>
      </c>
      <c r="L432" s="116" t="s">
        <v>852</v>
      </c>
      <c r="M432" s="122" t="str">
        <f t="shared" si="8"/>
        <v>View on Google Map</v>
      </c>
      <c r="N432" s="116">
        <f t="shared" si="9"/>
        <v>79</v>
      </c>
    </row>
    <row r="433" spans="1:14" x14ac:dyDescent="0.2">
      <c r="A433" s="116">
        <v>368</v>
      </c>
      <c r="B433" s="116" t="s">
        <v>1456</v>
      </c>
      <c r="C433" s="116" t="s">
        <v>1457</v>
      </c>
      <c r="D433" s="116">
        <v>68.682810930000002</v>
      </c>
      <c r="E433" s="116">
        <v>-149.73974315500001</v>
      </c>
      <c r="F433" s="116" t="s">
        <v>558</v>
      </c>
      <c r="G433" s="116" t="s">
        <v>569</v>
      </c>
      <c r="H433" s="116" t="s">
        <v>1458</v>
      </c>
      <c r="I433" s="116" t="s">
        <v>558</v>
      </c>
      <c r="J433" s="116" t="s">
        <v>851</v>
      </c>
      <c r="K433" s="116" t="s">
        <v>558</v>
      </c>
      <c r="L433" s="116" t="s">
        <v>852</v>
      </c>
      <c r="M433" s="122" t="str">
        <f t="shared" si="8"/>
        <v>View on Google Map</v>
      </c>
      <c r="N433" s="116">
        <f t="shared" si="9"/>
        <v>80</v>
      </c>
    </row>
    <row r="434" spans="1:14" x14ac:dyDescent="0.2">
      <c r="A434" s="116">
        <v>369</v>
      </c>
      <c r="B434" s="116" t="s">
        <v>1459</v>
      </c>
      <c r="C434" s="116" t="s">
        <v>1460</v>
      </c>
      <c r="D434" s="116">
        <v>68.682815967099998</v>
      </c>
      <c r="E434" s="116">
        <v>-149.759701116</v>
      </c>
      <c r="F434" s="116" t="s">
        <v>558</v>
      </c>
      <c r="G434" s="116" t="s">
        <v>569</v>
      </c>
      <c r="H434" s="116" t="s">
        <v>1461</v>
      </c>
      <c r="I434" s="116" t="s">
        <v>558</v>
      </c>
      <c r="J434" s="116" t="s">
        <v>851</v>
      </c>
      <c r="K434" s="116" t="s">
        <v>558</v>
      </c>
      <c r="L434" s="116" t="s">
        <v>852</v>
      </c>
      <c r="M434" s="122" t="str">
        <f t="shared" si="8"/>
        <v>View on Google Map</v>
      </c>
      <c r="N434" s="116">
        <f t="shared" si="9"/>
        <v>81</v>
      </c>
    </row>
    <row r="435" spans="1:14" x14ac:dyDescent="0.2">
      <c r="A435" s="116">
        <v>1225</v>
      </c>
      <c r="B435" s="116" t="s">
        <v>1462</v>
      </c>
      <c r="C435" s="35" t="s">
        <v>1463</v>
      </c>
      <c r="D435" s="116">
        <v>68.641727000000003</v>
      </c>
      <c r="E435" s="116">
        <v>-149.58665300000001</v>
      </c>
      <c r="F435" s="116">
        <v>724</v>
      </c>
      <c r="G435" s="116" t="s">
        <v>559</v>
      </c>
      <c r="H435" s="116" t="s">
        <v>558</v>
      </c>
      <c r="I435" s="116" t="s">
        <v>558</v>
      </c>
      <c r="J435" s="116" t="s">
        <v>584</v>
      </c>
      <c r="K435" s="116" t="s">
        <v>558</v>
      </c>
      <c r="L435" s="116" t="s">
        <v>558</v>
      </c>
      <c r="M435" s="122" t="str">
        <f t="shared" si="8"/>
        <v>View on Google Map</v>
      </c>
    </row>
    <row r="436" spans="1:14" x14ac:dyDescent="0.2">
      <c r="B436" s="116" t="s">
        <v>1464</v>
      </c>
      <c r="C436" s="124" t="s">
        <v>1465</v>
      </c>
      <c r="D436" s="116">
        <v>68.622865000000004</v>
      </c>
      <c r="E436" s="116">
        <v>-149.60854499999999</v>
      </c>
      <c r="F436" s="116">
        <v>758</v>
      </c>
      <c r="G436" s="116" t="s">
        <v>559</v>
      </c>
      <c r="J436" s="116" t="s">
        <v>584</v>
      </c>
      <c r="M436" s="122" t="str">
        <f t="shared" si="8"/>
        <v>View on Google Map</v>
      </c>
    </row>
    <row r="437" spans="1:14" x14ac:dyDescent="0.2">
      <c r="A437" s="116">
        <v>1220</v>
      </c>
      <c r="B437" s="116" t="s">
        <v>1466</v>
      </c>
      <c r="C437" s="35" t="s">
        <v>1467</v>
      </c>
      <c r="D437" s="116">
        <v>68.624410999999995</v>
      </c>
      <c r="E437" s="116">
        <v>-149.609589</v>
      </c>
      <c r="F437" s="116">
        <v>750</v>
      </c>
      <c r="G437" s="116" t="s">
        <v>559</v>
      </c>
      <c r="H437" s="116" t="s">
        <v>558</v>
      </c>
      <c r="I437" s="116" t="s">
        <v>558</v>
      </c>
      <c r="J437" s="116" t="s">
        <v>584</v>
      </c>
      <c r="K437" s="116" t="s">
        <v>558</v>
      </c>
      <c r="L437" s="116" t="s">
        <v>558</v>
      </c>
      <c r="M437" s="122" t="str">
        <f t="shared" si="8"/>
        <v>View on Google Map</v>
      </c>
    </row>
    <row r="438" spans="1:14" x14ac:dyDescent="0.2">
      <c r="A438" s="116">
        <v>1222</v>
      </c>
      <c r="B438" s="116" t="s">
        <v>1468</v>
      </c>
      <c r="C438" s="35" t="s">
        <v>1469</v>
      </c>
      <c r="D438" s="116">
        <v>68.629636000000005</v>
      </c>
      <c r="E438" s="116">
        <v>-149.57565600000001</v>
      </c>
      <c r="F438" s="116">
        <v>755</v>
      </c>
      <c r="G438" s="116" t="s">
        <v>559</v>
      </c>
      <c r="H438" s="116" t="s">
        <v>558</v>
      </c>
      <c r="I438" s="116" t="s">
        <v>558</v>
      </c>
      <c r="J438" s="116" t="s">
        <v>584</v>
      </c>
      <c r="K438" s="116" t="s">
        <v>558</v>
      </c>
      <c r="L438" s="116" t="s">
        <v>558</v>
      </c>
      <c r="M438" s="122" t="str">
        <f t="shared" si="8"/>
        <v>View on Google Map</v>
      </c>
    </row>
    <row r="439" spans="1:14" x14ac:dyDescent="0.2">
      <c r="A439" s="116">
        <v>1228</v>
      </c>
      <c r="B439" s="116" t="s">
        <v>1470</v>
      </c>
      <c r="C439" s="35" t="s">
        <v>1471</v>
      </c>
      <c r="D439" s="116">
        <v>68.634530999999996</v>
      </c>
      <c r="E439" s="116">
        <v>-149.64205799999999</v>
      </c>
      <c r="F439" s="116">
        <v>748</v>
      </c>
      <c r="G439" s="116" t="s">
        <v>559</v>
      </c>
      <c r="H439" s="116" t="s">
        <v>558</v>
      </c>
      <c r="I439" s="116" t="s">
        <v>558</v>
      </c>
      <c r="J439" s="116" t="s">
        <v>584</v>
      </c>
      <c r="K439" s="116" t="s">
        <v>558</v>
      </c>
      <c r="L439" s="116" t="s">
        <v>558</v>
      </c>
      <c r="M439" s="122" t="str">
        <f t="shared" si="8"/>
        <v>View on Google Map</v>
      </c>
    </row>
    <row r="440" spans="1:14" x14ac:dyDescent="0.2">
      <c r="A440" s="116">
        <v>1227</v>
      </c>
      <c r="B440" s="116" t="s">
        <v>1472</v>
      </c>
      <c r="C440" s="35" t="s">
        <v>1473</v>
      </c>
      <c r="D440" s="116">
        <v>68.634039000000001</v>
      </c>
      <c r="E440" s="116">
        <v>-149.63704899999999</v>
      </c>
      <c r="F440" s="116">
        <v>750</v>
      </c>
      <c r="G440" s="116" t="s">
        <v>559</v>
      </c>
      <c r="H440" s="116" t="s">
        <v>558</v>
      </c>
      <c r="I440" s="116" t="s">
        <v>558</v>
      </c>
      <c r="J440" s="116" t="s">
        <v>584</v>
      </c>
      <c r="K440" s="116" t="s">
        <v>558</v>
      </c>
      <c r="L440" s="116" t="s">
        <v>558</v>
      </c>
      <c r="M440" s="122" t="str">
        <f t="shared" si="8"/>
        <v>View on Google Map</v>
      </c>
    </row>
    <row r="441" spans="1:14" x14ac:dyDescent="0.2">
      <c r="A441" s="116">
        <v>1223</v>
      </c>
      <c r="B441" s="116" t="s">
        <v>1474</v>
      </c>
      <c r="C441" s="35" t="s">
        <v>1475</v>
      </c>
      <c r="D441" s="116">
        <v>68.635624000000007</v>
      </c>
      <c r="E441" s="116">
        <v>-149.587064</v>
      </c>
      <c r="F441" s="116">
        <v>745</v>
      </c>
      <c r="G441" s="116" t="s">
        <v>559</v>
      </c>
      <c r="H441" s="116" t="s">
        <v>558</v>
      </c>
      <c r="I441" s="116" t="s">
        <v>558</v>
      </c>
      <c r="J441" s="116" t="s">
        <v>584</v>
      </c>
      <c r="K441" s="116" t="s">
        <v>558</v>
      </c>
      <c r="L441" s="116" t="s">
        <v>558</v>
      </c>
      <c r="M441" s="122" t="str">
        <f t="shared" si="8"/>
        <v>View on Google Map</v>
      </c>
    </row>
    <row r="442" spans="1:14" x14ac:dyDescent="0.2">
      <c r="A442" s="116">
        <v>1224</v>
      </c>
      <c r="B442" s="116" t="s">
        <v>1476</v>
      </c>
      <c r="C442" s="35" t="s">
        <v>1477</v>
      </c>
      <c r="D442" s="116">
        <v>68.638692000000006</v>
      </c>
      <c r="E442" s="116">
        <v>-149.567789</v>
      </c>
      <c r="F442" s="116">
        <v>731</v>
      </c>
      <c r="G442" s="116" t="s">
        <v>559</v>
      </c>
      <c r="H442" s="116" t="s">
        <v>558</v>
      </c>
      <c r="I442" s="116" t="s">
        <v>558</v>
      </c>
      <c r="J442" s="116" t="s">
        <v>584</v>
      </c>
      <c r="K442" s="116" t="s">
        <v>558</v>
      </c>
      <c r="L442" s="116" t="s">
        <v>558</v>
      </c>
      <c r="M442" s="122" t="str">
        <f t="shared" si="8"/>
        <v>View on Google Map</v>
      </c>
    </row>
    <row r="443" spans="1:14" x14ac:dyDescent="0.2">
      <c r="A443" s="116">
        <v>1221</v>
      </c>
      <c r="B443" s="116" t="s">
        <v>1478</v>
      </c>
      <c r="C443" s="35" t="s">
        <v>1479</v>
      </c>
      <c r="D443" s="116">
        <v>68.625440999999995</v>
      </c>
      <c r="E443" s="116">
        <v>-149.60287299999999</v>
      </c>
      <c r="F443" s="116">
        <v>717</v>
      </c>
      <c r="G443" s="116" t="s">
        <v>559</v>
      </c>
      <c r="H443" s="116" t="s">
        <v>558</v>
      </c>
      <c r="I443" s="116" t="s">
        <v>558</v>
      </c>
      <c r="J443" s="116" t="s">
        <v>584</v>
      </c>
      <c r="K443" s="116" t="s">
        <v>558</v>
      </c>
      <c r="L443" s="116" t="s">
        <v>558</v>
      </c>
      <c r="M443" s="122" t="str">
        <f t="shared" si="8"/>
        <v>View on Google Map</v>
      </c>
    </row>
    <row r="444" spans="1:14" x14ac:dyDescent="0.2">
      <c r="A444" s="116">
        <v>1226</v>
      </c>
      <c r="B444" s="35" t="s">
        <v>1480</v>
      </c>
      <c r="C444" s="35" t="s">
        <v>1481</v>
      </c>
      <c r="D444" s="116">
        <v>68.647621999999998</v>
      </c>
      <c r="E444" s="116">
        <v>-149.57729800000001</v>
      </c>
      <c r="F444" s="116">
        <v>719</v>
      </c>
      <c r="G444" s="116" t="s">
        <v>559</v>
      </c>
      <c r="H444" s="116" t="s">
        <v>558</v>
      </c>
      <c r="I444" s="116" t="s">
        <v>558</v>
      </c>
      <c r="J444" s="116" t="s">
        <v>584</v>
      </c>
      <c r="K444" s="116" t="s">
        <v>558</v>
      </c>
      <c r="L444" s="116" t="s">
        <v>558</v>
      </c>
      <c r="M444" s="122" t="str">
        <f t="shared" si="8"/>
        <v>View on Google Map</v>
      </c>
    </row>
    <row r="445" spans="1:14" x14ac:dyDescent="0.2">
      <c r="A445" s="116">
        <v>487</v>
      </c>
      <c r="B445" s="116" t="s">
        <v>1482</v>
      </c>
      <c r="C445" s="116" t="s">
        <v>558</v>
      </c>
      <c r="D445" s="116">
        <v>68.961583332999993</v>
      </c>
      <c r="E445" s="116">
        <v>-150.20961666700001</v>
      </c>
      <c r="F445" s="116">
        <v>380</v>
      </c>
      <c r="G445" s="116" t="s">
        <v>569</v>
      </c>
      <c r="H445" s="116" t="s">
        <v>558</v>
      </c>
      <c r="I445" s="116" t="s">
        <v>558</v>
      </c>
      <c r="J445" s="116" t="s">
        <v>619</v>
      </c>
      <c r="K445" s="116" t="s">
        <v>558</v>
      </c>
      <c r="L445" s="116" t="s">
        <v>566</v>
      </c>
      <c r="M445" s="122" t="str">
        <f t="shared" si="8"/>
        <v>View on Google Map</v>
      </c>
    </row>
    <row r="446" spans="1:14" x14ac:dyDescent="0.2">
      <c r="A446" s="116">
        <v>23</v>
      </c>
      <c r="B446" s="116" t="s">
        <v>1483</v>
      </c>
      <c r="C446" s="116" t="s">
        <v>558</v>
      </c>
      <c r="D446" s="116" t="s">
        <v>558</v>
      </c>
      <c r="E446" s="116" t="s">
        <v>558</v>
      </c>
      <c r="F446" s="116" t="s">
        <v>558</v>
      </c>
      <c r="G446" s="116" t="s">
        <v>583</v>
      </c>
      <c r="H446" s="116" t="s">
        <v>558</v>
      </c>
      <c r="I446" s="116" t="s">
        <v>558</v>
      </c>
      <c r="J446" s="116" t="s">
        <v>584</v>
      </c>
      <c r="K446" s="116" t="s">
        <v>558</v>
      </c>
      <c r="L446" s="116" t="s">
        <v>558</v>
      </c>
      <c r="M446" s="122" t="str">
        <f t="shared" si="8"/>
        <v>View on Google Map</v>
      </c>
    </row>
    <row r="447" spans="1:14" x14ac:dyDescent="0.2">
      <c r="A447" s="116">
        <v>529</v>
      </c>
      <c r="B447" s="116" t="s">
        <v>1484</v>
      </c>
      <c r="C447" s="116" t="s">
        <v>964</v>
      </c>
      <c r="D447" s="116">
        <v>68.672934999999995</v>
      </c>
      <c r="E447" s="116">
        <v>-149.61752300000001</v>
      </c>
      <c r="F447" s="116">
        <v>708</v>
      </c>
      <c r="G447" s="116" t="s">
        <v>569</v>
      </c>
      <c r="H447" s="116" t="s">
        <v>558</v>
      </c>
      <c r="I447" s="116" t="s">
        <v>558</v>
      </c>
      <c r="J447" s="116" t="s">
        <v>570</v>
      </c>
      <c r="K447" s="116" t="s">
        <v>558</v>
      </c>
      <c r="L447" s="116" t="s">
        <v>965</v>
      </c>
      <c r="M447" s="122" t="str">
        <f t="shared" si="8"/>
        <v>View on Google Map</v>
      </c>
    </row>
    <row r="448" spans="1:14" x14ac:dyDescent="0.2">
      <c r="A448" s="116">
        <v>494</v>
      </c>
      <c r="B448" s="116" t="s">
        <v>1485</v>
      </c>
      <c r="C448" s="116" t="s">
        <v>558</v>
      </c>
      <c r="D448" s="116">
        <v>68.673756999999995</v>
      </c>
      <c r="E448" s="116">
        <v>-149.618268</v>
      </c>
      <c r="F448" s="116">
        <v>701</v>
      </c>
      <c r="G448" s="116" t="s">
        <v>583</v>
      </c>
      <c r="H448" s="116" t="s">
        <v>558</v>
      </c>
      <c r="I448" s="116" t="s">
        <v>558</v>
      </c>
      <c r="J448" s="116" t="s">
        <v>1486</v>
      </c>
      <c r="K448" s="116" t="s">
        <v>558</v>
      </c>
      <c r="L448" s="116" t="s">
        <v>965</v>
      </c>
      <c r="M448" s="122" t="str">
        <f t="shared" si="8"/>
        <v>View on Google Map</v>
      </c>
    </row>
    <row r="449" spans="1:13" x14ac:dyDescent="0.2">
      <c r="A449" s="116">
        <v>189</v>
      </c>
      <c r="B449" s="116" t="s">
        <v>1487</v>
      </c>
      <c r="C449" s="116" t="s">
        <v>558</v>
      </c>
      <c r="D449" s="116">
        <v>68.622</v>
      </c>
      <c r="E449" s="116">
        <v>-149.590666</v>
      </c>
      <c r="F449" s="116">
        <v>725</v>
      </c>
      <c r="G449" s="116" t="s">
        <v>583</v>
      </c>
      <c r="H449" s="116" t="s">
        <v>1488</v>
      </c>
      <c r="I449" s="116" t="s">
        <v>1489</v>
      </c>
      <c r="J449" s="116" t="s">
        <v>584</v>
      </c>
      <c r="K449" s="116" t="s">
        <v>558</v>
      </c>
      <c r="L449" s="116" t="s">
        <v>973</v>
      </c>
      <c r="M449" s="122" t="str">
        <f t="shared" si="8"/>
        <v>View on Google Map</v>
      </c>
    </row>
    <row r="450" spans="1:13" x14ac:dyDescent="0.2">
      <c r="A450" s="116">
        <v>273</v>
      </c>
      <c r="B450" s="116" t="s">
        <v>1490</v>
      </c>
      <c r="C450" s="116" t="s">
        <v>558</v>
      </c>
      <c r="D450" s="116">
        <v>68.620166670000003</v>
      </c>
      <c r="E450" s="116">
        <v>-149.56816599999999</v>
      </c>
      <c r="F450" s="116">
        <v>739</v>
      </c>
      <c r="G450" s="116" t="s">
        <v>583</v>
      </c>
      <c r="H450" s="116" t="s">
        <v>1491</v>
      </c>
      <c r="I450" s="116" t="s">
        <v>1492</v>
      </c>
      <c r="J450" s="116" t="s">
        <v>584</v>
      </c>
      <c r="K450" s="116" t="s">
        <v>558</v>
      </c>
      <c r="L450" s="116" t="s">
        <v>973</v>
      </c>
      <c r="M450" s="122" t="str">
        <f t="shared" si="8"/>
        <v>View on Google Map</v>
      </c>
    </row>
    <row r="451" spans="1:13" x14ac:dyDescent="0.2">
      <c r="A451" s="116">
        <v>1175</v>
      </c>
      <c r="B451" s="116" t="s">
        <v>1493</v>
      </c>
      <c r="C451" s="116" t="s">
        <v>558</v>
      </c>
      <c r="D451" s="116">
        <v>68.951925000000003</v>
      </c>
      <c r="E451" s="116">
        <v>-150.20976669999999</v>
      </c>
      <c r="F451" s="116" t="s">
        <v>558</v>
      </c>
      <c r="G451" s="116" t="s">
        <v>583</v>
      </c>
      <c r="H451" s="116" t="s">
        <v>558</v>
      </c>
      <c r="I451" s="116" t="s">
        <v>558</v>
      </c>
      <c r="J451" s="116" t="s">
        <v>1113</v>
      </c>
      <c r="K451" s="116" t="s">
        <v>558</v>
      </c>
      <c r="L451" s="116" t="s">
        <v>558</v>
      </c>
      <c r="M451" s="122" t="str">
        <f t="shared" ref="M451:M514" si="10">HYPERLINK("http://maps.google.com/maps?q="&amp;D451&amp;","&amp;E451,"View on Google Map")</f>
        <v>View on Google Map</v>
      </c>
    </row>
    <row r="452" spans="1:13" x14ac:dyDescent="0.2">
      <c r="A452" s="116">
        <v>103</v>
      </c>
      <c r="B452" s="116" t="s">
        <v>1494</v>
      </c>
      <c r="C452" s="116" t="s">
        <v>558</v>
      </c>
      <c r="D452" s="116">
        <v>68.639893935800004</v>
      </c>
      <c r="E452" s="116">
        <v>-149.606965643</v>
      </c>
      <c r="F452" s="116">
        <v>731</v>
      </c>
      <c r="G452" s="116" t="s">
        <v>569</v>
      </c>
      <c r="H452" s="116" t="s">
        <v>1495</v>
      </c>
      <c r="I452" s="116" t="s">
        <v>1496</v>
      </c>
      <c r="J452" s="116" t="s">
        <v>584</v>
      </c>
      <c r="K452" s="116" t="s">
        <v>558</v>
      </c>
      <c r="L452" s="116" t="s">
        <v>558</v>
      </c>
      <c r="M452" s="122" t="str">
        <f t="shared" si="10"/>
        <v>View on Google Map</v>
      </c>
    </row>
    <row r="453" spans="1:13" x14ac:dyDescent="0.2">
      <c r="A453" s="116">
        <v>104</v>
      </c>
      <c r="B453" s="116" t="s">
        <v>1497</v>
      </c>
      <c r="C453" s="116" t="s">
        <v>558</v>
      </c>
      <c r="D453" s="116">
        <v>68.640947234500004</v>
      </c>
      <c r="E453" s="116">
        <v>-149.625086307</v>
      </c>
      <c r="F453" s="116">
        <v>724</v>
      </c>
      <c r="G453" s="116" t="s">
        <v>569</v>
      </c>
      <c r="H453" s="116" t="s">
        <v>1498</v>
      </c>
      <c r="I453" s="116" t="s">
        <v>1499</v>
      </c>
      <c r="J453" s="116" t="s">
        <v>584</v>
      </c>
      <c r="K453" s="116" t="s">
        <v>558</v>
      </c>
      <c r="L453" s="116" t="s">
        <v>558</v>
      </c>
      <c r="M453" s="122" t="str">
        <f t="shared" si="10"/>
        <v>View on Google Map</v>
      </c>
    </row>
    <row r="454" spans="1:13" x14ac:dyDescent="0.2">
      <c r="A454" s="116">
        <v>105</v>
      </c>
      <c r="B454" s="116" t="s">
        <v>1500</v>
      </c>
      <c r="C454" s="116" t="s">
        <v>558</v>
      </c>
      <c r="D454" s="116">
        <v>68.642385337299999</v>
      </c>
      <c r="E454" s="116">
        <v>-149.630769851</v>
      </c>
      <c r="F454" s="116" t="s">
        <v>558</v>
      </c>
      <c r="G454" s="116" t="s">
        <v>569</v>
      </c>
      <c r="H454" s="116" t="s">
        <v>1501</v>
      </c>
      <c r="I454" s="116" t="s">
        <v>558</v>
      </c>
      <c r="J454" s="116" t="s">
        <v>584</v>
      </c>
      <c r="K454" s="116" t="s">
        <v>558</v>
      </c>
      <c r="L454" s="116" t="s">
        <v>558</v>
      </c>
      <c r="M454" s="122" t="str">
        <f t="shared" si="10"/>
        <v>View on Google Map</v>
      </c>
    </row>
    <row r="455" spans="1:13" x14ac:dyDescent="0.2">
      <c r="A455" s="116">
        <v>245</v>
      </c>
      <c r="B455" s="116" t="s">
        <v>1502</v>
      </c>
      <c r="C455" s="116" t="s">
        <v>558</v>
      </c>
      <c r="D455" s="116">
        <v>68.645120702900002</v>
      </c>
      <c r="E455" s="116">
        <v>-149.64028014900001</v>
      </c>
      <c r="F455" s="116" t="s">
        <v>558</v>
      </c>
      <c r="G455" s="116" t="s">
        <v>569</v>
      </c>
      <c r="H455" s="116" t="s">
        <v>1503</v>
      </c>
      <c r="I455" s="116" t="s">
        <v>558</v>
      </c>
      <c r="J455" s="116" t="s">
        <v>584</v>
      </c>
      <c r="K455" s="116" t="s">
        <v>558</v>
      </c>
      <c r="L455" s="116" t="s">
        <v>558</v>
      </c>
      <c r="M455" s="122" t="str">
        <f t="shared" si="10"/>
        <v>View on Google Map</v>
      </c>
    </row>
    <row r="456" spans="1:13" x14ac:dyDescent="0.2">
      <c r="A456" s="116">
        <v>240</v>
      </c>
      <c r="B456" s="116" t="s">
        <v>1504</v>
      </c>
      <c r="C456" s="116" t="s">
        <v>558</v>
      </c>
      <c r="D456" s="116">
        <v>68.645428204500007</v>
      </c>
      <c r="E456" s="116">
        <v>-149.62885531000001</v>
      </c>
      <c r="F456" s="116" t="s">
        <v>558</v>
      </c>
      <c r="G456" s="116" t="s">
        <v>569</v>
      </c>
      <c r="H456" s="116" t="s">
        <v>1505</v>
      </c>
      <c r="I456" s="116" t="s">
        <v>558</v>
      </c>
      <c r="J456" s="116" t="s">
        <v>584</v>
      </c>
      <c r="K456" s="116" t="s">
        <v>558</v>
      </c>
      <c r="L456" s="116" t="s">
        <v>558</v>
      </c>
      <c r="M456" s="122" t="str">
        <f t="shared" si="10"/>
        <v>View on Google Map</v>
      </c>
    </row>
    <row r="457" spans="1:13" x14ac:dyDescent="0.2">
      <c r="A457" s="116">
        <v>508</v>
      </c>
      <c r="B457" s="116" t="s">
        <v>1506</v>
      </c>
      <c r="C457" s="116" t="s">
        <v>568</v>
      </c>
      <c r="D457" s="116">
        <v>68.396288999999996</v>
      </c>
      <c r="E457" s="116">
        <v>-150.58781500000001</v>
      </c>
      <c r="F457" s="116">
        <v>841</v>
      </c>
      <c r="G457" s="116" t="s">
        <v>569</v>
      </c>
      <c r="H457" s="116" t="s">
        <v>571</v>
      </c>
      <c r="I457" s="116" t="s">
        <v>558</v>
      </c>
      <c r="J457" s="116" t="s">
        <v>570</v>
      </c>
      <c r="K457" s="116" t="s">
        <v>558</v>
      </c>
      <c r="L457" s="116" t="s">
        <v>571</v>
      </c>
      <c r="M457" s="122" t="str">
        <f t="shared" si="10"/>
        <v>View on Google Map</v>
      </c>
    </row>
    <row r="458" spans="1:13" x14ac:dyDescent="0.2">
      <c r="A458" s="116">
        <v>513</v>
      </c>
      <c r="B458" s="116" t="s">
        <v>1507</v>
      </c>
      <c r="C458" s="116" t="s">
        <v>568</v>
      </c>
      <c r="D458" s="116">
        <v>68.362488999999997</v>
      </c>
      <c r="E458" s="116">
        <v>-151.70717300000001</v>
      </c>
      <c r="F458" s="116">
        <v>792</v>
      </c>
      <c r="G458" s="116" t="s">
        <v>569</v>
      </c>
      <c r="H458" s="116" t="s">
        <v>558</v>
      </c>
      <c r="I458" s="116" t="s">
        <v>558</v>
      </c>
      <c r="J458" s="116" t="s">
        <v>570</v>
      </c>
      <c r="K458" s="116" t="s">
        <v>558</v>
      </c>
      <c r="L458" s="116" t="s">
        <v>571</v>
      </c>
      <c r="M458" s="122" t="str">
        <f t="shared" si="10"/>
        <v>View on Google Map</v>
      </c>
    </row>
    <row r="459" spans="1:13" x14ac:dyDescent="0.2">
      <c r="A459" s="116">
        <v>512</v>
      </c>
      <c r="B459" s="116" t="s">
        <v>1508</v>
      </c>
      <c r="C459" s="116" t="s">
        <v>568</v>
      </c>
      <c r="D459" s="116">
        <v>68.351332999999997</v>
      </c>
      <c r="E459" s="116">
        <v>-151.702167</v>
      </c>
      <c r="F459" s="116">
        <v>789</v>
      </c>
      <c r="G459" s="116" t="s">
        <v>569</v>
      </c>
      <c r="H459" s="116" t="s">
        <v>558</v>
      </c>
      <c r="I459" s="116" t="s">
        <v>558</v>
      </c>
      <c r="J459" s="116" t="s">
        <v>570</v>
      </c>
      <c r="K459" s="116" t="s">
        <v>558</v>
      </c>
      <c r="L459" s="116" t="s">
        <v>571</v>
      </c>
      <c r="M459" s="122" t="str">
        <f t="shared" si="10"/>
        <v>View on Google Map</v>
      </c>
    </row>
    <row r="460" spans="1:13" x14ac:dyDescent="0.2">
      <c r="A460" s="116">
        <v>511</v>
      </c>
      <c r="B460" s="116" t="s">
        <v>1509</v>
      </c>
      <c r="C460" s="116" t="s">
        <v>568</v>
      </c>
      <c r="D460" s="116">
        <v>68.347333000000006</v>
      </c>
      <c r="E460" s="116">
        <v>-151.70316700000001</v>
      </c>
      <c r="F460" s="116">
        <v>798</v>
      </c>
      <c r="G460" s="116" t="s">
        <v>569</v>
      </c>
      <c r="H460" s="116" t="s">
        <v>558</v>
      </c>
      <c r="I460" s="116" t="s">
        <v>558</v>
      </c>
      <c r="J460" s="116" t="s">
        <v>570</v>
      </c>
      <c r="K460" s="116" t="s">
        <v>558</v>
      </c>
      <c r="L460" s="116" t="s">
        <v>571</v>
      </c>
      <c r="M460" s="122" t="str">
        <f t="shared" si="10"/>
        <v>View on Google Map</v>
      </c>
    </row>
    <row r="461" spans="1:13" x14ac:dyDescent="0.2">
      <c r="A461" s="116">
        <v>510</v>
      </c>
      <c r="B461" s="116" t="s">
        <v>1510</v>
      </c>
      <c r="C461" s="116" t="s">
        <v>568</v>
      </c>
      <c r="D461" s="116">
        <v>68.351332999999997</v>
      </c>
      <c r="E461" s="116">
        <v>-151.702167</v>
      </c>
      <c r="F461" s="116">
        <v>810</v>
      </c>
      <c r="G461" s="116" t="s">
        <v>569</v>
      </c>
      <c r="H461" s="116" t="s">
        <v>558</v>
      </c>
      <c r="I461" s="116" t="s">
        <v>558</v>
      </c>
      <c r="J461" s="116" t="s">
        <v>570</v>
      </c>
      <c r="K461" s="116" t="s">
        <v>558</v>
      </c>
      <c r="L461" s="116" t="s">
        <v>571</v>
      </c>
      <c r="M461" s="122" t="str">
        <f t="shared" si="10"/>
        <v>View on Google Map</v>
      </c>
    </row>
    <row r="462" spans="1:13" x14ac:dyDescent="0.2">
      <c r="A462" s="116">
        <v>233</v>
      </c>
      <c r="B462" s="116" t="s">
        <v>1511</v>
      </c>
      <c r="C462" s="116" t="s">
        <v>558</v>
      </c>
      <c r="D462" s="116">
        <v>68.643783170000006</v>
      </c>
      <c r="E462" s="116">
        <v>-149.58949436200001</v>
      </c>
      <c r="F462" s="116">
        <v>716</v>
      </c>
      <c r="G462" s="116" t="s">
        <v>569</v>
      </c>
      <c r="H462" s="116" t="s">
        <v>1512</v>
      </c>
      <c r="I462" s="116" t="s">
        <v>558</v>
      </c>
      <c r="J462" s="116" t="s">
        <v>584</v>
      </c>
      <c r="K462" s="116" t="s">
        <v>558</v>
      </c>
      <c r="L462" s="116" t="s">
        <v>558</v>
      </c>
      <c r="M462" s="122" t="str">
        <f t="shared" si="10"/>
        <v>View on Google Map</v>
      </c>
    </row>
    <row r="463" spans="1:13" x14ac:dyDescent="0.2">
      <c r="A463" s="116">
        <v>147</v>
      </c>
      <c r="B463" s="116" t="s">
        <v>1513</v>
      </c>
      <c r="C463" s="116" t="s">
        <v>558</v>
      </c>
      <c r="D463" s="116">
        <v>68.646325005500003</v>
      </c>
      <c r="E463" s="116">
        <v>-149.58272243900001</v>
      </c>
      <c r="F463" s="116">
        <v>716</v>
      </c>
      <c r="G463" s="116" t="s">
        <v>569</v>
      </c>
      <c r="H463" s="116" t="s">
        <v>1514</v>
      </c>
      <c r="I463" s="116" t="s">
        <v>558</v>
      </c>
      <c r="J463" s="116" t="s">
        <v>584</v>
      </c>
      <c r="K463" s="116" t="s">
        <v>558</v>
      </c>
      <c r="L463" s="116" t="s">
        <v>558</v>
      </c>
      <c r="M463" s="122" t="str">
        <f t="shared" si="10"/>
        <v>View on Google Map</v>
      </c>
    </row>
    <row r="464" spans="1:13" x14ac:dyDescent="0.2">
      <c r="A464" s="116">
        <v>234</v>
      </c>
      <c r="B464" s="116" t="s">
        <v>1515</v>
      </c>
      <c r="C464" s="116" t="s">
        <v>558</v>
      </c>
      <c r="D464" s="116">
        <v>68.650192520999994</v>
      </c>
      <c r="E464" s="116">
        <v>-149.58255972500001</v>
      </c>
      <c r="F464" s="116">
        <v>731</v>
      </c>
      <c r="G464" s="116" t="s">
        <v>569</v>
      </c>
      <c r="H464" s="116" t="s">
        <v>1516</v>
      </c>
      <c r="I464" s="116" t="s">
        <v>558</v>
      </c>
      <c r="J464" s="116" t="s">
        <v>584</v>
      </c>
      <c r="K464" s="116" t="s">
        <v>558</v>
      </c>
      <c r="L464" s="116" t="s">
        <v>558</v>
      </c>
      <c r="M464" s="122" t="str">
        <f t="shared" si="10"/>
        <v>View on Google Map</v>
      </c>
    </row>
    <row r="465" spans="1:13" x14ac:dyDescent="0.2">
      <c r="A465" s="116">
        <v>306</v>
      </c>
      <c r="B465" s="116" t="s">
        <v>1517</v>
      </c>
      <c r="C465" s="116" t="s">
        <v>558</v>
      </c>
      <c r="D465" s="116" t="s">
        <v>558</v>
      </c>
      <c r="E465" s="116" t="s">
        <v>558</v>
      </c>
      <c r="F465" s="116">
        <v>731</v>
      </c>
      <c r="G465" s="116" t="s">
        <v>569</v>
      </c>
      <c r="H465" s="116" t="s">
        <v>1518</v>
      </c>
      <c r="I465" s="116" t="s">
        <v>558</v>
      </c>
      <c r="J465" s="116" t="s">
        <v>584</v>
      </c>
      <c r="K465" s="116" t="s">
        <v>558</v>
      </c>
      <c r="L465" s="116" t="s">
        <v>558</v>
      </c>
      <c r="M465" s="122" t="str">
        <f t="shared" si="10"/>
        <v>View on Google Map</v>
      </c>
    </row>
    <row r="466" spans="1:13" x14ac:dyDescent="0.2">
      <c r="A466" s="116">
        <v>235</v>
      </c>
      <c r="B466" s="116" t="s">
        <v>1519</v>
      </c>
      <c r="C466" s="116" t="s">
        <v>558</v>
      </c>
      <c r="D466" s="116" t="s">
        <v>558</v>
      </c>
      <c r="E466" s="116" t="s">
        <v>558</v>
      </c>
      <c r="F466" s="116">
        <v>716</v>
      </c>
      <c r="G466" s="116" t="s">
        <v>569</v>
      </c>
      <c r="H466" s="116" t="s">
        <v>1520</v>
      </c>
      <c r="I466" s="116" t="s">
        <v>558</v>
      </c>
      <c r="J466" s="116" t="s">
        <v>584</v>
      </c>
      <c r="K466" s="116" t="s">
        <v>558</v>
      </c>
      <c r="L466" s="116" t="s">
        <v>558</v>
      </c>
      <c r="M466" s="122" t="str">
        <f t="shared" si="10"/>
        <v>View on Google Map</v>
      </c>
    </row>
    <row r="467" spans="1:13" x14ac:dyDescent="0.2">
      <c r="A467" s="116">
        <v>307</v>
      </c>
      <c r="B467" s="116" t="s">
        <v>1521</v>
      </c>
      <c r="C467" s="116" t="s">
        <v>558</v>
      </c>
      <c r="D467" s="116" t="s">
        <v>558</v>
      </c>
      <c r="E467" s="116" t="s">
        <v>558</v>
      </c>
      <c r="F467" s="116">
        <v>716</v>
      </c>
      <c r="G467" s="116" t="s">
        <v>569</v>
      </c>
      <c r="H467" s="116" t="s">
        <v>1522</v>
      </c>
      <c r="I467" s="116" t="s">
        <v>558</v>
      </c>
      <c r="J467" s="116" t="s">
        <v>584</v>
      </c>
      <c r="K467" s="116" t="s">
        <v>558</v>
      </c>
      <c r="L467" s="116" t="s">
        <v>558</v>
      </c>
      <c r="M467" s="122" t="str">
        <f t="shared" si="10"/>
        <v>View on Google Map</v>
      </c>
    </row>
    <row r="468" spans="1:13" x14ac:dyDescent="0.2">
      <c r="A468" s="116">
        <v>236</v>
      </c>
      <c r="B468" s="116" t="s">
        <v>1523</v>
      </c>
      <c r="C468" s="116" t="s">
        <v>558</v>
      </c>
      <c r="D468" s="116">
        <v>68.653572283900004</v>
      </c>
      <c r="E468" s="116">
        <v>-149.58091106399999</v>
      </c>
      <c r="F468" s="116">
        <v>731</v>
      </c>
      <c r="G468" s="116" t="s">
        <v>569</v>
      </c>
      <c r="H468" s="116" t="s">
        <v>1524</v>
      </c>
      <c r="I468" s="116" t="s">
        <v>558</v>
      </c>
      <c r="J468" s="116" t="s">
        <v>584</v>
      </c>
      <c r="K468" s="116" t="s">
        <v>558</v>
      </c>
      <c r="L468" s="116" t="s">
        <v>558</v>
      </c>
      <c r="M468" s="122" t="str">
        <f t="shared" si="10"/>
        <v>View on Google Map</v>
      </c>
    </row>
    <row r="469" spans="1:13" x14ac:dyDescent="0.2">
      <c r="A469" s="116">
        <v>308</v>
      </c>
      <c r="B469" s="116" t="s">
        <v>1525</v>
      </c>
      <c r="C469" s="116" t="s">
        <v>558</v>
      </c>
      <c r="D469" s="116">
        <v>68.652551279199997</v>
      </c>
      <c r="E469" s="116">
        <v>-149.58676006799999</v>
      </c>
      <c r="F469" s="116">
        <v>731</v>
      </c>
      <c r="G469" s="116" t="s">
        <v>569</v>
      </c>
      <c r="H469" s="116" t="s">
        <v>1526</v>
      </c>
      <c r="I469" s="116" t="s">
        <v>558</v>
      </c>
      <c r="J469" s="116" t="s">
        <v>584</v>
      </c>
      <c r="K469" s="116" t="s">
        <v>558</v>
      </c>
      <c r="L469" s="116" t="s">
        <v>558</v>
      </c>
      <c r="M469" s="122" t="str">
        <f t="shared" si="10"/>
        <v>View on Google Map</v>
      </c>
    </row>
    <row r="470" spans="1:13" x14ac:dyDescent="0.2">
      <c r="A470" s="116">
        <v>446</v>
      </c>
      <c r="B470" s="116" t="s">
        <v>1527</v>
      </c>
      <c r="C470" s="116" t="s">
        <v>558</v>
      </c>
      <c r="D470" s="116">
        <v>68.653536133599999</v>
      </c>
      <c r="E470" s="116">
        <v>-149.59622183299999</v>
      </c>
      <c r="F470" s="116">
        <v>747</v>
      </c>
      <c r="G470" s="116" t="s">
        <v>569</v>
      </c>
      <c r="H470" s="116" t="s">
        <v>1528</v>
      </c>
      <c r="I470" s="116" t="s">
        <v>558</v>
      </c>
      <c r="J470" s="116" t="s">
        <v>584</v>
      </c>
      <c r="K470" s="116" t="s">
        <v>558</v>
      </c>
      <c r="L470" s="116" t="s">
        <v>558</v>
      </c>
      <c r="M470" s="122" t="str">
        <f t="shared" si="10"/>
        <v>View on Google Map</v>
      </c>
    </row>
    <row r="471" spans="1:13" x14ac:dyDescent="0.2">
      <c r="A471" s="116">
        <v>447</v>
      </c>
      <c r="B471" s="116" t="s">
        <v>1529</v>
      </c>
      <c r="C471" s="116" t="s">
        <v>558</v>
      </c>
      <c r="D471" s="116">
        <v>68.652588284900006</v>
      </c>
      <c r="E471" s="116">
        <v>-149.60764069300001</v>
      </c>
      <c r="F471" s="116" t="s">
        <v>558</v>
      </c>
      <c r="G471" s="116" t="s">
        <v>569</v>
      </c>
      <c r="H471" s="116" t="s">
        <v>1530</v>
      </c>
      <c r="I471" s="116" t="s">
        <v>558</v>
      </c>
      <c r="J471" s="116" t="s">
        <v>584</v>
      </c>
      <c r="K471" s="116" t="s">
        <v>558</v>
      </c>
      <c r="L471" s="116" t="s">
        <v>558</v>
      </c>
      <c r="M471" s="122" t="str">
        <f t="shared" si="10"/>
        <v>View on Google Map</v>
      </c>
    </row>
    <row r="472" spans="1:13" x14ac:dyDescent="0.2">
      <c r="A472" s="116">
        <v>504</v>
      </c>
      <c r="B472" s="116" t="s">
        <v>1531</v>
      </c>
      <c r="C472" s="116" t="s">
        <v>558</v>
      </c>
      <c r="D472" s="116">
        <v>68.647407723699999</v>
      </c>
      <c r="E472" s="116">
        <v>-149.60936597400001</v>
      </c>
      <c r="F472" s="116">
        <v>731</v>
      </c>
      <c r="G472" s="116" t="s">
        <v>569</v>
      </c>
      <c r="H472" s="116" t="s">
        <v>558</v>
      </c>
      <c r="I472" s="116" t="s">
        <v>558</v>
      </c>
      <c r="J472" s="116" t="s">
        <v>584</v>
      </c>
      <c r="K472" s="116" t="s">
        <v>558</v>
      </c>
      <c r="L472" s="116" t="s">
        <v>558</v>
      </c>
      <c r="M472" s="122" t="str">
        <f t="shared" si="10"/>
        <v>View on Google Map</v>
      </c>
    </row>
    <row r="473" spans="1:13" x14ac:dyDescent="0.2">
      <c r="A473" s="116">
        <v>108</v>
      </c>
      <c r="B473" s="116" t="s">
        <v>1532</v>
      </c>
      <c r="C473" s="116" t="s">
        <v>558</v>
      </c>
      <c r="D473" s="116">
        <v>68.650000000000006</v>
      </c>
      <c r="E473" s="116">
        <v>-149.61666666666667</v>
      </c>
      <c r="F473" s="116">
        <v>699</v>
      </c>
      <c r="G473" s="116" t="s">
        <v>569</v>
      </c>
      <c r="H473" s="116" t="s">
        <v>1533</v>
      </c>
      <c r="I473" s="116" t="s">
        <v>558</v>
      </c>
      <c r="J473" s="116" t="s">
        <v>584</v>
      </c>
      <c r="K473" s="116" t="s">
        <v>558</v>
      </c>
      <c r="L473" s="116" t="s">
        <v>558</v>
      </c>
      <c r="M473" s="122" t="str">
        <f t="shared" si="10"/>
        <v>View on Google Map</v>
      </c>
    </row>
    <row r="474" spans="1:13" x14ac:dyDescent="0.2">
      <c r="A474" s="116">
        <v>309</v>
      </c>
      <c r="B474" s="116" t="s">
        <v>1534</v>
      </c>
      <c r="C474" s="116" t="s">
        <v>558</v>
      </c>
      <c r="D474" s="116" t="s">
        <v>558</v>
      </c>
      <c r="E474" s="116" t="s">
        <v>558</v>
      </c>
      <c r="F474" s="116" t="s">
        <v>558</v>
      </c>
      <c r="G474" s="116" t="s">
        <v>569</v>
      </c>
      <c r="H474" s="116" t="s">
        <v>1535</v>
      </c>
      <c r="I474" s="116" t="s">
        <v>558</v>
      </c>
      <c r="J474" s="116" t="s">
        <v>584</v>
      </c>
      <c r="K474" s="116" t="s">
        <v>558</v>
      </c>
      <c r="L474" s="116" t="s">
        <v>558</v>
      </c>
      <c r="M474" s="122" t="str">
        <f t="shared" si="10"/>
        <v>View on Google Map</v>
      </c>
    </row>
    <row r="475" spans="1:13" x14ac:dyDescent="0.2">
      <c r="A475" s="116">
        <v>109</v>
      </c>
      <c r="B475" s="116" t="s">
        <v>1536</v>
      </c>
      <c r="C475" s="116" t="s">
        <v>558</v>
      </c>
      <c r="D475" s="116">
        <v>68.683333333333337</v>
      </c>
      <c r="E475" s="116">
        <v>-149.61666666666667</v>
      </c>
      <c r="F475" s="116">
        <v>701</v>
      </c>
      <c r="G475" s="116" t="s">
        <v>569</v>
      </c>
      <c r="H475" s="116" t="s">
        <v>1537</v>
      </c>
      <c r="I475" s="116" t="s">
        <v>558</v>
      </c>
      <c r="J475" s="116" t="s">
        <v>584</v>
      </c>
      <c r="K475" s="116" t="s">
        <v>558</v>
      </c>
      <c r="L475" s="116" t="s">
        <v>558</v>
      </c>
      <c r="M475" s="122" t="str">
        <f t="shared" si="10"/>
        <v>View on Google Map</v>
      </c>
    </row>
    <row r="476" spans="1:13" x14ac:dyDescent="0.2">
      <c r="A476" s="116">
        <v>497</v>
      </c>
      <c r="B476" s="116" t="s">
        <v>1538</v>
      </c>
      <c r="C476" s="116" t="s">
        <v>1539</v>
      </c>
      <c r="D476" s="116">
        <v>68.674931999999998</v>
      </c>
      <c r="E476" s="116">
        <v>-149.625439</v>
      </c>
      <c r="F476" s="116">
        <v>701</v>
      </c>
      <c r="G476" s="116" t="s">
        <v>569</v>
      </c>
      <c r="H476" s="116" t="s">
        <v>558</v>
      </c>
      <c r="I476" s="116" t="s">
        <v>558</v>
      </c>
      <c r="J476" s="116" t="s">
        <v>1486</v>
      </c>
      <c r="K476" s="116" t="s">
        <v>558</v>
      </c>
      <c r="L476" s="116" t="s">
        <v>965</v>
      </c>
      <c r="M476" s="122" t="str">
        <f t="shared" si="10"/>
        <v>View on Google Map</v>
      </c>
    </row>
    <row r="477" spans="1:13" x14ac:dyDescent="0.2">
      <c r="A477" s="116">
        <v>498</v>
      </c>
      <c r="B477" s="116" t="s">
        <v>1540</v>
      </c>
      <c r="C477" s="116" t="s">
        <v>558</v>
      </c>
      <c r="D477" s="116">
        <v>68.677723</v>
      </c>
      <c r="E477" s="116">
        <v>-149.62402800000001</v>
      </c>
      <c r="F477" s="116">
        <v>701</v>
      </c>
      <c r="G477" s="116" t="s">
        <v>583</v>
      </c>
      <c r="H477" s="116" t="s">
        <v>558</v>
      </c>
      <c r="I477" s="116" t="s">
        <v>558</v>
      </c>
      <c r="J477" s="116" t="s">
        <v>1486</v>
      </c>
      <c r="K477" s="116" t="s">
        <v>558</v>
      </c>
      <c r="L477" s="116" t="s">
        <v>965</v>
      </c>
      <c r="M477" s="122" t="str">
        <f t="shared" si="10"/>
        <v>View on Google Map</v>
      </c>
    </row>
    <row r="478" spans="1:13" x14ac:dyDescent="0.2">
      <c r="A478" s="116">
        <v>495</v>
      </c>
      <c r="B478" s="116" t="s">
        <v>1541</v>
      </c>
      <c r="C478" s="116" t="s">
        <v>558</v>
      </c>
      <c r="D478" s="116">
        <v>68.674121999999997</v>
      </c>
      <c r="E478" s="116">
        <v>-149.62885</v>
      </c>
      <c r="F478" s="116">
        <v>701</v>
      </c>
      <c r="G478" s="116" t="s">
        <v>583</v>
      </c>
      <c r="H478" s="116" t="s">
        <v>558</v>
      </c>
      <c r="I478" s="116" t="s">
        <v>558</v>
      </c>
      <c r="J478" s="116" t="s">
        <v>1486</v>
      </c>
      <c r="K478" s="116" t="s">
        <v>558</v>
      </c>
      <c r="L478" s="116" t="s">
        <v>965</v>
      </c>
      <c r="M478" s="122" t="str">
        <f t="shared" si="10"/>
        <v>View on Google Map</v>
      </c>
    </row>
    <row r="479" spans="1:13" x14ac:dyDescent="0.2">
      <c r="A479" s="116">
        <v>448</v>
      </c>
      <c r="B479" s="116" t="s">
        <v>1542</v>
      </c>
      <c r="C479" s="116" t="s">
        <v>558</v>
      </c>
      <c r="D479" s="116">
        <v>68.655874034999997</v>
      </c>
      <c r="E479" s="116">
        <v>-149.58555905599999</v>
      </c>
      <c r="F479" s="116" t="s">
        <v>558</v>
      </c>
      <c r="G479" s="116" t="s">
        <v>569</v>
      </c>
      <c r="H479" s="116" t="s">
        <v>1543</v>
      </c>
      <c r="I479" s="116" t="s">
        <v>558</v>
      </c>
      <c r="J479" s="116" t="s">
        <v>584</v>
      </c>
      <c r="K479" s="116" t="s">
        <v>558</v>
      </c>
      <c r="L479" s="116" t="s">
        <v>558</v>
      </c>
      <c r="M479" s="122" t="str">
        <f t="shared" si="10"/>
        <v>View on Google Map</v>
      </c>
    </row>
    <row r="480" spans="1:13" x14ac:dyDescent="0.2">
      <c r="A480" s="116">
        <v>449</v>
      </c>
      <c r="B480" s="116" t="s">
        <v>1544</v>
      </c>
      <c r="C480" s="116" t="s">
        <v>558</v>
      </c>
      <c r="D480" s="116">
        <v>68.661045276899998</v>
      </c>
      <c r="E480" s="116">
        <v>-149.586664767</v>
      </c>
      <c r="F480" s="116" t="s">
        <v>558</v>
      </c>
      <c r="G480" s="116" t="s">
        <v>569</v>
      </c>
      <c r="H480" s="116" t="s">
        <v>1545</v>
      </c>
      <c r="I480" s="116" t="s">
        <v>558</v>
      </c>
      <c r="J480" s="116" t="s">
        <v>584</v>
      </c>
      <c r="K480" s="116" t="s">
        <v>558</v>
      </c>
      <c r="L480" s="116" t="s">
        <v>558</v>
      </c>
      <c r="M480" s="122" t="str">
        <f t="shared" si="10"/>
        <v>View on Google Map</v>
      </c>
    </row>
    <row r="481" spans="1:13" x14ac:dyDescent="0.2">
      <c r="A481" s="116">
        <v>171</v>
      </c>
      <c r="B481" s="116" t="s">
        <v>1546</v>
      </c>
      <c r="C481" s="116" t="s">
        <v>558</v>
      </c>
      <c r="D481" s="116">
        <v>68.652645483100002</v>
      </c>
      <c r="E481" s="116">
        <v>-149.59947366200001</v>
      </c>
      <c r="F481" s="116">
        <v>747</v>
      </c>
      <c r="G481" s="116" t="s">
        <v>569</v>
      </c>
      <c r="H481" s="116" t="s">
        <v>1547</v>
      </c>
      <c r="I481" s="116" t="s">
        <v>1548</v>
      </c>
      <c r="J481" s="116" t="s">
        <v>584</v>
      </c>
      <c r="K481" s="116" t="s">
        <v>558</v>
      </c>
      <c r="L481" s="116" t="s">
        <v>558</v>
      </c>
      <c r="M481" s="122" t="str">
        <f t="shared" si="10"/>
        <v>View on Google Map</v>
      </c>
    </row>
    <row r="482" spans="1:13" x14ac:dyDescent="0.2">
      <c r="A482" s="116">
        <v>499</v>
      </c>
      <c r="B482" s="116" t="s">
        <v>1549</v>
      </c>
      <c r="C482" s="116" t="s">
        <v>558</v>
      </c>
      <c r="D482" s="116">
        <v>68.829610000000002</v>
      </c>
      <c r="E482" s="116">
        <v>-149.77901</v>
      </c>
      <c r="F482" s="116">
        <v>633</v>
      </c>
      <c r="G482" s="116" t="s">
        <v>569</v>
      </c>
      <c r="H482" s="116" t="s">
        <v>1550</v>
      </c>
      <c r="I482" s="116" t="s">
        <v>1551</v>
      </c>
      <c r="J482" s="116" t="s">
        <v>570</v>
      </c>
      <c r="K482" s="116" t="s">
        <v>558</v>
      </c>
      <c r="L482" s="116" t="s">
        <v>558</v>
      </c>
      <c r="M482" s="122" t="str">
        <f t="shared" si="10"/>
        <v>View on Google Map</v>
      </c>
    </row>
    <row r="483" spans="1:13" x14ac:dyDescent="0.2">
      <c r="A483" s="116">
        <v>500</v>
      </c>
      <c r="B483" s="116" t="s">
        <v>1552</v>
      </c>
      <c r="C483" s="116" t="s">
        <v>558</v>
      </c>
      <c r="D483" s="116">
        <v>68.832999999999998</v>
      </c>
      <c r="E483" s="116">
        <v>-149.76808</v>
      </c>
      <c r="F483" s="116">
        <v>624</v>
      </c>
      <c r="G483" s="116" t="s">
        <v>569</v>
      </c>
      <c r="H483" s="116" t="s">
        <v>1553</v>
      </c>
      <c r="I483" s="116" t="s">
        <v>1554</v>
      </c>
      <c r="J483" s="116" t="s">
        <v>570</v>
      </c>
      <c r="K483" s="116" t="s">
        <v>558</v>
      </c>
      <c r="L483" s="116" t="s">
        <v>558</v>
      </c>
      <c r="M483" s="122" t="str">
        <f t="shared" si="10"/>
        <v>View on Google Map</v>
      </c>
    </row>
    <row r="484" spans="1:13" x14ac:dyDescent="0.2">
      <c r="A484" s="116">
        <v>501</v>
      </c>
      <c r="B484" s="116" t="s">
        <v>1555</v>
      </c>
      <c r="C484" s="116" t="s">
        <v>558</v>
      </c>
      <c r="D484" s="116">
        <v>68.828299999999999</v>
      </c>
      <c r="E484" s="116">
        <v>-149.76473999999999</v>
      </c>
      <c r="F484" s="116">
        <v>624</v>
      </c>
      <c r="G484" s="116" t="s">
        <v>569</v>
      </c>
      <c r="H484" s="116" t="s">
        <v>1556</v>
      </c>
      <c r="I484" s="116" t="s">
        <v>1557</v>
      </c>
      <c r="J484" s="116" t="s">
        <v>570</v>
      </c>
      <c r="K484" s="116" t="s">
        <v>558</v>
      </c>
      <c r="L484" s="116" t="s">
        <v>558</v>
      </c>
      <c r="M484" s="122" t="str">
        <f t="shared" si="10"/>
        <v>View on Google Map</v>
      </c>
    </row>
    <row r="485" spans="1:13" x14ac:dyDescent="0.2">
      <c r="A485" s="116">
        <v>502</v>
      </c>
      <c r="B485" s="116" t="s">
        <v>1558</v>
      </c>
      <c r="C485" s="116" t="s">
        <v>558</v>
      </c>
      <c r="D485" s="116">
        <v>68.826520000000002</v>
      </c>
      <c r="E485" s="116">
        <v>-149.75897000000001</v>
      </c>
      <c r="F485" s="116">
        <v>592</v>
      </c>
      <c r="G485" s="116" t="s">
        <v>569</v>
      </c>
      <c r="H485" s="116" t="s">
        <v>1559</v>
      </c>
      <c r="I485" s="116" t="s">
        <v>1560</v>
      </c>
      <c r="J485" s="116" t="s">
        <v>570</v>
      </c>
      <c r="K485" s="116" t="s">
        <v>558</v>
      </c>
      <c r="L485" s="116" t="s">
        <v>558</v>
      </c>
      <c r="M485" s="122" t="str">
        <f t="shared" si="10"/>
        <v>View on Google Map</v>
      </c>
    </row>
    <row r="486" spans="1:13" x14ac:dyDescent="0.2">
      <c r="A486" s="116">
        <v>503</v>
      </c>
      <c r="B486" s="116" t="s">
        <v>1561</v>
      </c>
      <c r="C486" s="116" t="s">
        <v>558</v>
      </c>
      <c r="D486" s="116">
        <v>68.827259999999995</v>
      </c>
      <c r="E486" s="116">
        <v>-149.75089</v>
      </c>
      <c r="F486" s="116">
        <v>592</v>
      </c>
      <c r="G486" s="116" t="s">
        <v>569</v>
      </c>
      <c r="H486" s="116" t="s">
        <v>1562</v>
      </c>
      <c r="I486" s="116" t="s">
        <v>1563</v>
      </c>
      <c r="J486" s="116" t="s">
        <v>570</v>
      </c>
      <c r="K486" s="116" t="s">
        <v>558</v>
      </c>
      <c r="L486" s="116" t="s">
        <v>558</v>
      </c>
      <c r="M486" s="122" t="str">
        <f t="shared" si="10"/>
        <v>View on Google Map</v>
      </c>
    </row>
    <row r="487" spans="1:13" x14ac:dyDescent="0.2">
      <c r="A487" s="116">
        <v>488</v>
      </c>
      <c r="B487" s="116" t="s">
        <v>1564</v>
      </c>
      <c r="C487" s="116" t="s">
        <v>558</v>
      </c>
      <c r="D487" s="116">
        <v>69.329949999999997</v>
      </c>
      <c r="E487" s="116">
        <v>-150.95275000000001</v>
      </c>
      <c r="F487" s="116">
        <v>127</v>
      </c>
      <c r="G487" s="116" t="s">
        <v>569</v>
      </c>
      <c r="H487" s="116" t="s">
        <v>558</v>
      </c>
      <c r="I487" s="116" t="s">
        <v>558</v>
      </c>
      <c r="J487" s="116" t="s">
        <v>619</v>
      </c>
      <c r="K487" s="116" t="s">
        <v>558</v>
      </c>
      <c r="L487" s="116" t="s">
        <v>566</v>
      </c>
      <c r="M487" s="122" t="str">
        <f t="shared" si="10"/>
        <v>View on Google Map</v>
      </c>
    </row>
    <row r="488" spans="1:13" x14ac:dyDescent="0.2">
      <c r="A488" s="116">
        <v>489</v>
      </c>
      <c r="B488" s="116" t="s">
        <v>1565</v>
      </c>
      <c r="C488" s="116" t="s">
        <v>558</v>
      </c>
      <c r="D488" s="116" t="s">
        <v>558</v>
      </c>
      <c r="E488" s="116" t="s">
        <v>558</v>
      </c>
      <c r="F488" s="116">
        <v>127</v>
      </c>
      <c r="G488" s="116" t="s">
        <v>583</v>
      </c>
      <c r="H488" s="116" t="s">
        <v>558</v>
      </c>
      <c r="I488" s="116" t="s">
        <v>558</v>
      </c>
      <c r="J488" s="116" t="s">
        <v>619</v>
      </c>
      <c r="K488" s="116" t="s">
        <v>558</v>
      </c>
      <c r="L488" s="116" t="s">
        <v>566</v>
      </c>
      <c r="M488" s="122" t="str">
        <f t="shared" si="10"/>
        <v>View on Google Map</v>
      </c>
    </row>
    <row r="489" spans="1:13" x14ac:dyDescent="0.2">
      <c r="A489" s="116">
        <v>490</v>
      </c>
      <c r="B489" s="116" t="s">
        <v>1566</v>
      </c>
      <c r="C489" s="116" t="s">
        <v>558</v>
      </c>
      <c r="D489" s="116" t="s">
        <v>558</v>
      </c>
      <c r="E489" s="116" t="s">
        <v>558</v>
      </c>
      <c r="F489" s="116">
        <v>127</v>
      </c>
      <c r="G489" s="116" t="s">
        <v>569</v>
      </c>
      <c r="H489" s="116" t="s">
        <v>558</v>
      </c>
      <c r="I489" s="116" t="s">
        <v>558</v>
      </c>
      <c r="J489" s="116" t="s">
        <v>619</v>
      </c>
      <c r="K489" s="116" t="s">
        <v>558</v>
      </c>
      <c r="L489" s="116" t="s">
        <v>566</v>
      </c>
      <c r="M489" s="122" t="str">
        <f t="shared" si="10"/>
        <v>View on Google Map</v>
      </c>
    </row>
    <row r="490" spans="1:13" x14ac:dyDescent="0.2">
      <c r="A490" s="116">
        <v>34</v>
      </c>
      <c r="B490" s="116" t="s">
        <v>1567</v>
      </c>
      <c r="C490" s="116" t="s">
        <v>558</v>
      </c>
      <c r="D490" s="116">
        <v>69.057400000000001</v>
      </c>
      <c r="E490" s="116">
        <v>-150.39599999999999</v>
      </c>
      <c r="F490" s="116">
        <v>274</v>
      </c>
      <c r="G490" s="116" t="s">
        <v>583</v>
      </c>
      <c r="H490" s="116" t="s">
        <v>558</v>
      </c>
      <c r="I490" s="116" t="s">
        <v>558</v>
      </c>
      <c r="J490" s="116" t="s">
        <v>619</v>
      </c>
      <c r="K490" s="116" t="s">
        <v>558</v>
      </c>
      <c r="L490" s="116" t="s">
        <v>566</v>
      </c>
      <c r="M490" s="122" t="str">
        <f t="shared" si="10"/>
        <v>View on Google Map</v>
      </c>
    </row>
    <row r="491" spans="1:13" x14ac:dyDescent="0.2">
      <c r="A491" s="116">
        <v>45</v>
      </c>
      <c r="B491" s="116" t="s">
        <v>1568</v>
      </c>
      <c r="C491" s="116" t="s">
        <v>558</v>
      </c>
      <c r="D491" s="116">
        <v>69.063298000000003</v>
      </c>
      <c r="E491" s="116">
        <v>-150.394711</v>
      </c>
      <c r="F491" s="116" t="s">
        <v>558</v>
      </c>
      <c r="G491" s="116" t="s">
        <v>583</v>
      </c>
      <c r="H491" s="116" t="s">
        <v>558</v>
      </c>
      <c r="I491" s="116" t="s">
        <v>558</v>
      </c>
      <c r="J491" s="116" t="s">
        <v>1569</v>
      </c>
      <c r="K491" s="116" t="s">
        <v>558</v>
      </c>
      <c r="L491" s="116" t="s">
        <v>566</v>
      </c>
      <c r="M491" s="122" t="str">
        <f t="shared" si="10"/>
        <v>View on Google Map</v>
      </c>
    </row>
    <row r="492" spans="1:13" x14ac:dyDescent="0.2">
      <c r="B492" s="116" t="s">
        <v>1570</v>
      </c>
      <c r="C492" s="116" t="s">
        <v>1571</v>
      </c>
      <c r="D492" s="116">
        <v>69.138333333333335</v>
      </c>
      <c r="E492" s="116">
        <v>-150.64916666666701</v>
      </c>
      <c r="G492" s="116" t="s">
        <v>577</v>
      </c>
      <c r="J492" s="116" t="s">
        <v>565</v>
      </c>
      <c r="L492" s="116" t="s">
        <v>566</v>
      </c>
      <c r="M492" s="122" t="str">
        <f t="shared" si="10"/>
        <v>View on Google Map</v>
      </c>
    </row>
    <row r="493" spans="1:13" x14ac:dyDescent="0.2">
      <c r="B493" s="116" t="s">
        <v>1572</v>
      </c>
      <c r="C493" s="116" t="s">
        <v>955</v>
      </c>
      <c r="D493" s="116">
        <v>69.152500000000003</v>
      </c>
      <c r="E493" s="116">
        <v>-150.706111111111</v>
      </c>
      <c r="G493" s="116" t="s">
        <v>577</v>
      </c>
      <c r="J493" s="116" t="s">
        <v>565</v>
      </c>
      <c r="L493" s="116" t="s">
        <v>566</v>
      </c>
      <c r="M493" s="122" t="str">
        <f t="shared" si="10"/>
        <v>View on Google Map</v>
      </c>
    </row>
    <row r="494" spans="1:13" x14ac:dyDescent="0.2">
      <c r="A494" s="116">
        <v>35</v>
      </c>
      <c r="B494" s="116" t="s">
        <v>1573</v>
      </c>
      <c r="C494" s="116" t="s">
        <v>558</v>
      </c>
      <c r="D494" s="116">
        <v>69.063333333333333</v>
      </c>
      <c r="E494" s="116">
        <v>-150.39333333333335</v>
      </c>
      <c r="F494" s="116">
        <v>281</v>
      </c>
      <c r="G494" s="116" t="s">
        <v>583</v>
      </c>
      <c r="H494" s="116" t="s">
        <v>558</v>
      </c>
      <c r="I494" s="116" t="s">
        <v>558</v>
      </c>
      <c r="J494" s="116" t="s">
        <v>619</v>
      </c>
      <c r="K494" s="116" t="s">
        <v>558</v>
      </c>
      <c r="L494" s="116" t="s">
        <v>566</v>
      </c>
      <c r="M494" s="122" t="str">
        <f t="shared" si="10"/>
        <v>View on Google Map</v>
      </c>
    </row>
    <row r="495" spans="1:13" x14ac:dyDescent="0.2">
      <c r="A495" s="116">
        <v>161</v>
      </c>
      <c r="B495" s="116" t="s">
        <v>1574</v>
      </c>
      <c r="C495" s="116" t="s">
        <v>1575</v>
      </c>
      <c r="D495" s="116">
        <v>68.599999999999994</v>
      </c>
      <c r="E495" s="116">
        <v>-149.18333333333334</v>
      </c>
      <c r="F495" s="116">
        <v>876</v>
      </c>
      <c r="G495" s="116" t="s">
        <v>569</v>
      </c>
      <c r="H495" s="116" t="s">
        <v>1576</v>
      </c>
      <c r="I495" s="116" t="s">
        <v>558</v>
      </c>
      <c r="J495" s="116" t="s">
        <v>584</v>
      </c>
      <c r="K495" s="116" t="s">
        <v>558</v>
      </c>
      <c r="L495" s="116" t="s">
        <v>585</v>
      </c>
      <c r="M495" s="122" t="str">
        <f t="shared" si="10"/>
        <v>View on Google Map</v>
      </c>
    </row>
    <row r="496" spans="1:13" x14ac:dyDescent="0.2">
      <c r="A496" s="116">
        <v>162</v>
      </c>
      <c r="B496" s="116" t="s">
        <v>1577</v>
      </c>
      <c r="C496" s="116" t="s">
        <v>1575</v>
      </c>
      <c r="D496" s="116">
        <v>68.583333333333329</v>
      </c>
      <c r="E496" s="116">
        <v>-149.19999999999999</v>
      </c>
      <c r="F496" s="116">
        <v>892</v>
      </c>
      <c r="G496" s="116" t="s">
        <v>569</v>
      </c>
      <c r="H496" s="116" t="s">
        <v>1578</v>
      </c>
      <c r="I496" s="116" t="s">
        <v>558</v>
      </c>
      <c r="J496" s="116" t="s">
        <v>584</v>
      </c>
      <c r="K496" s="116" t="s">
        <v>558</v>
      </c>
      <c r="L496" s="116" t="s">
        <v>585</v>
      </c>
      <c r="M496" s="122" t="str">
        <f t="shared" si="10"/>
        <v>View on Google Map</v>
      </c>
    </row>
    <row r="497" spans="1:13" x14ac:dyDescent="0.2">
      <c r="A497" s="116">
        <v>163</v>
      </c>
      <c r="B497" s="116" t="s">
        <v>1579</v>
      </c>
      <c r="C497" s="116" t="s">
        <v>1575</v>
      </c>
      <c r="D497" s="116">
        <v>68.599999999999994</v>
      </c>
      <c r="E497" s="116">
        <v>-149.16666666666666</v>
      </c>
      <c r="F497" s="116">
        <v>876</v>
      </c>
      <c r="G497" s="116" t="s">
        <v>569</v>
      </c>
      <c r="H497" s="116" t="s">
        <v>1580</v>
      </c>
      <c r="I497" s="116" t="s">
        <v>558</v>
      </c>
      <c r="J497" s="116" t="s">
        <v>584</v>
      </c>
      <c r="K497" s="116" t="s">
        <v>558</v>
      </c>
      <c r="L497" s="116" t="s">
        <v>585</v>
      </c>
      <c r="M497" s="122" t="str">
        <f t="shared" si="10"/>
        <v>View on Google Map</v>
      </c>
    </row>
    <row r="498" spans="1:13" x14ac:dyDescent="0.2">
      <c r="A498" s="116">
        <v>5</v>
      </c>
      <c r="B498" s="116" t="s">
        <v>1581</v>
      </c>
      <c r="C498" s="116" t="s">
        <v>1170</v>
      </c>
      <c r="D498" s="116">
        <v>68.671486221999999</v>
      </c>
      <c r="E498" s="116">
        <v>-149.1281271</v>
      </c>
      <c r="F498" s="116">
        <v>761.75599999999997</v>
      </c>
      <c r="G498" s="116" t="s">
        <v>1095</v>
      </c>
      <c r="J498" s="35" t="s">
        <v>584</v>
      </c>
      <c r="M498" s="122" t="str">
        <f t="shared" si="10"/>
        <v>View on Google Map</v>
      </c>
    </row>
    <row r="499" spans="1:13" x14ac:dyDescent="0.2">
      <c r="A499" s="116">
        <v>5</v>
      </c>
      <c r="B499" s="116" t="s">
        <v>1582</v>
      </c>
      <c r="C499" s="116" t="s">
        <v>1170</v>
      </c>
      <c r="D499" s="116">
        <v>68.671371694000001</v>
      </c>
      <c r="E499" s="116">
        <v>-149.131155484</v>
      </c>
      <c r="F499" s="116">
        <v>763.88099999999997</v>
      </c>
      <c r="G499" s="116" t="s">
        <v>1095</v>
      </c>
      <c r="J499" s="35" t="s">
        <v>584</v>
      </c>
      <c r="M499" s="122" t="str">
        <f t="shared" si="10"/>
        <v>View on Google Map</v>
      </c>
    </row>
    <row r="500" spans="1:13" x14ac:dyDescent="0.2">
      <c r="A500" s="116">
        <v>5</v>
      </c>
      <c r="B500" s="116" t="s">
        <v>1583</v>
      </c>
      <c r="C500" s="116" t="s">
        <v>1170</v>
      </c>
      <c r="D500" s="116">
        <v>68.671018009999997</v>
      </c>
      <c r="E500" s="116">
        <v>-149.13789268599999</v>
      </c>
      <c r="F500" s="116">
        <v>764.53700000000003</v>
      </c>
      <c r="G500" s="116" t="s">
        <v>1095</v>
      </c>
      <c r="J500" s="35" t="s">
        <v>584</v>
      </c>
      <c r="M500" s="122" t="str">
        <f t="shared" si="10"/>
        <v>View on Google Map</v>
      </c>
    </row>
    <row r="501" spans="1:13" x14ac:dyDescent="0.2">
      <c r="A501" s="116">
        <v>5</v>
      </c>
      <c r="B501" s="116" t="s">
        <v>1584</v>
      </c>
      <c r="C501" s="116" t="s">
        <v>1180</v>
      </c>
      <c r="D501" s="116">
        <v>68.677193270000004</v>
      </c>
      <c r="E501" s="116">
        <v>-149.121792258</v>
      </c>
      <c r="F501" s="116">
        <v>763.74300000000005</v>
      </c>
      <c r="G501" s="116" t="s">
        <v>1095</v>
      </c>
      <c r="J501" s="35" t="s">
        <v>584</v>
      </c>
      <c r="M501" s="122" t="str">
        <f t="shared" si="10"/>
        <v>View on Google Map</v>
      </c>
    </row>
    <row r="502" spans="1:13" x14ac:dyDescent="0.2">
      <c r="A502" s="116">
        <v>5</v>
      </c>
      <c r="B502" s="116" t="s">
        <v>1585</v>
      </c>
      <c r="C502" s="116" t="s">
        <v>1180</v>
      </c>
      <c r="D502" s="116">
        <v>68.679780992000005</v>
      </c>
      <c r="E502" s="116">
        <v>-149.114206438</v>
      </c>
      <c r="F502" s="116">
        <v>762.678</v>
      </c>
      <c r="G502" s="116" t="s">
        <v>1095</v>
      </c>
      <c r="J502" s="35" t="s">
        <v>584</v>
      </c>
      <c r="M502" s="122" t="str">
        <f t="shared" si="10"/>
        <v>View on Google Map</v>
      </c>
    </row>
    <row r="503" spans="1:13" x14ac:dyDescent="0.2">
      <c r="A503" s="116">
        <v>5</v>
      </c>
      <c r="B503" s="116" t="s">
        <v>1586</v>
      </c>
      <c r="C503" s="116" t="s">
        <v>582</v>
      </c>
      <c r="D503" s="116">
        <v>68.687399999999997</v>
      </c>
      <c r="E503" s="116">
        <v>-149.095</v>
      </c>
      <c r="F503" s="116">
        <v>754</v>
      </c>
      <c r="G503" s="116" t="s">
        <v>583</v>
      </c>
      <c r="H503" s="116" t="s">
        <v>1587</v>
      </c>
      <c r="I503" s="116" t="s">
        <v>1588</v>
      </c>
      <c r="J503" s="116" t="s">
        <v>584</v>
      </c>
      <c r="K503" s="116" t="s">
        <v>558</v>
      </c>
      <c r="L503" s="116" t="s">
        <v>585</v>
      </c>
      <c r="M503" s="122" t="str">
        <f t="shared" si="10"/>
        <v>View on Google Map</v>
      </c>
    </row>
    <row r="504" spans="1:13" x14ac:dyDescent="0.2">
      <c r="A504" s="116">
        <v>5</v>
      </c>
      <c r="B504" s="116" t="s">
        <v>1589</v>
      </c>
      <c r="C504" s="116" t="s">
        <v>1200</v>
      </c>
      <c r="D504" s="116">
        <v>68.672870447999998</v>
      </c>
      <c r="E504" s="116">
        <v>-149.124843486</v>
      </c>
      <c r="G504" s="116" t="s">
        <v>1095</v>
      </c>
      <c r="J504" s="35" t="s">
        <v>584</v>
      </c>
      <c r="M504" s="122" t="str">
        <f t="shared" si="10"/>
        <v>View on Google Map</v>
      </c>
    </row>
    <row r="505" spans="1:13" x14ac:dyDescent="0.2">
      <c r="A505" s="116">
        <v>5</v>
      </c>
      <c r="B505" s="116" t="s">
        <v>1590</v>
      </c>
      <c r="C505" s="116" t="s">
        <v>1591</v>
      </c>
      <c r="D505" s="116">
        <v>68.686037823000007</v>
      </c>
      <c r="E505" s="116">
        <v>-149.0990032</v>
      </c>
      <c r="G505" s="116" t="s">
        <v>1095</v>
      </c>
      <c r="J505" s="35" t="s">
        <v>584</v>
      </c>
      <c r="M505" s="122" t="str">
        <f t="shared" si="10"/>
        <v>View on Google Map</v>
      </c>
    </row>
    <row r="506" spans="1:13" x14ac:dyDescent="0.2">
      <c r="A506" s="116">
        <v>491</v>
      </c>
      <c r="B506" s="116" t="s">
        <v>1592</v>
      </c>
      <c r="C506" s="116" t="s">
        <v>558</v>
      </c>
      <c r="D506" s="116">
        <v>68.941266666999994</v>
      </c>
      <c r="E506" s="116">
        <v>-150.5068</v>
      </c>
      <c r="F506" s="116">
        <v>408</v>
      </c>
      <c r="G506" s="116" t="s">
        <v>569</v>
      </c>
      <c r="H506" s="116" t="s">
        <v>1593</v>
      </c>
      <c r="I506" s="116" t="s">
        <v>558</v>
      </c>
      <c r="J506" s="116" t="s">
        <v>619</v>
      </c>
      <c r="K506" s="116" t="s">
        <v>558</v>
      </c>
      <c r="L506" s="116" t="s">
        <v>566</v>
      </c>
      <c r="M506" s="122" t="str">
        <f t="shared" si="10"/>
        <v>View on Google Map</v>
      </c>
    </row>
    <row r="507" spans="1:13" x14ac:dyDescent="0.2">
      <c r="A507" s="116">
        <v>492</v>
      </c>
      <c r="B507" s="116" t="s">
        <v>1594</v>
      </c>
      <c r="C507" s="116" t="s">
        <v>558</v>
      </c>
      <c r="D507" s="116" t="s">
        <v>558</v>
      </c>
      <c r="E507" s="116" t="s">
        <v>558</v>
      </c>
      <c r="F507" s="116">
        <v>408</v>
      </c>
      <c r="G507" s="116" t="s">
        <v>569</v>
      </c>
      <c r="H507" s="116" t="s">
        <v>1595</v>
      </c>
      <c r="I507" s="116" t="s">
        <v>558</v>
      </c>
      <c r="J507" s="116" t="s">
        <v>619</v>
      </c>
      <c r="K507" s="116" t="s">
        <v>558</v>
      </c>
      <c r="L507" s="116" t="s">
        <v>566</v>
      </c>
      <c r="M507" s="122" t="str">
        <f t="shared" si="10"/>
        <v>View on Google Map</v>
      </c>
    </row>
    <row r="508" spans="1:13" x14ac:dyDescent="0.2">
      <c r="A508" s="116">
        <v>1172</v>
      </c>
      <c r="B508" s="116" t="s">
        <v>1596</v>
      </c>
      <c r="C508" s="116" t="s">
        <v>558</v>
      </c>
      <c r="D508" s="116">
        <v>68.99666666666667</v>
      </c>
      <c r="E508" s="116">
        <v>-150.21249999999998</v>
      </c>
      <c r="F508" s="116" t="s">
        <v>558</v>
      </c>
      <c r="G508" s="116" t="s">
        <v>559</v>
      </c>
      <c r="H508" s="116" t="s">
        <v>1597</v>
      </c>
      <c r="I508" s="116" t="s">
        <v>558</v>
      </c>
      <c r="J508" s="116" t="s">
        <v>565</v>
      </c>
      <c r="K508" s="116" t="s">
        <v>558</v>
      </c>
      <c r="L508" s="116" t="s">
        <v>566</v>
      </c>
      <c r="M508" s="122" t="str">
        <f t="shared" si="10"/>
        <v>View on Google Map</v>
      </c>
    </row>
    <row r="509" spans="1:13" x14ac:dyDescent="0.2">
      <c r="A509" s="116">
        <v>493</v>
      </c>
      <c r="B509" s="116" t="s">
        <v>1598</v>
      </c>
      <c r="C509" s="116" t="s">
        <v>558</v>
      </c>
      <c r="D509" s="116">
        <v>68.974933332999996</v>
      </c>
      <c r="E509" s="116">
        <v>-150.221066667</v>
      </c>
      <c r="F509" s="116">
        <v>364</v>
      </c>
      <c r="G509" s="116" t="s">
        <v>569</v>
      </c>
      <c r="H509" s="116" t="s">
        <v>558</v>
      </c>
      <c r="I509" s="116" t="s">
        <v>558</v>
      </c>
      <c r="J509" s="116" t="s">
        <v>619</v>
      </c>
      <c r="K509" s="116" t="s">
        <v>558</v>
      </c>
      <c r="L509" s="116" t="s">
        <v>566</v>
      </c>
      <c r="M509" s="122" t="str">
        <f t="shared" si="10"/>
        <v>View on Google Map</v>
      </c>
    </row>
    <row r="510" spans="1:13" x14ac:dyDescent="0.2">
      <c r="A510" s="116">
        <v>405</v>
      </c>
      <c r="B510" s="116" t="s">
        <v>1599</v>
      </c>
      <c r="C510" s="116" t="s">
        <v>558</v>
      </c>
      <c r="D510" s="116" t="s">
        <v>558</v>
      </c>
      <c r="E510" s="116" t="s">
        <v>558</v>
      </c>
      <c r="F510" s="116" t="s">
        <v>558</v>
      </c>
      <c r="G510" s="116" t="s">
        <v>569</v>
      </c>
      <c r="H510" s="116" t="s">
        <v>558</v>
      </c>
      <c r="I510" s="116" t="s">
        <v>558</v>
      </c>
      <c r="J510" s="116" t="s">
        <v>584</v>
      </c>
      <c r="K510" s="116" t="s">
        <v>558</v>
      </c>
      <c r="L510" s="116" t="s">
        <v>740</v>
      </c>
      <c r="M510" s="122" t="str">
        <f t="shared" si="10"/>
        <v>View on Google Map</v>
      </c>
    </row>
    <row r="511" spans="1:13" x14ac:dyDescent="0.2">
      <c r="A511" s="116">
        <v>505</v>
      </c>
      <c r="B511" s="116" t="s">
        <v>1600</v>
      </c>
      <c r="C511" s="116" t="s">
        <v>558</v>
      </c>
      <c r="D511" s="116">
        <v>68.921059</v>
      </c>
      <c r="E511" s="116">
        <v>-150.34784300000001</v>
      </c>
      <c r="F511" s="116" t="s">
        <v>558</v>
      </c>
      <c r="G511" s="116" t="s">
        <v>569</v>
      </c>
      <c r="H511" s="116" t="s">
        <v>558</v>
      </c>
      <c r="I511" s="116" t="s">
        <v>558</v>
      </c>
      <c r="J511" s="116" t="s">
        <v>619</v>
      </c>
      <c r="K511" s="116" t="s">
        <v>558</v>
      </c>
      <c r="L511" s="116" t="s">
        <v>566</v>
      </c>
      <c r="M511" s="122" t="str">
        <f t="shared" si="10"/>
        <v>View on Google Map</v>
      </c>
    </row>
    <row r="512" spans="1:13" x14ac:dyDescent="0.2">
      <c r="A512" s="116">
        <v>506</v>
      </c>
      <c r="B512" s="116" t="s">
        <v>1601</v>
      </c>
      <c r="C512" s="116" t="s">
        <v>558</v>
      </c>
      <c r="D512" s="116">
        <v>68.921186000000006</v>
      </c>
      <c r="E512" s="116">
        <v>-150.37015</v>
      </c>
      <c r="F512" s="116" t="s">
        <v>558</v>
      </c>
      <c r="G512" s="116" t="s">
        <v>569</v>
      </c>
      <c r="H512" s="116" t="s">
        <v>558</v>
      </c>
      <c r="I512" s="116" t="s">
        <v>558</v>
      </c>
      <c r="J512" s="116" t="s">
        <v>619</v>
      </c>
      <c r="K512" s="116" t="s">
        <v>558</v>
      </c>
      <c r="L512" s="116" t="s">
        <v>566</v>
      </c>
      <c r="M512" s="122" t="str">
        <f t="shared" si="10"/>
        <v>View on Google Map</v>
      </c>
    </row>
    <row r="513" spans="1:13" x14ac:dyDescent="0.2">
      <c r="A513" s="116">
        <v>507</v>
      </c>
      <c r="B513" s="116" t="s">
        <v>1602</v>
      </c>
      <c r="C513" s="116" t="s">
        <v>558</v>
      </c>
      <c r="D513" s="116">
        <v>68.936953000000003</v>
      </c>
      <c r="E513" s="116">
        <v>-150.35309699999999</v>
      </c>
      <c r="F513" s="116" t="s">
        <v>558</v>
      </c>
      <c r="G513" s="116" t="s">
        <v>569</v>
      </c>
      <c r="H513" s="116" t="s">
        <v>558</v>
      </c>
      <c r="I513" s="116" t="s">
        <v>558</v>
      </c>
      <c r="J513" s="116" t="s">
        <v>619</v>
      </c>
      <c r="K513" s="116" t="s">
        <v>558</v>
      </c>
      <c r="L513" s="116" t="s">
        <v>566</v>
      </c>
      <c r="M513" s="122" t="str">
        <f t="shared" si="10"/>
        <v>View on Google Map</v>
      </c>
    </row>
    <row r="514" spans="1:13" x14ac:dyDescent="0.2">
      <c r="A514" s="116">
        <v>12</v>
      </c>
      <c r="B514" s="116" t="s">
        <v>1603</v>
      </c>
      <c r="C514" s="116" t="s">
        <v>558</v>
      </c>
      <c r="D514" s="116" t="s">
        <v>558</v>
      </c>
      <c r="E514" s="116" t="s">
        <v>558</v>
      </c>
      <c r="F514" s="116" t="s">
        <v>558</v>
      </c>
      <c r="G514" s="116" t="s">
        <v>583</v>
      </c>
      <c r="H514" s="116" t="s">
        <v>558</v>
      </c>
      <c r="I514" s="116" t="s">
        <v>558</v>
      </c>
      <c r="J514" s="116" t="s">
        <v>584</v>
      </c>
      <c r="K514" s="116" t="s">
        <v>558</v>
      </c>
      <c r="L514" s="116" t="s">
        <v>558</v>
      </c>
      <c r="M514" s="122" t="str">
        <f t="shared" si="10"/>
        <v>View on Google Map</v>
      </c>
    </row>
    <row r="515" spans="1:13" x14ac:dyDescent="0.2">
      <c r="A515" s="116">
        <v>4</v>
      </c>
      <c r="B515" s="116" t="s">
        <v>1604</v>
      </c>
      <c r="C515" s="116" t="s">
        <v>582</v>
      </c>
      <c r="D515" s="116">
        <v>68.38333333333334</v>
      </c>
      <c r="E515" s="116">
        <v>-149.31666666666666</v>
      </c>
      <c r="F515" s="116">
        <v>869</v>
      </c>
      <c r="G515" s="116" t="s">
        <v>583</v>
      </c>
      <c r="H515" s="116" t="s">
        <v>1605</v>
      </c>
      <c r="I515" s="116" t="s">
        <v>1606</v>
      </c>
      <c r="J515" s="116" t="s">
        <v>584</v>
      </c>
      <c r="K515" s="116" t="s">
        <v>558</v>
      </c>
      <c r="L515" s="116" t="s">
        <v>585</v>
      </c>
      <c r="M515" s="122" t="str">
        <f t="shared" ref="M515:M578" si="11">HYPERLINK("http://maps.google.com/maps?q="&amp;D515&amp;","&amp;E515,"View on Google Map")</f>
        <v>View on Google Map</v>
      </c>
    </row>
    <row r="516" spans="1:13" x14ac:dyDescent="0.2">
      <c r="A516" s="116">
        <v>148</v>
      </c>
      <c r="B516" s="116" t="s">
        <v>1607</v>
      </c>
      <c r="C516" s="116" t="s">
        <v>558</v>
      </c>
      <c r="D516" s="116">
        <v>68.624535966600007</v>
      </c>
      <c r="E516" s="116">
        <v>-149.60216609099999</v>
      </c>
      <c r="F516" s="116">
        <v>720</v>
      </c>
      <c r="G516" s="116" t="s">
        <v>569</v>
      </c>
      <c r="H516" s="116" t="s">
        <v>558</v>
      </c>
      <c r="I516" s="116" t="s">
        <v>558</v>
      </c>
      <c r="J516" s="116" t="s">
        <v>584</v>
      </c>
      <c r="K516" s="116" t="s">
        <v>558</v>
      </c>
      <c r="L516" s="116" t="s">
        <v>558</v>
      </c>
      <c r="M516" s="122" t="str">
        <f t="shared" si="11"/>
        <v>View on Google Map</v>
      </c>
    </row>
    <row r="517" spans="1:13" x14ac:dyDescent="0.2">
      <c r="A517" s="116">
        <v>241</v>
      </c>
      <c r="B517" s="116" t="s">
        <v>1607</v>
      </c>
      <c r="C517" s="116" t="s">
        <v>558</v>
      </c>
      <c r="D517" s="116">
        <v>68.624535966600007</v>
      </c>
      <c r="E517" s="116">
        <v>-149.60216609099999</v>
      </c>
      <c r="F517" s="116" t="s">
        <v>558</v>
      </c>
      <c r="G517" s="116" t="s">
        <v>569</v>
      </c>
      <c r="H517" s="116" t="s">
        <v>558</v>
      </c>
      <c r="I517" s="116" t="s">
        <v>558</v>
      </c>
      <c r="J517" s="116" t="s">
        <v>584</v>
      </c>
      <c r="K517" s="116" t="s">
        <v>558</v>
      </c>
      <c r="L517" s="116" t="s">
        <v>558</v>
      </c>
      <c r="M517" s="122" t="str">
        <f t="shared" si="11"/>
        <v>View on Google Map</v>
      </c>
    </row>
    <row r="518" spans="1:13" x14ac:dyDescent="0.2">
      <c r="A518" s="116">
        <v>149</v>
      </c>
      <c r="B518" s="116" t="s">
        <v>1608</v>
      </c>
      <c r="C518" s="116" t="s">
        <v>558</v>
      </c>
      <c r="D518" s="116">
        <v>68.627169078600005</v>
      </c>
      <c r="E518" s="116">
        <v>-149.61135296200001</v>
      </c>
      <c r="F518" s="116">
        <v>720</v>
      </c>
      <c r="G518" s="116" t="s">
        <v>569</v>
      </c>
      <c r="H518" s="116" t="s">
        <v>558</v>
      </c>
      <c r="I518" s="116" t="s">
        <v>558</v>
      </c>
      <c r="J518" s="116" t="s">
        <v>584</v>
      </c>
      <c r="K518" s="116" t="s">
        <v>558</v>
      </c>
      <c r="L518" s="116" t="s">
        <v>558</v>
      </c>
      <c r="M518" s="122" t="str">
        <f t="shared" si="11"/>
        <v>View on Google Map</v>
      </c>
    </row>
    <row r="519" spans="1:13" x14ac:dyDescent="0.2">
      <c r="A519" s="116">
        <v>150</v>
      </c>
      <c r="B519" s="116" t="s">
        <v>1609</v>
      </c>
      <c r="C519" s="116" t="s">
        <v>558</v>
      </c>
      <c r="D519" s="116">
        <v>68.628818623300006</v>
      </c>
      <c r="E519" s="116">
        <v>-149.62482197599999</v>
      </c>
      <c r="F519" s="116">
        <v>720</v>
      </c>
      <c r="G519" s="116" t="s">
        <v>569</v>
      </c>
      <c r="H519" s="116" t="s">
        <v>558</v>
      </c>
      <c r="I519" s="116" t="s">
        <v>558</v>
      </c>
      <c r="J519" s="116" t="s">
        <v>584</v>
      </c>
      <c r="K519" s="116" t="s">
        <v>558</v>
      </c>
      <c r="L519" s="116" t="s">
        <v>558</v>
      </c>
      <c r="M519" s="122" t="str">
        <f t="shared" si="11"/>
        <v>View on Google Map</v>
      </c>
    </row>
    <row r="520" spans="1:13" x14ac:dyDescent="0.2">
      <c r="A520" s="116">
        <v>151</v>
      </c>
      <c r="B520" s="116" t="s">
        <v>1610</v>
      </c>
      <c r="C520" s="116" t="s">
        <v>558</v>
      </c>
      <c r="D520" s="116">
        <v>68.630949932700005</v>
      </c>
      <c r="E520" s="116">
        <v>-149.62993150400001</v>
      </c>
      <c r="F520" s="116" t="s">
        <v>558</v>
      </c>
      <c r="G520" s="116" t="s">
        <v>569</v>
      </c>
      <c r="H520" s="116" t="s">
        <v>558</v>
      </c>
      <c r="I520" s="116" t="s">
        <v>558</v>
      </c>
      <c r="J520" s="116" t="s">
        <v>584</v>
      </c>
      <c r="K520" s="116" t="s">
        <v>558</v>
      </c>
      <c r="L520" s="116" t="s">
        <v>558</v>
      </c>
      <c r="M520" s="122" t="str">
        <f t="shared" si="11"/>
        <v>View on Google Map</v>
      </c>
    </row>
    <row r="521" spans="1:13" x14ac:dyDescent="0.2">
      <c r="A521" s="116">
        <v>106</v>
      </c>
      <c r="B521" s="116" t="s">
        <v>1611</v>
      </c>
      <c r="C521" s="116" t="s">
        <v>558</v>
      </c>
      <c r="D521" s="116">
        <v>68.631431924799998</v>
      </c>
      <c r="E521" s="116">
        <v>-149.63669249099999</v>
      </c>
      <c r="F521" s="116">
        <v>725</v>
      </c>
      <c r="G521" s="116" t="s">
        <v>569</v>
      </c>
      <c r="H521" s="116" t="s">
        <v>1612</v>
      </c>
      <c r="I521" s="116" t="s">
        <v>558</v>
      </c>
      <c r="J521" s="116" t="s">
        <v>584</v>
      </c>
      <c r="K521" s="116" t="s">
        <v>558</v>
      </c>
      <c r="L521" s="116" t="s">
        <v>558</v>
      </c>
      <c r="M521" s="122" t="str">
        <f t="shared" si="11"/>
        <v>View on Google Map</v>
      </c>
    </row>
    <row r="522" spans="1:13" x14ac:dyDescent="0.2">
      <c r="A522" s="116">
        <v>107</v>
      </c>
      <c r="B522" s="116" t="s">
        <v>1613</v>
      </c>
      <c r="C522" s="116" t="s">
        <v>558</v>
      </c>
      <c r="D522" s="116">
        <v>68.629379781599994</v>
      </c>
      <c r="E522" s="116">
        <v>-149.64162329499999</v>
      </c>
      <c r="F522" s="116">
        <v>731</v>
      </c>
      <c r="G522" s="116" t="s">
        <v>569</v>
      </c>
      <c r="H522" s="116" t="s">
        <v>1614</v>
      </c>
      <c r="I522" s="116" t="s">
        <v>558</v>
      </c>
      <c r="J522" s="116" t="s">
        <v>584</v>
      </c>
      <c r="K522" s="116" t="s">
        <v>558</v>
      </c>
      <c r="L522" s="116" t="s">
        <v>558</v>
      </c>
      <c r="M522" s="122" t="str">
        <f t="shared" si="11"/>
        <v>View on Google Map</v>
      </c>
    </row>
    <row r="523" spans="1:13" x14ac:dyDescent="0.2">
      <c r="A523" s="116">
        <v>1603</v>
      </c>
      <c r="B523" s="116" t="s">
        <v>1615</v>
      </c>
      <c r="C523" s="116" t="s">
        <v>558</v>
      </c>
      <c r="D523" s="116" t="s">
        <v>558</v>
      </c>
      <c r="E523" s="116" t="s">
        <v>558</v>
      </c>
      <c r="F523" s="116" t="s">
        <v>558</v>
      </c>
      <c r="G523" s="116" t="s">
        <v>583</v>
      </c>
      <c r="H523" s="116" t="s">
        <v>1616</v>
      </c>
      <c r="I523" s="116" t="s">
        <v>1617</v>
      </c>
      <c r="J523" s="116" t="s">
        <v>584</v>
      </c>
      <c r="K523" s="116" t="s">
        <v>558</v>
      </c>
      <c r="L523" s="116" t="s">
        <v>558</v>
      </c>
      <c r="M523" s="122" t="str">
        <f t="shared" si="11"/>
        <v>View on Google Map</v>
      </c>
    </row>
    <row r="524" spans="1:13" x14ac:dyDescent="0.2">
      <c r="A524" s="116">
        <v>152</v>
      </c>
      <c r="B524" s="116" t="s">
        <v>1618</v>
      </c>
      <c r="C524" s="116" t="s">
        <v>558</v>
      </c>
      <c r="D524" s="116">
        <v>68.630062744699998</v>
      </c>
      <c r="E524" s="116">
        <v>-149.64444178900001</v>
      </c>
      <c r="F524" s="116">
        <v>731</v>
      </c>
      <c r="G524" s="116" t="s">
        <v>569</v>
      </c>
      <c r="H524" s="116" t="s">
        <v>558</v>
      </c>
      <c r="I524" s="116" t="s">
        <v>558</v>
      </c>
      <c r="J524" s="116" t="s">
        <v>584</v>
      </c>
      <c r="K524" s="116" t="s">
        <v>558</v>
      </c>
      <c r="L524" s="116" t="s">
        <v>558</v>
      </c>
      <c r="M524" s="122" t="str">
        <f t="shared" si="11"/>
        <v>View on Google Map</v>
      </c>
    </row>
    <row r="525" spans="1:13" x14ac:dyDescent="0.2">
      <c r="A525" s="116">
        <v>1601</v>
      </c>
      <c r="B525" s="116" t="s">
        <v>1619</v>
      </c>
      <c r="C525" s="116" t="s">
        <v>558</v>
      </c>
      <c r="D525" s="116" t="s">
        <v>558</v>
      </c>
      <c r="E525" s="116" t="s">
        <v>558</v>
      </c>
      <c r="F525" s="116" t="s">
        <v>558</v>
      </c>
      <c r="G525" s="116" t="s">
        <v>558</v>
      </c>
      <c r="H525" s="116" t="s">
        <v>1620</v>
      </c>
      <c r="I525" s="116" t="s">
        <v>1621</v>
      </c>
      <c r="J525" s="35" t="s">
        <v>584</v>
      </c>
      <c r="K525" s="116" t="s">
        <v>558</v>
      </c>
      <c r="L525" s="116" t="s">
        <v>558</v>
      </c>
      <c r="M525" s="122" t="str">
        <f t="shared" si="11"/>
        <v>View on Google Map</v>
      </c>
    </row>
    <row r="526" spans="1:13" x14ac:dyDescent="0.2">
      <c r="A526" s="116">
        <v>1602</v>
      </c>
      <c r="B526" s="116" t="s">
        <v>1622</v>
      </c>
      <c r="C526" s="116" t="s">
        <v>558</v>
      </c>
      <c r="D526" s="116" t="s">
        <v>558</v>
      </c>
      <c r="E526" s="116" t="s">
        <v>558</v>
      </c>
      <c r="F526" s="116" t="s">
        <v>558</v>
      </c>
      <c r="G526" s="116" t="s">
        <v>558</v>
      </c>
      <c r="H526" s="116" t="s">
        <v>1623</v>
      </c>
      <c r="I526" s="116" t="s">
        <v>1624</v>
      </c>
      <c r="J526" s="35" t="s">
        <v>584</v>
      </c>
      <c r="K526" s="116" t="s">
        <v>558</v>
      </c>
      <c r="L526" s="116" t="s">
        <v>558</v>
      </c>
      <c r="M526" s="122" t="str">
        <f t="shared" si="11"/>
        <v>View on Google Map</v>
      </c>
    </row>
    <row r="527" spans="1:13" x14ac:dyDescent="0.2">
      <c r="A527" s="116">
        <v>153</v>
      </c>
      <c r="B527" s="116" t="s">
        <v>1625</v>
      </c>
      <c r="C527" s="116" t="s">
        <v>558</v>
      </c>
      <c r="D527" s="116" t="s">
        <v>558</v>
      </c>
      <c r="E527" s="116" t="s">
        <v>558</v>
      </c>
      <c r="F527" s="116" t="s">
        <v>558</v>
      </c>
      <c r="G527" s="116" t="s">
        <v>569</v>
      </c>
      <c r="H527" s="116" t="s">
        <v>558</v>
      </c>
      <c r="I527" s="116" t="s">
        <v>558</v>
      </c>
      <c r="J527" s="116" t="s">
        <v>584</v>
      </c>
      <c r="K527" s="116" t="s">
        <v>558</v>
      </c>
      <c r="L527" s="116" t="s">
        <v>558</v>
      </c>
      <c r="M527" s="122" t="str">
        <f t="shared" si="11"/>
        <v>View on Google Map</v>
      </c>
    </row>
    <row r="528" spans="1:13" x14ac:dyDescent="0.2">
      <c r="A528" s="116">
        <v>154</v>
      </c>
      <c r="B528" s="116" t="s">
        <v>1626</v>
      </c>
      <c r="C528" s="116" t="s">
        <v>558</v>
      </c>
      <c r="D528" s="116" t="s">
        <v>558</v>
      </c>
      <c r="E528" s="116" t="s">
        <v>558</v>
      </c>
      <c r="F528" s="116" t="s">
        <v>558</v>
      </c>
      <c r="G528" s="116" t="s">
        <v>569</v>
      </c>
      <c r="H528" s="116" t="s">
        <v>558</v>
      </c>
      <c r="I528" s="116" t="s">
        <v>558</v>
      </c>
      <c r="J528" s="116" t="s">
        <v>584</v>
      </c>
      <c r="K528" s="116" t="s">
        <v>558</v>
      </c>
      <c r="L528" s="116" t="s">
        <v>558</v>
      </c>
      <c r="M528" s="122" t="str">
        <f t="shared" si="11"/>
        <v>View on Google Map</v>
      </c>
    </row>
    <row r="529" spans="1:13" x14ac:dyDescent="0.2">
      <c r="A529" s="116">
        <v>155</v>
      </c>
      <c r="B529" s="116" t="s">
        <v>1627</v>
      </c>
      <c r="C529" s="116" t="s">
        <v>558</v>
      </c>
      <c r="D529" s="116" t="s">
        <v>558</v>
      </c>
      <c r="E529" s="116" t="s">
        <v>558</v>
      </c>
      <c r="F529" s="116" t="s">
        <v>558</v>
      </c>
      <c r="G529" s="116" t="s">
        <v>569</v>
      </c>
      <c r="H529" s="116" t="s">
        <v>558</v>
      </c>
      <c r="I529" s="116" t="s">
        <v>558</v>
      </c>
      <c r="J529" s="116" t="s">
        <v>584</v>
      </c>
      <c r="K529" s="116" t="s">
        <v>558</v>
      </c>
      <c r="L529" s="116" t="s">
        <v>558</v>
      </c>
      <c r="M529" s="122" t="str">
        <f t="shared" si="11"/>
        <v>View on Google Map</v>
      </c>
    </row>
    <row r="530" spans="1:13" x14ac:dyDescent="0.2">
      <c r="A530" s="116">
        <v>156</v>
      </c>
      <c r="B530" s="116" t="s">
        <v>1628</v>
      </c>
      <c r="C530" s="116" t="s">
        <v>558</v>
      </c>
      <c r="D530" s="116">
        <v>68.630148048999999</v>
      </c>
      <c r="E530" s="116">
        <v>-149.65057914499999</v>
      </c>
      <c r="F530" s="116">
        <v>750</v>
      </c>
      <c r="G530" s="116" t="s">
        <v>569</v>
      </c>
      <c r="H530" s="116" t="s">
        <v>558</v>
      </c>
      <c r="I530" s="116" t="s">
        <v>558</v>
      </c>
      <c r="J530" s="116" t="s">
        <v>584</v>
      </c>
      <c r="K530" s="116" t="s">
        <v>558</v>
      </c>
      <c r="L530" s="116" t="s">
        <v>558</v>
      </c>
      <c r="M530" s="122" t="str">
        <f t="shared" si="11"/>
        <v>View on Google Map</v>
      </c>
    </row>
    <row r="531" spans="1:13" x14ac:dyDescent="0.2">
      <c r="A531" s="116">
        <v>157</v>
      </c>
      <c r="B531" s="116" t="s">
        <v>1629</v>
      </c>
      <c r="C531" s="116" t="s">
        <v>558</v>
      </c>
      <c r="D531" s="116">
        <v>68.629627802900004</v>
      </c>
      <c r="E531" s="116">
        <v>-149.655880887</v>
      </c>
      <c r="F531" s="116">
        <v>754</v>
      </c>
      <c r="G531" s="116" t="s">
        <v>569</v>
      </c>
      <c r="H531" s="116" t="s">
        <v>558</v>
      </c>
      <c r="I531" s="116" t="s">
        <v>558</v>
      </c>
      <c r="J531" s="116" t="s">
        <v>584</v>
      </c>
      <c r="K531" s="116" t="s">
        <v>558</v>
      </c>
      <c r="L531" s="116" t="s">
        <v>558</v>
      </c>
      <c r="M531" s="122" t="str">
        <f t="shared" si="11"/>
        <v>View on Google Map</v>
      </c>
    </row>
    <row r="532" spans="1:13" x14ac:dyDescent="0.2">
      <c r="A532" s="116">
        <v>158</v>
      </c>
      <c r="B532" s="116" t="s">
        <v>1630</v>
      </c>
      <c r="C532" s="116" t="s">
        <v>558</v>
      </c>
      <c r="D532" s="116">
        <v>68.631486568699998</v>
      </c>
      <c r="E532" s="116">
        <v>-149.65910231699999</v>
      </c>
      <c r="F532" s="116">
        <v>754</v>
      </c>
      <c r="G532" s="116" t="s">
        <v>569</v>
      </c>
      <c r="H532" s="116" t="s">
        <v>558</v>
      </c>
      <c r="I532" s="116" t="s">
        <v>558</v>
      </c>
      <c r="J532" s="116" t="s">
        <v>584</v>
      </c>
      <c r="K532" s="116" t="s">
        <v>558</v>
      </c>
      <c r="L532" s="116" t="s">
        <v>558</v>
      </c>
      <c r="M532" s="122" t="str">
        <f t="shared" si="11"/>
        <v>View on Google Map</v>
      </c>
    </row>
    <row r="533" spans="1:13" x14ac:dyDescent="0.2">
      <c r="A533" s="116">
        <v>169</v>
      </c>
      <c r="B533" s="116" t="s">
        <v>1631</v>
      </c>
      <c r="C533" s="116" t="s">
        <v>558</v>
      </c>
      <c r="D533" s="116" t="s">
        <v>558</v>
      </c>
      <c r="E533" s="116" t="s">
        <v>558</v>
      </c>
      <c r="F533" s="116" t="s">
        <v>558</v>
      </c>
      <c r="G533" s="116" t="s">
        <v>569</v>
      </c>
      <c r="H533" s="116" t="s">
        <v>558</v>
      </c>
      <c r="I533" s="116" t="s">
        <v>558</v>
      </c>
      <c r="J533" s="116" t="s">
        <v>584</v>
      </c>
      <c r="K533" s="116" t="s">
        <v>558</v>
      </c>
      <c r="L533" s="116" t="s">
        <v>558</v>
      </c>
      <c r="M533" s="122" t="str">
        <f t="shared" si="11"/>
        <v>View on Google Map</v>
      </c>
    </row>
    <row r="534" spans="1:13" x14ac:dyDescent="0.2">
      <c r="A534" s="116">
        <v>170</v>
      </c>
      <c r="B534" s="116" t="s">
        <v>1632</v>
      </c>
      <c r="C534" s="116" t="s">
        <v>558</v>
      </c>
      <c r="D534" s="116" t="s">
        <v>558</v>
      </c>
      <c r="E534" s="116" t="s">
        <v>558</v>
      </c>
      <c r="F534" s="116" t="s">
        <v>558</v>
      </c>
      <c r="G534" s="116" t="s">
        <v>569</v>
      </c>
      <c r="H534" s="116" t="s">
        <v>558</v>
      </c>
      <c r="I534" s="116" t="s">
        <v>558</v>
      </c>
      <c r="J534" s="116" t="s">
        <v>584</v>
      </c>
      <c r="K534" s="116" t="s">
        <v>558</v>
      </c>
      <c r="L534" s="116" t="s">
        <v>558</v>
      </c>
      <c r="M534" s="122" t="str">
        <f t="shared" si="11"/>
        <v>View on Google Map</v>
      </c>
    </row>
    <row r="535" spans="1:13" x14ac:dyDescent="0.2">
      <c r="A535" s="116">
        <v>136</v>
      </c>
      <c r="B535" s="116" t="s">
        <v>1633</v>
      </c>
      <c r="C535" s="116" t="s">
        <v>558</v>
      </c>
      <c r="D535" s="116">
        <v>70.233333333333334</v>
      </c>
      <c r="E535" s="116">
        <v>-148.25</v>
      </c>
      <c r="F535" s="116">
        <v>10</v>
      </c>
      <c r="G535" s="116" t="s">
        <v>569</v>
      </c>
      <c r="H535" s="116" t="s">
        <v>1634</v>
      </c>
      <c r="I535" s="116" t="s">
        <v>558</v>
      </c>
      <c r="J535" s="116" t="s">
        <v>584</v>
      </c>
      <c r="K535" s="116" t="s">
        <v>558</v>
      </c>
      <c r="L535" s="116" t="s">
        <v>585</v>
      </c>
      <c r="M535" s="122" t="str">
        <f t="shared" si="11"/>
        <v>View on Google Map</v>
      </c>
    </row>
    <row r="536" spans="1:13" x14ac:dyDescent="0.2">
      <c r="A536" s="116">
        <v>6</v>
      </c>
      <c r="B536" s="116" t="s">
        <v>1635</v>
      </c>
      <c r="C536" s="116" t="s">
        <v>558</v>
      </c>
      <c r="D536" s="116" t="s">
        <v>558</v>
      </c>
      <c r="E536" s="116" t="s">
        <v>558</v>
      </c>
      <c r="F536" s="116">
        <v>457</v>
      </c>
      <c r="G536" s="116" t="s">
        <v>583</v>
      </c>
      <c r="H536" s="116" t="s">
        <v>1636</v>
      </c>
      <c r="I536" s="116" t="s">
        <v>1637</v>
      </c>
      <c r="J536" s="116" t="s">
        <v>584</v>
      </c>
      <c r="K536" s="116" t="s">
        <v>558</v>
      </c>
      <c r="L536" s="116" t="s">
        <v>585</v>
      </c>
      <c r="M536" s="122" t="str">
        <f t="shared" si="11"/>
        <v>View on Google Map</v>
      </c>
    </row>
    <row r="537" spans="1:13" x14ac:dyDescent="0.2">
      <c r="A537" s="116">
        <v>20</v>
      </c>
      <c r="B537" s="116" t="s">
        <v>1638</v>
      </c>
      <c r="C537" s="116" t="s">
        <v>558</v>
      </c>
      <c r="D537" s="116" t="s">
        <v>558</v>
      </c>
      <c r="E537" s="116" t="s">
        <v>558</v>
      </c>
      <c r="F537" s="116" t="s">
        <v>558</v>
      </c>
      <c r="G537" s="116" t="s">
        <v>583</v>
      </c>
      <c r="H537" s="116" t="s">
        <v>558</v>
      </c>
      <c r="I537" s="116" t="s">
        <v>558</v>
      </c>
      <c r="J537" s="116" t="s">
        <v>584</v>
      </c>
      <c r="K537" s="116" t="s">
        <v>558</v>
      </c>
      <c r="L537" s="116" t="s">
        <v>558</v>
      </c>
      <c r="M537" s="122" t="str">
        <f t="shared" si="11"/>
        <v>View on Google Map</v>
      </c>
    </row>
    <row r="538" spans="1:13" x14ac:dyDescent="0.2">
      <c r="A538" s="116">
        <v>1176</v>
      </c>
      <c r="B538" s="116" t="s">
        <v>1639</v>
      </c>
      <c r="C538" s="116" t="s">
        <v>590</v>
      </c>
      <c r="D538" s="116">
        <v>68.996418329999997</v>
      </c>
      <c r="E538" s="116">
        <v>-150.27895670000001</v>
      </c>
      <c r="F538" s="116" t="s">
        <v>558</v>
      </c>
      <c r="G538" s="116" t="s">
        <v>559</v>
      </c>
      <c r="H538" s="116" t="s">
        <v>558</v>
      </c>
      <c r="I538" s="116" t="s">
        <v>558</v>
      </c>
      <c r="J538" s="116" t="s">
        <v>565</v>
      </c>
      <c r="K538" s="116" t="s">
        <v>558</v>
      </c>
      <c r="L538" s="116" t="s">
        <v>566</v>
      </c>
      <c r="M538" s="122" t="str">
        <f t="shared" si="11"/>
        <v>View on Google Map</v>
      </c>
    </row>
    <row r="539" spans="1:13" x14ac:dyDescent="0.2">
      <c r="A539" s="116">
        <v>509</v>
      </c>
      <c r="B539" s="116" t="s">
        <v>1640</v>
      </c>
      <c r="C539" s="116" t="s">
        <v>568</v>
      </c>
      <c r="D539" s="116">
        <v>68.338126000000003</v>
      </c>
      <c r="E539" s="116">
        <v>-151.061735</v>
      </c>
      <c r="F539" s="116">
        <v>840</v>
      </c>
      <c r="G539" s="116" t="s">
        <v>569</v>
      </c>
      <c r="H539" s="116" t="s">
        <v>558</v>
      </c>
      <c r="I539" s="116" t="s">
        <v>558</v>
      </c>
      <c r="J539" s="116" t="s">
        <v>570</v>
      </c>
      <c r="K539" s="116" t="s">
        <v>558</v>
      </c>
      <c r="L539" s="116" t="s">
        <v>571</v>
      </c>
      <c r="M539" s="122" t="str">
        <f t="shared" si="11"/>
        <v>View on Google Map</v>
      </c>
    </row>
    <row r="540" spans="1:13" x14ac:dyDescent="0.2">
      <c r="A540" s="116">
        <v>36</v>
      </c>
      <c r="B540" s="116" t="s">
        <v>1641</v>
      </c>
      <c r="C540" s="116" t="s">
        <v>558</v>
      </c>
      <c r="D540" s="116">
        <v>69.233333333333334</v>
      </c>
      <c r="E540" s="116">
        <v>-150.804383333</v>
      </c>
      <c r="F540" s="116">
        <v>181.97</v>
      </c>
      <c r="G540" s="116" t="s">
        <v>583</v>
      </c>
      <c r="H540" s="116" t="s">
        <v>558</v>
      </c>
      <c r="I540" s="116" t="s">
        <v>558</v>
      </c>
      <c r="J540" s="116" t="s">
        <v>619</v>
      </c>
      <c r="K540" s="116" t="s">
        <v>558</v>
      </c>
      <c r="L540" s="116" t="s">
        <v>566</v>
      </c>
      <c r="M540" s="122" t="str">
        <f t="shared" si="11"/>
        <v>View on Google Map</v>
      </c>
    </row>
    <row r="541" spans="1:13" x14ac:dyDescent="0.2">
      <c r="A541" s="116">
        <v>37</v>
      </c>
      <c r="B541" s="116" t="s">
        <v>1642</v>
      </c>
      <c r="C541" s="116" t="s">
        <v>558</v>
      </c>
      <c r="D541" s="116">
        <v>68.289683333333329</v>
      </c>
      <c r="E541" s="116">
        <v>-150.91499999999999</v>
      </c>
      <c r="F541" s="116">
        <v>392</v>
      </c>
      <c r="G541" s="116" t="s">
        <v>583</v>
      </c>
      <c r="H541" s="116" t="s">
        <v>558</v>
      </c>
      <c r="I541" s="116" t="s">
        <v>558</v>
      </c>
      <c r="J541" s="116" t="s">
        <v>619</v>
      </c>
      <c r="K541" s="116" t="s">
        <v>558</v>
      </c>
      <c r="L541" s="116" t="s">
        <v>566</v>
      </c>
      <c r="M541" s="122" t="str">
        <f t="shared" si="11"/>
        <v>View on Google Map</v>
      </c>
    </row>
    <row r="542" spans="1:13" x14ac:dyDescent="0.2">
      <c r="A542" s="116">
        <v>130</v>
      </c>
      <c r="B542" s="116" t="s">
        <v>1643</v>
      </c>
      <c r="C542" s="116" t="s">
        <v>1644</v>
      </c>
      <c r="D542" s="116">
        <v>70.083333333333329</v>
      </c>
      <c r="E542" s="116">
        <v>-148.53333333333299</v>
      </c>
      <c r="F542" s="116">
        <v>24</v>
      </c>
      <c r="G542" s="116" t="s">
        <v>569</v>
      </c>
      <c r="H542" s="116" t="s">
        <v>1645</v>
      </c>
      <c r="I542" s="116" t="s">
        <v>558</v>
      </c>
      <c r="J542" s="116" t="s">
        <v>584</v>
      </c>
      <c r="K542" s="116" t="s">
        <v>558</v>
      </c>
      <c r="L542" s="116" t="s">
        <v>585</v>
      </c>
      <c r="M542" s="122" t="str">
        <f t="shared" si="11"/>
        <v>View on Google Map</v>
      </c>
    </row>
    <row r="543" spans="1:13" x14ac:dyDescent="0.2">
      <c r="A543" s="116">
        <v>519</v>
      </c>
      <c r="B543" s="116" t="s">
        <v>1646</v>
      </c>
      <c r="C543" s="116" t="s">
        <v>568</v>
      </c>
      <c r="D543" s="116">
        <v>68.802636000000007</v>
      </c>
      <c r="E543" s="116">
        <v>-150.78539699999999</v>
      </c>
      <c r="F543" s="116">
        <v>411</v>
      </c>
      <c r="G543" s="116" t="s">
        <v>569</v>
      </c>
      <c r="H543" s="116" t="s">
        <v>558</v>
      </c>
      <c r="I543" s="116" t="s">
        <v>558</v>
      </c>
      <c r="J543" s="116" t="s">
        <v>570</v>
      </c>
      <c r="K543" s="116" t="s">
        <v>558</v>
      </c>
      <c r="L543" s="116" t="s">
        <v>571</v>
      </c>
      <c r="M543" s="122" t="str">
        <f t="shared" si="11"/>
        <v>View on Google Map</v>
      </c>
    </row>
    <row r="544" spans="1:13" x14ac:dyDescent="0.2">
      <c r="A544" s="116">
        <v>452</v>
      </c>
      <c r="B544" s="116" t="s">
        <v>1647</v>
      </c>
      <c r="C544" s="116" t="s">
        <v>558</v>
      </c>
      <c r="D544" s="116">
        <v>68.794960000000003</v>
      </c>
      <c r="E544" s="116">
        <v>-149.04813999999999</v>
      </c>
      <c r="F544" s="116">
        <v>754</v>
      </c>
      <c r="G544" s="116" t="s">
        <v>569</v>
      </c>
      <c r="H544" s="116" t="s">
        <v>558</v>
      </c>
      <c r="I544" s="116" t="s">
        <v>558</v>
      </c>
      <c r="J544" s="116" t="s">
        <v>570</v>
      </c>
      <c r="K544" s="116" t="s">
        <v>558</v>
      </c>
      <c r="L544" s="116" t="s">
        <v>558</v>
      </c>
      <c r="M544" s="122" t="str">
        <f t="shared" si="11"/>
        <v>View on Google Map</v>
      </c>
    </row>
    <row r="545" spans="1:13" x14ac:dyDescent="0.2">
      <c r="A545" s="116">
        <v>453</v>
      </c>
      <c r="B545" s="116" t="s">
        <v>1648</v>
      </c>
      <c r="C545" s="116" t="s">
        <v>558</v>
      </c>
      <c r="D545" s="116">
        <v>68.810460000000006</v>
      </c>
      <c r="E545" s="116">
        <v>-149.05207999999999</v>
      </c>
      <c r="F545" s="116">
        <v>727</v>
      </c>
      <c r="G545" s="116" t="s">
        <v>569</v>
      </c>
      <c r="H545" s="116" t="s">
        <v>558</v>
      </c>
      <c r="I545" s="116" t="s">
        <v>558</v>
      </c>
      <c r="J545" s="116" t="s">
        <v>570</v>
      </c>
      <c r="K545" s="116" t="s">
        <v>558</v>
      </c>
      <c r="L545" s="116" t="s">
        <v>558</v>
      </c>
      <c r="M545" s="122" t="str">
        <f t="shared" si="11"/>
        <v>View on Google Map</v>
      </c>
    </row>
    <row r="546" spans="1:13" x14ac:dyDescent="0.2">
      <c r="A546" s="116">
        <v>454</v>
      </c>
      <c r="B546" s="116" t="s">
        <v>1649</v>
      </c>
      <c r="C546" s="116" t="s">
        <v>558</v>
      </c>
      <c r="D546" s="116">
        <v>68.815870000000004</v>
      </c>
      <c r="E546" s="116">
        <v>-149.06173999999999</v>
      </c>
      <c r="F546" s="116">
        <v>715</v>
      </c>
      <c r="G546" s="116" t="s">
        <v>569</v>
      </c>
      <c r="H546" s="116" t="s">
        <v>558</v>
      </c>
      <c r="I546" s="116" t="s">
        <v>558</v>
      </c>
      <c r="J546" s="116" t="s">
        <v>570</v>
      </c>
      <c r="K546" s="116" t="s">
        <v>558</v>
      </c>
      <c r="L546" s="116" t="s">
        <v>558</v>
      </c>
      <c r="M546" s="122" t="str">
        <f t="shared" si="11"/>
        <v>View on Google Map</v>
      </c>
    </row>
    <row r="547" spans="1:13" x14ac:dyDescent="0.2">
      <c r="A547" s="116">
        <v>455</v>
      </c>
      <c r="B547" s="116" t="s">
        <v>1650</v>
      </c>
      <c r="C547" s="116" t="s">
        <v>558</v>
      </c>
      <c r="D547" s="116">
        <v>68.810519999999997</v>
      </c>
      <c r="E547" s="116">
        <v>-149.06282999999999</v>
      </c>
      <c r="F547" s="116">
        <v>728</v>
      </c>
      <c r="G547" s="116" t="s">
        <v>569</v>
      </c>
      <c r="H547" s="116" t="s">
        <v>558</v>
      </c>
      <c r="I547" s="116" t="s">
        <v>558</v>
      </c>
      <c r="J547" s="116" t="s">
        <v>570</v>
      </c>
      <c r="K547" s="116" t="s">
        <v>558</v>
      </c>
      <c r="L547" s="116" t="s">
        <v>558</v>
      </c>
      <c r="M547" s="122" t="str">
        <f t="shared" si="11"/>
        <v>View on Google Map</v>
      </c>
    </row>
    <row r="548" spans="1:13" x14ac:dyDescent="0.2">
      <c r="A548" s="116">
        <v>456</v>
      </c>
      <c r="B548" s="116" t="s">
        <v>1651</v>
      </c>
      <c r="C548" s="116" t="s">
        <v>558</v>
      </c>
      <c r="D548" s="116">
        <v>68.812290000000004</v>
      </c>
      <c r="E548" s="116">
        <v>-149.06899000000001</v>
      </c>
      <c r="F548" s="116">
        <v>730</v>
      </c>
      <c r="G548" s="116" t="s">
        <v>569</v>
      </c>
      <c r="H548" s="116" t="s">
        <v>558</v>
      </c>
      <c r="I548" s="116" t="s">
        <v>558</v>
      </c>
      <c r="J548" s="116" t="s">
        <v>570</v>
      </c>
      <c r="K548" s="116" t="s">
        <v>558</v>
      </c>
      <c r="L548" s="116" t="s">
        <v>558</v>
      </c>
      <c r="M548" s="122" t="str">
        <f t="shared" si="11"/>
        <v>View on Google Map</v>
      </c>
    </row>
    <row r="549" spans="1:13" x14ac:dyDescent="0.2">
      <c r="A549" s="116">
        <v>457</v>
      </c>
      <c r="B549" s="116" t="s">
        <v>1652</v>
      </c>
      <c r="C549" s="116" t="s">
        <v>558</v>
      </c>
      <c r="D549" s="116">
        <v>68.814369999999997</v>
      </c>
      <c r="E549" s="116">
        <v>-149.06774999999999</v>
      </c>
      <c r="F549" s="116">
        <v>724</v>
      </c>
      <c r="G549" s="116" t="s">
        <v>569</v>
      </c>
      <c r="H549" s="116" t="s">
        <v>558</v>
      </c>
      <c r="I549" s="116" t="s">
        <v>558</v>
      </c>
      <c r="J549" s="116" t="s">
        <v>570</v>
      </c>
      <c r="K549" s="116" t="s">
        <v>558</v>
      </c>
      <c r="L549" s="116" t="s">
        <v>558</v>
      </c>
      <c r="M549" s="122" t="str">
        <f t="shared" si="11"/>
        <v>View on Google Map</v>
      </c>
    </row>
    <row r="550" spans="1:13" x14ac:dyDescent="0.2">
      <c r="A550" s="116">
        <v>38</v>
      </c>
      <c r="B550" s="116" t="s">
        <v>1653</v>
      </c>
      <c r="C550" s="116" t="s">
        <v>558</v>
      </c>
      <c r="D550" s="116">
        <v>69.011899999999997</v>
      </c>
      <c r="E550" s="116">
        <v>-150.30000000000001</v>
      </c>
      <c r="F550" s="116">
        <v>321</v>
      </c>
      <c r="G550" s="116" t="s">
        <v>583</v>
      </c>
      <c r="H550" s="116" t="s">
        <v>1654</v>
      </c>
      <c r="I550" s="116" t="s">
        <v>1655</v>
      </c>
      <c r="J550" s="116" t="s">
        <v>619</v>
      </c>
      <c r="K550" s="116" t="s">
        <v>558</v>
      </c>
      <c r="L550" s="116" t="s">
        <v>566</v>
      </c>
      <c r="M550" s="122" t="str">
        <f t="shared" si="11"/>
        <v>View on Google Map</v>
      </c>
    </row>
    <row r="551" spans="1:13" x14ac:dyDescent="0.2">
      <c r="A551" s="116">
        <v>1211</v>
      </c>
      <c r="B551" s="116" t="s">
        <v>1656</v>
      </c>
      <c r="C551" s="116" t="s">
        <v>742</v>
      </c>
      <c r="D551" s="116">
        <v>68.996700000000004</v>
      </c>
      <c r="E551" s="116">
        <v>-150.28142</v>
      </c>
      <c r="F551" s="116" t="s">
        <v>558</v>
      </c>
      <c r="G551" s="116" t="s">
        <v>559</v>
      </c>
      <c r="H551" s="116" t="s">
        <v>558</v>
      </c>
      <c r="I551" s="116" t="s">
        <v>558</v>
      </c>
      <c r="J551" s="116" t="s">
        <v>565</v>
      </c>
      <c r="K551" s="116" t="s">
        <v>558</v>
      </c>
      <c r="L551" s="116" t="s">
        <v>566</v>
      </c>
      <c r="M551" s="122" t="str">
        <f t="shared" si="11"/>
        <v>View on Google Map</v>
      </c>
    </row>
    <row r="552" spans="1:13" x14ac:dyDescent="0.2">
      <c r="A552" s="116">
        <v>1210</v>
      </c>
      <c r="B552" s="116" t="s">
        <v>1657</v>
      </c>
      <c r="C552" s="116" t="s">
        <v>742</v>
      </c>
      <c r="D552" s="116">
        <v>68.996700000000004</v>
      </c>
      <c r="E552" s="116">
        <v>-150.28142</v>
      </c>
      <c r="F552" s="116" t="s">
        <v>558</v>
      </c>
      <c r="G552" s="116" t="s">
        <v>559</v>
      </c>
      <c r="H552" s="116" t="s">
        <v>558</v>
      </c>
      <c r="I552" s="116" t="s">
        <v>558</v>
      </c>
      <c r="J552" s="116" t="s">
        <v>565</v>
      </c>
      <c r="K552" s="116" t="s">
        <v>558</v>
      </c>
      <c r="L552" s="116" t="s">
        <v>566</v>
      </c>
      <c r="M552" s="122" t="str">
        <f t="shared" si="11"/>
        <v>View on Google Map</v>
      </c>
    </row>
    <row r="553" spans="1:13" x14ac:dyDescent="0.2">
      <c r="B553" s="116" t="s">
        <v>1658</v>
      </c>
      <c r="C553" s="116" t="s">
        <v>1571</v>
      </c>
      <c r="D553" s="116">
        <v>69.007500000000007</v>
      </c>
      <c r="E553" s="116">
        <v>-150.31388888888901</v>
      </c>
      <c r="G553" s="116" t="s">
        <v>577</v>
      </c>
      <c r="J553" s="116" t="s">
        <v>565</v>
      </c>
      <c r="L553" s="116" t="s">
        <v>566</v>
      </c>
      <c r="M553" s="122" t="str">
        <f t="shared" si="11"/>
        <v>View on Google Map</v>
      </c>
    </row>
    <row r="554" spans="1:13" x14ac:dyDescent="0.2">
      <c r="B554" s="116" t="s">
        <v>1659</v>
      </c>
      <c r="C554" s="116" t="s">
        <v>955</v>
      </c>
      <c r="D554" s="116">
        <v>69.043055555555554</v>
      </c>
      <c r="E554" s="116">
        <v>-150.42916666666699</v>
      </c>
      <c r="G554" s="116" t="s">
        <v>577</v>
      </c>
      <c r="J554" s="116" t="s">
        <v>565</v>
      </c>
      <c r="L554" s="116" t="s">
        <v>566</v>
      </c>
      <c r="M554" s="122" t="str">
        <f t="shared" si="11"/>
        <v>View on Google Map</v>
      </c>
    </row>
    <row r="555" spans="1:13" x14ac:dyDescent="0.2">
      <c r="A555" s="116">
        <v>39</v>
      </c>
      <c r="B555" s="116" t="s">
        <v>1660</v>
      </c>
      <c r="C555" s="116" t="s">
        <v>558</v>
      </c>
      <c r="D555" s="116">
        <v>68.994600000000005</v>
      </c>
      <c r="E555" s="116">
        <v>-150.30699999999999</v>
      </c>
      <c r="F555" s="116">
        <v>307</v>
      </c>
      <c r="G555" s="116" t="s">
        <v>583</v>
      </c>
      <c r="H555" s="116" t="s">
        <v>1661</v>
      </c>
      <c r="I555" s="116" t="s">
        <v>558</v>
      </c>
      <c r="J555" s="116" t="s">
        <v>619</v>
      </c>
      <c r="K555" s="116" t="s">
        <v>558</v>
      </c>
      <c r="L555" s="116" t="s">
        <v>566</v>
      </c>
      <c r="M555" s="122" t="str">
        <f t="shared" si="11"/>
        <v>View on Google Map</v>
      </c>
    </row>
    <row r="556" spans="1:13" x14ac:dyDescent="0.2">
      <c r="B556" s="116" t="s">
        <v>1662</v>
      </c>
      <c r="C556" s="116" t="s">
        <v>576</v>
      </c>
      <c r="D556" s="116">
        <v>69.570555555555558</v>
      </c>
      <c r="E556" s="116">
        <v>-150.893333333333</v>
      </c>
      <c r="G556" s="116" t="s">
        <v>577</v>
      </c>
      <c r="J556" s="116" t="s">
        <v>565</v>
      </c>
      <c r="L556" s="116" t="s">
        <v>566</v>
      </c>
      <c r="M556" s="122" t="str">
        <f t="shared" si="11"/>
        <v>View on Google Map</v>
      </c>
    </row>
    <row r="557" spans="1:13" x14ac:dyDescent="0.2">
      <c r="A557" s="116">
        <v>46</v>
      </c>
      <c r="B557" s="116" t="s">
        <v>1663</v>
      </c>
      <c r="C557" s="116" t="s">
        <v>558</v>
      </c>
      <c r="D557" s="116">
        <v>68.891069000000002</v>
      </c>
      <c r="E557" s="116">
        <v>-150.58501899999999</v>
      </c>
      <c r="F557" s="116" t="s">
        <v>558</v>
      </c>
      <c r="G557" s="116" t="s">
        <v>583</v>
      </c>
      <c r="H557" s="116" t="s">
        <v>558</v>
      </c>
      <c r="I557" s="116" t="s">
        <v>558</v>
      </c>
      <c r="J557" s="116" t="s">
        <v>1569</v>
      </c>
      <c r="K557" s="116" t="s">
        <v>558</v>
      </c>
      <c r="L557" s="116" t="s">
        <v>566</v>
      </c>
      <c r="M557" s="122" t="str">
        <f t="shared" si="11"/>
        <v>View on Google Map</v>
      </c>
    </row>
    <row r="558" spans="1:13" x14ac:dyDescent="0.2">
      <c r="A558" s="116">
        <v>47</v>
      </c>
      <c r="B558" s="116" t="s">
        <v>1664</v>
      </c>
      <c r="C558" s="116" t="s">
        <v>558</v>
      </c>
      <c r="D558" s="116">
        <v>68.966999999999999</v>
      </c>
      <c r="E558" s="116">
        <v>-150.56673000000001</v>
      </c>
      <c r="F558" s="116" t="s">
        <v>558</v>
      </c>
      <c r="G558" s="116" t="s">
        <v>583</v>
      </c>
      <c r="H558" s="116" t="s">
        <v>558</v>
      </c>
      <c r="I558" s="116" t="s">
        <v>558</v>
      </c>
      <c r="J558" s="116" t="s">
        <v>1569</v>
      </c>
      <c r="K558" s="116" t="s">
        <v>558</v>
      </c>
      <c r="L558" s="116" t="s">
        <v>566</v>
      </c>
      <c r="M558" s="122" t="str">
        <f t="shared" si="11"/>
        <v>View on Google Map</v>
      </c>
    </row>
    <row r="559" spans="1:13" x14ac:dyDescent="0.2">
      <c r="A559" s="116">
        <v>100</v>
      </c>
      <c r="B559" s="116" t="s">
        <v>40</v>
      </c>
      <c r="C559" s="116" t="s">
        <v>1665</v>
      </c>
      <c r="D559" s="116">
        <v>68.629960999999994</v>
      </c>
      <c r="E559" s="116">
        <v>-149.61263299999999</v>
      </c>
      <c r="F559" s="116">
        <v>719</v>
      </c>
      <c r="G559" s="116" t="s">
        <v>569</v>
      </c>
      <c r="H559" s="116" t="s">
        <v>1666</v>
      </c>
      <c r="I559" s="116" t="s">
        <v>1667</v>
      </c>
      <c r="J559" s="116" t="s">
        <v>584</v>
      </c>
      <c r="K559" s="116" t="s">
        <v>558</v>
      </c>
      <c r="L559" s="116" t="s">
        <v>558</v>
      </c>
      <c r="M559" s="122" t="str">
        <f t="shared" si="11"/>
        <v>View on Google Map</v>
      </c>
    </row>
    <row r="560" spans="1:13" x14ac:dyDescent="0.2">
      <c r="A560" s="116">
        <v>523</v>
      </c>
      <c r="B560" s="116" t="s">
        <v>1668</v>
      </c>
      <c r="C560" s="116" t="s">
        <v>1669</v>
      </c>
      <c r="D560" s="116">
        <v>68.626671999999999</v>
      </c>
      <c r="E560" s="116">
        <v>-149.59784400000001</v>
      </c>
      <c r="F560" s="116">
        <v>719</v>
      </c>
      <c r="G560" s="116" t="s">
        <v>569</v>
      </c>
      <c r="H560" s="116" t="s">
        <v>558</v>
      </c>
      <c r="I560" s="116" t="s">
        <v>558</v>
      </c>
      <c r="J560" s="116" t="s">
        <v>570</v>
      </c>
      <c r="K560" s="116" t="s">
        <v>558</v>
      </c>
      <c r="L560" s="116" t="s">
        <v>1670</v>
      </c>
      <c r="M560" s="122" t="str">
        <f t="shared" si="11"/>
        <v>View on Google Map</v>
      </c>
    </row>
    <row r="561" spans="1:13" x14ac:dyDescent="0.2">
      <c r="A561" s="116">
        <v>524</v>
      </c>
      <c r="B561" s="116" t="s">
        <v>1671</v>
      </c>
      <c r="C561" s="116" t="s">
        <v>1669</v>
      </c>
      <c r="D561" s="116">
        <v>68.632586000000003</v>
      </c>
      <c r="E561" s="116">
        <v>-149.60089500000001</v>
      </c>
      <c r="F561" s="116">
        <v>719</v>
      </c>
      <c r="G561" s="116" t="s">
        <v>569</v>
      </c>
      <c r="H561" s="116" t="s">
        <v>558</v>
      </c>
      <c r="I561" s="116" t="s">
        <v>558</v>
      </c>
      <c r="J561" s="116" t="s">
        <v>570</v>
      </c>
      <c r="K561" s="116" t="s">
        <v>558</v>
      </c>
      <c r="L561" s="116" t="s">
        <v>1670</v>
      </c>
      <c r="M561" s="122" t="str">
        <f t="shared" si="11"/>
        <v>View on Google Map</v>
      </c>
    </row>
    <row r="562" spans="1:13" x14ac:dyDescent="0.2">
      <c r="A562" s="116">
        <v>525</v>
      </c>
      <c r="B562" s="116" t="s">
        <v>1672</v>
      </c>
      <c r="C562" s="116" t="s">
        <v>1669</v>
      </c>
      <c r="D562" s="116">
        <v>68.636390000000006</v>
      </c>
      <c r="E562" s="116">
        <v>-149.594774</v>
      </c>
      <c r="F562" s="116">
        <v>719</v>
      </c>
      <c r="G562" s="116" t="s">
        <v>569</v>
      </c>
      <c r="H562" s="116" t="s">
        <v>558</v>
      </c>
      <c r="I562" s="116" t="s">
        <v>558</v>
      </c>
      <c r="J562" s="116" t="s">
        <v>570</v>
      </c>
      <c r="K562" s="116" t="s">
        <v>558</v>
      </c>
      <c r="L562" s="116" t="s">
        <v>1670</v>
      </c>
      <c r="M562" s="122" t="str">
        <f t="shared" si="11"/>
        <v>View on Google Map</v>
      </c>
    </row>
    <row r="563" spans="1:13" x14ac:dyDescent="0.2">
      <c r="A563" s="116">
        <v>13</v>
      </c>
      <c r="B563" s="116" t="s">
        <v>1673</v>
      </c>
      <c r="C563" s="116" t="s">
        <v>558</v>
      </c>
      <c r="D563" s="116">
        <v>68.625600000000006</v>
      </c>
      <c r="E563" s="116">
        <v>-149.59604999999999</v>
      </c>
      <c r="F563" s="116">
        <v>719</v>
      </c>
      <c r="G563" s="116" t="s">
        <v>583</v>
      </c>
      <c r="H563" s="116" t="s">
        <v>1674</v>
      </c>
      <c r="I563" s="116" t="s">
        <v>1675</v>
      </c>
      <c r="J563" s="116" t="s">
        <v>584</v>
      </c>
      <c r="K563" s="116">
        <v>190</v>
      </c>
      <c r="L563" s="116" t="s">
        <v>973</v>
      </c>
      <c r="M563" s="122" t="str">
        <f t="shared" si="11"/>
        <v>View on Google Map</v>
      </c>
    </row>
    <row r="564" spans="1:13" x14ac:dyDescent="0.2">
      <c r="A564" s="116">
        <v>522</v>
      </c>
      <c r="B564" s="116" t="s">
        <v>1676</v>
      </c>
      <c r="C564" s="116" t="s">
        <v>1669</v>
      </c>
      <c r="D564" s="116">
        <v>68.625966000000005</v>
      </c>
      <c r="E564" s="116">
        <v>-149.59902199999999</v>
      </c>
      <c r="F564" s="116">
        <v>719</v>
      </c>
      <c r="G564" s="116" t="s">
        <v>569</v>
      </c>
      <c r="H564" s="116" t="s">
        <v>558</v>
      </c>
      <c r="I564" s="116" t="s">
        <v>558</v>
      </c>
      <c r="J564" s="116" t="s">
        <v>570</v>
      </c>
      <c r="K564" s="116" t="s">
        <v>558</v>
      </c>
      <c r="L564" s="116" t="s">
        <v>1670</v>
      </c>
      <c r="M564" s="122" t="str">
        <f t="shared" si="11"/>
        <v>View on Google Map</v>
      </c>
    </row>
    <row r="565" spans="1:13" x14ac:dyDescent="0.2">
      <c r="A565" s="116">
        <v>101</v>
      </c>
      <c r="B565" s="116" t="s">
        <v>1677</v>
      </c>
      <c r="C565" s="116" t="s">
        <v>1678</v>
      </c>
      <c r="D565" s="116" t="s">
        <v>558</v>
      </c>
      <c r="E565" s="116" t="s">
        <v>558</v>
      </c>
      <c r="F565" s="116">
        <v>719</v>
      </c>
      <c r="G565" s="116" t="s">
        <v>569</v>
      </c>
      <c r="H565" s="116" t="s">
        <v>558</v>
      </c>
      <c r="I565" s="116" t="s">
        <v>558</v>
      </c>
      <c r="J565" s="116" t="s">
        <v>584</v>
      </c>
      <c r="K565" s="116" t="s">
        <v>558</v>
      </c>
      <c r="L565" s="116" t="s">
        <v>558</v>
      </c>
      <c r="M565" s="122" t="str">
        <f t="shared" si="11"/>
        <v>View on Google Map</v>
      </c>
    </row>
    <row r="566" spans="1:13" x14ac:dyDescent="0.2">
      <c r="A566" s="116">
        <v>102</v>
      </c>
      <c r="B566" s="116" t="s">
        <v>1679</v>
      </c>
      <c r="C566" s="116" t="s">
        <v>1680</v>
      </c>
      <c r="D566" s="116">
        <v>68.638623999999993</v>
      </c>
      <c r="E566" s="116">
        <v>-149.610737</v>
      </c>
      <c r="F566" s="116">
        <v>719</v>
      </c>
      <c r="G566" s="116" t="s">
        <v>569</v>
      </c>
      <c r="H566" s="116" t="s">
        <v>1681</v>
      </c>
      <c r="I566" s="116" t="s">
        <v>1682</v>
      </c>
      <c r="J566" s="116" t="s">
        <v>584</v>
      </c>
      <c r="K566" s="116" t="s">
        <v>558</v>
      </c>
      <c r="L566" s="116" t="s">
        <v>558</v>
      </c>
      <c r="M566" s="122" t="str">
        <f t="shared" si="11"/>
        <v>View on Google Map</v>
      </c>
    </row>
    <row r="567" spans="1:13" x14ac:dyDescent="0.2">
      <c r="A567" s="116">
        <v>526</v>
      </c>
      <c r="B567" s="116" t="s">
        <v>1683</v>
      </c>
      <c r="C567" s="116" t="s">
        <v>1669</v>
      </c>
      <c r="D567" s="116">
        <v>68.633232000000007</v>
      </c>
      <c r="E567" s="116">
        <v>-149.61149</v>
      </c>
      <c r="F567" s="116">
        <v>719</v>
      </c>
      <c r="G567" s="116" t="s">
        <v>569</v>
      </c>
      <c r="H567" s="116" t="s">
        <v>558</v>
      </c>
      <c r="I567" s="116" t="s">
        <v>558</v>
      </c>
      <c r="J567" s="116" t="s">
        <v>570</v>
      </c>
      <c r="K567" s="116" t="s">
        <v>558</v>
      </c>
      <c r="L567" s="116" t="s">
        <v>1670</v>
      </c>
      <c r="M567" s="122" t="str">
        <f t="shared" si="11"/>
        <v>View on Google Map</v>
      </c>
    </row>
    <row r="568" spans="1:13" x14ac:dyDescent="0.2">
      <c r="A568" s="116">
        <v>14</v>
      </c>
      <c r="B568" s="116" t="s">
        <v>1684</v>
      </c>
      <c r="C568" s="116" t="s">
        <v>558</v>
      </c>
      <c r="D568" s="116" t="s">
        <v>558</v>
      </c>
      <c r="E568" s="116" t="s">
        <v>558</v>
      </c>
      <c r="F568" s="116">
        <v>719</v>
      </c>
      <c r="G568" s="116" t="s">
        <v>583</v>
      </c>
      <c r="H568" s="116" t="s">
        <v>1685</v>
      </c>
      <c r="I568" s="116" t="s">
        <v>558</v>
      </c>
      <c r="J568" s="116" t="s">
        <v>584</v>
      </c>
      <c r="K568" s="116" t="s">
        <v>558</v>
      </c>
      <c r="L568" s="116" t="s">
        <v>558</v>
      </c>
      <c r="M568" s="122" t="str">
        <f t="shared" si="11"/>
        <v>View on Google Map</v>
      </c>
    </row>
    <row r="569" spans="1:13" x14ac:dyDescent="0.2">
      <c r="A569" s="116">
        <v>527</v>
      </c>
      <c r="B569" s="116" t="s">
        <v>1686</v>
      </c>
      <c r="C569" s="116" t="s">
        <v>1669</v>
      </c>
      <c r="D569" s="116">
        <v>68.639894999999996</v>
      </c>
      <c r="E569" s="116">
        <v>-149.59610599999999</v>
      </c>
      <c r="F569" s="116">
        <v>719</v>
      </c>
      <c r="G569" s="116" t="s">
        <v>569</v>
      </c>
      <c r="H569" s="116" t="s">
        <v>558</v>
      </c>
      <c r="I569" s="116" t="s">
        <v>558</v>
      </c>
      <c r="J569" s="116" t="s">
        <v>570</v>
      </c>
      <c r="K569" s="116" t="s">
        <v>558</v>
      </c>
      <c r="L569" s="116" t="s">
        <v>1670</v>
      </c>
      <c r="M569" s="122" t="str">
        <f t="shared" si="11"/>
        <v>View on Google Map</v>
      </c>
    </row>
    <row r="570" spans="1:13" x14ac:dyDescent="0.2">
      <c r="A570" s="116">
        <v>9</v>
      </c>
      <c r="B570" s="116" t="s">
        <v>1687</v>
      </c>
      <c r="C570" s="116" t="s">
        <v>558</v>
      </c>
      <c r="D570" s="116" t="s">
        <v>558</v>
      </c>
      <c r="E570" s="116" t="s">
        <v>558</v>
      </c>
      <c r="F570" s="116">
        <v>823</v>
      </c>
      <c r="G570" s="116" t="s">
        <v>583</v>
      </c>
      <c r="H570" s="116" t="s">
        <v>558</v>
      </c>
      <c r="I570" s="116" t="s">
        <v>558</v>
      </c>
      <c r="J570" s="116" t="s">
        <v>584</v>
      </c>
      <c r="K570" s="116" t="s">
        <v>558</v>
      </c>
      <c r="L570" s="116" t="s">
        <v>558</v>
      </c>
      <c r="M570" s="122" t="str">
        <f t="shared" si="11"/>
        <v>View on Google Map</v>
      </c>
    </row>
    <row r="571" spans="1:13" x14ac:dyDescent="0.2">
      <c r="A571" s="116">
        <v>22</v>
      </c>
      <c r="B571" s="116" t="s">
        <v>1688</v>
      </c>
      <c r="C571" s="116" t="s">
        <v>558</v>
      </c>
      <c r="D571" s="116" t="s">
        <v>558</v>
      </c>
      <c r="E571" s="116" t="s">
        <v>558</v>
      </c>
      <c r="F571" s="116" t="s">
        <v>558</v>
      </c>
      <c r="G571" s="116" t="s">
        <v>583</v>
      </c>
      <c r="H571" s="116" t="s">
        <v>1689</v>
      </c>
      <c r="I571" s="116" t="s">
        <v>558</v>
      </c>
      <c r="J571" s="116" t="s">
        <v>584</v>
      </c>
      <c r="K571" s="116" t="s">
        <v>558</v>
      </c>
      <c r="L571" s="116" t="s">
        <v>558</v>
      </c>
      <c r="M571" s="122" t="str">
        <f t="shared" si="11"/>
        <v>View on Google Map</v>
      </c>
    </row>
    <row r="572" spans="1:13" x14ac:dyDescent="0.2">
      <c r="A572" s="116">
        <v>528</v>
      </c>
      <c r="B572" s="116" t="s">
        <v>1690</v>
      </c>
      <c r="C572" s="116" t="s">
        <v>1669</v>
      </c>
      <c r="D572" s="116">
        <v>68.634241000000003</v>
      </c>
      <c r="E572" s="116">
        <v>-149.60275899999999</v>
      </c>
      <c r="F572" s="116">
        <v>719</v>
      </c>
      <c r="G572" s="116" t="s">
        <v>569</v>
      </c>
      <c r="H572" s="116" t="s">
        <v>558</v>
      </c>
      <c r="I572" s="116" t="s">
        <v>558</v>
      </c>
      <c r="J572" s="116" t="s">
        <v>570</v>
      </c>
      <c r="K572" s="116" t="s">
        <v>558</v>
      </c>
      <c r="L572" s="116" t="s">
        <v>1670</v>
      </c>
      <c r="M572" s="122" t="str">
        <f t="shared" si="11"/>
        <v>View on Google Map</v>
      </c>
    </row>
    <row r="573" spans="1:13" x14ac:dyDescent="0.2">
      <c r="A573" s="116">
        <v>521</v>
      </c>
      <c r="B573" s="116" t="s">
        <v>1691</v>
      </c>
      <c r="C573" s="116" t="s">
        <v>1669</v>
      </c>
      <c r="D573" s="116">
        <v>68.628656000000007</v>
      </c>
      <c r="E573" s="116">
        <v>-149.59960599999999</v>
      </c>
      <c r="F573" s="116">
        <v>719</v>
      </c>
      <c r="G573" s="116" t="s">
        <v>569</v>
      </c>
      <c r="H573" s="116" t="s">
        <v>558</v>
      </c>
      <c r="I573" s="116" t="s">
        <v>558</v>
      </c>
      <c r="J573" s="116" t="s">
        <v>570</v>
      </c>
      <c r="K573" s="116" t="s">
        <v>558</v>
      </c>
      <c r="L573" s="116" t="s">
        <v>1670</v>
      </c>
      <c r="M573" s="122" t="str">
        <f t="shared" si="11"/>
        <v>View on Google Map</v>
      </c>
    </row>
    <row r="574" spans="1:13" x14ac:dyDescent="0.2">
      <c r="A574" s="116">
        <v>520</v>
      </c>
      <c r="B574" s="116" t="s">
        <v>1692</v>
      </c>
      <c r="C574" s="116" t="s">
        <v>1669</v>
      </c>
      <c r="D574" s="116">
        <v>68.633064000000005</v>
      </c>
      <c r="E574" s="116">
        <v>-149.62826999999999</v>
      </c>
      <c r="F574" s="116">
        <v>719</v>
      </c>
      <c r="G574" s="116" t="s">
        <v>569</v>
      </c>
      <c r="H574" s="116" t="s">
        <v>558</v>
      </c>
      <c r="I574" s="116" t="s">
        <v>558</v>
      </c>
      <c r="J574" s="116" t="s">
        <v>570</v>
      </c>
      <c r="K574" s="116" t="s">
        <v>558</v>
      </c>
      <c r="L574" s="116" t="s">
        <v>1670</v>
      </c>
      <c r="M574" s="122" t="str">
        <f t="shared" si="11"/>
        <v>View on Google Map</v>
      </c>
    </row>
    <row r="575" spans="1:13" x14ac:dyDescent="0.2">
      <c r="B575" s="116" t="s">
        <v>1693</v>
      </c>
      <c r="C575" s="116" t="s">
        <v>955</v>
      </c>
      <c r="D575" s="116">
        <v>68.695505999999995</v>
      </c>
      <c r="E575" s="116">
        <v>-149.207807</v>
      </c>
      <c r="G575" s="116" t="s">
        <v>1095</v>
      </c>
      <c r="J575" s="35" t="s">
        <v>584</v>
      </c>
      <c r="M575" s="122" t="str">
        <f t="shared" si="11"/>
        <v>View on Google Map</v>
      </c>
    </row>
    <row r="576" spans="1:13" x14ac:dyDescent="0.2">
      <c r="B576" s="116" t="s">
        <v>1694</v>
      </c>
      <c r="C576" s="116" t="s">
        <v>955</v>
      </c>
      <c r="D576" s="116">
        <v>68.695696999999996</v>
      </c>
      <c r="E576" s="116">
        <v>-149.20482699999999</v>
      </c>
      <c r="G576" s="116" t="s">
        <v>1095</v>
      </c>
      <c r="J576" s="35" t="s">
        <v>584</v>
      </c>
      <c r="M576" s="122" t="str">
        <f t="shared" si="11"/>
        <v>View on Google Map</v>
      </c>
    </row>
    <row r="577" spans="1:13" x14ac:dyDescent="0.2">
      <c r="B577" s="116" t="s">
        <v>1695</v>
      </c>
      <c r="C577" s="116" t="s">
        <v>955</v>
      </c>
      <c r="D577" s="116">
        <v>68.690700000000007</v>
      </c>
      <c r="E577" s="116">
        <v>-149.208371</v>
      </c>
      <c r="G577" s="116" t="s">
        <v>1095</v>
      </c>
      <c r="J577" s="35" t="s">
        <v>584</v>
      </c>
      <c r="M577" s="122" t="str">
        <f t="shared" si="11"/>
        <v>View on Google Map</v>
      </c>
    </row>
    <row r="578" spans="1:13" x14ac:dyDescent="0.2">
      <c r="B578" s="116" t="s">
        <v>1696</v>
      </c>
      <c r="C578" s="116" t="s">
        <v>955</v>
      </c>
      <c r="D578" s="116">
        <v>68.693759</v>
      </c>
      <c r="E578" s="116">
        <v>-149.20405500000001</v>
      </c>
      <c r="G578" s="116" t="s">
        <v>1095</v>
      </c>
      <c r="J578" s="35" t="s">
        <v>584</v>
      </c>
      <c r="M578" s="122" t="str">
        <f t="shared" si="11"/>
        <v>View on Google Map</v>
      </c>
    </row>
    <row r="579" spans="1:13" x14ac:dyDescent="0.2">
      <c r="B579" s="116" t="s">
        <v>1697</v>
      </c>
      <c r="C579" s="116" t="s">
        <v>1698</v>
      </c>
      <c r="D579" s="116">
        <v>68.628228973000006</v>
      </c>
      <c r="E579" s="116">
        <v>-149.596001285</v>
      </c>
      <c r="F579" s="116">
        <v>726.5</v>
      </c>
      <c r="J579" s="116" t="s">
        <v>584</v>
      </c>
      <c r="M579" s="116" t="str">
        <f>HYPERLINK("http://maps.google.com/maps?q="&amp;D579&amp;","&amp;E579,"View on Google Map")</f>
        <v>View on Google Map</v>
      </c>
    </row>
    <row r="580" spans="1:13" x14ac:dyDescent="0.2">
      <c r="A580" s="116">
        <v>901</v>
      </c>
      <c r="B580" s="116" t="s">
        <v>1699</v>
      </c>
      <c r="C580" s="116" t="s">
        <v>1700</v>
      </c>
      <c r="D580" s="116" t="s">
        <v>558</v>
      </c>
      <c r="E580" s="116" t="s">
        <v>558</v>
      </c>
      <c r="F580" s="116" t="s">
        <v>558</v>
      </c>
      <c r="G580" s="116" t="s">
        <v>558</v>
      </c>
      <c r="H580" s="116" t="s">
        <v>1701</v>
      </c>
      <c r="I580" s="116" t="s">
        <v>558</v>
      </c>
      <c r="J580" s="35" t="s">
        <v>584</v>
      </c>
      <c r="K580" s="116" t="s">
        <v>558</v>
      </c>
      <c r="L580" s="116" t="s">
        <v>558</v>
      </c>
      <c r="M580" s="122" t="str">
        <f t="shared" ref="M580:M638" si="12">HYPERLINK("http://maps.google.com/maps?q="&amp;D580&amp;","&amp;E580,"View on Google Map")</f>
        <v>View on Google Map</v>
      </c>
    </row>
    <row r="581" spans="1:13" x14ac:dyDescent="0.2">
      <c r="A581" s="116">
        <v>902</v>
      </c>
      <c r="B581" s="116" t="s">
        <v>1702</v>
      </c>
      <c r="C581" s="116" t="s">
        <v>1700</v>
      </c>
      <c r="D581" s="116" t="s">
        <v>558</v>
      </c>
      <c r="E581" s="116" t="s">
        <v>558</v>
      </c>
      <c r="F581" s="116">
        <v>757</v>
      </c>
      <c r="G581" s="116" t="s">
        <v>559</v>
      </c>
      <c r="H581" s="116" t="s">
        <v>1703</v>
      </c>
      <c r="I581" s="116" t="s">
        <v>558</v>
      </c>
      <c r="J581" s="116" t="s">
        <v>584</v>
      </c>
      <c r="K581" s="116" t="s">
        <v>558</v>
      </c>
      <c r="L581" s="116" t="s">
        <v>558</v>
      </c>
      <c r="M581" s="122" t="str">
        <f t="shared" si="12"/>
        <v>View on Google Map</v>
      </c>
    </row>
    <row r="582" spans="1:13" x14ac:dyDescent="0.2">
      <c r="A582" s="116">
        <v>903</v>
      </c>
      <c r="B582" s="116" t="s">
        <v>1704</v>
      </c>
      <c r="C582" s="116" t="s">
        <v>1700</v>
      </c>
      <c r="D582" s="116" t="s">
        <v>558</v>
      </c>
      <c r="E582" s="116" t="s">
        <v>558</v>
      </c>
      <c r="F582" s="116">
        <v>770</v>
      </c>
      <c r="G582" s="116" t="s">
        <v>559</v>
      </c>
      <c r="H582" s="116" t="s">
        <v>1705</v>
      </c>
      <c r="I582" s="116" t="s">
        <v>558</v>
      </c>
      <c r="J582" s="116" t="s">
        <v>584</v>
      </c>
      <c r="K582" s="116" t="s">
        <v>558</v>
      </c>
      <c r="L582" s="116" t="s">
        <v>558</v>
      </c>
      <c r="M582" s="122" t="str">
        <f t="shared" si="12"/>
        <v>View on Google Map</v>
      </c>
    </row>
    <row r="583" spans="1:13" x14ac:dyDescent="0.2">
      <c r="A583" s="116">
        <v>904</v>
      </c>
      <c r="B583" s="116" t="s">
        <v>1706</v>
      </c>
      <c r="C583" s="116" t="s">
        <v>1700</v>
      </c>
      <c r="D583" s="116" t="s">
        <v>558</v>
      </c>
      <c r="E583" s="116" t="s">
        <v>558</v>
      </c>
      <c r="F583" s="116">
        <v>770</v>
      </c>
      <c r="G583" s="116" t="s">
        <v>559</v>
      </c>
      <c r="H583" s="116" t="s">
        <v>1707</v>
      </c>
      <c r="I583" s="116" t="s">
        <v>558</v>
      </c>
      <c r="J583" s="116" t="s">
        <v>584</v>
      </c>
      <c r="K583" s="116" t="s">
        <v>558</v>
      </c>
      <c r="L583" s="116" t="s">
        <v>558</v>
      </c>
      <c r="M583" s="122" t="str">
        <f t="shared" si="12"/>
        <v>View on Google Map</v>
      </c>
    </row>
    <row r="584" spans="1:13" x14ac:dyDescent="0.2">
      <c r="A584" s="116">
        <v>905</v>
      </c>
      <c r="B584" s="116" t="s">
        <v>1708</v>
      </c>
      <c r="C584" s="116" t="s">
        <v>1700</v>
      </c>
      <c r="D584" s="116" t="s">
        <v>558</v>
      </c>
      <c r="E584" s="116" t="s">
        <v>558</v>
      </c>
      <c r="F584" s="116">
        <v>769</v>
      </c>
      <c r="G584" s="116" t="s">
        <v>559</v>
      </c>
      <c r="H584" s="116" t="s">
        <v>1709</v>
      </c>
      <c r="I584" s="116" t="s">
        <v>558</v>
      </c>
      <c r="J584" s="116" t="s">
        <v>584</v>
      </c>
      <c r="K584" s="116" t="s">
        <v>558</v>
      </c>
      <c r="L584" s="116" t="s">
        <v>558</v>
      </c>
      <c r="M584" s="122" t="str">
        <f t="shared" si="12"/>
        <v>View on Google Map</v>
      </c>
    </row>
    <row r="585" spans="1:13" x14ac:dyDescent="0.2">
      <c r="A585" s="116">
        <v>906</v>
      </c>
      <c r="B585" s="116" t="s">
        <v>1710</v>
      </c>
      <c r="C585" s="116" t="s">
        <v>1700</v>
      </c>
      <c r="D585" s="116" t="s">
        <v>558</v>
      </c>
      <c r="E585" s="116" t="s">
        <v>558</v>
      </c>
      <c r="F585" s="116">
        <v>769</v>
      </c>
      <c r="G585" s="116" t="s">
        <v>559</v>
      </c>
      <c r="H585" s="116" t="s">
        <v>1711</v>
      </c>
      <c r="I585" s="116" t="s">
        <v>558</v>
      </c>
      <c r="J585" s="116" t="s">
        <v>584</v>
      </c>
      <c r="K585" s="116" t="s">
        <v>558</v>
      </c>
      <c r="L585" s="116" t="s">
        <v>558</v>
      </c>
      <c r="M585" s="122" t="str">
        <f t="shared" si="12"/>
        <v>View on Google Map</v>
      </c>
    </row>
    <row r="586" spans="1:13" x14ac:dyDescent="0.2">
      <c r="A586" s="116">
        <v>907</v>
      </c>
      <c r="B586" s="116" t="s">
        <v>1712</v>
      </c>
      <c r="C586" s="116" t="s">
        <v>1700</v>
      </c>
      <c r="D586" s="116" t="s">
        <v>558</v>
      </c>
      <c r="E586" s="116" t="s">
        <v>558</v>
      </c>
      <c r="F586" s="116">
        <v>770</v>
      </c>
      <c r="G586" s="116" t="s">
        <v>559</v>
      </c>
      <c r="H586" s="116" t="s">
        <v>1713</v>
      </c>
      <c r="I586" s="116" t="s">
        <v>558</v>
      </c>
      <c r="J586" s="116" t="s">
        <v>584</v>
      </c>
      <c r="K586" s="116" t="s">
        <v>558</v>
      </c>
      <c r="L586" s="116" t="s">
        <v>558</v>
      </c>
      <c r="M586" s="122" t="str">
        <f t="shared" si="12"/>
        <v>View on Google Map</v>
      </c>
    </row>
    <row r="587" spans="1:13" x14ac:dyDescent="0.2">
      <c r="A587" s="116">
        <v>908</v>
      </c>
      <c r="B587" s="116" t="s">
        <v>1714</v>
      </c>
      <c r="C587" s="116" t="s">
        <v>1700</v>
      </c>
      <c r="D587" s="116" t="s">
        <v>558</v>
      </c>
      <c r="E587" s="116" t="s">
        <v>558</v>
      </c>
      <c r="F587" s="116">
        <v>770</v>
      </c>
      <c r="G587" s="116" t="s">
        <v>559</v>
      </c>
      <c r="H587" s="116" t="s">
        <v>1715</v>
      </c>
      <c r="I587" s="116" t="s">
        <v>558</v>
      </c>
      <c r="J587" s="116" t="s">
        <v>584</v>
      </c>
      <c r="K587" s="116" t="s">
        <v>558</v>
      </c>
      <c r="L587" s="116" t="s">
        <v>558</v>
      </c>
      <c r="M587" s="122" t="str">
        <f t="shared" si="12"/>
        <v>View on Google Map</v>
      </c>
    </row>
    <row r="588" spans="1:13" x14ac:dyDescent="0.2">
      <c r="A588" s="116">
        <v>909</v>
      </c>
      <c r="B588" s="116" t="s">
        <v>1716</v>
      </c>
      <c r="C588" s="116" t="s">
        <v>1700</v>
      </c>
      <c r="D588" s="116" t="s">
        <v>558</v>
      </c>
      <c r="E588" s="116" t="s">
        <v>558</v>
      </c>
      <c r="F588" s="116">
        <v>764</v>
      </c>
      <c r="G588" s="116" t="s">
        <v>559</v>
      </c>
      <c r="H588" s="116" t="s">
        <v>1717</v>
      </c>
      <c r="I588" s="116" t="s">
        <v>558</v>
      </c>
      <c r="J588" s="116" t="s">
        <v>584</v>
      </c>
      <c r="K588" s="116" t="s">
        <v>558</v>
      </c>
      <c r="L588" s="116" t="s">
        <v>558</v>
      </c>
      <c r="M588" s="122" t="str">
        <f t="shared" si="12"/>
        <v>View on Google Map</v>
      </c>
    </row>
    <row r="589" spans="1:13" x14ac:dyDescent="0.2">
      <c r="A589" s="116">
        <v>910</v>
      </c>
      <c r="B589" s="116" t="s">
        <v>1718</v>
      </c>
      <c r="C589" s="116" t="s">
        <v>1700</v>
      </c>
      <c r="D589" s="116" t="s">
        <v>558</v>
      </c>
      <c r="E589" s="116" t="s">
        <v>558</v>
      </c>
      <c r="F589" s="116">
        <v>764</v>
      </c>
      <c r="G589" s="116" t="s">
        <v>559</v>
      </c>
      <c r="H589" s="116" t="s">
        <v>1719</v>
      </c>
      <c r="I589" s="116" t="s">
        <v>558</v>
      </c>
      <c r="J589" s="116" t="s">
        <v>584</v>
      </c>
      <c r="K589" s="116" t="s">
        <v>558</v>
      </c>
      <c r="L589" s="116" t="s">
        <v>558</v>
      </c>
      <c r="M589" s="122" t="str">
        <f t="shared" si="12"/>
        <v>View on Google Map</v>
      </c>
    </row>
    <row r="590" spans="1:13" x14ac:dyDescent="0.2">
      <c r="A590" s="116">
        <v>911</v>
      </c>
      <c r="B590" s="116" t="s">
        <v>1720</v>
      </c>
      <c r="C590" s="116" t="s">
        <v>1700</v>
      </c>
      <c r="D590" s="116" t="s">
        <v>558</v>
      </c>
      <c r="E590" s="116" t="s">
        <v>558</v>
      </c>
      <c r="F590" s="116">
        <v>760</v>
      </c>
      <c r="G590" s="116" t="s">
        <v>559</v>
      </c>
      <c r="H590" s="116" t="s">
        <v>1721</v>
      </c>
      <c r="I590" s="116" t="s">
        <v>558</v>
      </c>
      <c r="J590" s="116" t="s">
        <v>584</v>
      </c>
      <c r="K590" s="116" t="s">
        <v>558</v>
      </c>
      <c r="L590" s="116" t="s">
        <v>558</v>
      </c>
      <c r="M590" s="122" t="str">
        <f t="shared" si="12"/>
        <v>View on Google Map</v>
      </c>
    </row>
    <row r="591" spans="1:13" x14ac:dyDescent="0.2">
      <c r="A591" s="116">
        <v>912</v>
      </c>
      <c r="B591" s="116" t="s">
        <v>1722</v>
      </c>
      <c r="C591" s="116" t="s">
        <v>1700</v>
      </c>
      <c r="D591" s="116" t="s">
        <v>558</v>
      </c>
      <c r="E591" s="116" t="s">
        <v>558</v>
      </c>
      <c r="F591" s="116">
        <v>760</v>
      </c>
      <c r="G591" s="116" t="s">
        <v>559</v>
      </c>
      <c r="H591" s="116" t="s">
        <v>1723</v>
      </c>
      <c r="I591" s="116" t="s">
        <v>558</v>
      </c>
      <c r="J591" s="116" t="s">
        <v>584</v>
      </c>
      <c r="K591" s="116" t="s">
        <v>558</v>
      </c>
      <c r="L591" s="116" t="s">
        <v>558</v>
      </c>
      <c r="M591" s="122" t="str">
        <f t="shared" si="12"/>
        <v>View on Google Map</v>
      </c>
    </row>
    <row r="592" spans="1:13" x14ac:dyDescent="0.2">
      <c r="A592" s="116">
        <v>913</v>
      </c>
      <c r="B592" s="116" t="s">
        <v>1724</v>
      </c>
      <c r="C592" s="116" t="s">
        <v>1700</v>
      </c>
      <c r="D592" s="116" t="s">
        <v>558</v>
      </c>
      <c r="E592" s="116" t="s">
        <v>558</v>
      </c>
      <c r="F592" s="116">
        <v>759</v>
      </c>
      <c r="G592" s="116" t="s">
        <v>559</v>
      </c>
      <c r="H592" s="116" t="s">
        <v>1725</v>
      </c>
      <c r="I592" s="116" t="s">
        <v>558</v>
      </c>
      <c r="J592" s="116" t="s">
        <v>584</v>
      </c>
      <c r="K592" s="116" t="s">
        <v>558</v>
      </c>
      <c r="L592" s="116" t="s">
        <v>558</v>
      </c>
      <c r="M592" s="122" t="str">
        <f t="shared" si="12"/>
        <v>View on Google Map</v>
      </c>
    </row>
    <row r="593" spans="1:13" x14ac:dyDescent="0.2">
      <c r="A593" s="116">
        <v>914</v>
      </c>
      <c r="B593" s="116" t="s">
        <v>1726</v>
      </c>
      <c r="C593" s="116" t="s">
        <v>1700</v>
      </c>
      <c r="D593" s="116" t="s">
        <v>558</v>
      </c>
      <c r="E593" s="116" t="s">
        <v>558</v>
      </c>
      <c r="F593" s="116">
        <v>758</v>
      </c>
      <c r="G593" s="116" t="s">
        <v>559</v>
      </c>
      <c r="H593" s="116" t="s">
        <v>1727</v>
      </c>
      <c r="I593" s="116" t="s">
        <v>558</v>
      </c>
      <c r="J593" s="116" t="s">
        <v>584</v>
      </c>
      <c r="K593" s="116" t="s">
        <v>558</v>
      </c>
      <c r="L593" s="116" t="s">
        <v>558</v>
      </c>
      <c r="M593" s="122" t="str">
        <f t="shared" si="12"/>
        <v>View on Google Map</v>
      </c>
    </row>
    <row r="594" spans="1:13" x14ac:dyDescent="0.2">
      <c r="A594" s="116">
        <v>915</v>
      </c>
      <c r="B594" s="116" t="s">
        <v>1728</v>
      </c>
      <c r="C594" s="116" t="s">
        <v>1729</v>
      </c>
      <c r="D594" s="116">
        <v>68.627900999999994</v>
      </c>
      <c r="E594" s="116">
        <v>-149.61295100000001</v>
      </c>
      <c r="F594" s="116">
        <v>759</v>
      </c>
      <c r="G594" s="116" t="s">
        <v>559</v>
      </c>
      <c r="H594" s="116" t="s">
        <v>1730</v>
      </c>
      <c r="I594" s="116" t="s">
        <v>1731</v>
      </c>
      <c r="J594" s="116" t="s">
        <v>584</v>
      </c>
      <c r="K594" s="116" t="s">
        <v>558</v>
      </c>
      <c r="L594" s="116" t="s">
        <v>558</v>
      </c>
      <c r="M594" s="122" t="str">
        <f t="shared" si="12"/>
        <v>View on Google Map</v>
      </c>
    </row>
    <row r="595" spans="1:13" x14ac:dyDescent="0.2">
      <c r="A595" s="116">
        <v>900</v>
      </c>
      <c r="B595" s="116" t="s">
        <v>1732</v>
      </c>
      <c r="C595" s="116" t="s">
        <v>558</v>
      </c>
      <c r="D595" s="116">
        <v>68.623487999999995</v>
      </c>
      <c r="E595" s="116">
        <v>-149.616559</v>
      </c>
      <c r="F595" s="116">
        <v>761</v>
      </c>
      <c r="G595" s="116" t="s">
        <v>559</v>
      </c>
      <c r="H595" s="116" t="s">
        <v>1733</v>
      </c>
      <c r="I595" s="116" t="s">
        <v>1734</v>
      </c>
      <c r="J595" s="116" t="s">
        <v>584</v>
      </c>
      <c r="K595" s="116" t="s">
        <v>558</v>
      </c>
      <c r="L595" s="116" t="s">
        <v>558</v>
      </c>
      <c r="M595" s="122" t="str">
        <f t="shared" si="12"/>
        <v>View on Google Map</v>
      </c>
    </row>
    <row r="596" spans="1:13" x14ac:dyDescent="0.2">
      <c r="B596" s="116" t="s">
        <v>1735</v>
      </c>
      <c r="C596" s="116" t="s">
        <v>1170</v>
      </c>
      <c r="D596" s="116">
        <v>68.549263888888888</v>
      </c>
      <c r="E596" s="116">
        <v>-149.306022222222</v>
      </c>
      <c r="G596" s="116" t="s">
        <v>1095</v>
      </c>
      <c r="J596" s="35" t="s">
        <v>584</v>
      </c>
      <c r="M596" s="122" t="str">
        <f t="shared" si="12"/>
        <v>View on Google Map</v>
      </c>
    </row>
    <row r="597" spans="1:13" x14ac:dyDescent="0.2">
      <c r="B597" s="116" t="s">
        <v>1736</v>
      </c>
      <c r="C597" s="116" t="s">
        <v>1170</v>
      </c>
      <c r="D597" s="116">
        <v>68.550188888888883</v>
      </c>
      <c r="E597" s="116">
        <v>-149.310305555556</v>
      </c>
      <c r="G597" s="116" t="s">
        <v>1095</v>
      </c>
      <c r="J597" s="35" t="s">
        <v>584</v>
      </c>
      <c r="M597" s="122" t="str">
        <f t="shared" si="12"/>
        <v>View on Google Map</v>
      </c>
    </row>
    <row r="598" spans="1:13" x14ac:dyDescent="0.2">
      <c r="B598" s="116" t="s">
        <v>1737</v>
      </c>
      <c r="C598" s="116" t="s">
        <v>1170</v>
      </c>
      <c r="D598" s="116">
        <v>68.549108333333336</v>
      </c>
      <c r="E598" s="116">
        <v>-149.30837777777799</v>
      </c>
      <c r="G598" s="116" t="s">
        <v>1095</v>
      </c>
      <c r="J598" s="35" t="s">
        <v>584</v>
      </c>
      <c r="M598" s="122" t="str">
        <f t="shared" si="12"/>
        <v>View on Google Map</v>
      </c>
    </row>
    <row r="599" spans="1:13" x14ac:dyDescent="0.2">
      <c r="A599" s="116">
        <v>42</v>
      </c>
      <c r="B599" s="116" t="s">
        <v>1738</v>
      </c>
      <c r="C599" s="116" t="s">
        <v>558</v>
      </c>
      <c r="D599" s="116">
        <v>68.960555999999997</v>
      </c>
      <c r="E599" s="116">
        <v>-150.63055600000001</v>
      </c>
      <c r="F599" s="116" t="s">
        <v>558</v>
      </c>
      <c r="G599" s="116" t="s">
        <v>583</v>
      </c>
      <c r="H599" s="116" t="s">
        <v>1739</v>
      </c>
      <c r="I599" s="116" t="s">
        <v>558</v>
      </c>
      <c r="J599" s="116" t="s">
        <v>1569</v>
      </c>
      <c r="K599" s="116" t="s">
        <v>558</v>
      </c>
      <c r="L599" s="116" t="s">
        <v>566</v>
      </c>
      <c r="M599" s="122" t="str">
        <f t="shared" si="12"/>
        <v>View on Google Map</v>
      </c>
    </row>
    <row r="600" spans="1:13" x14ac:dyDescent="0.2">
      <c r="A600" s="116">
        <v>43</v>
      </c>
      <c r="B600" s="116" t="s">
        <v>1740</v>
      </c>
      <c r="C600" s="116" t="s">
        <v>558</v>
      </c>
      <c r="D600" s="116">
        <v>68.935101000000003</v>
      </c>
      <c r="E600" s="116">
        <v>-150.68391700000001</v>
      </c>
      <c r="F600" s="116" t="s">
        <v>558</v>
      </c>
      <c r="G600" s="116" t="s">
        <v>583</v>
      </c>
      <c r="H600" s="116" t="s">
        <v>1741</v>
      </c>
      <c r="I600" s="116" t="s">
        <v>558</v>
      </c>
      <c r="J600" s="116" t="s">
        <v>1569</v>
      </c>
      <c r="K600" s="116" t="s">
        <v>558</v>
      </c>
      <c r="L600" s="116" t="s">
        <v>566</v>
      </c>
      <c r="M600" s="122" t="str">
        <f t="shared" si="12"/>
        <v>View on Google Map</v>
      </c>
    </row>
    <row r="601" spans="1:13" x14ac:dyDescent="0.2">
      <c r="A601" s="116">
        <v>44</v>
      </c>
      <c r="B601" s="116" t="s">
        <v>1742</v>
      </c>
      <c r="C601" s="116" t="s">
        <v>558</v>
      </c>
      <c r="D601" s="116">
        <v>68.916987000000006</v>
      </c>
      <c r="E601" s="116">
        <v>-150.659291</v>
      </c>
      <c r="F601" s="116" t="s">
        <v>558</v>
      </c>
      <c r="G601" s="116" t="s">
        <v>583</v>
      </c>
      <c r="H601" s="116" t="s">
        <v>1743</v>
      </c>
      <c r="I601" s="116" t="s">
        <v>558</v>
      </c>
      <c r="J601" s="116" t="s">
        <v>1569</v>
      </c>
      <c r="K601" s="116" t="s">
        <v>558</v>
      </c>
      <c r="L601" s="116" t="s">
        <v>566</v>
      </c>
      <c r="M601" s="122" t="str">
        <f t="shared" si="12"/>
        <v>View on Google Map</v>
      </c>
    </row>
    <row r="602" spans="1:13" x14ac:dyDescent="0.2">
      <c r="B602" s="116" t="s">
        <v>1744</v>
      </c>
      <c r="C602" s="116" t="s">
        <v>1571</v>
      </c>
      <c r="D602" s="116">
        <v>69.132777777777775</v>
      </c>
      <c r="E602" s="116">
        <v>-150.710833333333</v>
      </c>
      <c r="G602" s="116" t="s">
        <v>577</v>
      </c>
      <c r="J602" s="116" t="s">
        <v>565</v>
      </c>
      <c r="L602" s="116" t="s">
        <v>566</v>
      </c>
      <c r="M602" s="122" t="str">
        <f t="shared" si="12"/>
        <v>View on Google Map</v>
      </c>
    </row>
    <row r="603" spans="1:13" x14ac:dyDescent="0.2">
      <c r="B603" s="116" t="s">
        <v>1745</v>
      </c>
      <c r="C603" s="116" t="s">
        <v>955</v>
      </c>
      <c r="D603" s="116">
        <v>69.13944444444445</v>
      </c>
      <c r="E603" s="116">
        <v>-150.68388888888899</v>
      </c>
      <c r="G603" s="116" t="s">
        <v>577</v>
      </c>
      <c r="J603" s="116" t="s">
        <v>565</v>
      </c>
      <c r="L603" s="116" t="s">
        <v>566</v>
      </c>
      <c r="M603" s="122" t="str">
        <f t="shared" si="12"/>
        <v>View on Google Map</v>
      </c>
    </row>
    <row r="604" spans="1:13" x14ac:dyDescent="0.2">
      <c r="B604" s="116" t="s">
        <v>1746</v>
      </c>
      <c r="C604" s="116" t="s">
        <v>1571</v>
      </c>
      <c r="D604" s="116">
        <v>68.960833333333341</v>
      </c>
      <c r="E604" s="116">
        <v>-150.719722222222</v>
      </c>
      <c r="G604" s="116" t="s">
        <v>577</v>
      </c>
      <c r="J604" s="116" t="s">
        <v>565</v>
      </c>
      <c r="L604" s="116" t="s">
        <v>566</v>
      </c>
      <c r="M604" s="122" t="str">
        <f t="shared" si="12"/>
        <v>View on Google Map</v>
      </c>
    </row>
    <row r="605" spans="1:13" x14ac:dyDescent="0.2">
      <c r="B605" s="116" t="s">
        <v>1747</v>
      </c>
      <c r="C605" s="116" t="s">
        <v>955</v>
      </c>
      <c r="D605" s="116">
        <v>69.055277777777775</v>
      </c>
      <c r="E605" s="116">
        <v>-150.80972222222201</v>
      </c>
      <c r="G605" s="116" t="s">
        <v>577</v>
      </c>
      <c r="J605" s="116" t="s">
        <v>565</v>
      </c>
      <c r="L605" s="116" t="s">
        <v>566</v>
      </c>
      <c r="M605" s="122" t="str">
        <f t="shared" si="12"/>
        <v>View on Google Map</v>
      </c>
    </row>
    <row r="606" spans="1:13" x14ac:dyDescent="0.2">
      <c r="A606" s="116">
        <v>932</v>
      </c>
      <c r="B606" s="116" t="s">
        <v>1748</v>
      </c>
      <c r="C606" s="116" t="s">
        <v>558</v>
      </c>
      <c r="D606" s="116" t="s">
        <v>558</v>
      </c>
      <c r="E606" s="116" t="s">
        <v>558</v>
      </c>
      <c r="F606" s="116">
        <v>750</v>
      </c>
      <c r="G606" s="116" t="s">
        <v>559</v>
      </c>
      <c r="H606" s="116" t="s">
        <v>1749</v>
      </c>
      <c r="I606" s="116" t="s">
        <v>1750</v>
      </c>
      <c r="J606" s="116" t="s">
        <v>584</v>
      </c>
      <c r="K606" s="116" t="s">
        <v>558</v>
      </c>
      <c r="L606" s="116" t="s">
        <v>558</v>
      </c>
      <c r="M606" s="122" t="str">
        <f t="shared" si="12"/>
        <v>View on Google Map</v>
      </c>
    </row>
    <row r="607" spans="1:13" x14ac:dyDescent="0.2">
      <c r="A607" s="116">
        <v>920</v>
      </c>
      <c r="B607" s="116" t="s">
        <v>1751</v>
      </c>
      <c r="C607" s="116" t="s">
        <v>558</v>
      </c>
      <c r="D607" s="116" t="s">
        <v>558</v>
      </c>
      <c r="E607" s="116" t="s">
        <v>558</v>
      </c>
      <c r="F607" s="116">
        <v>760</v>
      </c>
      <c r="G607" s="116" t="s">
        <v>559</v>
      </c>
      <c r="H607" s="116" t="s">
        <v>1752</v>
      </c>
      <c r="I607" s="116" t="s">
        <v>1753</v>
      </c>
      <c r="J607" s="116" t="s">
        <v>584</v>
      </c>
      <c r="K607" s="116" t="s">
        <v>558</v>
      </c>
      <c r="L607" s="116" t="s">
        <v>558</v>
      </c>
      <c r="M607" s="122" t="str">
        <f t="shared" si="12"/>
        <v>View on Google Map</v>
      </c>
    </row>
    <row r="608" spans="1:13" x14ac:dyDescent="0.2">
      <c r="A608" s="116">
        <v>921</v>
      </c>
      <c r="B608" s="116" t="s">
        <v>1754</v>
      </c>
      <c r="C608" s="116" t="s">
        <v>558</v>
      </c>
      <c r="D608" s="116" t="s">
        <v>558</v>
      </c>
      <c r="E608" s="116" t="s">
        <v>558</v>
      </c>
      <c r="F608" s="116">
        <v>720</v>
      </c>
      <c r="G608" s="116" t="s">
        <v>559</v>
      </c>
      <c r="H608" s="116" t="s">
        <v>1755</v>
      </c>
      <c r="I608" s="116" t="s">
        <v>1756</v>
      </c>
      <c r="J608" s="116" t="s">
        <v>584</v>
      </c>
      <c r="K608" s="116" t="s">
        <v>558</v>
      </c>
      <c r="L608" s="116" t="s">
        <v>558</v>
      </c>
      <c r="M608" s="122" t="str">
        <f t="shared" si="12"/>
        <v>View on Google Map</v>
      </c>
    </row>
    <row r="609" spans="1:13" x14ac:dyDescent="0.2">
      <c r="A609" s="116">
        <v>922</v>
      </c>
      <c r="B609" s="116" t="s">
        <v>1757</v>
      </c>
      <c r="C609" s="116" t="s">
        <v>558</v>
      </c>
      <c r="D609" s="116" t="s">
        <v>558</v>
      </c>
      <c r="E609" s="116" t="s">
        <v>558</v>
      </c>
      <c r="F609" s="116">
        <v>750</v>
      </c>
      <c r="G609" s="116" t="s">
        <v>559</v>
      </c>
      <c r="H609" s="116" t="s">
        <v>1758</v>
      </c>
      <c r="I609" s="116" t="s">
        <v>1759</v>
      </c>
      <c r="J609" s="116" t="s">
        <v>584</v>
      </c>
      <c r="K609" s="116" t="s">
        <v>558</v>
      </c>
      <c r="L609" s="116" t="s">
        <v>558</v>
      </c>
      <c r="M609" s="122" t="str">
        <f t="shared" si="12"/>
        <v>View on Google Map</v>
      </c>
    </row>
    <row r="610" spans="1:13" x14ac:dyDescent="0.2">
      <c r="A610" s="116">
        <v>923</v>
      </c>
      <c r="B610" s="116" t="s">
        <v>1760</v>
      </c>
      <c r="C610" s="116" t="s">
        <v>558</v>
      </c>
      <c r="D610" s="116" t="s">
        <v>558</v>
      </c>
      <c r="E610" s="116" t="s">
        <v>558</v>
      </c>
      <c r="F610" s="116">
        <v>750</v>
      </c>
      <c r="G610" s="116" t="s">
        <v>559</v>
      </c>
      <c r="H610" s="116" t="s">
        <v>1761</v>
      </c>
      <c r="I610" s="116" t="s">
        <v>1762</v>
      </c>
      <c r="J610" s="116" t="s">
        <v>584</v>
      </c>
      <c r="K610" s="116" t="s">
        <v>558</v>
      </c>
      <c r="L610" s="116" t="s">
        <v>558</v>
      </c>
      <c r="M610" s="122" t="str">
        <f t="shared" si="12"/>
        <v>View on Google Map</v>
      </c>
    </row>
    <row r="611" spans="1:13" x14ac:dyDescent="0.2">
      <c r="A611" s="116">
        <v>924</v>
      </c>
      <c r="B611" s="116" t="s">
        <v>1763</v>
      </c>
      <c r="C611" s="116" t="s">
        <v>558</v>
      </c>
      <c r="D611" s="116" t="s">
        <v>558</v>
      </c>
      <c r="E611" s="116" t="s">
        <v>558</v>
      </c>
      <c r="F611" s="116">
        <v>750</v>
      </c>
      <c r="G611" s="116" t="s">
        <v>559</v>
      </c>
      <c r="H611" s="116" t="s">
        <v>1764</v>
      </c>
      <c r="I611" s="116" t="s">
        <v>1765</v>
      </c>
      <c r="J611" s="116" t="s">
        <v>584</v>
      </c>
      <c r="K611" s="116" t="s">
        <v>558</v>
      </c>
      <c r="L611" s="116" t="s">
        <v>558</v>
      </c>
      <c r="M611" s="122" t="str">
        <f t="shared" si="12"/>
        <v>View on Google Map</v>
      </c>
    </row>
    <row r="612" spans="1:13" x14ac:dyDescent="0.2">
      <c r="A612" s="116">
        <v>925</v>
      </c>
      <c r="B612" s="116" t="s">
        <v>1766</v>
      </c>
      <c r="C612" s="116" t="s">
        <v>558</v>
      </c>
      <c r="D612" s="116" t="s">
        <v>558</v>
      </c>
      <c r="E612" s="116" t="s">
        <v>558</v>
      </c>
      <c r="F612" s="116">
        <v>750</v>
      </c>
      <c r="G612" s="116" t="s">
        <v>559</v>
      </c>
      <c r="H612" s="116" t="s">
        <v>1767</v>
      </c>
      <c r="I612" s="116" t="s">
        <v>1768</v>
      </c>
      <c r="J612" s="116" t="s">
        <v>584</v>
      </c>
      <c r="K612" s="116" t="s">
        <v>558</v>
      </c>
      <c r="L612" s="116" t="s">
        <v>558</v>
      </c>
      <c r="M612" s="122" t="str">
        <f t="shared" si="12"/>
        <v>View on Google Map</v>
      </c>
    </row>
    <row r="613" spans="1:13" x14ac:dyDescent="0.2">
      <c r="A613" s="116">
        <v>926</v>
      </c>
      <c r="B613" s="116" t="s">
        <v>1769</v>
      </c>
      <c r="C613" s="116" t="s">
        <v>558</v>
      </c>
      <c r="D613" s="116" t="s">
        <v>558</v>
      </c>
      <c r="E613" s="116" t="s">
        <v>558</v>
      </c>
      <c r="F613" s="116">
        <v>750</v>
      </c>
      <c r="G613" s="116" t="s">
        <v>559</v>
      </c>
      <c r="H613" s="116" t="s">
        <v>1770</v>
      </c>
      <c r="I613" s="116" t="s">
        <v>1771</v>
      </c>
      <c r="J613" s="116" t="s">
        <v>584</v>
      </c>
      <c r="K613" s="116" t="s">
        <v>558</v>
      </c>
      <c r="L613" s="116" t="s">
        <v>558</v>
      </c>
      <c r="M613" s="122" t="str">
        <f t="shared" si="12"/>
        <v>View on Google Map</v>
      </c>
    </row>
    <row r="614" spans="1:13" x14ac:dyDescent="0.2">
      <c r="A614" s="116">
        <v>927</v>
      </c>
      <c r="B614" s="116" t="s">
        <v>1772</v>
      </c>
      <c r="C614" s="116" t="s">
        <v>558</v>
      </c>
      <c r="D614" s="116" t="s">
        <v>558</v>
      </c>
      <c r="E614" s="116" t="s">
        <v>558</v>
      </c>
      <c r="F614" s="116">
        <v>750</v>
      </c>
      <c r="G614" s="116" t="s">
        <v>559</v>
      </c>
      <c r="H614" s="116" t="s">
        <v>1773</v>
      </c>
      <c r="I614" s="116" t="s">
        <v>1774</v>
      </c>
      <c r="J614" s="116" t="s">
        <v>584</v>
      </c>
      <c r="K614" s="116" t="s">
        <v>558</v>
      </c>
      <c r="L614" s="116" t="s">
        <v>558</v>
      </c>
      <c r="M614" s="122" t="str">
        <f t="shared" si="12"/>
        <v>View on Google Map</v>
      </c>
    </row>
    <row r="615" spans="1:13" x14ac:dyDescent="0.2">
      <c r="A615" s="116">
        <v>928</v>
      </c>
      <c r="B615" s="116" t="s">
        <v>1775</v>
      </c>
      <c r="C615" s="116" t="s">
        <v>558</v>
      </c>
      <c r="D615" s="116" t="s">
        <v>558</v>
      </c>
      <c r="E615" s="116" t="s">
        <v>558</v>
      </c>
      <c r="F615" s="116">
        <v>750</v>
      </c>
      <c r="G615" s="116" t="s">
        <v>559</v>
      </c>
      <c r="H615" s="116" t="s">
        <v>1776</v>
      </c>
      <c r="I615" s="116" t="s">
        <v>1777</v>
      </c>
      <c r="J615" s="116" t="s">
        <v>584</v>
      </c>
      <c r="K615" s="116" t="s">
        <v>558</v>
      </c>
      <c r="L615" s="116" t="s">
        <v>558</v>
      </c>
      <c r="M615" s="122" t="str">
        <f t="shared" si="12"/>
        <v>View on Google Map</v>
      </c>
    </row>
    <row r="616" spans="1:13" x14ac:dyDescent="0.2">
      <c r="A616" s="116">
        <v>929</v>
      </c>
      <c r="B616" s="116" t="s">
        <v>1778</v>
      </c>
      <c r="C616" s="116" t="s">
        <v>558</v>
      </c>
      <c r="D616" s="116" t="s">
        <v>558</v>
      </c>
      <c r="E616" s="116" t="s">
        <v>558</v>
      </c>
      <c r="F616" s="116">
        <v>750</v>
      </c>
      <c r="G616" s="116" t="s">
        <v>559</v>
      </c>
      <c r="H616" s="116" t="s">
        <v>1779</v>
      </c>
      <c r="I616" s="116" t="s">
        <v>1780</v>
      </c>
      <c r="J616" s="116" t="s">
        <v>584</v>
      </c>
      <c r="K616" s="116" t="s">
        <v>558</v>
      </c>
      <c r="L616" s="116" t="s">
        <v>558</v>
      </c>
      <c r="M616" s="122" t="str">
        <f t="shared" si="12"/>
        <v>View on Google Map</v>
      </c>
    </row>
    <row r="617" spans="1:13" x14ac:dyDescent="0.2">
      <c r="A617" s="116">
        <v>930</v>
      </c>
      <c r="B617" s="116" t="s">
        <v>1781</v>
      </c>
      <c r="C617" s="116" t="s">
        <v>558</v>
      </c>
      <c r="D617" s="116" t="s">
        <v>558</v>
      </c>
      <c r="E617" s="116" t="s">
        <v>558</v>
      </c>
      <c r="F617" s="116">
        <v>750</v>
      </c>
      <c r="G617" s="116" t="s">
        <v>559</v>
      </c>
      <c r="H617" s="116" t="s">
        <v>1782</v>
      </c>
      <c r="I617" s="116" t="s">
        <v>1783</v>
      </c>
      <c r="J617" s="116" t="s">
        <v>584</v>
      </c>
      <c r="K617" s="116" t="s">
        <v>558</v>
      </c>
      <c r="L617" s="116" t="s">
        <v>558</v>
      </c>
      <c r="M617" s="122" t="str">
        <f t="shared" si="12"/>
        <v>View on Google Map</v>
      </c>
    </row>
    <row r="618" spans="1:13" x14ac:dyDescent="0.2">
      <c r="A618" s="116">
        <v>931</v>
      </c>
      <c r="B618" s="116" t="s">
        <v>1784</v>
      </c>
      <c r="C618" s="116" t="s">
        <v>558</v>
      </c>
      <c r="D618" s="116" t="s">
        <v>558</v>
      </c>
      <c r="E618" s="116" t="s">
        <v>558</v>
      </c>
      <c r="F618" s="116">
        <v>750</v>
      </c>
      <c r="G618" s="116" t="s">
        <v>559</v>
      </c>
      <c r="H618" s="116" t="s">
        <v>1785</v>
      </c>
      <c r="I618" s="116" t="s">
        <v>1786</v>
      </c>
      <c r="J618" s="116" t="s">
        <v>584</v>
      </c>
      <c r="K618" s="116" t="s">
        <v>558</v>
      </c>
      <c r="L618" s="116" t="s">
        <v>558</v>
      </c>
      <c r="M618" s="122" t="str">
        <f t="shared" si="12"/>
        <v>View on Google Map</v>
      </c>
    </row>
    <row r="619" spans="1:13" x14ac:dyDescent="0.2">
      <c r="A619" s="116">
        <v>370</v>
      </c>
      <c r="B619" s="116" t="s">
        <v>1787</v>
      </c>
      <c r="C619" s="116" t="s">
        <v>558</v>
      </c>
      <c r="D619" s="116" t="s">
        <v>558</v>
      </c>
      <c r="E619" s="116" t="s">
        <v>558</v>
      </c>
      <c r="F619" s="116" t="s">
        <v>558</v>
      </c>
      <c r="G619" s="116" t="s">
        <v>569</v>
      </c>
      <c r="H619" s="116" t="s">
        <v>558</v>
      </c>
      <c r="I619" s="116" t="s">
        <v>558</v>
      </c>
      <c r="J619" s="116" t="s">
        <v>584</v>
      </c>
      <c r="K619" s="116" t="s">
        <v>558</v>
      </c>
      <c r="L619" s="116" t="s">
        <v>1788</v>
      </c>
      <c r="M619" s="122" t="str">
        <f t="shared" si="12"/>
        <v>View on Google Map</v>
      </c>
    </row>
    <row r="620" spans="1:13" x14ac:dyDescent="0.2">
      <c r="A620" s="116">
        <v>371</v>
      </c>
      <c r="B620" s="116" t="s">
        <v>1789</v>
      </c>
      <c r="C620" s="116" t="s">
        <v>558</v>
      </c>
      <c r="D620" s="116" t="s">
        <v>558</v>
      </c>
      <c r="E620" s="116" t="s">
        <v>558</v>
      </c>
      <c r="F620" s="116" t="s">
        <v>558</v>
      </c>
      <c r="G620" s="116" t="s">
        <v>569</v>
      </c>
      <c r="H620" s="116" t="s">
        <v>558</v>
      </c>
      <c r="I620" s="116" t="s">
        <v>558</v>
      </c>
      <c r="J620" s="116" t="s">
        <v>584</v>
      </c>
      <c r="K620" s="116" t="s">
        <v>558</v>
      </c>
      <c r="L620" s="116" t="s">
        <v>1788</v>
      </c>
      <c r="M620" s="122" t="str">
        <f t="shared" si="12"/>
        <v>View on Google Map</v>
      </c>
    </row>
    <row r="621" spans="1:13" x14ac:dyDescent="0.2">
      <c r="A621" s="116">
        <v>372</v>
      </c>
      <c r="B621" s="116" t="s">
        <v>1790</v>
      </c>
      <c r="C621" s="116" t="s">
        <v>558</v>
      </c>
      <c r="D621" s="116" t="s">
        <v>558</v>
      </c>
      <c r="E621" s="116" t="s">
        <v>558</v>
      </c>
      <c r="F621" s="116" t="s">
        <v>558</v>
      </c>
      <c r="G621" s="116" t="s">
        <v>569</v>
      </c>
      <c r="H621" s="116" t="s">
        <v>558</v>
      </c>
      <c r="I621" s="116" t="s">
        <v>558</v>
      </c>
      <c r="J621" s="116" t="s">
        <v>584</v>
      </c>
      <c r="K621" s="116" t="s">
        <v>558</v>
      </c>
      <c r="L621" s="116" t="s">
        <v>1788</v>
      </c>
      <c r="M621" s="122" t="str">
        <f t="shared" si="12"/>
        <v>View on Google Map</v>
      </c>
    </row>
    <row r="622" spans="1:13" x14ac:dyDescent="0.2">
      <c r="A622" s="116">
        <v>373</v>
      </c>
      <c r="B622" s="116" t="s">
        <v>1791</v>
      </c>
      <c r="C622" s="116" t="s">
        <v>558</v>
      </c>
      <c r="D622" s="116" t="s">
        <v>558</v>
      </c>
      <c r="E622" s="116" t="s">
        <v>558</v>
      </c>
      <c r="F622" s="116" t="s">
        <v>558</v>
      </c>
      <c r="G622" s="116" t="s">
        <v>569</v>
      </c>
      <c r="H622" s="116" t="s">
        <v>558</v>
      </c>
      <c r="I622" s="116" t="s">
        <v>558</v>
      </c>
      <c r="J622" s="116" t="s">
        <v>584</v>
      </c>
      <c r="K622" s="116" t="s">
        <v>558</v>
      </c>
      <c r="L622" s="116" t="s">
        <v>1788</v>
      </c>
      <c r="M622" s="122" t="str">
        <f t="shared" si="12"/>
        <v>View on Google Map</v>
      </c>
    </row>
    <row r="623" spans="1:13" x14ac:dyDescent="0.2">
      <c r="A623" s="116">
        <v>374</v>
      </c>
      <c r="B623" s="116" t="s">
        <v>1792</v>
      </c>
      <c r="C623" s="116" t="s">
        <v>558</v>
      </c>
      <c r="D623" s="116" t="s">
        <v>558</v>
      </c>
      <c r="E623" s="116" t="s">
        <v>558</v>
      </c>
      <c r="F623" s="116" t="s">
        <v>558</v>
      </c>
      <c r="G623" s="116" t="s">
        <v>569</v>
      </c>
      <c r="H623" s="116" t="s">
        <v>558</v>
      </c>
      <c r="I623" s="116" t="s">
        <v>558</v>
      </c>
      <c r="J623" s="116" t="s">
        <v>584</v>
      </c>
      <c r="K623" s="116" t="s">
        <v>558</v>
      </c>
      <c r="L623" s="116" t="s">
        <v>1788</v>
      </c>
      <c r="M623" s="122" t="str">
        <f t="shared" si="12"/>
        <v>View on Google Map</v>
      </c>
    </row>
    <row r="624" spans="1:13" x14ac:dyDescent="0.2">
      <c r="A624" s="116">
        <v>375</v>
      </c>
      <c r="B624" s="116" t="s">
        <v>1793</v>
      </c>
      <c r="C624" s="116" t="s">
        <v>558</v>
      </c>
      <c r="D624" s="116" t="s">
        <v>558</v>
      </c>
      <c r="E624" s="116" t="s">
        <v>558</v>
      </c>
      <c r="F624" s="116" t="s">
        <v>558</v>
      </c>
      <c r="G624" s="116" t="s">
        <v>569</v>
      </c>
      <c r="H624" s="116" t="s">
        <v>558</v>
      </c>
      <c r="I624" s="116" t="s">
        <v>558</v>
      </c>
      <c r="J624" s="116" t="s">
        <v>584</v>
      </c>
      <c r="K624" s="116" t="s">
        <v>558</v>
      </c>
      <c r="L624" s="116" t="s">
        <v>1788</v>
      </c>
      <c r="M624" s="122" t="str">
        <f t="shared" si="12"/>
        <v>View on Google Map</v>
      </c>
    </row>
    <row r="625" spans="1:13" x14ac:dyDescent="0.2">
      <c r="A625" s="116">
        <v>376</v>
      </c>
      <c r="B625" s="116" t="s">
        <v>1794</v>
      </c>
      <c r="C625" s="116" t="s">
        <v>558</v>
      </c>
      <c r="D625" s="116" t="s">
        <v>558</v>
      </c>
      <c r="E625" s="116" t="s">
        <v>558</v>
      </c>
      <c r="F625" s="116" t="s">
        <v>558</v>
      </c>
      <c r="G625" s="116" t="s">
        <v>569</v>
      </c>
      <c r="H625" s="116" t="s">
        <v>558</v>
      </c>
      <c r="I625" s="116" t="s">
        <v>558</v>
      </c>
      <c r="J625" s="116" t="s">
        <v>584</v>
      </c>
      <c r="K625" s="116" t="s">
        <v>558</v>
      </c>
      <c r="L625" s="116" t="s">
        <v>1788</v>
      </c>
      <c r="M625" s="122" t="str">
        <f t="shared" si="12"/>
        <v>View on Google Map</v>
      </c>
    </row>
    <row r="626" spans="1:13" x14ac:dyDescent="0.2">
      <c r="A626" s="116">
        <v>377</v>
      </c>
      <c r="B626" s="116" t="s">
        <v>1795</v>
      </c>
      <c r="C626" s="116" t="s">
        <v>558</v>
      </c>
      <c r="D626" s="116" t="s">
        <v>558</v>
      </c>
      <c r="E626" s="116" t="s">
        <v>558</v>
      </c>
      <c r="F626" s="116" t="s">
        <v>558</v>
      </c>
      <c r="G626" s="116" t="s">
        <v>569</v>
      </c>
      <c r="H626" s="116" t="s">
        <v>558</v>
      </c>
      <c r="I626" s="116" t="s">
        <v>558</v>
      </c>
      <c r="J626" s="116" t="s">
        <v>584</v>
      </c>
      <c r="K626" s="116" t="s">
        <v>558</v>
      </c>
      <c r="L626" s="116" t="s">
        <v>1788</v>
      </c>
      <c r="M626" s="122" t="str">
        <f t="shared" si="12"/>
        <v>View on Google Map</v>
      </c>
    </row>
    <row r="627" spans="1:13" x14ac:dyDescent="0.2">
      <c r="A627" s="116">
        <v>378</v>
      </c>
      <c r="B627" s="116" t="s">
        <v>1796</v>
      </c>
      <c r="C627" s="116" t="s">
        <v>558</v>
      </c>
      <c r="D627" s="116" t="s">
        <v>558</v>
      </c>
      <c r="E627" s="116" t="s">
        <v>558</v>
      </c>
      <c r="F627" s="116" t="s">
        <v>558</v>
      </c>
      <c r="G627" s="116" t="s">
        <v>569</v>
      </c>
      <c r="H627" s="116" t="s">
        <v>558</v>
      </c>
      <c r="I627" s="116" t="s">
        <v>558</v>
      </c>
      <c r="J627" s="116" t="s">
        <v>584</v>
      </c>
      <c r="K627" s="116" t="s">
        <v>558</v>
      </c>
      <c r="L627" s="116" t="s">
        <v>1788</v>
      </c>
      <c r="M627" s="122" t="str">
        <f t="shared" si="12"/>
        <v>View on Google Map</v>
      </c>
    </row>
    <row r="628" spans="1:13" x14ac:dyDescent="0.2">
      <c r="A628" s="116">
        <v>379</v>
      </c>
      <c r="B628" s="116" t="s">
        <v>1797</v>
      </c>
      <c r="C628" s="116" t="s">
        <v>558</v>
      </c>
      <c r="D628" s="116" t="s">
        <v>558</v>
      </c>
      <c r="E628" s="116" t="s">
        <v>558</v>
      </c>
      <c r="F628" s="116" t="s">
        <v>558</v>
      </c>
      <c r="G628" s="116" t="s">
        <v>569</v>
      </c>
      <c r="H628" s="116" t="s">
        <v>558</v>
      </c>
      <c r="I628" s="116" t="s">
        <v>558</v>
      </c>
      <c r="J628" s="116" t="s">
        <v>584</v>
      </c>
      <c r="K628" s="116" t="s">
        <v>558</v>
      </c>
      <c r="L628" s="116" t="s">
        <v>1788</v>
      </c>
      <c r="M628" s="122" t="str">
        <f t="shared" si="12"/>
        <v>View on Google Map</v>
      </c>
    </row>
    <row r="629" spans="1:13" x14ac:dyDescent="0.2">
      <c r="A629" s="116">
        <v>458</v>
      </c>
      <c r="B629" s="116" t="s">
        <v>1798</v>
      </c>
      <c r="C629" s="116" t="s">
        <v>558</v>
      </c>
      <c r="D629" s="116">
        <v>68.986329999999995</v>
      </c>
      <c r="E629" s="116">
        <v>-149.89803000000001</v>
      </c>
      <c r="F629" s="116">
        <v>419</v>
      </c>
      <c r="G629" s="116" t="s">
        <v>569</v>
      </c>
      <c r="H629" s="116" t="s">
        <v>558</v>
      </c>
      <c r="I629" s="116" t="s">
        <v>558</v>
      </c>
      <c r="J629" s="116" t="s">
        <v>570</v>
      </c>
      <c r="K629" s="116" t="s">
        <v>558</v>
      </c>
      <c r="L629" s="116" t="s">
        <v>558</v>
      </c>
      <c r="M629" s="122" t="str">
        <f t="shared" si="12"/>
        <v>View on Google Map</v>
      </c>
    </row>
    <row r="630" spans="1:13" x14ac:dyDescent="0.2">
      <c r="A630" s="116">
        <v>459</v>
      </c>
      <c r="B630" s="116" t="s">
        <v>1799</v>
      </c>
      <c r="C630" s="116" t="s">
        <v>558</v>
      </c>
      <c r="D630" s="116">
        <v>68.983530000000002</v>
      </c>
      <c r="E630" s="116">
        <v>-149.89436000000001</v>
      </c>
      <c r="F630" s="116">
        <v>408</v>
      </c>
      <c r="G630" s="116" t="s">
        <v>569</v>
      </c>
      <c r="H630" s="116" t="s">
        <v>558</v>
      </c>
      <c r="I630" s="116" t="s">
        <v>558</v>
      </c>
      <c r="J630" s="116" t="s">
        <v>570</v>
      </c>
      <c r="K630" s="116" t="s">
        <v>558</v>
      </c>
      <c r="L630" s="116" t="s">
        <v>558</v>
      </c>
      <c r="M630" s="122" t="str">
        <f t="shared" si="12"/>
        <v>View on Google Map</v>
      </c>
    </row>
    <row r="631" spans="1:13" x14ac:dyDescent="0.2">
      <c r="A631" s="116">
        <v>460</v>
      </c>
      <c r="B631" s="116" t="s">
        <v>1800</v>
      </c>
      <c r="C631" s="116" t="s">
        <v>558</v>
      </c>
      <c r="D631" s="116">
        <v>68.978710000000007</v>
      </c>
      <c r="E631" s="116">
        <v>-149.89182</v>
      </c>
      <c r="F631" s="116">
        <v>394</v>
      </c>
      <c r="G631" s="116" t="s">
        <v>569</v>
      </c>
      <c r="H631" s="116" t="s">
        <v>558</v>
      </c>
      <c r="I631" s="116" t="s">
        <v>558</v>
      </c>
      <c r="J631" s="116" t="s">
        <v>570</v>
      </c>
      <c r="K631" s="116" t="s">
        <v>558</v>
      </c>
      <c r="L631" s="116" t="s">
        <v>558</v>
      </c>
      <c r="M631" s="122" t="str">
        <f t="shared" si="12"/>
        <v>View on Google Map</v>
      </c>
    </row>
    <row r="632" spans="1:13" x14ac:dyDescent="0.2">
      <c r="A632" s="116">
        <v>461</v>
      </c>
      <c r="B632" s="116" t="s">
        <v>1801</v>
      </c>
      <c r="C632" s="116" t="s">
        <v>558</v>
      </c>
      <c r="D632" s="116">
        <v>68.861750000000001</v>
      </c>
      <c r="E632" s="116">
        <v>-149.03908000000001</v>
      </c>
      <c r="F632" s="116">
        <v>651</v>
      </c>
      <c r="G632" s="116" t="s">
        <v>569</v>
      </c>
      <c r="H632" s="116" t="s">
        <v>558</v>
      </c>
      <c r="I632" s="116" t="s">
        <v>558</v>
      </c>
      <c r="J632" s="116" t="s">
        <v>570</v>
      </c>
      <c r="K632" s="116" t="s">
        <v>558</v>
      </c>
      <c r="L632" s="116" t="s">
        <v>558</v>
      </c>
      <c r="M632" s="122" t="str">
        <f t="shared" si="12"/>
        <v>View on Google Map</v>
      </c>
    </row>
    <row r="633" spans="1:13" x14ac:dyDescent="0.2">
      <c r="A633" s="116">
        <v>462</v>
      </c>
      <c r="B633" s="116" t="s">
        <v>1802</v>
      </c>
      <c r="C633" s="116" t="s">
        <v>558</v>
      </c>
      <c r="D633" s="116">
        <v>68.867549999999994</v>
      </c>
      <c r="E633" s="116">
        <v>-149.03557000000001</v>
      </c>
      <c r="F633" s="116">
        <v>638</v>
      </c>
      <c r="G633" s="116" t="s">
        <v>569</v>
      </c>
      <c r="H633" s="116" t="s">
        <v>558</v>
      </c>
      <c r="I633" s="116" t="s">
        <v>558</v>
      </c>
      <c r="J633" s="116" t="s">
        <v>570</v>
      </c>
      <c r="K633" s="116" t="s">
        <v>558</v>
      </c>
      <c r="L633" s="116" t="s">
        <v>558</v>
      </c>
      <c r="M633" s="122" t="str">
        <f t="shared" si="12"/>
        <v>View on Google Map</v>
      </c>
    </row>
    <row r="634" spans="1:13" x14ac:dyDescent="0.2">
      <c r="A634" s="123">
        <v>463</v>
      </c>
      <c r="B634" s="123" t="s">
        <v>1803</v>
      </c>
      <c r="C634" s="123" t="s">
        <v>558</v>
      </c>
      <c r="D634" s="123">
        <v>68.873149999999995</v>
      </c>
      <c r="E634" s="123">
        <v>-149.04128</v>
      </c>
      <c r="F634" s="123">
        <v>637</v>
      </c>
      <c r="G634" s="123" t="s">
        <v>569</v>
      </c>
      <c r="H634" s="123" t="s">
        <v>558</v>
      </c>
      <c r="I634" s="123" t="s">
        <v>558</v>
      </c>
      <c r="J634" s="123" t="s">
        <v>570</v>
      </c>
      <c r="K634" s="123" t="s">
        <v>558</v>
      </c>
      <c r="L634" s="123" t="s">
        <v>558</v>
      </c>
      <c r="M634" s="122" t="str">
        <f t="shared" si="12"/>
        <v>View on Google Map</v>
      </c>
    </row>
    <row r="635" spans="1:13" x14ac:dyDescent="0.2">
      <c r="A635" s="116">
        <v>129</v>
      </c>
      <c r="B635" s="116" t="s">
        <v>1804</v>
      </c>
      <c r="C635" s="116" t="s">
        <v>1644</v>
      </c>
      <c r="D635" s="116">
        <v>69.966666666666669</v>
      </c>
      <c r="E635" s="116">
        <v>-148.73333333333301</v>
      </c>
      <c r="F635" s="116">
        <v>57</v>
      </c>
      <c r="G635" s="116" t="s">
        <v>569</v>
      </c>
      <c r="H635" s="116" t="s">
        <v>1805</v>
      </c>
      <c r="I635" s="116" t="s">
        <v>558</v>
      </c>
      <c r="J635" s="116" t="s">
        <v>584</v>
      </c>
      <c r="K635" s="116" t="s">
        <v>558</v>
      </c>
      <c r="L635" s="116" t="s">
        <v>585</v>
      </c>
      <c r="M635" s="122" t="str">
        <f t="shared" si="12"/>
        <v>View on Google Map</v>
      </c>
    </row>
    <row r="636" spans="1:13" x14ac:dyDescent="0.2">
      <c r="A636" s="116">
        <v>17</v>
      </c>
      <c r="B636" s="116" t="s">
        <v>1806</v>
      </c>
      <c r="C636" s="116" t="s">
        <v>1807</v>
      </c>
      <c r="D636" s="116" t="s">
        <v>558</v>
      </c>
      <c r="E636" s="116" t="s">
        <v>558</v>
      </c>
      <c r="F636" s="116" t="s">
        <v>558</v>
      </c>
      <c r="G636" s="116" t="s">
        <v>583</v>
      </c>
      <c r="H636" s="116" t="s">
        <v>558</v>
      </c>
      <c r="I636" s="116" t="s">
        <v>558</v>
      </c>
      <c r="J636" s="116" t="s">
        <v>584</v>
      </c>
      <c r="K636" s="116" t="s">
        <v>558</v>
      </c>
      <c r="L636" s="116" t="s">
        <v>558</v>
      </c>
      <c r="M636" s="122" t="str">
        <f t="shared" si="12"/>
        <v>View on Google Map</v>
      </c>
    </row>
    <row r="637" spans="1:13" x14ac:dyDescent="0.2">
      <c r="A637" s="116">
        <v>530</v>
      </c>
      <c r="B637" s="116" t="s">
        <v>1808</v>
      </c>
      <c r="C637" s="116" t="s">
        <v>964</v>
      </c>
      <c r="D637" s="116">
        <v>68.674332000000007</v>
      </c>
      <c r="E637" s="116">
        <v>-149.61694399999999</v>
      </c>
      <c r="F637" s="116">
        <v>701</v>
      </c>
      <c r="G637" s="116" t="s">
        <v>569</v>
      </c>
      <c r="H637" s="116" t="s">
        <v>558</v>
      </c>
      <c r="I637" s="116" t="s">
        <v>558</v>
      </c>
      <c r="J637" s="116" t="s">
        <v>570</v>
      </c>
      <c r="K637" s="116" t="s">
        <v>558</v>
      </c>
      <c r="L637" s="116" t="s">
        <v>965</v>
      </c>
      <c r="M637" s="122" t="str">
        <f t="shared" si="12"/>
        <v>View on Google Map</v>
      </c>
    </row>
    <row r="638" spans="1:13" x14ac:dyDescent="0.2">
      <c r="A638" s="116">
        <v>496</v>
      </c>
      <c r="B638" s="116" t="s">
        <v>1809</v>
      </c>
      <c r="C638" s="116" t="s">
        <v>558</v>
      </c>
      <c r="D638" s="116">
        <v>68.674149999999997</v>
      </c>
      <c r="E638" s="116">
        <v>-149.61810299999999</v>
      </c>
      <c r="F638" s="116">
        <v>701</v>
      </c>
      <c r="G638" s="116" t="s">
        <v>583</v>
      </c>
      <c r="H638" s="116" t="s">
        <v>1810</v>
      </c>
      <c r="I638" s="116" t="s">
        <v>558</v>
      </c>
      <c r="J638" s="116" t="s">
        <v>1486</v>
      </c>
      <c r="K638" s="116" t="s">
        <v>558</v>
      </c>
      <c r="L638" s="116" t="s">
        <v>965</v>
      </c>
      <c r="M638" s="122" t="str">
        <f t="shared" si="12"/>
        <v>View on Google Map</v>
      </c>
    </row>
  </sheetData>
  <autoFilter ref="A2:N638">
    <sortState ref="A3:N637">
      <sortCondition ref="B2"/>
    </sortState>
  </autoFilter>
  <conditionalFormatting sqref="B2">
    <cfRule type="cellIs" dxfId="0" priority="1" stopIfTrue="1" operator="equal">
      <formula>"NOT ASSIGNED:"</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123</vt:i4>
      </vt:variant>
    </vt:vector>
  </HeadingPairs>
  <TitlesOfParts>
    <vt:vector size="126" baseType="lpstr">
      <vt:lpstr>Metadata_PF_ShootHarvestData</vt:lpstr>
      <vt:lpstr>PF_ShootHarvest_Data</vt:lpstr>
      <vt:lpstr>Sites(Do NOT Edit)</vt:lpstr>
      <vt:lpstr>Metadata_PF_ShootHarvestData!ABSTRACT</vt:lpstr>
      <vt:lpstr>'Sites(Do NOT Edit)'!ABSTRACT</vt:lpstr>
      <vt:lpstr>Metadata_PF_ShootHarvestData!Address_line_2</vt:lpstr>
      <vt:lpstr>'Sites(Do NOT Edit)'!Address_line_2</vt:lpstr>
      <vt:lpstr>Metadata_PF_ShootHarvestData!Address_line_3</vt:lpstr>
      <vt:lpstr>'Sites(Do NOT Edit)'!Address_line_3</vt:lpstr>
      <vt:lpstr>Metadata_PF_ShootHarvestData!Availability_Status</vt:lpstr>
      <vt:lpstr>'Sites(Do NOT Edit)'!Availability_Status</vt:lpstr>
      <vt:lpstr>Metadata_PF_ShootHarvestData!Beginning_Date</vt:lpstr>
      <vt:lpstr>'Sites(Do NOT Edit)'!Beginning_Date</vt:lpstr>
      <vt:lpstr>Metadata_PF_ShootHarvestData!City</vt:lpstr>
      <vt:lpstr>'Sites(Do NOT Edit)'!City</vt:lpstr>
      <vt:lpstr>Metadata_PF_ShootHarvestData!Code_Information</vt:lpstr>
      <vt:lpstr>'Sites(Do NOT Edit)'!Code_Information</vt:lpstr>
      <vt:lpstr>Metadata_PF_ShootHarvestData!Country</vt:lpstr>
      <vt:lpstr>'Sites(Do NOT Edit)'!Country</vt:lpstr>
      <vt:lpstr>Metadata_PF_ShootHarvestData!DATA_FILE_INFORMATION</vt:lpstr>
      <vt:lpstr>'Sites(Do NOT Edit)'!DATA_FILE_INFORMATION</vt:lpstr>
      <vt:lpstr>Metadata_PF_ShootHarvestData!Data_File_Name</vt:lpstr>
      <vt:lpstr>'Sites(Do NOT Edit)'!Data_File_Name</vt:lpstr>
      <vt:lpstr>Metadata_PF_ShootHarvestData!Data_File_URL</vt:lpstr>
      <vt:lpstr>'Sites(Do NOT Edit)'!Data_File_URL</vt:lpstr>
      <vt:lpstr>Metadata_PF_ShootHarvestData!Data_Type</vt:lpstr>
      <vt:lpstr>'Sites(Do NOT Edit)'!Data_Type</vt:lpstr>
      <vt:lpstr>Metadata_PF_ShootHarvestData!DATASET_ID</vt:lpstr>
      <vt:lpstr>'Sites(Do NOT Edit)'!DATASET_ID</vt:lpstr>
      <vt:lpstr>Metadata_PF_ShootHarvestData!DATASET_TITLE</vt:lpstr>
      <vt:lpstr>'Sites(Do NOT Edit)'!DATASET_TITLE</vt:lpstr>
      <vt:lpstr>Metadata_PF_ShootHarvestData!DateTime_Format</vt:lpstr>
      <vt:lpstr>'Sites(Do NOT Edit)'!DateTime_Format</vt:lpstr>
      <vt:lpstr>Metadata_PF_ShootHarvestData!Distribution_URL_for_file</vt:lpstr>
      <vt:lpstr>'Sites(Do NOT Edit)'!Distribution_URL_for_file</vt:lpstr>
      <vt:lpstr>Metadata_PF_ShootHarvestData!East_Bounding_Coordinate</vt:lpstr>
      <vt:lpstr>'Sites(Do NOT Edit)'!East_Bounding_Coordinate</vt:lpstr>
      <vt:lpstr>Metadata_PF_ShootHarvestData!Elevation</vt:lpstr>
      <vt:lpstr>'Sites(Do NOT Edit)'!Elevation</vt:lpstr>
      <vt:lpstr>Metadata_PF_ShootHarvestData!Email</vt:lpstr>
      <vt:lpstr>'Sites(Do NOT Edit)'!Email</vt:lpstr>
      <vt:lpstr>Metadata_PF_ShootHarvestData!End_Date</vt:lpstr>
      <vt:lpstr>'Sites(Do NOT Edit)'!End_Date</vt:lpstr>
      <vt:lpstr>Metadata_PF_ShootHarvestData!First_Name</vt:lpstr>
      <vt:lpstr>'Sites(Do NOT Edit)'!First_Name</vt:lpstr>
      <vt:lpstr>Metadata_PF_ShootHarvestData!Geographic_Description</vt:lpstr>
      <vt:lpstr>'Sites(Do NOT Edit)'!Geographic_Description</vt:lpstr>
      <vt:lpstr>Metadata_PF_ShootHarvestData!INVESTIGATOR_INFORMATION</vt:lpstr>
      <vt:lpstr>'Sites(Do NOT Edit)'!INVESTIGATOR_INFORMATION</vt:lpstr>
      <vt:lpstr>Metadata_PF_ShootHarvestData!KEYWORD_INFORMATION</vt:lpstr>
      <vt:lpstr>'Sites(Do NOT Edit)'!KEYWORD_INFORMATION</vt:lpstr>
      <vt:lpstr>Metadata_PF_ShootHarvestData!KEYWORDS</vt:lpstr>
      <vt:lpstr>'Sites(Do NOT Edit)'!KEYWORDS</vt:lpstr>
      <vt:lpstr>Metadata_PF_ShootHarvestData!Last_Name</vt:lpstr>
      <vt:lpstr>'Sites(Do NOT Edit)'!Last_Name</vt:lpstr>
      <vt:lpstr>Metadata_PF_ShootHarvestData!Latitude</vt:lpstr>
      <vt:lpstr>'Sites(Do NOT Edit)'!Latitude</vt:lpstr>
      <vt:lpstr>Link_to_Google_Map</vt:lpstr>
      <vt:lpstr>Metadata_PF_ShootHarvestData!Location_Bounding_Box</vt:lpstr>
      <vt:lpstr>'Sites(Do NOT Edit)'!Location_Bounding_Box</vt:lpstr>
      <vt:lpstr>Metadata_PF_ShootHarvestData!Location_Name</vt:lpstr>
      <vt:lpstr>'Sites(Do NOT Edit)'!Location_Name</vt:lpstr>
      <vt:lpstr>Metadata_PF_ShootHarvestData!Log_of_Changes</vt:lpstr>
      <vt:lpstr>'Sites(Do NOT Edit)'!Log_of_Changes</vt:lpstr>
      <vt:lpstr>Metadata_PF_ShootHarvestData!Longitude</vt:lpstr>
      <vt:lpstr>'Sites(Do NOT Edit)'!Longitude</vt:lpstr>
      <vt:lpstr>LTER_Sites_number</vt:lpstr>
      <vt:lpstr>Metadata_PF_ShootHarvestData!Maintenance_Description</vt:lpstr>
      <vt:lpstr>'Sites(Do NOT Edit)'!Maintenance_Description</vt:lpstr>
      <vt:lpstr>Metadata_PF_ShootHarvestData!Metacat_Package_ID</vt:lpstr>
      <vt:lpstr>'Sites(Do NOT Edit)'!Metacat_Package_ID</vt:lpstr>
      <vt:lpstr>Metadata_PF_ShootHarvestData!METHODS</vt:lpstr>
      <vt:lpstr>'Sites(Do NOT Edit)'!METHODS</vt:lpstr>
      <vt:lpstr>Metadata_PF_ShootHarvestData!Missing_Value_Code</vt:lpstr>
      <vt:lpstr>'Sites(Do NOT Edit)'!Missing_Value_Code</vt:lpstr>
      <vt:lpstr>Metadata_PF_ShootHarvestData!North_Bounding_Coordinate</vt:lpstr>
      <vt:lpstr>'Sites(Do NOT Edit)'!North_Bounding_Coordinate</vt:lpstr>
      <vt:lpstr>Metadata_PF_ShootHarvestData!Number_of_Data_Records</vt:lpstr>
      <vt:lpstr>'Sites(Do NOT Edit)'!Number_of_Data_Records</vt:lpstr>
      <vt:lpstr>Metadata_PF_ShootHarvestData!OR</vt:lpstr>
      <vt:lpstr>'Sites(Do NOT Edit)'!OR</vt:lpstr>
      <vt:lpstr>Metadata_PF_ShootHarvestData!OR_if_single_point_location</vt:lpstr>
      <vt:lpstr>'Sites(Do NOT Edit)'!OR_if_single_point_location</vt:lpstr>
      <vt:lpstr>Metadata_PF_ShootHarvestData!Organisms_studied</vt:lpstr>
      <vt:lpstr>'Sites(Do NOT Edit)'!Organisms_studied</vt:lpstr>
      <vt:lpstr>Metadata_PF_ShootHarvestData!Organization</vt:lpstr>
      <vt:lpstr>'Sites(Do NOT Edit)'!Organization</vt:lpstr>
      <vt:lpstr>Metadata_PF_ShootHarvestData!Other_Files_to_Reference</vt:lpstr>
      <vt:lpstr>'Sites(Do NOT Edit)'!Other_Files_to_Reference</vt:lpstr>
      <vt:lpstr>Metadata_PF_ShootHarvestData!Protocol_Document</vt:lpstr>
      <vt:lpstr>'Sites(Do NOT Edit)'!Protocol_Document</vt:lpstr>
      <vt:lpstr>Metadata_PF_ShootHarvestData!Protocol_Title</vt:lpstr>
      <vt:lpstr>'Sites(Do NOT Edit)'!Protocol_Title</vt:lpstr>
      <vt:lpstr>Metadata_PF_ShootHarvestData!Quality_Control_Information</vt:lpstr>
      <vt:lpstr>'Sites(Do NOT Edit)'!Quality_Control_Information</vt:lpstr>
      <vt:lpstr>Metadata_PF_ShootHarvestData!RESEARCH_LOCATION</vt:lpstr>
      <vt:lpstr>'Sites(Do NOT Edit)'!RESEARCH_LOCATION</vt:lpstr>
      <vt:lpstr>Metadata_PF_ShootHarvestData!Role</vt:lpstr>
      <vt:lpstr>'Sites(Do NOT Edit)'!Role</vt:lpstr>
      <vt:lpstr>Metadata_PF_ShootHarvestData!Sampling_and_or_Lab_Protocols</vt:lpstr>
      <vt:lpstr>'Sites(Do NOT Edit)'!Sampling_and_or_Lab_Protocols</vt:lpstr>
      <vt:lpstr>Site_name</vt:lpstr>
      <vt:lpstr>Site_name_list</vt:lpstr>
      <vt:lpstr>Sites</vt:lpstr>
      <vt:lpstr>Metadata_PF_ShootHarvestData!South_Bounding_Coordinate</vt:lpstr>
      <vt:lpstr>'Sites(Do NOT Edit)'!South_Bounding_Coordinate</vt:lpstr>
      <vt:lpstr>Metadata_PF_ShootHarvestData!State</vt:lpstr>
      <vt:lpstr>'Sites(Do NOT Edit)'!State</vt:lpstr>
      <vt:lpstr>Metadata_PF_ShootHarvestData!TAXONOMIC_COVERAGE</vt:lpstr>
      <vt:lpstr>'Sites(Do NOT Edit)'!TAXONOMIC_COVERAGE</vt:lpstr>
      <vt:lpstr>Metadata_PF_ShootHarvestData!Units</vt:lpstr>
      <vt:lpstr>'Sites(Do NOT Edit)'!Units</vt:lpstr>
      <vt:lpstr>Metadata_PF_ShootHarvestData!URL_of_online_Protocol</vt:lpstr>
      <vt:lpstr>'Sites(Do NOT Edit)'!URL_of_online_Protocol</vt:lpstr>
      <vt:lpstr>Metadata_PF_ShootHarvestData!Variable_Description</vt:lpstr>
      <vt:lpstr>'Sites(Do NOT Edit)'!Variable_Description</vt:lpstr>
      <vt:lpstr>Metadata_PF_ShootHarvestData!VARIABLE_DESCRIPTIONS</vt:lpstr>
      <vt:lpstr>'Sites(Do NOT Edit)'!VARIABLE_DESCRIPTIONS</vt:lpstr>
      <vt:lpstr>Metadata_PF_ShootHarvestData!Variable_Name</vt:lpstr>
      <vt:lpstr>'Sites(Do NOT Edit)'!Variable_Name</vt:lpstr>
      <vt:lpstr>Metadata_PF_ShootHarvestData!West_Bounding_Coordinate</vt:lpstr>
      <vt:lpstr>'Sites(Do NOT Edit)'!West_Bounding_Coordinate</vt:lpstr>
      <vt:lpstr>Metadata_PF_ShootHarvestData!Year_Released_to_Public</vt:lpstr>
      <vt:lpstr>'Sites(Do NOT Edit)'!Year_Released_to_Public</vt:lpstr>
      <vt:lpstr>Metadata_PF_ShootHarvestData!Zip_Code</vt:lpstr>
      <vt:lpstr>'Sites(Do NOT Edit)'!Zip_Code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toolik</dc:creator>
  <cp:lastModifiedBy>jiml</cp:lastModifiedBy>
  <dcterms:created xsi:type="dcterms:W3CDTF">2012-06-23T03:05:23Z</dcterms:created>
  <dcterms:modified xsi:type="dcterms:W3CDTF">2013-05-22T22:35:24Z</dcterms:modified>
</cp:coreProperties>
</file>