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-15" yWindow="2820" windowWidth="15480" windowHeight="5820" tabRatio="881"/>
  </bookViews>
  <sheets>
    <sheet name="0-200" sheetId="1" r:id="rId1"/>
    <sheet name="200-300" sheetId="41" r:id="rId2"/>
    <sheet name="300-400" sheetId="42" r:id="rId3"/>
  </sheets>
  <definedNames>
    <definedName name="_xlnm.Print_Titles" localSheetId="0">'0-200'!$5:$6</definedName>
    <definedName name="_xlnm.Print_Titles" localSheetId="1">'200-300'!$5:$6</definedName>
    <definedName name="_xlnm.Print_Titles" localSheetId="2">'300-400'!$5:$6</definedName>
  </definedNames>
  <calcPr calcId="125725" fullCalcOnLoad="1"/>
</workbook>
</file>

<file path=xl/calcChain.xml><?xml version="1.0" encoding="utf-8"?>
<calcChain xmlns="http://schemas.openxmlformats.org/spreadsheetml/2006/main">
  <c r="M23" i="1"/>
  <c r="M24"/>
  <c r="M25"/>
  <c r="C24"/>
  <c r="B25" s="1"/>
  <c r="D25" s="1"/>
  <c r="D24"/>
  <c r="C20"/>
  <c r="B21" s="1"/>
  <c r="C21" s="1"/>
  <c r="B22" s="1"/>
  <c r="C22" s="1"/>
  <c r="B23" s="1"/>
  <c r="D23" s="1"/>
  <c r="F172"/>
  <c r="G172"/>
  <c r="H172"/>
  <c r="I172"/>
  <c r="J172"/>
  <c r="K172"/>
  <c r="L172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7"/>
  <c r="M10"/>
  <c r="M11"/>
  <c r="M12"/>
  <c r="M14"/>
  <c r="M15"/>
  <c r="M16"/>
  <c r="M17"/>
  <c r="M18"/>
  <c r="M19"/>
  <c r="M20"/>
  <c r="M9"/>
  <c r="M13"/>
  <c r="M26"/>
  <c r="M27"/>
  <c r="M8"/>
  <c r="M21"/>
  <c r="M22"/>
  <c r="M172"/>
  <c r="E172"/>
  <c r="B109"/>
  <c r="C109" s="1"/>
  <c r="B110" s="1"/>
  <c r="B114"/>
  <c r="C114"/>
  <c r="D114" s="1"/>
  <c r="C115"/>
  <c r="D115" s="1"/>
  <c r="B116"/>
  <c r="D116" s="1"/>
  <c r="B117"/>
  <c r="D117" s="1"/>
  <c r="B118"/>
  <c r="C118" s="1"/>
  <c r="B120"/>
  <c r="C120"/>
  <c r="D120" s="1"/>
  <c r="B121"/>
  <c r="C121" s="1"/>
  <c r="B123"/>
  <c r="C123"/>
  <c r="D123" s="1"/>
  <c r="B124"/>
  <c r="C124" s="1"/>
  <c r="C129"/>
  <c r="D129" s="1"/>
  <c r="B130"/>
  <c r="D130" s="1"/>
  <c r="D131"/>
  <c r="B132"/>
  <c r="D132"/>
  <c r="B133"/>
  <c r="C133"/>
  <c r="D133" s="1"/>
  <c r="B134"/>
  <c r="C134" s="1"/>
  <c r="C136"/>
  <c r="D136"/>
  <c r="B137"/>
  <c r="C137"/>
  <c r="D137" s="1"/>
  <c r="B138"/>
  <c r="C138" s="1"/>
  <c r="B142"/>
  <c r="C142"/>
  <c r="D142" s="1"/>
  <c r="B143"/>
  <c r="C143" s="1"/>
  <c r="C145"/>
  <c r="D145" s="1"/>
  <c r="B146"/>
  <c r="C146" s="1"/>
  <c r="B148"/>
  <c r="C148"/>
  <c r="D148" s="1"/>
  <c r="B149"/>
  <c r="C149" s="1"/>
  <c r="C151"/>
  <c r="D151"/>
  <c r="B152"/>
  <c r="C152"/>
  <c r="D152" s="1"/>
  <c r="B153"/>
  <c r="D153" s="1"/>
  <c r="C154"/>
  <c r="D154" s="1"/>
  <c r="B155"/>
  <c r="C155" s="1"/>
  <c r="D160"/>
  <c r="B161"/>
  <c r="C161"/>
  <c r="D161" s="1"/>
  <c r="B162"/>
  <c r="D162" s="1"/>
  <c r="B163"/>
  <c r="C163" s="1"/>
  <c r="B169"/>
  <c r="C169"/>
  <c r="D169" s="1"/>
  <c r="B170"/>
  <c r="C170" s="1"/>
  <c r="D170" s="1"/>
  <c r="B106"/>
  <c r="C106"/>
  <c r="B37"/>
  <c r="C7"/>
  <c r="M7" i="42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108" s="1"/>
  <c r="M91"/>
  <c r="M92"/>
  <c r="M93"/>
  <c r="M94"/>
  <c r="M95"/>
  <c r="M96"/>
  <c r="M97"/>
  <c r="M98"/>
  <c r="M99"/>
  <c r="M100"/>
  <c r="M101"/>
  <c r="M102"/>
  <c r="M103"/>
  <c r="M104"/>
  <c r="M105"/>
  <c r="M106"/>
  <c r="L108"/>
  <c r="K108"/>
  <c r="J108"/>
  <c r="I108"/>
  <c r="H108"/>
  <c r="G108"/>
  <c r="F108"/>
  <c r="E108"/>
  <c r="M7" i="41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5" s="1"/>
  <c r="M100"/>
  <c r="M101"/>
  <c r="M102"/>
  <c r="M103"/>
  <c r="L105"/>
  <c r="K105"/>
  <c r="J105"/>
  <c r="I105"/>
  <c r="H105"/>
  <c r="G105"/>
  <c r="F105"/>
  <c r="E105"/>
  <c r="C7" i="42"/>
  <c r="C8"/>
  <c r="B9"/>
  <c r="C9" s="1"/>
  <c r="C14"/>
  <c r="D14"/>
  <c r="B15"/>
  <c r="C15"/>
  <c r="D15" s="1"/>
  <c r="B16"/>
  <c r="C16" s="1"/>
  <c r="B20"/>
  <c r="C20"/>
  <c r="D20" s="1"/>
  <c r="B21"/>
  <c r="C21" s="1"/>
  <c r="C29"/>
  <c r="D29"/>
  <c r="B30"/>
  <c r="C30"/>
  <c r="D30" s="1"/>
  <c r="B31"/>
  <c r="D31" s="1"/>
  <c r="B32"/>
  <c r="C32" s="1"/>
  <c r="C61"/>
  <c r="D61" s="1"/>
  <c r="B62"/>
  <c r="C62" s="1"/>
  <c r="B67"/>
  <c r="C67" s="1"/>
  <c r="C73"/>
  <c r="D73" s="1"/>
  <c r="B74"/>
  <c r="C74" s="1"/>
  <c r="C7" i="41"/>
  <c r="B8"/>
  <c r="C8" s="1"/>
  <c r="B9" s="1"/>
  <c r="C9" s="1"/>
  <c r="B10" s="1"/>
  <c r="C10" s="1"/>
  <c r="B11" s="1"/>
  <c r="C11" s="1"/>
  <c r="B12" s="1"/>
  <c r="C12" s="1"/>
  <c r="B13" s="1"/>
  <c r="C13" s="1"/>
  <c r="B14" s="1"/>
  <c r="B15"/>
  <c r="C15"/>
  <c r="B16" s="1"/>
  <c r="C16" s="1"/>
  <c r="B17" s="1"/>
  <c r="B18"/>
  <c r="C18" s="1"/>
  <c r="B19" s="1"/>
  <c r="C19" s="1"/>
  <c r="B20" s="1"/>
  <c r="C20" s="1"/>
  <c r="B21" s="1"/>
  <c r="C21" s="1"/>
  <c r="B22" s="1"/>
  <c r="C22" s="1"/>
  <c r="B23" s="1"/>
  <c r="C23" s="1"/>
  <c r="B24" s="1"/>
  <c r="C24" s="1"/>
  <c r="B25" s="1"/>
  <c r="C25" s="1"/>
  <c r="B26" s="1"/>
  <c r="C26" s="1"/>
  <c r="B27" s="1"/>
  <c r="C27" s="1"/>
  <c r="B28" s="1"/>
  <c r="B29"/>
  <c r="B30"/>
  <c r="C30" s="1"/>
  <c r="B31" s="1"/>
  <c r="C31" s="1"/>
  <c r="B32" s="1"/>
  <c r="C32" s="1"/>
  <c r="B33" s="1"/>
  <c r="C33" s="1"/>
  <c r="B34" s="1"/>
  <c r="C34" s="1"/>
  <c r="B35" s="1"/>
  <c r="C35" s="1"/>
  <c r="B36" s="1"/>
  <c r="C36" s="1"/>
  <c r="B37" s="1"/>
  <c r="C37" s="1"/>
  <c r="B38" s="1"/>
  <c r="C38" s="1"/>
  <c r="B39" s="1"/>
  <c r="C39" s="1"/>
  <c r="B40" s="1"/>
  <c r="B41"/>
  <c r="B42"/>
  <c r="C42" s="1"/>
  <c r="B43" s="1"/>
  <c r="C43" s="1"/>
  <c r="C44"/>
  <c r="B45" s="1"/>
  <c r="C45" s="1"/>
  <c r="B46" s="1"/>
  <c r="C46" s="1"/>
  <c r="B47" s="1"/>
  <c r="C47" s="1"/>
  <c r="B48" s="1"/>
  <c r="B50"/>
  <c r="C50" s="1"/>
  <c r="B51" s="1"/>
  <c r="C51" s="1"/>
  <c r="B52" s="1"/>
  <c r="C52" s="1"/>
  <c r="B53" s="1"/>
  <c r="C53" s="1"/>
  <c r="B54" s="1"/>
  <c r="C55"/>
  <c r="B56"/>
  <c r="C56" s="1"/>
  <c r="B57" s="1"/>
  <c r="B67"/>
  <c r="C67" s="1"/>
  <c r="B79"/>
  <c r="C79"/>
  <c r="B80" s="1"/>
  <c r="B98"/>
  <c r="C99"/>
  <c r="B100"/>
  <c r="C100" s="1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79"/>
  <c r="D98"/>
  <c r="D99"/>
  <c r="D8" i="42"/>
  <c r="D7"/>
  <c r="D8" i="41"/>
  <c r="D7"/>
  <c r="D9" i="1"/>
  <c r="C10"/>
  <c r="D10"/>
  <c r="B11"/>
  <c r="D11"/>
  <c r="D12"/>
  <c r="D13"/>
  <c r="C14"/>
  <c r="D14"/>
  <c r="B15"/>
  <c r="C15"/>
  <c r="D15" s="1"/>
  <c r="B16"/>
  <c r="D16" s="1"/>
  <c r="C17"/>
  <c r="D17" s="1"/>
  <c r="B18"/>
  <c r="C18" s="1"/>
  <c r="D20"/>
  <c r="D21"/>
  <c r="D22"/>
  <c r="C26"/>
  <c r="D26" s="1"/>
  <c r="B27"/>
  <c r="D27" s="1"/>
  <c r="B28"/>
  <c r="D28" s="1"/>
  <c r="B29"/>
  <c r="C29" s="1"/>
  <c r="B35"/>
  <c r="D35"/>
  <c r="D36"/>
  <c r="D37"/>
  <c r="C38"/>
  <c r="D38"/>
  <c r="B39"/>
  <c r="D39"/>
  <c r="D40"/>
  <c r="C41"/>
  <c r="D41" s="1"/>
  <c r="B42"/>
  <c r="C42" s="1"/>
  <c r="C44"/>
  <c r="D44"/>
  <c r="B45"/>
  <c r="C45"/>
  <c r="D45" s="1"/>
  <c r="B46"/>
  <c r="C46" s="1"/>
  <c r="B48"/>
  <c r="C48"/>
  <c r="D48" s="1"/>
  <c r="B49"/>
  <c r="C49" s="1"/>
  <c r="B51"/>
  <c r="C51"/>
  <c r="D51" s="1"/>
  <c r="B52"/>
  <c r="D52" s="1"/>
  <c r="C53"/>
  <c r="D53" s="1"/>
  <c r="B54"/>
  <c r="C54" s="1"/>
  <c r="B56"/>
  <c r="C56"/>
  <c r="D56" s="1"/>
  <c r="B57"/>
  <c r="C57" s="1"/>
  <c r="B59"/>
  <c r="C59"/>
  <c r="D59" s="1"/>
  <c r="C60"/>
  <c r="D60" s="1"/>
  <c r="B61"/>
  <c r="D61" s="1"/>
  <c r="C62"/>
  <c r="D62" s="1"/>
  <c r="B63"/>
  <c r="C63" s="1"/>
  <c r="B65"/>
  <c r="C65"/>
  <c r="D65" s="1"/>
  <c r="B66"/>
  <c r="C66" s="1"/>
  <c r="B68"/>
  <c r="D68"/>
  <c r="B69"/>
  <c r="C69"/>
  <c r="D69" s="1"/>
  <c r="B70"/>
  <c r="C70" s="1"/>
  <c r="B84"/>
  <c r="C84"/>
  <c r="D84" s="1"/>
  <c r="B85"/>
  <c r="C85" s="1"/>
  <c r="B92"/>
  <c r="C92" s="1"/>
  <c r="C98"/>
  <c r="D98" s="1"/>
  <c r="D100"/>
  <c r="B101"/>
  <c r="C101"/>
  <c r="D101" s="1"/>
  <c r="D102"/>
  <c r="D103"/>
  <c r="B104"/>
  <c r="D104" s="1"/>
  <c r="D105"/>
  <c r="D106"/>
  <c r="B107"/>
  <c r="D107" s="1"/>
  <c r="D108"/>
  <c r="D109"/>
  <c r="D8"/>
  <c r="D7"/>
  <c r="B86" l="1"/>
  <c r="D85"/>
  <c r="B67"/>
  <c r="D67" s="1"/>
  <c r="D66"/>
  <c r="B55"/>
  <c r="D55" s="1"/>
  <c r="D54"/>
  <c r="B47"/>
  <c r="D47" s="1"/>
  <c r="D46"/>
  <c r="B30"/>
  <c r="D29"/>
  <c r="B101" i="41"/>
  <c r="D100"/>
  <c r="C57"/>
  <c r="B58" s="1"/>
  <c r="D57"/>
  <c r="B93" i="1"/>
  <c r="D92"/>
  <c r="B71"/>
  <c r="D70"/>
  <c r="B64"/>
  <c r="D64" s="1"/>
  <c r="D63"/>
  <c r="B58"/>
  <c r="D58" s="1"/>
  <c r="D57"/>
  <c r="B50"/>
  <c r="D50" s="1"/>
  <c r="D49"/>
  <c r="B43"/>
  <c r="D43" s="1"/>
  <c r="D42"/>
  <c r="B19"/>
  <c r="D19" s="1"/>
  <c r="D18"/>
  <c r="C80" i="41"/>
  <c r="B81" s="1"/>
  <c r="D80"/>
  <c r="D67"/>
  <c r="B68"/>
  <c r="B63" i="42"/>
  <c r="D62"/>
  <c r="B33"/>
  <c r="D32"/>
  <c r="B22"/>
  <c r="D21"/>
  <c r="B10"/>
  <c r="D9"/>
  <c r="B156" i="1"/>
  <c r="D155"/>
  <c r="B147"/>
  <c r="D147" s="1"/>
  <c r="D146"/>
  <c r="B144"/>
  <c r="D143"/>
  <c r="B135"/>
  <c r="D135" s="1"/>
  <c r="D134"/>
  <c r="B125"/>
  <c r="D124"/>
  <c r="B119"/>
  <c r="D119" s="1"/>
  <c r="D118"/>
  <c r="C110"/>
  <c r="B111" s="1"/>
  <c r="D110"/>
  <c r="B75" i="42"/>
  <c r="D74"/>
  <c r="B68"/>
  <c r="D67"/>
  <c r="B17"/>
  <c r="D16"/>
  <c r="B164" i="1"/>
  <c r="D163"/>
  <c r="B150"/>
  <c r="D150" s="1"/>
  <c r="D149"/>
  <c r="B139"/>
  <c r="D138"/>
  <c r="B122"/>
  <c r="D122" s="1"/>
  <c r="D121"/>
  <c r="B99"/>
  <c r="D99" s="1"/>
  <c r="C68" i="41" l="1"/>
  <c r="B69" s="1"/>
  <c r="C139" i="1"/>
  <c r="B140" s="1"/>
  <c r="C164"/>
  <c r="B165" s="1"/>
  <c r="C17" i="42"/>
  <c r="B18" s="1"/>
  <c r="C68"/>
  <c r="B69" s="1"/>
  <c r="C75"/>
  <c r="B76" s="1"/>
  <c r="C111" i="1"/>
  <c r="B112" s="1"/>
  <c r="C125"/>
  <c r="B126" s="1"/>
  <c r="C144"/>
  <c r="D144" s="1"/>
  <c r="C156"/>
  <c r="B157" s="1"/>
  <c r="C10" i="42"/>
  <c r="B11" s="1"/>
  <c r="C22"/>
  <c r="B23" s="1"/>
  <c r="C33"/>
  <c r="B34" s="1"/>
  <c r="C63"/>
  <c r="B64" s="1"/>
  <c r="C81" i="41"/>
  <c r="B82" s="1"/>
  <c r="C71" i="1"/>
  <c r="B72" s="1"/>
  <c r="C93"/>
  <c r="B94" s="1"/>
  <c r="C58" i="41"/>
  <c r="B59" s="1"/>
  <c r="D58"/>
  <c r="C101"/>
  <c r="B102" s="1"/>
  <c r="D101"/>
  <c r="C30" i="1"/>
  <c r="B31" s="1"/>
  <c r="C86"/>
  <c r="B87" s="1"/>
  <c r="C87" l="1"/>
  <c r="B88" s="1"/>
  <c r="C72"/>
  <c r="B73" s="1"/>
  <c r="C102" i="41"/>
  <c r="B103" s="1"/>
  <c r="D103" s="1"/>
  <c r="C59"/>
  <c r="B60" s="1"/>
  <c r="C69"/>
  <c r="B70" s="1"/>
  <c r="D86" i="1"/>
  <c r="D30"/>
  <c r="D93"/>
  <c r="D71"/>
  <c r="D81" i="41"/>
  <c r="D63" i="42"/>
  <c r="D33"/>
  <c r="D22"/>
  <c r="D10"/>
  <c r="D156" i="1"/>
  <c r="D125"/>
  <c r="D111"/>
  <c r="D75" i="42"/>
  <c r="D68"/>
  <c r="D17"/>
  <c r="D164" i="1"/>
  <c r="D139"/>
  <c r="C31"/>
  <c r="B32" s="1"/>
  <c r="D31"/>
  <c r="C94"/>
  <c r="B95" s="1"/>
  <c r="D94"/>
  <c r="C82" i="41"/>
  <c r="B83" s="1"/>
  <c r="D82"/>
  <c r="C64" i="42"/>
  <c r="B65" s="1"/>
  <c r="D64"/>
  <c r="C34"/>
  <c r="B35" s="1"/>
  <c r="D34"/>
  <c r="C23"/>
  <c r="B24" s="1"/>
  <c r="D23"/>
  <c r="C11"/>
  <c r="B12" s="1"/>
  <c r="D11"/>
  <c r="C157" i="1"/>
  <c r="B158" s="1"/>
  <c r="D157"/>
  <c r="C126"/>
  <c r="B127" s="1"/>
  <c r="D126"/>
  <c r="C112"/>
  <c r="B113" s="1"/>
  <c r="D113" s="1"/>
  <c r="D112"/>
  <c r="C76" i="42"/>
  <c r="B77" s="1"/>
  <c r="D76"/>
  <c r="C69"/>
  <c r="B70" s="1"/>
  <c r="D69"/>
  <c r="C18"/>
  <c r="B19" s="1"/>
  <c r="D19" s="1"/>
  <c r="D18"/>
  <c r="C165" i="1"/>
  <c r="B166" s="1"/>
  <c r="D165"/>
  <c r="C140"/>
  <c r="B141" s="1"/>
  <c r="D141" s="1"/>
  <c r="D140"/>
  <c r="D68" i="41"/>
  <c r="C70" l="1"/>
  <c r="B71" s="1"/>
  <c r="C60"/>
  <c r="B61" s="1"/>
  <c r="D73" i="1"/>
  <c r="C73"/>
  <c r="B74" s="1"/>
  <c r="D88"/>
  <c r="C88"/>
  <c r="B89" s="1"/>
  <c r="D166"/>
  <c r="C166"/>
  <c r="B167" s="1"/>
  <c r="D70" i="42"/>
  <c r="C70"/>
  <c r="B71" s="1"/>
  <c r="D77"/>
  <c r="C77"/>
  <c r="B78" s="1"/>
  <c r="D127" i="1"/>
  <c r="C127"/>
  <c r="B128" s="1"/>
  <c r="D128" s="1"/>
  <c r="C158"/>
  <c r="B159" s="1"/>
  <c r="D159" s="1"/>
  <c r="C12" i="42"/>
  <c r="B13" s="1"/>
  <c r="C24"/>
  <c r="B25" s="1"/>
  <c r="C35"/>
  <c r="B36" s="1"/>
  <c r="C65"/>
  <c r="B66" s="1"/>
  <c r="D66" s="1"/>
  <c r="C83" i="41"/>
  <c r="B84" s="1"/>
  <c r="C95" i="1"/>
  <c r="B96" s="1"/>
  <c r="C32"/>
  <c r="B33" s="1"/>
  <c r="D69" i="41"/>
  <c r="D59"/>
  <c r="D102"/>
  <c r="D72" i="1"/>
  <c r="D87"/>
  <c r="C61" i="41" l="1"/>
  <c r="B62" s="1"/>
  <c r="C71"/>
  <c r="B72" s="1"/>
  <c r="D32" i="1"/>
  <c r="D95"/>
  <c r="D83" i="41"/>
  <c r="D65" i="42"/>
  <c r="D35"/>
  <c r="D24"/>
  <c r="D12"/>
  <c r="D158" i="1"/>
  <c r="C33"/>
  <c r="B34" s="1"/>
  <c r="D34" s="1"/>
  <c r="D33"/>
  <c r="C96"/>
  <c r="B97" s="1"/>
  <c r="C84" i="41"/>
  <c r="B85" s="1"/>
  <c r="C36" i="42"/>
  <c r="B37" s="1"/>
  <c r="C25"/>
  <c r="B26" s="1"/>
  <c r="C13"/>
  <c r="D13" s="1"/>
  <c r="C78"/>
  <c r="B79" s="1"/>
  <c r="C71"/>
  <c r="B72" s="1"/>
  <c r="C167" i="1"/>
  <c r="B168" s="1"/>
  <c r="D168" s="1"/>
  <c r="C89"/>
  <c r="B90" s="1"/>
  <c r="C74"/>
  <c r="B75" s="1"/>
  <c r="D60" i="41"/>
  <c r="D70"/>
  <c r="C75" i="1" l="1"/>
  <c r="B76" s="1"/>
  <c r="D90"/>
  <c r="C90"/>
  <c r="B91" s="1"/>
  <c r="D91" s="1"/>
  <c r="D72" i="42"/>
  <c r="C72"/>
  <c r="D79"/>
  <c r="C79"/>
  <c r="B80" s="1"/>
  <c r="D26"/>
  <c r="C26"/>
  <c r="B27" s="1"/>
  <c r="D37"/>
  <c r="C37"/>
  <c r="B38" s="1"/>
  <c r="D85" i="41"/>
  <c r="C85"/>
  <c r="B86" s="1"/>
  <c r="D97" i="1"/>
  <c r="C97"/>
  <c r="C72" i="41"/>
  <c r="B73" s="1"/>
  <c r="C62"/>
  <c r="B63" s="1"/>
  <c r="D74" i="1"/>
  <c r="D89"/>
  <c r="D167"/>
  <c r="D71" i="42"/>
  <c r="D78"/>
  <c r="D25"/>
  <c r="D36"/>
  <c r="D84" i="41"/>
  <c r="D96" i="1"/>
  <c r="D71" i="41"/>
  <c r="D61"/>
  <c r="C63" l="1"/>
  <c r="B64" s="1"/>
  <c r="C73"/>
  <c r="B74" s="1"/>
  <c r="D73"/>
  <c r="D75" i="1"/>
  <c r="C86" i="41"/>
  <c r="B87" s="1"/>
  <c r="C38" i="42"/>
  <c r="B39" s="1"/>
  <c r="C27"/>
  <c r="B28" s="1"/>
  <c r="D28" s="1"/>
  <c r="C80"/>
  <c r="B81" s="1"/>
  <c r="C76" i="1"/>
  <c r="B77" s="1"/>
  <c r="D62" i="41"/>
  <c r="D72"/>
  <c r="C77" i="1" l="1"/>
  <c r="B78" s="1"/>
  <c r="C74" i="41"/>
  <c r="B75" s="1"/>
  <c r="D74"/>
  <c r="C64"/>
  <c r="B65" s="1"/>
  <c r="D64"/>
  <c r="D76" i="1"/>
  <c r="D80" i="42"/>
  <c r="D27"/>
  <c r="D38"/>
  <c r="D86" i="41"/>
  <c r="D81" i="42"/>
  <c r="C81"/>
  <c r="B82" s="1"/>
  <c r="D39"/>
  <c r="C39"/>
  <c r="B40" s="1"/>
  <c r="D87" i="41"/>
  <c r="C87"/>
  <c r="B88" s="1"/>
  <c r="D63"/>
  <c r="C88" l="1"/>
  <c r="B89" s="1"/>
  <c r="D88"/>
  <c r="C40" i="42"/>
  <c r="B41" s="1"/>
  <c r="D40"/>
  <c r="C82"/>
  <c r="B83" s="1"/>
  <c r="D82"/>
  <c r="C65" i="41"/>
  <c r="B66" s="1"/>
  <c r="D66" s="1"/>
  <c r="C75"/>
  <c r="B76" s="1"/>
  <c r="D75"/>
  <c r="D77" i="1"/>
  <c r="C78"/>
  <c r="B79" s="1"/>
  <c r="C79" l="1"/>
  <c r="B80" s="1"/>
  <c r="C76" i="41"/>
  <c r="B77" s="1"/>
  <c r="D83" i="42"/>
  <c r="C83"/>
  <c r="B84" s="1"/>
  <c r="D41"/>
  <c r="C41"/>
  <c r="B42" s="1"/>
  <c r="D89" i="41"/>
  <c r="C89"/>
  <c r="B90" s="1"/>
  <c r="D78" i="1"/>
  <c r="D65" i="41"/>
  <c r="C77" l="1"/>
  <c r="B78" s="1"/>
  <c r="D78" s="1"/>
  <c r="D79" i="1"/>
  <c r="C90" i="41"/>
  <c r="B91" s="1"/>
  <c r="D90"/>
  <c r="C42" i="42"/>
  <c r="B43" s="1"/>
  <c r="D42"/>
  <c r="C84"/>
  <c r="B85" s="1"/>
  <c r="D84"/>
  <c r="C80" i="1"/>
  <c r="B81" s="1"/>
  <c r="D80"/>
  <c r="D76" i="41"/>
  <c r="C81" i="1" l="1"/>
  <c r="B82" s="1"/>
  <c r="C85" i="42"/>
  <c r="B86" s="1"/>
  <c r="C43"/>
  <c r="B44" s="1"/>
  <c r="C91" i="41"/>
  <c r="B92" s="1"/>
  <c r="D77"/>
  <c r="C44" i="42" l="1"/>
  <c r="B45" s="1"/>
  <c r="D44"/>
  <c r="D91" i="41"/>
  <c r="D43" i="42"/>
  <c r="D85"/>
  <c r="D81" i="1"/>
  <c r="C92" i="41"/>
  <c r="B93" s="1"/>
  <c r="D92"/>
  <c r="C86" i="42"/>
  <c r="B87" s="1"/>
  <c r="D86"/>
  <c r="C82" i="1"/>
  <c r="B83" s="1"/>
  <c r="D83" s="1"/>
  <c r="D82"/>
  <c r="C87" i="42" l="1"/>
  <c r="B88" s="1"/>
  <c r="C93" i="41"/>
  <c r="B94" s="1"/>
  <c r="C45" i="42"/>
  <c r="B46" s="1"/>
  <c r="C94" i="41" l="1"/>
  <c r="B95" s="1"/>
  <c r="D94"/>
  <c r="D45" i="42"/>
  <c r="D93" i="41"/>
  <c r="D87" i="42"/>
  <c r="C46"/>
  <c r="B47" s="1"/>
  <c r="C88"/>
  <c r="B89" s="1"/>
  <c r="C89" l="1"/>
  <c r="B90" s="1"/>
  <c r="C95" i="41"/>
  <c r="B96" s="1"/>
  <c r="D88" i="42"/>
  <c r="D46"/>
  <c r="C47"/>
  <c r="B48" s="1"/>
  <c r="C48" l="1"/>
  <c r="B49" s="1"/>
  <c r="D48"/>
  <c r="D47"/>
  <c r="D95" i="41"/>
  <c r="D89" i="42"/>
  <c r="C96" i="41"/>
  <c r="B97" s="1"/>
  <c r="D97" s="1"/>
  <c r="C90" i="42"/>
  <c r="B91" s="1"/>
  <c r="C91" l="1"/>
  <c r="B92" s="1"/>
  <c r="C49"/>
  <c r="B50" s="1"/>
  <c r="D90"/>
  <c r="D96" i="41"/>
  <c r="C50" i="42" l="1"/>
  <c r="B51" s="1"/>
  <c r="D50"/>
  <c r="D49"/>
  <c r="D91"/>
  <c r="C92"/>
  <c r="B93" s="1"/>
  <c r="D92"/>
  <c r="C93" l="1"/>
  <c r="B94" s="1"/>
  <c r="C51"/>
  <c r="B52" s="1"/>
  <c r="C52" l="1"/>
  <c r="B53" s="1"/>
  <c r="D52"/>
  <c r="D51"/>
  <c r="D93"/>
  <c r="C94"/>
  <c r="B95" s="1"/>
  <c r="D94"/>
  <c r="C95" l="1"/>
  <c r="B96" s="1"/>
  <c r="C53"/>
  <c r="B54" s="1"/>
  <c r="C54" l="1"/>
  <c r="B55" s="1"/>
  <c r="D54"/>
  <c r="D53"/>
  <c r="D95"/>
  <c r="C96"/>
  <c r="B97" s="1"/>
  <c r="D96"/>
  <c r="C97" l="1"/>
  <c r="B98" s="1"/>
  <c r="C55"/>
  <c r="B56" s="1"/>
  <c r="C56" l="1"/>
  <c r="B57" s="1"/>
  <c r="D56"/>
  <c r="D55"/>
  <c r="D97"/>
  <c r="C98"/>
  <c r="B99" s="1"/>
  <c r="D98"/>
  <c r="C99" l="1"/>
  <c r="B100" s="1"/>
  <c r="C57"/>
  <c r="B58" s="1"/>
  <c r="C58" l="1"/>
  <c r="B59" s="1"/>
  <c r="D58"/>
  <c r="D57"/>
  <c r="D99"/>
  <c r="C100"/>
  <c r="B101" s="1"/>
  <c r="D100"/>
  <c r="C101" l="1"/>
  <c r="B102" s="1"/>
  <c r="C59"/>
  <c r="B60" s="1"/>
  <c r="D60" s="1"/>
  <c r="D59" l="1"/>
  <c r="D101"/>
  <c r="C102"/>
  <c r="B103" s="1"/>
  <c r="D103" l="1"/>
  <c r="C103"/>
  <c r="B104" s="1"/>
  <c r="D102"/>
  <c r="C104" l="1"/>
  <c r="B105" s="1"/>
  <c r="C105" l="1"/>
  <c r="B106" s="1"/>
  <c r="D104"/>
  <c r="D105" l="1"/>
  <c r="C106"/>
  <c r="D106" s="1"/>
</calcChain>
</file>

<file path=xl/sharedStrings.xml><?xml version="1.0" encoding="utf-8"?>
<sst xmlns="http://schemas.openxmlformats.org/spreadsheetml/2006/main" count="84" uniqueCount="24">
  <si>
    <t>box</t>
  </si>
  <si>
    <t>~~~~~</t>
  </si>
  <si>
    <t>~~~~~~</t>
  </si>
  <si>
    <t>TOTALI</t>
  </si>
  <si>
    <t>top</t>
  </si>
  <si>
    <t>bottom</t>
  </si>
  <si>
    <t xml:space="preserve">ref. </t>
  </si>
  <si>
    <t>tot</t>
  </si>
  <si>
    <t>VOLC</t>
  </si>
  <si>
    <t>METAM</t>
  </si>
  <si>
    <t>DOL</t>
  </si>
  <si>
    <t>QTZ</t>
  </si>
  <si>
    <t>200-300 MBSF</t>
  </si>
  <si>
    <t>300-400 MBSF</t>
  </si>
  <si>
    <t>prim. VOLC</t>
  </si>
  <si>
    <t>MIS CORE - MODAL VARIATIONS IN CLAST LITHOLOGIES</t>
  </si>
  <si>
    <t>INTRU</t>
  </si>
  <si>
    <t>0-200 MBSF</t>
  </si>
  <si>
    <t>POM</t>
  </si>
  <si>
    <t>NUMBER of CLASTs PER LITOLOGY</t>
  </si>
  <si>
    <t>Depht</t>
  </si>
  <si>
    <t>Depth</t>
  </si>
  <si>
    <t>SED (Intraclasts+Beacon)</t>
  </si>
  <si>
    <t>Sed (INTRACL)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</si>
</sst>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2" fontId="2" fillId="0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2" fillId="0" borderId="0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85"/>
  <sheetViews>
    <sheetView tabSelected="1" zoomScale="9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H6" sqref="H6:I6"/>
    </sheetView>
  </sheetViews>
  <sheetFormatPr defaultRowHeight="12.75"/>
  <cols>
    <col min="1" max="1" width="5.42578125" style="2" customWidth="1"/>
    <col min="2" max="3" width="7.28515625" style="8" customWidth="1"/>
    <col min="4" max="4" width="10" style="8" customWidth="1"/>
    <col min="5" max="7" width="9.42578125" style="2" customWidth="1"/>
    <col min="8" max="9" width="9.42578125" style="9" customWidth="1"/>
    <col min="10" max="10" width="9.42578125" style="2" customWidth="1"/>
    <col min="11" max="11" width="11.85546875" style="2" customWidth="1"/>
    <col min="12" max="12" width="9.42578125" style="2" customWidth="1"/>
    <col min="13" max="13" width="8.28515625" style="3" customWidth="1"/>
    <col min="14" max="16384" width="9.140625" style="2"/>
  </cols>
  <sheetData>
    <row r="1" spans="1:13" ht="15.75">
      <c r="A1" s="11" t="s">
        <v>15</v>
      </c>
      <c r="B1" s="26"/>
      <c r="C1" s="26"/>
      <c r="D1" s="26"/>
      <c r="E1" s="1"/>
      <c r="F1" s="1"/>
      <c r="G1" s="1"/>
      <c r="H1" s="1"/>
    </row>
    <row r="2" spans="1:13">
      <c r="A2" s="12" t="s">
        <v>17</v>
      </c>
      <c r="B2" s="27"/>
      <c r="C2" s="14"/>
      <c r="D2" s="14"/>
      <c r="E2" s="9"/>
      <c r="F2" s="9"/>
      <c r="G2" s="9"/>
    </row>
    <row r="3" spans="1:13">
      <c r="A3" s="10"/>
      <c r="B3" s="14"/>
      <c r="C3" s="14"/>
      <c r="D3" s="14"/>
      <c r="E3" s="9"/>
      <c r="F3" s="9"/>
      <c r="G3" s="9"/>
    </row>
    <row r="5" spans="1:13" s="4" customFormat="1">
      <c r="B5" s="34" t="s">
        <v>20</v>
      </c>
      <c r="C5" s="34"/>
      <c r="D5" s="34"/>
      <c r="E5" s="34" t="s">
        <v>19</v>
      </c>
      <c r="F5" s="34"/>
      <c r="G5" s="34"/>
      <c r="H5" s="34"/>
      <c r="I5" s="34"/>
      <c r="J5" s="34"/>
      <c r="K5" s="34"/>
      <c r="L5" s="34"/>
      <c r="M5" s="5"/>
    </row>
    <row r="6" spans="1:13" s="6" customFormat="1" ht="18" customHeight="1">
      <c r="A6" s="6" t="s">
        <v>0</v>
      </c>
      <c r="B6" s="28" t="s">
        <v>4</v>
      </c>
      <c r="C6" s="28" t="s">
        <v>5</v>
      </c>
      <c r="D6" s="30" t="s">
        <v>6</v>
      </c>
      <c r="E6" s="7" t="s">
        <v>16</v>
      </c>
      <c r="F6" s="7" t="s">
        <v>11</v>
      </c>
      <c r="G6" s="7" t="s">
        <v>10</v>
      </c>
      <c r="H6" s="32" t="s">
        <v>22</v>
      </c>
      <c r="I6" s="32" t="s">
        <v>23</v>
      </c>
      <c r="J6" s="7" t="s">
        <v>8</v>
      </c>
      <c r="K6" s="7" t="s">
        <v>18</v>
      </c>
      <c r="L6" s="7" t="s">
        <v>9</v>
      </c>
      <c r="M6" s="7" t="s">
        <v>7</v>
      </c>
    </row>
    <row r="7" spans="1:13" s="18" customFormat="1" ht="12.75" customHeight="1">
      <c r="A7" s="15"/>
      <c r="B7" s="25">
        <v>19.55</v>
      </c>
      <c r="C7" s="25">
        <f>B7+1.1</f>
        <v>20.650000000000002</v>
      </c>
      <c r="D7" s="29">
        <f>B7+(C7-B7)/2</f>
        <v>20.100000000000001</v>
      </c>
      <c r="E7" s="19">
        <v>0</v>
      </c>
      <c r="F7" s="19">
        <v>0</v>
      </c>
      <c r="G7" s="19">
        <v>0</v>
      </c>
      <c r="H7" s="19">
        <v>1</v>
      </c>
      <c r="I7" s="17">
        <v>0</v>
      </c>
      <c r="J7" s="19">
        <v>11</v>
      </c>
      <c r="K7" s="17">
        <v>0</v>
      </c>
      <c r="L7" s="19">
        <v>0</v>
      </c>
      <c r="M7" s="3">
        <f>SUM(E7:L7)</f>
        <v>12</v>
      </c>
    </row>
    <row r="8" spans="1:13" s="20" customFormat="1">
      <c r="B8" s="21">
        <v>24.17</v>
      </c>
      <c r="C8" s="25">
        <v>25.02</v>
      </c>
      <c r="D8" s="29">
        <f>B8+(C8-B8)/2</f>
        <v>24.594999999999999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3">
        <f t="shared" ref="M8:M74" si="0">SUM(E8:L8)</f>
        <v>0</v>
      </c>
    </row>
    <row r="9" spans="1:13" s="20" customFormat="1">
      <c r="B9" s="21">
        <v>25.12</v>
      </c>
      <c r="C9" s="25">
        <v>26.26</v>
      </c>
      <c r="D9" s="29">
        <f t="shared" ref="D9:D75" si="1">B9+(C9-B9)/2</f>
        <v>25.69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3">
        <f t="shared" si="0"/>
        <v>0</v>
      </c>
    </row>
    <row r="10" spans="1:13" s="20" customFormat="1">
      <c r="B10" s="21">
        <v>26.4</v>
      </c>
      <c r="C10" s="25">
        <f t="shared" ref="C10:C75" si="2">B10+1</f>
        <v>27.4</v>
      </c>
      <c r="D10" s="29">
        <f t="shared" si="1"/>
        <v>26.9</v>
      </c>
      <c r="E10" s="17">
        <v>0</v>
      </c>
      <c r="F10" s="17">
        <v>2</v>
      </c>
      <c r="G10" s="17">
        <v>0</v>
      </c>
      <c r="H10" s="17">
        <v>34</v>
      </c>
      <c r="I10" s="17">
        <v>0</v>
      </c>
      <c r="J10" s="17">
        <v>6</v>
      </c>
      <c r="K10" s="17">
        <v>0</v>
      </c>
      <c r="L10" s="17">
        <v>0</v>
      </c>
      <c r="M10" s="3">
        <f t="shared" si="0"/>
        <v>42</v>
      </c>
    </row>
    <row r="11" spans="1:13" s="20" customFormat="1">
      <c r="B11" s="21">
        <f t="shared" ref="B11:B75" si="3">C10</f>
        <v>27.4</v>
      </c>
      <c r="C11" s="25">
        <v>28.29</v>
      </c>
      <c r="D11" s="29">
        <f t="shared" si="1"/>
        <v>27.844999999999999</v>
      </c>
      <c r="E11" s="17">
        <v>1</v>
      </c>
      <c r="F11" s="17">
        <v>0</v>
      </c>
      <c r="G11" s="17">
        <v>0</v>
      </c>
      <c r="H11" s="17">
        <v>9</v>
      </c>
      <c r="I11" s="17">
        <v>0</v>
      </c>
      <c r="J11" s="17">
        <v>27</v>
      </c>
      <c r="K11" s="17">
        <v>0</v>
      </c>
      <c r="L11" s="17">
        <v>0</v>
      </c>
      <c r="M11" s="3">
        <f t="shared" si="0"/>
        <v>37</v>
      </c>
    </row>
    <row r="12" spans="1:13" s="20" customFormat="1">
      <c r="B12" s="21">
        <v>28.32</v>
      </c>
      <c r="C12" s="25">
        <v>29.15</v>
      </c>
      <c r="D12" s="29">
        <f t="shared" si="1"/>
        <v>28.734999999999999</v>
      </c>
      <c r="E12" s="17">
        <v>0</v>
      </c>
      <c r="F12" s="17">
        <v>3</v>
      </c>
      <c r="G12" s="17">
        <v>0</v>
      </c>
      <c r="H12" s="17">
        <v>4</v>
      </c>
      <c r="I12" s="17">
        <v>0</v>
      </c>
      <c r="J12" s="17">
        <v>28</v>
      </c>
      <c r="K12" s="17">
        <v>0</v>
      </c>
      <c r="L12" s="17">
        <v>0</v>
      </c>
      <c r="M12" s="3">
        <f t="shared" si="0"/>
        <v>35</v>
      </c>
    </row>
    <row r="13" spans="1:13" s="20" customFormat="1">
      <c r="B13" s="21">
        <v>29.57</v>
      </c>
      <c r="C13" s="25">
        <v>29.87</v>
      </c>
      <c r="D13" s="29">
        <f t="shared" si="1"/>
        <v>29.72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6</v>
      </c>
      <c r="K13" s="17">
        <v>0</v>
      </c>
      <c r="L13" s="17">
        <v>2</v>
      </c>
      <c r="M13" s="3">
        <f t="shared" si="0"/>
        <v>8</v>
      </c>
    </row>
    <row r="14" spans="1:13" s="20" customFormat="1">
      <c r="B14" s="21">
        <v>30.11</v>
      </c>
      <c r="C14" s="25">
        <f t="shared" si="2"/>
        <v>31.11</v>
      </c>
      <c r="D14" s="29">
        <f t="shared" si="1"/>
        <v>30.61</v>
      </c>
      <c r="E14" s="17">
        <v>1</v>
      </c>
      <c r="F14" s="17">
        <v>4</v>
      </c>
      <c r="G14" s="17">
        <v>0</v>
      </c>
      <c r="H14" s="17">
        <v>6</v>
      </c>
      <c r="I14" s="17">
        <v>0</v>
      </c>
      <c r="J14" s="17">
        <v>74</v>
      </c>
      <c r="K14" s="17">
        <v>0</v>
      </c>
      <c r="L14" s="17">
        <v>0</v>
      </c>
      <c r="M14" s="3">
        <f t="shared" si="0"/>
        <v>85</v>
      </c>
    </row>
    <row r="15" spans="1:13" s="20" customFormat="1">
      <c r="B15" s="21">
        <f t="shared" si="3"/>
        <v>31.11</v>
      </c>
      <c r="C15" s="25">
        <f t="shared" si="2"/>
        <v>32.11</v>
      </c>
      <c r="D15" s="29">
        <f t="shared" si="1"/>
        <v>31.61</v>
      </c>
      <c r="E15" s="17">
        <v>0</v>
      </c>
      <c r="F15" s="17">
        <v>7</v>
      </c>
      <c r="G15" s="17">
        <v>0</v>
      </c>
      <c r="H15" s="17">
        <v>2</v>
      </c>
      <c r="I15" s="17">
        <v>0</v>
      </c>
      <c r="J15" s="17">
        <v>58</v>
      </c>
      <c r="K15" s="17">
        <v>0</v>
      </c>
      <c r="L15" s="17">
        <v>0</v>
      </c>
      <c r="M15" s="3">
        <f t="shared" si="0"/>
        <v>67</v>
      </c>
    </row>
    <row r="16" spans="1:13" s="20" customFormat="1">
      <c r="B16" s="21">
        <f t="shared" si="3"/>
        <v>32.11</v>
      </c>
      <c r="C16" s="25">
        <v>33.31</v>
      </c>
      <c r="D16" s="29">
        <f t="shared" si="1"/>
        <v>32.71</v>
      </c>
      <c r="E16" s="17">
        <v>0</v>
      </c>
      <c r="F16" s="17">
        <v>5</v>
      </c>
      <c r="G16" s="17">
        <v>0</v>
      </c>
      <c r="H16" s="17">
        <v>3</v>
      </c>
      <c r="I16" s="17">
        <v>0</v>
      </c>
      <c r="J16" s="17">
        <v>53</v>
      </c>
      <c r="K16" s="17">
        <v>0</v>
      </c>
      <c r="L16" s="17">
        <v>1</v>
      </c>
      <c r="M16" s="3">
        <f t="shared" si="0"/>
        <v>62</v>
      </c>
    </row>
    <row r="17" spans="1:13" s="20" customFormat="1">
      <c r="B17" s="21">
        <v>33.36</v>
      </c>
      <c r="C17" s="25">
        <f t="shared" si="2"/>
        <v>34.36</v>
      </c>
      <c r="D17" s="29">
        <f t="shared" si="1"/>
        <v>33.86</v>
      </c>
      <c r="E17" s="17">
        <v>0</v>
      </c>
      <c r="F17" s="17">
        <v>5</v>
      </c>
      <c r="G17" s="17">
        <v>0</v>
      </c>
      <c r="H17" s="17">
        <v>3</v>
      </c>
      <c r="I17" s="17">
        <v>0</v>
      </c>
      <c r="J17" s="17">
        <v>31</v>
      </c>
      <c r="K17" s="17">
        <v>0</v>
      </c>
      <c r="L17" s="17">
        <v>1</v>
      </c>
      <c r="M17" s="3">
        <f t="shared" si="0"/>
        <v>40</v>
      </c>
    </row>
    <row r="18" spans="1:13" s="20" customFormat="1">
      <c r="B18" s="21">
        <f t="shared" si="3"/>
        <v>34.36</v>
      </c>
      <c r="C18" s="25">
        <f t="shared" si="2"/>
        <v>35.36</v>
      </c>
      <c r="D18" s="29">
        <f t="shared" si="1"/>
        <v>34.86</v>
      </c>
      <c r="E18" s="17">
        <v>0</v>
      </c>
      <c r="F18" s="17">
        <v>15</v>
      </c>
      <c r="G18" s="17">
        <v>0</v>
      </c>
      <c r="H18" s="17">
        <v>3</v>
      </c>
      <c r="I18" s="17">
        <v>0</v>
      </c>
      <c r="J18" s="17">
        <v>49</v>
      </c>
      <c r="K18" s="17">
        <v>0</v>
      </c>
      <c r="L18" s="17">
        <v>6</v>
      </c>
      <c r="M18" s="3">
        <f t="shared" si="0"/>
        <v>73</v>
      </c>
    </row>
    <row r="19" spans="1:13" s="20" customFormat="1">
      <c r="B19" s="21">
        <f t="shared" si="3"/>
        <v>35.36</v>
      </c>
      <c r="C19" s="25">
        <v>35.96</v>
      </c>
      <c r="D19" s="29">
        <f t="shared" si="1"/>
        <v>35.659999999999997</v>
      </c>
      <c r="E19" s="17">
        <v>0</v>
      </c>
      <c r="F19" s="17">
        <v>5</v>
      </c>
      <c r="G19" s="17">
        <v>0</v>
      </c>
      <c r="H19" s="17">
        <v>1</v>
      </c>
      <c r="I19" s="17">
        <v>0</v>
      </c>
      <c r="J19" s="17">
        <v>57</v>
      </c>
      <c r="K19" s="17">
        <v>0</v>
      </c>
      <c r="L19" s="17">
        <v>4</v>
      </c>
      <c r="M19" s="3">
        <f t="shared" si="0"/>
        <v>67</v>
      </c>
    </row>
    <row r="20" spans="1:13" s="20" customFormat="1">
      <c r="A20" s="16"/>
      <c r="B20" s="21">
        <v>36.11</v>
      </c>
      <c r="C20" s="25">
        <f t="shared" si="2"/>
        <v>37.11</v>
      </c>
      <c r="D20" s="29">
        <f t="shared" si="1"/>
        <v>36.61</v>
      </c>
      <c r="E20" s="17">
        <v>0</v>
      </c>
      <c r="F20" s="17">
        <v>5</v>
      </c>
      <c r="G20" s="17">
        <v>0</v>
      </c>
      <c r="H20" s="17">
        <v>2</v>
      </c>
      <c r="I20" s="17">
        <v>0</v>
      </c>
      <c r="J20" s="17">
        <v>50</v>
      </c>
      <c r="K20" s="17">
        <v>0</v>
      </c>
      <c r="L20" s="17">
        <v>2</v>
      </c>
      <c r="M20" s="3">
        <f t="shared" si="0"/>
        <v>59</v>
      </c>
    </row>
    <row r="21" spans="1:13" s="20" customFormat="1">
      <c r="B21" s="21">
        <f t="shared" si="3"/>
        <v>37.11</v>
      </c>
      <c r="C21" s="25">
        <f t="shared" si="2"/>
        <v>38.11</v>
      </c>
      <c r="D21" s="29">
        <f t="shared" si="1"/>
        <v>37.61</v>
      </c>
      <c r="E21" s="17">
        <v>1</v>
      </c>
      <c r="F21" s="17">
        <v>9</v>
      </c>
      <c r="G21" s="17">
        <v>1</v>
      </c>
      <c r="H21" s="17">
        <v>0</v>
      </c>
      <c r="I21" s="17">
        <v>0</v>
      </c>
      <c r="J21" s="17">
        <v>31</v>
      </c>
      <c r="K21" s="17">
        <v>0</v>
      </c>
      <c r="L21" s="17">
        <v>2</v>
      </c>
      <c r="M21" s="3">
        <f t="shared" si="0"/>
        <v>44</v>
      </c>
    </row>
    <row r="22" spans="1:13" s="20" customFormat="1">
      <c r="B22" s="21">
        <f t="shared" si="3"/>
        <v>38.11</v>
      </c>
      <c r="C22" s="25">
        <f t="shared" si="2"/>
        <v>39.11</v>
      </c>
      <c r="D22" s="29">
        <f t="shared" si="1"/>
        <v>38.61</v>
      </c>
      <c r="E22" s="17">
        <v>0</v>
      </c>
      <c r="F22" s="17">
        <v>5</v>
      </c>
      <c r="G22" s="17">
        <v>3</v>
      </c>
      <c r="H22" s="17">
        <v>0</v>
      </c>
      <c r="I22" s="17">
        <v>0</v>
      </c>
      <c r="J22" s="17">
        <v>30</v>
      </c>
      <c r="K22" s="17">
        <v>0</v>
      </c>
      <c r="L22" s="17">
        <v>1</v>
      </c>
      <c r="M22" s="3">
        <f t="shared" si="0"/>
        <v>39</v>
      </c>
    </row>
    <row r="23" spans="1:13" s="20" customFormat="1">
      <c r="B23" s="21">
        <f t="shared" si="3"/>
        <v>39.11</v>
      </c>
      <c r="C23" s="25">
        <v>39.479999999999997</v>
      </c>
      <c r="D23" s="29">
        <f t="shared" si="1"/>
        <v>39.295000000000002</v>
      </c>
      <c r="E23" s="17">
        <v>0</v>
      </c>
      <c r="F23" s="17">
        <v>0</v>
      </c>
      <c r="G23" s="17">
        <v>0</v>
      </c>
      <c r="H23" s="17">
        <v>0</v>
      </c>
      <c r="I23" s="17">
        <v>3</v>
      </c>
      <c r="J23" s="17">
        <v>4</v>
      </c>
      <c r="K23" s="17">
        <v>1</v>
      </c>
      <c r="L23" s="17">
        <v>2</v>
      </c>
      <c r="M23" s="3">
        <f>SUM(E23:L23)</f>
        <v>10</v>
      </c>
    </row>
    <row r="24" spans="1:13" s="20" customFormat="1">
      <c r="B24" s="21">
        <v>40.299999999999997</v>
      </c>
      <c r="C24" s="25">
        <f>B24+1</f>
        <v>41.3</v>
      </c>
      <c r="D24" s="29">
        <f t="shared" si="1"/>
        <v>40.799999999999997</v>
      </c>
      <c r="E24" s="17">
        <v>3</v>
      </c>
      <c r="F24" s="17">
        <v>4</v>
      </c>
      <c r="G24" s="17">
        <v>0</v>
      </c>
      <c r="H24" s="17">
        <v>0</v>
      </c>
      <c r="I24" s="17">
        <v>5</v>
      </c>
      <c r="J24" s="17">
        <v>47</v>
      </c>
      <c r="K24" s="17">
        <v>2</v>
      </c>
      <c r="L24" s="17">
        <v>3</v>
      </c>
      <c r="M24" s="3">
        <f>SUM(E24:L24)</f>
        <v>64</v>
      </c>
    </row>
    <row r="25" spans="1:13" s="20" customFormat="1">
      <c r="B25" s="21">
        <f t="shared" si="3"/>
        <v>41.3</v>
      </c>
      <c r="C25" s="25">
        <v>41.8</v>
      </c>
      <c r="D25" s="29">
        <f t="shared" si="1"/>
        <v>41.55</v>
      </c>
      <c r="E25" s="17">
        <v>0</v>
      </c>
      <c r="F25" s="17">
        <v>0</v>
      </c>
      <c r="G25" s="17">
        <v>1</v>
      </c>
      <c r="H25" s="17">
        <v>3</v>
      </c>
      <c r="I25" s="17">
        <v>12</v>
      </c>
      <c r="J25" s="17">
        <v>29</v>
      </c>
      <c r="K25" s="17">
        <v>0</v>
      </c>
      <c r="L25" s="17">
        <v>4</v>
      </c>
      <c r="M25" s="3">
        <f>SUM(E25:L25)</f>
        <v>49</v>
      </c>
    </row>
    <row r="26" spans="1:13" s="20" customFormat="1">
      <c r="B26" s="21">
        <v>41.88</v>
      </c>
      <c r="C26" s="25">
        <f t="shared" si="2"/>
        <v>42.88</v>
      </c>
      <c r="D26" s="29">
        <f t="shared" si="1"/>
        <v>42.38</v>
      </c>
      <c r="E26" s="17">
        <v>0</v>
      </c>
      <c r="F26" s="17">
        <v>7</v>
      </c>
      <c r="G26" s="17">
        <v>5</v>
      </c>
      <c r="H26" s="17">
        <v>5</v>
      </c>
      <c r="I26" s="17">
        <v>0</v>
      </c>
      <c r="J26" s="17">
        <v>24</v>
      </c>
      <c r="K26" s="17">
        <v>0</v>
      </c>
      <c r="L26" s="17">
        <v>0</v>
      </c>
      <c r="M26" s="3">
        <f t="shared" si="0"/>
        <v>41</v>
      </c>
    </row>
    <row r="27" spans="1:13" s="20" customFormat="1">
      <c r="B27" s="21">
        <f t="shared" si="3"/>
        <v>42.88</v>
      </c>
      <c r="C27" s="25">
        <v>43.75</v>
      </c>
      <c r="D27" s="29">
        <f t="shared" si="1"/>
        <v>43.314999999999998</v>
      </c>
      <c r="E27" s="17">
        <v>0</v>
      </c>
      <c r="F27" s="17">
        <v>4</v>
      </c>
      <c r="G27" s="17">
        <v>2</v>
      </c>
      <c r="H27" s="17">
        <v>5</v>
      </c>
      <c r="I27" s="17">
        <v>0</v>
      </c>
      <c r="J27" s="17">
        <v>47</v>
      </c>
      <c r="K27" s="17">
        <v>0</v>
      </c>
      <c r="L27" s="17">
        <v>5</v>
      </c>
      <c r="M27" s="3">
        <f t="shared" si="0"/>
        <v>63</v>
      </c>
    </row>
    <row r="28" spans="1:13" s="20" customFormat="1">
      <c r="B28" s="21">
        <f t="shared" si="3"/>
        <v>43.75</v>
      </c>
      <c r="C28" s="25">
        <v>44.73</v>
      </c>
      <c r="D28" s="29">
        <f t="shared" si="1"/>
        <v>44.239999999999995</v>
      </c>
      <c r="E28" s="17">
        <v>5</v>
      </c>
      <c r="F28" s="17">
        <v>0</v>
      </c>
      <c r="G28" s="17">
        <v>1</v>
      </c>
      <c r="H28" s="17">
        <v>34</v>
      </c>
      <c r="I28" s="17">
        <v>0</v>
      </c>
      <c r="J28" s="17">
        <v>31</v>
      </c>
      <c r="K28" s="17">
        <v>0</v>
      </c>
      <c r="L28" s="17">
        <v>6</v>
      </c>
      <c r="M28" s="3">
        <f t="shared" si="0"/>
        <v>77</v>
      </c>
    </row>
    <row r="29" spans="1:13" s="20" customFormat="1">
      <c r="B29" s="21">
        <f t="shared" si="3"/>
        <v>44.73</v>
      </c>
      <c r="C29" s="25">
        <f t="shared" si="2"/>
        <v>45.73</v>
      </c>
      <c r="D29" s="29">
        <f t="shared" si="1"/>
        <v>45.23</v>
      </c>
      <c r="E29" s="17">
        <v>10</v>
      </c>
      <c r="F29" s="17">
        <v>1</v>
      </c>
      <c r="G29" s="17">
        <v>0</v>
      </c>
      <c r="H29" s="17">
        <v>22</v>
      </c>
      <c r="I29" s="17">
        <v>0</v>
      </c>
      <c r="J29" s="17">
        <v>28</v>
      </c>
      <c r="K29" s="17">
        <v>0</v>
      </c>
      <c r="L29" s="17">
        <v>6</v>
      </c>
      <c r="M29" s="3">
        <f t="shared" si="0"/>
        <v>67</v>
      </c>
    </row>
    <row r="30" spans="1:13" s="20" customFormat="1">
      <c r="B30" s="21">
        <f t="shared" si="3"/>
        <v>45.73</v>
      </c>
      <c r="C30" s="25">
        <f t="shared" si="2"/>
        <v>46.73</v>
      </c>
      <c r="D30" s="29">
        <f t="shared" si="1"/>
        <v>46.23</v>
      </c>
      <c r="E30" s="17">
        <v>5</v>
      </c>
      <c r="F30" s="17">
        <v>2</v>
      </c>
      <c r="G30" s="17">
        <v>2</v>
      </c>
      <c r="H30" s="17">
        <v>59</v>
      </c>
      <c r="I30" s="17">
        <v>0</v>
      </c>
      <c r="J30" s="17">
        <v>18</v>
      </c>
      <c r="K30" s="17">
        <v>0</v>
      </c>
      <c r="L30" s="17">
        <v>5</v>
      </c>
      <c r="M30" s="3">
        <f t="shared" si="0"/>
        <v>91</v>
      </c>
    </row>
    <row r="31" spans="1:13" s="20" customFormat="1">
      <c r="B31" s="21">
        <f t="shared" si="3"/>
        <v>46.73</v>
      </c>
      <c r="C31" s="25">
        <f t="shared" si="2"/>
        <v>47.73</v>
      </c>
      <c r="D31" s="29">
        <f t="shared" si="1"/>
        <v>47.23</v>
      </c>
      <c r="E31" s="17">
        <v>5</v>
      </c>
      <c r="F31" s="17">
        <v>5</v>
      </c>
      <c r="G31" s="17">
        <v>5</v>
      </c>
      <c r="H31" s="17">
        <v>40</v>
      </c>
      <c r="I31" s="17">
        <v>0</v>
      </c>
      <c r="J31" s="17">
        <v>17</v>
      </c>
      <c r="K31" s="17">
        <v>0</v>
      </c>
      <c r="L31" s="17">
        <v>4</v>
      </c>
      <c r="M31" s="3">
        <f t="shared" si="0"/>
        <v>76</v>
      </c>
    </row>
    <row r="32" spans="1:13" s="20" customFormat="1">
      <c r="B32" s="21">
        <f t="shared" si="3"/>
        <v>47.73</v>
      </c>
      <c r="C32" s="25">
        <f t="shared" si="2"/>
        <v>48.73</v>
      </c>
      <c r="D32" s="29">
        <f t="shared" si="1"/>
        <v>48.23</v>
      </c>
      <c r="E32" s="17">
        <v>12</v>
      </c>
      <c r="F32" s="17">
        <v>3</v>
      </c>
      <c r="G32" s="17">
        <v>1</v>
      </c>
      <c r="H32" s="17">
        <v>15</v>
      </c>
      <c r="I32" s="17">
        <v>0</v>
      </c>
      <c r="J32" s="17">
        <v>49</v>
      </c>
      <c r="K32" s="17">
        <v>0</v>
      </c>
      <c r="L32" s="17">
        <v>2</v>
      </c>
      <c r="M32" s="3">
        <f t="shared" si="0"/>
        <v>82</v>
      </c>
    </row>
    <row r="33" spans="1:13" s="20" customFormat="1">
      <c r="B33" s="21">
        <f t="shared" si="3"/>
        <v>48.73</v>
      </c>
      <c r="C33" s="25">
        <f t="shared" si="2"/>
        <v>49.73</v>
      </c>
      <c r="D33" s="29">
        <f t="shared" si="1"/>
        <v>49.23</v>
      </c>
      <c r="E33" s="17">
        <v>2</v>
      </c>
      <c r="F33" s="17">
        <v>9</v>
      </c>
      <c r="G33" s="17">
        <v>0</v>
      </c>
      <c r="H33" s="17">
        <v>38</v>
      </c>
      <c r="I33" s="17">
        <v>0</v>
      </c>
      <c r="J33" s="17">
        <v>31</v>
      </c>
      <c r="K33" s="17">
        <v>0</v>
      </c>
      <c r="L33" s="17">
        <v>2</v>
      </c>
      <c r="M33" s="3">
        <f t="shared" si="0"/>
        <v>82</v>
      </c>
    </row>
    <row r="34" spans="1:13" s="20" customFormat="1">
      <c r="B34" s="21">
        <f t="shared" si="3"/>
        <v>49.73</v>
      </c>
      <c r="C34" s="25">
        <v>50.77</v>
      </c>
      <c r="D34" s="29">
        <f t="shared" si="1"/>
        <v>50.25</v>
      </c>
      <c r="E34" s="17">
        <v>10</v>
      </c>
      <c r="F34" s="17">
        <v>3</v>
      </c>
      <c r="G34" s="17">
        <v>1</v>
      </c>
      <c r="H34" s="17">
        <v>9</v>
      </c>
      <c r="I34" s="17">
        <v>0</v>
      </c>
      <c r="J34" s="17">
        <v>100</v>
      </c>
      <c r="K34" s="17">
        <v>0</v>
      </c>
      <c r="L34" s="17">
        <v>1</v>
      </c>
      <c r="M34" s="3">
        <f t="shared" si="0"/>
        <v>124</v>
      </c>
    </row>
    <row r="35" spans="1:13" s="20" customFormat="1">
      <c r="B35" s="21">
        <f t="shared" si="3"/>
        <v>50.77</v>
      </c>
      <c r="C35" s="25">
        <v>51.29</v>
      </c>
      <c r="D35" s="29">
        <f t="shared" si="1"/>
        <v>51.03</v>
      </c>
      <c r="E35" s="17">
        <v>3</v>
      </c>
      <c r="F35" s="17">
        <v>7</v>
      </c>
      <c r="G35" s="17">
        <v>0</v>
      </c>
      <c r="H35" s="17">
        <v>10</v>
      </c>
      <c r="I35" s="17">
        <v>0</v>
      </c>
      <c r="J35" s="17">
        <v>58</v>
      </c>
      <c r="K35" s="17">
        <v>0</v>
      </c>
      <c r="L35" s="17">
        <v>7</v>
      </c>
      <c r="M35" s="3">
        <f t="shared" si="0"/>
        <v>85</v>
      </c>
    </row>
    <row r="36" spans="1:13" s="20" customFormat="1">
      <c r="B36" s="21">
        <v>52.61</v>
      </c>
      <c r="C36" s="25">
        <v>53.71</v>
      </c>
      <c r="D36" s="29">
        <f t="shared" si="1"/>
        <v>53.16</v>
      </c>
      <c r="E36" s="17">
        <v>25</v>
      </c>
      <c r="F36" s="17">
        <v>6</v>
      </c>
      <c r="G36" s="17">
        <v>3</v>
      </c>
      <c r="H36" s="17">
        <v>8</v>
      </c>
      <c r="I36" s="17">
        <v>0</v>
      </c>
      <c r="J36" s="17">
        <v>102</v>
      </c>
      <c r="K36" s="17">
        <v>0</v>
      </c>
      <c r="L36" s="17">
        <v>41</v>
      </c>
      <c r="M36" s="3">
        <f t="shared" si="0"/>
        <v>185</v>
      </c>
    </row>
    <row r="37" spans="1:13" s="20" customFormat="1">
      <c r="B37" s="21">
        <f t="shared" si="3"/>
        <v>53.71</v>
      </c>
      <c r="C37" s="25">
        <v>54.67</v>
      </c>
      <c r="D37" s="29">
        <f t="shared" si="1"/>
        <v>54.19</v>
      </c>
      <c r="E37" s="17">
        <v>11</v>
      </c>
      <c r="F37" s="17">
        <v>5</v>
      </c>
      <c r="G37" s="17">
        <v>2</v>
      </c>
      <c r="H37" s="17">
        <v>4</v>
      </c>
      <c r="I37" s="17">
        <v>0</v>
      </c>
      <c r="J37" s="17">
        <v>34</v>
      </c>
      <c r="K37" s="17">
        <v>0</v>
      </c>
      <c r="L37" s="17">
        <v>10</v>
      </c>
      <c r="M37" s="3">
        <f t="shared" si="0"/>
        <v>66</v>
      </c>
    </row>
    <row r="38" spans="1:13" s="20" customFormat="1">
      <c r="B38" s="21">
        <v>54.72</v>
      </c>
      <c r="C38" s="25">
        <f t="shared" si="2"/>
        <v>55.72</v>
      </c>
      <c r="D38" s="29">
        <f t="shared" si="1"/>
        <v>55.22</v>
      </c>
      <c r="E38" s="17">
        <v>0</v>
      </c>
      <c r="F38" s="17">
        <v>2</v>
      </c>
      <c r="G38" s="17">
        <v>2</v>
      </c>
      <c r="H38" s="17">
        <v>3</v>
      </c>
      <c r="I38" s="17">
        <v>0</v>
      </c>
      <c r="J38" s="17">
        <v>17</v>
      </c>
      <c r="K38" s="17">
        <v>0</v>
      </c>
      <c r="L38" s="17">
        <v>18</v>
      </c>
      <c r="M38" s="3">
        <f t="shared" si="0"/>
        <v>42</v>
      </c>
    </row>
    <row r="39" spans="1:13" s="20" customFormat="1">
      <c r="B39" s="21">
        <f t="shared" si="3"/>
        <v>55.72</v>
      </c>
      <c r="C39" s="25">
        <v>56.52</v>
      </c>
      <c r="D39" s="29">
        <f t="shared" si="1"/>
        <v>56.120000000000005</v>
      </c>
      <c r="E39" s="17">
        <v>3</v>
      </c>
      <c r="F39" s="17">
        <v>4</v>
      </c>
      <c r="G39" s="17">
        <v>0</v>
      </c>
      <c r="H39" s="17">
        <v>21</v>
      </c>
      <c r="I39" s="17">
        <v>0</v>
      </c>
      <c r="J39" s="17">
        <v>7</v>
      </c>
      <c r="K39" s="17">
        <v>0</v>
      </c>
      <c r="L39" s="17">
        <v>11</v>
      </c>
      <c r="M39" s="3">
        <f t="shared" si="0"/>
        <v>46</v>
      </c>
    </row>
    <row r="40" spans="1:13" s="20" customFormat="1">
      <c r="B40" s="21">
        <v>56.72</v>
      </c>
      <c r="C40" s="25">
        <v>57.48</v>
      </c>
      <c r="D40" s="29">
        <f t="shared" si="1"/>
        <v>57.099999999999994</v>
      </c>
      <c r="E40" s="17">
        <v>6</v>
      </c>
      <c r="F40" s="17">
        <v>1</v>
      </c>
      <c r="G40" s="17">
        <v>2</v>
      </c>
      <c r="H40" s="17">
        <v>16</v>
      </c>
      <c r="I40" s="17">
        <v>0</v>
      </c>
      <c r="J40" s="17">
        <v>13</v>
      </c>
      <c r="K40" s="17">
        <v>0</v>
      </c>
      <c r="L40" s="17">
        <v>11</v>
      </c>
      <c r="M40" s="3">
        <f t="shared" si="0"/>
        <v>49</v>
      </c>
    </row>
    <row r="41" spans="1:13" s="20" customFormat="1">
      <c r="B41" s="21">
        <v>57.57</v>
      </c>
      <c r="C41" s="25">
        <f t="shared" si="2"/>
        <v>58.57</v>
      </c>
      <c r="D41" s="29">
        <f t="shared" si="1"/>
        <v>58.07</v>
      </c>
      <c r="E41" s="17">
        <v>5</v>
      </c>
      <c r="F41" s="17">
        <v>7</v>
      </c>
      <c r="G41" s="17">
        <v>0</v>
      </c>
      <c r="H41" s="17">
        <v>7</v>
      </c>
      <c r="I41" s="17">
        <v>0</v>
      </c>
      <c r="J41" s="17">
        <v>25</v>
      </c>
      <c r="K41" s="17">
        <v>0</v>
      </c>
      <c r="L41" s="17">
        <v>12</v>
      </c>
      <c r="M41" s="3">
        <f t="shared" si="0"/>
        <v>56</v>
      </c>
    </row>
    <row r="42" spans="1:13" s="20" customFormat="1">
      <c r="A42" s="16"/>
      <c r="B42" s="21">
        <f t="shared" si="3"/>
        <v>58.57</v>
      </c>
      <c r="C42" s="25">
        <f t="shared" si="2"/>
        <v>59.57</v>
      </c>
      <c r="D42" s="29">
        <f t="shared" si="1"/>
        <v>59.07</v>
      </c>
      <c r="E42" s="17">
        <v>7</v>
      </c>
      <c r="F42" s="17">
        <v>3</v>
      </c>
      <c r="G42" s="17">
        <v>2</v>
      </c>
      <c r="H42" s="17">
        <v>31</v>
      </c>
      <c r="I42" s="17">
        <v>0</v>
      </c>
      <c r="J42" s="17">
        <v>20</v>
      </c>
      <c r="K42" s="17">
        <v>0</v>
      </c>
      <c r="L42" s="17">
        <v>8</v>
      </c>
      <c r="M42" s="3">
        <f t="shared" si="0"/>
        <v>71</v>
      </c>
    </row>
    <row r="43" spans="1:13" s="20" customFormat="1">
      <c r="A43" s="16"/>
      <c r="B43" s="21">
        <f t="shared" si="3"/>
        <v>59.57</v>
      </c>
      <c r="C43" s="25">
        <v>60.54</v>
      </c>
      <c r="D43" s="29">
        <f t="shared" si="1"/>
        <v>60.055</v>
      </c>
      <c r="E43" s="17">
        <v>12</v>
      </c>
      <c r="F43" s="17">
        <v>3</v>
      </c>
      <c r="G43" s="17">
        <v>5</v>
      </c>
      <c r="H43" s="17">
        <v>21</v>
      </c>
      <c r="I43" s="17">
        <v>0</v>
      </c>
      <c r="J43" s="17">
        <v>19</v>
      </c>
      <c r="K43" s="17">
        <v>0</v>
      </c>
      <c r="L43" s="17">
        <v>7</v>
      </c>
      <c r="M43" s="3">
        <f t="shared" si="0"/>
        <v>67</v>
      </c>
    </row>
    <row r="44" spans="1:13" s="20" customFormat="1">
      <c r="A44" s="16"/>
      <c r="B44" s="21">
        <v>60.62</v>
      </c>
      <c r="C44" s="25">
        <f t="shared" si="2"/>
        <v>61.62</v>
      </c>
      <c r="D44" s="29">
        <f t="shared" si="1"/>
        <v>61.12</v>
      </c>
      <c r="E44" s="17">
        <v>8</v>
      </c>
      <c r="F44" s="17">
        <v>9</v>
      </c>
      <c r="G44" s="17">
        <v>1</v>
      </c>
      <c r="H44" s="17">
        <v>7</v>
      </c>
      <c r="I44" s="17">
        <v>0</v>
      </c>
      <c r="J44" s="17">
        <v>26</v>
      </c>
      <c r="K44" s="17">
        <v>0</v>
      </c>
      <c r="L44" s="17">
        <v>10</v>
      </c>
      <c r="M44" s="3">
        <f t="shared" si="0"/>
        <v>61</v>
      </c>
    </row>
    <row r="45" spans="1:13" s="20" customFormat="1">
      <c r="A45" s="16"/>
      <c r="B45" s="21">
        <f t="shared" si="3"/>
        <v>61.62</v>
      </c>
      <c r="C45" s="25">
        <f t="shared" si="2"/>
        <v>62.62</v>
      </c>
      <c r="D45" s="29">
        <f t="shared" si="1"/>
        <v>62.12</v>
      </c>
      <c r="E45" s="17">
        <v>16</v>
      </c>
      <c r="F45" s="17">
        <v>16</v>
      </c>
      <c r="G45" s="17">
        <v>3</v>
      </c>
      <c r="H45" s="17">
        <v>14</v>
      </c>
      <c r="I45" s="17">
        <v>0</v>
      </c>
      <c r="J45" s="17">
        <v>48</v>
      </c>
      <c r="K45" s="17">
        <v>0</v>
      </c>
      <c r="L45" s="17">
        <v>5</v>
      </c>
      <c r="M45" s="3">
        <f t="shared" si="0"/>
        <v>102</v>
      </c>
    </row>
    <row r="46" spans="1:13" s="20" customFormat="1">
      <c r="A46" s="16"/>
      <c r="B46" s="21">
        <f t="shared" si="3"/>
        <v>62.62</v>
      </c>
      <c r="C46" s="25">
        <f t="shared" si="2"/>
        <v>63.62</v>
      </c>
      <c r="D46" s="29">
        <f t="shared" si="1"/>
        <v>63.12</v>
      </c>
      <c r="E46" s="17">
        <v>18</v>
      </c>
      <c r="F46" s="17">
        <v>8</v>
      </c>
      <c r="G46" s="17">
        <v>0</v>
      </c>
      <c r="H46" s="17">
        <v>14</v>
      </c>
      <c r="I46" s="17">
        <v>0</v>
      </c>
      <c r="J46" s="17">
        <v>43</v>
      </c>
      <c r="K46" s="17">
        <v>0</v>
      </c>
      <c r="L46" s="17">
        <v>15</v>
      </c>
      <c r="M46" s="3">
        <f t="shared" si="0"/>
        <v>98</v>
      </c>
    </row>
    <row r="47" spans="1:13" s="20" customFormat="1">
      <c r="A47" s="16"/>
      <c r="B47" s="21">
        <f t="shared" si="3"/>
        <v>63.62</v>
      </c>
      <c r="C47" s="25">
        <v>64.67</v>
      </c>
      <c r="D47" s="29">
        <f t="shared" si="1"/>
        <v>64.144999999999996</v>
      </c>
      <c r="E47" s="17">
        <v>12</v>
      </c>
      <c r="F47" s="17">
        <v>6</v>
      </c>
      <c r="G47" s="17">
        <v>2</v>
      </c>
      <c r="H47" s="17">
        <v>7</v>
      </c>
      <c r="I47" s="17">
        <v>0</v>
      </c>
      <c r="J47" s="17">
        <v>15</v>
      </c>
      <c r="K47" s="17">
        <v>0</v>
      </c>
      <c r="L47" s="17">
        <v>24</v>
      </c>
      <c r="M47" s="3">
        <f t="shared" si="0"/>
        <v>66</v>
      </c>
    </row>
    <row r="48" spans="1:13" s="20" customFormat="1">
      <c r="A48" s="16"/>
      <c r="B48" s="21">
        <f t="shared" si="3"/>
        <v>64.67</v>
      </c>
      <c r="C48" s="25">
        <f t="shared" si="2"/>
        <v>65.67</v>
      </c>
      <c r="D48" s="29">
        <f t="shared" si="1"/>
        <v>65.17</v>
      </c>
      <c r="E48" s="17">
        <v>18</v>
      </c>
      <c r="F48" s="17">
        <v>11</v>
      </c>
      <c r="G48" s="17">
        <v>2</v>
      </c>
      <c r="H48" s="17">
        <v>11</v>
      </c>
      <c r="I48" s="17">
        <v>0</v>
      </c>
      <c r="J48" s="17">
        <v>25</v>
      </c>
      <c r="K48" s="17">
        <v>0</v>
      </c>
      <c r="L48" s="17">
        <v>12</v>
      </c>
      <c r="M48" s="3">
        <f t="shared" si="0"/>
        <v>79</v>
      </c>
    </row>
    <row r="49" spans="1:13" s="20" customFormat="1">
      <c r="A49" s="16"/>
      <c r="B49" s="21">
        <f t="shared" si="3"/>
        <v>65.67</v>
      </c>
      <c r="C49" s="25">
        <f t="shared" si="2"/>
        <v>66.67</v>
      </c>
      <c r="D49" s="29">
        <f t="shared" si="1"/>
        <v>66.17</v>
      </c>
      <c r="E49" s="17">
        <v>10</v>
      </c>
      <c r="F49" s="17">
        <v>9</v>
      </c>
      <c r="G49" s="17">
        <v>3</v>
      </c>
      <c r="H49" s="17">
        <v>9</v>
      </c>
      <c r="I49" s="17">
        <v>0</v>
      </c>
      <c r="J49" s="17">
        <v>16</v>
      </c>
      <c r="K49" s="17">
        <v>0</v>
      </c>
      <c r="L49" s="17">
        <v>37</v>
      </c>
      <c r="M49" s="3">
        <f t="shared" si="0"/>
        <v>84</v>
      </c>
    </row>
    <row r="50" spans="1:13" s="20" customFormat="1">
      <c r="A50" s="16"/>
      <c r="B50" s="21">
        <f t="shared" si="3"/>
        <v>66.67</v>
      </c>
      <c r="C50" s="25">
        <v>67.66</v>
      </c>
      <c r="D50" s="29">
        <f t="shared" si="1"/>
        <v>67.164999999999992</v>
      </c>
      <c r="E50" s="17">
        <v>21</v>
      </c>
      <c r="F50" s="17">
        <v>3</v>
      </c>
      <c r="G50" s="17">
        <v>1</v>
      </c>
      <c r="H50" s="17">
        <v>13</v>
      </c>
      <c r="I50" s="17">
        <v>0</v>
      </c>
      <c r="J50" s="17">
        <v>9</v>
      </c>
      <c r="K50" s="17">
        <v>0</v>
      </c>
      <c r="L50" s="17">
        <v>25</v>
      </c>
      <c r="M50" s="3">
        <f t="shared" si="0"/>
        <v>72</v>
      </c>
    </row>
    <row r="51" spans="1:13" s="20" customFormat="1">
      <c r="A51" s="16"/>
      <c r="B51" s="21">
        <f t="shared" si="3"/>
        <v>67.66</v>
      </c>
      <c r="C51" s="25">
        <f t="shared" si="2"/>
        <v>68.66</v>
      </c>
      <c r="D51" s="29">
        <f t="shared" si="1"/>
        <v>68.16</v>
      </c>
      <c r="E51" s="17">
        <v>33</v>
      </c>
      <c r="F51" s="17">
        <v>1</v>
      </c>
      <c r="G51" s="17">
        <v>2</v>
      </c>
      <c r="H51" s="17">
        <v>17</v>
      </c>
      <c r="I51" s="17">
        <v>0</v>
      </c>
      <c r="J51" s="17">
        <v>9</v>
      </c>
      <c r="K51" s="17">
        <v>0</v>
      </c>
      <c r="L51" s="17">
        <v>21</v>
      </c>
      <c r="M51" s="3">
        <f t="shared" si="0"/>
        <v>83</v>
      </c>
    </row>
    <row r="52" spans="1:13" s="20" customFormat="1">
      <c r="B52" s="21">
        <f t="shared" si="3"/>
        <v>68.66</v>
      </c>
      <c r="C52" s="25">
        <v>69.62</v>
      </c>
      <c r="D52" s="29">
        <f t="shared" si="1"/>
        <v>69.14</v>
      </c>
      <c r="E52" s="17">
        <v>13</v>
      </c>
      <c r="F52" s="17">
        <v>3</v>
      </c>
      <c r="G52" s="17">
        <v>1</v>
      </c>
      <c r="H52" s="17">
        <v>3</v>
      </c>
      <c r="I52" s="17">
        <v>0</v>
      </c>
      <c r="J52" s="17">
        <v>0</v>
      </c>
      <c r="K52" s="17">
        <v>0</v>
      </c>
      <c r="L52" s="17">
        <v>20</v>
      </c>
      <c r="M52" s="3">
        <f t="shared" si="0"/>
        <v>40</v>
      </c>
    </row>
    <row r="53" spans="1:13" s="20" customFormat="1">
      <c r="B53" s="21">
        <v>69.64</v>
      </c>
      <c r="C53" s="25">
        <f t="shared" si="2"/>
        <v>70.64</v>
      </c>
      <c r="D53" s="29">
        <f t="shared" si="1"/>
        <v>70.14</v>
      </c>
      <c r="E53" s="17">
        <v>8</v>
      </c>
      <c r="F53" s="17">
        <v>6</v>
      </c>
      <c r="G53" s="17">
        <v>5</v>
      </c>
      <c r="H53" s="17">
        <v>8</v>
      </c>
      <c r="I53" s="17">
        <v>0</v>
      </c>
      <c r="J53" s="17">
        <v>8</v>
      </c>
      <c r="K53" s="17">
        <v>0</v>
      </c>
      <c r="L53" s="17">
        <v>21</v>
      </c>
      <c r="M53" s="3">
        <f t="shared" si="0"/>
        <v>56</v>
      </c>
    </row>
    <row r="54" spans="1:13" s="20" customFormat="1">
      <c r="B54" s="21">
        <f t="shared" si="3"/>
        <v>70.64</v>
      </c>
      <c r="C54" s="25">
        <f t="shared" si="2"/>
        <v>71.64</v>
      </c>
      <c r="D54" s="29">
        <f t="shared" si="1"/>
        <v>71.14</v>
      </c>
      <c r="E54" s="17">
        <v>3</v>
      </c>
      <c r="F54" s="17">
        <v>10</v>
      </c>
      <c r="G54" s="17">
        <v>0</v>
      </c>
      <c r="H54" s="17">
        <v>11</v>
      </c>
      <c r="I54" s="17">
        <v>0</v>
      </c>
      <c r="J54" s="17">
        <v>20</v>
      </c>
      <c r="K54" s="17">
        <v>0</v>
      </c>
      <c r="L54" s="17">
        <v>18</v>
      </c>
      <c r="M54" s="3">
        <f t="shared" si="0"/>
        <v>62</v>
      </c>
    </row>
    <row r="55" spans="1:13" s="20" customFormat="1">
      <c r="B55" s="21">
        <f t="shared" si="3"/>
        <v>71.64</v>
      </c>
      <c r="C55" s="25">
        <v>72.28</v>
      </c>
      <c r="D55" s="29">
        <f t="shared" si="1"/>
        <v>71.960000000000008</v>
      </c>
      <c r="E55" s="17">
        <v>5</v>
      </c>
      <c r="F55" s="17">
        <v>14</v>
      </c>
      <c r="G55" s="17">
        <v>2</v>
      </c>
      <c r="H55" s="17">
        <v>5</v>
      </c>
      <c r="I55" s="17">
        <v>0</v>
      </c>
      <c r="J55" s="17">
        <v>12</v>
      </c>
      <c r="K55" s="17">
        <v>0</v>
      </c>
      <c r="L55" s="17">
        <v>10</v>
      </c>
      <c r="M55" s="3">
        <f t="shared" si="0"/>
        <v>48</v>
      </c>
    </row>
    <row r="56" spans="1:13" s="20" customFormat="1">
      <c r="B56" s="21">
        <f t="shared" si="3"/>
        <v>72.28</v>
      </c>
      <c r="C56" s="25">
        <f t="shared" si="2"/>
        <v>73.28</v>
      </c>
      <c r="D56" s="29">
        <f t="shared" si="1"/>
        <v>72.78</v>
      </c>
      <c r="E56" s="17">
        <v>11</v>
      </c>
      <c r="F56" s="17">
        <v>9</v>
      </c>
      <c r="G56" s="17">
        <v>4</v>
      </c>
      <c r="H56" s="17">
        <v>12</v>
      </c>
      <c r="I56" s="17">
        <v>0</v>
      </c>
      <c r="J56" s="17">
        <v>11</v>
      </c>
      <c r="K56" s="17">
        <v>0</v>
      </c>
      <c r="L56" s="17">
        <v>14</v>
      </c>
      <c r="M56" s="3">
        <f t="shared" si="0"/>
        <v>61</v>
      </c>
    </row>
    <row r="57" spans="1:13" s="20" customFormat="1">
      <c r="B57" s="21">
        <f t="shared" si="3"/>
        <v>73.28</v>
      </c>
      <c r="C57" s="25">
        <f t="shared" si="2"/>
        <v>74.28</v>
      </c>
      <c r="D57" s="29">
        <f t="shared" si="1"/>
        <v>73.78</v>
      </c>
      <c r="E57" s="17">
        <v>14</v>
      </c>
      <c r="F57" s="17">
        <v>8</v>
      </c>
      <c r="G57" s="17">
        <v>0</v>
      </c>
      <c r="H57" s="17">
        <v>7</v>
      </c>
      <c r="I57" s="17">
        <v>0</v>
      </c>
      <c r="J57" s="17">
        <v>17</v>
      </c>
      <c r="K57" s="17">
        <v>0</v>
      </c>
      <c r="L57" s="17">
        <v>23</v>
      </c>
      <c r="M57" s="3">
        <f t="shared" si="0"/>
        <v>69</v>
      </c>
    </row>
    <row r="58" spans="1:13" s="20" customFormat="1">
      <c r="B58" s="21">
        <f t="shared" si="3"/>
        <v>74.28</v>
      </c>
      <c r="C58" s="25">
        <v>75.150000000000006</v>
      </c>
      <c r="D58" s="29">
        <f t="shared" si="1"/>
        <v>74.715000000000003</v>
      </c>
      <c r="E58" s="17">
        <v>13</v>
      </c>
      <c r="F58" s="17">
        <v>6</v>
      </c>
      <c r="G58" s="17">
        <v>0</v>
      </c>
      <c r="H58" s="17">
        <v>4</v>
      </c>
      <c r="I58" s="17">
        <v>0</v>
      </c>
      <c r="J58" s="17">
        <v>14</v>
      </c>
      <c r="K58" s="17">
        <v>0</v>
      </c>
      <c r="L58" s="17">
        <v>16</v>
      </c>
      <c r="M58" s="3">
        <f t="shared" si="0"/>
        <v>53</v>
      </c>
    </row>
    <row r="59" spans="1:13" s="20" customFormat="1">
      <c r="B59" s="21">
        <f t="shared" si="3"/>
        <v>75.150000000000006</v>
      </c>
      <c r="C59" s="25">
        <f t="shared" si="2"/>
        <v>76.150000000000006</v>
      </c>
      <c r="D59" s="29">
        <f t="shared" si="1"/>
        <v>75.650000000000006</v>
      </c>
      <c r="E59" s="17">
        <v>15</v>
      </c>
      <c r="F59" s="17">
        <v>26</v>
      </c>
      <c r="G59" s="17">
        <v>1</v>
      </c>
      <c r="H59" s="17">
        <v>17</v>
      </c>
      <c r="I59" s="17">
        <v>44</v>
      </c>
      <c r="J59" s="17">
        <v>20</v>
      </c>
      <c r="K59" s="17">
        <v>0</v>
      </c>
      <c r="L59" s="17">
        <v>11</v>
      </c>
      <c r="M59" s="3">
        <f t="shared" si="0"/>
        <v>134</v>
      </c>
    </row>
    <row r="60" spans="1:13" s="20" customFormat="1">
      <c r="B60" s="21">
        <v>76.17</v>
      </c>
      <c r="C60" s="25">
        <f t="shared" si="2"/>
        <v>77.17</v>
      </c>
      <c r="D60" s="29">
        <f t="shared" si="1"/>
        <v>76.67</v>
      </c>
      <c r="E60" s="17">
        <v>19</v>
      </c>
      <c r="F60" s="17">
        <v>8</v>
      </c>
      <c r="G60" s="17">
        <v>0</v>
      </c>
      <c r="H60" s="17">
        <v>4</v>
      </c>
      <c r="I60" s="17">
        <v>12</v>
      </c>
      <c r="J60" s="17">
        <v>6</v>
      </c>
      <c r="K60" s="17">
        <v>0</v>
      </c>
      <c r="L60" s="17">
        <v>20</v>
      </c>
      <c r="M60" s="3">
        <f t="shared" si="0"/>
        <v>69</v>
      </c>
    </row>
    <row r="61" spans="1:13" s="20" customFormat="1">
      <c r="B61" s="21">
        <f t="shared" si="3"/>
        <v>77.17</v>
      </c>
      <c r="C61" s="25">
        <v>78.06</v>
      </c>
      <c r="D61" s="29">
        <f t="shared" si="1"/>
        <v>77.615000000000009</v>
      </c>
      <c r="E61" s="17">
        <v>7</v>
      </c>
      <c r="F61" s="17">
        <v>8</v>
      </c>
      <c r="G61" s="17">
        <v>0</v>
      </c>
      <c r="H61" s="17">
        <v>18</v>
      </c>
      <c r="I61" s="17">
        <v>26</v>
      </c>
      <c r="J61" s="17">
        <v>11</v>
      </c>
      <c r="K61" s="17">
        <v>0</v>
      </c>
      <c r="L61" s="17">
        <v>18</v>
      </c>
      <c r="M61" s="3">
        <f t="shared" si="0"/>
        <v>88</v>
      </c>
    </row>
    <row r="62" spans="1:13" s="20" customFormat="1">
      <c r="B62" s="21">
        <v>78.17</v>
      </c>
      <c r="C62" s="25">
        <f t="shared" si="2"/>
        <v>79.17</v>
      </c>
      <c r="D62" s="29">
        <f t="shared" si="1"/>
        <v>78.67</v>
      </c>
      <c r="E62" s="17">
        <v>15</v>
      </c>
      <c r="F62" s="17">
        <v>8</v>
      </c>
      <c r="G62" s="17">
        <v>0</v>
      </c>
      <c r="H62" s="17">
        <v>23</v>
      </c>
      <c r="I62" s="17">
        <v>31</v>
      </c>
      <c r="J62" s="17">
        <v>8</v>
      </c>
      <c r="K62" s="17">
        <v>0</v>
      </c>
      <c r="L62" s="17">
        <v>21</v>
      </c>
      <c r="M62" s="3">
        <f t="shared" si="0"/>
        <v>106</v>
      </c>
    </row>
    <row r="63" spans="1:13" s="20" customFormat="1">
      <c r="B63" s="21">
        <f t="shared" si="3"/>
        <v>79.17</v>
      </c>
      <c r="C63" s="25">
        <f t="shared" si="2"/>
        <v>80.17</v>
      </c>
      <c r="D63" s="29">
        <f t="shared" si="1"/>
        <v>79.67</v>
      </c>
      <c r="E63" s="17">
        <v>18</v>
      </c>
      <c r="F63" s="17">
        <v>10</v>
      </c>
      <c r="G63" s="17">
        <v>1</v>
      </c>
      <c r="H63" s="17">
        <v>7</v>
      </c>
      <c r="I63" s="17">
        <v>18</v>
      </c>
      <c r="J63" s="17">
        <v>16</v>
      </c>
      <c r="K63" s="17">
        <v>0</v>
      </c>
      <c r="L63" s="17">
        <v>12</v>
      </c>
      <c r="M63" s="3">
        <f t="shared" si="0"/>
        <v>82</v>
      </c>
    </row>
    <row r="64" spans="1:13" s="20" customFormat="1">
      <c r="B64" s="21">
        <f t="shared" si="3"/>
        <v>80.17</v>
      </c>
      <c r="C64" s="25">
        <v>80.89</v>
      </c>
      <c r="D64" s="29">
        <f t="shared" si="1"/>
        <v>80.53</v>
      </c>
      <c r="E64" s="17">
        <v>11</v>
      </c>
      <c r="F64" s="17">
        <v>19</v>
      </c>
      <c r="G64" s="17">
        <v>0</v>
      </c>
      <c r="H64" s="17">
        <v>9</v>
      </c>
      <c r="I64" s="17">
        <v>28</v>
      </c>
      <c r="J64" s="17">
        <v>5</v>
      </c>
      <c r="K64" s="17">
        <v>0</v>
      </c>
      <c r="L64" s="17">
        <v>19</v>
      </c>
      <c r="M64" s="3">
        <f t="shared" si="0"/>
        <v>91</v>
      </c>
    </row>
    <row r="65" spans="2:13" s="20" customFormat="1">
      <c r="B65" s="21">
        <f t="shared" si="3"/>
        <v>80.89</v>
      </c>
      <c r="C65" s="25">
        <f t="shared" si="2"/>
        <v>81.89</v>
      </c>
      <c r="D65" s="29">
        <f t="shared" si="1"/>
        <v>81.39</v>
      </c>
      <c r="E65" s="17">
        <v>26</v>
      </c>
      <c r="F65" s="17">
        <v>5</v>
      </c>
      <c r="G65" s="17">
        <v>0</v>
      </c>
      <c r="H65" s="17">
        <v>16</v>
      </c>
      <c r="I65" s="17">
        <v>21</v>
      </c>
      <c r="J65" s="17">
        <v>23</v>
      </c>
      <c r="K65" s="17">
        <v>0</v>
      </c>
      <c r="L65" s="17">
        <v>8</v>
      </c>
      <c r="M65" s="3">
        <f t="shared" si="0"/>
        <v>99</v>
      </c>
    </row>
    <row r="66" spans="2:13" s="20" customFormat="1">
      <c r="B66" s="21">
        <f t="shared" si="3"/>
        <v>81.89</v>
      </c>
      <c r="C66" s="25">
        <f t="shared" si="2"/>
        <v>82.89</v>
      </c>
      <c r="D66" s="29">
        <f t="shared" si="1"/>
        <v>82.39</v>
      </c>
      <c r="E66" s="17">
        <v>7</v>
      </c>
      <c r="F66" s="17">
        <v>4</v>
      </c>
      <c r="G66" s="17">
        <v>0</v>
      </c>
      <c r="H66" s="17">
        <v>13</v>
      </c>
      <c r="I66" s="17">
        <v>17</v>
      </c>
      <c r="J66" s="17">
        <v>50</v>
      </c>
      <c r="K66" s="17">
        <v>0</v>
      </c>
      <c r="L66" s="17">
        <v>3</v>
      </c>
      <c r="M66" s="3">
        <f t="shared" si="0"/>
        <v>94</v>
      </c>
    </row>
    <row r="67" spans="2:13" s="20" customFormat="1">
      <c r="B67" s="21">
        <f t="shared" si="3"/>
        <v>82.89</v>
      </c>
      <c r="C67" s="25">
        <v>83.84</v>
      </c>
      <c r="D67" s="29">
        <f t="shared" si="1"/>
        <v>83.365000000000009</v>
      </c>
      <c r="E67" s="17">
        <v>0</v>
      </c>
      <c r="F67" s="17">
        <v>0</v>
      </c>
      <c r="G67" s="17">
        <v>0</v>
      </c>
      <c r="H67" s="17">
        <v>0</v>
      </c>
      <c r="I67" s="17">
        <v>19</v>
      </c>
      <c r="J67" s="17">
        <v>19</v>
      </c>
      <c r="K67" s="17">
        <v>0</v>
      </c>
      <c r="L67" s="17">
        <v>0</v>
      </c>
      <c r="M67" s="3">
        <f t="shared" si="0"/>
        <v>38</v>
      </c>
    </row>
    <row r="68" spans="2:13" s="20" customFormat="1">
      <c r="B68" s="21">
        <f t="shared" si="3"/>
        <v>83.84</v>
      </c>
      <c r="C68" s="25">
        <v>84.92</v>
      </c>
      <c r="D68" s="29">
        <f t="shared" si="1"/>
        <v>84.38</v>
      </c>
      <c r="E68" s="17">
        <v>1</v>
      </c>
      <c r="F68" s="17">
        <v>0</v>
      </c>
      <c r="G68" s="17">
        <v>0</v>
      </c>
      <c r="H68" s="17">
        <v>1</v>
      </c>
      <c r="I68" s="17">
        <v>0</v>
      </c>
      <c r="J68" s="17">
        <v>10</v>
      </c>
      <c r="K68" s="17">
        <v>0</v>
      </c>
      <c r="L68" s="17">
        <v>2</v>
      </c>
      <c r="M68" s="3">
        <f t="shared" si="0"/>
        <v>14</v>
      </c>
    </row>
    <row r="69" spans="2:13" s="20" customFormat="1">
      <c r="B69" s="21">
        <f t="shared" si="3"/>
        <v>84.92</v>
      </c>
      <c r="C69" s="25">
        <f t="shared" si="2"/>
        <v>85.92</v>
      </c>
      <c r="D69" s="29">
        <f t="shared" si="1"/>
        <v>85.42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3">
        <f t="shared" si="0"/>
        <v>0</v>
      </c>
    </row>
    <row r="70" spans="2:13" s="20" customFormat="1">
      <c r="B70" s="21">
        <f t="shared" si="3"/>
        <v>85.92</v>
      </c>
      <c r="C70" s="25">
        <f t="shared" si="2"/>
        <v>86.92</v>
      </c>
      <c r="D70" s="29">
        <f t="shared" si="1"/>
        <v>86.42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9</v>
      </c>
      <c r="K70" s="17">
        <v>0</v>
      </c>
      <c r="L70" s="17">
        <v>0</v>
      </c>
      <c r="M70" s="3">
        <f t="shared" si="0"/>
        <v>9</v>
      </c>
    </row>
    <row r="71" spans="2:13" s="20" customFormat="1">
      <c r="B71" s="21">
        <f t="shared" si="3"/>
        <v>86.92</v>
      </c>
      <c r="C71" s="25">
        <f t="shared" si="2"/>
        <v>87.92</v>
      </c>
      <c r="D71" s="29">
        <f t="shared" si="1"/>
        <v>87.42</v>
      </c>
      <c r="E71" s="17">
        <v>2</v>
      </c>
      <c r="F71" s="17">
        <v>3</v>
      </c>
      <c r="G71" s="17">
        <v>0</v>
      </c>
      <c r="H71" s="17">
        <v>6</v>
      </c>
      <c r="I71" s="17">
        <v>0</v>
      </c>
      <c r="J71" s="17">
        <v>71</v>
      </c>
      <c r="K71" s="17">
        <v>0</v>
      </c>
      <c r="L71" s="17">
        <v>0</v>
      </c>
      <c r="M71" s="3">
        <f t="shared" si="0"/>
        <v>82</v>
      </c>
    </row>
    <row r="72" spans="2:13" s="20" customFormat="1">
      <c r="B72" s="21">
        <f t="shared" si="3"/>
        <v>87.92</v>
      </c>
      <c r="C72" s="25">
        <f t="shared" si="2"/>
        <v>88.92</v>
      </c>
      <c r="D72" s="29">
        <f t="shared" si="1"/>
        <v>88.42</v>
      </c>
      <c r="E72" s="17">
        <v>0</v>
      </c>
      <c r="F72" s="17">
        <v>1</v>
      </c>
      <c r="G72" s="17">
        <v>0</v>
      </c>
      <c r="H72" s="17">
        <v>4</v>
      </c>
      <c r="I72" s="17">
        <v>0</v>
      </c>
      <c r="J72" s="17">
        <v>54</v>
      </c>
      <c r="K72" s="17">
        <v>0</v>
      </c>
      <c r="L72" s="17">
        <v>2</v>
      </c>
      <c r="M72" s="3">
        <f t="shared" si="0"/>
        <v>61</v>
      </c>
    </row>
    <row r="73" spans="2:13" s="20" customFormat="1">
      <c r="B73" s="21">
        <f t="shared" si="3"/>
        <v>88.92</v>
      </c>
      <c r="C73" s="25">
        <f t="shared" si="2"/>
        <v>89.92</v>
      </c>
      <c r="D73" s="29">
        <f t="shared" si="1"/>
        <v>89.42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46</v>
      </c>
      <c r="K73" s="17">
        <v>0</v>
      </c>
      <c r="L73" s="17">
        <v>0</v>
      </c>
      <c r="M73" s="3">
        <f t="shared" si="0"/>
        <v>46</v>
      </c>
    </row>
    <row r="74" spans="2:13" s="20" customFormat="1">
      <c r="B74" s="21">
        <f t="shared" si="3"/>
        <v>89.92</v>
      </c>
      <c r="C74" s="25">
        <f t="shared" si="2"/>
        <v>90.92</v>
      </c>
      <c r="D74" s="29">
        <f t="shared" si="1"/>
        <v>90.42</v>
      </c>
      <c r="E74" s="17">
        <v>0</v>
      </c>
      <c r="F74" s="17">
        <v>0</v>
      </c>
      <c r="G74" s="17">
        <v>0</v>
      </c>
      <c r="H74" s="17">
        <v>10</v>
      </c>
      <c r="I74" s="17">
        <v>0</v>
      </c>
      <c r="J74" s="17">
        <v>16</v>
      </c>
      <c r="K74" s="17">
        <v>0</v>
      </c>
      <c r="L74" s="17">
        <v>0</v>
      </c>
      <c r="M74" s="3">
        <f t="shared" si="0"/>
        <v>26</v>
      </c>
    </row>
    <row r="75" spans="2:13" s="20" customFormat="1">
      <c r="B75" s="21">
        <f t="shared" si="3"/>
        <v>90.92</v>
      </c>
      <c r="C75" s="25">
        <f t="shared" si="2"/>
        <v>91.92</v>
      </c>
      <c r="D75" s="29">
        <f t="shared" si="1"/>
        <v>91.42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81</v>
      </c>
      <c r="K75" s="17">
        <v>0</v>
      </c>
      <c r="L75" s="17">
        <v>0</v>
      </c>
      <c r="M75" s="3">
        <f t="shared" ref="M75:M109" si="4">SUM(E75:L75)</f>
        <v>81</v>
      </c>
    </row>
    <row r="76" spans="2:13" s="20" customFormat="1">
      <c r="B76" s="21">
        <f t="shared" ref="B76:B109" si="5">C75</f>
        <v>91.92</v>
      </c>
      <c r="C76" s="25">
        <f t="shared" ref="C76:C139" si="6">B76+1</f>
        <v>92.92</v>
      </c>
      <c r="D76" s="29">
        <f t="shared" ref="D76:D109" si="7">B76+(C76-B76)/2</f>
        <v>92.42</v>
      </c>
      <c r="E76" s="17">
        <v>0</v>
      </c>
      <c r="F76" s="17">
        <v>1</v>
      </c>
      <c r="G76" s="17">
        <v>0</v>
      </c>
      <c r="H76" s="17">
        <v>8</v>
      </c>
      <c r="I76" s="17">
        <v>0</v>
      </c>
      <c r="J76" s="17">
        <v>65</v>
      </c>
      <c r="K76" s="17">
        <v>0</v>
      </c>
      <c r="L76" s="17">
        <v>0</v>
      </c>
      <c r="M76" s="3">
        <f t="shared" si="4"/>
        <v>74</v>
      </c>
    </row>
    <row r="77" spans="2:13" s="20" customFormat="1">
      <c r="B77" s="21">
        <f t="shared" si="5"/>
        <v>92.92</v>
      </c>
      <c r="C77" s="25">
        <f t="shared" si="6"/>
        <v>93.92</v>
      </c>
      <c r="D77" s="29">
        <f t="shared" si="7"/>
        <v>93.42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115</v>
      </c>
      <c r="K77" s="17">
        <v>0</v>
      </c>
      <c r="L77" s="17">
        <v>0</v>
      </c>
      <c r="M77" s="3">
        <f t="shared" si="4"/>
        <v>115</v>
      </c>
    </row>
    <row r="78" spans="2:13" s="20" customFormat="1">
      <c r="B78" s="21">
        <f t="shared" si="5"/>
        <v>93.92</v>
      </c>
      <c r="C78" s="25">
        <f t="shared" si="6"/>
        <v>94.92</v>
      </c>
      <c r="D78" s="29">
        <f t="shared" si="7"/>
        <v>94.42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221</v>
      </c>
      <c r="K78" s="17">
        <v>0</v>
      </c>
      <c r="L78" s="17">
        <v>0</v>
      </c>
      <c r="M78" s="3">
        <f t="shared" si="4"/>
        <v>221</v>
      </c>
    </row>
    <row r="79" spans="2:13" s="20" customFormat="1">
      <c r="B79" s="21">
        <f t="shared" si="5"/>
        <v>94.92</v>
      </c>
      <c r="C79" s="25">
        <f t="shared" si="6"/>
        <v>95.92</v>
      </c>
      <c r="D79" s="29">
        <f t="shared" si="7"/>
        <v>95.42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1</v>
      </c>
      <c r="K79" s="17">
        <v>0</v>
      </c>
      <c r="L79" s="17">
        <v>0</v>
      </c>
      <c r="M79" s="3">
        <f t="shared" si="4"/>
        <v>1</v>
      </c>
    </row>
    <row r="80" spans="2:13" s="20" customFormat="1">
      <c r="B80" s="21">
        <f t="shared" si="5"/>
        <v>95.92</v>
      </c>
      <c r="C80" s="25">
        <f t="shared" si="6"/>
        <v>96.92</v>
      </c>
      <c r="D80" s="29">
        <f t="shared" si="7"/>
        <v>96.42</v>
      </c>
      <c r="E80" s="17">
        <v>1</v>
      </c>
      <c r="F80" s="17">
        <v>0</v>
      </c>
      <c r="G80" s="17">
        <v>0</v>
      </c>
      <c r="H80" s="17">
        <v>4</v>
      </c>
      <c r="I80" s="17">
        <v>0</v>
      </c>
      <c r="J80" s="17">
        <v>27</v>
      </c>
      <c r="K80" s="17">
        <v>0</v>
      </c>
      <c r="L80" s="17">
        <v>18</v>
      </c>
      <c r="M80" s="3">
        <f t="shared" si="4"/>
        <v>50</v>
      </c>
    </row>
    <row r="81" spans="2:13" s="20" customFormat="1">
      <c r="B81" s="21">
        <f t="shared" si="5"/>
        <v>96.92</v>
      </c>
      <c r="C81" s="25">
        <f t="shared" si="6"/>
        <v>97.92</v>
      </c>
      <c r="D81" s="29">
        <f t="shared" si="7"/>
        <v>97.42</v>
      </c>
      <c r="E81" s="17">
        <v>1</v>
      </c>
      <c r="F81" s="17">
        <v>1</v>
      </c>
      <c r="G81" s="17">
        <v>1</v>
      </c>
      <c r="H81" s="17">
        <v>4</v>
      </c>
      <c r="I81" s="17">
        <v>0</v>
      </c>
      <c r="J81" s="17">
        <v>23</v>
      </c>
      <c r="K81" s="17">
        <v>0</v>
      </c>
      <c r="L81" s="17">
        <v>5</v>
      </c>
      <c r="M81" s="3">
        <f t="shared" si="4"/>
        <v>35</v>
      </c>
    </row>
    <row r="82" spans="2:13" s="20" customFormat="1">
      <c r="B82" s="21">
        <f t="shared" si="5"/>
        <v>97.92</v>
      </c>
      <c r="C82" s="25">
        <f t="shared" si="6"/>
        <v>98.92</v>
      </c>
      <c r="D82" s="29">
        <f t="shared" si="7"/>
        <v>98.42</v>
      </c>
      <c r="E82" s="17">
        <v>7</v>
      </c>
      <c r="F82" s="17">
        <v>5</v>
      </c>
      <c r="G82" s="17">
        <v>0</v>
      </c>
      <c r="H82" s="17">
        <v>4</v>
      </c>
      <c r="I82" s="17">
        <v>0</v>
      </c>
      <c r="J82" s="17">
        <v>53</v>
      </c>
      <c r="K82" s="17">
        <v>0</v>
      </c>
      <c r="L82" s="17">
        <v>15</v>
      </c>
      <c r="M82" s="3">
        <f t="shared" si="4"/>
        <v>84</v>
      </c>
    </row>
    <row r="83" spans="2:13" s="20" customFormat="1">
      <c r="B83" s="21">
        <f t="shared" si="5"/>
        <v>98.92</v>
      </c>
      <c r="C83" s="25">
        <v>99.94</v>
      </c>
      <c r="D83" s="29">
        <f t="shared" si="7"/>
        <v>99.43</v>
      </c>
      <c r="E83" s="17">
        <v>3</v>
      </c>
      <c r="F83" s="17">
        <v>1</v>
      </c>
      <c r="G83" s="17">
        <v>0</v>
      </c>
      <c r="H83" s="17">
        <v>1</v>
      </c>
      <c r="I83" s="17">
        <v>0</v>
      </c>
      <c r="J83" s="17">
        <v>15</v>
      </c>
      <c r="K83" s="17">
        <v>0</v>
      </c>
      <c r="L83" s="17">
        <v>0</v>
      </c>
      <c r="M83" s="3">
        <f t="shared" si="4"/>
        <v>20</v>
      </c>
    </row>
    <row r="84" spans="2:13" s="20" customFormat="1">
      <c r="B84" s="21">
        <f t="shared" si="5"/>
        <v>99.94</v>
      </c>
      <c r="C84" s="25">
        <f t="shared" si="6"/>
        <v>100.94</v>
      </c>
      <c r="D84" s="29">
        <f t="shared" si="7"/>
        <v>100.44</v>
      </c>
      <c r="E84" s="17">
        <v>0</v>
      </c>
      <c r="F84" s="17">
        <v>2</v>
      </c>
      <c r="G84" s="17">
        <v>0</v>
      </c>
      <c r="H84" s="17">
        <v>7</v>
      </c>
      <c r="I84" s="17">
        <v>0</v>
      </c>
      <c r="J84" s="17">
        <v>35</v>
      </c>
      <c r="K84" s="17">
        <v>0</v>
      </c>
      <c r="L84" s="17">
        <v>2</v>
      </c>
      <c r="M84" s="3">
        <f t="shared" si="4"/>
        <v>46</v>
      </c>
    </row>
    <row r="85" spans="2:13" s="20" customFormat="1">
      <c r="B85" s="21">
        <f t="shared" si="5"/>
        <v>100.94</v>
      </c>
      <c r="C85" s="25">
        <f t="shared" si="6"/>
        <v>101.94</v>
      </c>
      <c r="D85" s="29">
        <f t="shared" si="7"/>
        <v>101.44</v>
      </c>
      <c r="E85" s="17">
        <v>1</v>
      </c>
      <c r="F85" s="17">
        <v>0</v>
      </c>
      <c r="G85" s="17">
        <v>0</v>
      </c>
      <c r="H85" s="17">
        <v>24</v>
      </c>
      <c r="I85" s="17">
        <v>0</v>
      </c>
      <c r="J85" s="17">
        <v>49</v>
      </c>
      <c r="K85" s="17">
        <v>0</v>
      </c>
      <c r="L85" s="17">
        <v>16</v>
      </c>
      <c r="M85" s="3">
        <f t="shared" si="4"/>
        <v>90</v>
      </c>
    </row>
    <row r="86" spans="2:13" s="20" customFormat="1">
      <c r="B86" s="21">
        <f t="shared" si="5"/>
        <v>101.94</v>
      </c>
      <c r="C86" s="25">
        <f t="shared" si="6"/>
        <v>102.94</v>
      </c>
      <c r="D86" s="29">
        <f t="shared" si="7"/>
        <v>102.44</v>
      </c>
      <c r="E86" s="17">
        <v>2</v>
      </c>
      <c r="F86" s="17">
        <v>7</v>
      </c>
      <c r="G86" s="17">
        <v>0</v>
      </c>
      <c r="H86" s="17">
        <v>6</v>
      </c>
      <c r="I86" s="17">
        <v>6</v>
      </c>
      <c r="J86" s="17">
        <v>75</v>
      </c>
      <c r="K86" s="17">
        <v>0</v>
      </c>
      <c r="L86" s="17">
        <v>10</v>
      </c>
      <c r="M86" s="3">
        <f t="shared" si="4"/>
        <v>106</v>
      </c>
    </row>
    <row r="87" spans="2:13" s="20" customFormat="1">
      <c r="B87" s="21">
        <f t="shared" si="5"/>
        <v>102.94</v>
      </c>
      <c r="C87" s="25">
        <f t="shared" si="6"/>
        <v>103.94</v>
      </c>
      <c r="D87" s="29">
        <f t="shared" si="7"/>
        <v>103.44</v>
      </c>
      <c r="E87" s="17">
        <v>3</v>
      </c>
      <c r="F87" s="17">
        <v>1</v>
      </c>
      <c r="G87" s="17">
        <v>0</v>
      </c>
      <c r="H87" s="17">
        <v>2</v>
      </c>
      <c r="I87" s="17">
        <v>4</v>
      </c>
      <c r="J87" s="17">
        <v>64</v>
      </c>
      <c r="K87" s="17">
        <v>0</v>
      </c>
      <c r="L87" s="17">
        <v>10</v>
      </c>
      <c r="M87" s="3">
        <f t="shared" si="4"/>
        <v>84</v>
      </c>
    </row>
    <row r="88" spans="2:13" s="20" customFormat="1">
      <c r="B88" s="21">
        <f t="shared" si="5"/>
        <v>103.94</v>
      </c>
      <c r="C88" s="25">
        <f t="shared" si="6"/>
        <v>104.94</v>
      </c>
      <c r="D88" s="29">
        <f t="shared" si="7"/>
        <v>104.44</v>
      </c>
      <c r="E88" s="17">
        <v>7</v>
      </c>
      <c r="F88" s="17">
        <v>9</v>
      </c>
      <c r="G88" s="17">
        <v>2</v>
      </c>
      <c r="H88" s="17">
        <v>0</v>
      </c>
      <c r="I88" s="17">
        <v>0</v>
      </c>
      <c r="J88" s="17">
        <v>63</v>
      </c>
      <c r="K88" s="17">
        <v>0</v>
      </c>
      <c r="L88" s="17">
        <v>22</v>
      </c>
      <c r="M88" s="3">
        <f t="shared" si="4"/>
        <v>103</v>
      </c>
    </row>
    <row r="89" spans="2:13" s="20" customFormat="1">
      <c r="B89" s="21">
        <f t="shared" si="5"/>
        <v>104.94</v>
      </c>
      <c r="C89" s="25">
        <f t="shared" si="6"/>
        <v>105.94</v>
      </c>
      <c r="D89" s="29">
        <f t="shared" si="7"/>
        <v>105.44</v>
      </c>
      <c r="E89" s="17">
        <v>8</v>
      </c>
      <c r="F89" s="17">
        <v>4</v>
      </c>
      <c r="G89" s="17">
        <v>0</v>
      </c>
      <c r="H89" s="17">
        <v>23</v>
      </c>
      <c r="I89" s="17">
        <v>2</v>
      </c>
      <c r="J89" s="17">
        <v>47</v>
      </c>
      <c r="K89" s="17">
        <v>0</v>
      </c>
      <c r="L89" s="17">
        <v>7</v>
      </c>
      <c r="M89" s="3">
        <f t="shared" si="4"/>
        <v>91</v>
      </c>
    </row>
    <row r="90" spans="2:13" s="20" customFormat="1">
      <c r="B90" s="21">
        <f t="shared" si="5"/>
        <v>105.94</v>
      </c>
      <c r="C90" s="25">
        <f t="shared" si="6"/>
        <v>106.94</v>
      </c>
      <c r="D90" s="29">
        <f t="shared" si="7"/>
        <v>106.44</v>
      </c>
      <c r="E90" s="17">
        <v>4</v>
      </c>
      <c r="F90" s="17">
        <v>1</v>
      </c>
      <c r="G90" s="17">
        <v>1</v>
      </c>
      <c r="H90" s="17">
        <v>10</v>
      </c>
      <c r="I90" s="17">
        <v>0</v>
      </c>
      <c r="J90" s="17">
        <v>29</v>
      </c>
      <c r="K90" s="17">
        <v>0</v>
      </c>
      <c r="L90" s="17">
        <v>1</v>
      </c>
      <c r="M90" s="3">
        <f t="shared" si="4"/>
        <v>46</v>
      </c>
    </row>
    <row r="91" spans="2:13" s="20" customFormat="1">
      <c r="B91" s="21">
        <f t="shared" si="5"/>
        <v>106.94</v>
      </c>
      <c r="C91" s="25">
        <v>107.86</v>
      </c>
      <c r="D91" s="29">
        <f t="shared" si="7"/>
        <v>107.4</v>
      </c>
      <c r="E91" s="17">
        <v>0</v>
      </c>
      <c r="F91" s="17">
        <v>0</v>
      </c>
      <c r="G91" s="17">
        <v>0</v>
      </c>
      <c r="H91" s="17">
        <v>3</v>
      </c>
      <c r="I91" s="17">
        <v>18</v>
      </c>
      <c r="J91" s="17">
        <v>12</v>
      </c>
      <c r="K91" s="17">
        <v>0</v>
      </c>
      <c r="L91" s="17">
        <v>1</v>
      </c>
      <c r="M91" s="3">
        <f t="shared" si="4"/>
        <v>34</v>
      </c>
    </row>
    <row r="92" spans="2:13" s="20" customFormat="1">
      <c r="B92" s="21">
        <f t="shared" si="5"/>
        <v>107.86</v>
      </c>
      <c r="C92" s="25">
        <f t="shared" si="6"/>
        <v>108.86</v>
      </c>
      <c r="D92" s="29">
        <f t="shared" si="7"/>
        <v>108.36</v>
      </c>
      <c r="E92" s="17">
        <v>3</v>
      </c>
      <c r="F92" s="17">
        <v>3</v>
      </c>
      <c r="G92" s="17">
        <v>0</v>
      </c>
      <c r="H92" s="17">
        <v>9</v>
      </c>
      <c r="I92" s="17">
        <v>0</v>
      </c>
      <c r="J92" s="17">
        <v>42</v>
      </c>
      <c r="K92" s="17">
        <v>0</v>
      </c>
      <c r="L92" s="17">
        <v>2</v>
      </c>
      <c r="M92" s="3">
        <f t="shared" si="4"/>
        <v>59</v>
      </c>
    </row>
    <row r="93" spans="2:13" s="20" customFormat="1">
      <c r="B93" s="21">
        <f t="shared" si="5"/>
        <v>108.86</v>
      </c>
      <c r="C93" s="25">
        <f t="shared" si="6"/>
        <v>109.86</v>
      </c>
      <c r="D93" s="29">
        <f t="shared" si="7"/>
        <v>109.36</v>
      </c>
      <c r="E93" s="17">
        <v>0</v>
      </c>
      <c r="F93" s="17">
        <v>1</v>
      </c>
      <c r="G93" s="17">
        <v>1</v>
      </c>
      <c r="H93" s="17">
        <v>1</v>
      </c>
      <c r="I93" s="17">
        <v>7</v>
      </c>
      <c r="J93" s="17">
        <v>15</v>
      </c>
      <c r="K93" s="17">
        <v>0</v>
      </c>
      <c r="L93" s="17">
        <v>1</v>
      </c>
      <c r="M93" s="3">
        <f t="shared" si="4"/>
        <v>26</v>
      </c>
    </row>
    <row r="94" spans="2:13" s="20" customFormat="1">
      <c r="B94" s="21">
        <f t="shared" si="5"/>
        <v>109.86</v>
      </c>
      <c r="C94" s="25">
        <f t="shared" si="6"/>
        <v>110.86</v>
      </c>
      <c r="D94" s="29">
        <f t="shared" si="7"/>
        <v>110.36</v>
      </c>
      <c r="E94" s="17">
        <v>0</v>
      </c>
      <c r="F94" s="17">
        <v>0</v>
      </c>
      <c r="G94" s="17">
        <v>0</v>
      </c>
      <c r="H94" s="17">
        <v>1</v>
      </c>
      <c r="I94" s="17">
        <v>0</v>
      </c>
      <c r="J94" s="17">
        <v>10</v>
      </c>
      <c r="K94" s="17">
        <v>0</v>
      </c>
      <c r="L94" s="17">
        <v>0</v>
      </c>
      <c r="M94" s="3">
        <f t="shared" si="4"/>
        <v>11</v>
      </c>
    </row>
    <row r="95" spans="2:13" s="20" customFormat="1">
      <c r="B95" s="21">
        <f t="shared" si="5"/>
        <v>110.86</v>
      </c>
      <c r="C95" s="25">
        <f t="shared" si="6"/>
        <v>111.86</v>
      </c>
      <c r="D95" s="29">
        <f t="shared" si="7"/>
        <v>111.36</v>
      </c>
      <c r="E95" s="17">
        <v>0</v>
      </c>
      <c r="F95" s="17">
        <v>0</v>
      </c>
      <c r="G95" s="17">
        <v>0</v>
      </c>
      <c r="H95" s="17">
        <v>0</v>
      </c>
      <c r="I95" s="17">
        <v>2</v>
      </c>
      <c r="J95" s="17">
        <v>20</v>
      </c>
      <c r="K95" s="17">
        <v>0</v>
      </c>
      <c r="L95" s="17">
        <v>5</v>
      </c>
      <c r="M95" s="3">
        <f t="shared" si="4"/>
        <v>27</v>
      </c>
    </row>
    <row r="96" spans="2:13" s="20" customFormat="1">
      <c r="B96" s="21">
        <f t="shared" si="5"/>
        <v>111.86</v>
      </c>
      <c r="C96" s="25">
        <f t="shared" si="6"/>
        <v>112.86</v>
      </c>
      <c r="D96" s="29">
        <f t="shared" si="7"/>
        <v>112.36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86</v>
      </c>
      <c r="K96" s="17">
        <v>0</v>
      </c>
      <c r="L96" s="17">
        <v>0</v>
      </c>
      <c r="M96" s="3">
        <f t="shared" si="4"/>
        <v>86</v>
      </c>
    </row>
    <row r="97" spans="2:13" s="20" customFormat="1">
      <c r="B97" s="21">
        <f t="shared" si="5"/>
        <v>112.86</v>
      </c>
      <c r="C97" s="25">
        <f t="shared" si="6"/>
        <v>113.86</v>
      </c>
      <c r="D97" s="29">
        <f t="shared" si="7"/>
        <v>113.36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27</v>
      </c>
      <c r="K97" s="17">
        <v>0</v>
      </c>
      <c r="L97" s="17">
        <v>0</v>
      </c>
      <c r="M97" s="3">
        <f t="shared" si="4"/>
        <v>27</v>
      </c>
    </row>
    <row r="98" spans="2:13" s="20" customFormat="1">
      <c r="B98" s="21">
        <v>113.9</v>
      </c>
      <c r="C98" s="25">
        <f t="shared" si="6"/>
        <v>114.9</v>
      </c>
      <c r="D98" s="29">
        <f t="shared" si="7"/>
        <v>114.4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3">
        <f t="shared" si="4"/>
        <v>0</v>
      </c>
    </row>
    <row r="99" spans="2:13" s="20" customFormat="1">
      <c r="B99" s="21">
        <f t="shared" si="5"/>
        <v>114.9</v>
      </c>
      <c r="C99" s="25">
        <v>115.2</v>
      </c>
      <c r="D99" s="29">
        <f t="shared" si="7"/>
        <v>115.05000000000001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3">
        <f t="shared" si="4"/>
        <v>0</v>
      </c>
    </row>
    <row r="100" spans="2:13" s="20" customFormat="1">
      <c r="B100" s="21">
        <v>116.75</v>
      </c>
      <c r="C100" s="25">
        <v>117.38</v>
      </c>
      <c r="D100" s="29">
        <f t="shared" si="7"/>
        <v>117.065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37</v>
      </c>
      <c r="K100" s="17">
        <v>0</v>
      </c>
      <c r="L100" s="17">
        <v>0</v>
      </c>
      <c r="M100" s="3">
        <f t="shared" si="4"/>
        <v>37</v>
      </c>
    </row>
    <row r="101" spans="2:13" s="20" customFormat="1">
      <c r="B101" s="21">
        <f t="shared" si="5"/>
        <v>117.38</v>
      </c>
      <c r="C101" s="25">
        <f t="shared" si="6"/>
        <v>118.38</v>
      </c>
      <c r="D101" s="29">
        <f t="shared" si="7"/>
        <v>117.88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31</v>
      </c>
      <c r="K101" s="17">
        <v>0</v>
      </c>
      <c r="L101" s="17">
        <v>2</v>
      </c>
      <c r="M101" s="3">
        <f t="shared" si="4"/>
        <v>33</v>
      </c>
    </row>
    <row r="102" spans="2:13" s="20" customFormat="1">
      <c r="B102" s="21">
        <v>121.82</v>
      </c>
      <c r="C102" s="25">
        <v>122.61</v>
      </c>
      <c r="D102" s="29">
        <f t="shared" si="7"/>
        <v>122.215</v>
      </c>
      <c r="E102" s="17">
        <v>2</v>
      </c>
      <c r="F102" s="17">
        <v>5</v>
      </c>
      <c r="G102" s="17">
        <v>0</v>
      </c>
      <c r="H102" s="17">
        <v>6</v>
      </c>
      <c r="I102" s="17">
        <v>0</v>
      </c>
      <c r="J102" s="17">
        <v>19</v>
      </c>
      <c r="K102" s="17">
        <v>0</v>
      </c>
      <c r="L102" s="17">
        <v>1</v>
      </c>
      <c r="M102" s="3">
        <f t="shared" si="4"/>
        <v>33</v>
      </c>
    </row>
    <row r="103" spans="2:13" s="20" customFormat="1">
      <c r="B103" s="21">
        <v>123.23</v>
      </c>
      <c r="C103" s="25">
        <v>124.18</v>
      </c>
      <c r="D103" s="29">
        <f t="shared" si="7"/>
        <v>123.70500000000001</v>
      </c>
      <c r="E103" s="17">
        <v>6</v>
      </c>
      <c r="F103" s="17">
        <v>17</v>
      </c>
      <c r="G103" s="17">
        <v>0</v>
      </c>
      <c r="H103" s="17">
        <v>12</v>
      </c>
      <c r="I103" s="17">
        <v>0</v>
      </c>
      <c r="J103" s="17">
        <v>57</v>
      </c>
      <c r="K103" s="17">
        <v>0</v>
      </c>
      <c r="L103" s="17">
        <v>4</v>
      </c>
      <c r="M103" s="3">
        <f t="shared" si="4"/>
        <v>96</v>
      </c>
    </row>
    <row r="104" spans="2:13" s="20" customFormat="1">
      <c r="B104" s="21">
        <f t="shared" si="5"/>
        <v>124.18</v>
      </c>
      <c r="C104" s="25">
        <v>125.18</v>
      </c>
      <c r="D104" s="29">
        <f t="shared" si="7"/>
        <v>124.68</v>
      </c>
      <c r="E104" s="17">
        <v>3</v>
      </c>
      <c r="F104" s="17">
        <v>10</v>
      </c>
      <c r="G104" s="17">
        <v>0</v>
      </c>
      <c r="H104" s="17">
        <v>13</v>
      </c>
      <c r="I104" s="17">
        <v>0</v>
      </c>
      <c r="J104" s="17">
        <v>103</v>
      </c>
      <c r="K104" s="17">
        <v>0</v>
      </c>
      <c r="L104" s="17">
        <v>28</v>
      </c>
      <c r="M104" s="3">
        <f t="shared" si="4"/>
        <v>157</v>
      </c>
    </row>
    <row r="105" spans="2:13" s="20" customFormat="1">
      <c r="B105" s="21">
        <v>125.18</v>
      </c>
      <c r="C105" s="25">
        <v>126.14</v>
      </c>
      <c r="D105" s="29">
        <f t="shared" si="7"/>
        <v>125.66</v>
      </c>
      <c r="E105" s="17">
        <v>0</v>
      </c>
      <c r="F105" s="17">
        <v>4</v>
      </c>
      <c r="G105" s="17">
        <v>0</v>
      </c>
      <c r="H105" s="17">
        <v>0</v>
      </c>
      <c r="I105" s="17">
        <v>0</v>
      </c>
      <c r="J105" s="17">
        <v>9</v>
      </c>
      <c r="K105" s="17">
        <v>0</v>
      </c>
      <c r="L105" s="17">
        <v>2</v>
      </c>
      <c r="M105" s="3">
        <f t="shared" si="4"/>
        <v>15</v>
      </c>
    </row>
    <row r="106" spans="2:13" s="20" customFormat="1">
      <c r="B106" s="21">
        <f t="shared" si="5"/>
        <v>126.14</v>
      </c>
      <c r="C106" s="25">
        <f t="shared" si="6"/>
        <v>127.14</v>
      </c>
      <c r="D106" s="29">
        <f t="shared" si="7"/>
        <v>126.64</v>
      </c>
      <c r="E106" s="17">
        <v>7</v>
      </c>
      <c r="F106" s="17">
        <v>6</v>
      </c>
      <c r="G106" s="17">
        <v>1</v>
      </c>
      <c r="H106" s="17">
        <v>0</v>
      </c>
      <c r="I106" s="17">
        <v>0</v>
      </c>
      <c r="J106" s="17">
        <v>15</v>
      </c>
      <c r="K106" s="17">
        <v>0</v>
      </c>
      <c r="L106" s="17">
        <v>7</v>
      </c>
      <c r="M106" s="3">
        <f t="shared" si="4"/>
        <v>36</v>
      </c>
    </row>
    <row r="107" spans="2:13" s="20" customFormat="1">
      <c r="B107" s="21">
        <f t="shared" si="5"/>
        <v>127.14</v>
      </c>
      <c r="C107" s="25">
        <v>127.85</v>
      </c>
      <c r="D107" s="29">
        <f t="shared" si="7"/>
        <v>127.495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3">
        <f t="shared" si="4"/>
        <v>0</v>
      </c>
    </row>
    <row r="108" spans="2:13" s="20" customFormat="1">
      <c r="B108" s="21">
        <v>128.51</v>
      </c>
      <c r="C108" s="25">
        <v>128.81</v>
      </c>
      <c r="D108" s="29">
        <f t="shared" si="7"/>
        <v>128.66</v>
      </c>
      <c r="E108" s="17">
        <v>1</v>
      </c>
      <c r="F108" s="17">
        <v>0</v>
      </c>
      <c r="G108" s="17">
        <v>0</v>
      </c>
      <c r="H108" s="17">
        <v>0</v>
      </c>
      <c r="I108" s="17">
        <v>0</v>
      </c>
      <c r="J108" s="17">
        <v>13</v>
      </c>
      <c r="K108" s="17">
        <v>0</v>
      </c>
      <c r="L108" s="17">
        <v>1</v>
      </c>
      <c r="M108" s="3">
        <f t="shared" si="4"/>
        <v>15</v>
      </c>
    </row>
    <row r="109" spans="2:13" s="20" customFormat="1">
      <c r="B109" s="21">
        <f t="shared" si="5"/>
        <v>128.81</v>
      </c>
      <c r="C109" s="25">
        <f t="shared" si="6"/>
        <v>129.81</v>
      </c>
      <c r="D109" s="29">
        <f t="shared" si="7"/>
        <v>129.31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1</v>
      </c>
      <c r="K109" s="17">
        <v>0</v>
      </c>
      <c r="L109" s="17">
        <v>0</v>
      </c>
      <c r="M109" s="3">
        <f t="shared" si="4"/>
        <v>1</v>
      </c>
    </row>
    <row r="110" spans="2:13" s="20" customFormat="1">
      <c r="B110" s="21">
        <f t="shared" ref="B110:B170" si="8">C109</f>
        <v>129.81</v>
      </c>
      <c r="C110" s="25">
        <f t="shared" si="6"/>
        <v>130.81</v>
      </c>
      <c r="D110" s="29">
        <f t="shared" ref="D110:D170" si="9">B110+(C110-B110)/2</f>
        <v>130.31</v>
      </c>
      <c r="E110" s="17">
        <v>0</v>
      </c>
      <c r="F110" s="17">
        <v>1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3">
        <f t="shared" ref="M110:M170" si="10">SUM(E110:L110)</f>
        <v>1</v>
      </c>
    </row>
    <row r="111" spans="2:13" s="20" customFormat="1">
      <c r="B111" s="21">
        <f t="shared" si="8"/>
        <v>130.81</v>
      </c>
      <c r="C111" s="25">
        <f t="shared" si="6"/>
        <v>131.81</v>
      </c>
      <c r="D111" s="29">
        <f t="shared" si="9"/>
        <v>131.31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3">
        <f t="shared" si="10"/>
        <v>0</v>
      </c>
    </row>
    <row r="112" spans="2:13" s="20" customFormat="1">
      <c r="B112" s="21">
        <f t="shared" si="8"/>
        <v>131.81</v>
      </c>
      <c r="C112" s="25">
        <f t="shared" si="6"/>
        <v>132.81</v>
      </c>
      <c r="D112" s="29">
        <f t="shared" si="9"/>
        <v>132.31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4</v>
      </c>
      <c r="K112" s="17">
        <v>0</v>
      </c>
      <c r="L112" s="17">
        <v>0</v>
      </c>
      <c r="M112" s="3">
        <f t="shared" si="10"/>
        <v>4</v>
      </c>
    </row>
    <row r="113" spans="2:13" s="20" customFormat="1">
      <c r="B113" s="21">
        <f t="shared" si="8"/>
        <v>132.81</v>
      </c>
      <c r="C113" s="25">
        <v>133.80000000000001</v>
      </c>
      <c r="D113" s="29">
        <f t="shared" si="9"/>
        <v>133.30500000000001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3">
        <f t="shared" si="10"/>
        <v>0</v>
      </c>
    </row>
    <row r="114" spans="2:13" s="20" customFormat="1">
      <c r="B114" s="21">
        <f t="shared" si="8"/>
        <v>133.80000000000001</v>
      </c>
      <c r="C114" s="25">
        <f t="shared" si="6"/>
        <v>134.80000000000001</v>
      </c>
      <c r="D114" s="29">
        <f t="shared" si="9"/>
        <v>134.30000000000001</v>
      </c>
      <c r="E114" s="17">
        <v>8</v>
      </c>
      <c r="F114" s="17">
        <v>1</v>
      </c>
      <c r="G114" s="17">
        <v>0</v>
      </c>
      <c r="H114" s="17">
        <v>2</v>
      </c>
      <c r="I114" s="17">
        <v>0</v>
      </c>
      <c r="J114" s="17">
        <v>6</v>
      </c>
      <c r="K114" s="17">
        <v>0</v>
      </c>
      <c r="L114" s="17">
        <v>11</v>
      </c>
      <c r="M114" s="3">
        <f t="shared" si="10"/>
        <v>28</v>
      </c>
    </row>
    <row r="115" spans="2:13" s="20" customFormat="1">
      <c r="B115" s="21">
        <v>135.16</v>
      </c>
      <c r="C115" s="25">
        <f t="shared" si="6"/>
        <v>136.16</v>
      </c>
      <c r="D115" s="29">
        <f t="shared" si="9"/>
        <v>135.66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3">
        <f t="shared" si="10"/>
        <v>0</v>
      </c>
    </row>
    <row r="116" spans="2:13" s="20" customFormat="1">
      <c r="B116" s="21">
        <f t="shared" si="8"/>
        <v>136.16</v>
      </c>
      <c r="C116" s="25">
        <v>145.16</v>
      </c>
      <c r="D116" s="29">
        <f t="shared" si="9"/>
        <v>140.66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3">
        <f t="shared" si="10"/>
        <v>0</v>
      </c>
    </row>
    <row r="117" spans="2:13" s="20" customFormat="1">
      <c r="B117" s="21">
        <f t="shared" si="8"/>
        <v>145.16</v>
      </c>
      <c r="C117" s="25">
        <v>146.16999999999999</v>
      </c>
      <c r="D117" s="29">
        <f t="shared" si="9"/>
        <v>145.66499999999999</v>
      </c>
      <c r="E117" s="17">
        <v>0</v>
      </c>
      <c r="F117" s="17">
        <v>1</v>
      </c>
      <c r="G117" s="17">
        <v>0</v>
      </c>
      <c r="H117" s="17">
        <v>0</v>
      </c>
      <c r="I117" s="17">
        <v>0</v>
      </c>
      <c r="J117" s="17">
        <v>4</v>
      </c>
      <c r="K117" s="17">
        <v>0</v>
      </c>
      <c r="L117" s="17">
        <v>0</v>
      </c>
      <c r="M117" s="3">
        <f t="shared" si="10"/>
        <v>5</v>
      </c>
    </row>
    <row r="118" spans="2:13" s="20" customFormat="1">
      <c r="B118" s="21">
        <f t="shared" si="8"/>
        <v>146.16999999999999</v>
      </c>
      <c r="C118" s="25">
        <f t="shared" si="6"/>
        <v>147.16999999999999</v>
      </c>
      <c r="D118" s="29">
        <f t="shared" si="9"/>
        <v>146.66999999999999</v>
      </c>
      <c r="E118" s="17">
        <v>8</v>
      </c>
      <c r="F118" s="17">
        <v>17</v>
      </c>
      <c r="G118" s="17">
        <v>0</v>
      </c>
      <c r="H118" s="17">
        <v>2</v>
      </c>
      <c r="I118" s="17">
        <v>0</v>
      </c>
      <c r="J118" s="17">
        <v>8</v>
      </c>
      <c r="K118" s="17">
        <v>0</v>
      </c>
      <c r="L118" s="17">
        <v>69</v>
      </c>
      <c r="M118" s="3">
        <f t="shared" si="10"/>
        <v>104</v>
      </c>
    </row>
    <row r="119" spans="2:13" s="20" customFormat="1">
      <c r="B119" s="21">
        <f t="shared" si="8"/>
        <v>147.16999999999999</v>
      </c>
      <c r="C119" s="25">
        <v>148.1</v>
      </c>
      <c r="D119" s="29">
        <f t="shared" si="9"/>
        <v>147.63499999999999</v>
      </c>
      <c r="E119" s="17">
        <v>9</v>
      </c>
      <c r="F119" s="17">
        <v>12</v>
      </c>
      <c r="G119" s="17">
        <v>0</v>
      </c>
      <c r="H119" s="17">
        <v>2</v>
      </c>
      <c r="I119" s="17">
        <v>0</v>
      </c>
      <c r="J119" s="17">
        <v>63</v>
      </c>
      <c r="K119" s="17">
        <v>0</v>
      </c>
      <c r="L119" s="17">
        <v>62</v>
      </c>
      <c r="M119" s="3">
        <f t="shared" si="10"/>
        <v>148</v>
      </c>
    </row>
    <row r="120" spans="2:13" s="20" customFormat="1">
      <c r="B120" s="21">
        <f t="shared" si="8"/>
        <v>148.1</v>
      </c>
      <c r="C120" s="25">
        <f t="shared" si="6"/>
        <v>149.1</v>
      </c>
      <c r="D120" s="29">
        <f t="shared" si="9"/>
        <v>148.6</v>
      </c>
      <c r="E120" s="17">
        <v>2</v>
      </c>
      <c r="F120" s="17">
        <v>4</v>
      </c>
      <c r="G120" s="17">
        <v>0</v>
      </c>
      <c r="H120" s="17">
        <v>7</v>
      </c>
      <c r="I120" s="17">
        <v>0</v>
      </c>
      <c r="J120" s="17">
        <v>141</v>
      </c>
      <c r="K120" s="17">
        <v>0</v>
      </c>
      <c r="L120" s="17">
        <v>24</v>
      </c>
      <c r="M120" s="3">
        <f t="shared" si="10"/>
        <v>178</v>
      </c>
    </row>
    <row r="121" spans="2:13" s="20" customFormat="1">
      <c r="B121" s="21">
        <f t="shared" si="8"/>
        <v>149.1</v>
      </c>
      <c r="C121" s="25">
        <f t="shared" si="6"/>
        <v>150.1</v>
      </c>
      <c r="D121" s="29">
        <f t="shared" si="9"/>
        <v>149.6</v>
      </c>
      <c r="E121" s="17">
        <v>3</v>
      </c>
      <c r="F121" s="17">
        <v>4</v>
      </c>
      <c r="G121" s="17">
        <v>0</v>
      </c>
      <c r="H121" s="17">
        <v>6</v>
      </c>
      <c r="I121" s="17">
        <v>0</v>
      </c>
      <c r="J121" s="17">
        <v>126</v>
      </c>
      <c r="K121" s="17">
        <v>0</v>
      </c>
      <c r="L121" s="17">
        <v>59</v>
      </c>
      <c r="M121" s="3">
        <f t="shared" si="10"/>
        <v>198</v>
      </c>
    </row>
    <row r="122" spans="2:13" s="20" customFormat="1">
      <c r="B122" s="21">
        <f t="shared" si="8"/>
        <v>150.1</v>
      </c>
      <c r="C122" s="25">
        <v>151.05000000000001</v>
      </c>
      <c r="D122" s="29">
        <f t="shared" si="9"/>
        <v>150.57499999999999</v>
      </c>
      <c r="E122" s="17">
        <v>4</v>
      </c>
      <c r="F122" s="17">
        <v>5</v>
      </c>
      <c r="G122" s="17">
        <v>0</v>
      </c>
      <c r="H122" s="17">
        <v>1</v>
      </c>
      <c r="I122" s="17">
        <v>0</v>
      </c>
      <c r="J122" s="17">
        <v>47</v>
      </c>
      <c r="K122" s="17">
        <v>0</v>
      </c>
      <c r="L122" s="17">
        <v>73</v>
      </c>
      <c r="M122" s="3">
        <f t="shared" si="10"/>
        <v>130</v>
      </c>
    </row>
    <row r="123" spans="2:13" s="20" customFormat="1">
      <c r="B123" s="21">
        <f t="shared" si="8"/>
        <v>151.05000000000001</v>
      </c>
      <c r="C123" s="25">
        <f t="shared" si="6"/>
        <v>152.05000000000001</v>
      </c>
      <c r="D123" s="29">
        <f t="shared" si="9"/>
        <v>151.55000000000001</v>
      </c>
      <c r="E123" s="17">
        <v>1</v>
      </c>
      <c r="F123" s="17">
        <v>0</v>
      </c>
      <c r="G123" s="17">
        <v>0</v>
      </c>
      <c r="H123" s="17">
        <v>0</v>
      </c>
      <c r="I123" s="17">
        <v>0</v>
      </c>
      <c r="J123" s="17">
        <v>34</v>
      </c>
      <c r="K123" s="17">
        <v>0</v>
      </c>
      <c r="L123" s="17">
        <v>0</v>
      </c>
      <c r="M123" s="3">
        <f t="shared" si="10"/>
        <v>35</v>
      </c>
    </row>
    <row r="124" spans="2:13" s="20" customFormat="1">
      <c r="B124" s="21">
        <f t="shared" si="8"/>
        <v>152.05000000000001</v>
      </c>
      <c r="C124" s="25">
        <f t="shared" si="6"/>
        <v>153.05000000000001</v>
      </c>
      <c r="D124" s="29">
        <f t="shared" si="9"/>
        <v>152.55000000000001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24</v>
      </c>
      <c r="K124" s="17">
        <v>0</v>
      </c>
      <c r="L124" s="17">
        <v>0</v>
      </c>
      <c r="M124" s="3">
        <f t="shared" si="10"/>
        <v>24</v>
      </c>
    </row>
    <row r="125" spans="2:13" s="20" customFormat="1">
      <c r="B125" s="21">
        <f t="shared" si="8"/>
        <v>153.05000000000001</v>
      </c>
      <c r="C125" s="25">
        <f t="shared" si="6"/>
        <v>154.05000000000001</v>
      </c>
      <c r="D125" s="29">
        <f t="shared" si="9"/>
        <v>153.55000000000001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25</v>
      </c>
      <c r="K125" s="17">
        <v>0</v>
      </c>
      <c r="L125" s="17">
        <v>0</v>
      </c>
      <c r="M125" s="3">
        <f t="shared" si="10"/>
        <v>25</v>
      </c>
    </row>
    <row r="126" spans="2:13" s="20" customFormat="1">
      <c r="B126" s="21">
        <f t="shared" si="8"/>
        <v>154.05000000000001</v>
      </c>
      <c r="C126" s="25">
        <f t="shared" si="6"/>
        <v>155.05000000000001</v>
      </c>
      <c r="D126" s="29">
        <f t="shared" si="9"/>
        <v>154.55000000000001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34</v>
      </c>
      <c r="K126" s="17">
        <v>0</v>
      </c>
      <c r="L126" s="17">
        <v>2</v>
      </c>
      <c r="M126" s="3">
        <f t="shared" si="10"/>
        <v>36</v>
      </c>
    </row>
    <row r="127" spans="2:13" s="20" customFormat="1">
      <c r="B127" s="21">
        <f t="shared" si="8"/>
        <v>155.05000000000001</v>
      </c>
      <c r="C127" s="25">
        <f t="shared" si="6"/>
        <v>156.05000000000001</v>
      </c>
      <c r="D127" s="29">
        <f t="shared" si="9"/>
        <v>155.55000000000001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48</v>
      </c>
      <c r="K127" s="17">
        <v>0</v>
      </c>
      <c r="L127" s="17">
        <v>4</v>
      </c>
      <c r="M127" s="3">
        <f t="shared" si="10"/>
        <v>52</v>
      </c>
    </row>
    <row r="128" spans="2:13" s="20" customFormat="1">
      <c r="B128" s="21">
        <f t="shared" si="8"/>
        <v>156.05000000000001</v>
      </c>
      <c r="C128" s="25">
        <v>156.76</v>
      </c>
      <c r="D128" s="29">
        <f t="shared" si="9"/>
        <v>156.405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61</v>
      </c>
      <c r="K128" s="17">
        <v>0</v>
      </c>
      <c r="L128" s="17">
        <v>9</v>
      </c>
      <c r="M128" s="3">
        <f t="shared" si="10"/>
        <v>70</v>
      </c>
    </row>
    <row r="129" spans="2:13" s="20" customFormat="1">
      <c r="B129" s="21">
        <v>157.71</v>
      </c>
      <c r="C129" s="25">
        <f t="shared" si="6"/>
        <v>158.71</v>
      </c>
      <c r="D129" s="29">
        <f t="shared" si="9"/>
        <v>158.21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5</v>
      </c>
      <c r="K129" s="17">
        <v>0</v>
      </c>
      <c r="L129" s="17">
        <v>1</v>
      </c>
      <c r="M129" s="3">
        <f t="shared" si="10"/>
        <v>6</v>
      </c>
    </row>
    <row r="130" spans="2:13" s="20" customFormat="1">
      <c r="B130" s="21">
        <f t="shared" si="8"/>
        <v>158.71</v>
      </c>
      <c r="C130" s="25">
        <v>159.37</v>
      </c>
      <c r="D130" s="29">
        <f t="shared" si="9"/>
        <v>159.04000000000002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10</v>
      </c>
      <c r="K130" s="17">
        <v>0</v>
      </c>
      <c r="L130" s="17">
        <v>0</v>
      </c>
      <c r="M130" s="3">
        <f t="shared" si="10"/>
        <v>10</v>
      </c>
    </row>
    <row r="131" spans="2:13" s="20" customFormat="1">
      <c r="B131" s="21">
        <v>160.19</v>
      </c>
      <c r="C131" s="25">
        <v>161.97999999999999</v>
      </c>
      <c r="D131" s="29">
        <f t="shared" si="9"/>
        <v>161.08499999999998</v>
      </c>
      <c r="E131" s="17">
        <v>16</v>
      </c>
      <c r="F131" s="17">
        <v>0</v>
      </c>
      <c r="G131" s="17">
        <v>0</v>
      </c>
      <c r="H131" s="17">
        <v>1</v>
      </c>
      <c r="I131" s="17">
        <v>0</v>
      </c>
      <c r="J131" s="17">
        <v>37</v>
      </c>
      <c r="K131" s="17">
        <v>0</v>
      </c>
      <c r="L131" s="17">
        <v>33</v>
      </c>
      <c r="M131" s="3">
        <f t="shared" si="10"/>
        <v>87</v>
      </c>
    </row>
    <row r="132" spans="2:13" s="20" customFormat="1">
      <c r="B132" s="21">
        <f t="shared" si="8"/>
        <v>161.97999999999999</v>
      </c>
      <c r="C132" s="25">
        <v>163</v>
      </c>
      <c r="D132" s="29">
        <f t="shared" si="9"/>
        <v>162.49</v>
      </c>
      <c r="E132" s="17">
        <v>5</v>
      </c>
      <c r="F132" s="17">
        <v>0</v>
      </c>
      <c r="G132" s="17">
        <v>0</v>
      </c>
      <c r="H132" s="17">
        <v>8</v>
      </c>
      <c r="I132" s="17">
        <v>0</v>
      </c>
      <c r="J132" s="17">
        <v>32</v>
      </c>
      <c r="K132" s="17">
        <v>0</v>
      </c>
      <c r="L132" s="17">
        <v>41</v>
      </c>
      <c r="M132" s="3">
        <f t="shared" si="10"/>
        <v>86</v>
      </c>
    </row>
    <row r="133" spans="2:13" s="20" customFormat="1">
      <c r="B133" s="21">
        <f t="shared" si="8"/>
        <v>163</v>
      </c>
      <c r="C133" s="25">
        <f t="shared" si="6"/>
        <v>164</v>
      </c>
      <c r="D133" s="29">
        <f t="shared" si="9"/>
        <v>163.5</v>
      </c>
      <c r="E133" s="17">
        <v>2</v>
      </c>
      <c r="F133" s="17">
        <v>2</v>
      </c>
      <c r="G133" s="17">
        <v>0</v>
      </c>
      <c r="H133" s="17">
        <v>6</v>
      </c>
      <c r="I133" s="17">
        <v>0</v>
      </c>
      <c r="J133" s="17">
        <v>23</v>
      </c>
      <c r="K133" s="17">
        <v>0</v>
      </c>
      <c r="L133" s="17">
        <v>70</v>
      </c>
      <c r="M133" s="3">
        <f t="shared" si="10"/>
        <v>103</v>
      </c>
    </row>
    <row r="134" spans="2:13" s="20" customFormat="1">
      <c r="B134" s="21">
        <f t="shared" si="8"/>
        <v>164</v>
      </c>
      <c r="C134" s="25">
        <f t="shared" si="6"/>
        <v>165</v>
      </c>
      <c r="D134" s="29">
        <f t="shared" si="9"/>
        <v>164.5</v>
      </c>
      <c r="E134" s="17">
        <v>1</v>
      </c>
      <c r="F134" s="17">
        <v>1</v>
      </c>
      <c r="G134" s="17">
        <v>0</v>
      </c>
      <c r="H134" s="17">
        <v>6</v>
      </c>
      <c r="I134" s="17">
        <v>0</v>
      </c>
      <c r="J134" s="17">
        <v>27</v>
      </c>
      <c r="K134" s="17">
        <v>0</v>
      </c>
      <c r="L134" s="17">
        <v>39</v>
      </c>
      <c r="M134" s="3">
        <f t="shared" si="10"/>
        <v>74</v>
      </c>
    </row>
    <row r="135" spans="2:13" s="20" customFormat="1">
      <c r="B135" s="21">
        <f t="shared" si="8"/>
        <v>165</v>
      </c>
      <c r="C135" s="25">
        <v>165.3</v>
      </c>
      <c r="D135" s="29">
        <f t="shared" si="9"/>
        <v>165.15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14</v>
      </c>
      <c r="K135" s="17">
        <v>0</v>
      </c>
      <c r="L135" s="17">
        <v>1</v>
      </c>
      <c r="M135" s="3">
        <f t="shared" si="10"/>
        <v>15</v>
      </c>
    </row>
    <row r="136" spans="2:13" s="20" customFormat="1">
      <c r="B136" s="21">
        <v>165.41</v>
      </c>
      <c r="C136" s="25">
        <f t="shared" si="6"/>
        <v>166.41</v>
      </c>
      <c r="D136" s="29">
        <f t="shared" si="9"/>
        <v>165.91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9</v>
      </c>
      <c r="K136" s="17">
        <v>0</v>
      </c>
      <c r="L136" s="17">
        <v>0</v>
      </c>
      <c r="M136" s="3">
        <f t="shared" si="10"/>
        <v>9</v>
      </c>
    </row>
    <row r="137" spans="2:13" s="20" customFormat="1">
      <c r="B137" s="21">
        <f t="shared" si="8"/>
        <v>166.41</v>
      </c>
      <c r="C137" s="25">
        <f t="shared" si="6"/>
        <v>167.41</v>
      </c>
      <c r="D137" s="29">
        <f t="shared" si="9"/>
        <v>166.91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9</v>
      </c>
      <c r="K137" s="17">
        <v>0</v>
      </c>
      <c r="L137" s="17">
        <v>0</v>
      </c>
      <c r="M137" s="3">
        <f t="shared" si="10"/>
        <v>9</v>
      </c>
    </row>
    <row r="138" spans="2:13" s="20" customFormat="1">
      <c r="B138" s="21">
        <f t="shared" si="8"/>
        <v>167.41</v>
      </c>
      <c r="C138" s="25">
        <f t="shared" si="6"/>
        <v>168.41</v>
      </c>
      <c r="D138" s="29">
        <f t="shared" si="9"/>
        <v>167.91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33</v>
      </c>
      <c r="K138" s="17">
        <v>0</v>
      </c>
      <c r="L138" s="17">
        <v>6</v>
      </c>
      <c r="M138" s="3">
        <f t="shared" si="10"/>
        <v>39</v>
      </c>
    </row>
    <row r="139" spans="2:13" s="20" customFormat="1">
      <c r="B139" s="21">
        <f t="shared" si="8"/>
        <v>168.41</v>
      </c>
      <c r="C139" s="25">
        <f t="shared" si="6"/>
        <v>169.41</v>
      </c>
      <c r="D139" s="29">
        <f t="shared" si="9"/>
        <v>168.91</v>
      </c>
      <c r="E139" s="17">
        <v>5</v>
      </c>
      <c r="F139" s="17">
        <v>0</v>
      </c>
      <c r="G139" s="17">
        <v>0</v>
      </c>
      <c r="H139" s="17">
        <v>3</v>
      </c>
      <c r="I139" s="17">
        <v>0</v>
      </c>
      <c r="J139" s="17">
        <v>33</v>
      </c>
      <c r="K139" s="17">
        <v>0</v>
      </c>
      <c r="L139" s="17">
        <v>24</v>
      </c>
      <c r="M139" s="3">
        <f t="shared" si="10"/>
        <v>65</v>
      </c>
    </row>
    <row r="140" spans="2:13" s="20" customFormat="1">
      <c r="B140" s="21">
        <f t="shared" si="8"/>
        <v>169.41</v>
      </c>
      <c r="C140" s="25">
        <f t="shared" ref="C140:C170" si="11">B140+1</f>
        <v>170.41</v>
      </c>
      <c r="D140" s="29">
        <f t="shared" si="9"/>
        <v>169.91</v>
      </c>
      <c r="E140" s="17">
        <v>1</v>
      </c>
      <c r="F140" s="17">
        <v>0</v>
      </c>
      <c r="G140" s="17">
        <v>0</v>
      </c>
      <c r="H140" s="17">
        <v>0</v>
      </c>
      <c r="I140" s="17">
        <v>0</v>
      </c>
      <c r="J140" s="17">
        <v>13</v>
      </c>
      <c r="K140" s="17">
        <v>0</v>
      </c>
      <c r="L140" s="17">
        <v>6</v>
      </c>
      <c r="M140" s="3">
        <f t="shared" si="10"/>
        <v>20</v>
      </c>
    </row>
    <row r="141" spans="2:13" s="20" customFormat="1">
      <c r="B141" s="21">
        <f t="shared" si="8"/>
        <v>170.41</v>
      </c>
      <c r="C141" s="25">
        <v>171.31</v>
      </c>
      <c r="D141" s="29">
        <f t="shared" si="9"/>
        <v>170.86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3">
        <f t="shared" si="10"/>
        <v>0</v>
      </c>
    </row>
    <row r="142" spans="2:13" s="20" customFormat="1">
      <c r="B142" s="21">
        <f t="shared" si="8"/>
        <v>171.31</v>
      </c>
      <c r="C142" s="25">
        <f t="shared" si="11"/>
        <v>172.31</v>
      </c>
      <c r="D142" s="29">
        <f t="shared" si="9"/>
        <v>171.81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3">
        <f t="shared" si="10"/>
        <v>0</v>
      </c>
    </row>
    <row r="143" spans="2:13" s="20" customFormat="1">
      <c r="B143" s="21">
        <f t="shared" si="8"/>
        <v>172.31</v>
      </c>
      <c r="C143" s="25">
        <f t="shared" si="11"/>
        <v>173.31</v>
      </c>
      <c r="D143" s="29">
        <f t="shared" si="9"/>
        <v>172.81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3">
        <f t="shared" si="10"/>
        <v>0</v>
      </c>
    </row>
    <row r="144" spans="2:13" s="20" customFormat="1">
      <c r="B144" s="21">
        <f t="shared" si="8"/>
        <v>173.31</v>
      </c>
      <c r="C144" s="25">
        <f t="shared" si="11"/>
        <v>174.31</v>
      </c>
      <c r="D144" s="29">
        <f t="shared" si="9"/>
        <v>173.81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5</v>
      </c>
      <c r="K144" s="17">
        <v>0</v>
      </c>
      <c r="L144" s="17">
        <v>1</v>
      </c>
      <c r="M144" s="3">
        <f t="shared" si="10"/>
        <v>6</v>
      </c>
    </row>
    <row r="145" spans="2:13" s="20" customFormat="1">
      <c r="B145" s="21">
        <v>174.45</v>
      </c>
      <c r="C145" s="25">
        <f t="shared" si="11"/>
        <v>175.45</v>
      </c>
      <c r="D145" s="29">
        <f t="shared" si="9"/>
        <v>174.95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6</v>
      </c>
      <c r="K145" s="17">
        <v>0</v>
      </c>
      <c r="L145" s="17">
        <v>5</v>
      </c>
      <c r="M145" s="3">
        <f t="shared" si="10"/>
        <v>11</v>
      </c>
    </row>
    <row r="146" spans="2:13" s="20" customFormat="1">
      <c r="B146" s="21">
        <f t="shared" si="8"/>
        <v>175.45</v>
      </c>
      <c r="C146" s="25">
        <f t="shared" si="11"/>
        <v>176.45</v>
      </c>
      <c r="D146" s="29">
        <f t="shared" si="9"/>
        <v>175.95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5</v>
      </c>
      <c r="K146" s="17">
        <v>0</v>
      </c>
      <c r="L146" s="17">
        <v>4</v>
      </c>
      <c r="M146" s="3">
        <f t="shared" si="10"/>
        <v>9</v>
      </c>
    </row>
    <row r="147" spans="2:13" s="20" customFormat="1">
      <c r="B147" s="21">
        <f t="shared" si="8"/>
        <v>176.45</v>
      </c>
      <c r="C147" s="25">
        <v>177.43</v>
      </c>
      <c r="D147" s="29">
        <f t="shared" si="9"/>
        <v>176.94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7</v>
      </c>
      <c r="K147" s="17">
        <v>0</v>
      </c>
      <c r="L147" s="17">
        <v>2</v>
      </c>
      <c r="M147" s="3">
        <f t="shared" si="10"/>
        <v>9</v>
      </c>
    </row>
    <row r="148" spans="2:13" s="20" customFormat="1">
      <c r="B148" s="21">
        <f t="shared" si="8"/>
        <v>177.43</v>
      </c>
      <c r="C148" s="25">
        <f t="shared" si="11"/>
        <v>178.43</v>
      </c>
      <c r="D148" s="29">
        <f t="shared" si="9"/>
        <v>177.93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35</v>
      </c>
      <c r="K148" s="17">
        <v>0</v>
      </c>
      <c r="L148" s="17">
        <v>27</v>
      </c>
      <c r="M148" s="3">
        <f t="shared" si="10"/>
        <v>62</v>
      </c>
    </row>
    <row r="149" spans="2:13" s="20" customFormat="1">
      <c r="B149" s="21">
        <f t="shared" si="8"/>
        <v>178.43</v>
      </c>
      <c r="C149" s="25">
        <f t="shared" si="11"/>
        <v>179.43</v>
      </c>
      <c r="D149" s="29">
        <f t="shared" si="9"/>
        <v>178.93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50</v>
      </c>
      <c r="K149" s="17">
        <v>0</v>
      </c>
      <c r="L149" s="17">
        <v>13</v>
      </c>
      <c r="M149" s="3">
        <f t="shared" si="10"/>
        <v>63</v>
      </c>
    </row>
    <row r="150" spans="2:13" s="20" customFormat="1">
      <c r="B150" s="21">
        <f t="shared" si="8"/>
        <v>179.43</v>
      </c>
      <c r="C150" s="25">
        <v>180.42</v>
      </c>
      <c r="D150" s="29">
        <f t="shared" si="9"/>
        <v>179.92500000000001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8</v>
      </c>
      <c r="K150" s="17">
        <v>0</v>
      </c>
      <c r="L150" s="17">
        <v>2</v>
      </c>
      <c r="M150" s="3">
        <f t="shared" si="10"/>
        <v>10</v>
      </c>
    </row>
    <row r="151" spans="2:13" s="20" customFormat="1">
      <c r="B151" s="21">
        <v>180.48</v>
      </c>
      <c r="C151" s="25">
        <f t="shared" si="11"/>
        <v>181.48</v>
      </c>
      <c r="D151" s="29">
        <f t="shared" si="9"/>
        <v>180.98</v>
      </c>
      <c r="E151" s="17">
        <v>0</v>
      </c>
      <c r="F151" s="17">
        <v>0</v>
      </c>
      <c r="G151" s="17">
        <v>0</v>
      </c>
      <c r="H151" s="17">
        <v>1</v>
      </c>
      <c r="I151" s="17">
        <v>0</v>
      </c>
      <c r="J151" s="17">
        <v>2</v>
      </c>
      <c r="K151" s="17">
        <v>0</v>
      </c>
      <c r="L151" s="17">
        <v>4</v>
      </c>
      <c r="M151" s="3">
        <f t="shared" si="10"/>
        <v>7</v>
      </c>
    </row>
    <row r="152" spans="2:13" s="20" customFormat="1">
      <c r="B152" s="21">
        <f t="shared" si="8"/>
        <v>181.48</v>
      </c>
      <c r="C152" s="25">
        <f t="shared" si="11"/>
        <v>182.48</v>
      </c>
      <c r="D152" s="29">
        <f t="shared" si="9"/>
        <v>181.98</v>
      </c>
      <c r="E152" s="17">
        <v>5</v>
      </c>
      <c r="F152" s="17">
        <v>4</v>
      </c>
      <c r="G152" s="17">
        <v>0</v>
      </c>
      <c r="H152" s="17">
        <v>5</v>
      </c>
      <c r="I152" s="17">
        <v>0</v>
      </c>
      <c r="J152" s="17">
        <v>25</v>
      </c>
      <c r="K152" s="17">
        <v>0</v>
      </c>
      <c r="L152" s="17">
        <v>84</v>
      </c>
      <c r="M152" s="3">
        <f t="shared" si="10"/>
        <v>123</v>
      </c>
    </row>
    <row r="153" spans="2:13" s="20" customFormat="1">
      <c r="B153" s="21">
        <f t="shared" si="8"/>
        <v>182.48</v>
      </c>
      <c r="C153" s="25">
        <v>183.43</v>
      </c>
      <c r="D153" s="29">
        <f t="shared" si="9"/>
        <v>182.95499999999998</v>
      </c>
      <c r="E153" s="17">
        <v>5</v>
      </c>
      <c r="F153" s="17">
        <v>1</v>
      </c>
      <c r="G153" s="17">
        <v>0</v>
      </c>
      <c r="H153" s="17">
        <v>7</v>
      </c>
      <c r="I153" s="17">
        <v>0</v>
      </c>
      <c r="J153" s="17">
        <v>21</v>
      </c>
      <c r="K153" s="17">
        <v>0</v>
      </c>
      <c r="L153" s="17">
        <v>72</v>
      </c>
      <c r="M153" s="3">
        <f t="shared" si="10"/>
        <v>106</v>
      </c>
    </row>
    <row r="154" spans="2:13" s="20" customFormat="1">
      <c r="B154" s="21">
        <v>183.47</v>
      </c>
      <c r="C154" s="25">
        <f t="shared" si="11"/>
        <v>184.47</v>
      </c>
      <c r="D154" s="29">
        <f t="shared" si="9"/>
        <v>183.97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2</v>
      </c>
      <c r="M154" s="3">
        <f t="shared" si="10"/>
        <v>2</v>
      </c>
    </row>
    <row r="155" spans="2:13" s="20" customFormat="1">
      <c r="B155" s="21">
        <f t="shared" si="8"/>
        <v>184.47</v>
      </c>
      <c r="C155" s="25">
        <f t="shared" si="11"/>
        <v>185.47</v>
      </c>
      <c r="D155" s="29">
        <f t="shared" si="9"/>
        <v>184.97</v>
      </c>
      <c r="E155" s="17">
        <v>0</v>
      </c>
      <c r="F155" s="17">
        <v>0</v>
      </c>
      <c r="G155" s="17">
        <v>0</v>
      </c>
      <c r="H155" s="17">
        <v>4</v>
      </c>
      <c r="I155" s="17">
        <v>0</v>
      </c>
      <c r="J155" s="17">
        <v>42</v>
      </c>
      <c r="K155" s="17">
        <v>0</v>
      </c>
      <c r="L155" s="17">
        <v>81</v>
      </c>
      <c r="M155" s="3">
        <f t="shared" si="10"/>
        <v>127</v>
      </c>
    </row>
    <row r="156" spans="2:13" s="20" customFormat="1">
      <c r="B156" s="21">
        <f t="shared" si="8"/>
        <v>185.47</v>
      </c>
      <c r="C156" s="25">
        <f t="shared" si="11"/>
        <v>186.47</v>
      </c>
      <c r="D156" s="29">
        <f t="shared" si="9"/>
        <v>185.97</v>
      </c>
      <c r="E156" s="17">
        <v>4</v>
      </c>
      <c r="F156" s="17">
        <v>1</v>
      </c>
      <c r="G156" s="17">
        <v>0</v>
      </c>
      <c r="H156" s="17">
        <v>13</v>
      </c>
      <c r="I156" s="17">
        <v>0</v>
      </c>
      <c r="J156" s="17">
        <v>16</v>
      </c>
      <c r="K156" s="17">
        <v>0</v>
      </c>
      <c r="L156" s="17">
        <v>101</v>
      </c>
      <c r="M156" s="3">
        <f t="shared" si="10"/>
        <v>135</v>
      </c>
    </row>
    <row r="157" spans="2:13" s="20" customFormat="1">
      <c r="B157" s="21">
        <f t="shared" si="8"/>
        <v>186.47</v>
      </c>
      <c r="C157" s="25">
        <f t="shared" si="11"/>
        <v>187.47</v>
      </c>
      <c r="D157" s="29">
        <f t="shared" si="9"/>
        <v>186.97</v>
      </c>
      <c r="E157" s="17">
        <v>6</v>
      </c>
      <c r="F157" s="17">
        <v>2</v>
      </c>
      <c r="G157" s="17">
        <v>0</v>
      </c>
      <c r="H157" s="17">
        <v>17</v>
      </c>
      <c r="I157" s="17">
        <v>0</v>
      </c>
      <c r="J157" s="17">
        <v>118</v>
      </c>
      <c r="K157" s="17">
        <v>0</v>
      </c>
      <c r="L157" s="17">
        <v>5</v>
      </c>
      <c r="M157" s="3">
        <f t="shared" si="10"/>
        <v>148</v>
      </c>
    </row>
    <row r="158" spans="2:13" s="20" customFormat="1">
      <c r="B158" s="21">
        <f t="shared" si="8"/>
        <v>187.47</v>
      </c>
      <c r="C158" s="25">
        <f t="shared" si="11"/>
        <v>188.47</v>
      </c>
      <c r="D158" s="29">
        <f t="shared" si="9"/>
        <v>187.97</v>
      </c>
      <c r="E158" s="17">
        <v>5</v>
      </c>
      <c r="F158" s="17">
        <v>7</v>
      </c>
      <c r="G158" s="17">
        <v>0</v>
      </c>
      <c r="H158" s="17">
        <v>14</v>
      </c>
      <c r="I158" s="17">
        <v>0</v>
      </c>
      <c r="J158" s="17">
        <v>89</v>
      </c>
      <c r="K158" s="17">
        <v>0</v>
      </c>
      <c r="L158" s="17">
        <v>5</v>
      </c>
      <c r="M158" s="3">
        <f t="shared" si="10"/>
        <v>120</v>
      </c>
    </row>
    <row r="159" spans="2:13" s="20" customFormat="1">
      <c r="B159" s="21">
        <f t="shared" si="8"/>
        <v>188.47</v>
      </c>
      <c r="C159" s="25">
        <v>189.36</v>
      </c>
      <c r="D159" s="29">
        <f t="shared" si="9"/>
        <v>188.91500000000002</v>
      </c>
      <c r="E159" s="17">
        <v>0</v>
      </c>
      <c r="F159" s="17">
        <v>5</v>
      </c>
      <c r="G159" s="17">
        <v>0</v>
      </c>
      <c r="H159" s="17">
        <v>4</v>
      </c>
      <c r="I159" s="17">
        <v>0</v>
      </c>
      <c r="J159" s="17">
        <v>111</v>
      </c>
      <c r="K159" s="17">
        <v>0</v>
      </c>
      <c r="L159" s="17">
        <v>0</v>
      </c>
      <c r="M159" s="3">
        <f t="shared" si="10"/>
        <v>120</v>
      </c>
    </row>
    <row r="160" spans="2:13" s="20" customFormat="1">
      <c r="B160" s="21">
        <v>189.42</v>
      </c>
      <c r="C160" s="25">
        <v>190.53</v>
      </c>
      <c r="D160" s="29">
        <f t="shared" si="9"/>
        <v>189.97499999999999</v>
      </c>
      <c r="E160" s="17">
        <v>2</v>
      </c>
      <c r="F160" s="17">
        <v>0</v>
      </c>
      <c r="G160" s="17">
        <v>0</v>
      </c>
      <c r="H160" s="17">
        <v>7</v>
      </c>
      <c r="I160" s="17">
        <v>0</v>
      </c>
      <c r="J160" s="17">
        <v>78</v>
      </c>
      <c r="K160" s="17">
        <v>0</v>
      </c>
      <c r="L160" s="17">
        <v>0</v>
      </c>
      <c r="M160" s="3">
        <f t="shared" si="10"/>
        <v>87</v>
      </c>
    </row>
    <row r="161" spans="2:13" s="20" customFormat="1">
      <c r="B161" s="21">
        <f t="shared" si="8"/>
        <v>190.53</v>
      </c>
      <c r="C161" s="25">
        <f t="shared" si="11"/>
        <v>191.53</v>
      </c>
      <c r="D161" s="29">
        <f t="shared" si="9"/>
        <v>191.03</v>
      </c>
      <c r="E161" s="17">
        <v>4</v>
      </c>
      <c r="F161" s="17">
        <v>1</v>
      </c>
      <c r="G161" s="17">
        <v>0</v>
      </c>
      <c r="H161" s="17">
        <v>2</v>
      </c>
      <c r="I161" s="17">
        <v>0</v>
      </c>
      <c r="J161" s="17">
        <v>56</v>
      </c>
      <c r="K161" s="17">
        <v>0</v>
      </c>
      <c r="L161" s="17">
        <v>10</v>
      </c>
      <c r="M161" s="3">
        <f t="shared" si="10"/>
        <v>73</v>
      </c>
    </row>
    <row r="162" spans="2:13" s="20" customFormat="1">
      <c r="B162" s="21">
        <f t="shared" si="8"/>
        <v>191.53</v>
      </c>
      <c r="C162" s="25">
        <v>192.49</v>
      </c>
      <c r="D162" s="29">
        <f t="shared" si="9"/>
        <v>192.01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28</v>
      </c>
      <c r="K162" s="17">
        <v>0</v>
      </c>
      <c r="L162" s="17">
        <v>15</v>
      </c>
      <c r="M162" s="3">
        <f t="shared" si="10"/>
        <v>43</v>
      </c>
    </row>
    <row r="163" spans="2:13" s="20" customFormat="1">
      <c r="B163" s="21">
        <f t="shared" si="8"/>
        <v>192.49</v>
      </c>
      <c r="C163" s="25">
        <f t="shared" si="11"/>
        <v>193.49</v>
      </c>
      <c r="D163" s="29">
        <f t="shared" si="9"/>
        <v>192.99</v>
      </c>
      <c r="E163" s="17">
        <v>0</v>
      </c>
      <c r="F163" s="17">
        <v>0</v>
      </c>
      <c r="G163" s="17">
        <v>0</v>
      </c>
      <c r="H163" s="17">
        <v>1</v>
      </c>
      <c r="I163" s="17">
        <v>0</v>
      </c>
      <c r="J163" s="17">
        <v>60</v>
      </c>
      <c r="K163" s="17">
        <v>0</v>
      </c>
      <c r="L163" s="17">
        <v>1</v>
      </c>
      <c r="M163" s="3">
        <f t="shared" si="10"/>
        <v>62</v>
      </c>
    </row>
    <row r="164" spans="2:13" s="20" customFormat="1">
      <c r="B164" s="21">
        <f t="shared" si="8"/>
        <v>193.49</v>
      </c>
      <c r="C164" s="25">
        <f t="shared" si="11"/>
        <v>194.49</v>
      </c>
      <c r="D164" s="29">
        <f t="shared" si="9"/>
        <v>193.99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42</v>
      </c>
      <c r="K164" s="17">
        <v>0</v>
      </c>
      <c r="L164" s="17">
        <v>2</v>
      </c>
      <c r="M164" s="3">
        <f t="shared" si="10"/>
        <v>44</v>
      </c>
    </row>
    <row r="165" spans="2:13" s="20" customFormat="1">
      <c r="B165" s="21">
        <f t="shared" si="8"/>
        <v>194.49</v>
      </c>
      <c r="C165" s="25">
        <f t="shared" si="11"/>
        <v>195.49</v>
      </c>
      <c r="D165" s="29">
        <f t="shared" si="9"/>
        <v>194.99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20</v>
      </c>
      <c r="K165" s="17">
        <v>0</v>
      </c>
      <c r="L165" s="17">
        <v>0</v>
      </c>
      <c r="M165" s="3">
        <f t="shared" si="10"/>
        <v>20</v>
      </c>
    </row>
    <row r="166" spans="2:13" s="20" customFormat="1">
      <c r="B166" s="21">
        <f t="shared" si="8"/>
        <v>195.49</v>
      </c>
      <c r="C166" s="25">
        <f t="shared" si="11"/>
        <v>196.49</v>
      </c>
      <c r="D166" s="29">
        <f t="shared" si="9"/>
        <v>195.99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46</v>
      </c>
      <c r="K166" s="17">
        <v>0</v>
      </c>
      <c r="L166" s="17">
        <v>0</v>
      </c>
      <c r="M166" s="3">
        <f t="shared" si="10"/>
        <v>46</v>
      </c>
    </row>
    <row r="167" spans="2:13" s="20" customFormat="1">
      <c r="B167" s="21">
        <f t="shared" si="8"/>
        <v>196.49</v>
      </c>
      <c r="C167" s="25">
        <f t="shared" si="11"/>
        <v>197.49</v>
      </c>
      <c r="D167" s="29">
        <f t="shared" si="9"/>
        <v>196.99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23</v>
      </c>
      <c r="K167" s="17">
        <v>0</v>
      </c>
      <c r="L167" s="17">
        <v>0</v>
      </c>
      <c r="M167" s="3">
        <f t="shared" si="10"/>
        <v>23</v>
      </c>
    </row>
    <row r="168" spans="2:13" s="20" customFormat="1">
      <c r="B168" s="21">
        <f t="shared" si="8"/>
        <v>197.49</v>
      </c>
      <c r="C168" s="25">
        <v>198.43</v>
      </c>
      <c r="D168" s="29">
        <f t="shared" si="9"/>
        <v>197.96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19</v>
      </c>
      <c r="K168" s="17">
        <v>0</v>
      </c>
      <c r="L168" s="17">
        <v>0</v>
      </c>
      <c r="M168" s="3">
        <f t="shared" si="10"/>
        <v>19</v>
      </c>
    </row>
    <row r="169" spans="2:13" s="20" customFormat="1">
      <c r="B169" s="21">
        <f t="shared" si="8"/>
        <v>198.43</v>
      </c>
      <c r="C169" s="25">
        <f t="shared" si="11"/>
        <v>199.43</v>
      </c>
      <c r="D169" s="29">
        <f t="shared" si="9"/>
        <v>198.93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8</v>
      </c>
      <c r="K169" s="17">
        <v>0</v>
      </c>
      <c r="L169" s="17">
        <v>0</v>
      </c>
      <c r="M169" s="3">
        <f t="shared" si="10"/>
        <v>8</v>
      </c>
    </row>
    <row r="170" spans="2:13" s="20" customFormat="1">
      <c r="B170" s="21">
        <f t="shared" si="8"/>
        <v>199.43</v>
      </c>
      <c r="C170" s="25">
        <f t="shared" si="11"/>
        <v>200.43</v>
      </c>
      <c r="D170" s="29">
        <f t="shared" si="9"/>
        <v>199.93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1</v>
      </c>
      <c r="K170" s="17">
        <v>0</v>
      </c>
      <c r="L170" s="17">
        <v>0</v>
      </c>
      <c r="M170" s="3">
        <f t="shared" si="10"/>
        <v>1</v>
      </c>
    </row>
    <row r="171" spans="2:13" s="20" customFormat="1">
      <c r="B171" s="21"/>
      <c r="C171" s="25"/>
      <c r="D171" s="2" t="s">
        <v>2</v>
      </c>
      <c r="E171" s="2" t="s">
        <v>2</v>
      </c>
      <c r="F171" s="2" t="s">
        <v>2</v>
      </c>
      <c r="G171" s="2" t="s">
        <v>2</v>
      </c>
      <c r="H171" s="9" t="s">
        <v>2</v>
      </c>
      <c r="I171" s="9" t="s">
        <v>2</v>
      </c>
      <c r="J171" s="2" t="s">
        <v>2</v>
      </c>
      <c r="K171" s="2" t="s">
        <v>2</v>
      </c>
      <c r="L171" s="2" t="s">
        <v>1</v>
      </c>
      <c r="M171" s="2" t="s">
        <v>1</v>
      </c>
    </row>
    <row r="172" spans="2:13" s="20" customFormat="1">
      <c r="B172" s="21"/>
      <c r="C172" s="25"/>
      <c r="D172" s="2" t="s">
        <v>3</v>
      </c>
      <c r="E172" s="24">
        <f>SUM(E7:E170)</f>
        <v>606</v>
      </c>
      <c r="F172" s="24">
        <f t="shared" ref="F172:M172" si="12">SUM(F7:F170)</f>
        <v>499</v>
      </c>
      <c r="G172" s="24">
        <f t="shared" si="12"/>
        <v>72</v>
      </c>
      <c r="H172" s="17">
        <f t="shared" si="12"/>
        <v>946</v>
      </c>
      <c r="I172" s="17">
        <f t="shared" si="12"/>
        <v>275</v>
      </c>
      <c r="J172" s="24">
        <f t="shared" si="12"/>
        <v>5119</v>
      </c>
      <c r="K172" s="24">
        <f t="shared" si="12"/>
        <v>3</v>
      </c>
      <c r="L172" s="24">
        <f t="shared" si="12"/>
        <v>1701</v>
      </c>
      <c r="M172" s="24">
        <f t="shared" si="12"/>
        <v>9221</v>
      </c>
    </row>
    <row r="173" spans="2:13" s="20" customFormat="1">
      <c r="B173" s="21"/>
      <c r="C173" s="25"/>
      <c r="D173" s="29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2:13" s="20" customFormat="1">
      <c r="B174" s="21"/>
      <c r="C174" s="25"/>
      <c r="D174" s="29"/>
      <c r="E174" s="17"/>
      <c r="F174" s="17"/>
      <c r="G174" s="17"/>
      <c r="H174" s="17"/>
      <c r="I174" s="17"/>
      <c r="J174" s="17"/>
      <c r="K174" s="17"/>
      <c r="L174" s="17"/>
      <c r="M174" s="3"/>
    </row>
    <row r="175" spans="2:13" s="20" customFormat="1">
      <c r="B175" s="21"/>
      <c r="C175" s="25"/>
      <c r="D175" s="29"/>
      <c r="E175" s="17"/>
      <c r="F175" s="17"/>
      <c r="G175" s="17"/>
      <c r="H175" s="17"/>
      <c r="I175" s="17"/>
      <c r="J175" s="17"/>
      <c r="K175" s="17"/>
      <c r="L175" s="17"/>
      <c r="M175" s="3"/>
    </row>
    <row r="176" spans="2:13" s="20" customFormat="1">
      <c r="C176" s="33"/>
      <c r="E176" s="17"/>
      <c r="F176" s="17"/>
      <c r="G176" s="17"/>
      <c r="H176" s="17"/>
      <c r="I176" s="17"/>
      <c r="J176" s="17"/>
      <c r="K176" s="17"/>
      <c r="L176" s="17"/>
      <c r="M176" s="3"/>
    </row>
    <row r="177" spans="2:13" s="20" customFormat="1">
      <c r="B177" s="21"/>
      <c r="C177" s="25"/>
      <c r="D177" s="29"/>
      <c r="E177" s="17"/>
      <c r="F177" s="17"/>
      <c r="G177" s="17"/>
      <c r="H177" s="17"/>
      <c r="I177" s="17"/>
      <c r="J177" s="17"/>
      <c r="K177" s="17"/>
      <c r="L177" s="17"/>
      <c r="M177" s="3"/>
    </row>
    <row r="178" spans="2:13" s="20" customFormat="1">
      <c r="B178" s="21"/>
      <c r="C178" s="25"/>
      <c r="D178" s="29"/>
      <c r="E178" s="17"/>
      <c r="F178" s="17"/>
      <c r="G178" s="17"/>
      <c r="H178" s="17"/>
      <c r="I178" s="17"/>
      <c r="J178" s="17"/>
      <c r="K178" s="17"/>
      <c r="L178" s="17"/>
      <c r="M178" s="3"/>
    </row>
    <row r="179" spans="2:13" s="20" customFormat="1">
      <c r="B179" s="21"/>
      <c r="C179" s="25"/>
      <c r="D179" s="29"/>
      <c r="E179" s="17"/>
      <c r="F179" s="17"/>
      <c r="G179" s="17"/>
      <c r="H179" s="17"/>
      <c r="I179" s="17"/>
      <c r="J179" s="17"/>
      <c r="K179" s="17"/>
      <c r="L179" s="17"/>
      <c r="M179" s="3"/>
    </row>
    <row r="180" spans="2:13" s="20" customFormat="1">
      <c r="B180" s="21"/>
      <c r="C180" s="25"/>
      <c r="D180" s="29"/>
      <c r="E180" s="17"/>
      <c r="F180" s="17"/>
      <c r="G180" s="17"/>
      <c r="H180" s="17"/>
      <c r="I180" s="17"/>
      <c r="J180" s="17"/>
      <c r="K180" s="17"/>
      <c r="L180" s="17"/>
      <c r="M180" s="3"/>
    </row>
    <row r="181" spans="2:13" s="20" customFormat="1">
      <c r="B181" s="21"/>
      <c r="C181" s="25"/>
      <c r="D181" s="29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2:13" s="20" customFormat="1">
      <c r="B182" s="21"/>
      <c r="C182" s="25"/>
      <c r="D182" s="29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2:13" s="20" customFormat="1">
      <c r="B183" s="21"/>
      <c r="C183" s="25"/>
      <c r="D183" s="29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2:13" s="20" customFormat="1">
      <c r="B184" s="21"/>
      <c r="C184" s="25"/>
      <c r="D184" s="29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2:13" s="20" customFormat="1">
      <c r="B185" s="21"/>
      <c r="C185" s="25"/>
      <c r="D185" s="29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2:13" s="20" customFormat="1">
      <c r="B186" s="21"/>
      <c r="C186" s="25"/>
      <c r="D186" s="29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2:13" s="20" customFormat="1">
      <c r="B187" s="21"/>
      <c r="C187" s="25"/>
      <c r="D187" s="29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2:13" s="20" customFormat="1">
      <c r="B188" s="21"/>
      <c r="C188" s="25"/>
      <c r="D188" s="29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2:13" s="20" customFormat="1">
      <c r="B189" s="21"/>
      <c r="C189" s="25"/>
      <c r="D189" s="29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2:13" s="20" customFormat="1">
      <c r="B190" s="21"/>
      <c r="C190" s="25"/>
      <c r="D190" s="29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2:13" s="20" customFormat="1">
      <c r="B191" s="21"/>
      <c r="C191" s="25"/>
      <c r="D191" s="29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2:13" s="20" customFormat="1">
      <c r="B192" s="21"/>
      <c r="C192" s="25"/>
      <c r="D192" s="29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2:13" s="20" customFormat="1">
      <c r="B193" s="21"/>
      <c r="C193" s="25"/>
      <c r="D193" s="29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2:13" s="20" customFormat="1">
      <c r="B194" s="21"/>
      <c r="C194" s="25"/>
      <c r="D194" s="29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2:13" s="20" customFormat="1">
      <c r="B195" s="21"/>
      <c r="C195" s="25"/>
      <c r="D195" s="29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2:13" s="20" customFormat="1">
      <c r="B196" s="21"/>
      <c r="C196" s="25"/>
      <c r="D196" s="29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2:13" s="20" customFormat="1">
      <c r="B197" s="21"/>
      <c r="C197" s="25"/>
      <c r="D197" s="29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2:13" s="20" customFormat="1">
      <c r="B198" s="21"/>
      <c r="C198" s="25"/>
      <c r="D198" s="29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2:13" s="20" customFormat="1">
      <c r="B199" s="21"/>
      <c r="C199" s="25"/>
      <c r="D199" s="29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2:13" s="20" customFormat="1">
      <c r="B200" s="21"/>
      <c r="C200" s="25"/>
      <c r="D200" s="29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2:13" s="20" customFormat="1">
      <c r="B201" s="21"/>
      <c r="C201" s="25"/>
      <c r="D201" s="29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2:13" s="20" customFormat="1">
      <c r="B202" s="21"/>
      <c r="C202" s="25"/>
      <c r="D202" s="29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2:13" s="20" customFormat="1">
      <c r="B203" s="21"/>
      <c r="C203" s="25"/>
      <c r="D203" s="29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2:13" s="20" customFormat="1">
      <c r="B204" s="21"/>
      <c r="C204" s="25"/>
      <c r="D204" s="29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2:13" s="20" customFormat="1">
      <c r="B205" s="21"/>
      <c r="C205" s="25"/>
      <c r="D205" s="29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2:13" s="20" customFormat="1">
      <c r="B206" s="21"/>
      <c r="C206" s="25"/>
      <c r="D206" s="29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2:13" s="20" customFormat="1">
      <c r="B207" s="21"/>
      <c r="C207" s="25"/>
      <c r="D207" s="29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2:13" s="20" customFormat="1">
      <c r="B208" s="21"/>
      <c r="C208" s="25"/>
      <c r="D208" s="29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2:13" s="20" customFormat="1">
      <c r="B209" s="21"/>
      <c r="C209" s="25"/>
      <c r="D209" s="29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2:13" s="20" customFormat="1">
      <c r="B210" s="21"/>
      <c r="C210" s="25"/>
      <c r="D210" s="29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2:13" s="20" customFormat="1">
      <c r="B211" s="21"/>
      <c r="C211" s="25"/>
      <c r="D211" s="29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2:13" s="20" customFormat="1">
      <c r="B212" s="21"/>
      <c r="C212" s="25"/>
      <c r="D212" s="29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2:13" s="20" customFormat="1">
      <c r="B213" s="21"/>
      <c r="C213" s="25"/>
      <c r="D213" s="29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2:13" s="20" customFormat="1">
      <c r="B214" s="21"/>
      <c r="C214" s="25"/>
      <c r="D214" s="29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2:13" s="20" customFormat="1">
      <c r="B215" s="21"/>
      <c r="C215" s="25"/>
      <c r="D215" s="29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2:13" s="20" customFormat="1">
      <c r="B216" s="21"/>
      <c r="C216" s="25"/>
      <c r="D216" s="29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2:13" s="20" customFormat="1">
      <c r="B217" s="21"/>
      <c r="C217" s="25"/>
      <c r="D217" s="29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2:13" s="20" customFormat="1">
      <c r="B218" s="21"/>
      <c r="C218" s="25"/>
      <c r="D218" s="29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2:13" s="20" customFormat="1">
      <c r="B219" s="21"/>
      <c r="C219" s="25"/>
      <c r="D219" s="29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2:13" s="20" customFormat="1">
      <c r="B220" s="21"/>
      <c r="C220" s="25"/>
      <c r="D220" s="29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2:13" s="20" customFormat="1">
      <c r="B221" s="21"/>
      <c r="C221" s="25"/>
      <c r="D221" s="29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2:13" s="20" customFormat="1">
      <c r="B222" s="21"/>
      <c r="C222" s="25"/>
      <c r="D222" s="29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2:13" s="20" customFormat="1">
      <c r="B223" s="21"/>
      <c r="C223" s="25"/>
      <c r="D223" s="29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2:13" s="20" customFormat="1">
      <c r="B224" s="21"/>
      <c r="C224" s="25"/>
      <c r="D224" s="29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2:13" s="20" customFormat="1">
      <c r="B225" s="21"/>
      <c r="C225" s="25"/>
      <c r="D225" s="29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2:13" s="20" customFormat="1">
      <c r="B226" s="21"/>
      <c r="C226" s="25"/>
      <c r="D226" s="29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2:13" s="20" customFormat="1">
      <c r="B227" s="21"/>
      <c r="C227" s="25"/>
      <c r="D227" s="29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2:13" s="20" customFormat="1">
      <c r="B228" s="21"/>
      <c r="C228" s="25"/>
      <c r="D228" s="29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2:13" s="20" customFormat="1">
      <c r="B229" s="21"/>
      <c r="C229" s="25"/>
      <c r="D229" s="29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2:13" s="20" customFormat="1">
      <c r="B230" s="21"/>
      <c r="C230" s="25"/>
      <c r="D230" s="29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2:13" s="20" customFormat="1">
      <c r="B231" s="21"/>
      <c r="C231" s="25"/>
      <c r="D231" s="29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2:13" s="20" customFormat="1">
      <c r="B232" s="21"/>
      <c r="C232" s="25"/>
      <c r="D232" s="29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2:13" s="20" customFormat="1">
      <c r="B233" s="21"/>
      <c r="C233" s="25"/>
      <c r="D233" s="29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2:13" s="20" customFormat="1">
      <c r="B234" s="21"/>
      <c r="C234" s="25"/>
      <c r="D234" s="29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2:13" s="20" customFormat="1">
      <c r="B235" s="21"/>
      <c r="C235" s="25"/>
      <c r="D235" s="29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2:13" s="20" customFormat="1">
      <c r="B236" s="21"/>
      <c r="C236" s="25"/>
      <c r="D236" s="29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2:13" s="20" customFormat="1">
      <c r="B237" s="21"/>
      <c r="C237" s="25"/>
      <c r="D237" s="29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2:13" s="20" customFormat="1">
      <c r="B238" s="21"/>
      <c r="C238" s="25"/>
      <c r="D238" s="29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2:13" s="20" customFormat="1">
      <c r="B239" s="21"/>
      <c r="C239" s="25"/>
      <c r="D239" s="29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2:13" s="20" customFormat="1">
      <c r="B240" s="21"/>
      <c r="C240" s="25"/>
      <c r="D240" s="29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2:13" s="20" customFormat="1">
      <c r="B241" s="21"/>
      <c r="C241" s="25"/>
      <c r="D241" s="29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2:13" s="20" customFormat="1">
      <c r="B242" s="21"/>
      <c r="C242" s="25"/>
      <c r="D242" s="29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2:13" s="20" customFormat="1">
      <c r="B243" s="21"/>
      <c r="C243" s="25"/>
      <c r="D243" s="29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2:13" s="20" customFormat="1">
      <c r="B244" s="21"/>
      <c r="C244" s="25"/>
      <c r="D244" s="29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2:13" s="20" customFormat="1">
      <c r="B245" s="21"/>
      <c r="C245" s="25"/>
      <c r="D245" s="29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2:13" s="20" customFormat="1">
      <c r="B246" s="21"/>
      <c r="C246" s="25"/>
      <c r="D246" s="29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2:13" s="20" customFormat="1">
      <c r="B247" s="21"/>
      <c r="C247" s="25"/>
      <c r="D247" s="29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2:13" s="20" customFormat="1">
      <c r="B248" s="21"/>
      <c r="C248" s="25"/>
      <c r="D248" s="29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2:13" s="20" customFormat="1">
      <c r="B249" s="21"/>
      <c r="C249" s="25"/>
      <c r="D249" s="29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2:13" s="20" customFormat="1">
      <c r="B250" s="21"/>
      <c r="C250" s="25"/>
      <c r="D250" s="29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2:13" s="20" customFormat="1">
      <c r="B251" s="21"/>
      <c r="C251" s="25"/>
      <c r="D251" s="29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2:13" s="20" customFormat="1">
      <c r="B252" s="21"/>
      <c r="C252" s="25"/>
      <c r="D252" s="29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2:13" s="20" customFormat="1">
      <c r="B253" s="21"/>
      <c r="C253" s="25"/>
      <c r="D253" s="29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2:13" s="20" customFormat="1">
      <c r="B254" s="21"/>
      <c r="C254" s="25"/>
      <c r="D254" s="29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2:13" s="20" customFormat="1">
      <c r="B255" s="21"/>
      <c r="C255" s="25"/>
      <c r="D255" s="29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2:13" s="20" customFormat="1">
      <c r="B256" s="21"/>
      <c r="C256" s="25"/>
      <c r="D256" s="29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2:13" s="20" customFormat="1">
      <c r="B257" s="21"/>
      <c r="C257" s="25"/>
      <c r="D257" s="29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2:13" s="20" customFormat="1">
      <c r="B258" s="21"/>
      <c r="C258" s="25"/>
      <c r="D258" s="29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2:13" s="20" customFormat="1">
      <c r="B259" s="21"/>
      <c r="C259" s="25"/>
      <c r="D259" s="29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2:13" s="20" customFormat="1">
      <c r="B260" s="21"/>
      <c r="C260" s="25"/>
      <c r="D260" s="29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2:13" s="20" customFormat="1">
      <c r="B261" s="21"/>
      <c r="C261" s="25"/>
      <c r="D261" s="29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2:13" s="20" customFormat="1">
      <c r="B262" s="21"/>
      <c r="C262" s="25"/>
      <c r="D262" s="29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2:13" s="20" customFormat="1">
      <c r="B263" s="21"/>
      <c r="C263" s="25"/>
      <c r="D263" s="29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2:13" s="20" customFormat="1">
      <c r="B264" s="21"/>
      <c r="C264" s="25"/>
      <c r="D264" s="29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2:13" s="20" customFormat="1">
      <c r="B265" s="21"/>
      <c r="C265" s="25"/>
      <c r="D265" s="29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2:13" s="20" customFormat="1">
      <c r="B266" s="21"/>
      <c r="C266" s="25"/>
      <c r="D266" s="29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2:13" s="20" customFormat="1">
      <c r="B267" s="21"/>
      <c r="C267" s="25"/>
      <c r="D267" s="29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2:13" s="20" customFormat="1">
      <c r="B268" s="21"/>
      <c r="C268" s="25"/>
      <c r="D268" s="29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2:13" s="20" customFormat="1">
      <c r="B269" s="21"/>
      <c r="C269" s="25"/>
      <c r="D269" s="29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2:13" s="20" customFormat="1">
      <c r="B270" s="21"/>
      <c r="C270" s="25"/>
      <c r="D270" s="29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2:13" s="20" customFormat="1">
      <c r="B271" s="21"/>
      <c r="C271" s="25"/>
      <c r="D271" s="29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2:13" s="20" customFormat="1">
      <c r="B272" s="21"/>
      <c r="C272" s="25"/>
      <c r="D272" s="29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2:13" s="20" customFormat="1">
      <c r="B273" s="21"/>
      <c r="C273" s="25"/>
      <c r="D273" s="29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2:13" s="20" customFormat="1">
      <c r="B274" s="21"/>
      <c r="C274" s="25"/>
      <c r="D274" s="29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2:13" s="20" customFormat="1">
      <c r="B275" s="21"/>
      <c r="C275" s="25"/>
      <c r="D275" s="29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2:13" s="20" customFormat="1">
      <c r="B276" s="21"/>
      <c r="C276" s="25"/>
      <c r="D276" s="29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2:13" s="20" customFormat="1">
      <c r="B277" s="21"/>
      <c r="C277" s="21"/>
      <c r="D277" s="22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2:13" s="20" customFormat="1">
      <c r="B278" s="21"/>
      <c r="C278" s="21"/>
      <c r="D278" s="22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2:13" s="20" customFormat="1">
      <c r="B279" s="21"/>
      <c r="C279" s="21"/>
      <c r="D279" s="22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2:13" s="20" customFormat="1">
      <c r="B280" s="21"/>
      <c r="C280" s="21"/>
      <c r="D280" s="22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2:13" s="20" customFormat="1">
      <c r="B281" s="21"/>
      <c r="C281" s="21"/>
      <c r="D281" s="22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2:13" s="20" customFormat="1">
      <c r="B282" s="21"/>
      <c r="C282" s="21"/>
      <c r="D282" s="22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2:13" s="20" customFormat="1">
      <c r="B283" s="21"/>
      <c r="C283" s="21"/>
      <c r="D283" s="22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2:13" s="20" customFormat="1">
      <c r="B284" s="21"/>
      <c r="C284" s="21"/>
      <c r="D284" s="22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2:13" s="20" customFormat="1">
      <c r="B285" s="21"/>
      <c r="C285" s="21"/>
      <c r="D285" s="22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2:13" s="20" customFormat="1">
      <c r="B286" s="21"/>
      <c r="C286" s="21"/>
      <c r="D286" s="22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2:13" s="20" customFormat="1">
      <c r="B287" s="21"/>
      <c r="C287" s="21"/>
      <c r="D287" s="22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2:13" s="20" customFormat="1">
      <c r="B288" s="21"/>
      <c r="C288" s="21"/>
      <c r="D288" s="22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2:13" s="20" customFormat="1">
      <c r="B289" s="21"/>
      <c r="C289" s="21"/>
      <c r="D289" s="22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2:13" s="20" customFormat="1">
      <c r="B290" s="21"/>
      <c r="C290" s="21"/>
      <c r="D290" s="22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2:13" s="20" customFormat="1">
      <c r="B291" s="21"/>
      <c r="C291" s="21"/>
      <c r="D291" s="22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2:13" s="20" customFormat="1">
      <c r="B292" s="21"/>
      <c r="C292" s="21"/>
      <c r="D292" s="22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2:13" s="20" customFormat="1">
      <c r="B293" s="21"/>
      <c r="C293" s="21"/>
      <c r="D293" s="22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2:13" s="20" customFormat="1">
      <c r="B294" s="21"/>
      <c r="C294" s="21"/>
      <c r="D294" s="22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2:13" s="20" customFormat="1">
      <c r="B295" s="21"/>
      <c r="C295" s="21"/>
      <c r="D295" s="22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2:13" s="20" customFormat="1">
      <c r="B296" s="21"/>
      <c r="C296" s="21"/>
      <c r="D296" s="22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2:13" s="20" customFormat="1">
      <c r="B297" s="21"/>
      <c r="C297" s="21"/>
      <c r="D297" s="22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2:13" s="20" customFormat="1">
      <c r="B298" s="21"/>
      <c r="C298" s="21"/>
      <c r="D298" s="22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2:13" s="20" customFormat="1">
      <c r="B299" s="21"/>
      <c r="C299" s="21"/>
      <c r="D299" s="22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2:13" s="20" customFormat="1">
      <c r="B300" s="21"/>
      <c r="C300" s="21"/>
      <c r="D300" s="22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2:13" s="20" customFormat="1">
      <c r="B301" s="21"/>
      <c r="C301" s="21"/>
      <c r="D301" s="22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2:13" s="20" customFormat="1">
      <c r="B302" s="21"/>
      <c r="C302" s="21"/>
      <c r="D302" s="22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2:13" s="20" customFormat="1">
      <c r="B303" s="21"/>
      <c r="C303" s="21"/>
      <c r="D303" s="22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2:13" s="20" customFormat="1">
      <c r="B304" s="21"/>
      <c r="C304" s="21"/>
      <c r="D304" s="22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2:13" s="20" customFormat="1">
      <c r="B305" s="21"/>
      <c r="C305" s="21"/>
      <c r="D305" s="22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2:13" s="20" customFormat="1">
      <c r="B306" s="21"/>
      <c r="C306" s="21"/>
      <c r="D306" s="22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2:13" s="20" customFormat="1">
      <c r="B307" s="21"/>
      <c r="C307" s="21"/>
      <c r="D307" s="22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2:13" s="20" customFormat="1">
      <c r="B308" s="21"/>
      <c r="C308" s="21"/>
      <c r="D308" s="22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2:13" s="20" customFormat="1">
      <c r="B309" s="21"/>
      <c r="C309" s="21"/>
      <c r="D309" s="22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2:13" s="20" customFormat="1">
      <c r="B310" s="21"/>
      <c r="C310" s="21"/>
      <c r="D310" s="22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2:13" s="20" customFormat="1">
      <c r="B311" s="21"/>
      <c r="C311" s="21"/>
      <c r="D311" s="22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2:13" s="20" customFormat="1">
      <c r="B312" s="21"/>
      <c r="C312" s="21"/>
      <c r="D312" s="22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2:13" s="20" customFormat="1">
      <c r="B313" s="21"/>
      <c r="C313" s="21"/>
      <c r="D313" s="22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2:13" s="20" customFormat="1">
      <c r="B314" s="21"/>
      <c r="C314" s="21"/>
      <c r="D314" s="22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2:13" s="20" customFormat="1">
      <c r="B315" s="21"/>
      <c r="C315" s="21"/>
      <c r="D315" s="22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2:13" s="20" customFormat="1">
      <c r="B316" s="21"/>
      <c r="C316" s="21"/>
      <c r="D316" s="22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2:13" s="20" customFormat="1">
      <c r="B317" s="21"/>
      <c r="C317" s="21"/>
      <c r="D317" s="22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2:13" s="20" customFormat="1">
      <c r="B318" s="21"/>
      <c r="C318" s="21"/>
      <c r="D318" s="22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2:13" s="20" customFormat="1">
      <c r="B319" s="21"/>
      <c r="C319" s="21"/>
      <c r="D319" s="22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2:13" s="20" customFormat="1">
      <c r="B320" s="21"/>
      <c r="C320" s="21"/>
      <c r="D320" s="22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2:13" s="20" customFormat="1">
      <c r="B321" s="21"/>
      <c r="C321" s="21"/>
      <c r="D321" s="22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2:13" s="20" customFormat="1">
      <c r="B322" s="21"/>
      <c r="C322" s="21"/>
      <c r="D322" s="22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2:13" s="20" customFormat="1">
      <c r="B323" s="21"/>
      <c r="C323" s="21"/>
      <c r="D323" s="22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2:13" s="20" customFormat="1">
      <c r="B324" s="21"/>
      <c r="C324" s="21"/>
      <c r="D324" s="22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2:13" s="20" customFormat="1">
      <c r="B325" s="21"/>
      <c r="C325" s="21"/>
      <c r="D325" s="22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2:13" s="20" customFormat="1">
      <c r="B326" s="21"/>
      <c r="C326" s="21"/>
      <c r="D326" s="22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2:13" s="20" customFormat="1">
      <c r="B327" s="21"/>
      <c r="C327" s="21"/>
      <c r="D327" s="22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2:13" s="20" customFormat="1">
      <c r="B328" s="21"/>
      <c r="C328" s="21"/>
      <c r="D328" s="22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2:13" s="20" customFormat="1">
      <c r="B329" s="21"/>
      <c r="C329" s="21"/>
      <c r="D329" s="22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2:13" s="20" customFormat="1">
      <c r="B330" s="21"/>
      <c r="C330" s="21"/>
      <c r="D330" s="22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2:13" s="20" customFormat="1">
      <c r="B331" s="21"/>
      <c r="C331" s="21"/>
      <c r="D331" s="22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2:13" s="20" customFormat="1">
      <c r="B332" s="21"/>
      <c r="C332" s="21"/>
      <c r="D332" s="22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2:13" s="20" customFormat="1">
      <c r="B333" s="21"/>
      <c r="C333" s="21"/>
      <c r="D333" s="22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2:13" s="20" customFormat="1">
      <c r="B334" s="21"/>
      <c r="C334" s="21"/>
      <c r="D334" s="22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2:13" s="20" customFormat="1">
      <c r="B335" s="21"/>
      <c r="C335" s="21"/>
      <c r="D335" s="22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2:13" s="20" customFormat="1">
      <c r="B336" s="21"/>
      <c r="C336" s="21"/>
      <c r="D336" s="22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2:13" s="20" customFormat="1">
      <c r="B337" s="21"/>
      <c r="C337" s="21"/>
      <c r="D337" s="22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2:13" s="20" customFormat="1">
      <c r="B338" s="21"/>
      <c r="C338" s="21"/>
      <c r="D338" s="22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2:13" s="20" customFormat="1">
      <c r="B339" s="21"/>
      <c r="C339" s="21"/>
      <c r="D339" s="22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2:13" s="20" customFormat="1">
      <c r="B340" s="21"/>
      <c r="C340" s="21"/>
      <c r="D340" s="22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2:13" s="20" customFormat="1">
      <c r="B341" s="21"/>
      <c r="C341" s="21"/>
      <c r="D341" s="22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2:13" s="20" customFormat="1">
      <c r="B342" s="21"/>
      <c r="C342" s="21"/>
      <c r="D342" s="22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2:13" s="20" customFormat="1">
      <c r="B343" s="21"/>
      <c r="C343" s="21"/>
      <c r="D343" s="22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2:13" s="20" customFormat="1">
      <c r="B344" s="21"/>
      <c r="C344" s="21"/>
      <c r="D344" s="22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2:13" s="20" customFormat="1">
      <c r="B345" s="21"/>
      <c r="C345" s="21"/>
      <c r="D345" s="22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2:13" s="20" customFormat="1">
      <c r="B346" s="21"/>
      <c r="C346" s="21"/>
      <c r="D346" s="22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2:13" s="20" customFormat="1">
      <c r="B347" s="21"/>
      <c r="C347" s="21"/>
      <c r="D347" s="22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2:13" s="20" customFormat="1">
      <c r="B348" s="21"/>
      <c r="C348" s="21"/>
      <c r="D348" s="22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2:13" s="20" customFormat="1">
      <c r="B349" s="21"/>
      <c r="C349" s="21"/>
      <c r="D349" s="22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2:13" s="20" customFormat="1">
      <c r="B350" s="21"/>
      <c r="C350" s="21"/>
      <c r="D350" s="22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2:13" s="20" customFormat="1">
      <c r="B351" s="21"/>
      <c r="C351" s="21"/>
      <c r="D351" s="22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2:13" s="20" customFormat="1">
      <c r="B352" s="21"/>
      <c r="C352" s="21"/>
      <c r="D352" s="22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2:13" s="20" customFormat="1">
      <c r="B353" s="21"/>
      <c r="C353" s="21"/>
      <c r="D353" s="22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2:13" s="20" customFormat="1">
      <c r="B354" s="21"/>
      <c r="C354" s="21"/>
      <c r="D354" s="22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2:13" s="20" customFormat="1">
      <c r="B355" s="21"/>
      <c r="C355" s="21"/>
      <c r="D355" s="22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2:13" s="20" customFormat="1">
      <c r="B356" s="21"/>
      <c r="C356" s="21"/>
      <c r="D356" s="22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2:13" s="20" customFormat="1">
      <c r="B357" s="21"/>
      <c r="C357" s="21"/>
      <c r="D357" s="22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2:13" s="20" customFormat="1">
      <c r="B358" s="21"/>
      <c r="C358" s="21"/>
      <c r="D358" s="22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2:13" s="20" customFormat="1">
      <c r="B359" s="21"/>
      <c r="C359" s="21"/>
      <c r="D359" s="22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2:13" s="20" customFormat="1">
      <c r="B360" s="21"/>
      <c r="C360" s="21"/>
      <c r="D360" s="22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2:13" s="20" customFormat="1">
      <c r="B361" s="21"/>
      <c r="C361" s="21"/>
      <c r="D361" s="22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2:13" s="20" customFormat="1">
      <c r="B362" s="21"/>
      <c r="C362" s="21"/>
      <c r="D362" s="22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2:13" s="20" customFormat="1">
      <c r="B363" s="21"/>
      <c r="C363" s="21"/>
      <c r="D363" s="22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2:13" s="20" customFormat="1">
      <c r="B364" s="21"/>
      <c r="C364" s="21"/>
      <c r="D364" s="22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2:13" s="20" customFormat="1">
      <c r="B365" s="21"/>
      <c r="C365" s="21"/>
      <c r="D365" s="22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2:13" s="20" customFormat="1">
      <c r="B366" s="21"/>
      <c r="C366" s="21"/>
      <c r="D366" s="22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2:13" s="20" customFormat="1">
      <c r="B367" s="21"/>
      <c r="C367" s="21"/>
      <c r="D367" s="22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2:13" s="20" customFormat="1">
      <c r="B368" s="21"/>
      <c r="C368" s="21"/>
      <c r="D368" s="22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2:13" s="20" customFormat="1">
      <c r="B369" s="21"/>
      <c r="C369" s="21"/>
      <c r="D369" s="22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2:13" s="20" customFormat="1">
      <c r="B370" s="21"/>
      <c r="C370" s="21"/>
      <c r="D370" s="22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2:13" s="20" customFormat="1">
      <c r="B371" s="21"/>
      <c r="C371" s="21"/>
      <c r="D371" s="22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2:13" s="20" customFormat="1">
      <c r="B372" s="21"/>
      <c r="C372" s="21"/>
      <c r="D372" s="22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2:13" s="20" customFormat="1">
      <c r="B373" s="21"/>
      <c r="C373" s="21"/>
      <c r="D373" s="22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2:13" s="20" customFormat="1">
      <c r="B374" s="21"/>
      <c r="C374" s="21"/>
      <c r="D374" s="22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2:13" s="20" customFormat="1">
      <c r="B375" s="21"/>
      <c r="C375" s="21"/>
      <c r="D375" s="22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2:13" s="20" customFormat="1">
      <c r="B376" s="21"/>
      <c r="C376" s="21"/>
      <c r="D376" s="22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2:13" s="20" customFormat="1">
      <c r="B377" s="21"/>
      <c r="C377" s="21"/>
      <c r="D377" s="22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2:13" s="20" customFormat="1">
      <c r="B378" s="21"/>
      <c r="C378" s="21"/>
      <c r="D378" s="22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2:13" s="20" customFormat="1">
      <c r="B379" s="21"/>
      <c r="C379" s="21"/>
      <c r="D379" s="22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2:13" s="20" customFormat="1">
      <c r="B380" s="21"/>
      <c r="C380" s="21"/>
      <c r="D380" s="22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2:13" s="20" customFormat="1">
      <c r="B381" s="21"/>
      <c r="C381" s="21"/>
      <c r="D381" s="22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2:13" s="20" customFormat="1">
      <c r="B382" s="21"/>
      <c r="C382" s="21"/>
      <c r="D382" s="22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2:13" s="20" customFormat="1">
      <c r="B383" s="21"/>
      <c r="C383" s="21"/>
      <c r="D383" s="22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2:13" s="20" customFormat="1">
      <c r="B384" s="21"/>
      <c r="C384" s="21"/>
      <c r="D384" s="22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2:13" s="20" customFormat="1">
      <c r="B385" s="21"/>
      <c r="C385" s="21"/>
      <c r="D385" s="22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2:13" s="20" customFormat="1">
      <c r="B386" s="21"/>
      <c r="C386" s="21"/>
      <c r="D386" s="22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2:13" s="20" customFormat="1">
      <c r="B387" s="21"/>
      <c r="C387" s="21"/>
      <c r="D387" s="22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2:13" s="20" customFormat="1">
      <c r="B388" s="21"/>
      <c r="C388" s="21"/>
      <c r="D388" s="22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2:13" s="20" customFormat="1">
      <c r="B389" s="21"/>
      <c r="C389" s="21"/>
      <c r="D389" s="22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2:13" s="20" customFormat="1">
      <c r="B390" s="21"/>
      <c r="C390" s="21"/>
      <c r="D390" s="22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2:13" s="20" customFormat="1">
      <c r="B391" s="21"/>
      <c r="C391" s="21"/>
      <c r="D391" s="22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2:13" s="20" customFormat="1">
      <c r="B392" s="21"/>
      <c r="C392" s="21"/>
      <c r="D392" s="22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2:13" s="20" customFormat="1">
      <c r="B393" s="21"/>
      <c r="C393" s="21"/>
      <c r="D393" s="22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2:13" s="20" customFormat="1">
      <c r="B394" s="21"/>
      <c r="C394" s="21"/>
      <c r="D394" s="22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2:13" s="20" customFormat="1">
      <c r="B395" s="21"/>
      <c r="C395" s="21"/>
      <c r="D395" s="22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2:13" s="20" customFormat="1">
      <c r="B396" s="21"/>
      <c r="C396" s="21"/>
      <c r="D396" s="22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2:13" s="20" customFormat="1">
      <c r="B397" s="21"/>
      <c r="C397" s="21"/>
      <c r="D397" s="22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2:13" s="20" customFormat="1">
      <c r="B398" s="21"/>
      <c r="C398" s="21"/>
      <c r="D398" s="22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2:13" s="20" customFormat="1">
      <c r="B399" s="21"/>
      <c r="C399" s="21"/>
      <c r="D399" s="22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2:13" s="20" customFormat="1">
      <c r="B400" s="21"/>
      <c r="C400" s="21"/>
      <c r="D400" s="22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2:13" s="20" customFormat="1">
      <c r="B401" s="21"/>
      <c r="C401" s="21"/>
      <c r="D401" s="22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2:13" s="20" customFormat="1">
      <c r="B402" s="21"/>
      <c r="C402" s="21"/>
      <c r="D402" s="22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2:13" s="20" customFormat="1">
      <c r="B403" s="21"/>
      <c r="C403" s="21"/>
      <c r="D403" s="22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2:13" s="20" customFormat="1">
      <c r="B404" s="21"/>
      <c r="C404" s="21"/>
      <c r="D404" s="22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2:13" s="20" customFormat="1">
      <c r="B405" s="21"/>
      <c r="C405" s="21"/>
      <c r="D405" s="22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2:13" s="20" customFormat="1">
      <c r="B406" s="21"/>
      <c r="C406" s="21"/>
      <c r="D406" s="22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2:13" s="20" customFormat="1">
      <c r="B407" s="21"/>
      <c r="C407" s="21"/>
      <c r="D407" s="22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2:13" s="20" customFormat="1">
      <c r="B408" s="21"/>
      <c r="C408" s="21"/>
      <c r="D408" s="22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2:13" s="20" customFormat="1">
      <c r="B409" s="21"/>
      <c r="C409" s="21"/>
      <c r="D409" s="22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2:13" s="20" customFormat="1">
      <c r="B410" s="21"/>
      <c r="C410" s="21"/>
      <c r="D410" s="22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2:13" s="20" customFormat="1">
      <c r="B411" s="21"/>
      <c r="C411" s="21"/>
      <c r="D411" s="22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2:13" s="20" customFormat="1">
      <c r="B412" s="21"/>
      <c r="C412" s="21"/>
      <c r="D412" s="22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2:13" s="20" customFormat="1">
      <c r="B413" s="21"/>
      <c r="C413" s="21"/>
      <c r="D413" s="22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2:13" s="20" customFormat="1">
      <c r="B414" s="21"/>
      <c r="C414" s="21"/>
      <c r="D414" s="22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2:13" s="20" customFormat="1">
      <c r="B415" s="21"/>
      <c r="C415" s="21"/>
      <c r="D415" s="22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2:13" s="20" customFormat="1">
      <c r="B416" s="21"/>
      <c r="C416" s="21"/>
      <c r="D416" s="22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2:13" s="20" customFormat="1">
      <c r="B417" s="21"/>
      <c r="C417" s="21"/>
      <c r="D417" s="22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2:13" s="20" customFormat="1">
      <c r="B418" s="21"/>
      <c r="C418" s="21"/>
      <c r="D418" s="22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2:13" s="20" customFormat="1">
      <c r="B419" s="21"/>
      <c r="C419" s="21"/>
      <c r="D419" s="22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2:13" s="20" customFormat="1">
      <c r="B420" s="21"/>
      <c r="C420" s="21"/>
      <c r="D420" s="22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2:13" s="20" customFormat="1">
      <c r="B421" s="21"/>
      <c r="C421" s="21"/>
      <c r="D421" s="22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2:13" s="20" customFormat="1">
      <c r="B422" s="21"/>
      <c r="C422" s="21"/>
      <c r="D422" s="22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2:13" s="20" customFormat="1">
      <c r="B423" s="21"/>
      <c r="C423" s="21"/>
      <c r="D423" s="22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2:13" s="20" customFormat="1">
      <c r="B424" s="21"/>
      <c r="C424" s="21"/>
      <c r="D424" s="22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2:13" s="20" customFormat="1">
      <c r="B425" s="21"/>
      <c r="C425" s="21"/>
      <c r="D425" s="22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2:13" s="20" customFormat="1">
      <c r="B426" s="21"/>
      <c r="C426" s="21"/>
      <c r="D426" s="22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2:13" s="20" customFormat="1">
      <c r="B427" s="21"/>
      <c r="C427" s="21"/>
      <c r="D427" s="22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2:13" s="20" customFormat="1">
      <c r="B428" s="21"/>
      <c r="C428" s="21"/>
      <c r="D428" s="22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2:13" s="20" customFormat="1">
      <c r="B429" s="21"/>
      <c r="C429" s="21"/>
      <c r="D429" s="22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2:13" s="20" customFormat="1">
      <c r="B430" s="21"/>
      <c r="C430" s="21"/>
      <c r="D430" s="22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2:13" s="20" customFormat="1">
      <c r="B431" s="21"/>
      <c r="C431" s="21"/>
      <c r="D431" s="22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2:13" s="20" customFormat="1">
      <c r="B432" s="21"/>
      <c r="C432" s="21"/>
      <c r="D432" s="22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2:13" s="20" customFormat="1">
      <c r="B433" s="21"/>
      <c r="C433" s="21"/>
      <c r="D433" s="22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2:13" s="20" customFormat="1">
      <c r="B434" s="21"/>
      <c r="C434" s="21"/>
      <c r="D434" s="22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2:13" s="20" customFormat="1">
      <c r="B435" s="21"/>
      <c r="C435" s="21"/>
      <c r="D435" s="22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2:13" s="20" customFormat="1">
      <c r="B436" s="21"/>
      <c r="C436" s="21"/>
      <c r="D436" s="22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2:13" s="20" customFormat="1">
      <c r="B437" s="21"/>
      <c r="C437" s="21"/>
      <c r="D437" s="22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2:13" s="20" customFormat="1">
      <c r="B438" s="21"/>
      <c r="C438" s="21"/>
      <c r="D438" s="22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2:13" s="20" customFormat="1">
      <c r="B439" s="21"/>
      <c r="C439" s="21"/>
      <c r="D439" s="22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2:13" s="20" customFormat="1">
      <c r="B440" s="21"/>
      <c r="C440" s="21"/>
      <c r="D440" s="22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2:13" s="20" customFormat="1">
      <c r="B441" s="21"/>
      <c r="C441" s="21"/>
      <c r="D441" s="22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2:13" s="20" customFormat="1">
      <c r="B442" s="21"/>
      <c r="C442" s="21"/>
      <c r="D442" s="22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2:13" s="20" customFormat="1">
      <c r="B443" s="21"/>
      <c r="C443" s="21"/>
      <c r="D443" s="22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2:13" s="20" customFormat="1">
      <c r="B444" s="21"/>
      <c r="C444" s="21"/>
      <c r="D444" s="22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2:13" s="20" customFormat="1">
      <c r="B445" s="21"/>
      <c r="C445" s="21"/>
      <c r="D445" s="22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2:13" s="20" customFormat="1">
      <c r="B446" s="21"/>
      <c r="C446" s="21"/>
      <c r="D446" s="22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2:13" s="20" customFormat="1">
      <c r="B447" s="21"/>
      <c r="C447" s="21"/>
      <c r="D447" s="22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2:13" s="20" customFormat="1">
      <c r="B448" s="21"/>
      <c r="C448" s="21"/>
      <c r="D448" s="22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2:13" s="20" customFormat="1">
      <c r="B449" s="21"/>
      <c r="C449" s="21"/>
      <c r="D449" s="22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2:13" s="20" customFormat="1">
      <c r="B450" s="21"/>
      <c r="C450" s="21"/>
      <c r="D450" s="22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2:13" s="20" customFormat="1">
      <c r="B451" s="21"/>
      <c r="C451" s="21"/>
      <c r="D451" s="22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2:13" s="20" customFormat="1">
      <c r="B452" s="21"/>
      <c r="C452" s="21"/>
      <c r="D452" s="22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2:13" s="20" customFormat="1">
      <c r="B453" s="21"/>
      <c r="C453" s="21"/>
      <c r="D453" s="22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2:13" s="20" customFormat="1">
      <c r="B454" s="21"/>
      <c r="C454" s="21"/>
      <c r="D454" s="22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2:13" s="20" customFormat="1">
      <c r="B455" s="21"/>
      <c r="C455" s="21"/>
      <c r="D455" s="22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2:13" s="20" customFormat="1">
      <c r="B456" s="21"/>
      <c r="C456" s="21"/>
      <c r="D456" s="22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2:13" s="20" customFormat="1">
      <c r="B457" s="21"/>
      <c r="C457" s="21"/>
      <c r="D457" s="22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2:13" s="20" customFormat="1">
      <c r="B458" s="21"/>
      <c r="C458" s="21"/>
      <c r="D458" s="22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2:13" s="20" customFormat="1">
      <c r="B459" s="21"/>
      <c r="C459" s="21"/>
      <c r="D459" s="22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2:13" s="20" customFormat="1">
      <c r="B460" s="21"/>
      <c r="C460" s="21"/>
      <c r="D460" s="22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2:13" s="20" customFormat="1">
      <c r="B461" s="21"/>
      <c r="C461" s="21"/>
      <c r="D461" s="22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2:13" s="20" customFormat="1">
      <c r="B462" s="21"/>
      <c r="C462" s="21"/>
      <c r="D462" s="22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2:13" s="20" customFormat="1">
      <c r="B463" s="21"/>
      <c r="C463" s="21"/>
      <c r="D463" s="22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2:13" s="20" customFormat="1">
      <c r="B464" s="21"/>
      <c r="C464" s="21"/>
      <c r="D464" s="22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2:13" s="20" customFormat="1">
      <c r="B465" s="21"/>
      <c r="C465" s="21"/>
      <c r="D465" s="22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2:13" s="20" customFormat="1">
      <c r="B466" s="21"/>
      <c r="C466" s="21"/>
      <c r="D466" s="22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2:13" s="20" customFormat="1">
      <c r="B467" s="21"/>
      <c r="C467" s="21"/>
      <c r="D467" s="22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2:13" s="20" customFormat="1">
      <c r="B468" s="21"/>
      <c r="C468" s="21"/>
      <c r="D468" s="22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2:13" s="20" customFormat="1">
      <c r="B469" s="21"/>
      <c r="C469" s="21"/>
      <c r="D469" s="22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2:13" s="20" customFormat="1">
      <c r="B470" s="21"/>
      <c r="C470" s="21"/>
      <c r="D470" s="22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2:13" s="20" customFormat="1">
      <c r="B471" s="21"/>
      <c r="C471" s="21"/>
      <c r="D471" s="22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2:13" s="20" customFormat="1">
      <c r="B472" s="21"/>
      <c r="C472" s="21"/>
      <c r="D472" s="22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2:13" s="20" customFormat="1">
      <c r="B473" s="21"/>
      <c r="C473" s="21"/>
      <c r="D473" s="22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2:13" s="20" customFormat="1">
      <c r="B474" s="21"/>
      <c r="C474" s="21"/>
      <c r="D474" s="22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2:13" s="20" customFormat="1">
      <c r="B475" s="21"/>
      <c r="C475" s="21"/>
      <c r="D475" s="22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2:13" s="20" customFormat="1">
      <c r="B476" s="21"/>
      <c r="C476" s="21"/>
      <c r="D476" s="22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2:13" s="20" customFormat="1">
      <c r="B477" s="21"/>
      <c r="C477" s="21"/>
      <c r="D477" s="22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2:13" s="20" customFormat="1">
      <c r="B478" s="21"/>
      <c r="C478" s="21"/>
      <c r="D478" s="22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2:13" s="20" customFormat="1">
      <c r="B479" s="21"/>
      <c r="C479" s="21"/>
      <c r="D479" s="22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2:13" s="20" customFormat="1">
      <c r="B480" s="21"/>
      <c r="C480" s="21"/>
      <c r="D480" s="22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2:13" s="20" customFormat="1">
      <c r="B481" s="21"/>
      <c r="C481" s="21"/>
      <c r="D481" s="22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2:13" s="20" customFormat="1">
      <c r="B482" s="21"/>
      <c r="C482" s="21"/>
      <c r="D482" s="22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2:13" s="20" customFormat="1">
      <c r="B483" s="21"/>
      <c r="C483" s="21"/>
      <c r="D483" s="22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2:13" s="20" customFormat="1">
      <c r="B484" s="21"/>
      <c r="C484" s="21"/>
      <c r="D484" s="22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2:13" s="20" customFormat="1">
      <c r="B485" s="21"/>
      <c r="C485" s="21"/>
      <c r="D485" s="22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2:13" s="20" customFormat="1">
      <c r="B486" s="21"/>
      <c r="C486" s="21"/>
      <c r="D486" s="22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2:13" s="20" customFormat="1">
      <c r="B487" s="21"/>
      <c r="C487" s="21"/>
      <c r="D487" s="22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2:13" s="20" customFormat="1">
      <c r="B488" s="21"/>
      <c r="C488" s="21"/>
      <c r="D488" s="22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2:13" s="20" customFormat="1">
      <c r="B489" s="21"/>
      <c r="C489" s="21"/>
      <c r="D489" s="22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2:13" s="20" customFormat="1">
      <c r="B490" s="21"/>
      <c r="C490" s="21"/>
      <c r="D490" s="22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2:13" s="20" customFormat="1">
      <c r="B491" s="21"/>
      <c r="C491" s="21"/>
      <c r="D491" s="22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2:13" s="20" customFormat="1">
      <c r="B492" s="21"/>
      <c r="C492" s="21"/>
      <c r="D492" s="22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2:13" s="20" customFormat="1">
      <c r="B493" s="21"/>
      <c r="C493" s="21"/>
      <c r="D493" s="22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2:13" s="20" customFormat="1">
      <c r="B494" s="21"/>
      <c r="C494" s="21"/>
      <c r="D494" s="22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2:13" s="20" customFormat="1">
      <c r="B495" s="21"/>
      <c r="C495" s="21"/>
      <c r="D495" s="22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2:13" s="20" customFormat="1">
      <c r="B496" s="21"/>
      <c r="C496" s="21"/>
      <c r="D496" s="22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2:13" s="20" customFormat="1">
      <c r="B497" s="21"/>
      <c r="C497" s="21"/>
      <c r="D497" s="22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2:13" s="20" customFormat="1">
      <c r="B498" s="21"/>
      <c r="C498" s="21"/>
      <c r="D498" s="22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2:13" s="20" customFormat="1">
      <c r="B499" s="21"/>
      <c r="C499" s="21"/>
      <c r="D499" s="22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2:13" s="20" customFormat="1">
      <c r="B500" s="21"/>
      <c r="C500" s="21"/>
      <c r="D500" s="22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2:13" s="20" customFormat="1">
      <c r="B501" s="21"/>
      <c r="C501" s="21"/>
      <c r="D501" s="22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2:13" s="20" customFormat="1">
      <c r="B502" s="21"/>
      <c r="C502" s="21"/>
      <c r="D502" s="22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2:13" s="20" customFormat="1">
      <c r="B503" s="21"/>
      <c r="C503" s="21"/>
      <c r="D503" s="22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2:13" s="20" customFormat="1">
      <c r="B504" s="21"/>
      <c r="C504" s="21"/>
      <c r="D504" s="22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2:13" s="20" customFormat="1">
      <c r="B505" s="21"/>
      <c r="C505" s="21"/>
      <c r="D505" s="22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2:13" s="20" customFormat="1">
      <c r="B506" s="21"/>
      <c r="C506" s="21"/>
      <c r="D506" s="22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2:13" s="20" customFormat="1">
      <c r="B507" s="21"/>
      <c r="C507" s="21"/>
      <c r="D507" s="22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2:13" s="20" customFormat="1">
      <c r="B508" s="21"/>
      <c r="C508" s="21"/>
      <c r="D508" s="22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2:13" s="20" customFormat="1">
      <c r="B509" s="21"/>
      <c r="C509" s="21"/>
      <c r="D509" s="22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2:13" s="20" customFormat="1">
      <c r="B510" s="21"/>
      <c r="C510" s="21"/>
      <c r="D510" s="22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2:13" s="20" customFormat="1">
      <c r="B511" s="21"/>
      <c r="C511" s="21"/>
      <c r="D511" s="22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2:13" s="20" customFormat="1">
      <c r="B512" s="21"/>
      <c r="C512" s="21"/>
      <c r="D512" s="22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2:13" s="20" customFormat="1">
      <c r="B513" s="21"/>
      <c r="C513" s="21"/>
      <c r="D513" s="22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2:13" s="20" customFormat="1">
      <c r="B514" s="21"/>
      <c r="C514" s="21"/>
      <c r="D514" s="22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2:13" s="20" customFormat="1">
      <c r="B515" s="21"/>
      <c r="C515" s="21"/>
      <c r="D515" s="22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2:13" s="20" customFormat="1">
      <c r="B516" s="21"/>
      <c r="C516" s="21"/>
      <c r="D516" s="22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2:13" s="20" customFormat="1">
      <c r="B517" s="21"/>
      <c r="C517" s="21"/>
      <c r="D517" s="22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2:13" s="20" customFormat="1">
      <c r="B518" s="21"/>
      <c r="C518" s="21"/>
      <c r="D518" s="22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2:13" s="20" customFormat="1">
      <c r="B519" s="21"/>
      <c r="C519" s="21"/>
      <c r="D519" s="22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2:13" s="20" customFormat="1">
      <c r="B520" s="21"/>
      <c r="C520" s="21"/>
      <c r="D520" s="22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2:13" s="20" customFormat="1">
      <c r="B521" s="21"/>
      <c r="C521" s="21"/>
      <c r="D521" s="22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2:13" s="20" customFormat="1">
      <c r="B522" s="21"/>
      <c r="C522" s="21"/>
      <c r="D522" s="22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2:13" s="20" customFormat="1">
      <c r="B523" s="21"/>
      <c r="C523" s="21"/>
      <c r="D523" s="22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2:13" s="20" customFormat="1">
      <c r="B524" s="21"/>
      <c r="C524" s="21"/>
      <c r="D524" s="22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2:13" s="20" customFormat="1">
      <c r="B525" s="21"/>
      <c r="C525" s="21"/>
      <c r="D525" s="22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2:13" s="20" customFormat="1">
      <c r="B526" s="21"/>
      <c r="C526" s="21"/>
      <c r="D526" s="22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2:13" s="20" customFormat="1">
      <c r="B527" s="21"/>
      <c r="C527" s="21"/>
      <c r="D527" s="22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2:13" s="20" customFormat="1">
      <c r="B528" s="21"/>
      <c r="C528" s="21"/>
      <c r="D528" s="22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2:13" s="20" customFormat="1">
      <c r="B529" s="21"/>
      <c r="C529" s="21"/>
      <c r="D529" s="22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2:13" s="20" customFormat="1">
      <c r="B530" s="21"/>
      <c r="C530" s="21"/>
      <c r="D530" s="22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2:13" s="20" customFormat="1">
      <c r="B531" s="21"/>
      <c r="C531" s="21"/>
      <c r="D531" s="22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2:13" s="20" customFormat="1">
      <c r="B532" s="21"/>
      <c r="C532" s="21"/>
      <c r="D532" s="22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2:13" s="20" customFormat="1">
      <c r="B533" s="21"/>
      <c r="C533" s="21"/>
      <c r="D533" s="22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2:13" s="20" customFormat="1">
      <c r="B534" s="21"/>
      <c r="C534" s="21"/>
      <c r="D534" s="22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2:13" s="20" customFormat="1">
      <c r="B535" s="21"/>
      <c r="C535" s="21"/>
      <c r="D535" s="22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2:13" s="20" customFormat="1">
      <c r="B536" s="21"/>
      <c r="C536" s="21"/>
      <c r="D536" s="22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2:13" s="20" customFormat="1">
      <c r="B537" s="21"/>
      <c r="C537" s="21"/>
      <c r="D537" s="22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2:13" s="20" customFormat="1">
      <c r="B538" s="21"/>
      <c r="C538" s="21"/>
      <c r="D538" s="22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2:13" s="20" customFormat="1">
      <c r="B539" s="21"/>
      <c r="C539" s="21"/>
      <c r="D539" s="22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2:13" s="20" customFormat="1">
      <c r="B540" s="21"/>
      <c r="C540" s="21"/>
      <c r="D540" s="22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2:13" s="20" customFormat="1">
      <c r="B541" s="21"/>
      <c r="C541" s="21"/>
      <c r="D541" s="22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2:13" s="20" customFormat="1">
      <c r="B542" s="21"/>
      <c r="C542" s="21"/>
      <c r="D542" s="22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2:13" s="20" customFormat="1">
      <c r="B543" s="21"/>
      <c r="C543" s="21"/>
      <c r="D543" s="22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2:13" s="20" customFormat="1">
      <c r="B544" s="21"/>
      <c r="C544" s="21"/>
      <c r="D544" s="22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2:13" s="20" customFormat="1">
      <c r="B545" s="21"/>
      <c r="C545" s="21"/>
      <c r="D545" s="22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2:13" s="20" customFormat="1">
      <c r="B546" s="21"/>
      <c r="C546" s="21"/>
      <c r="D546" s="22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2:13" s="20" customFormat="1">
      <c r="B547" s="21"/>
      <c r="C547" s="21"/>
      <c r="D547" s="22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2:13" s="20" customFormat="1">
      <c r="B548" s="21"/>
      <c r="C548" s="21"/>
      <c r="D548" s="22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2:13" s="20" customFormat="1">
      <c r="B549" s="21"/>
      <c r="C549" s="21"/>
      <c r="D549" s="22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2:13" s="20" customFormat="1">
      <c r="B550" s="21"/>
      <c r="C550" s="21"/>
      <c r="D550" s="22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2:13" s="20" customFormat="1">
      <c r="B551" s="21"/>
      <c r="C551" s="21"/>
      <c r="D551" s="22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2:13" s="20" customFormat="1">
      <c r="B552" s="21"/>
      <c r="C552" s="21"/>
      <c r="D552" s="22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2:13" s="20" customFormat="1">
      <c r="B553" s="21"/>
      <c r="C553" s="21"/>
      <c r="D553" s="22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2:13" s="20" customFormat="1">
      <c r="B554" s="21"/>
      <c r="C554" s="21"/>
      <c r="D554" s="22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2:13" s="20" customFormat="1">
      <c r="B555" s="21"/>
      <c r="C555" s="21"/>
      <c r="D555" s="22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2:13" s="20" customFormat="1">
      <c r="B556" s="21"/>
      <c r="C556" s="21"/>
      <c r="D556" s="22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2:13" s="20" customFormat="1">
      <c r="B557" s="21"/>
      <c r="C557" s="21"/>
      <c r="D557" s="22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2:13" s="20" customFormat="1">
      <c r="B558" s="21"/>
      <c r="C558" s="21"/>
      <c r="D558" s="22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2:13" s="20" customFormat="1">
      <c r="B559" s="21"/>
      <c r="C559" s="21"/>
      <c r="D559" s="22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2:13" s="20" customFormat="1">
      <c r="B560" s="21"/>
      <c r="C560" s="21"/>
      <c r="D560" s="22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2:13" s="20" customFormat="1">
      <c r="B561" s="21"/>
      <c r="C561" s="21"/>
      <c r="D561" s="22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2:13" s="20" customFormat="1">
      <c r="B562" s="21"/>
      <c r="C562" s="21"/>
      <c r="D562" s="22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2:13" s="20" customFormat="1">
      <c r="B563" s="21"/>
      <c r="C563" s="21"/>
      <c r="D563" s="22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2:13" s="20" customFormat="1">
      <c r="B564" s="21"/>
      <c r="C564" s="21"/>
      <c r="D564" s="22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2:13" s="20" customFormat="1">
      <c r="B565" s="21"/>
      <c r="C565" s="21"/>
      <c r="D565" s="22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2:13" s="20" customFormat="1">
      <c r="B566" s="21"/>
      <c r="C566" s="21"/>
      <c r="D566" s="22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2:13" s="20" customFormat="1">
      <c r="B567" s="21"/>
      <c r="C567" s="21"/>
      <c r="D567" s="22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2:13" s="20" customFormat="1">
      <c r="B568" s="21"/>
      <c r="C568" s="21"/>
      <c r="D568" s="22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2:13" s="20" customFormat="1">
      <c r="B569" s="21"/>
      <c r="C569" s="21"/>
      <c r="D569" s="22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2:13" s="20" customFormat="1">
      <c r="B570" s="21"/>
      <c r="C570" s="21"/>
      <c r="D570" s="22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2:13" s="20" customFormat="1">
      <c r="B571" s="21"/>
      <c r="C571" s="21"/>
      <c r="D571" s="22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2:13" s="20" customFormat="1">
      <c r="B572" s="21"/>
      <c r="C572" s="21"/>
      <c r="D572" s="22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2:13" s="20" customFormat="1">
      <c r="B573" s="21"/>
      <c r="C573" s="21"/>
      <c r="D573" s="22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2:13" s="20" customFormat="1">
      <c r="B574" s="21"/>
      <c r="C574" s="21"/>
      <c r="D574" s="22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2:13" s="20" customFormat="1">
      <c r="B575" s="21"/>
      <c r="C575" s="21"/>
      <c r="D575" s="22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2:13" s="20" customFormat="1">
      <c r="B576" s="21"/>
      <c r="C576" s="21"/>
      <c r="D576" s="22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2:13" s="20" customFormat="1">
      <c r="B577" s="21"/>
      <c r="C577" s="21"/>
      <c r="D577" s="22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2:13" s="20" customFormat="1">
      <c r="B578" s="21"/>
      <c r="C578" s="21"/>
      <c r="D578" s="22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2:13" s="20" customFormat="1">
      <c r="B579" s="21"/>
      <c r="C579" s="21"/>
      <c r="D579" s="22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2:13" s="20" customFormat="1">
      <c r="B580" s="21"/>
      <c r="C580" s="21"/>
      <c r="D580" s="22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2:13" s="20" customFormat="1">
      <c r="B581" s="21"/>
      <c r="C581" s="21"/>
      <c r="D581" s="22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2:13" s="20" customFormat="1">
      <c r="B582" s="21"/>
      <c r="C582" s="21"/>
      <c r="D582" s="22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2:13" s="20" customFormat="1">
      <c r="B583" s="21"/>
      <c r="C583" s="21"/>
      <c r="D583" s="22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2:13" s="20" customFormat="1">
      <c r="B584" s="21"/>
      <c r="C584" s="21"/>
      <c r="D584" s="22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2:13" s="20" customFormat="1">
      <c r="B585" s="21"/>
      <c r="C585" s="21"/>
      <c r="D585" s="22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2:13" s="20" customFormat="1">
      <c r="B586" s="21"/>
      <c r="C586" s="21"/>
      <c r="D586" s="22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2:13" s="20" customFormat="1">
      <c r="B587" s="21"/>
      <c r="C587" s="21"/>
      <c r="D587" s="22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2:13" s="20" customFormat="1">
      <c r="B588" s="21"/>
      <c r="C588" s="21"/>
      <c r="D588" s="22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2:13" s="20" customFormat="1">
      <c r="B589" s="21"/>
      <c r="C589" s="21"/>
      <c r="D589" s="22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2:13" s="20" customFormat="1">
      <c r="B590" s="21"/>
      <c r="C590" s="21"/>
      <c r="D590" s="22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2:13" s="20" customFormat="1">
      <c r="B591" s="21"/>
      <c r="C591" s="21"/>
      <c r="D591" s="22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2:13" s="20" customFormat="1">
      <c r="B592" s="21"/>
      <c r="C592" s="21"/>
      <c r="D592" s="22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2:13" s="20" customFormat="1">
      <c r="B593" s="21"/>
      <c r="C593" s="21"/>
      <c r="D593" s="22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2:13" s="20" customFormat="1">
      <c r="B594" s="21"/>
      <c r="C594" s="21"/>
      <c r="D594" s="22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2:13" s="20" customFormat="1">
      <c r="B595" s="21"/>
      <c r="C595" s="21"/>
      <c r="D595" s="22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2:13" s="20" customFormat="1">
      <c r="B596" s="21"/>
      <c r="C596" s="21"/>
      <c r="D596" s="22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2:13" s="20" customFormat="1">
      <c r="B597" s="21"/>
      <c r="C597" s="21"/>
      <c r="D597" s="22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2:13" s="20" customFormat="1">
      <c r="B598" s="21"/>
      <c r="C598" s="21"/>
      <c r="D598" s="22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2:13" s="20" customFormat="1">
      <c r="B599" s="21"/>
      <c r="C599" s="21"/>
      <c r="D599" s="22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2:13" s="20" customFormat="1">
      <c r="B600" s="21"/>
      <c r="C600" s="21"/>
      <c r="D600" s="22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2:13" s="20" customFormat="1">
      <c r="B601" s="21"/>
      <c r="C601" s="21"/>
      <c r="D601" s="22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2:13" s="20" customFormat="1">
      <c r="B602" s="21"/>
      <c r="C602" s="21"/>
      <c r="D602" s="22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2:13" s="20" customFormat="1">
      <c r="B603" s="21"/>
      <c r="C603" s="21"/>
      <c r="D603" s="22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2:13" s="20" customFormat="1">
      <c r="B604" s="21"/>
      <c r="C604" s="21"/>
      <c r="D604" s="22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2:13" s="20" customFormat="1">
      <c r="B605" s="21"/>
      <c r="C605" s="21"/>
      <c r="D605" s="22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2:13" s="20" customFormat="1">
      <c r="B606" s="21"/>
      <c r="C606" s="21"/>
      <c r="D606" s="22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2:13" s="20" customFormat="1">
      <c r="B607" s="21"/>
      <c r="C607" s="21"/>
      <c r="D607" s="22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2:13" s="20" customFormat="1">
      <c r="B608" s="21"/>
      <c r="C608" s="21"/>
      <c r="D608" s="22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2:13" s="20" customFormat="1">
      <c r="B609" s="21"/>
      <c r="C609" s="21"/>
      <c r="D609" s="22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2:13" s="20" customFormat="1">
      <c r="B610" s="21"/>
      <c r="C610" s="21"/>
      <c r="D610" s="22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2:13" s="20" customFormat="1">
      <c r="B611" s="21"/>
      <c r="C611" s="21"/>
      <c r="D611" s="22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2:13" s="20" customFormat="1">
      <c r="B612" s="21"/>
      <c r="C612" s="21"/>
      <c r="D612" s="22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2:13" s="20" customFormat="1">
      <c r="B613" s="21"/>
      <c r="C613" s="21"/>
      <c r="D613" s="22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2:13" s="20" customFormat="1">
      <c r="B614" s="21"/>
      <c r="C614" s="21"/>
      <c r="D614" s="22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2:13" s="20" customFormat="1">
      <c r="B615" s="21"/>
      <c r="C615" s="21"/>
      <c r="D615" s="22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2:13" s="20" customFormat="1">
      <c r="B616" s="21"/>
      <c r="C616" s="21"/>
      <c r="D616" s="22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2:13" s="20" customFormat="1">
      <c r="B617" s="21"/>
      <c r="C617" s="21"/>
      <c r="D617" s="22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2:13" s="20" customFormat="1">
      <c r="B618" s="21"/>
      <c r="C618" s="21"/>
      <c r="D618" s="22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2:13" s="20" customFormat="1">
      <c r="B619" s="21"/>
      <c r="C619" s="21"/>
      <c r="D619" s="22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2:13" s="20" customFormat="1">
      <c r="B620" s="21"/>
      <c r="C620" s="21"/>
      <c r="D620" s="22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2:13" s="20" customFormat="1">
      <c r="B621" s="21"/>
      <c r="C621" s="21"/>
      <c r="D621" s="22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2:13" s="20" customFormat="1">
      <c r="B622" s="21"/>
      <c r="C622" s="21"/>
      <c r="D622" s="22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2:13" s="20" customFormat="1">
      <c r="B623" s="21"/>
      <c r="C623" s="21"/>
      <c r="D623" s="22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2:13" s="20" customFormat="1">
      <c r="B624" s="21"/>
      <c r="C624" s="21"/>
      <c r="D624" s="22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2:13" s="20" customFormat="1">
      <c r="B625" s="21"/>
      <c r="C625" s="21"/>
      <c r="D625" s="22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2:13" s="20" customFormat="1">
      <c r="B626" s="21"/>
      <c r="C626" s="21"/>
      <c r="D626" s="22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2:13" s="20" customFormat="1">
      <c r="B627" s="21"/>
      <c r="C627" s="21"/>
      <c r="D627" s="22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2:13" s="20" customFormat="1">
      <c r="B628" s="21"/>
      <c r="C628" s="21"/>
      <c r="D628" s="22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2:13" s="20" customFormat="1">
      <c r="B629" s="21"/>
      <c r="C629" s="21"/>
      <c r="D629" s="22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2:13" s="20" customFormat="1">
      <c r="B630" s="21"/>
      <c r="C630" s="21"/>
      <c r="D630" s="22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2:13" s="20" customFormat="1">
      <c r="B631" s="21"/>
      <c r="C631" s="21"/>
      <c r="D631" s="22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2:13" s="20" customFormat="1">
      <c r="B632" s="21"/>
      <c r="C632" s="21"/>
      <c r="D632" s="22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2:13" s="20" customFormat="1">
      <c r="B633" s="21"/>
      <c r="C633" s="21"/>
      <c r="D633" s="22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2:13" s="20" customFormat="1">
      <c r="B634" s="21"/>
      <c r="C634" s="21"/>
      <c r="D634" s="22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2:13" s="20" customFormat="1">
      <c r="B635" s="21"/>
      <c r="C635" s="21"/>
      <c r="D635" s="22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2:13" s="20" customFormat="1">
      <c r="B636" s="21"/>
      <c r="C636" s="21"/>
      <c r="D636" s="22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2:13" s="20" customFormat="1">
      <c r="B637" s="21"/>
      <c r="C637" s="21"/>
      <c r="D637" s="22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2:13" s="20" customFormat="1">
      <c r="B638" s="21"/>
      <c r="C638" s="21"/>
      <c r="D638" s="22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2:13" s="20" customFormat="1">
      <c r="B639" s="21"/>
      <c r="C639" s="21"/>
      <c r="D639" s="22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2:13" s="20" customFormat="1">
      <c r="B640" s="21"/>
      <c r="C640" s="21"/>
      <c r="D640" s="22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2:13" s="20" customFormat="1">
      <c r="B641" s="21"/>
      <c r="C641" s="21"/>
      <c r="D641" s="22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2:13" s="20" customFormat="1">
      <c r="B642" s="21"/>
      <c r="C642" s="21"/>
      <c r="D642" s="22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2:13" s="20" customFormat="1">
      <c r="B643" s="21"/>
      <c r="C643" s="21"/>
      <c r="D643" s="22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2:13" s="20" customFormat="1">
      <c r="B644" s="21"/>
      <c r="C644" s="21"/>
      <c r="D644" s="22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2:13" s="20" customFormat="1">
      <c r="B645" s="21"/>
      <c r="C645" s="21"/>
      <c r="D645" s="22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2:13" s="20" customFormat="1">
      <c r="B646" s="21"/>
      <c r="C646" s="21"/>
      <c r="D646" s="22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2:13" s="20" customFormat="1">
      <c r="B647" s="21"/>
      <c r="C647" s="21"/>
      <c r="D647" s="22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2:13" s="20" customFormat="1">
      <c r="B648" s="21"/>
      <c r="C648" s="21"/>
      <c r="D648" s="22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2:13" s="20" customFormat="1">
      <c r="B649" s="21"/>
      <c r="C649" s="21"/>
      <c r="D649" s="22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2:13" s="20" customFormat="1">
      <c r="B650" s="21"/>
      <c r="C650" s="21"/>
      <c r="D650" s="22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2:13" s="20" customFormat="1">
      <c r="B651" s="21"/>
      <c r="C651" s="21"/>
      <c r="D651" s="22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2:13" s="20" customFormat="1">
      <c r="B652" s="21"/>
      <c r="C652" s="21"/>
      <c r="D652" s="22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2:13" s="20" customFormat="1">
      <c r="B653" s="21"/>
      <c r="C653" s="21"/>
      <c r="D653" s="22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2:13" s="20" customFormat="1">
      <c r="B654" s="21"/>
      <c r="C654" s="21"/>
      <c r="D654" s="22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2:13" s="20" customFormat="1">
      <c r="B655" s="21"/>
      <c r="C655" s="21"/>
      <c r="D655" s="22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2:13" s="20" customFormat="1">
      <c r="B656" s="21"/>
      <c r="C656" s="21"/>
      <c r="D656" s="22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2:13" s="20" customFormat="1">
      <c r="B657" s="21"/>
      <c r="C657" s="21"/>
      <c r="D657" s="22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2:13" s="20" customFormat="1">
      <c r="B658" s="21"/>
      <c r="C658" s="21"/>
      <c r="D658" s="22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2:13" s="20" customFormat="1">
      <c r="B659" s="21"/>
      <c r="C659" s="21"/>
      <c r="D659" s="22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2:13" s="20" customFormat="1">
      <c r="B660" s="21"/>
      <c r="C660" s="21"/>
      <c r="D660" s="22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2:13" s="20" customFormat="1">
      <c r="B661" s="21"/>
      <c r="C661" s="21"/>
      <c r="D661" s="22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2:13" s="20" customFormat="1">
      <c r="B662" s="21"/>
      <c r="C662" s="21"/>
      <c r="D662" s="22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2:13" s="20" customFormat="1">
      <c r="B663" s="21"/>
      <c r="C663" s="21"/>
      <c r="D663" s="22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2:13" s="20" customFormat="1">
      <c r="B664" s="21"/>
      <c r="C664" s="21"/>
      <c r="D664" s="22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2:13" s="20" customFormat="1">
      <c r="B665" s="21"/>
      <c r="C665" s="21"/>
      <c r="D665" s="22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2:13" s="20" customFormat="1">
      <c r="B666" s="21"/>
      <c r="C666" s="21"/>
      <c r="D666" s="22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2:13" s="20" customFormat="1">
      <c r="B667" s="21"/>
      <c r="C667" s="21"/>
      <c r="D667" s="22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2:13" s="20" customFormat="1">
      <c r="B668" s="21"/>
      <c r="C668" s="21"/>
      <c r="D668" s="22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2:13" s="20" customFormat="1">
      <c r="B669" s="21"/>
      <c r="C669" s="21"/>
      <c r="D669" s="22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2:13" s="20" customFormat="1">
      <c r="B670" s="21"/>
      <c r="C670" s="21"/>
      <c r="D670" s="22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2:13" s="20" customFormat="1">
      <c r="B671" s="21"/>
      <c r="C671" s="21"/>
      <c r="D671" s="22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2:13" s="20" customFormat="1">
      <c r="B672" s="21"/>
      <c r="C672" s="21"/>
      <c r="D672" s="22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2:13" s="20" customFormat="1">
      <c r="B673" s="21"/>
      <c r="C673" s="21"/>
      <c r="D673" s="22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2:13" s="20" customFormat="1">
      <c r="B674" s="21"/>
      <c r="C674" s="21"/>
      <c r="D674" s="22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2:13" s="20" customFormat="1">
      <c r="B675" s="21"/>
      <c r="C675" s="21"/>
      <c r="D675" s="22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2:13" s="20" customFormat="1">
      <c r="B676" s="21"/>
      <c r="C676" s="21"/>
      <c r="D676" s="22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2:13" s="20" customFormat="1">
      <c r="B677" s="21"/>
      <c r="C677" s="21"/>
      <c r="D677" s="22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2:13" s="20" customFormat="1">
      <c r="B678" s="21"/>
      <c r="C678" s="21"/>
      <c r="D678" s="22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2:13" s="20" customFormat="1">
      <c r="B679" s="21"/>
      <c r="C679" s="21"/>
      <c r="D679" s="22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2:13" s="20" customFormat="1">
      <c r="B680" s="21"/>
      <c r="C680" s="21"/>
      <c r="D680" s="22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2:13" s="20" customFormat="1">
      <c r="B681" s="21"/>
      <c r="C681" s="21"/>
      <c r="D681" s="22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2:13" s="20" customFormat="1">
      <c r="B682" s="21"/>
      <c r="C682" s="21"/>
      <c r="D682" s="22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2:13" s="20" customFormat="1">
      <c r="B683" s="21"/>
      <c r="C683" s="21"/>
      <c r="D683" s="22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2:13" s="20" customFormat="1">
      <c r="B684" s="21"/>
      <c r="C684" s="21"/>
      <c r="D684" s="22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2:13" s="20" customFormat="1">
      <c r="B685" s="21"/>
      <c r="C685" s="21"/>
      <c r="D685" s="22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2:13" s="20" customFormat="1">
      <c r="B686" s="21"/>
      <c r="C686" s="21"/>
      <c r="D686" s="22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2:13" s="20" customFormat="1">
      <c r="B687" s="21"/>
      <c r="C687" s="21"/>
      <c r="D687" s="22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2:13" s="20" customFormat="1">
      <c r="B688" s="21"/>
      <c r="C688" s="21"/>
      <c r="D688" s="22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2:13" s="20" customFormat="1">
      <c r="B689" s="21"/>
      <c r="C689" s="21"/>
      <c r="D689" s="22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2:13" s="20" customFormat="1">
      <c r="B690" s="21"/>
      <c r="C690" s="21"/>
      <c r="D690" s="22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2:13" s="20" customFormat="1">
      <c r="B691" s="21"/>
      <c r="C691" s="21"/>
      <c r="D691" s="22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2:13" s="20" customFormat="1">
      <c r="B692" s="21"/>
      <c r="C692" s="21"/>
      <c r="D692" s="22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2:13" s="20" customFormat="1">
      <c r="B693" s="21"/>
      <c r="C693" s="21"/>
      <c r="D693" s="22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2:13" s="20" customFormat="1">
      <c r="B694" s="21"/>
      <c r="C694" s="21"/>
      <c r="D694" s="22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2:13" s="20" customFormat="1">
      <c r="B695" s="21"/>
      <c r="C695" s="21"/>
      <c r="D695" s="22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2:13" s="20" customFormat="1">
      <c r="B696" s="21"/>
      <c r="C696" s="21"/>
      <c r="D696" s="22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2:13" s="20" customFormat="1">
      <c r="B697" s="21"/>
      <c r="C697" s="21"/>
      <c r="D697" s="22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2:13" s="20" customFormat="1">
      <c r="B698" s="21"/>
      <c r="C698" s="21"/>
      <c r="D698" s="22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2:13" s="20" customFormat="1">
      <c r="B699" s="21"/>
      <c r="C699" s="21"/>
      <c r="D699" s="22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2:13" s="20" customFormat="1">
      <c r="B700" s="21"/>
      <c r="C700" s="21"/>
      <c r="D700" s="22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2:13" s="20" customFormat="1">
      <c r="B701" s="21"/>
      <c r="C701" s="21"/>
      <c r="D701" s="22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2:13" s="20" customFormat="1">
      <c r="B702" s="21"/>
      <c r="C702" s="21"/>
      <c r="D702" s="22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2:13" s="20" customFormat="1">
      <c r="B703" s="21"/>
      <c r="C703" s="21"/>
      <c r="D703" s="22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2:13" s="20" customFormat="1">
      <c r="B704" s="21"/>
      <c r="C704" s="21"/>
      <c r="D704" s="22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2:13" s="20" customFormat="1">
      <c r="B705" s="21"/>
      <c r="C705" s="21"/>
      <c r="D705" s="22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2:13" s="20" customFormat="1">
      <c r="B706" s="21"/>
      <c r="C706" s="21"/>
      <c r="D706" s="22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2:13" s="20" customFormat="1">
      <c r="B707" s="21"/>
      <c r="C707" s="21"/>
      <c r="D707" s="22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2:13" s="20" customFormat="1">
      <c r="B708" s="21"/>
      <c r="C708" s="21"/>
      <c r="D708" s="22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2:13" s="20" customFormat="1">
      <c r="B709" s="21"/>
      <c r="C709" s="21"/>
      <c r="D709" s="22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2:13" s="20" customFormat="1">
      <c r="B710" s="21"/>
      <c r="C710" s="21"/>
      <c r="D710" s="22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2:13" s="20" customFormat="1">
      <c r="B711" s="21"/>
      <c r="C711" s="21"/>
      <c r="D711" s="22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2:13" s="20" customFormat="1">
      <c r="B712" s="21"/>
      <c r="C712" s="21"/>
      <c r="D712" s="22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2:13" s="20" customFormat="1">
      <c r="B713" s="21"/>
      <c r="C713" s="21"/>
      <c r="D713" s="22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2:13" s="20" customFormat="1">
      <c r="B714" s="21"/>
      <c r="C714" s="21"/>
      <c r="D714" s="22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2:13" s="20" customFormat="1">
      <c r="B715" s="21"/>
      <c r="C715" s="21"/>
      <c r="D715" s="22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2:13" s="20" customFormat="1">
      <c r="B716" s="21"/>
      <c r="C716" s="21"/>
      <c r="D716" s="22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2:13" s="20" customFormat="1">
      <c r="B717" s="21"/>
      <c r="C717" s="21"/>
      <c r="D717" s="22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2:13" s="20" customFormat="1">
      <c r="B718" s="21"/>
      <c r="C718" s="21"/>
      <c r="D718" s="22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2:13" s="20" customFormat="1">
      <c r="B719" s="21"/>
      <c r="C719" s="21"/>
      <c r="D719" s="22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2:13" s="20" customFormat="1">
      <c r="B720" s="21"/>
      <c r="C720" s="21"/>
      <c r="D720" s="22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2:13" s="20" customFormat="1">
      <c r="B721" s="21"/>
      <c r="C721" s="21"/>
      <c r="D721" s="22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2:13" s="20" customFormat="1">
      <c r="B722" s="21"/>
      <c r="C722" s="21"/>
      <c r="D722" s="22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2:13" s="20" customFormat="1">
      <c r="B723" s="21"/>
      <c r="C723" s="21"/>
      <c r="D723" s="22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2:13" s="20" customFormat="1">
      <c r="B724" s="21"/>
      <c r="C724" s="21"/>
      <c r="D724" s="22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2:13" s="20" customFormat="1">
      <c r="B725" s="21"/>
      <c r="C725" s="21"/>
      <c r="D725" s="22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2:13" s="20" customFormat="1">
      <c r="B726" s="21"/>
      <c r="C726" s="21"/>
      <c r="D726" s="22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2:13" s="20" customFormat="1">
      <c r="B727" s="21"/>
      <c r="C727" s="21"/>
      <c r="D727" s="22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2:13" s="20" customFormat="1">
      <c r="B728" s="21"/>
      <c r="C728" s="21"/>
      <c r="D728" s="22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2:13" s="20" customFormat="1">
      <c r="B729" s="21"/>
      <c r="C729" s="21"/>
      <c r="D729" s="22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2:13" s="20" customFormat="1">
      <c r="B730" s="21"/>
      <c r="C730" s="21"/>
      <c r="D730" s="22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2:13" s="20" customFormat="1">
      <c r="B731" s="21"/>
      <c r="C731" s="21"/>
      <c r="D731" s="22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2:13" s="20" customFormat="1">
      <c r="B732" s="21"/>
      <c r="C732" s="21"/>
      <c r="D732" s="22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2:13" s="20" customFormat="1">
      <c r="B733" s="21"/>
      <c r="C733" s="21"/>
      <c r="D733" s="22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2:13" s="20" customFormat="1">
      <c r="B734" s="21"/>
      <c r="C734" s="21"/>
      <c r="D734" s="22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2:13" s="20" customFormat="1">
      <c r="B735" s="21"/>
      <c r="C735" s="21"/>
      <c r="D735" s="22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2:13" s="20" customFormat="1">
      <c r="B736" s="21"/>
      <c r="C736" s="21"/>
      <c r="D736" s="22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2:13" s="20" customFormat="1">
      <c r="B737" s="21"/>
      <c r="C737" s="21"/>
      <c r="D737" s="22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2:13" s="20" customFormat="1">
      <c r="B738" s="21"/>
      <c r="C738" s="21"/>
      <c r="D738" s="22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2:13" s="20" customFormat="1">
      <c r="B739" s="21"/>
      <c r="C739" s="21"/>
      <c r="D739" s="22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2:13" s="20" customFormat="1">
      <c r="B740" s="21"/>
      <c r="C740" s="21"/>
      <c r="D740" s="22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2:13" s="20" customFormat="1">
      <c r="B741" s="21"/>
      <c r="C741" s="21"/>
      <c r="D741" s="22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2:13" s="20" customFormat="1">
      <c r="B742" s="21"/>
      <c r="C742" s="21"/>
      <c r="D742" s="22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2:13" s="20" customFormat="1">
      <c r="B743" s="21"/>
      <c r="C743" s="21"/>
      <c r="D743" s="22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2:13" s="20" customFormat="1">
      <c r="B744" s="21"/>
      <c r="C744" s="21"/>
      <c r="D744" s="22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2:13" s="20" customFormat="1">
      <c r="B745" s="21"/>
      <c r="C745" s="21"/>
      <c r="D745" s="22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2:13" s="20" customFormat="1">
      <c r="B746" s="21"/>
      <c r="C746" s="21"/>
      <c r="D746" s="22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2:13" s="20" customFormat="1">
      <c r="B747" s="21"/>
      <c r="C747" s="21"/>
      <c r="D747" s="22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2:13" s="20" customFormat="1">
      <c r="B748" s="21"/>
      <c r="C748" s="21"/>
      <c r="D748" s="22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2:13" s="20" customFormat="1">
      <c r="B749" s="21"/>
      <c r="C749" s="21"/>
      <c r="D749" s="22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2:13" s="20" customFormat="1">
      <c r="B750" s="21"/>
      <c r="C750" s="21"/>
      <c r="D750" s="22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2:13" s="20" customFormat="1">
      <c r="B751" s="21"/>
      <c r="C751" s="21"/>
      <c r="D751" s="22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2:13" s="20" customFormat="1">
      <c r="B752" s="21"/>
      <c r="C752" s="21"/>
      <c r="D752" s="22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2:13" s="20" customFormat="1">
      <c r="B753" s="21"/>
      <c r="C753" s="21"/>
      <c r="D753" s="22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2:13" s="20" customFormat="1">
      <c r="B754" s="21"/>
      <c r="C754" s="21"/>
      <c r="D754" s="22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2:13" s="20" customFormat="1">
      <c r="B755" s="21"/>
      <c r="C755" s="21"/>
      <c r="D755" s="22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2:13" s="20" customFormat="1">
      <c r="B756" s="21"/>
      <c r="C756" s="21"/>
      <c r="D756" s="22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2:13" s="20" customFormat="1">
      <c r="B757" s="21"/>
      <c r="C757" s="21"/>
      <c r="D757" s="22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2:13" s="20" customFormat="1">
      <c r="B758" s="21"/>
      <c r="C758" s="21"/>
      <c r="D758" s="22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2:13" s="20" customFormat="1">
      <c r="B759" s="21"/>
      <c r="C759" s="21"/>
      <c r="D759" s="22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2:13" s="20" customFormat="1">
      <c r="B760" s="21"/>
      <c r="C760" s="21"/>
      <c r="D760" s="22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2:13" s="20" customFormat="1">
      <c r="B761" s="21"/>
      <c r="C761" s="21"/>
      <c r="D761" s="22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2:13" s="20" customFormat="1">
      <c r="B762" s="21"/>
      <c r="C762" s="21"/>
      <c r="D762" s="22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2:13" s="20" customFormat="1">
      <c r="B763" s="21"/>
      <c r="C763" s="21"/>
      <c r="D763" s="22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2:13" s="20" customFormat="1">
      <c r="B764" s="21"/>
      <c r="C764" s="21"/>
      <c r="D764" s="22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2:13" s="20" customFormat="1">
      <c r="B765" s="21"/>
      <c r="C765" s="21"/>
      <c r="D765" s="22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2:13" s="20" customFormat="1">
      <c r="B766" s="21"/>
      <c r="C766" s="21"/>
      <c r="D766" s="22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2:13" s="20" customFormat="1">
      <c r="B767" s="21"/>
      <c r="C767" s="21"/>
      <c r="D767" s="22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2:13" s="20" customFormat="1">
      <c r="B768" s="21"/>
      <c r="C768" s="21"/>
      <c r="D768" s="22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2:13" s="20" customFormat="1">
      <c r="B769" s="21"/>
      <c r="C769" s="21"/>
      <c r="D769" s="22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2:13" s="20" customFormat="1">
      <c r="B770" s="21"/>
      <c r="C770" s="21"/>
      <c r="D770" s="22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2:13" s="20" customFormat="1">
      <c r="B771" s="21"/>
      <c r="C771" s="21"/>
      <c r="D771" s="22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2:13" s="20" customFormat="1">
      <c r="B772" s="21"/>
      <c r="C772" s="21"/>
      <c r="D772" s="22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2:13" s="20" customFormat="1">
      <c r="B773" s="21"/>
      <c r="C773" s="21"/>
      <c r="D773" s="22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2:13" s="20" customFormat="1">
      <c r="B774" s="21"/>
      <c r="C774" s="21"/>
      <c r="D774" s="22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2:13" s="20" customFormat="1">
      <c r="B775" s="21"/>
      <c r="C775" s="21"/>
      <c r="D775" s="22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2:13" s="20" customFormat="1">
      <c r="B776" s="21"/>
      <c r="C776" s="21"/>
      <c r="D776" s="22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2:13" s="20" customFormat="1">
      <c r="B777" s="21"/>
      <c r="C777" s="21"/>
      <c r="D777" s="22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2:13" s="20" customFormat="1">
      <c r="B778" s="21"/>
      <c r="C778" s="21"/>
      <c r="D778" s="22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2:13" s="20" customFormat="1">
      <c r="B779" s="21"/>
      <c r="C779" s="21"/>
      <c r="D779" s="22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2:13" s="20" customFormat="1">
      <c r="B780" s="21"/>
      <c r="C780" s="21"/>
      <c r="D780" s="22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2:13" s="20" customFormat="1">
      <c r="B781" s="21"/>
      <c r="C781" s="21"/>
      <c r="D781" s="22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2:13" s="20" customFormat="1">
      <c r="B782" s="21"/>
      <c r="C782" s="21"/>
      <c r="D782" s="22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2:13" s="20" customFormat="1">
      <c r="B783" s="21"/>
      <c r="C783" s="21"/>
      <c r="D783" s="21"/>
    </row>
    <row r="784" spans="2:13" s="20" customFormat="1">
      <c r="B784" s="21"/>
      <c r="C784" s="21"/>
      <c r="D784" s="21"/>
      <c r="M784" s="17"/>
    </row>
    <row r="785" spans="2:15" s="20" customFormat="1">
      <c r="B785" s="21"/>
      <c r="C785" s="21"/>
      <c r="D785" s="21"/>
      <c r="E785" s="18"/>
      <c r="F785" s="18"/>
      <c r="G785" s="18"/>
      <c r="H785" s="18"/>
      <c r="I785" s="18"/>
      <c r="J785" s="18"/>
      <c r="K785" s="18"/>
      <c r="L785" s="18"/>
      <c r="M785" s="17"/>
    </row>
    <row r="786" spans="2:15" s="20" customFormat="1">
      <c r="B786" s="21"/>
      <c r="C786" s="21"/>
      <c r="D786" s="31"/>
      <c r="E786" s="23"/>
      <c r="F786" s="23"/>
      <c r="G786" s="23"/>
      <c r="H786" s="23"/>
      <c r="I786" s="23"/>
      <c r="J786" s="23"/>
      <c r="K786" s="23"/>
      <c r="L786" s="23"/>
      <c r="M786" s="23"/>
    </row>
    <row r="787" spans="2:15" s="20" customFormat="1">
      <c r="B787" s="21"/>
      <c r="C787" s="21"/>
      <c r="D787" s="21"/>
    </row>
    <row r="788" spans="2:15" s="20" customFormat="1">
      <c r="B788" s="21"/>
      <c r="C788" s="21"/>
      <c r="D788" s="21"/>
    </row>
    <row r="789" spans="2:15" s="20" customFormat="1">
      <c r="B789" s="21"/>
      <c r="C789" s="21"/>
      <c r="D789" s="31"/>
      <c r="E789" s="23"/>
      <c r="F789" s="23"/>
      <c r="G789" s="23"/>
      <c r="H789" s="23"/>
      <c r="I789" s="23"/>
      <c r="J789" s="23"/>
      <c r="K789" s="23"/>
      <c r="L789" s="23"/>
      <c r="M789" s="23"/>
    </row>
    <row r="790" spans="2:15" s="20" customFormat="1">
      <c r="B790" s="21"/>
      <c r="C790" s="21"/>
      <c r="D790" s="21"/>
      <c r="M790" s="17"/>
    </row>
    <row r="791" spans="2:15" s="20" customFormat="1">
      <c r="B791" s="21"/>
      <c r="C791" s="21"/>
      <c r="D791" s="21"/>
      <c r="M791" s="17"/>
    </row>
    <row r="792" spans="2:15" s="20" customFormat="1">
      <c r="B792" s="21"/>
      <c r="C792" s="21"/>
      <c r="D792" s="21"/>
      <c r="M792" s="17"/>
    </row>
    <row r="793" spans="2:15" s="20" customFormat="1">
      <c r="B793" s="21"/>
      <c r="C793" s="21"/>
      <c r="D793" s="21"/>
      <c r="M793" s="17"/>
    </row>
    <row r="794" spans="2:15" s="20" customFormat="1">
      <c r="B794" s="21"/>
      <c r="C794" s="21"/>
      <c r="D794" s="21"/>
      <c r="M794" s="17"/>
    </row>
    <row r="795" spans="2:15" s="20" customFormat="1">
      <c r="B795" s="21"/>
      <c r="C795" s="21"/>
      <c r="D795" s="21"/>
      <c r="M795" s="17"/>
    </row>
    <row r="796" spans="2:15" s="20" customFormat="1">
      <c r="B796" s="21"/>
      <c r="C796" s="21"/>
      <c r="D796" s="21"/>
      <c r="M796" s="17"/>
    </row>
    <row r="797" spans="2:15" s="20" customFormat="1">
      <c r="B797" s="21"/>
      <c r="C797" s="21"/>
      <c r="D797" s="21"/>
      <c r="M797" s="17"/>
    </row>
    <row r="798" spans="2:15" s="20" customFormat="1">
      <c r="B798" s="21"/>
      <c r="C798" s="21"/>
      <c r="D798" s="21"/>
      <c r="M798" s="17"/>
      <c r="N798" s="23"/>
      <c r="O798" s="23"/>
    </row>
    <row r="799" spans="2:15" s="20" customFormat="1">
      <c r="B799" s="21"/>
      <c r="C799" s="21"/>
      <c r="D799" s="21"/>
      <c r="M799" s="17"/>
    </row>
    <row r="800" spans="2:15" s="20" customFormat="1">
      <c r="B800" s="21"/>
      <c r="C800" s="21"/>
      <c r="D800" s="21"/>
      <c r="M800" s="17"/>
    </row>
    <row r="801" spans="2:13" s="20" customFormat="1">
      <c r="B801" s="21"/>
      <c r="C801" s="21"/>
      <c r="D801" s="21"/>
      <c r="M801" s="17"/>
    </row>
    <row r="802" spans="2:13" s="20" customFormat="1">
      <c r="B802" s="21"/>
      <c r="C802" s="21"/>
      <c r="D802" s="21"/>
      <c r="M802" s="17"/>
    </row>
    <row r="803" spans="2:13" s="20" customFormat="1">
      <c r="B803" s="21"/>
      <c r="C803" s="21"/>
      <c r="D803" s="21"/>
      <c r="M803" s="17"/>
    </row>
    <row r="804" spans="2:13" s="20" customFormat="1">
      <c r="B804" s="21"/>
      <c r="C804" s="21"/>
      <c r="D804" s="21"/>
      <c r="M804" s="17"/>
    </row>
    <row r="805" spans="2:13" s="20" customFormat="1">
      <c r="B805" s="21"/>
      <c r="C805" s="21"/>
      <c r="D805" s="21"/>
      <c r="M805" s="17"/>
    </row>
    <row r="806" spans="2:13" s="20" customFormat="1">
      <c r="B806" s="21"/>
      <c r="C806" s="21"/>
      <c r="D806" s="21"/>
      <c r="M806" s="17"/>
    </row>
    <row r="807" spans="2:13" s="20" customFormat="1">
      <c r="B807" s="21"/>
      <c r="C807" s="21"/>
      <c r="D807" s="21"/>
      <c r="M807" s="17"/>
    </row>
    <row r="808" spans="2:13" s="20" customFormat="1">
      <c r="B808" s="21"/>
      <c r="C808" s="21"/>
      <c r="D808" s="21"/>
      <c r="M808" s="17"/>
    </row>
    <row r="809" spans="2:13" s="20" customFormat="1">
      <c r="B809" s="21"/>
      <c r="C809" s="21"/>
      <c r="D809" s="21"/>
      <c r="M809" s="17"/>
    </row>
    <row r="810" spans="2:13" s="20" customFormat="1">
      <c r="B810" s="21"/>
      <c r="C810" s="21"/>
      <c r="D810" s="21"/>
      <c r="M810" s="17"/>
    </row>
    <row r="811" spans="2:13" s="20" customFormat="1">
      <c r="B811" s="21"/>
      <c r="C811" s="21"/>
      <c r="D811" s="21"/>
      <c r="M811" s="17"/>
    </row>
    <row r="812" spans="2:13" s="20" customFormat="1">
      <c r="B812" s="21"/>
      <c r="C812" s="21"/>
      <c r="D812" s="21"/>
      <c r="M812" s="17"/>
    </row>
    <row r="813" spans="2:13" s="20" customFormat="1">
      <c r="B813" s="21"/>
      <c r="C813" s="21"/>
      <c r="D813" s="21"/>
      <c r="M813" s="17"/>
    </row>
    <row r="814" spans="2:13" s="20" customFormat="1">
      <c r="B814" s="21"/>
      <c r="C814" s="21"/>
      <c r="D814" s="21"/>
      <c r="M814" s="17"/>
    </row>
    <row r="815" spans="2:13" s="20" customFormat="1">
      <c r="B815" s="21"/>
      <c r="C815" s="21"/>
      <c r="D815" s="21"/>
      <c r="M815" s="17"/>
    </row>
    <row r="816" spans="2:13" s="20" customFormat="1">
      <c r="B816" s="21"/>
      <c r="C816" s="21"/>
      <c r="D816" s="21"/>
      <c r="M816" s="17"/>
    </row>
    <row r="817" spans="2:13" s="20" customFormat="1">
      <c r="B817" s="21"/>
      <c r="C817" s="21"/>
      <c r="D817" s="21"/>
      <c r="M817" s="17"/>
    </row>
    <row r="818" spans="2:13" s="20" customFormat="1">
      <c r="B818" s="21"/>
      <c r="C818" s="21"/>
      <c r="D818" s="21"/>
      <c r="M818" s="17"/>
    </row>
    <row r="819" spans="2:13" s="20" customFormat="1">
      <c r="B819" s="21"/>
      <c r="C819" s="21"/>
      <c r="D819" s="21"/>
      <c r="M819" s="17"/>
    </row>
    <row r="820" spans="2:13" s="20" customFormat="1">
      <c r="B820" s="21"/>
      <c r="C820" s="21"/>
      <c r="D820" s="21"/>
      <c r="M820" s="17"/>
    </row>
    <row r="821" spans="2:13" s="20" customFormat="1">
      <c r="B821" s="21"/>
      <c r="C821" s="21"/>
      <c r="D821" s="21"/>
      <c r="M821" s="17"/>
    </row>
    <row r="822" spans="2:13" s="20" customFormat="1">
      <c r="B822" s="21"/>
      <c r="C822" s="21"/>
      <c r="D822" s="21"/>
      <c r="M822" s="17"/>
    </row>
    <row r="823" spans="2:13" s="20" customFormat="1">
      <c r="B823" s="21"/>
      <c r="C823" s="21"/>
      <c r="D823" s="21"/>
      <c r="M823" s="17"/>
    </row>
    <row r="824" spans="2:13" s="20" customFormat="1">
      <c r="B824" s="21"/>
      <c r="C824" s="21"/>
      <c r="D824" s="21"/>
      <c r="M824" s="17"/>
    </row>
    <row r="825" spans="2:13" s="20" customFormat="1">
      <c r="B825" s="21"/>
      <c r="C825" s="21"/>
      <c r="D825" s="21"/>
      <c r="M825" s="17"/>
    </row>
    <row r="826" spans="2:13" s="20" customFormat="1">
      <c r="B826" s="21"/>
      <c r="C826" s="21"/>
      <c r="D826" s="21"/>
      <c r="M826" s="17"/>
    </row>
    <row r="827" spans="2:13" s="20" customFormat="1">
      <c r="B827" s="21"/>
      <c r="C827" s="21"/>
      <c r="D827" s="21"/>
      <c r="M827" s="17"/>
    </row>
    <row r="828" spans="2:13" s="20" customFormat="1">
      <c r="B828" s="21"/>
      <c r="C828" s="21"/>
      <c r="D828" s="21"/>
      <c r="M828" s="17"/>
    </row>
    <row r="829" spans="2:13" s="20" customFormat="1">
      <c r="B829" s="21"/>
      <c r="C829" s="21"/>
      <c r="D829" s="21"/>
      <c r="M829" s="17"/>
    </row>
    <row r="830" spans="2:13" s="20" customFormat="1">
      <c r="B830" s="21"/>
      <c r="C830" s="21"/>
      <c r="D830" s="21"/>
      <c r="M830" s="17"/>
    </row>
    <row r="831" spans="2:13" s="20" customFormat="1">
      <c r="B831" s="21"/>
      <c r="C831" s="21"/>
      <c r="D831" s="21"/>
      <c r="M831" s="17"/>
    </row>
    <row r="832" spans="2:13" s="20" customFormat="1">
      <c r="B832" s="21"/>
      <c r="C832" s="21"/>
      <c r="D832" s="21"/>
      <c r="M832" s="17"/>
    </row>
    <row r="833" spans="2:13" s="20" customFormat="1">
      <c r="B833" s="21"/>
      <c r="C833" s="21"/>
      <c r="D833" s="21"/>
      <c r="M833" s="17"/>
    </row>
    <row r="834" spans="2:13" s="20" customFormat="1">
      <c r="B834" s="21"/>
      <c r="C834" s="21"/>
      <c r="D834" s="21"/>
      <c r="M834" s="17"/>
    </row>
    <row r="835" spans="2:13" s="20" customFormat="1">
      <c r="B835" s="21"/>
      <c r="C835" s="21"/>
      <c r="D835" s="21"/>
      <c r="M835" s="17"/>
    </row>
    <row r="836" spans="2:13" s="20" customFormat="1">
      <c r="B836" s="21"/>
      <c r="C836" s="21"/>
      <c r="D836" s="21"/>
      <c r="M836" s="17"/>
    </row>
    <row r="837" spans="2:13" s="20" customFormat="1">
      <c r="B837" s="21"/>
      <c r="C837" s="21"/>
      <c r="D837" s="21"/>
      <c r="M837" s="17"/>
    </row>
    <row r="838" spans="2:13" s="20" customFormat="1">
      <c r="B838" s="21"/>
      <c r="C838" s="21"/>
      <c r="D838" s="21"/>
      <c r="M838" s="17"/>
    </row>
    <row r="839" spans="2:13" s="20" customFormat="1">
      <c r="B839" s="21"/>
      <c r="C839" s="21"/>
      <c r="D839" s="21"/>
      <c r="M839" s="17"/>
    </row>
    <row r="840" spans="2:13" s="20" customFormat="1">
      <c r="B840" s="21"/>
      <c r="C840" s="21"/>
      <c r="D840" s="21"/>
      <c r="M840" s="17"/>
    </row>
    <row r="841" spans="2:13" s="20" customFormat="1">
      <c r="B841" s="21"/>
      <c r="C841" s="21"/>
      <c r="D841" s="21"/>
      <c r="M841" s="17"/>
    </row>
    <row r="842" spans="2:13" s="20" customFormat="1">
      <c r="B842" s="21"/>
      <c r="C842" s="21"/>
      <c r="D842" s="21"/>
      <c r="M842" s="17"/>
    </row>
    <row r="843" spans="2:13" s="20" customFormat="1">
      <c r="B843" s="21"/>
      <c r="C843" s="21"/>
      <c r="D843" s="21"/>
      <c r="M843" s="17"/>
    </row>
    <row r="844" spans="2:13" s="20" customFormat="1">
      <c r="B844" s="21"/>
      <c r="C844" s="21"/>
      <c r="D844" s="21"/>
      <c r="M844" s="17"/>
    </row>
    <row r="845" spans="2:13" s="20" customFormat="1">
      <c r="B845" s="21"/>
      <c r="C845" s="21"/>
      <c r="D845" s="21"/>
      <c r="M845" s="17"/>
    </row>
    <row r="846" spans="2:13" s="20" customFormat="1">
      <c r="B846" s="21"/>
      <c r="C846" s="21"/>
      <c r="D846" s="21"/>
      <c r="M846" s="17"/>
    </row>
    <row r="847" spans="2:13" s="20" customFormat="1">
      <c r="B847" s="21"/>
      <c r="C847" s="21"/>
      <c r="D847" s="21"/>
      <c r="M847" s="17"/>
    </row>
    <row r="848" spans="2:13" s="20" customFormat="1">
      <c r="B848" s="21"/>
      <c r="C848" s="21"/>
      <c r="D848" s="21"/>
      <c r="M848" s="17"/>
    </row>
    <row r="849" spans="2:13" s="20" customFormat="1">
      <c r="B849" s="21"/>
      <c r="C849" s="21"/>
      <c r="D849" s="21"/>
      <c r="M849" s="17"/>
    </row>
    <row r="850" spans="2:13" s="20" customFormat="1">
      <c r="B850" s="21"/>
      <c r="C850" s="21"/>
      <c r="D850" s="21"/>
      <c r="M850" s="17"/>
    </row>
    <row r="851" spans="2:13" s="20" customFormat="1">
      <c r="B851" s="21"/>
      <c r="C851" s="21"/>
      <c r="D851" s="21"/>
      <c r="M851" s="17"/>
    </row>
    <row r="852" spans="2:13" s="20" customFormat="1">
      <c r="B852" s="21"/>
      <c r="C852" s="21"/>
      <c r="D852" s="21"/>
      <c r="M852" s="17"/>
    </row>
    <row r="853" spans="2:13" s="20" customFormat="1">
      <c r="B853" s="21"/>
      <c r="C853" s="21"/>
      <c r="D853" s="21"/>
      <c r="M853" s="17"/>
    </row>
    <row r="854" spans="2:13" s="20" customFormat="1">
      <c r="B854" s="21"/>
      <c r="C854" s="21"/>
      <c r="D854" s="21"/>
      <c r="M854" s="17"/>
    </row>
    <row r="855" spans="2:13" s="20" customFormat="1">
      <c r="B855" s="21"/>
      <c r="C855" s="21"/>
      <c r="D855" s="21"/>
      <c r="M855" s="17"/>
    </row>
    <row r="856" spans="2:13" s="20" customFormat="1">
      <c r="B856" s="21"/>
      <c r="C856" s="21"/>
      <c r="D856" s="21"/>
      <c r="M856" s="17"/>
    </row>
    <row r="857" spans="2:13" s="20" customFormat="1">
      <c r="B857" s="21"/>
      <c r="C857" s="21"/>
      <c r="D857" s="21"/>
      <c r="M857" s="17"/>
    </row>
    <row r="858" spans="2:13" s="20" customFormat="1">
      <c r="B858" s="21"/>
      <c r="C858" s="21"/>
      <c r="D858" s="21"/>
      <c r="M858" s="17"/>
    </row>
    <row r="859" spans="2:13" s="20" customFormat="1">
      <c r="B859" s="21"/>
      <c r="C859" s="21"/>
      <c r="D859" s="21"/>
      <c r="M859" s="17"/>
    </row>
    <row r="860" spans="2:13" s="20" customFormat="1">
      <c r="B860" s="21"/>
      <c r="C860" s="21"/>
      <c r="D860" s="21"/>
      <c r="M860" s="17"/>
    </row>
    <row r="861" spans="2:13" s="20" customFormat="1">
      <c r="B861" s="21"/>
      <c r="C861" s="21"/>
      <c r="D861" s="21"/>
      <c r="M861" s="17"/>
    </row>
    <row r="862" spans="2:13" s="20" customFormat="1">
      <c r="B862" s="21"/>
      <c r="C862" s="21"/>
      <c r="D862" s="21"/>
      <c r="M862" s="17"/>
    </row>
    <row r="863" spans="2:13" s="20" customFormat="1">
      <c r="B863" s="21"/>
      <c r="C863" s="21"/>
      <c r="D863" s="21"/>
      <c r="M863" s="17"/>
    </row>
    <row r="864" spans="2:13" s="20" customFormat="1">
      <c r="B864" s="21"/>
      <c r="C864" s="21"/>
      <c r="D864" s="21"/>
      <c r="M864" s="17"/>
    </row>
    <row r="865" spans="2:13" s="20" customFormat="1">
      <c r="B865" s="21"/>
      <c r="C865" s="21"/>
      <c r="D865" s="21"/>
      <c r="M865" s="17"/>
    </row>
    <row r="866" spans="2:13" s="20" customFormat="1">
      <c r="B866" s="21"/>
      <c r="C866" s="21"/>
      <c r="D866" s="21"/>
      <c r="M866" s="17"/>
    </row>
    <row r="867" spans="2:13" s="20" customFormat="1">
      <c r="B867" s="21"/>
      <c r="C867" s="21"/>
      <c r="D867" s="21"/>
      <c r="M867" s="17"/>
    </row>
    <row r="868" spans="2:13" s="20" customFormat="1">
      <c r="B868" s="21"/>
      <c r="C868" s="21"/>
      <c r="D868" s="21"/>
      <c r="M868" s="17"/>
    </row>
    <row r="869" spans="2:13" s="20" customFormat="1">
      <c r="B869" s="21"/>
      <c r="C869" s="21"/>
      <c r="D869" s="21"/>
      <c r="M869" s="17"/>
    </row>
    <row r="870" spans="2:13" s="20" customFormat="1">
      <c r="B870" s="21"/>
      <c r="C870" s="21"/>
      <c r="D870" s="21"/>
      <c r="M870" s="17"/>
    </row>
    <row r="871" spans="2:13" s="20" customFormat="1">
      <c r="B871" s="21"/>
      <c r="C871" s="21"/>
      <c r="D871" s="21"/>
      <c r="M871" s="17"/>
    </row>
    <row r="872" spans="2:13" s="20" customFormat="1">
      <c r="B872" s="21"/>
      <c r="C872" s="21"/>
      <c r="D872" s="21"/>
      <c r="M872" s="17"/>
    </row>
    <row r="873" spans="2:13" s="20" customFormat="1">
      <c r="B873" s="21"/>
      <c r="C873" s="21"/>
      <c r="D873" s="21"/>
      <c r="M873" s="17"/>
    </row>
    <row r="874" spans="2:13" s="20" customFormat="1">
      <c r="B874" s="21"/>
      <c r="C874" s="21"/>
      <c r="D874" s="21"/>
      <c r="M874" s="17"/>
    </row>
    <row r="875" spans="2:13" s="20" customFormat="1">
      <c r="B875" s="21"/>
      <c r="C875" s="21"/>
      <c r="D875" s="21"/>
      <c r="M875" s="17"/>
    </row>
    <row r="876" spans="2:13" s="20" customFormat="1">
      <c r="B876" s="21"/>
      <c r="C876" s="21"/>
      <c r="D876" s="21"/>
      <c r="M876" s="17"/>
    </row>
    <row r="877" spans="2:13" s="20" customFormat="1">
      <c r="B877" s="21"/>
      <c r="C877" s="21"/>
      <c r="D877" s="21"/>
      <c r="M877" s="17"/>
    </row>
    <row r="878" spans="2:13" s="20" customFormat="1">
      <c r="B878" s="21"/>
      <c r="C878" s="21"/>
      <c r="D878" s="21"/>
      <c r="M878" s="17"/>
    </row>
    <row r="879" spans="2:13" s="20" customFormat="1">
      <c r="B879" s="21"/>
      <c r="C879" s="21"/>
      <c r="D879" s="21"/>
      <c r="M879" s="17"/>
    </row>
    <row r="880" spans="2:13" s="20" customFormat="1">
      <c r="B880" s="21"/>
      <c r="C880" s="21"/>
      <c r="D880" s="21"/>
      <c r="M880" s="17"/>
    </row>
    <row r="881" spans="2:13" s="20" customFormat="1">
      <c r="B881" s="21"/>
      <c r="C881" s="21"/>
      <c r="D881" s="21"/>
      <c r="M881" s="17"/>
    </row>
    <row r="882" spans="2:13" s="20" customFormat="1">
      <c r="B882" s="21"/>
      <c r="C882" s="21"/>
      <c r="D882" s="21"/>
      <c r="M882" s="17"/>
    </row>
    <row r="883" spans="2:13" s="20" customFormat="1">
      <c r="B883" s="21"/>
      <c r="C883" s="21"/>
      <c r="D883" s="21"/>
      <c r="M883" s="17"/>
    </row>
    <row r="884" spans="2:13" s="20" customFormat="1">
      <c r="B884" s="21"/>
      <c r="C884" s="21"/>
      <c r="D884" s="21"/>
      <c r="M884" s="17"/>
    </row>
    <row r="885" spans="2:13" s="20" customFormat="1">
      <c r="B885" s="21"/>
      <c r="C885" s="21"/>
      <c r="D885" s="21"/>
      <c r="M885" s="17"/>
    </row>
  </sheetData>
  <mergeCells count="2">
    <mergeCell ref="B5:D5"/>
    <mergeCell ref="E5:L5"/>
  </mergeCells>
  <phoneticPr fontId="5" type="noConversion"/>
  <printOptions horizontalCentered="1"/>
  <pageMargins left="0.27559055118110237" right="0.27559055118110237" top="0.78740157480314965" bottom="0.78740157480314965" header="0.43307086614173229" footer="0.43307086614173229"/>
  <pageSetup paperSize="9" orientation="landscape" horizontalDpi="4294967292" verticalDpi="4294967292" r:id="rId1"/>
  <headerFooter alignWithMargins="0">
    <oddFooter>&amp;R&amp;"Geneva,Regular"&amp;P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M818"/>
  <sheetViews>
    <sheetView zoomScale="90" workbookViewId="0">
      <pane xSplit="4" ySplit="6" topLeftCell="H7" activePane="bottomRight" state="frozen"/>
      <selection pane="topRight" activeCell="E1" sqref="E1"/>
      <selection pane="bottomLeft" activeCell="A7" sqref="A7"/>
      <selection pane="bottomRight" activeCell="H6" sqref="H6:I6"/>
    </sheetView>
  </sheetViews>
  <sheetFormatPr defaultRowHeight="12.75"/>
  <cols>
    <col min="1" max="1" width="5.42578125" style="2" customWidth="1"/>
    <col min="2" max="3" width="7.28515625" style="2" customWidth="1"/>
    <col min="4" max="4" width="10" style="2" customWidth="1"/>
    <col min="5" max="10" width="9.42578125" style="2" customWidth="1"/>
    <col min="11" max="11" width="11.85546875" style="2" customWidth="1"/>
    <col min="12" max="12" width="9.42578125" style="2" customWidth="1"/>
    <col min="13" max="13" width="8.28515625" style="3" customWidth="1"/>
    <col min="14" max="16384" width="9.140625" style="2"/>
  </cols>
  <sheetData>
    <row r="1" spans="1:13" ht="15.75">
      <c r="A1" s="11" t="s">
        <v>15</v>
      </c>
      <c r="B1" s="1"/>
      <c r="C1" s="1"/>
      <c r="D1" s="1"/>
      <c r="E1" s="1"/>
      <c r="F1" s="1"/>
      <c r="G1" s="1"/>
      <c r="H1" s="1"/>
    </row>
    <row r="2" spans="1:13">
      <c r="A2" s="12" t="s">
        <v>12</v>
      </c>
      <c r="B2" s="13"/>
      <c r="C2" s="13"/>
      <c r="D2" s="9"/>
      <c r="E2" s="9"/>
      <c r="F2" s="9"/>
      <c r="G2" s="9"/>
      <c r="H2" s="9"/>
    </row>
    <row r="3" spans="1:13">
      <c r="A3" s="10"/>
      <c r="B3" s="9"/>
      <c r="C3" s="9"/>
      <c r="D3" s="9"/>
      <c r="E3" s="9"/>
      <c r="F3" s="9"/>
      <c r="G3" s="9"/>
      <c r="H3" s="9"/>
    </row>
    <row r="5" spans="1:13" s="4" customFormat="1">
      <c r="B5" s="34" t="s">
        <v>21</v>
      </c>
      <c r="C5" s="34"/>
      <c r="D5" s="34"/>
      <c r="E5" s="34" t="s">
        <v>19</v>
      </c>
      <c r="F5" s="34"/>
      <c r="G5" s="34"/>
      <c r="H5" s="34"/>
      <c r="I5" s="34"/>
      <c r="J5" s="34"/>
      <c r="K5" s="34"/>
      <c r="L5" s="34"/>
      <c r="M5" s="5"/>
    </row>
    <row r="6" spans="1:13" s="6" customFormat="1" ht="18" customHeight="1">
      <c r="A6" s="6" t="s">
        <v>0</v>
      </c>
      <c r="B6" s="6" t="s">
        <v>4</v>
      </c>
      <c r="C6" s="6" t="s">
        <v>5</v>
      </c>
      <c r="D6" s="7" t="s">
        <v>6</v>
      </c>
      <c r="E6" s="7" t="s">
        <v>16</v>
      </c>
      <c r="F6" s="7" t="s">
        <v>11</v>
      </c>
      <c r="G6" s="7" t="s">
        <v>10</v>
      </c>
      <c r="H6" s="32" t="s">
        <v>22</v>
      </c>
      <c r="I6" s="32" t="s">
        <v>23</v>
      </c>
      <c r="J6" s="7" t="s">
        <v>8</v>
      </c>
      <c r="K6" s="7" t="s">
        <v>14</v>
      </c>
      <c r="L6" s="7" t="s">
        <v>9</v>
      </c>
      <c r="M6" s="7" t="s">
        <v>7</v>
      </c>
    </row>
    <row r="7" spans="1:13" s="18" customFormat="1" ht="12.75" customHeight="1">
      <c r="A7" s="15"/>
      <c r="B7" s="25">
        <v>200.43</v>
      </c>
      <c r="C7" s="25">
        <f>B7+1</f>
        <v>201.43</v>
      </c>
      <c r="D7" s="29">
        <f>B7+(C7-B7)/2</f>
        <v>200.93</v>
      </c>
      <c r="E7" s="19">
        <v>0</v>
      </c>
      <c r="F7" s="19">
        <v>0</v>
      </c>
      <c r="G7" s="19">
        <v>0</v>
      </c>
      <c r="H7" s="19">
        <v>0</v>
      </c>
      <c r="I7" s="17">
        <v>0</v>
      </c>
      <c r="J7" s="19">
        <v>9</v>
      </c>
      <c r="K7" s="17">
        <v>0</v>
      </c>
      <c r="L7" s="19">
        <v>0</v>
      </c>
      <c r="M7" s="3">
        <f>SUM(E7:L7)</f>
        <v>9</v>
      </c>
    </row>
    <row r="8" spans="1:13" s="20" customFormat="1">
      <c r="B8" s="21">
        <f>C7</f>
        <v>201.43</v>
      </c>
      <c r="C8" s="25">
        <f>B8+1</f>
        <v>202.43</v>
      </c>
      <c r="D8" s="29">
        <f>B8+(C8-B8)/2</f>
        <v>201.93</v>
      </c>
      <c r="E8" s="17">
        <v>3</v>
      </c>
      <c r="F8" s="17">
        <v>8</v>
      </c>
      <c r="G8" s="17">
        <v>0</v>
      </c>
      <c r="H8" s="17">
        <v>3</v>
      </c>
      <c r="I8" s="17">
        <v>0</v>
      </c>
      <c r="J8" s="17">
        <v>73</v>
      </c>
      <c r="K8" s="17">
        <v>0</v>
      </c>
      <c r="L8" s="17">
        <v>4</v>
      </c>
      <c r="M8" s="3">
        <f>SUM(E8:L8)</f>
        <v>91</v>
      </c>
    </row>
    <row r="9" spans="1:13" s="20" customFormat="1">
      <c r="B9" s="21">
        <f t="shared" ref="B9:B72" si="0">C8</f>
        <v>202.43</v>
      </c>
      <c r="C9" s="25">
        <f t="shared" ref="C9:C72" si="1">B9+1</f>
        <v>203.43</v>
      </c>
      <c r="D9" s="29">
        <f t="shared" ref="D9:D72" si="2">B9+(C9-B9)/2</f>
        <v>202.93</v>
      </c>
      <c r="E9" s="17">
        <v>2</v>
      </c>
      <c r="F9" s="17">
        <v>0</v>
      </c>
      <c r="G9" s="17">
        <v>0</v>
      </c>
      <c r="H9" s="17">
        <v>4</v>
      </c>
      <c r="I9" s="17">
        <v>0</v>
      </c>
      <c r="J9" s="17">
        <v>80</v>
      </c>
      <c r="K9" s="17">
        <v>0</v>
      </c>
      <c r="L9" s="17">
        <v>0</v>
      </c>
      <c r="M9" s="3">
        <f t="shared" ref="M9:M72" si="3">SUM(E9:L9)</f>
        <v>86</v>
      </c>
    </row>
    <row r="10" spans="1:13" s="20" customFormat="1">
      <c r="B10" s="21">
        <f t="shared" si="0"/>
        <v>203.43</v>
      </c>
      <c r="C10" s="25">
        <f t="shared" si="1"/>
        <v>204.43</v>
      </c>
      <c r="D10" s="29">
        <f t="shared" si="2"/>
        <v>203.93</v>
      </c>
      <c r="E10" s="17">
        <v>2</v>
      </c>
      <c r="F10" s="17">
        <v>0</v>
      </c>
      <c r="G10" s="17">
        <v>0</v>
      </c>
      <c r="H10" s="17">
        <v>0</v>
      </c>
      <c r="I10" s="17">
        <v>0</v>
      </c>
      <c r="J10" s="17">
        <v>106</v>
      </c>
      <c r="K10" s="17">
        <v>0</v>
      </c>
      <c r="L10" s="17">
        <v>5</v>
      </c>
      <c r="M10" s="3">
        <f t="shared" si="3"/>
        <v>113</v>
      </c>
    </row>
    <row r="11" spans="1:13" s="20" customFormat="1">
      <c r="B11" s="21">
        <f t="shared" si="0"/>
        <v>204.43</v>
      </c>
      <c r="C11" s="25">
        <f t="shared" si="1"/>
        <v>205.43</v>
      </c>
      <c r="D11" s="29">
        <f t="shared" si="2"/>
        <v>204.93</v>
      </c>
      <c r="E11" s="17">
        <v>0</v>
      </c>
      <c r="F11" s="17">
        <v>5</v>
      </c>
      <c r="G11" s="17">
        <v>0</v>
      </c>
      <c r="H11" s="17">
        <v>1</v>
      </c>
      <c r="I11" s="17">
        <v>0</v>
      </c>
      <c r="J11" s="17">
        <v>103</v>
      </c>
      <c r="K11" s="17">
        <v>0</v>
      </c>
      <c r="L11" s="17">
        <v>3</v>
      </c>
      <c r="M11" s="3">
        <f t="shared" si="3"/>
        <v>112</v>
      </c>
    </row>
    <row r="12" spans="1:13" s="20" customFormat="1">
      <c r="B12" s="21">
        <f t="shared" si="0"/>
        <v>205.43</v>
      </c>
      <c r="C12" s="25">
        <f t="shared" si="1"/>
        <v>206.43</v>
      </c>
      <c r="D12" s="29">
        <f t="shared" si="2"/>
        <v>205.93</v>
      </c>
      <c r="E12" s="17">
        <v>2</v>
      </c>
      <c r="F12" s="17">
        <v>0</v>
      </c>
      <c r="G12" s="17">
        <v>0</v>
      </c>
      <c r="H12" s="17">
        <v>0</v>
      </c>
      <c r="I12" s="17">
        <v>0</v>
      </c>
      <c r="J12" s="17">
        <v>109</v>
      </c>
      <c r="K12" s="17">
        <v>0</v>
      </c>
      <c r="L12" s="17">
        <v>0</v>
      </c>
      <c r="M12" s="3">
        <f t="shared" si="3"/>
        <v>111</v>
      </c>
    </row>
    <row r="13" spans="1:13" s="20" customFormat="1">
      <c r="B13" s="21">
        <f t="shared" si="0"/>
        <v>206.43</v>
      </c>
      <c r="C13" s="25">
        <f t="shared" si="1"/>
        <v>207.43</v>
      </c>
      <c r="D13" s="29">
        <f t="shared" si="2"/>
        <v>206.93</v>
      </c>
      <c r="E13" s="17">
        <v>2</v>
      </c>
      <c r="F13" s="17">
        <v>2</v>
      </c>
      <c r="G13" s="17">
        <v>0</v>
      </c>
      <c r="H13" s="17">
        <v>5</v>
      </c>
      <c r="I13" s="17">
        <v>0</v>
      </c>
      <c r="J13" s="17">
        <v>168</v>
      </c>
      <c r="K13" s="17">
        <v>0</v>
      </c>
      <c r="L13" s="17">
        <v>0</v>
      </c>
      <c r="M13" s="3">
        <f t="shared" si="3"/>
        <v>177</v>
      </c>
    </row>
    <row r="14" spans="1:13" s="20" customFormat="1">
      <c r="B14" s="21">
        <f t="shared" si="0"/>
        <v>207.43</v>
      </c>
      <c r="C14" s="25">
        <v>208.45</v>
      </c>
      <c r="D14" s="29">
        <f t="shared" si="2"/>
        <v>207.94</v>
      </c>
      <c r="E14" s="17">
        <v>10</v>
      </c>
      <c r="F14" s="17">
        <v>6</v>
      </c>
      <c r="G14" s="17">
        <v>0</v>
      </c>
      <c r="H14" s="17">
        <v>0</v>
      </c>
      <c r="I14" s="17">
        <v>0</v>
      </c>
      <c r="J14" s="17">
        <v>159</v>
      </c>
      <c r="K14" s="17">
        <v>0</v>
      </c>
      <c r="L14" s="17">
        <v>8</v>
      </c>
      <c r="M14" s="3">
        <f t="shared" si="3"/>
        <v>183</v>
      </c>
    </row>
    <row r="15" spans="1:13" s="20" customFormat="1">
      <c r="B15" s="21">
        <f t="shared" si="0"/>
        <v>208.45</v>
      </c>
      <c r="C15" s="25">
        <f t="shared" si="1"/>
        <v>209.45</v>
      </c>
      <c r="D15" s="29">
        <f t="shared" si="2"/>
        <v>208.95</v>
      </c>
      <c r="E15" s="17">
        <v>5</v>
      </c>
      <c r="F15" s="17">
        <v>7</v>
      </c>
      <c r="G15" s="17">
        <v>0</v>
      </c>
      <c r="H15" s="17">
        <v>2</v>
      </c>
      <c r="I15" s="17">
        <v>0</v>
      </c>
      <c r="J15" s="17">
        <v>45</v>
      </c>
      <c r="K15" s="17">
        <v>0</v>
      </c>
      <c r="L15" s="17">
        <v>65</v>
      </c>
      <c r="M15" s="3">
        <f t="shared" si="3"/>
        <v>124</v>
      </c>
    </row>
    <row r="16" spans="1:13" s="20" customFormat="1">
      <c r="B16" s="21">
        <f t="shared" si="0"/>
        <v>209.45</v>
      </c>
      <c r="C16" s="25">
        <f t="shared" si="1"/>
        <v>210.45</v>
      </c>
      <c r="D16" s="29">
        <f t="shared" si="2"/>
        <v>209.95</v>
      </c>
      <c r="E16" s="17">
        <v>14</v>
      </c>
      <c r="F16" s="17">
        <v>3</v>
      </c>
      <c r="G16" s="17">
        <v>0</v>
      </c>
      <c r="H16" s="17">
        <v>5</v>
      </c>
      <c r="I16" s="17">
        <v>0</v>
      </c>
      <c r="J16" s="17">
        <v>24</v>
      </c>
      <c r="K16" s="17">
        <v>0</v>
      </c>
      <c r="L16" s="17">
        <v>63</v>
      </c>
      <c r="M16" s="3">
        <f t="shared" si="3"/>
        <v>109</v>
      </c>
    </row>
    <row r="17" spans="1:13" s="20" customFormat="1">
      <c r="B17" s="21">
        <f t="shared" si="0"/>
        <v>210.45</v>
      </c>
      <c r="C17" s="25">
        <v>211.2</v>
      </c>
      <c r="D17" s="29">
        <f t="shared" si="2"/>
        <v>210.82499999999999</v>
      </c>
      <c r="E17" s="17">
        <v>3</v>
      </c>
      <c r="F17" s="17">
        <v>2</v>
      </c>
      <c r="G17" s="17">
        <v>0</v>
      </c>
      <c r="H17" s="17">
        <v>1</v>
      </c>
      <c r="I17" s="17">
        <v>0</v>
      </c>
      <c r="J17" s="17">
        <v>32</v>
      </c>
      <c r="K17" s="17">
        <v>0</v>
      </c>
      <c r="L17" s="17">
        <v>2</v>
      </c>
      <c r="M17" s="3">
        <f t="shared" si="3"/>
        <v>40</v>
      </c>
    </row>
    <row r="18" spans="1:13" s="20" customFormat="1">
      <c r="B18" s="21">
        <f t="shared" si="0"/>
        <v>211.2</v>
      </c>
      <c r="C18" s="25">
        <f t="shared" si="1"/>
        <v>212.2</v>
      </c>
      <c r="D18" s="29">
        <f t="shared" si="2"/>
        <v>211.7</v>
      </c>
      <c r="E18" s="17">
        <v>0</v>
      </c>
      <c r="F18" s="17">
        <v>0</v>
      </c>
      <c r="G18" s="17">
        <v>0</v>
      </c>
      <c r="H18" s="17">
        <v>1</v>
      </c>
      <c r="I18" s="17">
        <v>0</v>
      </c>
      <c r="J18" s="17">
        <v>9</v>
      </c>
      <c r="K18" s="17">
        <v>0</v>
      </c>
      <c r="L18" s="17">
        <v>0</v>
      </c>
      <c r="M18" s="3">
        <f t="shared" si="3"/>
        <v>10</v>
      </c>
    </row>
    <row r="19" spans="1:13" s="20" customFormat="1">
      <c r="B19" s="21">
        <f t="shared" si="0"/>
        <v>212.2</v>
      </c>
      <c r="C19" s="25">
        <f t="shared" si="1"/>
        <v>213.2</v>
      </c>
      <c r="D19" s="29">
        <f t="shared" si="2"/>
        <v>212.7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5</v>
      </c>
      <c r="K19" s="17">
        <v>0</v>
      </c>
      <c r="L19" s="17">
        <v>0</v>
      </c>
      <c r="M19" s="3">
        <f t="shared" si="3"/>
        <v>5</v>
      </c>
    </row>
    <row r="20" spans="1:13" s="20" customFormat="1">
      <c r="A20" s="16"/>
      <c r="B20" s="21">
        <f t="shared" si="0"/>
        <v>213.2</v>
      </c>
      <c r="C20" s="25">
        <f t="shared" si="1"/>
        <v>214.2</v>
      </c>
      <c r="D20" s="29">
        <f t="shared" si="2"/>
        <v>213.7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1</v>
      </c>
      <c r="K20" s="17">
        <v>0</v>
      </c>
      <c r="L20" s="17">
        <v>0</v>
      </c>
      <c r="M20" s="3">
        <f t="shared" si="3"/>
        <v>1</v>
      </c>
    </row>
    <row r="21" spans="1:13" s="20" customFormat="1">
      <c r="B21" s="21">
        <f t="shared" si="0"/>
        <v>214.2</v>
      </c>
      <c r="C21" s="25">
        <f t="shared" si="1"/>
        <v>215.2</v>
      </c>
      <c r="D21" s="29">
        <f t="shared" si="2"/>
        <v>214.7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2</v>
      </c>
      <c r="K21" s="17">
        <v>0</v>
      </c>
      <c r="L21" s="17">
        <v>0</v>
      </c>
      <c r="M21" s="3">
        <f t="shared" si="3"/>
        <v>2</v>
      </c>
    </row>
    <row r="22" spans="1:13" s="20" customFormat="1">
      <c r="B22" s="21">
        <f t="shared" si="0"/>
        <v>215.2</v>
      </c>
      <c r="C22" s="25">
        <f t="shared" si="1"/>
        <v>216.2</v>
      </c>
      <c r="D22" s="29">
        <f t="shared" si="2"/>
        <v>215.7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4</v>
      </c>
      <c r="K22" s="17">
        <v>0</v>
      </c>
      <c r="L22" s="17">
        <v>0</v>
      </c>
      <c r="M22" s="3">
        <f t="shared" si="3"/>
        <v>4</v>
      </c>
    </row>
    <row r="23" spans="1:13" s="20" customFormat="1">
      <c r="B23" s="21">
        <f t="shared" si="0"/>
        <v>216.2</v>
      </c>
      <c r="C23" s="25">
        <f t="shared" si="1"/>
        <v>217.2</v>
      </c>
      <c r="D23" s="29">
        <f t="shared" si="2"/>
        <v>216.7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7</v>
      </c>
      <c r="K23" s="17">
        <v>0</v>
      </c>
      <c r="L23" s="17">
        <v>0</v>
      </c>
      <c r="M23" s="3">
        <f t="shared" si="3"/>
        <v>7</v>
      </c>
    </row>
    <row r="24" spans="1:13" s="20" customFormat="1">
      <c r="B24" s="21">
        <f t="shared" si="0"/>
        <v>217.2</v>
      </c>
      <c r="C24" s="25">
        <f t="shared" si="1"/>
        <v>218.2</v>
      </c>
      <c r="D24" s="29">
        <f t="shared" si="2"/>
        <v>217.7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3">
        <f t="shared" si="3"/>
        <v>0</v>
      </c>
    </row>
    <row r="25" spans="1:13" s="20" customFormat="1">
      <c r="B25" s="21">
        <f t="shared" si="0"/>
        <v>218.2</v>
      </c>
      <c r="C25" s="25">
        <f t="shared" si="1"/>
        <v>219.2</v>
      </c>
      <c r="D25" s="29">
        <f t="shared" si="2"/>
        <v>218.7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8</v>
      </c>
      <c r="K25" s="17">
        <v>0</v>
      </c>
      <c r="L25" s="17">
        <v>0</v>
      </c>
      <c r="M25" s="3">
        <f t="shared" si="3"/>
        <v>8</v>
      </c>
    </row>
    <row r="26" spans="1:13" s="20" customFormat="1">
      <c r="B26" s="21">
        <f t="shared" si="0"/>
        <v>219.2</v>
      </c>
      <c r="C26" s="25">
        <f t="shared" si="1"/>
        <v>220.2</v>
      </c>
      <c r="D26" s="29">
        <f t="shared" si="2"/>
        <v>219.7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3</v>
      </c>
      <c r="K26" s="17">
        <v>0</v>
      </c>
      <c r="L26" s="17">
        <v>0</v>
      </c>
      <c r="M26" s="3">
        <f t="shared" si="3"/>
        <v>3</v>
      </c>
    </row>
    <row r="27" spans="1:13" s="20" customFormat="1">
      <c r="B27" s="21">
        <f t="shared" si="0"/>
        <v>220.2</v>
      </c>
      <c r="C27" s="25">
        <f t="shared" si="1"/>
        <v>221.2</v>
      </c>
      <c r="D27" s="29">
        <f t="shared" si="2"/>
        <v>220.7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6</v>
      </c>
      <c r="K27" s="17">
        <v>0</v>
      </c>
      <c r="L27" s="17">
        <v>0</v>
      </c>
      <c r="M27" s="3">
        <f t="shared" si="3"/>
        <v>6</v>
      </c>
    </row>
    <row r="28" spans="1:13" s="20" customFormat="1">
      <c r="B28" s="21">
        <f t="shared" si="0"/>
        <v>221.2</v>
      </c>
      <c r="C28" s="25">
        <v>222.1</v>
      </c>
      <c r="D28" s="29">
        <f t="shared" si="2"/>
        <v>221.64999999999998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15</v>
      </c>
      <c r="K28" s="17">
        <v>0</v>
      </c>
      <c r="L28" s="17">
        <v>0</v>
      </c>
      <c r="M28" s="3">
        <f t="shared" si="3"/>
        <v>15</v>
      </c>
    </row>
    <row r="29" spans="1:13" s="20" customFormat="1">
      <c r="B29" s="21">
        <f t="shared" si="0"/>
        <v>222.1</v>
      </c>
      <c r="C29" s="25">
        <v>223.2</v>
      </c>
      <c r="D29" s="29">
        <f t="shared" si="2"/>
        <v>222.64999999999998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9</v>
      </c>
      <c r="K29" s="17">
        <v>0</v>
      </c>
      <c r="L29" s="17">
        <v>6</v>
      </c>
      <c r="M29" s="3">
        <f t="shared" si="3"/>
        <v>15</v>
      </c>
    </row>
    <row r="30" spans="1:13" s="20" customFormat="1">
      <c r="B30" s="21">
        <f t="shared" si="0"/>
        <v>223.2</v>
      </c>
      <c r="C30" s="25">
        <f t="shared" si="1"/>
        <v>224.2</v>
      </c>
      <c r="D30" s="29">
        <f t="shared" si="2"/>
        <v>223.7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26</v>
      </c>
      <c r="K30" s="17">
        <v>0</v>
      </c>
      <c r="L30" s="17">
        <v>2</v>
      </c>
      <c r="M30" s="3">
        <f t="shared" si="3"/>
        <v>28</v>
      </c>
    </row>
    <row r="31" spans="1:13" s="20" customFormat="1">
      <c r="B31" s="21">
        <f t="shared" si="0"/>
        <v>224.2</v>
      </c>
      <c r="C31" s="25">
        <f t="shared" si="1"/>
        <v>225.2</v>
      </c>
      <c r="D31" s="29">
        <f t="shared" si="2"/>
        <v>224.7</v>
      </c>
      <c r="E31" s="17">
        <v>1</v>
      </c>
      <c r="F31" s="17">
        <v>1</v>
      </c>
      <c r="G31" s="17">
        <v>0</v>
      </c>
      <c r="H31" s="17">
        <v>1</v>
      </c>
      <c r="I31" s="17">
        <v>0</v>
      </c>
      <c r="J31" s="17">
        <v>81</v>
      </c>
      <c r="K31" s="17">
        <v>0</v>
      </c>
      <c r="L31" s="17">
        <v>4</v>
      </c>
      <c r="M31" s="3">
        <f t="shared" si="3"/>
        <v>88</v>
      </c>
    </row>
    <row r="32" spans="1:13" s="20" customFormat="1">
      <c r="B32" s="21">
        <f t="shared" si="0"/>
        <v>225.2</v>
      </c>
      <c r="C32" s="25">
        <f t="shared" si="1"/>
        <v>226.2</v>
      </c>
      <c r="D32" s="29">
        <f t="shared" si="2"/>
        <v>225.7</v>
      </c>
      <c r="E32" s="17">
        <v>2</v>
      </c>
      <c r="F32" s="17">
        <v>4</v>
      </c>
      <c r="G32" s="17">
        <v>0</v>
      </c>
      <c r="H32" s="17">
        <v>0</v>
      </c>
      <c r="I32" s="17">
        <v>0</v>
      </c>
      <c r="J32" s="17">
        <v>60</v>
      </c>
      <c r="K32" s="17">
        <v>0</v>
      </c>
      <c r="L32" s="17">
        <v>4</v>
      </c>
      <c r="M32" s="3">
        <f t="shared" si="3"/>
        <v>70</v>
      </c>
    </row>
    <row r="33" spans="1:13" s="20" customFormat="1">
      <c r="B33" s="21">
        <f t="shared" si="0"/>
        <v>226.2</v>
      </c>
      <c r="C33" s="25">
        <f t="shared" si="1"/>
        <v>227.2</v>
      </c>
      <c r="D33" s="29">
        <f t="shared" si="2"/>
        <v>226.7</v>
      </c>
      <c r="E33" s="17">
        <v>3</v>
      </c>
      <c r="F33" s="17">
        <v>8</v>
      </c>
      <c r="G33" s="17">
        <v>0</v>
      </c>
      <c r="H33" s="17">
        <v>3</v>
      </c>
      <c r="I33" s="17">
        <v>0</v>
      </c>
      <c r="J33" s="17">
        <v>64</v>
      </c>
      <c r="K33" s="17">
        <v>0</v>
      </c>
      <c r="L33" s="17">
        <v>5</v>
      </c>
      <c r="M33" s="3">
        <f t="shared" si="3"/>
        <v>83</v>
      </c>
    </row>
    <row r="34" spans="1:13" s="20" customFormat="1">
      <c r="B34" s="21">
        <f t="shared" si="0"/>
        <v>227.2</v>
      </c>
      <c r="C34" s="25">
        <f t="shared" si="1"/>
        <v>228.2</v>
      </c>
      <c r="D34" s="29">
        <f t="shared" si="2"/>
        <v>227.7</v>
      </c>
      <c r="E34" s="17">
        <v>3</v>
      </c>
      <c r="F34" s="17">
        <v>5</v>
      </c>
      <c r="G34" s="17">
        <v>0</v>
      </c>
      <c r="H34" s="17">
        <v>3</v>
      </c>
      <c r="I34" s="17">
        <v>0</v>
      </c>
      <c r="J34" s="17">
        <v>51</v>
      </c>
      <c r="K34" s="17">
        <v>0</v>
      </c>
      <c r="L34" s="17">
        <v>7</v>
      </c>
      <c r="M34" s="3">
        <f t="shared" si="3"/>
        <v>69</v>
      </c>
    </row>
    <row r="35" spans="1:13" s="20" customFormat="1">
      <c r="B35" s="21">
        <f t="shared" si="0"/>
        <v>228.2</v>
      </c>
      <c r="C35" s="25">
        <f t="shared" si="1"/>
        <v>229.2</v>
      </c>
      <c r="D35" s="29">
        <f t="shared" si="2"/>
        <v>228.7</v>
      </c>
      <c r="E35" s="17">
        <v>5</v>
      </c>
      <c r="F35" s="17">
        <v>2</v>
      </c>
      <c r="G35" s="17">
        <v>0</v>
      </c>
      <c r="H35" s="17">
        <v>1</v>
      </c>
      <c r="I35" s="17">
        <v>0</v>
      </c>
      <c r="J35" s="17">
        <v>38</v>
      </c>
      <c r="K35" s="17">
        <v>0</v>
      </c>
      <c r="L35" s="17">
        <v>8</v>
      </c>
      <c r="M35" s="3">
        <f t="shared" si="3"/>
        <v>54</v>
      </c>
    </row>
    <row r="36" spans="1:13" s="20" customFormat="1">
      <c r="B36" s="21">
        <f t="shared" si="0"/>
        <v>229.2</v>
      </c>
      <c r="C36" s="25">
        <f t="shared" si="1"/>
        <v>230.2</v>
      </c>
      <c r="D36" s="29">
        <f t="shared" si="2"/>
        <v>229.7</v>
      </c>
      <c r="E36" s="17">
        <v>1</v>
      </c>
      <c r="F36" s="17">
        <v>5</v>
      </c>
      <c r="G36" s="17">
        <v>0</v>
      </c>
      <c r="H36" s="17">
        <v>4</v>
      </c>
      <c r="I36" s="17">
        <v>0</v>
      </c>
      <c r="J36" s="17">
        <v>54</v>
      </c>
      <c r="K36" s="17">
        <v>0</v>
      </c>
      <c r="L36" s="17">
        <v>8</v>
      </c>
      <c r="M36" s="3">
        <f t="shared" si="3"/>
        <v>72</v>
      </c>
    </row>
    <row r="37" spans="1:13" s="20" customFormat="1">
      <c r="B37" s="21">
        <f t="shared" si="0"/>
        <v>230.2</v>
      </c>
      <c r="C37" s="25">
        <f t="shared" si="1"/>
        <v>231.2</v>
      </c>
      <c r="D37" s="29">
        <f t="shared" si="2"/>
        <v>230.7</v>
      </c>
      <c r="E37" s="17">
        <v>4</v>
      </c>
      <c r="F37" s="17">
        <v>0</v>
      </c>
      <c r="G37" s="17">
        <v>0</v>
      </c>
      <c r="H37" s="17">
        <v>1</v>
      </c>
      <c r="I37" s="17">
        <v>0</v>
      </c>
      <c r="J37" s="17">
        <v>51</v>
      </c>
      <c r="K37" s="17">
        <v>0</v>
      </c>
      <c r="L37" s="17">
        <v>13</v>
      </c>
      <c r="M37" s="3">
        <f t="shared" si="3"/>
        <v>69</v>
      </c>
    </row>
    <row r="38" spans="1:13" s="20" customFormat="1">
      <c r="B38" s="21">
        <f t="shared" si="0"/>
        <v>231.2</v>
      </c>
      <c r="C38" s="25">
        <f t="shared" si="1"/>
        <v>232.2</v>
      </c>
      <c r="D38" s="29">
        <f t="shared" si="2"/>
        <v>231.7</v>
      </c>
      <c r="E38" s="17">
        <v>1</v>
      </c>
      <c r="F38" s="17">
        <v>0</v>
      </c>
      <c r="G38" s="17">
        <v>0</v>
      </c>
      <c r="H38" s="17">
        <v>3</v>
      </c>
      <c r="I38" s="17">
        <v>0</v>
      </c>
      <c r="J38" s="17">
        <v>15</v>
      </c>
      <c r="K38" s="17">
        <v>0</v>
      </c>
      <c r="L38" s="17">
        <v>2</v>
      </c>
      <c r="M38" s="3">
        <f t="shared" si="3"/>
        <v>21</v>
      </c>
    </row>
    <row r="39" spans="1:13" s="20" customFormat="1">
      <c r="A39" s="16"/>
      <c r="B39" s="21">
        <f t="shared" si="0"/>
        <v>232.2</v>
      </c>
      <c r="C39" s="25">
        <f t="shared" si="1"/>
        <v>233.2</v>
      </c>
      <c r="D39" s="29">
        <f t="shared" si="2"/>
        <v>232.7</v>
      </c>
      <c r="E39" s="17">
        <v>2</v>
      </c>
      <c r="F39" s="17">
        <v>1</v>
      </c>
      <c r="G39" s="17">
        <v>0</v>
      </c>
      <c r="H39" s="17">
        <v>9</v>
      </c>
      <c r="I39" s="17">
        <v>0</v>
      </c>
      <c r="J39" s="17">
        <v>35</v>
      </c>
      <c r="K39" s="17">
        <v>0</v>
      </c>
      <c r="L39" s="17">
        <v>2</v>
      </c>
      <c r="M39" s="3">
        <f t="shared" si="3"/>
        <v>49</v>
      </c>
    </row>
    <row r="40" spans="1:13" s="20" customFormat="1">
      <c r="A40" s="16"/>
      <c r="B40" s="21">
        <f t="shared" si="0"/>
        <v>233.2</v>
      </c>
      <c r="C40" s="25">
        <v>234.18</v>
      </c>
      <c r="D40" s="29">
        <f t="shared" si="2"/>
        <v>233.69</v>
      </c>
      <c r="E40" s="17">
        <v>3</v>
      </c>
      <c r="F40" s="17">
        <v>4</v>
      </c>
      <c r="G40" s="17">
        <v>0</v>
      </c>
      <c r="H40" s="17">
        <v>3</v>
      </c>
      <c r="I40" s="17">
        <v>0</v>
      </c>
      <c r="J40" s="17">
        <v>43</v>
      </c>
      <c r="K40" s="17">
        <v>0</v>
      </c>
      <c r="L40" s="17">
        <v>3</v>
      </c>
      <c r="M40" s="3">
        <f t="shared" si="3"/>
        <v>56</v>
      </c>
    </row>
    <row r="41" spans="1:13" s="20" customFormat="1">
      <c r="A41" s="16"/>
      <c r="B41" s="21">
        <f t="shared" si="0"/>
        <v>234.18</v>
      </c>
      <c r="C41" s="25">
        <v>235.94</v>
      </c>
      <c r="D41" s="29">
        <f t="shared" si="2"/>
        <v>235.06</v>
      </c>
      <c r="E41" s="17">
        <v>2</v>
      </c>
      <c r="F41" s="17">
        <v>3</v>
      </c>
      <c r="G41" s="17">
        <v>0</v>
      </c>
      <c r="H41" s="17">
        <v>0</v>
      </c>
      <c r="I41" s="17">
        <v>0</v>
      </c>
      <c r="J41" s="17">
        <v>36</v>
      </c>
      <c r="K41" s="17">
        <v>0</v>
      </c>
      <c r="L41" s="17">
        <v>3</v>
      </c>
      <c r="M41" s="3">
        <f t="shared" si="3"/>
        <v>44</v>
      </c>
    </row>
    <row r="42" spans="1:13" s="20" customFormat="1">
      <c r="A42" s="16"/>
      <c r="B42" s="21">
        <f t="shared" si="0"/>
        <v>235.94</v>
      </c>
      <c r="C42" s="25">
        <f t="shared" si="1"/>
        <v>236.94</v>
      </c>
      <c r="D42" s="29">
        <f t="shared" si="2"/>
        <v>236.44</v>
      </c>
      <c r="E42" s="17">
        <v>1</v>
      </c>
      <c r="F42" s="17">
        <v>4</v>
      </c>
      <c r="G42" s="17">
        <v>0</v>
      </c>
      <c r="H42" s="17">
        <v>0</v>
      </c>
      <c r="I42" s="17">
        <v>0</v>
      </c>
      <c r="J42" s="17">
        <v>35</v>
      </c>
      <c r="K42" s="17">
        <v>0</v>
      </c>
      <c r="L42" s="17">
        <v>4</v>
      </c>
      <c r="M42" s="3">
        <f t="shared" si="3"/>
        <v>44</v>
      </c>
    </row>
    <row r="43" spans="1:13" s="20" customFormat="1">
      <c r="A43" s="16"/>
      <c r="B43" s="21">
        <f t="shared" si="0"/>
        <v>236.94</v>
      </c>
      <c r="C43" s="25">
        <f t="shared" si="1"/>
        <v>237.94</v>
      </c>
      <c r="D43" s="29">
        <f t="shared" si="2"/>
        <v>237.44</v>
      </c>
      <c r="E43" s="17">
        <v>2</v>
      </c>
      <c r="F43" s="17">
        <v>7</v>
      </c>
      <c r="G43" s="17">
        <v>0</v>
      </c>
      <c r="H43" s="17">
        <v>0</v>
      </c>
      <c r="I43" s="17">
        <v>0</v>
      </c>
      <c r="J43" s="17">
        <v>108</v>
      </c>
      <c r="K43" s="17">
        <v>0</v>
      </c>
      <c r="L43" s="17">
        <v>7</v>
      </c>
      <c r="M43" s="3">
        <f t="shared" si="3"/>
        <v>124</v>
      </c>
    </row>
    <row r="44" spans="1:13" s="20" customFormat="1">
      <c r="A44" s="16"/>
      <c r="B44" s="21">
        <v>238.04</v>
      </c>
      <c r="C44" s="25">
        <f t="shared" si="1"/>
        <v>239.04</v>
      </c>
      <c r="D44" s="29">
        <f t="shared" si="2"/>
        <v>238.54</v>
      </c>
      <c r="E44" s="17">
        <v>3</v>
      </c>
      <c r="F44" s="17">
        <v>5</v>
      </c>
      <c r="G44" s="17">
        <v>0</v>
      </c>
      <c r="H44" s="17">
        <v>0</v>
      </c>
      <c r="I44" s="17">
        <v>0</v>
      </c>
      <c r="J44" s="17">
        <v>125</v>
      </c>
      <c r="K44" s="17">
        <v>0</v>
      </c>
      <c r="L44" s="17">
        <v>80</v>
      </c>
      <c r="M44" s="3">
        <f t="shared" si="3"/>
        <v>213</v>
      </c>
    </row>
    <row r="45" spans="1:13" s="20" customFormat="1">
      <c r="A45" s="16"/>
      <c r="B45" s="21">
        <f t="shared" si="0"/>
        <v>239.04</v>
      </c>
      <c r="C45" s="25">
        <f t="shared" si="1"/>
        <v>240.04</v>
      </c>
      <c r="D45" s="29">
        <f t="shared" si="2"/>
        <v>239.54</v>
      </c>
      <c r="E45" s="17">
        <v>4</v>
      </c>
      <c r="F45" s="17">
        <v>5</v>
      </c>
      <c r="G45" s="17">
        <v>0</v>
      </c>
      <c r="H45" s="17">
        <v>1</v>
      </c>
      <c r="I45" s="17">
        <v>0</v>
      </c>
      <c r="J45" s="17">
        <v>95</v>
      </c>
      <c r="K45" s="17">
        <v>0</v>
      </c>
      <c r="L45" s="17">
        <v>12</v>
      </c>
      <c r="M45" s="3">
        <f t="shared" si="3"/>
        <v>117</v>
      </c>
    </row>
    <row r="46" spans="1:13" s="20" customFormat="1">
      <c r="A46" s="16"/>
      <c r="B46" s="21">
        <f t="shared" si="0"/>
        <v>240.04</v>
      </c>
      <c r="C46" s="25">
        <f t="shared" si="1"/>
        <v>241.04</v>
      </c>
      <c r="D46" s="29">
        <f t="shared" si="2"/>
        <v>240.54</v>
      </c>
      <c r="E46" s="17">
        <v>1</v>
      </c>
      <c r="F46" s="17">
        <v>0</v>
      </c>
      <c r="G46" s="17">
        <v>0</v>
      </c>
      <c r="H46" s="17">
        <v>2</v>
      </c>
      <c r="I46" s="17">
        <v>0</v>
      </c>
      <c r="J46" s="17">
        <v>82</v>
      </c>
      <c r="K46" s="17">
        <v>0</v>
      </c>
      <c r="L46" s="17">
        <v>24</v>
      </c>
      <c r="M46" s="3">
        <f t="shared" si="3"/>
        <v>109</v>
      </c>
    </row>
    <row r="47" spans="1:13" s="20" customFormat="1">
      <c r="A47" s="16"/>
      <c r="B47" s="21">
        <f t="shared" si="0"/>
        <v>241.04</v>
      </c>
      <c r="C47" s="25">
        <f t="shared" si="1"/>
        <v>242.04</v>
      </c>
      <c r="D47" s="29">
        <f t="shared" si="2"/>
        <v>241.54</v>
      </c>
      <c r="E47" s="17">
        <v>2</v>
      </c>
      <c r="F47" s="17">
        <v>10</v>
      </c>
      <c r="G47" s="17">
        <v>0</v>
      </c>
      <c r="H47" s="17">
        <v>2</v>
      </c>
      <c r="I47" s="17">
        <v>0</v>
      </c>
      <c r="J47" s="17">
        <v>101</v>
      </c>
      <c r="K47" s="17">
        <v>0</v>
      </c>
      <c r="L47" s="17">
        <v>14</v>
      </c>
      <c r="M47" s="3">
        <f t="shared" si="3"/>
        <v>129</v>
      </c>
    </row>
    <row r="48" spans="1:13" s="20" customFormat="1">
      <c r="A48" s="16"/>
      <c r="B48" s="21">
        <f t="shared" si="0"/>
        <v>242.04</v>
      </c>
      <c r="C48" s="25">
        <v>243.07</v>
      </c>
      <c r="D48" s="29">
        <f t="shared" si="2"/>
        <v>242.55500000000001</v>
      </c>
      <c r="E48" s="17">
        <v>3</v>
      </c>
      <c r="F48" s="17">
        <v>4</v>
      </c>
      <c r="G48" s="17">
        <v>1</v>
      </c>
      <c r="H48" s="17">
        <v>3</v>
      </c>
      <c r="I48" s="17">
        <v>0</v>
      </c>
      <c r="J48" s="17">
        <v>71</v>
      </c>
      <c r="K48" s="17">
        <v>0</v>
      </c>
      <c r="L48" s="17">
        <v>3</v>
      </c>
      <c r="M48" s="3">
        <f t="shared" si="3"/>
        <v>85</v>
      </c>
    </row>
    <row r="49" spans="2:13" s="20" customFormat="1">
      <c r="B49" s="21">
        <v>243.71</v>
      </c>
      <c r="C49" s="25">
        <v>244.63</v>
      </c>
      <c r="D49" s="29">
        <f t="shared" si="2"/>
        <v>244.17000000000002</v>
      </c>
      <c r="E49" s="17">
        <v>1</v>
      </c>
      <c r="F49" s="17">
        <v>4</v>
      </c>
      <c r="G49" s="17">
        <v>0</v>
      </c>
      <c r="H49" s="17">
        <v>0</v>
      </c>
      <c r="I49" s="17">
        <v>0</v>
      </c>
      <c r="J49" s="17">
        <v>59</v>
      </c>
      <c r="K49" s="17">
        <v>0</v>
      </c>
      <c r="L49" s="17">
        <v>3</v>
      </c>
      <c r="M49" s="3">
        <f t="shared" si="3"/>
        <v>67</v>
      </c>
    </row>
    <row r="50" spans="2:13" s="20" customFormat="1">
      <c r="B50" s="21">
        <f t="shared" si="0"/>
        <v>244.63</v>
      </c>
      <c r="C50" s="25">
        <f t="shared" si="1"/>
        <v>245.63</v>
      </c>
      <c r="D50" s="29">
        <f t="shared" si="2"/>
        <v>245.13</v>
      </c>
      <c r="E50" s="17">
        <v>1</v>
      </c>
      <c r="F50" s="17">
        <v>5</v>
      </c>
      <c r="G50" s="17">
        <v>0</v>
      </c>
      <c r="H50" s="17">
        <v>4</v>
      </c>
      <c r="I50" s="17">
        <v>0</v>
      </c>
      <c r="J50" s="17">
        <v>72</v>
      </c>
      <c r="K50" s="17">
        <v>0</v>
      </c>
      <c r="L50" s="17">
        <v>13</v>
      </c>
      <c r="M50" s="3">
        <f t="shared" si="3"/>
        <v>95</v>
      </c>
    </row>
    <row r="51" spans="2:13" s="20" customFormat="1">
      <c r="B51" s="21">
        <f t="shared" si="0"/>
        <v>245.63</v>
      </c>
      <c r="C51" s="25">
        <f t="shared" si="1"/>
        <v>246.63</v>
      </c>
      <c r="D51" s="29">
        <f t="shared" si="2"/>
        <v>246.13</v>
      </c>
      <c r="E51" s="17">
        <v>6</v>
      </c>
      <c r="F51" s="17">
        <v>1</v>
      </c>
      <c r="G51" s="17">
        <v>0</v>
      </c>
      <c r="H51" s="17">
        <v>0</v>
      </c>
      <c r="I51" s="17">
        <v>0</v>
      </c>
      <c r="J51" s="17">
        <v>68</v>
      </c>
      <c r="K51" s="17">
        <v>0</v>
      </c>
      <c r="L51" s="17">
        <v>11</v>
      </c>
      <c r="M51" s="3">
        <f t="shared" si="3"/>
        <v>86</v>
      </c>
    </row>
    <row r="52" spans="2:13" s="20" customFormat="1">
      <c r="B52" s="21">
        <f t="shared" si="0"/>
        <v>246.63</v>
      </c>
      <c r="C52" s="25">
        <f t="shared" si="1"/>
        <v>247.63</v>
      </c>
      <c r="D52" s="29">
        <f t="shared" si="2"/>
        <v>247.13</v>
      </c>
      <c r="E52" s="17">
        <v>3</v>
      </c>
      <c r="F52" s="17">
        <v>6</v>
      </c>
      <c r="G52" s="17">
        <v>0</v>
      </c>
      <c r="H52" s="17">
        <v>2</v>
      </c>
      <c r="I52" s="17">
        <v>0</v>
      </c>
      <c r="J52" s="17">
        <v>54</v>
      </c>
      <c r="K52" s="17">
        <v>0</v>
      </c>
      <c r="L52" s="17">
        <v>2</v>
      </c>
      <c r="M52" s="3">
        <f t="shared" si="3"/>
        <v>67</v>
      </c>
    </row>
    <row r="53" spans="2:13" s="20" customFormat="1">
      <c r="B53" s="21">
        <f t="shared" si="0"/>
        <v>247.63</v>
      </c>
      <c r="C53" s="25">
        <f t="shared" si="1"/>
        <v>248.63</v>
      </c>
      <c r="D53" s="29">
        <f t="shared" si="2"/>
        <v>248.13</v>
      </c>
      <c r="E53" s="17">
        <v>4</v>
      </c>
      <c r="F53" s="17">
        <v>4</v>
      </c>
      <c r="G53" s="17">
        <v>0</v>
      </c>
      <c r="H53" s="17">
        <v>3</v>
      </c>
      <c r="I53" s="17">
        <v>0</v>
      </c>
      <c r="J53" s="17">
        <v>65</v>
      </c>
      <c r="K53" s="17">
        <v>0</v>
      </c>
      <c r="L53" s="17">
        <v>23</v>
      </c>
      <c r="M53" s="3">
        <f t="shared" si="3"/>
        <v>99</v>
      </c>
    </row>
    <row r="54" spans="2:13" s="20" customFormat="1">
      <c r="B54" s="21">
        <f t="shared" si="0"/>
        <v>248.63</v>
      </c>
      <c r="C54" s="25">
        <v>249.45</v>
      </c>
      <c r="D54" s="29">
        <f t="shared" si="2"/>
        <v>249.04</v>
      </c>
      <c r="E54" s="17">
        <v>0</v>
      </c>
      <c r="F54" s="17">
        <v>3</v>
      </c>
      <c r="G54" s="17">
        <v>0</v>
      </c>
      <c r="H54" s="17">
        <v>3</v>
      </c>
      <c r="I54" s="17">
        <v>0</v>
      </c>
      <c r="J54" s="17">
        <v>22</v>
      </c>
      <c r="K54" s="17">
        <v>0</v>
      </c>
      <c r="L54" s="17">
        <v>7</v>
      </c>
      <c r="M54" s="3">
        <f t="shared" si="3"/>
        <v>35</v>
      </c>
    </row>
    <row r="55" spans="2:13" s="20" customFormat="1">
      <c r="B55" s="21">
        <v>249.53</v>
      </c>
      <c r="C55" s="25">
        <f t="shared" si="1"/>
        <v>250.53</v>
      </c>
      <c r="D55" s="29">
        <f t="shared" si="2"/>
        <v>250.03</v>
      </c>
      <c r="E55" s="17">
        <v>3</v>
      </c>
      <c r="F55" s="17">
        <v>4</v>
      </c>
      <c r="G55" s="17">
        <v>0</v>
      </c>
      <c r="H55" s="17">
        <v>1</v>
      </c>
      <c r="I55" s="17">
        <v>0</v>
      </c>
      <c r="J55" s="17">
        <v>44</v>
      </c>
      <c r="K55" s="17">
        <v>0</v>
      </c>
      <c r="L55" s="17">
        <v>5</v>
      </c>
      <c r="M55" s="3">
        <f t="shared" si="3"/>
        <v>57</v>
      </c>
    </row>
    <row r="56" spans="2:13" s="20" customFormat="1">
      <c r="B56" s="21">
        <f t="shared" si="0"/>
        <v>250.53</v>
      </c>
      <c r="C56" s="25">
        <f t="shared" si="1"/>
        <v>251.53</v>
      </c>
      <c r="D56" s="29">
        <f t="shared" si="2"/>
        <v>251.03</v>
      </c>
      <c r="E56" s="17">
        <v>3</v>
      </c>
      <c r="F56" s="17">
        <v>4</v>
      </c>
      <c r="G56" s="17">
        <v>0</v>
      </c>
      <c r="H56" s="17">
        <v>7</v>
      </c>
      <c r="I56" s="17">
        <v>0</v>
      </c>
      <c r="J56" s="17">
        <v>77</v>
      </c>
      <c r="K56" s="17">
        <v>0</v>
      </c>
      <c r="L56" s="17">
        <v>16</v>
      </c>
      <c r="M56" s="3">
        <f t="shared" si="3"/>
        <v>107</v>
      </c>
    </row>
    <row r="57" spans="2:13" s="20" customFormat="1">
      <c r="B57" s="21">
        <f t="shared" si="0"/>
        <v>251.53</v>
      </c>
      <c r="C57" s="25">
        <f t="shared" si="1"/>
        <v>252.53</v>
      </c>
      <c r="D57" s="29">
        <f t="shared" si="2"/>
        <v>252.03</v>
      </c>
      <c r="E57" s="17">
        <v>4</v>
      </c>
      <c r="F57" s="17">
        <v>2</v>
      </c>
      <c r="G57" s="17">
        <v>0</v>
      </c>
      <c r="H57" s="17">
        <v>0</v>
      </c>
      <c r="I57" s="17">
        <v>0</v>
      </c>
      <c r="J57" s="17">
        <v>21</v>
      </c>
      <c r="K57" s="17">
        <v>0</v>
      </c>
      <c r="L57" s="17">
        <v>23</v>
      </c>
      <c r="M57" s="3">
        <f t="shared" si="3"/>
        <v>50</v>
      </c>
    </row>
    <row r="58" spans="2:13" s="20" customFormat="1">
      <c r="B58" s="21">
        <f t="shared" si="0"/>
        <v>252.53</v>
      </c>
      <c r="C58" s="25">
        <f t="shared" si="1"/>
        <v>253.53</v>
      </c>
      <c r="D58" s="29">
        <f t="shared" si="2"/>
        <v>253.03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8</v>
      </c>
      <c r="K58" s="17">
        <v>0</v>
      </c>
      <c r="L58" s="17">
        <v>0</v>
      </c>
      <c r="M58" s="3">
        <f t="shared" si="3"/>
        <v>8</v>
      </c>
    </row>
    <row r="59" spans="2:13" s="20" customFormat="1">
      <c r="B59" s="21">
        <f t="shared" si="0"/>
        <v>253.53</v>
      </c>
      <c r="C59" s="25">
        <f t="shared" si="1"/>
        <v>254.53</v>
      </c>
      <c r="D59" s="29">
        <f t="shared" si="2"/>
        <v>254.03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2</v>
      </c>
      <c r="K59" s="17">
        <v>0</v>
      </c>
      <c r="L59" s="17">
        <v>2</v>
      </c>
      <c r="M59" s="3">
        <f t="shared" si="3"/>
        <v>4</v>
      </c>
    </row>
    <row r="60" spans="2:13" s="20" customFormat="1">
      <c r="B60" s="21">
        <f t="shared" si="0"/>
        <v>254.53</v>
      </c>
      <c r="C60" s="25">
        <f t="shared" si="1"/>
        <v>255.53</v>
      </c>
      <c r="D60" s="29">
        <f t="shared" si="2"/>
        <v>255.03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7</v>
      </c>
      <c r="K60" s="17">
        <v>0</v>
      </c>
      <c r="L60" s="17">
        <v>0</v>
      </c>
      <c r="M60" s="3">
        <f t="shared" si="3"/>
        <v>7</v>
      </c>
    </row>
    <row r="61" spans="2:13" s="20" customFormat="1">
      <c r="B61" s="21">
        <f t="shared" si="0"/>
        <v>255.53</v>
      </c>
      <c r="C61" s="25">
        <f t="shared" si="1"/>
        <v>256.52999999999997</v>
      </c>
      <c r="D61" s="29">
        <f t="shared" si="2"/>
        <v>256.02999999999997</v>
      </c>
      <c r="E61" s="17">
        <v>0</v>
      </c>
      <c r="F61" s="17">
        <v>0</v>
      </c>
      <c r="G61" s="17">
        <v>0</v>
      </c>
      <c r="H61" s="17">
        <v>1</v>
      </c>
      <c r="I61" s="17">
        <v>0</v>
      </c>
      <c r="J61" s="17">
        <v>15</v>
      </c>
      <c r="K61" s="17">
        <v>0</v>
      </c>
      <c r="L61" s="17">
        <v>0</v>
      </c>
      <c r="M61" s="3">
        <f t="shared" si="3"/>
        <v>16</v>
      </c>
    </row>
    <row r="62" spans="2:13" s="20" customFormat="1">
      <c r="B62" s="21">
        <f t="shared" si="0"/>
        <v>256.52999999999997</v>
      </c>
      <c r="C62" s="25">
        <f t="shared" si="1"/>
        <v>257.52999999999997</v>
      </c>
      <c r="D62" s="29">
        <f t="shared" si="2"/>
        <v>257.02999999999997</v>
      </c>
      <c r="E62" s="17">
        <v>0</v>
      </c>
      <c r="F62" s="17">
        <v>0</v>
      </c>
      <c r="G62" s="17">
        <v>0</v>
      </c>
      <c r="H62" s="17">
        <v>1</v>
      </c>
      <c r="I62" s="17">
        <v>0</v>
      </c>
      <c r="J62" s="17">
        <v>16</v>
      </c>
      <c r="K62" s="17">
        <v>0</v>
      </c>
      <c r="L62" s="17">
        <v>0</v>
      </c>
      <c r="M62" s="3">
        <f t="shared" si="3"/>
        <v>17</v>
      </c>
    </row>
    <row r="63" spans="2:13" s="20" customFormat="1">
      <c r="B63" s="21">
        <f t="shared" si="0"/>
        <v>257.52999999999997</v>
      </c>
      <c r="C63" s="25">
        <f t="shared" si="1"/>
        <v>258.52999999999997</v>
      </c>
      <c r="D63" s="29">
        <f t="shared" si="2"/>
        <v>258.02999999999997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18</v>
      </c>
      <c r="K63" s="17">
        <v>0</v>
      </c>
      <c r="L63" s="17">
        <v>0</v>
      </c>
      <c r="M63" s="3">
        <f t="shared" si="3"/>
        <v>18</v>
      </c>
    </row>
    <row r="64" spans="2:13" s="20" customFormat="1">
      <c r="B64" s="21">
        <f t="shared" si="0"/>
        <v>258.52999999999997</v>
      </c>
      <c r="C64" s="25">
        <f t="shared" si="1"/>
        <v>259.52999999999997</v>
      </c>
      <c r="D64" s="29">
        <f t="shared" si="2"/>
        <v>259.02999999999997</v>
      </c>
      <c r="E64" s="17">
        <v>3</v>
      </c>
      <c r="F64" s="17">
        <v>4</v>
      </c>
      <c r="G64" s="17">
        <v>0</v>
      </c>
      <c r="H64" s="17">
        <v>0</v>
      </c>
      <c r="I64" s="17">
        <v>0</v>
      </c>
      <c r="J64" s="17">
        <v>11</v>
      </c>
      <c r="K64" s="17">
        <v>0</v>
      </c>
      <c r="L64" s="17">
        <v>8</v>
      </c>
      <c r="M64" s="3">
        <f t="shared" si="3"/>
        <v>26</v>
      </c>
    </row>
    <row r="65" spans="2:13" s="20" customFormat="1">
      <c r="B65" s="21">
        <f t="shared" si="0"/>
        <v>259.52999999999997</v>
      </c>
      <c r="C65" s="25">
        <f t="shared" si="1"/>
        <v>260.52999999999997</v>
      </c>
      <c r="D65" s="29">
        <f t="shared" si="2"/>
        <v>260.02999999999997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7</v>
      </c>
      <c r="M65" s="3">
        <f t="shared" si="3"/>
        <v>7</v>
      </c>
    </row>
    <row r="66" spans="2:13" s="20" customFormat="1">
      <c r="B66" s="21">
        <f t="shared" si="0"/>
        <v>260.52999999999997</v>
      </c>
      <c r="C66" s="25">
        <v>261.44</v>
      </c>
      <c r="D66" s="29">
        <f t="shared" si="2"/>
        <v>260.98500000000001</v>
      </c>
      <c r="E66" s="17">
        <v>2</v>
      </c>
      <c r="F66" s="17">
        <v>4</v>
      </c>
      <c r="G66" s="17">
        <v>0</v>
      </c>
      <c r="H66" s="17">
        <v>3</v>
      </c>
      <c r="I66" s="17">
        <v>0</v>
      </c>
      <c r="J66" s="17">
        <v>109</v>
      </c>
      <c r="K66" s="17">
        <v>0</v>
      </c>
      <c r="L66" s="17">
        <v>11</v>
      </c>
      <c r="M66" s="3">
        <f t="shared" si="3"/>
        <v>129</v>
      </c>
    </row>
    <row r="67" spans="2:13" s="20" customFormat="1">
      <c r="B67" s="21">
        <f t="shared" si="0"/>
        <v>261.44</v>
      </c>
      <c r="C67" s="25">
        <f t="shared" si="1"/>
        <v>262.44</v>
      </c>
      <c r="D67" s="29">
        <f t="shared" si="2"/>
        <v>261.94</v>
      </c>
      <c r="E67" s="17">
        <v>0</v>
      </c>
      <c r="F67" s="17">
        <v>0</v>
      </c>
      <c r="G67" s="17">
        <v>1</v>
      </c>
      <c r="H67" s="17">
        <v>3</v>
      </c>
      <c r="I67" s="17">
        <v>0</v>
      </c>
      <c r="J67" s="17">
        <v>72</v>
      </c>
      <c r="K67" s="17">
        <v>0</v>
      </c>
      <c r="L67" s="17">
        <v>7</v>
      </c>
      <c r="M67" s="3">
        <f t="shared" si="3"/>
        <v>83</v>
      </c>
    </row>
    <row r="68" spans="2:13" s="20" customFormat="1">
      <c r="B68" s="21">
        <f t="shared" si="0"/>
        <v>262.44</v>
      </c>
      <c r="C68" s="25">
        <f t="shared" si="1"/>
        <v>263.44</v>
      </c>
      <c r="D68" s="29">
        <f t="shared" si="2"/>
        <v>262.94</v>
      </c>
      <c r="E68" s="17">
        <v>1</v>
      </c>
      <c r="F68" s="17">
        <v>2</v>
      </c>
      <c r="G68" s="17">
        <v>0</v>
      </c>
      <c r="H68" s="17">
        <v>0</v>
      </c>
      <c r="I68" s="17">
        <v>0</v>
      </c>
      <c r="J68" s="17">
        <v>49</v>
      </c>
      <c r="K68" s="17">
        <v>0</v>
      </c>
      <c r="L68" s="17">
        <v>5</v>
      </c>
      <c r="M68" s="3">
        <f t="shared" si="3"/>
        <v>57</v>
      </c>
    </row>
    <row r="69" spans="2:13" s="20" customFormat="1">
      <c r="B69" s="21">
        <f t="shared" si="0"/>
        <v>263.44</v>
      </c>
      <c r="C69" s="25">
        <f t="shared" si="1"/>
        <v>264.44</v>
      </c>
      <c r="D69" s="29">
        <f t="shared" si="2"/>
        <v>263.94</v>
      </c>
      <c r="E69" s="17">
        <v>4</v>
      </c>
      <c r="F69" s="17">
        <v>4</v>
      </c>
      <c r="G69" s="17">
        <v>0</v>
      </c>
      <c r="H69" s="17">
        <v>0</v>
      </c>
      <c r="I69" s="17">
        <v>0</v>
      </c>
      <c r="J69" s="17">
        <v>50</v>
      </c>
      <c r="K69" s="17">
        <v>0</v>
      </c>
      <c r="L69" s="17">
        <v>3</v>
      </c>
      <c r="M69" s="3">
        <f t="shared" si="3"/>
        <v>61</v>
      </c>
    </row>
    <row r="70" spans="2:13" s="20" customFormat="1">
      <c r="B70" s="21">
        <f t="shared" si="0"/>
        <v>264.44</v>
      </c>
      <c r="C70" s="25">
        <f t="shared" si="1"/>
        <v>265.44</v>
      </c>
      <c r="D70" s="29">
        <f t="shared" si="2"/>
        <v>264.94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29</v>
      </c>
      <c r="K70" s="17">
        <v>0</v>
      </c>
      <c r="L70" s="17">
        <v>0</v>
      </c>
      <c r="M70" s="3">
        <f t="shared" si="3"/>
        <v>29</v>
      </c>
    </row>
    <row r="71" spans="2:13" s="20" customFormat="1">
      <c r="B71" s="21">
        <f t="shared" si="0"/>
        <v>265.44</v>
      </c>
      <c r="C71" s="25">
        <f t="shared" si="1"/>
        <v>266.44</v>
      </c>
      <c r="D71" s="29">
        <f t="shared" si="2"/>
        <v>265.94</v>
      </c>
      <c r="E71" s="17">
        <v>4</v>
      </c>
      <c r="F71" s="17">
        <v>5</v>
      </c>
      <c r="G71" s="17">
        <v>0</v>
      </c>
      <c r="H71" s="17">
        <v>0</v>
      </c>
      <c r="I71" s="17">
        <v>0</v>
      </c>
      <c r="J71" s="17">
        <v>65</v>
      </c>
      <c r="K71" s="17">
        <v>0</v>
      </c>
      <c r="L71" s="17">
        <v>7</v>
      </c>
      <c r="M71" s="3">
        <f t="shared" si="3"/>
        <v>81</v>
      </c>
    </row>
    <row r="72" spans="2:13" s="20" customFormat="1">
      <c r="B72" s="21">
        <f t="shared" si="0"/>
        <v>266.44</v>
      </c>
      <c r="C72" s="25">
        <f t="shared" si="1"/>
        <v>267.44</v>
      </c>
      <c r="D72" s="29">
        <f t="shared" si="2"/>
        <v>266.94</v>
      </c>
      <c r="E72" s="17">
        <v>5</v>
      </c>
      <c r="F72" s="17">
        <v>3</v>
      </c>
      <c r="G72" s="17">
        <v>0</v>
      </c>
      <c r="H72" s="17">
        <v>0</v>
      </c>
      <c r="I72" s="17">
        <v>0</v>
      </c>
      <c r="J72" s="17">
        <v>62</v>
      </c>
      <c r="K72" s="17">
        <v>0</v>
      </c>
      <c r="L72" s="17">
        <v>5</v>
      </c>
      <c r="M72" s="3">
        <f t="shared" si="3"/>
        <v>75</v>
      </c>
    </row>
    <row r="73" spans="2:13" s="20" customFormat="1">
      <c r="B73" s="21">
        <f t="shared" ref="B73:B103" si="4">C72</f>
        <v>267.44</v>
      </c>
      <c r="C73" s="25">
        <f t="shared" ref="C73:C102" si="5">B73+1</f>
        <v>268.44</v>
      </c>
      <c r="D73" s="29">
        <f t="shared" ref="D73:D103" si="6">B73+(C73-B73)/2</f>
        <v>267.94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4</v>
      </c>
      <c r="K73" s="17">
        <v>0</v>
      </c>
      <c r="L73" s="17">
        <v>2</v>
      </c>
      <c r="M73" s="3">
        <f t="shared" ref="M73:M103" si="7">SUM(E73:L73)</f>
        <v>6</v>
      </c>
    </row>
    <row r="74" spans="2:13" s="20" customFormat="1">
      <c r="B74" s="21">
        <f t="shared" si="4"/>
        <v>268.44</v>
      </c>
      <c r="C74" s="25">
        <f t="shared" si="5"/>
        <v>269.44</v>
      </c>
      <c r="D74" s="29">
        <f t="shared" si="6"/>
        <v>268.94</v>
      </c>
      <c r="E74" s="17">
        <v>0</v>
      </c>
      <c r="F74" s="17">
        <v>2</v>
      </c>
      <c r="G74" s="17">
        <v>0</v>
      </c>
      <c r="H74" s="17">
        <v>0</v>
      </c>
      <c r="I74" s="17">
        <v>0</v>
      </c>
      <c r="J74" s="17">
        <v>13</v>
      </c>
      <c r="K74" s="17">
        <v>0</v>
      </c>
      <c r="L74" s="17">
        <v>2</v>
      </c>
      <c r="M74" s="3">
        <f t="shared" si="7"/>
        <v>17</v>
      </c>
    </row>
    <row r="75" spans="2:13" s="20" customFormat="1">
      <c r="B75" s="21">
        <f t="shared" si="4"/>
        <v>269.44</v>
      </c>
      <c r="C75" s="25">
        <f t="shared" si="5"/>
        <v>270.44</v>
      </c>
      <c r="D75" s="29">
        <f t="shared" si="6"/>
        <v>269.94</v>
      </c>
      <c r="E75" s="17">
        <v>0</v>
      </c>
      <c r="F75" s="17">
        <v>0</v>
      </c>
      <c r="G75" s="17">
        <v>0</v>
      </c>
      <c r="H75" s="17">
        <v>6</v>
      </c>
      <c r="I75" s="17">
        <v>0</v>
      </c>
      <c r="J75" s="17">
        <v>79</v>
      </c>
      <c r="K75" s="17">
        <v>0</v>
      </c>
      <c r="L75" s="17">
        <v>4</v>
      </c>
      <c r="M75" s="3">
        <f t="shared" si="7"/>
        <v>89</v>
      </c>
    </row>
    <row r="76" spans="2:13" s="20" customFormat="1">
      <c r="B76" s="21">
        <f t="shared" si="4"/>
        <v>270.44</v>
      </c>
      <c r="C76" s="25">
        <f t="shared" si="5"/>
        <v>271.44</v>
      </c>
      <c r="D76" s="29">
        <f t="shared" si="6"/>
        <v>270.94</v>
      </c>
      <c r="E76" s="17">
        <v>2</v>
      </c>
      <c r="F76" s="17">
        <v>7</v>
      </c>
      <c r="G76" s="17">
        <v>0</v>
      </c>
      <c r="H76" s="17">
        <v>4</v>
      </c>
      <c r="I76" s="17">
        <v>0</v>
      </c>
      <c r="J76" s="17">
        <v>77</v>
      </c>
      <c r="K76" s="17">
        <v>0</v>
      </c>
      <c r="L76" s="17">
        <v>0</v>
      </c>
      <c r="M76" s="3">
        <f t="shared" si="7"/>
        <v>90</v>
      </c>
    </row>
    <row r="77" spans="2:13" s="20" customFormat="1">
      <c r="B77" s="21">
        <f t="shared" si="4"/>
        <v>271.44</v>
      </c>
      <c r="C77" s="25">
        <f t="shared" si="5"/>
        <v>272.44</v>
      </c>
      <c r="D77" s="29">
        <f t="shared" si="6"/>
        <v>271.94</v>
      </c>
      <c r="E77" s="17">
        <v>3</v>
      </c>
      <c r="F77" s="17">
        <v>4</v>
      </c>
      <c r="G77" s="17">
        <v>0</v>
      </c>
      <c r="H77" s="17">
        <v>0</v>
      </c>
      <c r="I77" s="17">
        <v>0</v>
      </c>
      <c r="J77" s="17">
        <v>53</v>
      </c>
      <c r="K77" s="17">
        <v>0</v>
      </c>
      <c r="L77" s="17">
        <v>1</v>
      </c>
      <c r="M77" s="3">
        <f t="shared" si="7"/>
        <v>61</v>
      </c>
    </row>
    <row r="78" spans="2:13" s="20" customFormat="1">
      <c r="B78" s="21">
        <f t="shared" si="4"/>
        <v>272.44</v>
      </c>
      <c r="C78" s="25">
        <v>273.39999999999998</v>
      </c>
      <c r="D78" s="29">
        <f t="shared" si="6"/>
        <v>272.91999999999996</v>
      </c>
      <c r="E78" s="17">
        <v>6</v>
      </c>
      <c r="F78" s="17">
        <v>5</v>
      </c>
      <c r="G78" s="17">
        <v>0</v>
      </c>
      <c r="H78" s="17">
        <v>5</v>
      </c>
      <c r="I78" s="17">
        <v>0</v>
      </c>
      <c r="J78" s="17">
        <v>89</v>
      </c>
      <c r="K78" s="17">
        <v>0</v>
      </c>
      <c r="L78" s="17">
        <v>4</v>
      </c>
      <c r="M78" s="3">
        <f t="shared" si="7"/>
        <v>109</v>
      </c>
    </row>
    <row r="79" spans="2:13" s="20" customFormat="1">
      <c r="B79" s="21">
        <f t="shared" si="4"/>
        <v>273.39999999999998</v>
      </c>
      <c r="C79" s="25">
        <f t="shared" si="5"/>
        <v>274.39999999999998</v>
      </c>
      <c r="D79" s="29">
        <f t="shared" si="6"/>
        <v>273.89999999999998</v>
      </c>
      <c r="E79" s="17">
        <v>2</v>
      </c>
      <c r="F79" s="17">
        <v>8</v>
      </c>
      <c r="G79" s="17">
        <v>0</v>
      </c>
      <c r="H79" s="17">
        <v>3</v>
      </c>
      <c r="I79" s="17">
        <v>0</v>
      </c>
      <c r="J79" s="17">
        <v>85</v>
      </c>
      <c r="K79" s="17">
        <v>0</v>
      </c>
      <c r="L79" s="17">
        <v>8</v>
      </c>
      <c r="M79" s="3">
        <f t="shared" si="7"/>
        <v>106</v>
      </c>
    </row>
    <row r="80" spans="2:13" s="20" customFormat="1">
      <c r="B80" s="21">
        <f t="shared" si="4"/>
        <v>274.39999999999998</v>
      </c>
      <c r="C80" s="25">
        <f t="shared" si="5"/>
        <v>275.39999999999998</v>
      </c>
      <c r="D80" s="29">
        <f t="shared" si="6"/>
        <v>274.89999999999998</v>
      </c>
      <c r="E80" s="17">
        <v>3</v>
      </c>
      <c r="F80" s="17">
        <v>11</v>
      </c>
      <c r="G80" s="17">
        <v>0</v>
      </c>
      <c r="H80" s="17">
        <v>4</v>
      </c>
      <c r="I80" s="17">
        <v>0</v>
      </c>
      <c r="J80" s="17">
        <v>107</v>
      </c>
      <c r="K80" s="17">
        <v>0</v>
      </c>
      <c r="L80" s="17">
        <v>7</v>
      </c>
      <c r="M80" s="3">
        <f t="shared" si="7"/>
        <v>132</v>
      </c>
    </row>
    <row r="81" spans="2:13" s="20" customFormat="1">
      <c r="B81" s="21">
        <f t="shared" si="4"/>
        <v>275.39999999999998</v>
      </c>
      <c r="C81" s="25">
        <f t="shared" si="5"/>
        <v>276.39999999999998</v>
      </c>
      <c r="D81" s="29">
        <f t="shared" si="6"/>
        <v>275.89999999999998</v>
      </c>
      <c r="E81" s="17">
        <v>3</v>
      </c>
      <c r="F81" s="17">
        <v>2</v>
      </c>
      <c r="G81" s="17">
        <v>0</v>
      </c>
      <c r="H81" s="17">
        <v>3</v>
      </c>
      <c r="I81" s="17">
        <v>0</v>
      </c>
      <c r="J81" s="17">
        <v>123</v>
      </c>
      <c r="K81" s="17">
        <v>0</v>
      </c>
      <c r="L81" s="17">
        <v>2</v>
      </c>
      <c r="M81" s="3">
        <f t="shared" si="7"/>
        <v>133</v>
      </c>
    </row>
    <row r="82" spans="2:13" s="20" customFormat="1">
      <c r="B82" s="21">
        <f t="shared" si="4"/>
        <v>276.39999999999998</v>
      </c>
      <c r="C82" s="25">
        <f t="shared" si="5"/>
        <v>277.39999999999998</v>
      </c>
      <c r="D82" s="29">
        <f t="shared" si="6"/>
        <v>276.89999999999998</v>
      </c>
      <c r="E82" s="17">
        <v>2</v>
      </c>
      <c r="F82" s="17">
        <v>3</v>
      </c>
      <c r="G82" s="17">
        <v>0</v>
      </c>
      <c r="H82" s="17">
        <v>1</v>
      </c>
      <c r="I82" s="17">
        <v>0</v>
      </c>
      <c r="J82" s="17">
        <v>96</v>
      </c>
      <c r="K82" s="17">
        <v>0</v>
      </c>
      <c r="L82" s="17">
        <v>3</v>
      </c>
      <c r="M82" s="3">
        <f t="shared" si="7"/>
        <v>105</v>
      </c>
    </row>
    <row r="83" spans="2:13" s="20" customFormat="1">
      <c r="B83" s="21">
        <f t="shared" si="4"/>
        <v>277.39999999999998</v>
      </c>
      <c r="C83" s="25">
        <f t="shared" si="5"/>
        <v>278.39999999999998</v>
      </c>
      <c r="D83" s="29">
        <f t="shared" si="6"/>
        <v>277.89999999999998</v>
      </c>
      <c r="E83" s="17">
        <v>4</v>
      </c>
      <c r="F83" s="17">
        <v>5</v>
      </c>
      <c r="G83" s="17">
        <v>1</v>
      </c>
      <c r="H83" s="17">
        <v>3</v>
      </c>
      <c r="I83" s="17">
        <v>0</v>
      </c>
      <c r="J83" s="17">
        <v>95</v>
      </c>
      <c r="K83" s="17">
        <v>0</v>
      </c>
      <c r="L83" s="17">
        <v>6</v>
      </c>
      <c r="M83" s="3">
        <f t="shared" si="7"/>
        <v>114</v>
      </c>
    </row>
    <row r="84" spans="2:13" s="20" customFormat="1">
      <c r="B84" s="21">
        <f t="shared" si="4"/>
        <v>278.39999999999998</v>
      </c>
      <c r="C84" s="25">
        <f t="shared" si="5"/>
        <v>279.39999999999998</v>
      </c>
      <c r="D84" s="29">
        <f t="shared" si="6"/>
        <v>278.89999999999998</v>
      </c>
      <c r="E84" s="17">
        <v>4</v>
      </c>
      <c r="F84" s="17">
        <v>2</v>
      </c>
      <c r="G84" s="17">
        <v>0</v>
      </c>
      <c r="H84" s="17">
        <v>0</v>
      </c>
      <c r="I84" s="17">
        <v>0</v>
      </c>
      <c r="J84" s="17">
        <v>119</v>
      </c>
      <c r="K84" s="17">
        <v>0</v>
      </c>
      <c r="L84" s="17">
        <v>7</v>
      </c>
      <c r="M84" s="3">
        <f t="shared" si="7"/>
        <v>132</v>
      </c>
    </row>
    <row r="85" spans="2:13" s="20" customFormat="1">
      <c r="B85" s="21">
        <f t="shared" si="4"/>
        <v>279.39999999999998</v>
      </c>
      <c r="C85" s="25">
        <f t="shared" si="5"/>
        <v>280.39999999999998</v>
      </c>
      <c r="D85" s="29">
        <f t="shared" si="6"/>
        <v>279.89999999999998</v>
      </c>
      <c r="E85" s="17">
        <v>7</v>
      </c>
      <c r="F85" s="17">
        <v>6</v>
      </c>
      <c r="G85" s="17">
        <v>0</v>
      </c>
      <c r="H85" s="17">
        <v>4</v>
      </c>
      <c r="I85" s="17">
        <v>0</v>
      </c>
      <c r="J85" s="17">
        <v>140</v>
      </c>
      <c r="K85" s="17">
        <v>0</v>
      </c>
      <c r="L85" s="17">
        <v>5</v>
      </c>
      <c r="M85" s="3">
        <f t="shared" si="7"/>
        <v>162</v>
      </c>
    </row>
    <row r="86" spans="2:13" s="20" customFormat="1">
      <c r="B86" s="21">
        <f t="shared" si="4"/>
        <v>280.39999999999998</v>
      </c>
      <c r="C86" s="25">
        <f t="shared" si="5"/>
        <v>281.39999999999998</v>
      </c>
      <c r="D86" s="29">
        <f t="shared" si="6"/>
        <v>280.89999999999998</v>
      </c>
      <c r="E86" s="17">
        <v>1</v>
      </c>
      <c r="F86" s="17">
        <v>4</v>
      </c>
      <c r="G86" s="17">
        <v>2</v>
      </c>
      <c r="H86" s="17">
        <v>6</v>
      </c>
      <c r="I86" s="17">
        <v>0</v>
      </c>
      <c r="J86" s="17">
        <v>110</v>
      </c>
      <c r="K86" s="17">
        <v>0</v>
      </c>
      <c r="L86" s="17">
        <v>4</v>
      </c>
      <c r="M86" s="3">
        <f t="shared" si="7"/>
        <v>127</v>
      </c>
    </row>
    <row r="87" spans="2:13" s="20" customFormat="1">
      <c r="B87" s="21">
        <f t="shared" si="4"/>
        <v>281.39999999999998</v>
      </c>
      <c r="C87" s="25">
        <f t="shared" si="5"/>
        <v>282.39999999999998</v>
      </c>
      <c r="D87" s="29">
        <f t="shared" si="6"/>
        <v>281.89999999999998</v>
      </c>
      <c r="E87" s="17">
        <v>1</v>
      </c>
      <c r="F87" s="17">
        <v>6</v>
      </c>
      <c r="G87" s="17">
        <v>0</v>
      </c>
      <c r="H87" s="17">
        <v>1</v>
      </c>
      <c r="I87" s="17">
        <v>0</v>
      </c>
      <c r="J87" s="17">
        <v>119</v>
      </c>
      <c r="K87" s="17">
        <v>0</v>
      </c>
      <c r="L87" s="17">
        <v>8</v>
      </c>
      <c r="M87" s="3">
        <f t="shared" si="7"/>
        <v>135</v>
      </c>
    </row>
    <row r="88" spans="2:13" s="20" customFormat="1">
      <c r="B88" s="21">
        <f t="shared" si="4"/>
        <v>282.39999999999998</v>
      </c>
      <c r="C88" s="25">
        <f t="shared" si="5"/>
        <v>283.39999999999998</v>
      </c>
      <c r="D88" s="29">
        <f t="shared" si="6"/>
        <v>282.89999999999998</v>
      </c>
      <c r="E88" s="17">
        <v>0</v>
      </c>
      <c r="F88" s="17">
        <v>1</v>
      </c>
      <c r="G88" s="17">
        <v>0</v>
      </c>
      <c r="H88" s="17">
        <v>2</v>
      </c>
      <c r="I88" s="17">
        <v>0</v>
      </c>
      <c r="J88" s="17">
        <v>15</v>
      </c>
      <c r="K88" s="17">
        <v>0</v>
      </c>
      <c r="L88" s="17">
        <v>1</v>
      </c>
      <c r="M88" s="3">
        <f t="shared" si="7"/>
        <v>19</v>
      </c>
    </row>
    <row r="89" spans="2:13" s="20" customFormat="1">
      <c r="B89" s="21">
        <f t="shared" si="4"/>
        <v>283.39999999999998</v>
      </c>
      <c r="C89" s="25">
        <f t="shared" si="5"/>
        <v>284.39999999999998</v>
      </c>
      <c r="D89" s="29">
        <f t="shared" si="6"/>
        <v>283.89999999999998</v>
      </c>
      <c r="E89" s="17">
        <v>2</v>
      </c>
      <c r="F89" s="17">
        <v>4</v>
      </c>
      <c r="G89" s="17">
        <v>0</v>
      </c>
      <c r="H89" s="17">
        <v>1</v>
      </c>
      <c r="I89" s="17">
        <v>0</v>
      </c>
      <c r="J89" s="17">
        <v>35</v>
      </c>
      <c r="K89" s="17">
        <v>0</v>
      </c>
      <c r="L89" s="17">
        <v>0</v>
      </c>
      <c r="M89" s="3">
        <f t="shared" si="7"/>
        <v>42</v>
      </c>
    </row>
    <row r="90" spans="2:13" s="20" customFormat="1">
      <c r="B90" s="21">
        <f t="shared" si="4"/>
        <v>284.39999999999998</v>
      </c>
      <c r="C90" s="25">
        <f t="shared" si="5"/>
        <v>285.39999999999998</v>
      </c>
      <c r="D90" s="29">
        <f t="shared" si="6"/>
        <v>284.89999999999998</v>
      </c>
      <c r="E90" s="17">
        <v>1</v>
      </c>
      <c r="F90" s="17">
        <v>0</v>
      </c>
      <c r="G90" s="17">
        <v>0</v>
      </c>
      <c r="H90" s="17">
        <v>5</v>
      </c>
      <c r="I90" s="17">
        <v>0</v>
      </c>
      <c r="J90" s="17">
        <v>60</v>
      </c>
      <c r="K90" s="17">
        <v>0</v>
      </c>
      <c r="L90" s="17">
        <v>0</v>
      </c>
      <c r="M90" s="3">
        <f t="shared" si="7"/>
        <v>66</v>
      </c>
    </row>
    <row r="91" spans="2:13" s="20" customFormat="1">
      <c r="B91" s="21">
        <f t="shared" si="4"/>
        <v>285.39999999999998</v>
      </c>
      <c r="C91" s="25">
        <f t="shared" si="5"/>
        <v>286.39999999999998</v>
      </c>
      <c r="D91" s="29">
        <f t="shared" si="6"/>
        <v>285.89999999999998</v>
      </c>
      <c r="E91" s="17">
        <v>0</v>
      </c>
      <c r="F91" s="17">
        <v>6</v>
      </c>
      <c r="G91" s="17">
        <v>0</v>
      </c>
      <c r="H91" s="17">
        <v>0</v>
      </c>
      <c r="I91" s="17">
        <v>0</v>
      </c>
      <c r="J91" s="17">
        <v>31</v>
      </c>
      <c r="K91" s="17">
        <v>0</v>
      </c>
      <c r="L91" s="17">
        <v>2</v>
      </c>
      <c r="M91" s="3">
        <f t="shared" si="7"/>
        <v>39</v>
      </c>
    </row>
    <row r="92" spans="2:13" s="20" customFormat="1">
      <c r="B92" s="21">
        <f t="shared" si="4"/>
        <v>286.39999999999998</v>
      </c>
      <c r="C92" s="25">
        <f t="shared" si="5"/>
        <v>287.39999999999998</v>
      </c>
      <c r="D92" s="29">
        <f t="shared" si="6"/>
        <v>286.89999999999998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22</v>
      </c>
      <c r="K92" s="17">
        <v>0</v>
      </c>
      <c r="L92" s="17">
        <v>0</v>
      </c>
      <c r="M92" s="3">
        <f t="shared" si="7"/>
        <v>22</v>
      </c>
    </row>
    <row r="93" spans="2:13" s="20" customFormat="1">
      <c r="B93" s="21">
        <f t="shared" si="4"/>
        <v>287.39999999999998</v>
      </c>
      <c r="C93" s="25">
        <f t="shared" si="5"/>
        <v>288.39999999999998</v>
      </c>
      <c r="D93" s="29">
        <f t="shared" si="6"/>
        <v>287.89999999999998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17</v>
      </c>
      <c r="K93" s="17">
        <v>0</v>
      </c>
      <c r="L93" s="17">
        <v>0</v>
      </c>
      <c r="M93" s="3">
        <f t="shared" si="7"/>
        <v>17</v>
      </c>
    </row>
    <row r="94" spans="2:13" s="20" customFormat="1">
      <c r="B94" s="21">
        <f t="shared" si="4"/>
        <v>288.39999999999998</v>
      </c>
      <c r="C94" s="25">
        <f t="shared" si="5"/>
        <v>289.39999999999998</v>
      </c>
      <c r="D94" s="29">
        <f t="shared" si="6"/>
        <v>288.89999999999998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11</v>
      </c>
      <c r="K94" s="17">
        <v>0</v>
      </c>
      <c r="L94" s="17">
        <v>1</v>
      </c>
      <c r="M94" s="3">
        <f t="shared" si="7"/>
        <v>12</v>
      </c>
    </row>
    <row r="95" spans="2:13" s="20" customFormat="1">
      <c r="B95" s="21">
        <f t="shared" si="4"/>
        <v>289.39999999999998</v>
      </c>
      <c r="C95" s="25">
        <f t="shared" si="5"/>
        <v>290.39999999999998</v>
      </c>
      <c r="D95" s="29">
        <f t="shared" si="6"/>
        <v>289.89999999999998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37</v>
      </c>
      <c r="K95" s="17">
        <v>0</v>
      </c>
      <c r="L95" s="17">
        <v>0</v>
      </c>
      <c r="M95" s="3">
        <f t="shared" si="7"/>
        <v>37</v>
      </c>
    </row>
    <row r="96" spans="2:13" s="20" customFormat="1">
      <c r="B96" s="21">
        <f t="shared" si="4"/>
        <v>290.39999999999998</v>
      </c>
      <c r="C96" s="25">
        <f t="shared" si="5"/>
        <v>291.39999999999998</v>
      </c>
      <c r="D96" s="29">
        <f t="shared" si="6"/>
        <v>290.89999999999998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10</v>
      </c>
      <c r="K96" s="17">
        <v>0</v>
      </c>
      <c r="L96" s="17">
        <v>0</v>
      </c>
      <c r="M96" s="3">
        <f t="shared" si="7"/>
        <v>10</v>
      </c>
    </row>
    <row r="97" spans="2:13" s="20" customFormat="1">
      <c r="B97" s="21">
        <f t="shared" si="4"/>
        <v>291.39999999999998</v>
      </c>
      <c r="C97" s="25">
        <v>292.44</v>
      </c>
      <c r="D97" s="29">
        <f t="shared" si="6"/>
        <v>291.91999999999996</v>
      </c>
      <c r="E97" s="17">
        <v>0</v>
      </c>
      <c r="F97" s="17">
        <v>3</v>
      </c>
      <c r="G97" s="17">
        <v>0</v>
      </c>
      <c r="H97" s="17">
        <v>0</v>
      </c>
      <c r="I97" s="17">
        <v>0</v>
      </c>
      <c r="J97" s="17">
        <v>59</v>
      </c>
      <c r="K97" s="17">
        <v>0</v>
      </c>
      <c r="L97" s="17">
        <v>0</v>
      </c>
      <c r="M97" s="3">
        <f t="shared" si="7"/>
        <v>62</v>
      </c>
    </row>
    <row r="98" spans="2:13" s="20" customFormat="1">
      <c r="B98" s="21">
        <f t="shared" si="4"/>
        <v>292.44</v>
      </c>
      <c r="C98" s="25">
        <v>293.29000000000002</v>
      </c>
      <c r="D98" s="29">
        <f t="shared" si="6"/>
        <v>292.86500000000001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3">
        <f t="shared" si="7"/>
        <v>0</v>
      </c>
    </row>
    <row r="99" spans="2:13" s="20" customFormat="1">
      <c r="B99" s="21">
        <v>295.45999999999998</v>
      </c>
      <c r="C99" s="25">
        <f t="shared" si="5"/>
        <v>296.45999999999998</v>
      </c>
      <c r="D99" s="29">
        <f t="shared" si="6"/>
        <v>295.95999999999998</v>
      </c>
      <c r="E99" s="17">
        <v>0</v>
      </c>
      <c r="F99" s="17">
        <v>7</v>
      </c>
      <c r="G99" s="17">
        <v>0</v>
      </c>
      <c r="H99" s="17">
        <v>0</v>
      </c>
      <c r="I99" s="17">
        <v>0</v>
      </c>
      <c r="J99" s="17">
        <v>181</v>
      </c>
      <c r="K99" s="17">
        <v>0</v>
      </c>
      <c r="L99" s="17">
        <v>31</v>
      </c>
      <c r="M99" s="3">
        <f t="shared" si="7"/>
        <v>219</v>
      </c>
    </row>
    <row r="100" spans="2:13" s="20" customFormat="1">
      <c r="B100" s="21">
        <f t="shared" si="4"/>
        <v>296.45999999999998</v>
      </c>
      <c r="C100" s="25">
        <f t="shared" si="5"/>
        <v>297.45999999999998</v>
      </c>
      <c r="D100" s="29">
        <f t="shared" si="6"/>
        <v>296.95999999999998</v>
      </c>
      <c r="E100" s="17">
        <v>1</v>
      </c>
      <c r="F100" s="17">
        <v>0</v>
      </c>
      <c r="G100" s="17">
        <v>0</v>
      </c>
      <c r="H100" s="17">
        <v>0</v>
      </c>
      <c r="I100" s="17">
        <v>0</v>
      </c>
      <c r="J100" s="17">
        <v>124</v>
      </c>
      <c r="K100" s="17">
        <v>0</v>
      </c>
      <c r="L100" s="17">
        <v>6</v>
      </c>
      <c r="M100" s="3">
        <f t="shared" si="7"/>
        <v>131</v>
      </c>
    </row>
    <row r="101" spans="2:13" s="20" customFormat="1">
      <c r="B101" s="21">
        <f t="shared" si="4"/>
        <v>297.45999999999998</v>
      </c>
      <c r="C101" s="25">
        <f t="shared" si="5"/>
        <v>298.45999999999998</v>
      </c>
      <c r="D101" s="29">
        <f t="shared" si="6"/>
        <v>297.95999999999998</v>
      </c>
      <c r="E101" s="17">
        <v>3</v>
      </c>
      <c r="F101" s="17">
        <v>1</v>
      </c>
      <c r="G101" s="17">
        <v>0</v>
      </c>
      <c r="H101" s="17">
        <v>0</v>
      </c>
      <c r="I101" s="17">
        <v>0</v>
      </c>
      <c r="J101" s="17">
        <v>60</v>
      </c>
      <c r="K101" s="17">
        <v>0</v>
      </c>
      <c r="L101" s="17">
        <v>1</v>
      </c>
      <c r="M101" s="3">
        <f t="shared" si="7"/>
        <v>65</v>
      </c>
    </row>
    <row r="102" spans="2:13" s="20" customFormat="1">
      <c r="B102" s="21">
        <f t="shared" si="4"/>
        <v>298.45999999999998</v>
      </c>
      <c r="C102" s="25">
        <f t="shared" si="5"/>
        <v>299.45999999999998</v>
      </c>
      <c r="D102" s="29">
        <f t="shared" si="6"/>
        <v>298.95999999999998</v>
      </c>
      <c r="E102" s="17">
        <v>1</v>
      </c>
      <c r="F102" s="17">
        <v>0</v>
      </c>
      <c r="G102" s="17">
        <v>0</v>
      </c>
      <c r="H102" s="17">
        <v>0</v>
      </c>
      <c r="I102" s="17">
        <v>0</v>
      </c>
      <c r="J102" s="17">
        <v>66</v>
      </c>
      <c r="K102" s="17">
        <v>0</v>
      </c>
      <c r="L102" s="17">
        <v>0</v>
      </c>
      <c r="M102" s="3">
        <f t="shared" si="7"/>
        <v>67</v>
      </c>
    </row>
    <row r="103" spans="2:13" s="20" customFormat="1">
      <c r="B103" s="21">
        <f t="shared" si="4"/>
        <v>299.45999999999998</v>
      </c>
      <c r="C103" s="25">
        <v>300.45</v>
      </c>
      <c r="D103" s="29">
        <f t="shared" si="6"/>
        <v>299.95499999999998</v>
      </c>
      <c r="E103" s="17">
        <v>0</v>
      </c>
      <c r="F103" s="17">
        <v>5</v>
      </c>
      <c r="G103" s="17">
        <v>0</v>
      </c>
      <c r="H103" s="17">
        <v>0</v>
      </c>
      <c r="I103" s="17">
        <v>0</v>
      </c>
      <c r="J103" s="17">
        <v>43</v>
      </c>
      <c r="K103" s="17">
        <v>0</v>
      </c>
      <c r="L103" s="17">
        <v>0</v>
      </c>
      <c r="M103" s="3">
        <f t="shared" si="7"/>
        <v>48</v>
      </c>
    </row>
    <row r="104" spans="2:13" s="20" customFormat="1">
      <c r="B104" s="21"/>
      <c r="C104" s="21"/>
      <c r="D104" s="2" t="s">
        <v>2</v>
      </c>
      <c r="E104" s="2" t="s">
        <v>2</v>
      </c>
      <c r="F104" s="2" t="s">
        <v>2</v>
      </c>
      <c r="G104" s="2" t="s">
        <v>2</v>
      </c>
      <c r="H104" s="2" t="s">
        <v>2</v>
      </c>
      <c r="I104" s="2" t="s">
        <v>2</v>
      </c>
      <c r="J104" s="2" t="s">
        <v>2</v>
      </c>
      <c r="K104" s="2" t="s">
        <v>2</v>
      </c>
      <c r="L104" s="2" t="s">
        <v>1</v>
      </c>
      <c r="M104" s="2" t="s">
        <v>1</v>
      </c>
    </row>
    <row r="105" spans="2:13" s="20" customFormat="1">
      <c r="B105" s="21"/>
      <c r="C105" s="21"/>
      <c r="D105" s="2" t="s">
        <v>3</v>
      </c>
      <c r="E105" s="24">
        <f t="shared" ref="E105:M105" si="8">SUM(E7:E103)</f>
        <v>176</v>
      </c>
      <c r="F105" s="24">
        <f t="shared" si="8"/>
        <v>248</v>
      </c>
      <c r="G105" s="24">
        <f t="shared" si="8"/>
        <v>5</v>
      </c>
      <c r="H105" s="24">
        <f t="shared" si="8"/>
        <v>134</v>
      </c>
      <c r="I105" s="24">
        <f t="shared" si="8"/>
        <v>0</v>
      </c>
      <c r="J105" s="24">
        <f t="shared" si="8"/>
        <v>5223</v>
      </c>
      <c r="K105" s="24">
        <f t="shared" si="8"/>
        <v>0</v>
      </c>
      <c r="L105" s="24">
        <f t="shared" si="8"/>
        <v>624</v>
      </c>
      <c r="M105" s="24">
        <f t="shared" si="8"/>
        <v>6410</v>
      </c>
    </row>
    <row r="106" spans="2:13" s="20" customFormat="1">
      <c r="B106" s="21"/>
      <c r="C106" s="21"/>
      <c r="D106" s="22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2:13" s="20" customFormat="1">
      <c r="B107" s="21"/>
      <c r="C107" s="21"/>
      <c r="D107" s="22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2:13" s="20" customFormat="1">
      <c r="B108" s="21"/>
      <c r="C108" s="21"/>
      <c r="D108" s="22"/>
      <c r="E108" s="17"/>
      <c r="F108" s="17"/>
      <c r="G108" s="17"/>
      <c r="H108" s="17"/>
      <c r="I108" s="17"/>
      <c r="J108" s="17"/>
      <c r="K108" s="17"/>
      <c r="L108" s="17"/>
      <c r="M108" s="3"/>
    </row>
    <row r="109" spans="2:13" s="20" customFormat="1">
      <c r="B109" s="21"/>
      <c r="C109" s="21"/>
      <c r="D109" s="22"/>
      <c r="E109" s="17"/>
      <c r="F109" s="17"/>
      <c r="G109" s="17"/>
      <c r="H109" s="17"/>
      <c r="I109" s="17"/>
      <c r="J109" s="17"/>
      <c r="K109" s="17"/>
      <c r="L109" s="17"/>
      <c r="M109" s="3"/>
    </row>
    <row r="110" spans="2:13" s="20" customFormat="1">
      <c r="B110" s="21"/>
      <c r="C110" s="21"/>
      <c r="D110" s="22"/>
      <c r="E110" s="17"/>
      <c r="F110" s="17"/>
      <c r="G110" s="17"/>
      <c r="H110" s="17"/>
      <c r="I110" s="17"/>
      <c r="J110" s="17"/>
      <c r="K110" s="17"/>
      <c r="L110" s="17"/>
      <c r="M110" s="3"/>
    </row>
    <row r="111" spans="2:13" s="20" customFormat="1">
      <c r="B111" s="21"/>
      <c r="C111" s="21"/>
      <c r="D111" s="22"/>
      <c r="E111" s="17"/>
      <c r="F111" s="17"/>
      <c r="G111" s="17"/>
      <c r="H111" s="17"/>
      <c r="I111" s="17"/>
      <c r="J111" s="17"/>
      <c r="K111" s="17"/>
      <c r="L111" s="17"/>
      <c r="M111" s="3"/>
    </row>
    <row r="112" spans="2:13" s="20" customFormat="1">
      <c r="B112" s="21"/>
      <c r="C112" s="21"/>
      <c r="D112" s="22"/>
      <c r="E112" s="17"/>
      <c r="F112" s="17"/>
      <c r="G112" s="17"/>
      <c r="H112" s="17"/>
      <c r="I112" s="17"/>
      <c r="J112" s="17"/>
      <c r="K112" s="17"/>
      <c r="L112" s="17"/>
      <c r="M112" s="3"/>
    </row>
    <row r="113" spans="2:13" s="20" customFormat="1">
      <c r="B113" s="21"/>
      <c r="C113" s="21"/>
      <c r="D113" s="22"/>
      <c r="E113" s="17"/>
      <c r="F113" s="17"/>
      <c r="G113" s="17"/>
      <c r="H113" s="17"/>
      <c r="I113" s="17"/>
      <c r="J113" s="17"/>
      <c r="K113" s="17"/>
      <c r="L113" s="17"/>
      <c r="M113" s="3"/>
    </row>
    <row r="114" spans="2:13" s="20" customFormat="1">
      <c r="B114" s="21"/>
      <c r="C114" s="21"/>
      <c r="D114" s="22"/>
      <c r="E114" s="17"/>
      <c r="F114" s="17"/>
      <c r="G114" s="17"/>
      <c r="H114" s="17"/>
      <c r="I114" s="17"/>
      <c r="J114" s="17"/>
      <c r="K114" s="17"/>
      <c r="L114" s="17"/>
      <c r="M114" s="3"/>
    </row>
    <row r="115" spans="2:13" s="20" customFormat="1">
      <c r="B115" s="21"/>
      <c r="C115" s="21"/>
      <c r="D115" s="22"/>
      <c r="E115" s="17"/>
      <c r="F115" s="17"/>
      <c r="G115" s="17"/>
      <c r="H115" s="17"/>
      <c r="I115" s="17"/>
      <c r="J115" s="17"/>
      <c r="K115" s="17"/>
      <c r="L115" s="17"/>
      <c r="M115" s="3"/>
    </row>
    <row r="116" spans="2:13" s="20" customFormat="1">
      <c r="B116" s="21"/>
      <c r="C116" s="21"/>
      <c r="D116" s="22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2:13" s="20" customFormat="1">
      <c r="B117" s="21"/>
      <c r="C117" s="21"/>
      <c r="D117" s="22"/>
      <c r="E117" s="17"/>
      <c r="F117" s="17"/>
      <c r="G117" s="17"/>
      <c r="H117" s="17"/>
      <c r="I117" s="17"/>
      <c r="J117" s="17"/>
      <c r="K117" s="17"/>
      <c r="L117" s="17"/>
      <c r="M117" s="3"/>
    </row>
    <row r="118" spans="2:13" s="20" customFormat="1">
      <c r="B118" s="21"/>
      <c r="C118" s="21"/>
      <c r="D118" s="22"/>
      <c r="E118" s="17"/>
      <c r="F118" s="17"/>
      <c r="G118" s="17"/>
      <c r="H118" s="17"/>
      <c r="I118" s="17"/>
      <c r="J118" s="17"/>
      <c r="K118" s="17"/>
      <c r="L118" s="17"/>
      <c r="M118" s="3"/>
    </row>
    <row r="119" spans="2:13" s="20" customFormat="1">
      <c r="B119" s="21"/>
      <c r="C119" s="21"/>
      <c r="D119" s="22"/>
      <c r="E119" s="17"/>
      <c r="F119" s="17"/>
      <c r="G119" s="17"/>
      <c r="H119" s="17"/>
      <c r="I119" s="17"/>
      <c r="J119" s="17"/>
      <c r="K119" s="17"/>
      <c r="L119" s="17"/>
      <c r="M119" s="3"/>
    </row>
    <row r="120" spans="2:13" s="20" customFormat="1">
      <c r="B120" s="21"/>
      <c r="C120" s="21"/>
      <c r="D120" s="22"/>
      <c r="E120" s="17"/>
      <c r="F120" s="17"/>
      <c r="G120" s="17"/>
      <c r="H120" s="17"/>
      <c r="I120" s="17"/>
      <c r="J120" s="17"/>
      <c r="K120" s="17"/>
      <c r="L120" s="17"/>
      <c r="M120" s="3"/>
    </row>
    <row r="121" spans="2:13" s="20" customFormat="1">
      <c r="B121" s="21"/>
      <c r="C121" s="21"/>
      <c r="D121" s="22"/>
      <c r="E121" s="17"/>
      <c r="F121" s="17"/>
      <c r="G121" s="17"/>
      <c r="H121" s="17"/>
      <c r="I121" s="17"/>
      <c r="J121" s="17"/>
      <c r="K121" s="17"/>
      <c r="L121" s="17"/>
      <c r="M121" s="3"/>
    </row>
    <row r="122" spans="2:13" s="20" customFormat="1">
      <c r="B122" s="21"/>
      <c r="C122" s="21"/>
      <c r="D122" s="22"/>
      <c r="E122" s="17"/>
      <c r="F122" s="17"/>
      <c r="G122" s="17"/>
      <c r="H122" s="17"/>
      <c r="I122" s="17"/>
      <c r="J122" s="17"/>
      <c r="K122" s="17"/>
      <c r="L122" s="17"/>
      <c r="M122" s="3"/>
    </row>
    <row r="123" spans="2:13" s="20" customFormat="1">
      <c r="B123" s="21"/>
      <c r="C123" s="21"/>
      <c r="D123" s="22"/>
      <c r="E123" s="17"/>
      <c r="F123" s="17"/>
      <c r="G123" s="17"/>
      <c r="H123" s="17"/>
      <c r="I123" s="17"/>
      <c r="J123" s="17"/>
      <c r="K123" s="17"/>
      <c r="L123" s="17"/>
      <c r="M123" s="3"/>
    </row>
    <row r="124" spans="2:13" s="20" customFormat="1">
      <c r="B124" s="21"/>
      <c r="C124" s="21"/>
      <c r="D124" s="22"/>
      <c r="E124" s="17"/>
      <c r="F124" s="17"/>
      <c r="G124" s="17"/>
      <c r="H124" s="17"/>
      <c r="I124" s="17"/>
      <c r="J124" s="17"/>
      <c r="K124" s="17"/>
      <c r="L124" s="17"/>
      <c r="M124" s="3"/>
    </row>
    <row r="125" spans="2:13" s="20" customFormat="1">
      <c r="B125" s="21"/>
      <c r="C125" s="21"/>
      <c r="D125" s="22"/>
      <c r="E125" s="17"/>
      <c r="F125" s="17"/>
      <c r="G125" s="17"/>
      <c r="H125" s="17"/>
      <c r="I125" s="17"/>
      <c r="J125" s="17"/>
      <c r="K125" s="17"/>
      <c r="L125" s="17"/>
      <c r="M125" s="3"/>
    </row>
    <row r="126" spans="2:13" s="20" customFormat="1">
      <c r="B126" s="21"/>
      <c r="C126" s="21"/>
      <c r="D126" s="22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2:13" s="20" customFormat="1">
      <c r="B127" s="21"/>
      <c r="C127" s="21"/>
      <c r="D127" s="22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2:13" s="20" customFormat="1">
      <c r="B128" s="21"/>
      <c r="C128" s="21"/>
      <c r="D128" s="22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2:13" s="20" customFormat="1">
      <c r="B129" s="21"/>
      <c r="C129" s="21"/>
      <c r="D129" s="22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2:13" s="20" customFormat="1">
      <c r="B130" s="21"/>
      <c r="C130" s="21"/>
      <c r="D130" s="22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2:13" s="20" customFormat="1">
      <c r="B131" s="21"/>
      <c r="C131" s="21"/>
      <c r="D131" s="22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2:13" s="20" customFormat="1">
      <c r="B132" s="21"/>
      <c r="C132" s="21"/>
      <c r="D132" s="22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2:13" s="20" customFormat="1">
      <c r="B133" s="21"/>
      <c r="C133" s="21"/>
      <c r="D133" s="22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2:13" s="20" customFormat="1">
      <c r="B134" s="21"/>
      <c r="C134" s="21"/>
      <c r="D134" s="22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2:13" s="20" customFormat="1">
      <c r="B135" s="21"/>
      <c r="C135" s="21"/>
      <c r="D135" s="22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2:13" s="20" customFormat="1">
      <c r="B136" s="21"/>
      <c r="C136" s="21"/>
      <c r="D136" s="22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2:13" s="20" customFormat="1">
      <c r="B137" s="21"/>
      <c r="C137" s="21"/>
      <c r="D137" s="22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2:13" s="20" customFormat="1">
      <c r="B138" s="21"/>
      <c r="C138" s="21"/>
      <c r="D138" s="22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2:13" s="20" customFormat="1">
      <c r="B139" s="21"/>
      <c r="C139" s="21"/>
      <c r="D139" s="22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2:13" s="20" customFormat="1">
      <c r="B140" s="21"/>
      <c r="C140" s="21"/>
      <c r="D140" s="22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2:13" s="20" customFormat="1">
      <c r="B141" s="21"/>
      <c r="C141" s="21"/>
      <c r="D141" s="22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2:13" s="20" customFormat="1">
      <c r="B142" s="21"/>
      <c r="C142" s="21"/>
      <c r="D142" s="22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2:13" s="20" customFormat="1">
      <c r="B143" s="21"/>
      <c r="C143" s="21"/>
      <c r="D143" s="22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2:13" s="20" customFormat="1">
      <c r="B144" s="21"/>
      <c r="C144" s="21"/>
      <c r="D144" s="22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2:13" s="20" customFormat="1">
      <c r="B145" s="21"/>
      <c r="C145" s="21"/>
      <c r="D145" s="22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2:13" s="20" customFormat="1">
      <c r="B146" s="21"/>
      <c r="C146" s="21"/>
      <c r="D146" s="22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2:13" s="20" customFormat="1">
      <c r="B147" s="21"/>
      <c r="C147" s="21"/>
      <c r="D147" s="22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2:13" s="20" customFormat="1">
      <c r="B148" s="21"/>
      <c r="C148" s="21"/>
      <c r="D148" s="22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2:13" s="20" customFormat="1">
      <c r="B149" s="21"/>
      <c r="C149" s="21"/>
      <c r="D149" s="22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2:13" s="20" customFormat="1">
      <c r="B150" s="21"/>
      <c r="C150" s="21"/>
      <c r="D150" s="22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2:13" s="20" customFormat="1">
      <c r="B151" s="21"/>
      <c r="C151" s="21"/>
      <c r="D151" s="22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2:13" s="20" customFormat="1">
      <c r="B152" s="21"/>
      <c r="C152" s="21"/>
      <c r="D152" s="22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2:13" s="20" customFormat="1">
      <c r="B153" s="21"/>
      <c r="C153" s="21"/>
      <c r="D153" s="22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2:13" s="20" customFormat="1">
      <c r="B154" s="21"/>
      <c r="C154" s="21"/>
      <c r="D154" s="22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2:13" s="20" customFormat="1">
      <c r="B155" s="21"/>
      <c r="C155" s="21"/>
      <c r="D155" s="22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2:13" s="20" customFormat="1">
      <c r="B156" s="21"/>
      <c r="C156" s="21"/>
      <c r="D156" s="22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2:13" s="20" customFormat="1">
      <c r="B157" s="21"/>
      <c r="C157" s="21"/>
      <c r="D157" s="22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2:13" s="20" customFormat="1">
      <c r="B158" s="21"/>
      <c r="C158" s="21"/>
      <c r="D158" s="22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2:13" s="20" customFormat="1">
      <c r="B159" s="21"/>
      <c r="C159" s="21"/>
      <c r="D159" s="22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2:13" s="20" customFormat="1">
      <c r="B160" s="21"/>
      <c r="C160" s="21"/>
      <c r="D160" s="22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2:13" s="20" customFormat="1">
      <c r="B161" s="21"/>
      <c r="C161" s="21"/>
      <c r="D161" s="22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2:13" s="20" customFormat="1">
      <c r="B162" s="21"/>
      <c r="C162" s="21"/>
      <c r="D162" s="22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2:13" s="20" customFormat="1">
      <c r="B163" s="21"/>
      <c r="C163" s="21"/>
      <c r="D163" s="22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2:13" s="20" customFormat="1">
      <c r="B164" s="21"/>
      <c r="C164" s="21"/>
      <c r="D164" s="22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2:13" s="20" customFormat="1">
      <c r="B165" s="21"/>
      <c r="C165" s="21"/>
      <c r="D165" s="22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2:13" s="20" customFormat="1">
      <c r="B166" s="21"/>
      <c r="C166" s="21"/>
      <c r="D166" s="22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2:13" s="20" customFormat="1">
      <c r="B167" s="21"/>
      <c r="C167" s="21"/>
      <c r="D167" s="22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2:13" s="20" customFormat="1">
      <c r="B168" s="21"/>
      <c r="C168" s="21"/>
      <c r="D168" s="22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2:13" s="20" customFormat="1">
      <c r="B169" s="21"/>
      <c r="C169" s="21"/>
      <c r="D169" s="22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2:13" s="20" customFormat="1">
      <c r="B170" s="21"/>
      <c r="C170" s="21"/>
      <c r="D170" s="22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2:13" s="20" customFormat="1">
      <c r="B171" s="21"/>
      <c r="C171" s="21"/>
      <c r="D171" s="22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2:13" s="20" customFormat="1">
      <c r="B172" s="21"/>
      <c r="C172" s="21"/>
      <c r="D172" s="22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2:13" s="20" customFormat="1">
      <c r="B173" s="21"/>
      <c r="C173" s="21"/>
      <c r="D173" s="22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2:13" s="20" customFormat="1">
      <c r="B174" s="21"/>
      <c r="C174" s="21"/>
      <c r="D174" s="22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2:13" s="20" customFormat="1">
      <c r="B175" s="21"/>
      <c r="C175" s="21"/>
      <c r="D175" s="22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2:13" s="20" customFormat="1">
      <c r="B176" s="21"/>
      <c r="C176" s="21"/>
      <c r="D176" s="22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2:13" s="20" customFormat="1">
      <c r="B177" s="21"/>
      <c r="C177" s="21"/>
      <c r="D177" s="22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2:13" s="20" customFormat="1">
      <c r="B178" s="21"/>
      <c r="C178" s="21"/>
      <c r="D178" s="22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2:13" s="20" customFormat="1">
      <c r="B179" s="21"/>
      <c r="C179" s="21"/>
      <c r="D179" s="22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2:13" s="20" customFormat="1">
      <c r="B180" s="21"/>
      <c r="C180" s="21"/>
      <c r="D180" s="22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2:13" s="20" customFormat="1">
      <c r="B181" s="21"/>
      <c r="C181" s="21"/>
      <c r="D181" s="22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2:13" s="20" customFormat="1">
      <c r="B182" s="21"/>
      <c r="C182" s="21"/>
      <c r="D182" s="22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2:13" s="20" customFormat="1">
      <c r="B183" s="21"/>
      <c r="C183" s="21"/>
      <c r="D183" s="22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2:13" s="20" customFormat="1">
      <c r="B184" s="21"/>
      <c r="C184" s="21"/>
      <c r="D184" s="22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2:13" s="20" customFormat="1">
      <c r="B185" s="21"/>
      <c r="C185" s="21"/>
      <c r="D185" s="22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2:13" s="20" customFormat="1">
      <c r="B186" s="21"/>
      <c r="C186" s="21"/>
      <c r="D186" s="22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2:13" s="20" customFormat="1">
      <c r="B187" s="21"/>
      <c r="C187" s="21"/>
      <c r="D187" s="22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2:13" s="20" customFormat="1">
      <c r="B188" s="21"/>
      <c r="C188" s="21"/>
      <c r="D188" s="22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2:13" s="20" customFormat="1">
      <c r="B189" s="21"/>
      <c r="C189" s="21"/>
      <c r="D189" s="22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2:13" s="20" customFormat="1">
      <c r="B190" s="21"/>
      <c r="C190" s="21"/>
      <c r="D190" s="22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2:13" s="20" customFormat="1">
      <c r="B191" s="21"/>
      <c r="C191" s="21"/>
      <c r="D191" s="22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2:13" s="20" customFormat="1">
      <c r="B192" s="21"/>
      <c r="C192" s="21"/>
      <c r="D192" s="22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2:13" s="20" customFormat="1">
      <c r="B193" s="21"/>
      <c r="C193" s="21"/>
      <c r="D193" s="22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2:13" s="20" customFormat="1">
      <c r="B194" s="21"/>
      <c r="C194" s="21"/>
      <c r="D194" s="22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2:13" s="20" customFormat="1">
      <c r="B195" s="21"/>
      <c r="C195" s="21"/>
      <c r="D195" s="22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2:13" s="20" customFormat="1">
      <c r="B196" s="21"/>
      <c r="C196" s="21"/>
      <c r="D196" s="22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2:13" s="20" customFormat="1">
      <c r="B197" s="21"/>
      <c r="C197" s="21"/>
      <c r="D197" s="22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2:13" s="20" customFormat="1">
      <c r="B198" s="21"/>
      <c r="C198" s="21"/>
      <c r="D198" s="22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2:13" s="20" customFormat="1">
      <c r="B199" s="21"/>
      <c r="C199" s="21"/>
      <c r="D199" s="22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2:13" s="20" customFormat="1">
      <c r="B200" s="21"/>
      <c r="C200" s="21"/>
      <c r="D200" s="22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2:13" s="20" customFormat="1">
      <c r="B201" s="21"/>
      <c r="C201" s="21"/>
      <c r="D201" s="22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2:13" s="20" customFormat="1">
      <c r="B202" s="21"/>
      <c r="C202" s="21"/>
      <c r="D202" s="22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2:13" s="20" customFormat="1">
      <c r="B203" s="21"/>
      <c r="C203" s="21"/>
      <c r="D203" s="22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2:13" s="20" customFormat="1">
      <c r="B204" s="21"/>
      <c r="C204" s="21"/>
      <c r="D204" s="22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2:13" s="20" customFormat="1">
      <c r="B205" s="21"/>
      <c r="C205" s="21"/>
      <c r="D205" s="22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2:13" s="20" customFormat="1">
      <c r="B206" s="21"/>
      <c r="C206" s="21"/>
      <c r="D206" s="22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2:13" s="20" customFormat="1">
      <c r="B207" s="21"/>
      <c r="C207" s="21"/>
      <c r="D207" s="22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2:13" s="20" customFormat="1">
      <c r="B208" s="21"/>
      <c r="C208" s="21"/>
      <c r="D208" s="22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2:13" s="20" customFormat="1">
      <c r="B209" s="21"/>
      <c r="C209" s="21"/>
      <c r="D209" s="22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2:13" s="20" customFormat="1">
      <c r="B210" s="21"/>
      <c r="C210" s="21"/>
      <c r="D210" s="22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2:13" s="20" customFormat="1">
      <c r="B211" s="21"/>
      <c r="C211" s="21"/>
      <c r="D211" s="22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2:13" s="20" customFormat="1">
      <c r="B212" s="21"/>
      <c r="C212" s="21"/>
      <c r="D212" s="22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2:13" s="20" customFormat="1">
      <c r="B213" s="21"/>
      <c r="C213" s="21"/>
      <c r="D213" s="22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2:13" s="20" customFormat="1">
      <c r="B214" s="21"/>
      <c r="C214" s="21"/>
      <c r="D214" s="22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2:13" s="20" customFormat="1">
      <c r="B215" s="21"/>
      <c r="C215" s="21"/>
      <c r="D215" s="22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2:13" s="20" customFormat="1">
      <c r="B216" s="21"/>
      <c r="C216" s="21"/>
      <c r="D216" s="22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2:13" s="20" customFormat="1">
      <c r="B217" s="21"/>
      <c r="C217" s="21"/>
      <c r="D217" s="22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2:13" s="20" customFormat="1">
      <c r="B218" s="21"/>
      <c r="C218" s="21"/>
      <c r="D218" s="22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2:13" s="20" customFormat="1">
      <c r="B219" s="21"/>
      <c r="C219" s="21"/>
      <c r="D219" s="22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2:13" s="20" customFormat="1">
      <c r="B220" s="21"/>
      <c r="C220" s="21"/>
      <c r="D220" s="22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2:13" s="20" customFormat="1">
      <c r="B221" s="21"/>
      <c r="C221" s="21"/>
      <c r="D221" s="22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2:13" s="20" customFormat="1">
      <c r="B222" s="21"/>
      <c r="C222" s="21"/>
      <c r="D222" s="22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2:13" s="20" customFormat="1">
      <c r="B223" s="21"/>
      <c r="C223" s="21"/>
      <c r="D223" s="22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2:13" s="20" customFormat="1">
      <c r="B224" s="21"/>
      <c r="C224" s="21"/>
      <c r="D224" s="22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2:13" s="20" customFormat="1">
      <c r="B225" s="21"/>
      <c r="C225" s="21"/>
      <c r="D225" s="22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2:13" s="20" customFormat="1">
      <c r="B226" s="21"/>
      <c r="C226" s="21"/>
      <c r="D226" s="22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2:13" s="20" customFormat="1">
      <c r="B227" s="21"/>
      <c r="C227" s="21"/>
      <c r="D227" s="22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2:13" s="20" customFormat="1">
      <c r="B228" s="21"/>
      <c r="C228" s="21"/>
      <c r="D228" s="22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2:13" s="20" customFormat="1">
      <c r="B229" s="21"/>
      <c r="C229" s="21"/>
      <c r="D229" s="22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2:13" s="20" customFormat="1">
      <c r="B230" s="21"/>
      <c r="C230" s="21"/>
      <c r="D230" s="22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2:13" s="20" customFormat="1">
      <c r="B231" s="21"/>
      <c r="C231" s="21"/>
      <c r="D231" s="22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2:13" s="20" customFormat="1">
      <c r="B232" s="21"/>
      <c r="C232" s="21"/>
      <c r="D232" s="22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2:13" s="20" customFormat="1">
      <c r="B233" s="21"/>
      <c r="C233" s="21"/>
      <c r="D233" s="22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2:13" s="20" customFormat="1">
      <c r="B234" s="21"/>
      <c r="C234" s="21"/>
      <c r="D234" s="22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2:13" s="20" customFormat="1">
      <c r="B235" s="21"/>
      <c r="C235" s="21"/>
      <c r="D235" s="22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2:13" s="20" customFormat="1">
      <c r="B236" s="21"/>
      <c r="C236" s="21"/>
      <c r="D236" s="22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2:13" s="20" customFormat="1">
      <c r="B237" s="21"/>
      <c r="C237" s="21"/>
      <c r="D237" s="22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2:13" s="20" customFormat="1">
      <c r="B238" s="21"/>
      <c r="C238" s="21"/>
      <c r="D238" s="22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2:13" s="20" customFormat="1">
      <c r="B239" s="21"/>
      <c r="C239" s="21"/>
      <c r="D239" s="22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2:13" s="20" customFormat="1">
      <c r="B240" s="21"/>
      <c r="C240" s="21"/>
      <c r="D240" s="22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2:13" s="20" customFormat="1">
      <c r="B241" s="21"/>
      <c r="C241" s="21"/>
      <c r="D241" s="22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2:13" s="20" customFormat="1">
      <c r="B242" s="21"/>
      <c r="C242" s="21"/>
      <c r="D242" s="22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2:13" s="20" customFormat="1">
      <c r="B243" s="21"/>
      <c r="C243" s="21"/>
      <c r="D243" s="22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2:13" s="20" customFormat="1">
      <c r="B244" s="21"/>
      <c r="C244" s="21"/>
      <c r="D244" s="22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2:13" s="20" customFormat="1">
      <c r="B245" s="21"/>
      <c r="C245" s="21"/>
      <c r="D245" s="22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2:13" s="20" customFormat="1">
      <c r="B246" s="21"/>
      <c r="C246" s="21"/>
      <c r="D246" s="22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2:13" s="20" customFormat="1">
      <c r="B247" s="21"/>
      <c r="C247" s="21"/>
      <c r="D247" s="22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2:13" s="20" customFormat="1">
      <c r="B248" s="21"/>
      <c r="C248" s="21"/>
      <c r="D248" s="22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2:13" s="20" customFormat="1">
      <c r="B249" s="21"/>
      <c r="C249" s="21"/>
      <c r="D249" s="22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2:13" s="20" customFormat="1">
      <c r="B250" s="21"/>
      <c r="C250" s="21"/>
      <c r="D250" s="22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2:13" s="20" customFormat="1">
      <c r="B251" s="21"/>
      <c r="C251" s="21"/>
      <c r="D251" s="22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2:13" s="20" customFormat="1">
      <c r="B252" s="21"/>
      <c r="C252" s="21"/>
      <c r="D252" s="22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2:13" s="20" customFormat="1">
      <c r="B253" s="21"/>
      <c r="C253" s="21"/>
      <c r="D253" s="22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2:13" s="20" customFormat="1">
      <c r="B254" s="21"/>
      <c r="C254" s="21"/>
      <c r="D254" s="22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2:13" s="20" customFormat="1">
      <c r="B255" s="21"/>
      <c r="C255" s="21"/>
      <c r="D255" s="22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2:13" s="20" customFormat="1">
      <c r="B256" s="21"/>
      <c r="C256" s="21"/>
      <c r="D256" s="22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2:13" s="20" customFormat="1">
      <c r="B257" s="21"/>
      <c r="C257" s="21"/>
      <c r="D257" s="22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2:13" s="20" customFormat="1">
      <c r="B258" s="21"/>
      <c r="C258" s="21"/>
      <c r="D258" s="22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2:13" s="20" customFormat="1">
      <c r="B259" s="21"/>
      <c r="C259" s="21"/>
      <c r="D259" s="22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2:13" s="20" customFormat="1">
      <c r="B260" s="21"/>
      <c r="C260" s="21"/>
      <c r="D260" s="22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2:13" s="20" customFormat="1">
      <c r="B261" s="21"/>
      <c r="C261" s="21"/>
      <c r="D261" s="22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2:13" s="20" customFormat="1">
      <c r="B262" s="21"/>
      <c r="C262" s="21"/>
      <c r="D262" s="22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2:13" s="20" customFormat="1">
      <c r="B263" s="21"/>
      <c r="C263" s="21"/>
      <c r="D263" s="22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2:13" s="20" customFormat="1">
      <c r="B264" s="21"/>
      <c r="C264" s="21"/>
      <c r="D264" s="22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2:13" s="20" customFormat="1">
      <c r="B265" s="21"/>
      <c r="C265" s="21"/>
      <c r="D265" s="22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2:13" s="20" customFormat="1">
      <c r="B266" s="21"/>
      <c r="C266" s="21"/>
      <c r="D266" s="22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2:13" s="20" customFormat="1">
      <c r="B267" s="21"/>
      <c r="C267" s="21"/>
      <c r="D267" s="22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2:13" s="20" customFormat="1">
      <c r="B268" s="21"/>
      <c r="C268" s="21"/>
      <c r="D268" s="22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2:13" s="20" customFormat="1">
      <c r="B269" s="21"/>
      <c r="C269" s="21"/>
      <c r="D269" s="22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2:13" s="20" customFormat="1">
      <c r="B270" s="21"/>
      <c r="C270" s="21"/>
      <c r="D270" s="22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2:13" s="20" customFormat="1">
      <c r="B271" s="21"/>
      <c r="C271" s="21"/>
      <c r="D271" s="22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2:13" s="20" customFormat="1">
      <c r="B272" s="21"/>
      <c r="C272" s="21"/>
      <c r="D272" s="22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2:13" s="20" customFormat="1">
      <c r="B273" s="21"/>
      <c r="C273" s="21"/>
      <c r="D273" s="22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2:13" s="20" customFormat="1">
      <c r="B274" s="21"/>
      <c r="C274" s="21"/>
      <c r="D274" s="22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2:13" s="20" customFormat="1">
      <c r="B275" s="21"/>
      <c r="C275" s="21"/>
      <c r="D275" s="22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2:13" s="20" customFormat="1">
      <c r="B276" s="21"/>
      <c r="C276" s="21"/>
      <c r="D276" s="22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2:13" s="20" customFormat="1">
      <c r="B277" s="21"/>
      <c r="C277" s="21"/>
      <c r="D277" s="22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2:13" s="20" customFormat="1">
      <c r="B278" s="21"/>
      <c r="C278" s="21"/>
      <c r="D278" s="22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2:13" s="20" customFormat="1">
      <c r="B279" s="21"/>
      <c r="C279" s="21"/>
      <c r="D279" s="22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2:13" s="20" customFormat="1">
      <c r="B280" s="21"/>
      <c r="C280" s="21"/>
      <c r="D280" s="22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2:13" s="20" customFormat="1">
      <c r="B281" s="21"/>
      <c r="C281" s="21"/>
      <c r="D281" s="22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2:13" s="20" customFormat="1">
      <c r="B282" s="21"/>
      <c r="C282" s="21"/>
      <c r="D282" s="22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2:13" s="20" customFormat="1">
      <c r="B283" s="21"/>
      <c r="C283" s="21"/>
      <c r="D283" s="22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2:13" s="20" customFormat="1">
      <c r="B284" s="21"/>
      <c r="C284" s="21"/>
      <c r="D284" s="22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2:13" s="20" customFormat="1">
      <c r="B285" s="21"/>
      <c r="C285" s="21"/>
      <c r="D285" s="22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2:13" s="20" customFormat="1">
      <c r="B286" s="21"/>
      <c r="C286" s="21"/>
      <c r="D286" s="22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2:13" s="20" customFormat="1">
      <c r="B287" s="21"/>
      <c r="C287" s="21"/>
      <c r="D287" s="22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2:13" s="20" customFormat="1">
      <c r="B288" s="21"/>
      <c r="C288" s="21"/>
      <c r="D288" s="22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2:13" s="20" customFormat="1">
      <c r="B289" s="21"/>
      <c r="C289" s="21"/>
      <c r="D289" s="22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2:13" s="20" customFormat="1">
      <c r="B290" s="21"/>
      <c r="C290" s="21"/>
      <c r="D290" s="22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2:13" s="20" customFormat="1">
      <c r="B291" s="21"/>
      <c r="C291" s="21"/>
      <c r="D291" s="22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2:13" s="20" customFormat="1">
      <c r="B292" s="21"/>
      <c r="C292" s="21"/>
      <c r="D292" s="22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2:13" s="20" customFormat="1">
      <c r="B293" s="21"/>
      <c r="C293" s="21"/>
      <c r="D293" s="22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2:13" s="20" customFormat="1">
      <c r="B294" s="21"/>
      <c r="C294" s="21"/>
      <c r="D294" s="22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2:13" s="20" customFormat="1">
      <c r="B295" s="21"/>
      <c r="C295" s="21"/>
      <c r="D295" s="22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2:13" s="20" customFormat="1">
      <c r="B296" s="21"/>
      <c r="C296" s="21"/>
      <c r="D296" s="22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2:13" s="20" customFormat="1">
      <c r="B297" s="21"/>
      <c r="C297" s="21"/>
      <c r="D297" s="22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2:13" s="20" customFormat="1">
      <c r="B298" s="21"/>
      <c r="C298" s="21"/>
      <c r="D298" s="22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2:13" s="20" customFormat="1">
      <c r="B299" s="21"/>
      <c r="C299" s="21"/>
      <c r="D299" s="22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2:13" s="20" customFormat="1">
      <c r="B300" s="21"/>
      <c r="C300" s="21"/>
      <c r="D300" s="22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2:13" s="20" customFormat="1">
      <c r="B301" s="21"/>
      <c r="C301" s="21"/>
      <c r="D301" s="22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2:13" s="20" customFormat="1">
      <c r="B302" s="21"/>
      <c r="C302" s="21"/>
      <c r="D302" s="22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2:13" s="20" customFormat="1">
      <c r="B303" s="21"/>
      <c r="C303" s="21"/>
      <c r="D303" s="22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2:13" s="20" customFormat="1">
      <c r="B304" s="21"/>
      <c r="C304" s="21"/>
      <c r="D304" s="22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2:13" s="20" customFormat="1">
      <c r="B305" s="21"/>
      <c r="C305" s="21"/>
      <c r="D305" s="22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2:13" s="20" customFormat="1">
      <c r="B306" s="21"/>
      <c r="C306" s="21"/>
      <c r="D306" s="22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2:13" s="20" customFormat="1">
      <c r="B307" s="21"/>
      <c r="C307" s="21"/>
      <c r="D307" s="22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2:13" s="20" customFormat="1">
      <c r="B308" s="21"/>
      <c r="C308" s="21"/>
      <c r="D308" s="22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2:13" s="20" customFormat="1">
      <c r="B309" s="21"/>
      <c r="C309" s="21"/>
      <c r="D309" s="22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2:13" s="20" customFormat="1">
      <c r="B310" s="21"/>
      <c r="C310" s="21"/>
      <c r="D310" s="22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2:13" s="20" customFormat="1">
      <c r="B311" s="21"/>
      <c r="C311" s="21"/>
      <c r="D311" s="22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2:13" s="20" customFormat="1">
      <c r="B312" s="21"/>
      <c r="C312" s="21"/>
      <c r="D312" s="22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2:13" s="20" customFormat="1">
      <c r="B313" s="21"/>
      <c r="C313" s="21"/>
      <c r="D313" s="22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2:13" s="20" customFormat="1">
      <c r="B314" s="21"/>
      <c r="C314" s="21"/>
      <c r="D314" s="22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2:13" s="20" customFormat="1">
      <c r="B315" s="21"/>
      <c r="C315" s="21"/>
      <c r="D315" s="22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2:13" s="20" customFormat="1">
      <c r="B316" s="21"/>
      <c r="C316" s="21"/>
      <c r="D316" s="22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2:13" s="20" customFormat="1">
      <c r="B317" s="21"/>
      <c r="C317" s="21"/>
      <c r="D317" s="22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2:13" s="20" customFormat="1">
      <c r="B318" s="21"/>
      <c r="C318" s="21"/>
      <c r="D318" s="22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2:13" s="20" customFormat="1">
      <c r="B319" s="21"/>
      <c r="C319" s="21"/>
      <c r="D319" s="22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2:13" s="20" customFormat="1">
      <c r="B320" s="21"/>
      <c r="C320" s="21"/>
      <c r="D320" s="22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2:13" s="20" customFormat="1">
      <c r="B321" s="21"/>
      <c r="C321" s="21"/>
      <c r="D321" s="22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2:13" s="20" customFormat="1">
      <c r="B322" s="21"/>
      <c r="C322" s="21"/>
      <c r="D322" s="22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2:13" s="20" customFormat="1">
      <c r="B323" s="21"/>
      <c r="C323" s="21"/>
      <c r="D323" s="22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2:13" s="20" customFormat="1">
      <c r="B324" s="21"/>
      <c r="C324" s="21"/>
      <c r="D324" s="22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2:13" s="20" customFormat="1">
      <c r="B325" s="21"/>
      <c r="C325" s="21"/>
      <c r="D325" s="22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2:13" s="20" customFormat="1">
      <c r="B326" s="21"/>
      <c r="C326" s="21"/>
      <c r="D326" s="22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2:13" s="20" customFormat="1">
      <c r="B327" s="21"/>
      <c r="C327" s="21"/>
      <c r="D327" s="22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2:13" s="20" customFormat="1">
      <c r="B328" s="21"/>
      <c r="C328" s="21"/>
      <c r="D328" s="22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2:13" s="20" customFormat="1">
      <c r="B329" s="21"/>
      <c r="C329" s="21"/>
      <c r="D329" s="22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2:13" s="20" customFormat="1">
      <c r="B330" s="21"/>
      <c r="C330" s="21"/>
      <c r="D330" s="22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2:13" s="20" customFormat="1">
      <c r="B331" s="21"/>
      <c r="C331" s="21"/>
      <c r="D331" s="22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2:13" s="20" customFormat="1">
      <c r="B332" s="21"/>
      <c r="C332" s="21"/>
      <c r="D332" s="22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2:13" s="20" customFormat="1">
      <c r="B333" s="21"/>
      <c r="C333" s="21"/>
      <c r="D333" s="22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2:13" s="20" customFormat="1">
      <c r="B334" s="21"/>
      <c r="C334" s="21"/>
      <c r="D334" s="22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2:13" s="20" customFormat="1">
      <c r="B335" s="21"/>
      <c r="C335" s="21"/>
      <c r="D335" s="22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2:13" s="20" customFormat="1">
      <c r="B336" s="21"/>
      <c r="C336" s="21"/>
      <c r="D336" s="22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2:13" s="20" customFormat="1">
      <c r="B337" s="21"/>
      <c r="C337" s="21"/>
      <c r="D337" s="22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2:13" s="20" customFormat="1">
      <c r="B338" s="21"/>
      <c r="C338" s="21"/>
      <c r="D338" s="22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2:13" s="20" customFormat="1">
      <c r="B339" s="21"/>
      <c r="C339" s="21"/>
      <c r="D339" s="22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2:13" s="20" customFormat="1">
      <c r="B340" s="21"/>
      <c r="C340" s="21"/>
      <c r="D340" s="22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2:13" s="20" customFormat="1">
      <c r="B341" s="21"/>
      <c r="C341" s="21"/>
      <c r="D341" s="22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2:13" s="20" customFormat="1">
      <c r="B342" s="21"/>
      <c r="C342" s="21"/>
      <c r="D342" s="22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2:13" s="20" customFormat="1">
      <c r="B343" s="21"/>
      <c r="C343" s="21"/>
      <c r="D343" s="22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2:13" s="20" customFormat="1">
      <c r="B344" s="21"/>
      <c r="C344" s="21"/>
      <c r="D344" s="22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2:13" s="20" customFormat="1">
      <c r="B345" s="21"/>
      <c r="C345" s="21"/>
      <c r="D345" s="22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2:13" s="20" customFormat="1">
      <c r="B346" s="21"/>
      <c r="C346" s="21"/>
      <c r="D346" s="22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2:13" s="20" customFormat="1">
      <c r="B347" s="21"/>
      <c r="C347" s="21"/>
      <c r="D347" s="22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2:13" s="20" customFormat="1">
      <c r="B348" s="21"/>
      <c r="C348" s="21"/>
      <c r="D348" s="22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2:13" s="20" customFormat="1">
      <c r="B349" s="21"/>
      <c r="C349" s="21"/>
      <c r="D349" s="22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2:13" s="20" customFormat="1">
      <c r="B350" s="21"/>
      <c r="C350" s="21"/>
      <c r="D350" s="22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2:13" s="20" customFormat="1">
      <c r="B351" s="21"/>
      <c r="C351" s="21"/>
      <c r="D351" s="22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2:13" s="20" customFormat="1">
      <c r="B352" s="21"/>
      <c r="C352" s="21"/>
      <c r="D352" s="22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2:13" s="20" customFormat="1">
      <c r="B353" s="21"/>
      <c r="C353" s="21"/>
      <c r="D353" s="22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2:13" s="20" customFormat="1">
      <c r="B354" s="21"/>
      <c r="C354" s="21"/>
      <c r="D354" s="22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2:13" s="20" customFormat="1">
      <c r="B355" s="21"/>
      <c r="C355" s="21"/>
      <c r="D355" s="22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2:13" s="20" customFormat="1">
      <c r="B356" s="21"/>
      <c r="C356" s="21"/>
      <c r="D356" s="22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2:13" s="20" customFormat="1">
      <c r="B357" s="21"/>
      <c r="C357" s="21"/>
      <c r="D357" s="22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2:13" s="20" customFormat="1">
      <c r="B358" s="21"/>
      <c r="C358" s="21"/>
      <c r="D358" s="22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2:13" s="20" customFormat="1">
      <c r="B359" s="21"/>
      <c r="C359" s="21"/>
      <c r="D359" s="22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2:13" s="20" customFormat="1">
      <c r="B360" s="21"/>
      <c r="C360" s="21"/>
      <c r="D360" s="22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2:13" s="20" customFormat="1">
      <c r="B361" s="21"/>
      <c r="C361" s="21"/>
      <c r="D361" s="22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2:13" s="20" customFormat="1">
      <c r="B362" s="21"/>
      <c r="C362" s="21"/>
      <c r="D362" s="22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2:13" s="20" customFormat="1">
      <c r="B363" s="21"/>
      <c r="C363" s="21"/>
      <c r="D363" s="22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2:13" s="20" customFormat="1">
      <c r="B364" s="21"/>
      <c r="C364" s="21"/>
      <c r="D364" s="22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2:13" s="20" customFormat="1">
      <c r="B365" s="21"/>
      <c r="C365" s="21"/>
      <c r="D365" s="22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2:13" s="20" customFormat="1">
      <c r="B366" s="21"/>
      <c r="C366" s="21"/>
      <c r="D366" s="22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2:13" s="20" customFormat="1">
      <c r="B367" s="21"/>
      <c r="C367" s="21"/>
      <c r="D367" s="22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2:13" s="20" customFormat="1">
      <c r="B368" s="21"/>
      <c r="C368" s="21"/>
      <c r="D368" s="22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2:13" s="20" customFormat="1">
      <c r="B369" s="21"/>
      <c r="C369" s="21"/>
      <c r="D369" s="22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2:13" s="20" customFormat="1">
      <c r="B370" s="21"/>
      <c r="C370" s="21"/>
      <c r="D370" s="22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2:13" s="20" customFormat="1">
      <c r="B371" s="21"/>
      <c r="C371" s="21"/>
      <c r="D371" s="22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2:13" s="20" customFormat="1">
      <c r="B372" s="21"/>
      <c r="C372" s="21"/>
      <c r="D372" s="22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2:13" s="20" customFormat="1">
      <c r="B373" s="21"/>
      <c r="C373" s="21"/>
      <c r="D373" s="22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2:13" s="20" customFormat="1">
      <c r="B374" s="21"/>
      <c r="C374" s="21"/>
      <c r="D374" s="22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2:13" s="20" customFormat="1">
      <c r="B375" s="21"/>
      <c r="C375" s="21"/>
      <c r="D375" s="22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2:13" s="20" customFormat="1">
      <c r="B376" s="21"/>
      <c r="C376" s="21"/>
      <c r="D376" s="22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2:13" s="20" customFormat="1">
      <c r="B377" s="21"/>
      <c r="C377" s="21"/>
      <c r="D377" s="22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2:13" s="20" customFormat="1">
      <c r="B378" s="21"/>
      <c r="C378" s="21"/>
      <c r="D378" s="22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2:13" s="20" customFormat="1">
      <c r="B379" s="21"/>
      <c r="C379" s="21"/>
      <c r="D379" s="22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2:13" s="20" customFormat="1">
      <c r="B380" s="21"/>
      <c r="C380" s="21"/>
      <c r="D380" s="22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2:13" s="20" customFormat="1">
      <c r="B381" s="21"/>
      <c r="C381" s="21"/>
      <c r="D381" s="22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2:13" s="20" customFormat="1">
      <c r="B382" s="21"/>
      <c r="C382" s="21"/>
      <c r="D382" s="22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2:13" s="20" customFormat="1">
      <c r="B383" s="21"/>
      <c r="C383" s="21"/>
      <c r="D383" s="22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2:13" s="20" customFormat="1">
      <c r="B384" s="21"/>
      <c r="C384" s="21"/>
      <c r="D384" s="22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2:13" s="20" customFormat="1">
      <c r="B385" s="21"/>
      <c r="C385" s="21"/>
      <c r="D385" s="22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2:13" s="20" customFormat="1">
      <c r="B386" s="21"/>
      <c r="C386" s="21"/>
      <c r="D386" s="22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2:13" s="20" customFormat="1">
      <c r="B387" s="21"/>
      <c r="C387" s="21"/>
      <c r="D387" s="22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2:13" s="20" customFormat="1">
      <c r="B388" s="21"/>
      <c r="C388" s="21"/>
      <c r="D388" s="22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2:13" s="20" customFormat="1">
      <c r="B389" s="21"/>
      <c r="C389" s="21"/>
      <c r="D389" s="22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2:13" s="20" customFormat="1">
      <c r="B390" s="21"/>
      <c r="C390" s="21"/>
      <c r="D390" s="22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2:13" s="20" customFormat="1">
      <c r="B391" s="21"/>
      <c r="C391" s="21"/>
      <c r="D391" s="22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2:13" s="20" customFormat="1">
      <c r="B392" s="21"/>
      <c r="C392" s="21"/>
      <c r="D392" s="22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2:13" s="20" customFormat="1">
      <c r="B393" s="21"/>
      <c r="C393" s="21"/>
      <c r="D393" s="22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2:13" s="20" customFormat="1">
      <c r="B394" s="21"/>
      <c r="C394" s="21"/>
      <c r="D394" s="22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2:13" s="20" customFormat="1">
      <c r="B395" s="21"/>
      <c r="C395" s="21"/>
      <c r="D395" s="22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2:13" s="20" customFormat="1">
      <c r="B396" s="21"/>
      <c r="C396" s="21"/>
      <c r="D396" s="22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2:13" s="20" customFormat="1">
      <c r="B397" s="21"/>
      <c r="C397" s="21"/>
      <c r="D397" s="22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2:13" s="20" customFormat="1">
      <c r="B398" s="21"/>
      <c r="C398" s="21"/>
      <c r="D398" s="22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2:13" s="20" customFormat="1">
      <c r="B399" s="21"/>
      <c r="C399" s="21"/>
      <c r="D399" s="22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2:13" s="20" customFormat="1">
      <c r="B400" s="21"/>
      <c r="C400" s="21"/>
      <c r="D400" s="22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2:13" s="20" customFormat="1">
      <c r="B401" s="21"/>
      <c r="C401" s="21"/>
      <c r="D401" s="22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2:13" s="20" customFormat="1">
      <c r="B402" s="21"/>
      <c r="C402" s="21"/>
      <c r="D402" s="22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2:13" s="20" customFormat="1">
      <c r="B403" s="21"/>
      <c r="C403" s="21"/>
      <c r="D403" s="22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2:13" s="20" customFormat="1">
      <c r="B404" s="21"/>
      <c r="C404" s="21"/>
      <c r="D404" s="22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2:13" s="20" customFormat="1">
      <c r="B405" s="21"/>
      <c r="C405" s="21"/>
      <c r="D405" s="22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2:13" s="20" customFormat="1">
      <c r="B406" s="21"/>
      <c r="C406" s="21"/>
      <c r="D406" s="22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2:13" s="20" customFormat="1">
      <c r="B407" s="21"/>
      <c r="C407" s="21"/>
      <c r="D407" s="22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2:13" s="20" customFormat="1">
      <c r="B408" s="21"/>
      <c r="C408" s="21"/>
      <c r="D408" s="22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2:13" s="20" customFormat="1">
      <c r="B409" s="21"/>
      <c r="C409" s="21"/>
      <c r="D409" s="22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2:13" s="20" customFormat="1">
      <c r="B410" s="21"/>
      <c r="C410" s="21"/>
      <c r="D410" s="22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2:13" s="20" customFormat="1">
      <c r="B411" s="21"/>
      <c r="C411" s="21"/>
      <c r="D411" s="22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2:13" s="20" customFormat="1">
      <c r="B412" s="21"/>
      <c r="C412" s="21"/>
      <c r="D412" s="22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2:13" s="20" customFormat="1">
      <c r="B413" s="21"/>
      <c r="C413" s="21"/>
      <c r="D413" s="22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2:13" s="20" customFormat="1">
      <c r="B414" s="21"/>
      <c r="C414" s="21"/>
      <c r="D414" s="22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2:13" s="20" customFormat="1">
      <c r="B415" s="21"/>
      <c r="C415" s="21"/>
      <c r="D415" s="22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2:13" s="20" customFormat="1">
      <c r="B416" s="21"/>
      <c r="C416" s="21"/>
      <c r="D416" s="22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2:13" s="20" customFormat="1">
      <c r="B417" s="21"/>
      <c r="C417" s="21"/>
      <c r="D417" s="22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2:13" s="20" customFormat="1">
      <c r="B418" s="21"/>
      <c r="C418" s="21"/>
      <c r="D418" s="22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2:13" s="20" customFormat="1">
      <c r="B419" s="21"/>
      <c r="C419" s="21"/>
      <c r="D419" s="22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2:13" s="20" customFormat="1">
      <c r="B420" s="21"/>
      <c r="C420" s="21"/>
      <c r="D420" s="22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2:13" s="20" customFormat="1">
      <c r="B421" s="21"/>
      <c r="C421" s="21"/>
      <c r="D421" s="22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2:13" s="20" customFormat="1">
      <c r="B422" s="21"/>
      <c r="C422" s="21"/>
      <c r="D422" s="22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2:13" s="20" customFormat="1">
      <c r="B423" s="21"/>
      <c r="C423" s="21"/>
      <c r="D423" s="22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2:13" s="20" customFormat="1">
      <c r="B424" s="21"/>
      <c r="C424" s="21"/>
      <c r="D424" s="22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2:13" s="20" customFormat="1">
      <c r="B425" s="21"/>
      <c r="C425" s="21"/>
      <c r="D425" s="22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2:13" s="20" customFormat="1">
      <c r="B426" s="21"/>
      <c r="C426" s="21"/>
      <c r="D426" s="22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2:13" s="20" customFormat="1">
      <c r="B427" s="21"/>
      <c r="C427" s="21"/>
      <c r="D427" s="22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2:13" s="20" customFormat="1">
      <c r="B428" s="21"/>
      <c r="C428" s="21"/>
      <c r="D428" s="22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2:13" s="20" customFormat="1">
      <c r="B429" s="21"/>
      <c r="C429" s="21"/>
      <c r="D429" s="22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2:13" s="20" customFormat="1">
      <c r="B430" s="21"/>
      <c r="C430" s="21"/>
      <c r="D430" s="22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2:13" s="20" customFormat="1">
      <c r="B431" s="21"/>
      <c r="C431" s="21"/>
      <c r="D431" s="22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2:13" s="20" customFormat="1">
      <c r="B432" s="21"/>
      <c r="C432" s="21"/>
      <c r="D432" s="22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2:13" s="20" customFormat="1">
      <c r="B433" s="21"/>
      <c r="C433" s="21"/>
      <c r="D433" s="22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2:13" s="20" customFormat="1">
      <c r="B434" s="21"/>
      <c r="C434" s="21"/>
      <c r="D434" s="22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2:13" s="20" customFormat="1">
      <c r="B435" s="21"/>
      <c r="C435" s="21"/>
      <c r="D435" s="22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2:13" s="20" customFormat="1">
      <c r="B436" s="21"/>
      <c r="C436" s="21"/>
      <c r="D436" s="22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2:13" s="20" customFormat="1">
      <c r="B437" s="21"/>
      <c r="C437" s="21"/>
      <c r="D437" s="22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2:13" s="20" customFormat="1">
      <c r="B438" s="21"/>
      <c r="C438" s="21"/>
      <c r="D438" s="22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2:13" s="20" customFormat="1">
      <c r="B439" s="21"/>
      <c r="C439" s="21"/>
      <c r="D439" s="22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2:13" s="20" customFormat="1">
      <c r="B440" s="21"/>
      <c r="C440" s="21"/>
      <c r="D440" s="22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2:13" s="20" customFormat="1">
      <c r="B441" s="21"/>
      <c r="C441" s="21"/>
      <c r="D441" s="22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2:13" s="20" customFormat="1">
      <c r="B442" s="21"/>
      <c r="C442" s="21"/>
      <c r="D442" s="22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2:13" s="20" customFormat="1">
      <c r="B443" s="21"/>
      <c r="C443" s="21"/>
      <c r="D443" s="22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2:13" s="20" customFormat="1">
      <c r="B444" s="21"/>
      <c r="C444" s="21"/>
      <c r="D444" s="22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2:13" s="20" customFormat="1">
      <c r="B445" s="21"/>
      <c r="C445" s="21"/>
      <c r="D445" s="22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2:13" s="20" customFormat="1">
      <c r="B446" s="21"/>
      <c r="C446" s="21"/>
      <c r="D446" s="22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2:13" s="20" customFormat="1">
      <c r="B447" s="21"/>
      <c r="C447" s="21"/>
      <c r="D447" s="22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2:13" s="20" customFormat="1">
      <c r="B448" s="21"/>
      <c r="C448" s="21"/>
      <c r="D448" s="22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2:13" s="20" customFormat="1">
      <c r="B449" s="21"/>
      <c r="C449" s="21"/>
      <c r="D449" s="22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2:13" s="20" customFormat="1">
      <c r="B450" s="21"/>
      <c r="C450" s="21"/>
      <c r="D450" s="22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2:13" s="20" customFormat="1">
      <c r="B451" s="21"/>
      <c r="C451" s="21"/>
      <c r="D451" s="22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2:13" s="20" customFormat="1">
      <c r="B452" s="21"/>
      <c r="C452" s="21"/>
      <c r="D452" s="22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2:13" s="20" customFormat="1">
      <c r="B453" s="21"/>
      <c r="C453" s="21"/>
      <c r="D453" s="22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2:13" s="20" customFormat="1">
      <c r="B454" s="21"/>
      <c r="C454" s="21"/>
      <c r="D454" s="22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2:13" s="20" customFormat="1">
      <c r="B455" s="21"/>
      <c r="C455" s="21"/>
      <c r="D455" s="22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2:13" s="20" customFormat="1">
      <c r="B456" s="21"/>
      <c r="C456" s="21"/>
      <c r="D456" s="22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2:13" s="20" customFormat="1">
      <c r="B457" s="21"/>
      <c r="C457" s="21"/>
      <c r="D457" s="22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2:13" s="20" customFormat="1">
      <c r="B458" s="21"/>
      <c r="C458" s="21"/>
      <c r="D458" s="22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2:13" s="20" customFormat="1">
      <c r="B459" s="21"/>
      <c r="C459" s="21"/>
      <c r="D459" s="22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2:13" s="20" customFormat="1">
      <c r="B460" s="21"/>
      <c r="C460" s="21"/>
      <c r="D460" s="22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2:13" s="20" customFormat="1">
      <c r="B461" s="21"/>
      <c r="C461" s="21"/>
      <c r="D461" s="22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2:13" s="20" customFormat="1">
      <c r="B462" s="21"/>
      <c r="C462" s="21"/>
      <c r="D462" s="22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2:13" s="20" customFormat="1">
      <c r="B463" s="21"/>
      <c r="C463" s="21"/>
      <c r="D463" s="22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2:13" s="20" customFormat="1">
      <c r="B464" s="21"/>
      <c r="C464" s="21"/>
      <c r="D464" s="22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2:13" s="20" customFormat="1">
      <c r="B465" s="21"/>
      <c r="C465" s="21"/>
      <c r="D465" s="22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2:13" s="20" customFormat="1">
      <c r="B466" s="21"/>
      <c r="C466" s="21"/>
      <c r="D466" s="22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2:13" s="20" customFormat="1">
      <c r="B467" s="21"/>
      <c r="C467" s="21"/>
      <c r="D467" s="22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2:13" s="20" customFormat="1">
      <c r="B468" s="21"/>
      <c r="C468" s="21"/>
      <c r="D468" s="22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2:13" s="20" customFormat="1">
      <c r="B469" s="21"/>
      <c r="C469" s="21"/>
      <c r="D469" s="22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2:13" s="20" customFormat="1">
      <c r="B470" s="21"/>
      <c r="C470" s="21"/>
      <c r="D470" s="22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2:13" s="20" customFormat="1">
      <c r="B471" s="21"/>
      <c r="C471" s="21"/>
      <c r="D471" s="22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2:13" s="20" customFormat="1">
      <c r="B472" s="21"/>
      <c r="C472" s="21"/>
      <c r="D472" s="22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2:13" s="20" customFormat="1">
      <c r="B473" s="21"/>
      <c r="C473" s="21"/>
      <c r="D473" s="22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2:13" s="20" customFormat="1">
      <c r="B474" s="21"/>
      <c r="C474" s="21"/>
      <c r="D474" s="22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2:13" s="20" customFormat="1">
      <c r="B475" s="21"/>
      <c r="C475" s="21"/>
      <c r="D475" s="22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2:13" s="20" customFormat="1">
      <c r="B476" s="21"/>
      <c r="C476" s="21"/>
      <c r="D476" s="22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2:13" s="20" customFormat="1">
      <c r="B477" s="21"/>
      <c r="C477" s="21"/>
      <c r="D477" s="22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2:13" s="20" customFormat="1">
      <c r="B478" s="21"/>
      <c r="C478" s="21"/>
      <c r="D478" s="22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2:13" s="20" customFormat="1">
      <c r="B479" s="21"/>
      <c r="C479" s="21"/>
      <c r="D479" s="22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2:13" s="20" customFormat="1">
      <c r="B480" s="21"/>
      <c r="C480" s="21"/>
      <c r="D480" s="22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2:13" s="20" customFormat="1">
      <c r="B481" s="21"/>
      <c r="C481" s="21"/>
      <c r="D481" s="22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2:13" s="20" customFormat="1">
      <c r="B482" s="21"/>
      <c r="C482" s="21"/>
      <c r="D482" s="22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2:13" s="20" customFormat="1">
      <c r="B483" s="21"/>
      <c r="C483" s="21"/>
      <c r="D483" s="22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2:13" s="20" customFormat="1">
      <c r="B484" s="21"/>
      <c r="C484" s="21"/>
      <c r="D484" s="22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2:13" s="20" customFormat="1">
      <c r="B485" s="21"/>
      <c r="C485" s="21"/>
      <c r="D485" s="22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2:13" s="20" customFormat="1">
      <c r="B486" s="21"/>
      <c r="C486" s="21"/>
      <c r="D486" s="22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2:13" s="20" customFormat="1">
      <c r="B487" s="21"/>
      <c r="C487" s="21"/>
      <c r="D487" s="22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2:13" s="20" customFormat="1">
      <c r="B488" s="21"/>
      <c r="C488" s="21"/>
      <c r="D488" s="22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2:13" s="20" customFormat="1">
      <c r="B489" s="21"/>
      <c r="C489" s="21"/>
      <c r="D489" s="22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2:13" s="20" customFormat="1">
      <c r="B490" s="21"/>
      <c r="C490" s="21"/>
      <c r="D490" s="22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2:13" s="20" customFormat="1">
      <c r="B491" s="21"/>
      <c r="C491" s="21"/>
      <c r="D491" s="22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2:13" s="20" customFormat="1">
      <c r="B492" s="21"/>
      <c r="C492" s="21"/>
      <c r="D492" s="22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2:13" s="20" customFormat="1">
      <c r="B493" s="21"/>
      <c r="C493" s="21"/>
      <c r="D493" s="22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2:13" s="20" customFormat="1">
      <c r="B494" s="21"/>
      <c r="C494" s="21"/>
      <c r="D494" s="22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2:13" s="20" customFormat="1">
      <c r="B495" s="21"/>
      <c r="C495" s="21"/>
      <c r="D495" s="22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2:13" s="20" customFormat="1">
      <c r="B496" s="21"/>
      <c r="C496" s="21"/>
      <c r="D496" s="22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2:13" s="20" customFormat="1">
      <c r="B497" s="21"/>
      <c r="C497" s="21"/>
      <c r="D497" s="22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2:13" s="20" customFormat="1">
      <c r="B498" s="21"/>
      <c r="C498" s="21"/>
      <c r="D498" s="22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2:13" s="20" customFormat="1">
      <c r="B499" s="21"/>
      <c r="C499" s="21"/>
      <c r="D499" s="22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2:13" s="20" customFormat="1">
      <c r="B500" s="21"/>
      <c r="C500" s="21"/>
      <c r="D500" s="22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2:13" s="20" customFormat="1">
      <c r="B501" s="21"/>
      <c r="C501" s="21"/>
      <c r="D501" s="22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2:13" s="20" customFormat="1">
      <c r="B502" s="21"/>
      <c r="C502" s="21"/>
      <c r="D502" s="22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2:13" s="20" customFormat="1">
      <c r="B503" s="21"/>
      <c r="C503" s="21"/>
      <c r="D503" s="22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2:13" s="20" customFormat="1">
      <c r="B504" s="21"/>
      <c r="C504" s="21"/>
      <c r="D504" s="22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2:13" s="20" customFormat="1">
      <c r="B505" s="21"/>
      <c r="C505" s="21"/>
      <c r="D505" s="22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2:13" s="20" customFormat="1">
      <c r="B506" s="21"/>
      <c r="C506" s="21"/>
      <c r="D506" s="22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2:13" s="20" customFormat="1">
      <c r="B507" s="21"/>
      <c r="C507" s="21"/>
      <c r="D507" s="22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2:13" s="20" customFormat="1">
      <c r="B508" s="21"/>
      <c r="C508" s="21"/>
      <c r="D508" s="22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2:13" s="20" customFormat="1">
      <c r="B509" s="21"/>
      <c r="C509" s="21"/>
      <c r="D509" s="22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2:13" s="20" customFormat="1">
      <c r="B510" s="21"/>
      <c r="C510" s="21"/>
      <c r="D510" s="22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2:13" s="20" customFormat="1">
      <c r="B511" s="21"/>
      <c r="C511" s="21"/>
      <c r="D511" s="22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2:13" s="20" customFormat="1">
      <c r="B512" s="21"/>
      <c r="C512" s="21"/>
      <c r="D512" s="22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2:13" s="20" customFormat="1">
      <c r="B513" s="21"/>
      <c r="C513" s="21"/>
      <c r="D513" s="22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2:13" s="20" customFormat="1">
      <c r="B514" s="21"/>
      <c r="C514" s="21"/>
      <c r="D514" s="22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2:13" s="20" customFormat="1">
      <c r="B515" s="21"/>
      <c r="C515" s="21"/>
      <c r="D515" s="22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2:13" s="20" customFormat="1">
      <c r="B516" s="21"/>
      <c r="C516" s="21"/>
      <c r="D516" s="22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2:13" s="20" customFormat="1">
      <c r="B517" s="21"/>
      <c r="C517" s="21"/>
      <c r="D517" s="22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2:13" s="20" customFormat="1">
      <c r="B518" s="21"/>
      <c r="C518" s="21"/>
      <c r="D518" s="22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2:13" s="20" customFormat="1">
      <c r="B519" s="21"/>
      <c r="C519" s="21"/>
      <c r="D519" s="22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2:13" s="20" customFormat="1">
      <c r="B520" s="21"/>
      <c r="C520" s="21"/>
      <c r="D520" s="22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2:13" s="20" customFormat="1">
      <c r="B521" s="21"/>
      <c r="C521" s="21"/>
      <c r="D521" s="22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2:13" s="20" customFormat="1">
      <c r="B522" s="21"/>
      <c r="C522" s="21"/>
      <c r="D522" s="22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2:13" s="20" customFormat="1">
      <c r="B523" s="21"/>
      <c r="C523" s="21"/>
      <c r="D523" s="22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2:13" s="20" customFormat="1">
      <c r="B524" s="21"/>
      <c r="C524" s="21"/>
      <c r="D524" s="22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2:13" s="20" customFormat="1">
      <c r="B525" s="21"/>
      <c r="C525" s="21"/>
      <c r="D525" s="22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2:13" s="20" customFormat="1">
      <c r="B526" s="21"/>
      <c r="C526" s="21"/>
      <c r="D526" s="22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2:13" s="20" customFormat="1">
      <c r="B527" s="21"/>
      <c r="C527" s="21"/>
      <c r="D527" s="22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2:13" s="20" customFormat="1">
      <c r="B528" s="21"/>
      <c r="C528" s="21"/>
      <c r="D528" s="22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2:13" s="20" customFormat="1">
      <c r="B529" s="21"/>
      <c r="C529" s="21"/>
      <c r="D529" s="22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2:13" s="20" customFormat="1">
      <c r="B530" s="21"/>
      <c r="C530" s="21"/>
      <c r="D530" s="22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2:13" s="20" customFormat="1">
      <c r="B531" s="21"/>
      <c r="C531" s="21"/>
      <c r="D531" s="22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2:13" s="20" customFormat="1">
      <c r="B532" s="21"/>
      <c r="C532" s="21"/>
      <c r="D532" s="22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2:13" s="20" customFormat="1">
      <c r="B533" s="21"/>
      <c r="C533" s="21"/>
      <c r="D533" s="22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2:13" s="20" customFormat="1">
      <c r="B534" s="21"/>
      <c r="C534" s="21"/>
      <c r="D534" s="22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2:13" s="20" customFormat="1">
      <c r="B535" s="21"/>
      <c r="C535" s="21"/>
      <c r="D535" s="22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2:13" s="20" customFormat="1">
      <c r="B536" s="21"/>
      <c r="C536" s="21"/>
      <c r="D536" s="22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2:13" s="20" customFormat="1">
      <c r="B537" s="21"/>
      <c r="C537" s="21"/>
      <c r="D537" s="22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2:13" s="20" customFormat="1">
      <c r="B538" s="21"/>
      <c r="C538" s="21"/>
      <c r="D538" s="22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2:13" s="20" customFormat="1">
      <c r="B539" s="21"/>
      <c r="C539" s="21"/>
      <c r="D539" s="22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2:13" s="20" customFormat="1">
      <c r="B540" s="21"/>
      <c r="C540" s="21"/>
      <c r="D540" s="22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2:13" s="20" customFormat="1">
      <c r="B541" s="21"/>
      <c r="C541" s="21"/>
      <c r="D541" s="22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2:13" s="20" customFormat="1">
      <c r="B542" s="21"/>
      <c r="C542" s="21"/>
      <c r="D542" s="22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2:13" s="20" customFormat="1">
      <c r="B543" s="21"/>
      <c r="C543" s="21"/>
      <c r="D543" s="22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2:13" s="20" customFormat="1">
      <c r="B544" s="21"/>
      <c r="C544" s="21"/>
      <c r="D544" s="22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2:13" s="20" customFormat="1">
      <c r="B545" s="21"/>
      <c r="C545" s="21"/>
      <c r="D545" s="22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2:13" s="20" customFormat="1">
      <c r="B546" s="21"/>
      <c r="C546" s="21"/>
      <c r="D546" s="22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2:13" s="20" customFormat="1">
      <c r="B547" s="21"/>
      <c r="C547" s="21"/>
      <c r="D547" s="22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2:13" s="20" customFormat="1">
      <c r="B548" s="21"/>
      <c r="C548" s="21"/>
      <c r="D548" s="22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2:13" s="20" customFormat="1">
      <c r="B549" s="21"/>
      <c r="C549" s="21"/>
      <c r="D549" s="22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2:13" s="20" customFormat="1">
      <c r="B550" s="21"/>
      <c r="C550" s="21"/>
      <c r="D550" s="22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2:13" s="20" customFormat="1">
      <c r="B551" s="21"/>
      <c r="C551" s="21"/>
      <c r="D551" s="22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2:13" s="20" customFormat="1">
      <c r="B552" s="21"/>
      <c r="C552" s="21"/>
      <c r="D552" s="22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2:13" s="20" customFormat="1">
      <c r="B553" s="21"/>
      <c r="C553" s="21"/>
      <c r="D553" s="22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2:13" s="20" customFormat="1">
      <c r="B554" s="21"/>
      <c r="C554" s="21"/>
      <c r="D554" s="22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2:13" s="20" customFormat="1">
      <c r="B555" s="21"/>
      <c r="C555" s="21"/>
      <c r="D555" s="22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2:13" s="20" customFormat="1">
      <c r="B556" s="21"/>
      <c r="C556" s="21"/>
      <c r="D556" s="22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2:13" s="20" customFormat="1">
      <c r="B557" s="21"/>
      <c r="C557" s="21"/>
      <c r="D557" s="22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2:13" s="20" customFormat="1">
      <c r="B558" s="21"/>
      <c r="C558" s="21"/>
      <c r="D558" s="22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2:13" s="20" customFormat="1">
      <c r="B559" s="21"/>
      <c r="C559" s="21"/>
      <c r="D559" s="22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2:13" s="20" customFormat="1">
      <c r="B560" s="21"/>
      <c r="C560" s="21"/>
      <c r="D560" s="22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2:13" s="20" customFormat="1">
      <c r="B561" s="21"/>
      <c r="C561" s="21"/>
      <c r="D561" s="22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2:13" s="20" customFormat="1">
      <c r="B562" s="21"/>
      <c r="C562" s="21"/>
      <c r="D562" s="22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2:13" s="20" customFormat="1">
      <c r="B563" s="21"/>
      <c r="C563" s="21"/>
      <c r="D563" s="22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2:13" s="20" customFormat="1">
      <c r="B564" s="21"/>
      <c r="C564" s="21"/>
      <c r="D564" s="22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2:13" s="20" customFormat="1">
      <c r="B565" s="21"/>
      <c r="C565" s="21"/>
      <c r="D565" s="22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2:13" s="20" customFormat="1">
      <c r="B566" s="21"/>
      <c r="C566" s="21"/>
      <c r="D566" s="22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2:13" s="20" customFormat="1">
      <c r="B567" s="21"/>
      <c r="C567" s="21"/>
      <c r="D567" s="22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2:13" s="20" customFormat="1">
      <c r="B568" s="21"/>
      <c r="C568" s="21"/>
      <c r="D568" s="22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2:13" s="20" customFormat="1">
      <c r="B569" s="21"/>
      <c r="C569" s="21"/>
      <c r="D569" s="22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2:13" s="20" customFormat="1">
      <c r="B570" s="21"/>
      <c r="C570" s="21"/>
      <c r="D570" s="22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2:13" s="20" customFormat="1">
      <c r="B571" s="21"/>
      <c r="C571" s="21"/>
      <c r="D571" s="22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2:13" s="20" customFormat="1">
      <c r="B572" s="21"/>
      <c r="C572" s="21"/>
      <c r="D572" s="22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2:13" s="20" customFormat="1">
      <c r="B573" s="21"/>
      <c r="C573" s="21"/>
      <c r="D573" s="22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2:13" s="20" customFormat="1">
      <c r="B574" s="21"/>
      <c r="C574" s="21"/>
      <c r="D574" s="22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2:13" s="20" customFormat="1">
      <c r="B575" s="21"/>
      <c r="C575" s="21"/>
      <c r="D575" s="22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2:13" s="20" customFormat="1">
      <c r="B576" s="21"/>
      <c r="C576" s="21"/>
      <c r="D576" s="22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2:13" s="20" customFormat="1">
      <c r="B577" s="21"/>
      <c r="C577" s="21"/>
      <c r="D577" s="22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2:13" s="20" customFormat="1">
      <c r="B578" s="21"/>
      <c r="C578" s="21"/>
      <c r="D578" s="22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2:13" s="20" customFormat="1">
      <c r="B579" s="21"/>
      <c r="C579" s="21"/>
      <c r="D579" s="22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2:13" s="20" customFormat="1">
      <c r="B580" s="21"/>
      <c r="C580" s="21"/>
      <c r="D580" s="22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2:13" s="20" customFormat="1">
      <c r="B581" s="21"/>
      <c r="C581" s="21"/>
      <c r="D581" s="22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2:13" s="20" customFormat="1">
      <c r="B582" s="21"/>
      <c r="C582" s="21"/>
      <c r="D582" s="22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2:13" s="20" customFormat="1">
      <c r="B583" s="21"/>
      <c r="C583" s="21"/>
      <c r="D583" s="22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2:13" s="20" customFormat="1">
      <c r="B584" s="21"/>
      <c r="C584" s="21"/>
      <c r="D584" s="22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2:13" s="20" customFormat="1">
      <c r="B585" s="21"/>
      <c r="C585" s="21"/>
      <c r="D585" s="22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2:13" s="20" customFormat="1">
      <c r="B586" s="21"/>
      <c r="C586" s="21"/>
      <c r="D586" s="22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2:13" s="20" customFormat="1">
      <c r="B587" s="21"/>
      <c r="C587" s="21"/>
      <c r="D587" s="22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2:13" s="20" customFormat="1">
      <c r="B588" s="21"/>
      <c r="C588" s="21"/>
      <c r="D588" s="22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2:13" s="20" customFormat="1">
      <c r="B589" s="21"/>
      <c r="C589" s="21"/>
      <c r="D589" s="22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2:13" s="20" customFormat="1">
      <c r="B590" s="21"/>
      <c r="C590" s="21"/>
      <c r="D590" s="22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2:13" s="20" customFormat="1">
      <c r="B591" s="21"/>
      <c r="C591" s="21"/>
      <c r="D591" s="22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2:13" s="20" customFormat="1">
      <c r="B592" s="21"/>
      <c r="C592" s="21"/>
      <c r="D592" s="22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2:13" s="20" customFormat="1">
      <c r="B593" s="21"/>
      <c r="C593" s="21"/>
      <c r="D593" s="22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2:13" s="20" customFormat="1">
      <c r="B594" s="21"/>
      <c r="C594" s="21"/>
      <c r="D594" s="22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2:13" s="20" customFormat="1">
      <c r="B595" s="21"/>
      <c r="C595" s="21"/>
      <c r="D595" s="22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2:13" s="20" customFormat="1">
      <c r="B596" s="21"/>
      <c r="C596" s="21"/>
      <c r="D596" s="22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2:13" s="20" customFormat="1">
      <c r="B597" s="21"/>
      <c r="C597" s="21"/>
      <c r="D597" s="22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2:13" s="20" customFormat="1">
      <c r="B598" s="21"/>
      <c r="C598" s="21"/>
      <c r="D598" s="22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2:13" s="20" customFormat="1">
      <c r="B599" s="21"/>
      <c r="C599" s="21"/>
      <c r="D599" s="22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2:13" s="20" customFormat="1">
      <c r="B600" s="21"/>
      <c r="C600" s="21"/>
      <c r="D600" s="22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2:13" s="20" customFormat="1">
      <c r="B601" s="21"/>
      <c r="C601" s="21"/>
      <c r="D601" s="22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2:13" s="20" customFormat="1">
      <c r="B602" s="21"/>
      <c r="C602" s="21"/>
      <c r="D602" s="22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2:13" s="20" customFormat="1">
      <c r="B603" s="21"/>
      <c r="C603" s="21"/>
      <c r="D603" s="22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2:13" s="20" customFormat="1">
      <c r="B604" s="21"/>
      <c r="C604" s="21"/>
      <c r="D604" s="22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2:13" s="20" customFormat="1">
      <c r="B605" s="21"/>
      <c r="C605" s="21"/>
      <c r="D605" s="22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2:13" s="20" customFormat="1">
      <c r="B606" s="21"/>
      <c r="C606" s="21"/>
      <c r="D606" s="22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2:13" s="20" customFormat="1">
      <c r="B607" s="21"/>
      <c r="C607" s="21"/>
      <c r="D607" s="22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2:13" s="20" customFormat="1">
      <c r="B608" s="21"/>
      <c r="C608" s="21"/>
      <c r="D608" s="22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2:13" s="20" customFormat="1">
      <c r="B609" s="21"/>
      <c r="C609" s="21"/>
      <c r="D609" s="22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2:13" s="20" customFormat="1">
      <c r="B610" s="21"/>
      <c r="C610" s="21"/>
      <c r="D610" s="22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2:13" s="20" customFormat="1">
      <c r="B611" s="21"/>
      <c r="C611" s="21"/>
      <c r="D611" s="22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2:13" s="20" customFormat="1">
      <c r="B612" s="21"/>
      <c r="C612" s="21"/>
      <c r="D612" s="22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2:13" s="20" customFormat="1">
      <c r="B613" s="21"/>
      <c r="C613" s="21"/>
      <c r="D613" s="22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2:13" s="20" customFormat="1">
      <c r="B614" s="21"/>
      <c r="C614" s="21"/>
      <c r="D614" s="22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2:13" s="20" customFormat="1">
      <c r="B615" s="21"/>
      <c r="C615" s="21"/>
      <c r="D615" s="22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2:13" s="20" customFormat="1">
      <c r="B616" s="21"/>
      <c r="C616" s="21"/>
      <c r="D616" s="22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2:13" s="20" customFormat="1">
      <c r="B617" s="21"/>
      <c r="C617" s="21"/>
      <c r="D617" s="22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2:13" s="20" customFormat="1">
      <c r="B618" s="21"/>
      <c r="C618" s="21"/>
      <c r="D618" s="22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2:13" s="20" customFormat="1">
      <c r="B619" s="21"/>
      <c r="C619" s="21"/>
      <c r="D619" s="22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2:13" s="20" customFormat="1">
      <c r="B620" s="21"/>
      <c r="C620" s="21"/>
      <c r="D620" s="22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2:13" s="20" customFormat="1">
      <c r="B621" s="21"/>
      <c r="C621" s="21"/>
      <c r="D621" s="22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2:13" s="20" customFormat="1">
      <c r="B622" s="21"/>
      <c r="C622" s="21"/>
      <c r="D622" s="22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2:13" s="20" customFormat="1">
      <c r="B623" s="21"/>
      <c r="C623" s="21"/>
      <c r="D623" s="22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2:13" s="20" customFormat="1">
      <c r="B624" s="21"/>
      <c r="C624" s="21"/>
      <c r="D624" s="22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2:13" s="20" customFormat="1">
      <c r="B625" s="21"/>
      <c r="C625" s="21"/>
      <c r="D625" s="22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2:13" s="20" customFormat="1">
      <c r="B626" s="21"/>
      <c r="C626" s="21"/>
      <c r="D626" s="22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2:13" s="20" customFormat="1">
      <c r="B627" s="21"/>
      <c r="C627" s="21"/>
      <c r="D627" s="22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2:13" s="20" customFormat="1">
      <c r="B628" s="21"/>
      <c r="C628" s="21"/>
      <c r="D628" s="22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2:13" s="20" customFormat="1">
      <c r="B629" s="21"/>
      <c r="C629" s="21"/>
      <c r="D629" s="22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2:13" s="20" customFormat="1">
      <c r="B630" s="21"/>
      <c r="C630" s="21"/>
      <c r="D630" s="22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2:13" s="20" customFormat="1">
      <c r="B631" s="21"/>
      <c r="C631" s="21"/>
      <c r="D631" s="22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2:13" s="20" customFormat="1">
      <c r="B632" s="21"/>
      <c r="C632" s="21"/>
      <c r="D632" s="22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2:13" s="20" customFormat="1">
      <c r="B633" s="21"/>
      <c r="C633" s="21"/>
      <c r="D633" s="22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2:13" s="20" customFormat="1">
      <c r="B634" s="21"/>
      <c r="C634" s="21"/>
      <c r="D634" s="22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2:13" s="20" customFormat="1">
      <c r="B635" s="21"/>
      <c r="C635" s="21"/>
      <c r="D635" s="22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2:13" s="20" customFormat="1">
      <c r="B636" s="21"/>
      <c r="C636" s="21"/>
      <c r="D636" s="22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2:13" s="20" customFormat="1">
      <c r="B637" s="21"/>
      <c r="C637" s="21"/>
      <c r="D637" s="22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2:13" s="20" customFormat="1">
      <c r="B638" s="21"/>
      <c r="C638" s="21"/>
      <c r="D638" s="22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2:13" s="20" customFormat="1">
      <c r="B639" s="21"/>
      <c r="C639" s="21"/>
      <c r="D639" s="22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2:13" s="20" customFormat="1">
      <c r="B640" s="21"/>
      <c r="C640" s="21"/>
      <c r="D640" s="22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2:13" s="20" customFormat="1">
      <c r="B641" s="21"/>
      <c r="C641" s="21"/>
      <c r="D641" s="22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2:13" s="20" customFormat="1">
      <c r="B642" s="21"/>
      <c r="C642" s="21"/>
      <c r="D642" s="22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2:13" s="20" customFormat="1">
      <c r="B643" s="21"/>
      <c r="C643" s="21"/>
      <c r="D643" s="22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2:13" s="20" customFormat="1">
      <c r="B644" s="21"/>
      <c r="C644" s="21"/>
      <c r="D644" s="22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2:13" s="20" customFormat="1">
      <c r="B645" s="21"/>
      <c r="C645" s="21"/>
      <c r="D645" s="22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2:13" s="20" customFormat="1">
      <c r="B646" s="21"/>
      <c r="C646" s="21"/>
      <c r="D646" s="22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2:13" s="20" customFormat="1">
      <c r="B647" s="21"/>
      <c r="C647" s="21"/>
      <c r="D647" s="22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2:13" s="20" customFormat="1">
      <c r="B648" s="21"/>
      <c r="C648" s="21"/>
      <c r="D648" s="22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2:13" s="20" customFormat="1">
      <c r="B649" s="21"/>
      <c r="C649" s="21"/>
      <c r="D649" s="22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2:13" s="20" customFormat="1">
      <c r="B650" s="21"/>
      <c r="C650" s="21"/>
      <c r="D650" s="22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2:13" s="20" customFormat="1">
      <c r="B651" s="21"/>
      <c r="C651" s="21"/>
      <c r="D651" s="22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2:13" s="20" customFormat="1">
      <c r="B652" s="21"/>
      <c r="C652" s="21"/>
      <c r="D652" s="22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2:13" s="20" customFormat="1">
      <c r="B653" s="21"/>
      <c r="C653" s="21"/>
      <c r="D653" s="22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2:13" s="20" customFormat="1">
      <c r="B654" s="21"/>
      <c r="C654" s="21"/>
      <c r="D654" s="22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2:13" s="20" customFormat="1">
      <c r="B655" s="21"/>
      <c r="C655" s="21"/>
      <c r="D655" s="22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2:13" s="20" customFormat="1">
      <c r="B656" s="21"/>
      <c r="C656" s="21"/>
      <c r="D656" s="22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2:13" s="20" customFormat="1">
      <c r="B657" s="21"/>
      <c r="C657" s="21"/>
      <c r="D657" s="22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2:13" s="20" customFormat="1">
      <c r="B658" s="21"/>
      <c r="C658" s="21"/>
      <c r="D658" s="22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2:13" s="20" customFormat="1">
      <c r="B659" s="21"/>
      <c r="C659" s="21"/>
      <c r="D659" s="22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2:13" s="20" customFormat="1">
      <c r="B660" s="21"/>
      <c r="C660" s="21"/>
      <c r="D660" s="22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2:13" s="20" customFormat="1">
      <c r="B661" s="21"/>
      <c r="C661" s="21"/>
      <c r="D661" s="22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2:13" s="20" customFormat="1">
      <c r="B662" s="21"/>
      <c r="C662" s="21"/>
      <c r="D662" s="22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2:13" s="20" customFormat="1">
      <c r="B663" s="21"/>
      <c r="C663" s="21"/>
      <c r="D663" s="22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2:13" s="20" customFormat="1">
      <c r="B664" s="21"/>
      <c r="C664" s="21"/>
      <c r="D664" s="22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2:13" s="20" customFormat="1">
      <c r="B665" s="21"/>
      <c r="C665" s="21"/>
      <c r="D665" s="22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2:13" s="20" customFormat="1">
      <c r="B666" s="21"/>
      <c r="C666" s="21"/>
      <c r="D666" s="22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2:13" s="20" customFormat="1">
      <c r="B667" s="21"/>
      <c r="C667" s="21"/>
      <c r="D667" s="22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2:13" s="20" customFormat="1">
      <c r="B668" s="21"/>
      <c r="C668" s="21"/>
      <c r="D668" s="22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2:13" s="20" customFormat="1">
      <c r="B669" s="21"/>
      <c r="C669" s="21"/>
      <c r="D669" s="22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2:13" s="20" customFormat="1">
      <c r="B670" s="21"/>
      <c r="C670" s="21"/>
      <c r="D670" s="22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2:13" s="20" customFormat="1">
      <c r="B671" s="21"/>
      <c r="C671" s="21"/>
      <c r="D671" s="22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2:13" s="20" customFormat="1">
      <c r="B672" s="21"/>
      <c r="C672" s="21"/>
      <c r="D672" s="22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2:13" s="20" customFormat="1">
      <c r="B673" s="21"/>
      <c r="C673" s="21"/>
      <c r="D673" s="22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2:13" s="20" customFormat="1">
      <c r="B674" s="21"/>
      <c r="C674" s="21"/>
      <c r="D674" s="22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2:13" s="20" customFormat="1">
      <c r="B675" s="21"/>
      <c r="C675" s="21"/>
      <c r="D675" s="22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2:13" s="20" customFormat="1">
      <c r="B676" s="21"/>
      <c r="C676" s="21"/>
      <c r="D676" s="22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2:13" s="20" customFormat="1">
      <c r="B677" s="21"/>
      <c r="C677" s="21"/>
      <c r="D677" s="22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2:13" s="20" customFormat="1">
      <c r="B678" s="21"/>
      <c r="C678" s="21"/>
      <c r="D678" s="22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2:13" s="20" customFormat="1">
      <c r="B679" s="21"/>
      <c r="C679" s="21"/>
      <c r="D679" s="22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2:13" s="20" customFormat="1">
      <c r="B680" s="21"/>
      <c r="C680" s="21"/>
      <c r="D680" s="22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2:13" s="20" customFormat="1">
      <c r="B681" s="21"/>
      <c r="C681" s="21"/>
      <c r="D681" s="22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2:13" s="20" customFormat="1">
      <c r="B682" s="21"/>
      <c r="C682" s="21"/>
      <c r="D682" s="22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2:13" s="20" customFormat="1">
      <c r="B683" s="21"/>
      <c r="C683" s="21"/>
      <c r="D683" s="22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2:13" s="20" customFormat="1">
      <c r="B684" s="21"/>
      <c r="C684" s="21"/>
      <c r="D684" s="22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2:13" s="20" customFormat="1">
      <c r="B685" s="21"/>
      <c r="C685" s="21"/>
      <c r="D685" s="22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2:13" s="20" customFormat="1">
      <c r="B686" s="21"/>
      <c r="C686" s="21"/>
      <c r="D686" s="22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2:13" s="20" customFormat="1">
      <c r="B687" s="21"/>
      <c r="C687" s="21"/>
      <c r="D687" s="22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2:13" s="20" customFormat="1">
      <c r="B688" s="21"/>
      <c r="C688" s="21"/>
      <c r="D688" s="22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2:13" s="20" customFormat="1">
      <c r="B689" s="21"/>
      <c r="C689" s="21"/>
      <c r="D689" s="22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2:13" s="20" customFormat="1">
      <c r="B690" s="21"/>
      <c r="C690" s="21"/>
      <c r="D690" s="22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2:13" s="20" customFormat="1">
      <c r="B691" s="21"/>
      <c r="C691" s="21"/>
      <c r="D691" s="22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2:13" s="20" customFormat="1">
      <c r="B692" s="21"/>
      <c r="C692" s="21"/>
      <c r="D692" s="22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2:13" s="20" customFormat="1">
      <c r="B693" s="21"/>
      <c r="C693" s="21"/>
      <c r="D693" s="22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2:13" s="20" customFormat="1">
      <c r="B694" s="21"/>
      <c r="C694" s="21"/>
      <c r="D694" s="22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2:13" s="20" customFormat="1">
      <c r="B695" s="21"/>
      <c r="C695" s="21"/>
      <c r="D695" s="22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2:13" s="20" customFormat="1">
      <c r="B696" s="21"/>
      <c r="C696" s="21"/>
      <c r="D696" s="22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2:13" s="20" customFormat="1">
      <c r="B697" s="21"/>
      <c r="C697" s="21"/>
      <c r="D697" s="22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2:13" s="20" customFormat="1">
      <c r="B698" s="21"/>
      <c r="C698" s="21"/>
      <c r="D698" s="22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2:13" s="20" customFormat="1">
      <c r="B699" s="21"/>
      <c r="C699" s="21"/>
      <c r="D699" s="22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2:13" s="20" customFormat="1">
      <c r="B700" s="21"/>
      <c r="C700" s="21"/>
      <c r="D700" s="22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2:13" s="20" customFormat="1">
      <c r="B701" s="21"/>
      <c r="C701" s="21"/>
      <c r="D701" s="22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2:13" s="20" customFormat="1">
      <c r="B702" s="21"/>
      <c r="C702" s="21"/>
      <c r="D702" s="22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2:13" s="20" customFormat="1">
      <c r="B703" s="21"/>
      <c r="C703" s="21"/>
      <c r="D703" s="22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2:13" s="20" customFormat="1">
      <c r="B704" s="21"/>
      <c r="C704" s="21"/>
      <c r="D704" s="22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2:13" s="20" customFormat="1">
      <c r="B705" s="21"/>
      <c r="C705" s="21"/>
      <c r="D705" s="22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2:13" s="20" customFormat="1">
      <c r="B706" s="21"/>
      <c r="C706" s="21"/>
      <c r="D706" s="22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2:13" s="20" customFormat="1">
      <c r="B707" s="21"/>
      <c r="C707" s="21"/>
      <c r="D707" s="22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2:13" s="20" customFormat="1">
      <c r="B708" s="21"/>
      <c r="C708" s="21"/>
      <c r="D708" s="22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2:13" s="20" customFormat="1">
      <c r="B709" s="21"/>
      <c r="C709" s="21"/>
      <c r="D709" s="22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2:13" s="20" customFormat="1">
      <c r="B710" s="21"/>
      <c r="C710" s="21"/>
      <c r="D710" s="22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2:13" s="20" customFormat="1">
      <c r="B711" s="21"/>
      <c r="C711" s="21"/>
      <c r="D711" s="22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2:13" s="20" customFormat="1">
      <c r="B712" s="21"/>
      <c r="C712" s="21"/>
      <c r="D712" s="22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2:13" s="20" customFormat="1">
      <c r="B713" s="21"/>
      <c r="C713" s="21"/>
      <c r="D713" s="22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2:13" s="20" customFormat="1">
      <c r="B714" s="21"/>
      <c r="C714" s="21"/>
      <c r="D714" s="22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2:13" s="20" customFormat="1">
      <c r="B715" s="21"/>
      <c r="C715" s="21"/>
      <c r="D715" s="22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2:13" s="20" customFormat="1"/>
    <row r="717" spans="2:13" s="20" customFormat="1">
      <c r="M717" s="17"/>
    </row>
    <row r="718" spans="2:13" s="20" customFormat="1">
      <c r="E718" s="18"/>
      <c r="F718" s="18"/>
      <c r="G718" s="18"/>
      <c r="H718" s="18"/>
      <c r="I718" s="18"/>
      <c r="J718" s="18"/>
      <c r="K718" s="18"/>
      <c r="L718" s="18"/>
      <c r="M718" s="17"/>
    </row>
    <row r="719" spans="2:13" s="20" customFormat="1">
      <c r="D719" s="17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2:13" s="20" customFormat="1"/>
    <row r="721" spans="4:13" s="20" customFormat="1"/>
    <row r="722" spans="4:13" s="20" customFormat="1">
      <c r="D722" s="17"/>
      <c r="E722" s="23"/>
      <c r="F722" s="23"/>
      <c r="G722" s="23"/>
      <c r="H722" s="23"/>
      <c r="I722" s="23"/>
      <c r="J722" s="23"/>
      <c r="K722" s="23"/>
      <c r="L722" s="23"/>
      <c r="M722" s="23"/>
    </row>
    <row r="723" spans="4:13" s="20" customFormat="1">
      <c r="M723" s="17"/>
    </row>
    <row r="724" spans="4:13" s="20" customFormat="1">
      <c r="M724" s="17"/>
    </row>
    <row r="725" spans="4:13" s="20" customFormat="1">
      <c r="M725" s="17"/>
    </row>
    <row r="726" spans="4:13" s="20" customFormat="1">
      <c r="M726" s="17"/>
    </row>
    <row r="727" spans="4:13" s="20" customFormat="1">
      <c r="M727" s="17"/>
    </row>
    <row r="728" spans="4:13" s="20" customFormat="1">
      <c r="M728" s="17"/>
    </row>
    <row r="729" spans="4:13" s="20" customFormat="1">
      <c r="M729" s="17"/>
    </row>
    <row r="730" spans="4:13" s="20" customFormat="1">
      <c r="M730" s="17"/>
    </row>
    <row r="731" spans="4:13" s="20" customFormat="1">
      <c r="M731" s="17"/>
    </row>
    <row r="732" spans="4:13" s="20" customFormat="1">
      <c r="M732" s="17"/>
    </row>
    <row r="733" spans="4:13" s="20" customFormat="1">
      <c r="M733" s="17"/>
    </row>
    <row r="734" spans="4:13" s="20" customFormat="1">
      <c r="M734" s="17"/>
    </row>
    <row r="735" spans="4:13" s="20" customFormat="1">
      <c r="M735" s="17"/>
    </row>
    <row r="736" spans="4:13" s="20" customFormat="1">
      <c r="M736" s="17"/>
    </row>
    <row r="737" spans="13:13" s="20" customFormat="1">
      <c r="M737" s="17"/>
    </row>
    <row r="738" spans="13:13" s="20" customFormat="1">
      <c r="M738" s="17"/>
    </row>
    <row r="739" spans="13:13" s="20" customFormat="1">
      <c r="M739" s="17"/>
    </row>
    <row r="740" spans="13:13" s="20" customFormat="1">
      <c r="M740" s="17"/>
    </row>
    <row r="741" spans="13:13" s="20" customFormat="1">
      <c r="M741" s="17"/>
    </row>
    <row r="742" spans="13:13" s="20" customFormat="1">
      <c r="M742" s="17"/>
    </row>
    <row r="743" spans="13:13" s="20" customFormat="1">
      <c r="M743" s="17"/>
    </row>
    <row r="744" spans="13:13" s="20" customFormat="1">
      <c r="M744" s="17"/>
    </row>
    <row r="745" spans="13:13" s="20" customFormat="1">
      <c r="M745" s="17"/>
    </row>
    <row r="746" spans="13:13" s="20" customFormat="1">
      <c r="M746" s="17"/>
    </row>
    <row r="747" spans="13:13" s="20" customFormat="1">
      <c r="M747" s="17"/>
    </row>
    <row r="748" spans="13:13" s="20" customFormat="1">
      <c r="M748" s="17"/>
    </row>
    <row r="749" spans="13:13" s="20" customFormat="1">
      <c r="M749" s="17"/>
    </row>
    <row r="750" spans="13:13" s="20" customFormat="1">
      <c r="M750" s="17"/>
    </row>
    <row r="751" spans="13:13" s="20" customFormat="1">
      <c r="M751" s="17"/>
    </row>
    <row r="752" spans="13:13" s="20" customFormat="1">
      <c r="M752" s="17"/>
    </row>
    <row r="753" spans="13:13" s="20" customFormat="1">
      <c r="M753" s="17"/>
    </row>
    <row r="754" spans="13:13" s="20" customFormat="1">
      <c r="M754" s="17"/>
    </row>
    <row r="755" spans="13:13" s="20" customFormat="1">
      <c r="M755" s="17"/>
    </row>
    <row r="756" spans="13:13" s="20" customFormat="1">
      <c r="M756" s="17"/>
    </row>
    <row r="757" spans="13:13" s="20" customFormat="1">
      <c r="M757" s="17"/>
    </row>
    <row r="758" spans="13:13" s="20" customFormat="1">
      <c r="M758" s="17"/>
    </row>
    <row r="759" spans="13:13" s="20" customFormat="1">
      <c r="M759" s="17"/>
    </row>
    <row r="760" spans="13:13" s="20" customFormat="1">
      <c r="M760" s="17"/>
    </row>
    <row r="761" spans="13:13" s="20" customFormat="1">
      <c r="M761" s="17"/>
    </row>
    <row r="762" spans="13:13" s="20" customFormat="1">
      <c r="M762" s="17"/>
    </row>
    <row r="763" spans="13:13" s="20" customFormat="1">
      <c r="M763" s="17"/>
    </row>
    <row r="764" spans="13:13" s="20" customFormat="1">
      <c r="M764" s="17"/>
    </row>
    <row r="765" spans="13:13" s="20" customFormat="1">
      <c r="M765" s="17"/>
    </row>
    <row r="766" spans="13:13" s="20" customFormat="1">
      <c r="M766" s="17"/>
    </row>
    <row r="767" spans="13:13" s="20" customFormat="1">
      <c r="M767" s="17"/>
    </row>
    <row r="768" spans="13:13" s="20" customFormat="1">
      <c r="M768" s="17"/>
    </row>
    <row r="769" spans="13:13" s="20" customFormat="1">
      <c r="M769" s="17"/>
    </row>
    <row r="770" spans="13:13" s="20" customFormat="1">
      <c r="M770" s="17"/>
    </row>
    <row r="771" spans="13:13" s="20" customFormat="1">
      <c r="M771" s="17"/>
    </row>
    <row r="772" spans="13:13" s="20" customFormat="1">
      <c r="M772" s="17"/>
    </row>
    <row r="773" spans="13:13" s="20" customFormat="1">
      <c r="M773" s="17"/>
    </row>
    <row r="774" spans="13:13" s="20" customFormat="1">
      <c r="M774" s="17"/>
    </row>
    <row r="775" spans="13:13" s="20" customFormat="1">
      <c r="M775" s="17"/>
    </row>
    <row r="776" spans="13:13" s="20" customFormat="1">
      <c r="M776" s="17"/>
    </row>
    <row r="777" spans="13:13" s="20" customFormat="1">
      <c r="M777" s="17"/>
    </row>
    <row r="778" spans="13:13" s="20" customFormat="1">
      <c r="M778" s="17"/>
    </row>
    <row r="779" spans="13:13" s="20" customFormat="1">
      <c r="M779" s="17"/>
    </row>
    <row r="780" spans="13:13" s="20" customFormat="1">
      <c r="M780" s="17"/>
    </row>
    <row r="781" spans="13:13" s="20" customFormat="1">
      <c r="M781" s="17"/>
    </row>
    <row r="782" spans="13:13" s="20" customFormat="1">
      <c r="M782" s="17"/>
    </row>
    <row r="783" spans="13:13" s="20" customFormat="1">
      <c r="M783" s="17"/>
    </row>
    <row r="784" spans="13:13" s="20" customFormat="1">
      <c r="M784" s="17"/>
    </row>
    <row r="785" spans="13:13" s="20" customFormat="1">
      <c r="M785" s="17"/>
    </row>
    <row r="786" spans="13:13" s="20" customFormat="1">
      <c r="M786" s="17"/>
    </row>
    <row r="787" spans="13:13" s="20" customFormat="1">
      <c r="M787" s="17"/>
    </row>
    <row r="788" spans="13:13" s="20" customFormat="1">
      <c r="M788" s="17"/>
    </row>
    <row r="789" spans="13:13" s="20" customFormat="1">
      <c r="M789" s="17"/>
    </row>
    <row r="790" spans="13:13" s="20" customFormat="1">
      <c r="M790" s="17"/>
    </row>
    <row r="791" spans="13:13" s="20" customFormat="1">
      <c r="M791" s="17"/>
    </row>
    <row r="792" spans="13:13" s="20" customFormat="1">
      <c r="M792" s="17"/>
    </row>
    <row r="793" spans="13:13" s="20" customFormat="1">
      <c r="M793" s="17"/>
    </row>
    <row r="794" spans="13:13" s="20" customFormat="1">
      <c r="M794" s="17"/>
    </row>
    <row r="795" spans="13:13" s="20" customFormat="1">
      <c r="M795" s="17"/>
    </row>
    <row r="796" spans="13:13" s="20" customFormat="1">
      <c r="M796" s="17"/>
    </row>
    <row r="797" spans="13:13" s="20" customFormat="1">
      <c r="M797" s="17"/>
    </row>
    <row r="798" spans="13:13" s="20" customFormat="1">
      <c r="M798" s="17"/>
    </row>
    <row r="799" spans="13:13" s="20" customFormat="1">
      <c r="M799" s="17"/>
    </row>
    <row r="800" spans="13:13" s="20" customFormat="1">
      <c r="M800" s="17"/>
    </row>
    <row r="801" spans="13:13" s="20" customFormat="1">
      <c r="M801" s="17"/>
    </row>
    <row r="802" spans="13:13" s="20" customFormat="1">
      <c r="M802" s="17"/>
    </row>
    <row r="803" spans="13:13" s="20" customFormat="1">
      <c r="M803" s="17"/>
    </row>
    <row r="804" spans="13:13" s="20" customFormat="1">
      <c r="M804" s="17"/>
    </row>
    <row r="805" spans="13:13" s="20" customFormat="1">
      <c r="M805" s="17"/>
    </row>
    <row r="806" spans="13:13" s="20" customFormat="1">
      <c r="M806" s="17"/>
    </row>
    <row r="807" spans="13:13" s="20" customFormat="1">
      <c r="M807" s="17"/>
    </row>
    <row r="808" spans="13:13" s="20" customFormat="1">
      <c r="M808" s="17"/>
    </row>
    <row r="809" spans="13:13" s="20" customFormat="1">
      <c r="M809" s="17"/>
    </row>
    <row r="810" spans="13:13" s="20" customFormat="1">
      <c r="M810" s="17"/>
    </row>
    <row r="811" spans="13:13" s="20" customFormat="1">
      <c r="M811" s="17"/>
    </row>
    <row r="812" spans="13:13" s="20" customFormat="1">
      <c r="M812" s="17"/>
    </row>
    <row r="813" spans="13:13" s="20" customFormat="1">
      <c r="M813" s="17"/>
    </row>
    <row r="814" spans="13:13" s="20" customFormat="1">
      <c r="M814" s="17"/>
    </row>
    <row r="815" spans="13:13" s="20" customFormat="1">
      <c r="M815" s="17"/>
    </row>
    <row r="816" spans="13:13" s="20" customFormat="1">
      <c r="M816" s="17"/>
    </row>
    <row r="817" spans="13:13" s="20" customFormat="1">
      <c r="M817" s="17"/>
    </row>
    <row r="818" spans="13:13" s="20" customFormat="1">
      <c r="M818" s="17"/>
    </row>
  </sheetData>
  <mergeCells count="2">
    <mergeCell ref="B5:D5"/>
    <mergeCell ref="E5:L5"/>
  </mergeCells>
  <phoneticPr fontId="5" type="noConversion"/>
  <printOptions horizontalCentered="1"/>
  <pageMargins left="0.27559055118110237" right="0.27559055118110237" top="0.78740157480314965" bottom="0.78740157480314965" header="0.43307086614173229" footer="0.43307086614173229"/>
  <pageSetup paperSize="9" orientation="landscape" horizontalDpi="4294967292" verticalDpi="4294967292" r:id="rId1"/>
  <headerFooter alignWithMargins="0">
    <oddFooter>&amp;R&amp;"Geneva,Regular"&amp;P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M821"/>
  <sheetViews>
    <sheetView zoomScale="90" workbookViewId="0">
      <pane xSplit="4" ySplit="6" topLeftCell="H73" activePane="bottomRight" state="frozen"/>
      <selection pane="topRight" activeCell="E1" sqref="E1"/>
      <selection pane="bottomLeft" activeCell="A7" sqref="A7"/>
      <selection pane="bottomRight" activeCell="K6" sqref="K6"/>
    </sheetView>
  </sheetViews>
  <sheetFormatPr defaultRowHeight="12.75"/>
  <cols>
    <col min="1" max="1" width="5.42578125" style="2" customWidth="1"/>
    <col min="2" max="3" width="7.28515625" style="2" customWidth="1"/>
    <col min="4" max="4" width="10" style="2" customWidth="1"/>
    <col min="5" max="10" width="9.42578125" style="2" customWidth="1"/>
    <col min="11" max="11" width="11.85546875" style="2" customWidth="1"/>
    <col min="12" max="12" width="9.42578125" style="2" customWidth="1"/>
    <col min="13" max="13" width="8.28515625" style="3" customWidth="1"/>
    <col min="14" max="16384" width="9.140625" style="2"/>
  </cols>
  <sheetData>
    <row r="1" spans="1:13" ht="15.75">
      <c r="A1" s="11" t="s">
        <v>15</v>
      </c>
      <c r="B1" s="1"/>
      <c r="C1" s="1"/>
      <c r="D1" s="1"/>
      <c r="E1" s="1"/>
      <c r="F1" s="1"/>
      <c r="G1" s="1"/>
      <c r="H1" s="1"/>
    </row>
    <row r="2" spans="1:13">
      <c r="A2" s="12" t="s">
        <v>13</v>
      </c>
      <c r="B2" s="13"/>
      <c r="C2" s="13"/>
      <c r="D2" s="9"/>
      <c r="E2" s="9"/>
      <c r="F2" s="9"/>
      <c r="G2" s="9"/>
      <c r="H2" s="9"/>
    </row>
    <row r="3" spans="1:13">
      <c r="A3" s="10"/>
      <c r="B3" s="9"/>
      <c r="C3" s="9"/>
      <c r="D3" s="9"/>
      <c r="E3" s="9"/>
      <c r="F3" s="9"/>
      <c r="G3" s="9"/>
      <c r="H3" s="9"/>
    </row>
    <row r="5" spans="1:13" s="4" customFormat="1">
      <c r="B5" s="34" t="s">
        <v>21</v>
      </c>
      <c r="C5" s="34"/>
      <c r="D5" s="34"/>
      <c r="E5" s="34" t="s">
        <v>19</v>
      </c>
      <c r="F5" s="34"/>
      <c r="G5" s="34"/>
      <c r="H5" s="34"/>
      <c r="I5" s="34"/>
      <c r="J5" s="34"/>
      <c r="K5" s="34"/>
      <c r="L5" s="34"/>
      <c r="M5" s="5"/>
    </row>
    <row r="6" spans="1:13" s="6" customFormat="1" ht="18" customHeight="1">
      <c r="A6" s="6" t="s">
        <v>0</v>
      </c>
      <c r="B6" s="6" t="s">
        <v>4</v>
      </c>
      <c r="C6" s="6" t="s">
        <v>5</v>
      </c>
      <c r="D6" s="7" t="s">
        <v>6</v>
      </c>
      <c r="E6" s="7" t="s">
        <v>16</v>
      </c>
      <c r="F6" s="7" t="s">
        <v>11</v>
      </c>
      <c r="G6" s="7" t="s">
        <v>10</v>
      </c>
      <c r="H6" s="32" t="s">
        <v>22</v>
      </c>
      <c r="I6" s="32" t="s">
        <v>23</v>
      </c>
      <c r="J6" s="7" t="s">
        <v>8</v>
      </c>
      <c r="K6" s="7" t="s">
        <v>18</v>
      </c>
      <c r="L6" s="7" t="s">
        <v>9</v>
      </c>
      <c r="M6" s="7" t="s">
        <v>7</v>
      </c>
    </row>
    <row r="7" spans="1:13" s="18" customFormat="1" ht="12.75" customHeight="1">
      <c r="A7" s="15"/>
      <c r="B7" s="25">
        <v>300.45</v>
      </c>
      <c r="C7" s="25">
        <f>B7+1</f>
        <v>301.45</v>
      </c>
      <c r="D7" s="29">
        <f>B7+(C7-B7)/2</f>
        <v>300.95</v>
      </c>
      <c r="E7" s="19">
        <v>1</v>
      </c>
      <c r="F7" s="19">
        <v>4</v>
      </c>
      <c r="G7" s="19">
        <v>0</v>
      </c>
      <c r="H7" s="19">
        <v>0</v>
      </c>
      <c r="I7" s="17">
        <v>0</v>
      </c>
      <c r="J7" s="19">
        <v>28</v>
      </c>
      <c r="K7" s="17">
        <v>0</v>
      </c>
      <c r="L7" s="19">
        <v>4</v>
      </c>
      <c r="M7" s="3">
        <f>SUM(E7:L7)</f>
        <v>37</v>
      </c>
    </row>
    <row r="8" spans="1:13" s="20" customFormat="1">
      <c r="B8" s="21">
        <v>301.52</v>
      </c>
      <c r="C8" s="25">
        <f>B8+1</f>
        <v>302.52</v>
      </c>
      <c r="D8" s="29">
        <f>B8+(C8-B8)/2</f>
        <v>302.02</v>
      </c>
      <c r="E8" s="17">
        <v>2</v>
      </c>
      <c r="F8" s="17">
        <v>3</v>
      </c>
      <c r="G8" s="17">
        <v>0</v>
      </c>
      <c r="H8" s="17">
        <v>0</v>
      </c>
      <c r="I8" s="17">
        <v>0</v>
      </c>
      <c r="J8" s="17">
        <v>26</v>
      </c>
      <c r="K8" s="17">
        <v>0</v>
      </c>
      <c r="L8" s="17">
        <v>2</v>
      </c>
      <c r="M8" s="3">
        <f>SUM(E8:L8)</f>
        <v>33</v>
      </c>
    </row>
    <row r="9" spans="1:13" s="20" customFormat="1">
      <c r="B9" s="21">
        <f t="shared" ref="B9:B72" si="0">C8</f>
        <v>302.52</v>
      </c>
      <c r="C9" s="25">
        <f t="shared" ref="C9:C72" si="1">B9+1</f>
        <v>303.52</v>
      </c>
      <c r="D9" s="29">
        <f t="shared" ref="D9:D72" si="2">B9+(C9-B9)/2</f>
        <v>303.02</v>
      </c>
      <c r="E9" s="17">
        <v>0</v>
      </c>
      <c r="F9" s="17">
        <v>1</v>
      </c>
      <c r="G9" s="17">
        <v>0</v>
      </c>
      <c r="H9" s="17">
        <v>0</v>
      </c>
      <c r="I9" s="17">
        <v>0</v>
      </c>
      <c r="J9" s="17">
        <v>46</v>
      </c>
      <c r="K9" s="17">
        <v>0</v>
      </c>
      <c r="L9" s="17">
        <v>0</v>
      </c>
      <c r="M9" s="3">
        <f t="shared" ref="M9:M72" si="3">SUM(E9:L9)</f>
        <v>47</v>
      </c>
    </row>
    <row r="10" spans="1:13" s="20" customFormat="1">
      <c r="B10" s="21">
        <f t="shared" si="0"/>
        <v>303.52</v>
      </c>
      <c r="C10" s="25">
        <f t="shared" si="1"/>
        <v>304.52</v>
      </c>
      <c r="D10" s="29">
        <f t="shared" si="2"/>
        <v>304.02</v>
      </c>
      <c r="E10" s="17">
        <v>0</v>
      </c>
      <c r="F10" s="17">
        <v>4</v>
      </c>
      <c r="G10" s="17">
        <v>1</v>
      </c>
      <c r="H10" s="17">
        <v>0</v>
      </c>
      <c r="I10" s="17">
        <v>0</v>
      </c>
      <c r="J10" s="17">
        <v>89</v>
      </c>
      <c r="K10" s="17">
        <v>0</v>
      </c>
      <c r="L10" s="17">
        <v>0</v>
      </c>
      <c r="M10" s="3">
        <f t="shared" si="3"/>
        <v>94</v>
      </c>
    </row>
    <row r="11" spans="1:13" s="20" customFormat="1">
      <c r="B11" s="21">
        <f t="shared" si="0"/>
        <v>304.52</v>
      </c>
      <c r="C11" s="25">
        <f t="shared" si="1"/>
        <v>305.52</v>
      </c>
      <c r="D11" s="29">
        <f t="shared" si="2"/>
        <v>305.02</v>
      </c>
      <c r="E11" s="17">
        <v>0</v>
      </c>
      <c r="F11" s="17">
        <v>5</v>
      </c>
      <c r="G11" s="17">
        <v>0</v>
      </c>
      <c r="H11" s="17">
        <v>0</v>
      </c>
      <c r="I11" s="17">
        <v>0</v>
      </c>
      <c r="J11" s="17">
        <v>93</v>
      </c>
      <c r="K11" s="17">
        <v>0</v>
      </c>
      <c r="L11" s="17">
        <v>3</v>
      </c>
      <c r="M11" s="3">
        <f t="shared" si="3"/>
        <v>101</v>
      </c>
    </row>
    <row r="12" spans="1:13" s="20" customFormat="1">
      <c r="B12" s="21">
        <f t="shared" si="0"/>
        <v>305.52</v>
      </c>
      <c r="C12" s="25">
        <f t="shared" si="1"/>
        <v>306.52</v>
      </c>
      <c r="D12" s="29">
        <f t="shared" si="2"/>
        <v>306.02</v>
      </c>
      <c r="E12" s="17">
        <v>0</v>
      </c>
      <c r="F12" s="17">
        <v>9</v>
      </c>
      <c r="G12" s="17">
        <v>0</v>
      </c>
      <c r="H12" s="17">
        <v>0</v>
      </c>
      <c r="I12" s="17">
        <v>0</v>
      </c>
      <c r="J12" s="17">
        <v>150</v>
      </c>
      <c r="K12" s="17">
        <v>0</v>
      </c>
      <c r="L12" s="17">
        <v>10</v>
      </c>
      <c r="M12" s="3">
        <f t="shared" si="3"/>
        <v>169</v>
      </c>
    </row>
    <row r="13" spans="1:13" s="20" customFormat="1">
      <c r="B13" s="21">
        <f t="shared" si="0"/>
        <v>306.52</v>
      </c>
      <c r="C13" s="25">
        <f t="shared" si="1"/>
        <v>307.52</v>
      </c>
      <c r="D13" s="29">
        <f t="shared" si="2"/>
        <v>307.02</v>
      </c>
      <c r="E13" s="17">
        <v>0</v>
      </c>
      <c r="F13" s="17">
        <v>6</v>
      </c>
      <c r="G13" s="17">
        <v>0</v>
      </c>
      <c r="H13" s="17">
        <v>0</v>
      </c>
      <c r="I13" s="17">
        <v>0</v>
      </c>
      <c r="J13" s="17">
        <v>90</v>
      </c>
      <c r="K13" s="17">
        <v>0</v>
      </c>
      <c r="L13" s="17">
        <v>4</v>
      </c>
      <c r="M13" s="3">
        <f t="shared" si="3"/>
        <v>100</v>
      </c>
    </row>
    <row r="14" spans="1:13" s="20" customFormat="1">
      <c r="B14" s="21">
        <v>307.52999999999997</v>
      </c>
      <c r="C14" s="25">
        <f t="shared" si="1"/>
        <v>308.52999999999997</v>
      </c>
      <c r="D14" s="29">
        <f t="shared" si="2"/>
        <v>308.02999999999997</v>
      </c>
      <c r="E14" s="17">
        <v>0</v>
      </c>
      <c r="F14" s="17">
        <v>4</v>
      </c>
      <c r="G14" s="17">
        <v>0</v>
      </c>
      <c r="H14" s="17">
        <v>0</v>
      </c>
      <c r="I14" s="17">
        <v>0</v>
      </c>
      <c r="J14" s="17">
        <v>96</v>
      </c>
      <c r="K14" s="17">
        <v>0</v>
      </c>
      <c r="L14" s="17">
        <v>0</v>
      </c>
      <c r="M14" s="3">
        <f t="shared" si="3"/>
        <v>100</v>
      </c>
    </row>
    <row r="15" spans="1:13" s="20" customFormat="1">
      <c r="B15" s="21">
        <f t="shared" si="0"/>
        <v>308.52999999999997</v>
      </c>
      <c r="C15" s="25">
        <f t="shared" si="1"/>
        <v>309.52999999999997</v>
      </c>
      <c r="D15" s="29">
        <f t="shared" si="2"/>
        <v>309.02999999999997</v>
      </c>
      <c r="E15" s="17">
        <v>0</v>
      </c>
      <c r="F15" s="17">
        <v>1</v>
      </c>
      <c r="G15" s="17">
        <v>0</v>
      </c>
      <c r="H15" s="17">
        <v>2</v>
      </c>
      <c r="I15" s="17">
        <v>0</v>
      </c>
      <c r="J15" s="17">
        <v>83</v>
      </c>
      <c r="K15" s="17">
        <v>0</v>
      </c>
      <c r="L15" s="17">
        <v>10</v>
      </c>
      <c r="M15" s="3">
        <f t="shared" si="3"/>
        <v>96</v>
      </c>
    </row>
    <row r="16" spans="1:13" s="20" customFormat="1">
      <c r="B16" s="21">
        <f t="shared" si="0"/>
        <v>309.52999999999997</v>
      </c>
      <c r="C16" s="25">
        <f t="shared" si="1"/>
        <v>310.52999999999997</v>
      </c>
      <c r="D16" s="29">
        <f t="shared" si="2"/>
        <v>310.02999999999997</v>
      </c>
      <c r="E16" s="17">
        <v>2</v>
      </c>
      <c r="F16" s="17">
        <v>10</v>
      </c>
      <c r="G16" s="17">
        <v>0</v>
      </c>
      <c r="H16" s="17">
        <v>1</v>
      </c>
      <c r="I16" s="17">
        <v>0</v>
      </c>
      <c r="J16" s="17">
        <v>101</v>
      </c>
      <c r="K16" s="17">
        <v>0</v>
      </c>
      <c r="L16" s="17">
        <v>1</v>
      </c>
      <c r="M16" s="3">
        <f t="shared" si="3"/>
        <v>115</v>
      </c>
    </row>
    <row r="17" spans="1:13" s="20" customFormat="1">
      <c r="B17" s="21">
        <f t="shared" si="0"/>
        <v>310.52999999999997</v>
      </c>
      <c r="C17" s="25">
        <f t="shared" si="1"/>
        <v>311.52999999999997</v>
      </c>
      <c r="D17" s="29">
        <f t="shared" si="2"/>
        <v>311.02999999999997</v>
      </c>
      <c r="E17" s="17">
        <v>5</v>
      </c>
      <c r="F17" s="17">
        <v>7</v>
      </c>
      <c r="G17" s="17">
        <v>0</v>
      </c>
      <c r="H17" s="17">
        <v>0</v>
      </c>
      <c r="I17" s="17">
        <v>0</v>
      </c>
      <c r="J17" s="17">
        <v>106</v>
      </c>
      <c r="K17" s="17">
        <v>0</v>
      </c>
      <c r="L17" s="17">
        <v>0</v>
      </c>
      <c r="M17" s="3">
        <f t="shared" si="3"/>
        <v>118</v>
      </c>
    </row>
    <row r="18" spans="1:13" s="20" customFormat="1">
      <c r="B18" s="21">
        <f t="shared" si="0"/>
        <v>311.52999999999997</v>
      </c>
      <c r="C18" s="25">
        <f t="shared" si="1"/>
        <v>312.52999999999997</v>
      </c>
      <c r="D18" s="29">
        <f t="shared" si="2"/>
        <v>312.02999999999997</v>
      </c>
      <c r="E18" s="17">
        <v>3</v>
      </c>
      <c r="F18" s="17">
        <v>10</v>
      </c>
      <c r="G18" s="17">
        <v>0</v>
      </c>
      <c r="H18" s="17">
        <v>1</v>
      </c>
      <c r="I18" s="17">
        <v>0</v>
      </c>
      <c r="J18" s="17">
        <v>108</v>
      </c>
      <c r="K18" s="17">
        <v>0</v>
      </c>
      <c r="L18" s="17">
        <v>10</v>
      </c>
      <c r="M18" s="3">
        <f t="shared" si="3"/>
        <v>132</v>
      </c>
    </row>
    <row r="19" spans="1:13" s="20" customFormat="1">
      <c r="B19" s="21">
        <f t="shared" si="0"/>
        <v>312.52999999999997</v>
      </c>
      <c r="C19" s="25">
        <v>313.54000000000002</v>
      </c>
      <c r="D19" s="29">
        <f t="shared" si="2"/>
        <v>313.03499999999997</v>
      </c>
      <c r="E19" s="17">
        <v>6</v>
      </c>
      <c r="F19" s="17">
        <v>4</v>
      </c>
      <c r="G19" s="17">
        <v>0</v>
      </c>
      <c r="H19" s="17">
        <v>0</v>
      </c>
      <c r="I19" s="17">
        <v>0</v>
      </c>
      <c r="J19" s="17">
        <v>106</v>
      </c>
      <c r="K19" s="17">
        <v>0</v>
      </c>
      <c r="L19" s="17">
        <v>8</v>
      </c>
      <c r="M19" s="3">
        <f t="shared" si="3"/>
        <v>124</v>
      </c>
    </row>
    <row r="20" spans="1:13" s="20" customFormat="1">
      <c r="A20" s="16"/>
      <c r="B20" s="21">
        <f t="shared" si="0"/>
        <v>313.54000000000002</v>
      </c>
      <c r="C20" s="25">
        <f t="shared" si="1"/>
        <v>314.54000000000002</v>
      </c>
      <c r="D20" s="29">
        <f t="shared" si="2"/>
        <v>314.04000000000002</v>
      </c>
      <c r="E20" s="17">
        <v>3</v>
      </c>
      <c r="F20" s="17">
        <v>6</v>
      </c>
      <c r="G20" s="17">
        <v>0</v>
      </c>
      <c r="H20" s="17">
        <v>0</v>
      </c>
      <c r="I20" s="17">
        <v>0</v>
      </c>
      <c r="J20" s="17">
        <v>109</v>
      </c>
      <c r="K20" s="17">
        <v>0</v>
      </c>
      <c r="L20" s="17">
        <v>7</v>
      </c>
      <c r="M20" s="3">
        <f t="shared" si="3"/>
        <v>125</v>
      </c>
    </row>
    <row r="21" spans="1:13" s="20" customFormat="1">
      <c r="B21" s="21">
        <f t="shared" si="0"/>
        <v>314.54000000000002</v>
      </c>
      <c r="C21" s="25">
        <f t="shared" si="1"/>
        <v>315.54000000000002</v>
      </c>
      <c r="D21" s="29">
        <f t="shared" si="2"/>
        <v>315.04000000000002</v>
      </c>
      <c r="E21" s="17">
        <v>10</v>
      </c>
      <c r="F21" s="17">
        <v>5</v>
      </c>
      <c r="G21" s="17">
        <v>0</v>
      </c>
      <c r="H21" s="17">
        <v>0</v>
      </c>
      <c r="I21" s="17">
        <v>0</v>
      </c>
      <c r="J21" s="17">
        <v>84</v>
      </c>
      <c r="K21" s="17">
        <v>0</v>
      </c>
      <c r="L21" s="17">
        <v>13</v>
      </c>
      <c r="M21" s="3">
        <f t="shared" si="3"/>
        <v>112</v>
      </c>
    </row>
    <row r="22" spans="1:13" s="20" customFormat="1">
      <c r="B22" s="21">
        <f t="shared" si="0"/>
        <v>315.54000000000002</v>
      </c>
      <c r="C22" s="25">
        <f t="shared" si="1"/>
        <v>316.54000000000002</v>
      </c>
      <c r="D22" s="29">
        <f t="shared" si="2"/>
        <v>316.04000000000002</v>
      </c>
      <c r="E22" s="17">
        <v>1</v>
      </c>
      <c r="F22" s="17">
        <v>6</v>
      </c>
      <c r="G22" s="17">
        <v>0</v>
      </c>
      <c r="H22" s="17">
        <v>0</v>
      </c>
      <c r="I22" s="17">
        <v>0</v>
      </c>
      <c r="J22" s="17">
        <v>73</v>
      </c>
      <c r="K22" s="17">
        <v>0</v>
      </c>
      <c r="L22" s="17">
        <v>6</v>
      </c>
      <c r="M22" s="3">
        <f t="shared" si="3"/>
        <v>86</v>
      </c>
    </row>
    <row r="23" spans="1:13" s="20" customFormat="1">
      <c r="B23" s="21">
        <f t="shared" si="0"/>
        <v>316.54000000000002</v>
      </c>
      <c r="C23" s="25">
        <f t="shared" si="1"/>
        <v>317.54000000000002</v>
      </c>
      <c r="D23" s="29">
        <f t="shared" si="2"/>
        <v>317.04000000000002</v>
      </c>
      <c r="E23" s="17">
        <v>7</v>
      </c>
      <c r="F23" s="17">
        <v>5</v>
      </c>
      <c r="G23" s="17">
        <v>0</v>
      </c>
      <c r="H23" s="17">
        <v>0</v>
      </c>
      <c r="I23" s="17">
        <v>0</v>
      </c>
      <c r="J23" s="17">
        <v>64</v>
      </c>
      <c r="K23" s="17">
        <v>0</v>
      </c>
      <c r="L23" s="17">
        <v>2</v>
      </c>
      <c r="M23" s="3">
        <f t="shared" si="3"/>
        <v>78</v>
      </c>
    </row>
    <row r="24" spans="1:13" s="20" customFormat="1">
      <c r="B24" s="21">
        <f t="shared" si="0"/>
        <v>317.54000000000002</v>
      </c>
      <c r="C24" s="25">
        <f t="shared" si="1"/>
        <v>318.54000000000002</v>
      </c>
      <c r="D24" s="29">
        <f t="shared" si="2"/>
        <v>318.04000000000002</v>
      </c>
      <c r="E24" s="17">
        <v>0</v>
      </c>
      <c r="F24" s="17">
        <v>3</v>
      </c>
      <c r="G24" s="17">
        <v>0</v>
      </c>
      <c r="H24" s="17">
        <v>3</v>
      </c>
      <c r="I24" s="17">
        <v>0</v>
      </c>
      <c r="J24" s="17">
        <v>70</v>
      </c>
      <c r="K24" s="17">
        <v>0</v>
      </c>
      <c r="L24" s="17">
        <v>5</v>
      </c>
      <c r="M24" s="3">
        <f t="shared" si="3"/>
        <v>81</v>
      </c>
    </row>
    <row r="25" spans="1:13" s="20" customFormat="1">
      <c r="B25" s="21">
        <f t="shared" si="0"/>
        <v>318.54000000000002</v>
      </c>
      <c r="C25" s="25">
        <f t="shared" si="1"/>
        <v>319.54000000000002</v>
      </c>
      <c r="D25" s="29">
        <f t="shared" si="2"/>
        <v>319.04000000000002</v>
      </c>
      <c r="E25" s="17">
        <v>5</v>
      </c>
      <c r="F25" s="17">
        <v>7</v>
      </c>
      <c r="G25" s="17">
        <v>0</v>
      </c>
      <c r="H25" s="17">
        <v>1</v>
      </c>
      <c r="I25" s="17">
        <v>0</v>
      </c>
      <c r="J25" s="17">
        <v>61</v>
      </c>
      <c r="K25" s="17">
        <v>0</v>
      </c>
      <c r="L25" s="17">
        <v>7</v>
      </c>
      <c r="M25" s="3">
        <f t="shared" si="3"/>
        <v>81</v>
      </c>
    </row>
    <row r="26" spans="1:13" s="20" customFormat="1">
      <c r="B26" s="21">
        <f t="shared" si="0"/>
        <v>319.54000000000002</v>
      </c>
      <c r="C26" s="25">
        <f t="shared" si="1"/>
        <v>320.54000000000002</v>
      </c>
      <c r="D26" s="29">
        <f t="shared" si="2"/>
        <v>320.04000000000002</v>
      </c>
      <c r="E26" s="17">
        <v>1</v>
      </c>
      <c r="F26" s="17">
        <v>8</v>
      </c>
      <c r="G26" s="17">
        <v>0</v>
      </c>
      <c r="H26" s="17">
        <v>0</v>
      </c>
      <c r="I26" s="17">
        <v>0</v>
      </c>
      <c r="J26" s="17">
        <v>84</v>
      </c>
      <c r="K26" s="17">
        <v>0</v>
      </c>
      <c r="L26" s="17">
        <v>3</v>
      </c>
      <c r="M26" s="3">
        <f t="shared" si="3"/>
        <v>96</v>
      </c>
    </row>
    <row r="27" spans="1:13" s="20" customFormat="1">
      <c r="B27" s="21">
        <f t="shared" si="0"/>
        <v>320.54000000000002</v>
      </c>
      <c r="C27" s="25">
        <f t="shared" si="1"/>
        <v>321.54000000000002</v>
      </c>
      <c r="D27" s="29">
        <f t="shared" si="2"/>
        <v>321.04000000000002</v>
      </c>
      <c r="E27" s="17">
        <v>2</v>
      </c>
      <c r="F27" s="17">
        <v>6</v>
      </c>
      <c r="G27" s="17">
        <v>0</v>
      </c>
      <c r="H27" s="17">
        <v>3</v>
      </c>
      <c r="I27" s="17">
        <v>0</v>
      </c>
      <c r="J27" s="17">
        <v>71</v>
      </c>
      <c r="K27" s="17">
        <v>0</v>
      </c>
      <c r="L27" s="17">
        <v>16</v>
      </c>
      <c r="M27" s="3">
        <f t="shared" si="3"/>
        <v>98</v>
      </c>
    </row>
    <row r="28" spans="1:13" s="20" customFormat="1">
      <c r="B28" s="21">
        <f t="shared" si="0"/>
        <v>321.54000000000002</v>
      </c>
      <c r="C28" s="25">
        <v>322.44</v>
      </c>
      <c r="D28" s="29">
        <f t="shared" si="2"/>
        <v>321.99</v>
      </c>
      <c r="E28" s="17">
        <v>13</v>
      </c>
      <c r="F28" s="17">
        <v>7</v>
      </c>
      <c r="G28" s="17">
        <v>0</v>
      </c>
      <c r="H28" s="17">
        <v>2</v>
      </c>
      <c r="I28" s="17">
        <v>0</v>
      </c>
      <c r="J28" s="17">
        <v>82</v>
      </c>
      <c r="K28" s="17">
        <v>0</v>
      </c>
      <c r="L28" s="17">
        <v>10</v>
      </c>
      <c r="M28" s="3">
        <f t="shared" si="3"/>
        <v>114</v>
      </c>
    </row>
    <row r="29" spans="1:13" s="20" customFormat="1">
      <c r="B29" s="21">
        <v>322.54000000000002</v>
      </c>
      <c r="C29" s="25">
        <f t="shared" si="1"/>
        <v>323.54000000000002</v>
      </c>
      <c r="D29" s="29">
        <f t="shared" si="2"/>
        <v>323.04000000000002</v>
      </c>
      <c r="E29" s="17">
        <v>2</v>
      </c>
      <c r="F29" s="17">
        <v>2</v>
      </c>
      <c r="G29" s="17">
        <v>0</v>
      </c>
      <c r="H29" s="17">
        <v>0</v>
      </c>
      <c r="I29" s="17">
        <v>0</v>
      </c>
      <c r="J29" s="17">
        <v>110</v>
      </c>
      <c r="K29" s="17">
        <v>0</v>
      </c>
      <c r="L29" s="17">
        <v>0</v>
      </c>
      <c r="M29" s="3">
        <f t="shared" si="3"/>
        <v>114</v>
      </c>
    </row>
    <row r="30" spans="1:13" s="20" customFormat="1">
      <c r="B30" s="21">
        <f t="shared" si="0"/>
        <v>323.54000000000002</v>
      </c>
      <c r="C30" s="25">
        <f t="shared" si="1"/>
        <v>324.54000000000002</v>
      </c>
      <c r="D30" s="29">
        <f t="shared" si="2"/>
        <v>324.04000000000002</v>
      </c>
      <c r="E30" s="17">
        <v>0</v>
      </c>
      <c r="F30" s="17">
        <v>4</v>
      </c>
      <c r="G30" s="17">
        <v>0</v>
      </c>
      <c r="H30" s="17">
        <v>0</v>
      </c>
      <c r="I30" s="17">
        <v>0</v>
      </c>
      <c r="J30" s="17">
        <v>93</v>
      </c>
      <c r="K30" s="17">
        <v>0</v>
      </c>
      <c r="L30" s="17">
        <v>8</v>
      </c>
      <c r="M30" s="3">
        <f t="shared" si="3"/>
        <v>105</v>
      </c>
    </row>
    <row r="31" spans="1:13" s="20" customFormat="1">
      <c r="B31" s="21">
        <f t="shared" si="0"/>
        <v>324.54000000000002</v>
      </c>
      <c r="C31" s="25">
        <v>325.49</v>
      </c>
      <c r="D31" s="29">
        <f t="shared" si="2"/>
        <v>325.01499999999999</v>
      </c>
      <c r="E31" s="17">
        <v>2</v>
      </c>
      <c r="F31" s="17">
        <v>2</v>
      </c>
      <c r="G31" s="17">
        <v>0</v>
      </c>
      <c r="H31" s="17">
        <v>0</v>
      </c>
      <c r="I31" s="17">
        <v>0</v>
      </c>
      <c r="J31" s="17">
        <v>63</v>
      </c>
      <c r="K31" s="17">
        <v>0</v>
      </c>
      <c r="L31" s="17">
        <v>11</v>
      </c>
      <c r="M31" s="3">
        <f t="shared" si="3"/>
        <v>78</v>
      </c>
    </row>
    <row r="32" spans="1:13" s="20" customFormat="1">
      <c r="B32" s="21">
        <f t="shared" si="0"/>
        <v>325.49</v>
      </c>
      <c r="C32" s="25">
        <f t="shared" si="1"/>
        <v>326.49</v>
      </c>
      <c r="D32" s="29">
        <f t="shared" si="2"/>
        <v>325.99</v>
      </c>
      <c r="E32" s="17">
        <v>3</v>
      </c>
      <c r="F32" s="17">
        <v>4</v>
      </c>
      <c r="G32" s="17">
        <v>0</v>
      </c>
      <c r="H32" s="17">
        <v>1</v>
      </c>
      <c r="I32" s="17">
        <v>0</v>
      </c>
      <c r="J32" s="17">
        <v>77</v>
      </c>
      <c r="K32" s="17">
        <v>0</v>
      </c>
      <c r="L32" s="17">
        <v>8</v>
      </c>
      <c r="M32" s="3">
        <f t="shared" si="3"/>
        <v>93</v>
      </c>
    </row>
    <row r="33" spans="1:13" s="20" customFormat="1">
      <c r="B33" s="21">
        <f t="shared" si="0"/>
        <v>326.49</v>
      </c>
      <c r="C33" s="25">
        <f t="shared" si="1"/>
        <v>327.49</v>
      </c>
      <c r="D33" s="29">
        <f t="shared" si="2"/>
        <v>326.99</v>
      </c>
      <c r="E33" s="17">
        <v>2</v>
      </c>
      <c r="F33" s="17">
        <v>3</v>
      </c>
      <c r="G33" s="17">
        <v>0</v>
      </c>
      <c r="H33" s="17">
        <v>1</v>
      </c>
      <c r="I33" s="17">
        <v>0</v>
      </c>
      <c r="J33" s="17">
        <v>68</v>
      </c>
      <c r="K33" s="17">
        <v>0</v>
      </c>
      <c r="L33" s="17">
        <v>0</v>
      </c>
      <c r="M33" s="3">
        <f t="shared" si="3"/>
        <v>74</v>
      </c>
    </row>
    <row r="34" spans="1:13" s="20" customFormat="1">
      <c r="B34" s="21">
        <f t="shared" si="0"/>
        <v>327.49</v>
      </c>
      <c r="C34" s="25">
        <f t="shared" si="1"/>
        <v>328.49</v>
      </c>
      <c r="D34" s="29">
        <f t="shared" si="2"/>
        <v>327.99</v>
      </c>
      <c r="E34" s="17">
        <v>3</v>
      </c>
      <c r="F34" s="17">
        <v>4</v>
      </c>
      <c r="G34" s="17">
        <v>0</v>
      </c>
      <c r="H34" s="17">
        <v>0</v>
      </c>
      <c r="I34" s="17">
        <v>0</v>
      </c>
      <c r="J34" s="17">
        <v>105</v>
      </c>
      <c r="K34" s="17">
        <v>0</v>
      </c>
      <c r="L34" s="17">
        <v>0</v>
      </c>
      <c r="M34" s="3">
        <f t="shared" si="3"/>
        <v>112</v>
      </c>
    </row>
    <row r="35" spans="1:13" s="20" customFormat="1">
      <c r="B35" s="21">
        <f t="shared" si="0"/>
        <v>328.49</v>
      </c>
      <c r="C35" s="25">
        <f t="shared" si="1"/>
        <v>329.49</v>
      </c>
      <c r="D35" s="29">
        <f t="shared" si="2"/>
        <v>328.99</v>
      </c>
      <c r="E35" s="17">
        <v>3</v>
      </c>
      <c r="F35" s="17">
        <v>6</v>
      </c>
      <c r="G35" s="17">
        <v>0</v>
      </c>
      <c r="H35" s="17">
        <v>0</v>
      </c>
      <c r="I35" s="17">
        <v>0</v>
      </c>
      <c r="J35" s="17">
        <v>70</v>
      </c>
      <c r="K35" s="17">
        <v>0</v>
      </c>
      <c r="L35" s="17">
        <v>9</v>
      </c>
      <c r="M35" s="3">
        <f t="shared" si="3"/>
        <v>88</v>
      </c>
    </row>
    <row r="36" spans="1:13" s="20" customFormat="1">
      <c r="B36" s="21">
        <f t="shared" si="0"/>
        <v>329.49</v>
      </c>
      <c r="C36" s="25">
        <f t="shared" si="1"/>
        <v>330.49</v>
      </c>
      <c r="D36" s="29">
        <f t="shared" si="2"/>
        <v>329.99</v>
      </c>
      <c r="E36" s="17">
        <v>2</v>
      </c>
      <c r="F36" s="17">
        <v>3</v>
      </c>
      <c r="G36" s="17">
        <v>1</v>
      </c>
      <c r="H36" s="17">
        <v>0</v>
      </c>
      <c r="I36" s="17">
        <v>0</v>
      </c>
      <c r="J36" s="17">
        <v>85</v>
      </c>
      <c r="K36" s="17">
        <v>0</v>
      </c>
      <c r="L36" s="17">
        <v>5</v>
      </c>
      <c r="M36" s="3">
        <f t="shared" si="3"/>
        <v>96</v>
      </c>
    </row>
    <row r="37" spans="1:13" s="20" customFormat="1">
      <c r="B37" s="21">
        <f t="shared" si="0"/>
        <v>330.49</v>
      </c>
      <c r="C37" s="25">
        <f t="shared" si="1"/>
        <v>331.49</v>
      </c>
      <c r="D37" s="29">
        <f t="shared" si="2"/>
        <v>330.99</v>
      </c>
      <c r="E37" s="17">
        <v>0</v>
      </c>
      <c r="F37" s="17">
        <v>2</v>
      </c>
      <c r="G37" s="17">
        <v>0</v>
      </c>
      <c r="H37" s="17">
        <v>2</v>
      </c>
      <c r="I37" s="17">
        <v>0</v>
      </c>
      <c r="J37" s="17">
        <v>78</v>
      </c>
      <c r="K37" s="17">
        <v>0</v>
      </c>
      <c r="L37" s="17">
        <v>11</v>
      </c>
      <c r="M37" s="3">
        <f t="shared" si="3"/>
        <v>93</v>
      </c>
    </row>
    <row r="38" spans="1:13" s="20" customFormat="1">
      <c r="B38" s="21">
        <f t="shared" si="0"/>
        <v>331.49</v>
      </c>
      <c r="C38" s="25">
        <f t="shared" si="1"/>
        <v>332.49</v>
      </c>
      <c r="D38" s="29">
        <f t="shared" si="2"/>
        <v>331.99</v>
      </c>
      <c r="E38" s="17">
        <v>3</v>
      </c>
      <c r="F38" s="17">
        <v>3</v>
      </c>
      <c r="G38" s="17">
        <v>0</v>
      </c>
      <c r="H38" s="17">
        <v>0</v>
      </c>
      <c r="I38" s="17">
        <v>0</v>
      </c>
      <c r="J38" s="17">
        <v>81</v>
      </c>
      <c r="K38" s="17">
        <v>0</v>
      </c>
      <c r="L38" s="17">
        <v>1</v>
      </c>
      <c r="M38" s="3">
        <f t="shared" si="3"/>
        <v>88</v>
      </c>
    </row>
    <row r="39" spans="1:13" s="20" customFormat="1">
      <c r="A39" s="16"/>
      <c r="B39" s="21">
        <f t="shared" si="0"/>
        <v>332.49</v>
      </c>
      <c r="C39" s="25">
        <f t="shared" si="1"/>
        <v>333.49</v>
      </c>
      <c r="D39" s="29">
        <f t="shared" si="2"/>
        <v>332.99</v>
      </c>
      <c r="E39" s="17">
        <v>1</v>
      </c>
      <c r="F39" s="17">
        <v>4</v>
      </c>
      <c r="G39" s="17">
        <v>0</v>
      </c>
      <c r="H39" s="17">
        <v>2</v>
      </c>
      <c r="I39" s="17">
        <v>0</v>
      </c>
      <c r="J39" s="17">
        <v>75</v>
      </c>
      <c r="K39" s="17">
        <v>0</v>
      </c>
      <c r="L39" s="17">
        <v>1</v>
      </c>
      <c r="M39" s="3">
        <f t="shared" si="3"/>
        <v>83</v>
      </c>
    </row>
    <row r="40" spans="1:13" s="20" customFormat="1">
      <c r="A40" s="16"/>
      <c r="B40" s="21">
        <f t="shared" si="0"/>
        <v>333.49</v>
      </c>
      <c r="C40" s="25">
        <f t="shared" si="1"/>
        <v>334.49</v>
      </c>
      <c r="D40" s="29">
        <f t="shared" si="2"/>
        <v>333.99</v>
      </c>
      <c r="E40" s="17">
        <v>2</v>
      </c>
      <c r="F40" s="17">
        <v>4</v>
      </c>
      <c r="G40" s="17">
        <v>0</v>
      </c>
      <c r="H40" s="17">
        <v>0</v>
      </c>
      <c r="I40" s="17">
        <v>0</v>
      </c>
      <c r="J40" s="17">
        <v>83</v>
      </c>
      <c r="K40" s="17">
        <v>0</v>
      </c>
      <c r="L40" s="17">
        <v>1</v>
      </c>
      <c r="M40" s="3">
        <f t="shared" si="3"/>
        <v>90</v>
      </c>
    </row>
    <row r="41" spans="1:13" s="20" customFormat="1">
      <c r="A41" s="16"/>
      <c r="B41" s="21">
        <f t="shared" si="0"/>
        <v>334.49</v>
      </c>
      <c r="C41" s="25">
        <f t="shared" si="1"/>
        <v>335.49</v>
      </c>
      <c r="D41" s="29">
        <f t="shared" si="2"/>
        <v>334.99</v>
      </c>
      <c r="E41" s="17">
        <v>4</v>
      </c>
      <c r="F41" s="17">
        <v>4</v>
      </c>
      <c r="G41" s="17">
        <v>1</v>
      </c>
      <c r="H41" s="17">
        <v>0</v>
      </c>
      <c r="I41" s="17">
        <v>0</v>
      </c>
      <c r="J41" s="17">
        <v>88</v>
      </c>
      <c r="K41" s="17">
        <v>0</v>
      </c>
      <c r="L41" s="17">
        <v>3</v>
      </c>
      <c r="M41" s="3">
        <f t="shared" si="3"/>
        <v>100</v>
      </c>
    </row>
    <row r="42" spans="1:13" s="20" customFormat="1">
      <c r="A42" s="16"/>
      <c r="B42" s="21">
        <f t="shared" si="0"/>
        <v>335.49</v>
      </c>
      <c r="C42" s="25">
        <f t="shared" si="1"/>
        <v>336.49</v>
      </c>
      <c r="D42" s="29">
        <f t="shared" si="2"/>
        <v>335.99</v>
      </c>
      <c r="E42" s="17">
        <v>2</v>
      </c>
      <c r="F42" s="17">
        <v>4</v>
      </c>
      <c r="G42" s="17">
        <v>0</v>
      </c>
      <c r="H42" s="17">
        <v>3</v>
      </c>
      <c r="I42" s="17">
        <v>0</v>
      </c>
      <c r="J42" s="17">
        <v>71</v>
      </c>
      <c r="K42" s="17">
        <v>0</v>
      </c>
      <c r="L42" s="17">
        <v>4</v>
      </c>
      <c r="M42" s="3">
        <f t="shared" si="3"/>
        <v>84</v>
      </c>
    </row>
    <row r="43" spans="1:13" s="20" customFormat="1">
      <c r="A43" s="16"/>
      <c r="B43" s="21">
        <f t="shared" si="0"/>
        <v>336.49</v>
      </c>
      <c r="C43" s="25">
        <f t="shared" si="1"/>
        <v>337.49</v>
      </c>
      <c r="D43" s="29">
        <f t="shared" si="2"/>
        <v>336.99</v>
      </c>
      <c r="E43" s="17">
        <v>3</v>
      </c>
      <c r="F43" s="17">
        <v>6</v>
      </c>
      <c r="G43" s="17">
        <v>0</v>
      </c>
      <c r="H43" s="17">
        <v>1</v>
      </c>
      <c r="I43" s="17">
        <v>0</v>
      </c>
      <c r="J43" s="17">
        <v>78</v>
      </c>
      <c r="K43" s="17">
        <v>0</v>
      </c>
      <c r="L43" s="17">
        <v>4</v>
      </c>
      <c r="M43" s="3">
        <f t="shared" si="3"/>
        <v>92</v>
      </c>
    </row>
    <row r="44" spans="1:13" s="20" customFormat="1">
      <c r="A44" s="16"/>
      <c r="B44" s="21">
        <f t="shared" si="0"/>
        <v>337.49</v>
      </c>
      <c r="C44" s="25">
        <f t="shared" si="1"/>
        <v>338.49</v>
      </c>
      <c r="D44" s="29">
        <f t="shared" si="2"/>
        <v>337.99</v>
      </c>
      <c r="E44" s="17">
        <v>1</v>
      </c>
      <c r="F44" s="17">
        <v>2</v>
      </c>
      <c r="G44" s="17">
        <v>0</v>
      </c>
      <c r="H44" s="17">
        <v>2</v>
      </c>
      <c r="I44" s="17">
        <v>0</v>
      </c>
      <c r="J44" s="17">
        <v>89</v>
      </c>
      <c r="K44" s="17">
        <v>0</v>
      </c>
      <c r="L44" s="17">
        <v>1</v>
      </c>
      <c r="M44" s="3">
        <f t="shared" si="3"/>
        <v>95</v>
      </c>
    </row>
    <row r="45" spans="1:13" s="20" customFormat="1">
      <c r="A45" s="16"/>
      <c r="B45" s="21">
        <f t="shared" si="0"/>
        <v>338.49</v>
      </c>
      <c r="C45" s="25">
        <f t="shared" si="1"/>
        <v>339.49</v>
      </c>
      <c r="D45" s="29">
        <f t="shared" si="2"/>
        <v>338.99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92</v>
      </c>
      <c r="K45" s="17">
        <v>0</v>
      </c>
      <c r="L45" s="17">
        <v>2</v>
      </c>
      <c r="M45" s="3">
        <f t="shared" si="3"/>
        <v>94</v>
      </c>
    </row>
    <row r="46" spans="1:13" s="20" customFormat="1">
      <c r="A46" s="16"/>
      <c r="B46" s="21">
        <f t="shared" si="0"/>
        <v>339.49</v>
      </c>
      <c r="C46" s="25">
        <f t="shared" si="1"/>
        <v>340.49</v>
      </c>
      <c r="D46" s="29">
        <f t="shared" si="2"/>
        <v>339.99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102</v>
      </c>
      <c r="K46" s="17">
        <v>0</v>
      </c>
      <c r="L46" s="17">
        <v>1</v>
      </c>
      <c r="M46" s="3">
        <f t="shared" si="3"/>
        <v>103</v>
      </c>
    </row>
    <row r="47" spans="1:13" s="20" customFormat="1">
      <c r="A47" s="16"/>
      <c r="B47" s="21">
        <f t="shared" si="0"/>
        <v>340.49</v>
      </c>
      <c r="C47" s="25">
        <f t="shared" si="1"/>
        <v>341.49</v>
      </c>
      <c r="D47" s="29">
        <f t="shared" si="2"/>
        <v>340.99</v>
      </c>
      <c r="E47" s="17">
        <v>3</v>
      </c>
      <c r="F47" s="17">
        <v>0</v>
      </c>
      <c r="G47" s="17">
        <v>0</v>
      </c>
      <c r="H47" s="17">
        <v>1</v>
      </c>
      <c r="I47" s="17">
        <v>0</v>
      </c>
      <c r="J47" s="17">
        <v>0</v>
      </c>
      <c r="K47" s="17">
        <v>0</v>
      </c>
      <c r="L47" s="17">
        <v>1</v>
      </c>
      <c r="M47" s="3">
        <f t="shared" si="3"/>
        <v>5</v>
      </c>
    </row>
    <row r="48" spans="1:13" s="20" customFormat="1">
      <c r="A48" s="16"/>
      <c r="B48" s="21">
        <f t="shared" si="0"/>
        <v>341.49</v>
      </c>
      <c r="C48" s="25">
        <f t="shared" si="1"/>
        <v>342.49</v>
      </c>
      <c r="D48" s="29">
        <f t="shared" si="2"/>
        <v>341.99</v>
      </c>
      <c r="E48" s="17">
        <v>2</v>
      </c>
      <c r="F48" s="17">
        <v>4</v>
      </c>
      <c r="G48" s="17">
        <v>0</v>
      </c>
      <c r="H48" s="17">
        <v>2</v>
      </c>
      <c r="I48" s="17">
        <v>0</v>
      </c>
      <c r="J48" s="17">
        <v>72</v>
      </c>
      <c r="K48" s="17">
        <v>0</v>
      </c>
      <c r="L48" s="17">
        <v>3</v>
      </c>
      <c r="M48" s="3">
        <f t="shared" si="3"/>
        <v>83</v>
      </c>
    </row>
    <row r="49" spans="2:13" s="20" customFormat="1">
      <c r="B49" s="21">
        <f t="shared" si="0"/>
        <v>342.49</v>
      </c>
      <c r="C49" s="25">
        <f t="shared" si="1"/>
        <v>343.49</v>
      </c>
      <c r="D49" s="29">
        <f t="shared" si="2"/>
        <v>342.99</v>
      </c>
      <c r="E49" s="17">
        <v>1</v>
      </c>
      <c r="F49" s="17">
        <v>1</v>
      </c>
      <c r="G49" s="17">
        <v>0</v>
      </c>
      <c r="H49" s="17">
        <v>1</v>
      </c>
      <c r="I49" s="17">
        <v>0</v>
      </c>
      <c r="J49" s="17">
        <v>91</v>
      </c>
      <c r="K49" s="17">
        <v>0</v>
      </c>
      <c r="L49" s="17">
        <v>4</v>
      </c>
      <c r="M49" s="3">
        <f t="shared" si="3"/>
        <v>98</v>
      </c>
    </row>
    <row r="50" spans="2:13" s="20" customFormat="1">
      <c r="B50" s="21">
        <f t="shared" si="0"/>
        <v>343.49</v>
      </c>
      <c r="C50" s="25">
        <f t="shared" si="1"/>
        <v>344.49</v>
      </c>
      <c r="D50" s="29">
        <f t="shared" si="2"/>
        <v>343.99</v>
      </c>
      <c r="E50" s="17">
        <v>0</v>
      </c>
      <c r="F50" s="17">
        <v>2</v>
      </c>
      <c r="G50" s="17">
        <v>0</v>
      </c>
      <c r="H50" s="17">
        <v>0</v>
      </c>
      <c r="I50" s="17">
        <v>0</v>
      </c>
      <c r="J50" s="17">
        <v>86</v>
      </c>
      <c r="K50" s="17">
        <v>0</v>
      </c>
      <c r="L50" s="17">
        <v>3</v>
      </c>
      <c r="M50" s="3">
        <f t="shared" si="3"/>
        <v>91</v>
      </c>
    </row>
    <row r="51" spans="2:13" s="20" customFormat="1">
      <c r="B51" s="21">
        <f t="shared" si="0"/>
        <v>344.49</v>
      </c>
      <c r="C51" s="25">
        <f t="shared" si="1"/>
        <v>345.49</v>
      </c>
      <c r="D51" s="29">
        <f t="shared" si="2"/>
        <v>344.99</v>
      </c>
      <c r="E51" s="17">
        <v>1</v>
      </c>
      <c r="F51" s="17">
        <v>5</v>
      </c>
      <c r="G51" s="17">
        <v>2</v>
      </c>
      <c r="H51" s="17">
        <v>1</v>
      </c>
      <c r="I51" s="17">
        <v>0</v>
      </c>
      <c r="J51" s="17">
        <v>82</v>
      </c>
      <c r="K51" s="17">
        <v>0</v>
      </c>
      <c r="L51" s="17">
        <v>3</v>
      </c>
      <c r="M51" s="3">
        <f t="shared" si="3"/>
        <v>94</v>
      </c>
    </row>
    <row r="52" spans="2:13" s="20" customFormat="1">
      <c r="B52" s="21">
        <f t="shared" si="0"/>
        <v>345.49</v>
      </c>
      <c r="C52" s="25">
        <f t="shared" si="1"/>
        <v>346.49</v>
      </c>
      <c r="D52" s="29">
        <f t="shared" si="2"/>
        <v>345.99</v>
      </c>
      <c r="E52" s="17">
        <v>0</v>
      </c>
      <c r="F52" s="17">
        <v>0</v>
      </c>
      <c r="G52" s="17">
        <v>0</v>
      </c>
      <c r="H52" s="17">
        <v>1</v>
      </c>
      <c r="I52" s="17">
        <v>0</v>
      </c>
      <c r="J52" s="17">
        <v>83</v>
      </c>
      <c r="K52" s="17">
        <v>0</v>
      </c>
      <c r="L52" s="17">
        <v>0</v>
      </c>
      <c r="M52" s="3">
        <f t="shared" si="3"/>
        <v>84</v>
      </c>
    </row>
    <row r="53" spans="2:13" s="20" customFormat="1">
      <c r="B53" s="21">
        <f t="shared" si="0"/>
        <v>346.49</v>
      </c>
      <c r="C53" s="25">
        <f t="shared" si="1"/>
        <v>347.49</v>
      </c>
      <c r="D53" s="29">
        <f t="shared" si="2"/>
        <v>346.99</v>
      </c>
      <c r="E53" s="17">
        <v>2</v>
      </c>
      <c r="F53" s="17">
        <v>0</v>
      </c>
      <c r="G53" s="17">
        <v>0</v>
      </c>
      <c r="H53" s="17">
        <v>0</v>
      </c>
      <c r="I53" s="17">
        <v>0</v>
      </c>
      <c r="J53" s="17">
        <v>37</v>
      </c>
      <c r="K53" s="17">
        <v>0</v>
      </c>
      <c r="L53" s="17">
        <v>0</v>
      </c>
      <c r="M53" s="3">
        <f t="shared" si="3"/>
        <v>39</v>
      </c>
    </row>
    <row r="54" spans="2:13" s="20" customFormat="1">
      <c r="B54" s="21">
        <f t="shared" si="0"/>
        <v>347.49</v>
      </c>
      <c r="C54" s="25">
        <f t="shared" si="1"/>
        <v>348.49</v>
      </c>
      <c r="D54" s="29">
        <f t="shared" si="2"/>
        <v>347.99</v>
      </c>
      <c r="E54" s="17">
        <v>0</v>
      </c>
      <c r="F54" s="17">
        <v>1</v>
      </c>
      <c r="G54" s="17">
        <v>0</v>
      </c>
      <c r="H54" s="17">
        <v>2</v>
      </c>
      <c r="I54" s="17">
        <v>0</v>
      </c>
      <c r="J54" s="17">
        <v>3</v>
      </c>
      <c r="K54" s="17">
        <v>0</v>
      </c>
      <c r="L54" s="17">
        <v>0</v>
      </c>
      <c r="M54" s="3">
        <f t="shared" si="3"/>
        <v>6</v>
      </c>
    </row>
    <row r="55" spans="2:13" s="20" customFormat="1">
      <c r="B55" s="21">
        <f t="shared" si="0"/>
        <v>348.49</v>
      </c>
      <c r="C55" s="25">
        <f t="shared" si="1"/>
        <v>349.49</v>
      </c>
      <c r="D55" s="29">
        <f t="shared" si="2"/>
        <v>348.99</v>
      </c>
      <c r="E55" s="17">
        <v>1</v>
      </c>
      <c r="F55" s="17">
        <v>4</v>
      </c>
      <c r="G55" s="17">
        <v>0</v>
      </c>
      <c r="H55" s="17">
        <v>3</v>
      </c>
      <c r="I55" s="17">
        <v>0</v>
      </c>
      <c r="J55" s="17">
        <v>65</v>
      </c>
      <c r="K55" s="17">
        <v>0</v>
      </c>
      <c r="L55" s="17">
        <v>0</v>
      </c>
      <c r="M55" s="3">
        <f t="shared" si="3"/>
        <v>73</v>
      </c>
    </row>
    <row r="56" spans="2:13" s="20" customFormat="1">
      <c r="B56" s="21">
        <f t="shared" si="0"/>
        <v>349.49</v>
      </c>
      <c r="C56" s="25">
        <f t="shared" si="1"/>
        <v>350.49</v>
      </c>
      <c r="D56" s="29">
        <f t="shared" si="2"/>
        <v>349.99</v>
      </c>
      <c r="E56" s="17">
        <v>1</v>
      </c>
      <c r="F56" s="17">
        <v>1</v>
      </c>
      <c r="G56" s="17">
        <v>0</v>
      </c>
      <c r="H56" s="17">
        <v>7</v>
      </c>
      <c r="I56" s="17">
        <v>0</v>
      </c>
      <c r="J56" s="17">
        <v>127</v>
      </c>
      <c r="K56" s="17">
        <v>0</v>
      </c>
      <c r="L56" s="17">
        <v>1</v>
      </c>
      <c r="M56" s="3">
        <f t="shared" si="3"/>
        <v>137</v>
      </c>
    </row>
    <row r="57" spans="2:13" s="20" customFormat="1">
      <c r="B57" s="21">
        <f t="shared" si="0"/>
        <v>350.49</v>
      </c>
      <c r="C57" s="25">
        <f t="shared" si="1"/>
        <v>351.49</v>
      </c>
      <c r="D57" s="29">
        <f t="shared" si="2"/>
        <v>350.99</v>
      </c>
      <c r="E57" s="17">
        <v>1</v>
      </c>
      <c r="F57" s="17">
        <v>3</v>
      </c>
      <c r="G57" s="17">
        <v>0</v>
      </c>
      <c r="H57" s="17">
        <v>12</v>
      </c>
      <c r="I57" s="17">
        <v>0</v>
      </c>
      <c r="J57" s="17">
        <v>0</v>
      </c>
      <c r="K57" s="17">
        <v>0</v>
      </c>
      <c r="L57" s="17">
        <v>0</v>
      </c>
      <c r="M57" s="3">
        <f t="shared" si="3"/>
        <v>16</v>
      </c>
    </row>
    <row r="58" spans="2:13" s="20" customFormat="1">
      <c r="B58" s="21">
        <f t="shared" si="0"/>
        <v>351.49</v>
      </c>
      <c r="C58" s="25">
        <f t="shared" si="1"/>
        <v>352.49</v>
      </c>
      <c r="D58" s="29">
        <f t="shared" si="2"/>
        <v>351.99</v>
      </c>
      <c r="E58" s="17">
        <v>1</v>
      </c>
      <c r="F58" s="17">
        <v>0</v>
      </c>
      <c r="G58" s="17">
        <v>0</v>
      </c>
      <c r="H58" s="17">
        <v>6</v>
      </c>
      <c r="I58" s="17">
        <v>0</v>
      </c>
      <c r="J58" s="17">
        <v>22</v>
      </c>
      <c r="K58" s="17">
        <v>0</v>
      </c>
      <c r="L58" s="17">
        <v>0</v>
      </c>
      <c r="M58" s="3">
        <f t="shared" si="3"/>
        <v>29</v>
      </c>
    </row>
    <row r="59" spans="2:13" s="20" customFormat="1">
      <c r="B59" s="21">
        <f t="shared" si="0"/>
        <v>352.49</v>
      </c>
      <c r="C59" s="25">
        <f t="shared" si="1"/>
        <v>353.49</v>
      </c>
      <c r="D59" s="29">
        <f t="shared" si="2"/>
        <v>352.99</v>
      </c>
      <c r="E59" s="17">
        <v>2</v>
      </c>
      <c r="F59" s="17">
        <v>3</v>
      </c>
      <c r="G59" s="17">
        <v>0</v>
      </c>
      <c r="H59" s="17">
        <v>0</v>
      </c>
      <c r="I59" s="17">
        <v>0</v>
      </c>
      <c r="J59" s="17">
        <v>65</v>
      </c>
      <c r="K59" s="17">
        <v>0</v>
      </c>
      <c r="L59" s="17">
        <v>0</v>
      </c>
      <c r="M59" s="3">
        <f t="shared" si="3"/>
        <v>70</v>
      </c>
    </row>
    <row r="60" spans="2:13" s="20" customFormat="1">
      <c r="B60" s="21">
        <f t="shared" si="0"/>
        <v>353.49</v>
      </c>
      <c r="C60" s="25">
        <v>354.41</v>
      </c>
      <c r="D60" s="29">
        <f t="shared" si="2"/>
        <v>353.95000000000005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1</v>
      </c>
      <c r="K60" s="17">
        <v>0</v>
      </c>
      <c r="L60" s="17">
        <v>0</v>
      </c>
      <c r="M60" s="3">
        <f t="shared" si="3"/>
        <v>1</v>
      </c>
    </row>
    <row r="61" spans="2:13" s="20" customFormat="1">
      <c r="B61" s="21">
        <v>354.47</v>
      </c>
      <c r="C61" s="25">
        <f t="shared" si="1"/>
        <v>355.47</v>
      </c>
      <c r="D61" s="29">
        <f t="shared" si="2"/>
        <v>354.97</v>
      </c>
      <c r="E61" s="17">
        <v>4</v>
      </c>
      <c r="F61" s="17">
        <v>0</v>
      </c>
      <c r="G61" s="17">
        <v>0</v>
      </c>
      <c r="H61" s="17">
        <v>1</v>
      </c>
      <c r="I61" s="17">
        <v>0</v>
      </c>
      <c r="J61" s="17">
        <v>43</v>
      </c>
      <c r="K61" s="17">
        <v>0</v>
      </c>
      <c r="L61" s="17">
        <v>0</v>
      </c>
      <c r="M61" s="3">
        <f t="shared" si="3"/>
        <v>48</v>
      </c>
    </row>
    <row r="62" spans="2:13" s="20" customFormat="1">
      <c r="B62" s="21">
        <f t="shared" si="0"/>
        <v>355.47</v>
      </c>
      <c r="C62" s="25">
        <f t="shared" si="1"/>
        <v>356.47</v>
      </c>
      <c r="D62" s="29">
        <f t="shared" si="2"/>
        <v>355.97</v>
      </c>
      <c r="E62" s="17">
        <v>0</v>
      </c>
      <c r="F62" s="17">
        <v>0</v>
      </c>
      <c r="G62" s="17">
        <v>0</v>
      </c>
      <c r="H62" s="17">
        <v>1</v>
      </c>
      <c r="I62" s="17">
        <v>0</v>
      </c>
      <c r="J62" s="17">
        <v>65</v>
      </c>
      <c r="K62" s="17">
        <v>0</v>
      </c>
      <c r="L62" s="17">
        <v>0</v>
      </c>
      <c r="M62" s="3">
        <f t="shared" si="3"/>
        <v>66</v>
      </c>
    </row>
    <row r="63" spans="2:13" s="20" customFormat="1">
      <c r="B63" s="21">
        <f t="shared" si="0"/>
        <v>356.47</v>
      </c>
      <c r="C63" s="25">
        <f t="shared" si="1"/>
        <v>357.47</v>
      </c>
      <c r="D63" s="29">
        <f t="shared" si="2"/>
        <v>356.97</v>
      </c>
      <c r="E63" s="17">
        <v>0</v>
      </c>
      <c r="F63" s="17">
        <v>1</v>
      </c>
      <c r="G63" s="17">
        <v>0</v>
      </c>
      <c r="H63" s="17">
        <v>1</v>
      </c>
      <c r="I63" s="17">
        <v>0</v>
      </c>
      <c r="J63" s="17">
        <v>113</v>
      </c>
      <c r="K63" s="17">
        <v>0</v>
      </c>
      <c r="L63" s="17">
        <v>2</v>
      </c>
      <c r="M63" s="3">
        <f t="shared" si="3"/>
        <v>117</v>
      </c>
    </row>
    <row r="64" spans="2:13" s="20" customFormat="1">
      <c r="B64" s="21">
        <f t="shared" si="0"/>
        <v>357.47</v>
      </c>
      <c r="C64" s="25">
        <f t="shared" si="1"/>
        <v>358.47</v>
      </c>
      <c r="D64" s="29">
        <f t="shared" si="2"/>
        <v>357.97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24</v>
      </c>
      <c r="K64" s="17">
        <v>0</v>
      </c>
      <c r="L64" s="17">
        <v>0</v>
      </c>
      <c r="M64" s="3">
        <f t="shared" si="3"/>
        <v>24</v>
      </c>
    </row>
    <row r="65" spans="2:13" s="20" customFormat="1">
      <c r="B65" s="21">
        <f t="shared" si="0"/>
        <v>358.47</v>
      </c>
      <c r="C65" s="25">
        <f t="shared" si="1"/>
        <v>359.47</v>
      </c>
      <c r="D65" s="29">
        <f t="shared" si="2"/>
        <v>358.97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10</v>
      </c>
      <c r="K65" s="17">
        <v>0</v>
      </c>
      <c r="L65" s="17">
        <v>0</v>
      </c>
      <c r="M65" s="3">
        <f t="shared" si="3"/>
        <v>10</v>
      </c>
    </row>
    <row r="66" spans="2:13" s="20" customFormat="1">
      <c r="B66" s="21">
        <f t="shared" si="0"/>
        <v>359.47</v>
      </c>
      <c r="C66" s="25">
        <v>360.42</v>
      </c>
      <c r="D66" s="29">
        <f t="shared" si="2"/>
        <v>359.94500000000005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9</v>
      </c>
      <c r="K66" s="17">
        <v>0</v>
      </c>
      <c r="L66" s="17">
        <v>0</v>
      </c>
      <c r="M66" s="3">
        <f t="shared" si="3"/>
        <v>9</v>
      </c>
    </row>
    <row r="67" spans="2:13" s="20" customFormat="1">
      <c r="B67" s="21">
        <f t="shared" si="0"/>
        <v>360.42</v>
      </c>
      <c r="C67" s="25">
        <f t="shared" si="1"/>
        <v>361.42</v>
      </c>
      <c r="D67" s="29">
        <f t="shared" si="2"/>
        <v>360.92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22</v>
      </c>
      <c r="K67" s="17">
        <v>0</v>
      </c>
      <c r="L67" s="17">
        <v>0</v>
      </c>
      <c r="M67" s="3">
        <f t="shared" si="3"/>
        <v>22</v>
      </c>
    </row>
    <row r="68" spans="2:13" s="20" customFormat="1">
      <c r="B68" s="21">
        <f t="shared" si="0"/>
        <v>361.42</v>
      </c>
      <c r="C68" s="25">
        <f t="shared" si="1"/>
        <v>362.42</v>
      </c>
      <c r="D68" s="29">
        <f t="shared" si="2"/>
        <v>361.92</v>
      </c>
      <c r="E68" s="17">
        <v>1</v>
      </c>
      <c r="F68" s="17">
        <v>0</v>
      </c>
      <c r="G68" s="17">
        <v>0</v>
      </c>
      <c r="H68" s="17">
        <v>0</v>
      </c>
      <c r="I68" s="17">
        <v>0</v>
      </c>
      <c r="J68" s="17">
        <v>112</v>
      </c>
      <c r="K68" s="17">
        <v>0</v>
      </c>
      <c r="L68" s="17">
        <v>0</v>
      </c>
      <c r="M68" s="3">
        <f t="shared" si="3"/>
        <v>113</v>
      </c>
    </row>
    <row r="69" spans="2:13" s="20" customFormat="1">
      <c r="B69" s="21">
        <f t="shared" si="0"/>
        <v>362.42</v>
      </c>
      <c r="C69" s="25">
        <f t="shared" si="1"/>
        <v>363.42</v>
      </c>
      <c r="D69" s="29">
        <f t="shared" si="2"/>
        <v>362.92</v>
      </c>
      <c r="E69" s="17">
        <v>0</v>
      </c>
      <c r="F69" s="17">
        <v>0</v>
      </c>
      <c r="G69" s="17">
        <v>0</v>
      </c>
      <c r="H69" s="17">
        <v>2</v>
      </c>
      <c r="I69" s="17">
        <v>0</v>
      </c>
      <c r="J69" s="17">
        <v>9</v>
      </c>
      <c r="K69" s="17">
        <v>0</v>
      </c>
      <c r="L69" s="17">
        <v>0</v>
      </c>
      <c r="M69" s="3">
        <f t="shared" si="3"/>
        <v>11</v>
      </c>
    </row>
    <row r="70" spans="2:13" s="20" customFormat="1">
      <c r="B70" s="21">
        <f t="shared" si="0"/>
        <v>363.42</v>
      </c>
      <c r="C70" s="25">
        <f t="shared" si="1"/>
        <v>364.42</v>
      </c>
      <c r="D70" s="29">
        <f t="shared" si="2"/>
        <v>363.92</v>
      </c>
      <c r="E70" s="17">
        <v>1</v>
      </c>
      <c r="F70" s="17">
        <v>6</v>
      </c>
      <c r="G70" s="17">
        <v>0</v>
      </c>
      <c r="H70" s="17">
        <v>6</v>
      </c>
      <c r="I70" s="17">
        <v>0</v>
      </c>
      <c r="J70" s="17">
        <v>86</v>
      </c>
      <c r="K70" s="17">
        <v>0</v>
      </c>
      <c r="L70" s="17">
        <v>3</v>
      </c>
      <c r="M70" s="3">
        <f t="shared" si="3"/>
        <v>102</v>
      </c>
    </row>
    <row r="71" spans="2:13" s="20" customFormat="1">
      <c r="B71" s="21">
        <f t="shared" si="0"/>
        <v>364.42</v>
      </c>
      <c r="C71" s="25">
        <f t="shared" si="1"/>
        <v>365.42</v>
      </c>
      <c r="D71" s="29">
        <f t="shared" si="2"/>
        <v>364.92</v>
      </c>
      <c r="E71" s="17">
        <v>0</v>
      </c>
      <c r="F71" s="17">
        <v>0</v>
      </c>
      <c r="G71" s="17">
        <v>0</v>
      </c>
      <c r="H71" s="17">
        <v>3</v>
      </c>
      <c r="I71" s="17">
        <v>0</v>
      </c>
      <c r="J71" s="17">
        <v>72</v>
      </c>
      <c r="K71" s="17">
        <v>0</v>
      </c>
      <c r="L71" s="17">
        <v>1</v>
      </c>
      <c r="M71" s="3">
        <f t="shared" si="3"/>
        <v>76</v>
      </c>
    </row>
    <row r="72" spans="2:13" s="20" customFormat="1">
      <c r="B72" s="21">
        <f t="shared" si="0"/>
        <v>365.42</v>
      </c>
      <c r="C72" s="25">
        <f t="shared" si="1"/>
        <v>366.42</v>
      </c>
      <c r="D72" s="29">
        <f t="shared" si="2"/>
        <v>365.92</v>
      </c>
      <c r="E72" s="17">
        <v>2</v>
      </c>
      <c r="F72" s="17">
        <v>9</v>
      </c>
      <c r="G72" s="17">
        <v>0</v>
      </c>
      <c r="H72" s="17">
        <v>1</v>
      </c>
      <c r="I72" s="17">
        <v>0</v>
      </c>
      <c r="J72" s="17">
        <v>76</v>
      </c>
      <c r="K72" s="17">
        <v>0</v>
      </c>
      <c r="L72" s="17">
        <v>4</v>
      </c>
      <c r="M72" s="3">
        <f t="shared" si="3"/>
        <v>92</v>
      </c>
    </row>
    <row r="73" spans="2:13" s="20" customFormat="1">
      <c r="B73" s="21">
        <v>366.55</v>
      </c>
      <c r="C73" s="25">
        <f t="shared" ref="C73:C106" si="4">B73+1</f>
        <v>367.55</v>
      </c>
      <c r="D73" s="29">
        <f t="shared" ref="D73:D106" si="5">B73+(C73-B73)/2</f>
        <v>367.05</v>
      </c>
      <c r="E73" s="17">
        <v>0</v>
      </c>
      <c r="F73" s="17">
        <v>5</v>
      </c>
      <c r="G73" s="17">
        <v>0</v>
      </c>
      <c r="H73" s="17">
        <v>2</v>
      </c>
      <c r="I73" s="17">
        <v>0</v>
      </c>
      <c r="J73" s="17">
        <v>82</v>
      </c>
      <c r="K73" s="17">
        <v>0</v>
      </c>
      <c r="L73" s="17">
        <v>4</v>
      </c>
      <c r="M73" s="3">
        <f t="shared" ref="M73:M106" si="6">SUM(E73:L73)</f>
        <v>93</v>
      </c>
    </row>
    <row r="74" spans="2:13" s="20" customFormat="1">
      <c r="B74" s="21">
        <f t="shared" ref="B74:B106" si="7">C73</f>
        <v>367.55</v>
      </c>
      <c r="C74" s="25">
        <f t="shared" si="4"/>
        <v>368.55</v>
      </c>
      <c r="D74" s="29">
        <f t="shared" si="5"/>
        <v>368.05</v>
      </c>
      <c r="E74" s="17">
        <v>4</v>
      </c>
      <c r="F74" s="17">
        <v>4</v>
      </c>
      <c r="G74" s="17">
        <v>0</v>
      </c>
      <c r="H74" s="17">
        <v>2</v>
      </c>
      <c r="I74" s="17">
        <v>0</v>
      </c>
      <c r="J74" s="17">
        <v>68</v>
      </c>
      <c r="K74" s="17">
        <v>0</v>
      </c>
      <c r="L74" s="17">
        <v>5</v>
      </c>
      <c r="M74" s="3">
        <f t="shared" si="6"/>
        <v>83</v>
      </c>
    </row>
    <row r="75" spans="2:13" s="20" customFormat="1">
      <c r="B75" s="21">
        <f t="shared" si="7"/>
        <v>368.55</v>
      </c>
      <c r="C75" s="25">
        <f t="shared" si="4"/>
        <v>369.55</v>
      </c>
      <c r="D75" s="29">
        <f t="shared" si="5"/>
        <v>369.05</v>
      </c>
      <c r="E75" s="17">
        <v>3</v>
      </c>
      <c r="F75" s="17">
        <v>1</v>
      </c>
      <c r="G75" s="17">
        <v>0</v>
      </c>
      <c r="H75" s="17">
        <v>4</v>
      </c>
      <c r="I75" s="17">
        <v>0</v>
      </c>
      <c r="J75" s="17">
        <v>0</v>
      </c>
      <c r="K75" s="17">
        <v>0</v>
      </c>
      <c r="L75" s="17">
        <v>3</v>
      </c>
      <c r="M75" s="3">
        <f t="shared" si="6"/>
        <v>11</v>
      </c>
    </row>
    <row r="76" spans="2:13" s="20" customFormat="1">
      <c r="B76" s="21">
        <f t="shared" si="7"/>
        <v>369.55</v>
      </c>
      <c r="C76" s="25">
        <f t="shared" si="4"/>
        <v>370.55</v>
      </c>
      <c r="D76" s="29">
        <f t="shared" si="5"/>
        <v>370.05</v>
      </c>
      <c r="E76" s="17">
        <v>3</v>
      </c>
      <c r="F76" s="17">
        <v>11</v>
      </c>
      <c r="G76" s="17">
        <v>0</v>
      </c>
      <c r="H76" s="17">
        <v>1</v>
      </c>
      <c r="I76" s="17">
        <v>0</v>
      </c>
      <c r="J76" s="17">
        <v>105</v>
      </c>
      <c r="K76" s="17">
        <v>0</v>
      </c>
      <c r="L76" s="17">
        <v>8</v>
      </c>
      <c r="M76" s="3">
        <f t="shared" si="6"/>
        <v>128</v>
      </c>
    </row>
    <row r="77" spans="2:13" s="20" customFormat="1">
      <c r="B77" s="21">
        <f t="shared" si="7"/>
        <v>370.55</v>
      </c>
      <c r="C77" s="25">
        <f t="shared" si="4"/>
        <v>371.55</v>
      </c>
      <c r="D77" s="29">
        <f t="shared" si="5"/>
        <v>371.05</v>
      </c>
      <c r="E77" s="17">
        <v>2</v>
      </c>
      <c r="F77" s="17">
        <v>4</v>
      </c>
      <c r="G77" s="17">
        <v>0</v>
      </c>
      <c r="H77" s="17">
        <v>2</v>
      </c>
      <c r="I77" s="17">
        <v>0</v>
      </c>
      <c r="J77" s="17">
        <v>123</v>
      </c>
      <c r="K77" s="17">
        <v>0</v>
      </c>
      <c r="L77" s="17">
        <v>5</v>
      </c>
      <c r="M77" s="3">
        <f t="shared" si="6"/>
        <v>136</v>
      </c>
    </row>
    <row r="78" spans="2:13" s="20" customFormat="1">
      <c r="B78" s="21">
        <f t="shared" si="7"/>
        <v>371.55</v>
      </c>
      <c r="C78" s="25">
        <f t="shared" si="4"/>
        <v>372.55</v>
      </c>
      <c r="D78" s="29">
        <f t="shared" si="5"/>
        <v>372.05</v>
      </c>
      <c r="E78" s="17">
        <v>2</v>
      </c>
      <c r="F78" s="17">
        <v>8</v>
      </c>
      <c r="G78" s="17">
        <v>0</v>
      </c>
      <c r="H78" s="17">
        <v>7</v>
      </c>
      <c r="I78" s="17">
        <v>0</v>
      </c>
      <c r="J78" s="17">
        <v>114</v>
      </c>
      <c r="K78" s="17">
        <v>0</v>
      </c>
      <c r="L78" s="17">
        <v>17</v>
      </c>
      <c r="M78" s="3">
        <f t="shared" si="6"/>
        <v>148</v>
      </c>
    </row>
    <row r="79" spans="2:13" s="20" customFormat="1">
      <c r="B79" s="21">
        <f t="shared" si="7"/>
        <v>372.55</v>
      </c>
      <c r="C79" s="25">
        <f t="shared" si="4"/>
        <v>373.55</v>
      </c>
      <c r="D79" s="29">
        <f t="shared" si="5"/>
        <v>373.05</v>
      </c>
      <c r="E79" s="17">
        <v>4</v>
      </c>
      <c r="F79" s="17">
        <v>6</v>
      </c>
      <c r="G79" s="17">
        <v>0</v>
      </c>
      <c r="H79" s="17">
        <v>5</v>
      </c>
      <c r="I79" s="17">
        <v>0</v>
      </c>
      <c r="J79" s="17">
        <v>78</v>
      </c>
      <c r="K79" s="17">
        <v>0</v>
      </c>
      <c r="L79" s="17">
        <v>4</v>
      </c>
      <c r="M79" s="3">
        <f t="shared" si="6"/>
        <v>97</v>
      </c>
    </row>
    <row r="80" spans="2:13" s="20" customFormat="1">
      <c r="B80" s="21">
        <f t="shared" si="7"/>
        <v>373.55</v>
      </c>
      <c r="C80" s="25">
        <f t="shared" si="4"/>
        <v>374.55</v>
      </c>
      <c r="D80" s="29">
        <f t="shared" si="5"/>
        <v>374.05</v>
      </c>
      <c r="E80" s="17">
        <v>2</v>
      </c>
      <c r="F80" s="17">
        <v>0</v>
      </c>
      <c r="G80" s="17">
        <v>0</v>
      </c>
      <c r="H80" s="17">
        <v>4</v>
      </c>
      <c r="I80" s="17">
        <v>0</v>
      </c>
      <c r="J80" s="17">
        <v>78</v>
      </c>
      <c r="K80" s="17">
        <v>0</v>
      </c>
      <c r="L80" s="17">
        <v>0</v>
      </c>
      <c r="M80" s="3">
        <f t="shared" si="6"/>
        <v>84</v>
      </c>
    </row>
    <row r="81" spans="2:13" s="20" customFormat="1">
      <c r="B81" s="21">
        <f t="shared" si="7"/>
        <v>374.55</v>
      </c>
      <c r="C81" s="25">
        <f t="shared" si="4"/>
        <v>375.55</v>
      </c>
      <c r="D81" s="29">
        <f t="shared" si="5"/>
        <v>375.05</v>
      </c>
      <c r="E81" s="17">
        <v>3</v>
      </c>
      <c r="F81" s="17">
        <v>4</v>
      </c>
      <c r="G81" s="17">
        <v>0</v>
      </c>
      <c r="H81" s="17">
        <v>4</v>
      </c>
      <c r="I81" s="17">
        <v>0</v>
      </c>
      <c r="J81" s="17">
        <v>57</v>
      </c>
      <c r="K81" s="17">
        <v>0</v>
      </c>
      <c r="L81" s="17">
        <v>6</v>
      </c>
      <c r="M81" s="3">
        <f t="shared" si="6"/>
        <v>74</v>
      </c>
    </row>
    <row r="82" spans="2:13" s="20" customFormat="1">
      <c r="B82" s="21">
        <f t="shared" si="7"/>
        <v>375.55</v>
      </c>
      <c r="C82" s="25">
        <f t="shared" si="4"/>
        <v>376.55</v>
      </c>
      <c r="D82" s="29">
        <f t="shared" si="5"/>
        <v>376.05</v>
      </c>
      <c r="E82" s="17">
        <v>3</v>
      </c>
      <c r="F82" s="17">
        <v>3</v>
      </c>
      <c r="G82" s="17">
        <v>0</v>
      </c>
      <c r="H82" s="17">
        <v>0</v>
      </c>
      <c r="I82" s="17">
        <v>0</v>
      </c>
      <c r="J82" s="17">
        <v>76</v>
      </c>
      <c r="K82" s="17">
        <v>0</v>
      </c>
      <c r="L82" s="17">
        <v>19</v>
      </c>
      <c r="M82" s="3">
        <f t="shared" si="6"/>
        <v>101</v>
      </c>
    </row>
    <row r="83" spans="2:13" s="20" customFormat="1">
      <c r="B83" s="21">
        <f t="shared" si="7"/>
        <v>376.55</v>
      </c>
      <c r="C83" s="25">
        <f t="shared" si="4"/>
        <v>377.55</v>
      </c>
      <c r="D83" s="29">
        <f t="shared" si="5"/>
        <v>377.05</v>
      </c>
      <c r="E83" s="17">
        <v>1</v>
      </c>
      <c r="F83" s="17">
        <v>0</v>
      </c>
      <c r="G83" s="17">
        <v>0</v>
      </c>
      <c r="H83" s="17">
        <v>4</v>
      </c>
      <c r="I83" s="17">
        <v>0</v>
      </c>
      <c r="J83" s="17">
        <v>36</v>
      </c>
      <c r="K83" s="17">
        <v>0</v>
      </c>
      <c r="L83" s="17">
        <v>0</v>
      </c>
      <c r="M83" s="3">
        <f t="shared" si="6"/>
        <v>41</v>
      </c>
    </row>
    <row r="84" spans="2:13" s="20" customFormat="1">
      <c r="B84" s="21">
        <f t="shared" si="7"/>
        <v>377.55</v>
      </c>
      <c r="C84" s="25">
        <f t="shared" si="4"/>
        <v>378.55</v>
      </c>
      <c r="D84" s="29">
        <f t="shared" si="5"/>
        <v>378.05</v>
      </c>
      <c r="E84" s="17">
        <v>0</v>
      </c>
      <c r="F84" s="17">
        <v>0</v>
      </c>
      <c r="G84" s="17">
        <v>0</v>
      </c>
      <c r="H84" s="17">
        <v>2</v>
      </c>
      <c r="I84" s="17">
        <v>0</v>
      </c>
      <c r="J84" s="17">
        <v>46</v>
      </c>
      <c r="K84" s="17">
        <v>0</v>
      </c>
      <c r="L84" s="17">
        <v>3</v>
      </c>
      <c r="M84" s="3">
        <f t="shared" si="6"/>
        <v>51</v>
      </c>
    </row>
    <row r="85" spans="2:13" s="20" customFormat="1">
      <c r="B85" s="21">
        <f t="shared" si="7"/>
        <v>378.55</v>
      </c>
      <c r="C85" s="25">
        <f t="shared" si="4"/>
        <v>379.55</v>
      </c>
      <c r="D85" s="29">
        <f t="shared" si="5"/>
        <v>379.05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17</v>
      </c>
      <c r="K85" s="17">
        <v>0</v>
      </c>
      <c r="L85" s="17">
        <v>2</v>
      </c>
      <c r="M85" s="3">
        <f t="shared" si="6"/>
        <v>19</v>
      </c>
    </row>
    <row r="86" spans="2:13" s="20" customFormat="1">
      <c r="B86" s="21">
        <f t="shared" si="7"/>
        <v>379.55</v>
      </c>
      <c r="C86" s="25">
        <f t="shared" si="4"/>
        <v>380.55</v>
      </c>
      <c r="D86" s="29">
        <f t="shared" si="5"/>
        <v>380.05</v>
      </c>
      <c r="E86" s="17">
        <v>2</v>
      </c>
      <c r="F86" s="17">
        <v>0</v>
      </c>
      <c r="G86" s="17">
        <v>0</v>
      </c>
      <c r="H86" s="17">
        <v>0</v>
      </c>
      <c r="I86" s="17">
        <v>0</v>
      </c>
      <c r="J86" s="17">
        <v>40</v>
      </c>
      <c r="K86" s="17">
        <v>0</v>
      </c>
      <c r="L86" s="17">
        <v>8</v>
      </c>
      <c r="M86" s="3">
        <f t="shared" si="6"/>
        <v>50</v>
      </c>
    </row>
    <row r="87" spans="2:13" s="20" customFormat="1">
      <c r="B87" s="21">
        <f t="shared" si="7"/>
        <v>380.55</v>
      </c>
      <c r="C87" s="25">
        <f t="shared" si="4"/>
        <v>381.55</v>
      </c>
      <c r="D87" s="29">
        <f t="shared" si="5"/>
        <v>381.05</v>
      </c>
      <c r="E87" s="17">
        <v>2</v>
      </c>
      <c r="F87" s="17">
        <v>1</v>
      </c>
      <c r="G87" s="17">
        <v>0</v>
      </c>
      <c r="H87" s="17">
        <v>5</v>
      </c>
      <c r="I87" s="17">
        <v>0</v>
      </c>
      <c r="J87" s="17">
        <v>40</v>
      </c>
      <c r="K87" s="17">
        <v>0</v>
      </c>
      <c r="L87" s="17">
        <v>15</v>
      </c>
      <c r="M87" s="3">
        <f t="shared" si="6"/>
        <v>63</v>
      </c>
    </row>
    <row r="88" spans="2:13" s="20" customFormat="1">
      <c r="B88" s="21">
        <f t="shared" si="7"/>
        <v>381.55</v>
      </c>
      <c r="C88" s="25">
        <f t="shared" si="4"/>
        <v>382.55</v>
      </c>
      <c r="D88" s="29">
        <f t="shared" si="5"/>
        <v>382.05</v>
      </c>
      <c r="E88" s="17">
        <v>6</v>
      </c>
      <c r="F88" s="17">
        <v>4</v>
      </c>
      <c r="G88" s="17">
        <v>0</v>
      </c>
      <c r="H88" s="17">
        <v>1</v>
      </c>
      <c r="I88" s="17">
        <v>0</v>
      </c>
      <c r="J88" s="17">
        <v>35</v>
      </c>
      <c r="K88" s="17">
        <v>0</v>
      </c>
      <c r="L88" s="17">
        <v>13</v>
      </c>
      <c r="M88" s="3">
        <f t="shared" si="6"/>
        <v>59</v>
      </c>
    </row>
    <row r="89" spans="2:13" s="20" customFormat="1">
      <c r="B89" s="21">
        <f t="shared" si="7"/>
        <v>382.55</v>
      </c>
      <c r="C89" s="25">
        <f t="shared" si="4"/>
        <v>383.55</v>
      </c>
      <c r="D89" s="29">
        <f t="shared" si="5"/>
        <v>383.05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3">
        <f t="shared" si="6"/>
        <v>0</v>
      </c>
    </row>
    <row r="90" spans="2:13" s="20" customFormat="1">
      <c r="B90" s="21">
        <f t="shared" si="7"/>
        <v>383.55</v>
      </c>
      <c r="C90" s="25">
        <f t="shared" si="4"/>
        <v>384.55</v>
      </c>
      <c r="D90" s="29">
        <f t="shared" si="5"/>
        <v>384.05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3">
        <f t="shared" si="6"/>
        <v>0</v>
      </c>
    </row>
    <row r="91" spans="2:13" s="20" customFormat="1">
      <c r="B91" s="21">
        <f t="shared" si="7"/>
        <v>384.55</v>
      </c>
      <c r="C91" s="25">
        <f t="shared" si="4"/>
        <v>385.55</v>
      </c>
      <c r="D91" s="29">
        <f t="shared" si="5"/>
        <v>385.05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3">
        <f t="shared" si="6"/>
        <v>0</v>
      </c>
    </row>
    <row r="92" spans="2:13" s="20" customFormat="1">
      <c r="B92" s="21">
        <f t="shared" si="7"/>
        <v>385.55</v>
      </c>
      <c r="C92" s="25">
        <f t="shared" si="4"/>
        <v>386.55</v>
      </c>
      <c r="D92" s="29">
        <f t="shared" si="5"/>
        <v>386.05</v>
      </c>
      <c r="E92" s="17">
        <v>2</v>
      </c>
      <c r="F92" s="17">
        <v>0</v>
      </c>
      <c r="G92" s="17">
        <v>0</v>
      </c>
      <c r="H92" s="17">
        <v>1</v>
      </c>
      <c r="I92" s="17">
        <v>2</v>
      </c>
      <c r="J92" s="17">
        <v>4</v>
      </c>
      <c r="K92" s="17">
        <v>0</v>
      </c>
      <c r="L92" s="17">
        <v>6</v>
      </c>
      <c r="M92" s="3">
        <f t="shared" si="6"/>
        <v>15</v>
      </c>
    </row>
    <row r="93" spans="2:13" s="20" customFormat="1">
      <c r="B93" s="21">
        <f t="shared" si="7"/>
        <v>386.55</v>
      </c>
      <c r="C93" s="25">
        <f t="shared" si="4"/>
        <v>387.55</v>
      </c>
      <c r="D93" s="29">
        <f t="shared" si="5"/>
        <v>387.05</v>
      </c>
      <c r="E93" s="17">
        <v>0</v>
      </c>
      <c r="F93" s="17">
        <v>1</v>
      </c>
      <c r="G93" s="17">
        <v>0</v>
      </c>
      <c r="H93" s="17">
        <v>0</v>
      </c>
      <c r="I93" s="17">
        <v>0</v>
      </c>
      <c r="J93" s="17">
        <v>1</v>
      </c>
      <c r="K93" s="17">
        <v>0</v>
      </c>
      <c r="L93" s="17">
        <v>5</v>
      </c>
      <c r="M93" s="3">
        <f t="shared" si="6"/>
        <v>7</v>
      </c>
    </row>
    <row r="94" spans="2:13" s="20" customFormat="1">
      <c r="B94" s="21">
        <f t="shared" si="7"/>
        <v>387.55</v>
      </c>
      <c r="C94" s="25">
        <f t="shared" si="4"/>
        <v>388.55</v>
      </c>
      <c r="D94" s="29">
        <f t="shared" si="5"/>
        <v>388.05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3">
        <f t="shared" si="6"/>
        <v>0</v>
      </c>
    </row>
    <row r="95" spans="2:13" s="20" customFormat="1">
      <c r="B95" s="21">
        <f t="shared" si="7"/>
        <v>388.55</v>
      </c>
      <c r="C95" s="25">
        <f t="shared" si="4"/>
        <v>389.55</v>
      </c>
      <c r="D95" s="29">
        <f t="shared" si="5"/>
        <v>389.05</v>
      </c>
      <c r="E95" s="17">
        <v>0</v>
      </c>
      <c r="F95" s="17">
        <v>0</v>
      </c>
      <c r="G95" s="17">
        <v>0</v>
      </c>
      <c r="H95" s="17">
        <v>0</v>
      </c>
      <c r="I95" s="17">
        <v>1</v>
      </c>
      <c r="J95" s="17">
        <v>0</v>
      </c>
      <c r="K95" s="17">
        <v>0</v>
      </c>
      <c r="L95" s="17">
        <v>0</v>
      </c>
      <c r="M95" s="3">
        <f t="shared" si="6"/>
        <v>1</v>
      </c>
    </row>
    <row r="96" spans="2:13" s="20" customFormat="1">
      <c r="B96" s="21">
        <f t="shared" si="7"/>
        <v>389.55</v>
      </c>
      <c r="C96" s="25">
        <f t="shared" si="4"/>
        <v>390.55</v>
      </c>
      <c r="D96" s="29">
        <f t="shared" si="5"/>
        <v>390.05</v>
      </c>
      <c r="E96" s="17">
        <v>0</v>
      </c>
      <c r="F96" s="17">
        <v>0</v>
      </c>
      <c r="G96" s="17">
        <v>0</v>
      </c>
      <c r="H96" s="17">
        <v>2</v>
      </c>
      <c r="I96" s="17">
        <v>5</v>
      </c>
      <c r="J96" s="17">
        <v>7</v>
      </c>
      <c r="K96" s="17">
        <v>0</v>
      </c>
      <c r="L96" s="17">
        <v>0</v>
      </c>
      <c r="M96" s="3">
        <f t="shared" si="6"/>
        <v>14</v>
      </c>
    </row>
    <row r="97" spans="2:13" s="20" customFormat="1">
      <c r="B97" s="21">
        <f t="shared" si="7"/>
        <v>390.55</v>
      </c>
      <c r="C97" s="25">
        <f t="shared" si="4"/>
        <v>391.55</v>
      </c>
      <c r="D97" s="29">
        <f t="shared" si="5"/>
        <v>391.05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6</v>
      </c>
      <c r="K97" s="17">
        <v>0</v>
      </c>
      <c r="L97" s="17">
        <v>0</v>
      </c>
      <c r="M97" s="3">
        <f t="shared" si="6"/>
        <v>6</v>
      </c>
    </row>
    <row r="98" spans="2:13" s="20" customFormat="1">
      <c r="B98" s="21">
        <f t="shared" si="7"/>
        <v>391.55</v>
      </c>
      <c r="C98" s="25">
        <f t="shared" si="4"/>
        <v>392.55</v>
      </c>
      <c r="D98" s="29">
        <f t="shared" si="5"/>
        <v>392.05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10</v>
      </c>
      <c r="K98" s="17">
        <v>0</v>
      </c>
      <c r="L98" s="17">
        <v>0</v>
      </c>
      <c r="M98" s="3">
        <f t="shared" si="6"/>
        <v>10</v>
      </c>
    </row>
    <row r="99" spans="2:13" s="20" customFormat="1">
      <c r="B99" s="21">
        <f t="shared" si="7"/>
        <v>392.55</v>
      </c>
      <c r="C99" s="25">
        <f t="shared" si="4"/>
        <v>393.55</v>
      </c>
      <c r="D99" s="29">
        <f t="shared" si="5"/>
        <v>393.05</v>
      </c>
      <c r="E99" s="17">
        <v>0</v>
      </c>
      <c r="F99" s="17">
        <v>0</v>
      </c>
      <c r="G99" s="17">
        <v>0</v>
      </c>
      <c r="H99" s="17">
        <v>0</v>
      </c>
      <c r="I99" s="17">
        <v>3</v>
      </c>
      <c r="J99" s="17">
        <v>1</v>
      </c>
      <c r="K99" s="17">
        <v>0</v>
      </c>
      <c r="L99" s="17">
        <v>0</v>
      </c>
      <c r="M99" s="3">
        <f t="shared" si="6"/>
        <v>4</v>
      </c>
    </row>
    <row r="100" spans="2:13" s="20" customFormat="1">
      <c r="B100" s="21">
        <f t="shared" si="7"/>
        <v>393.55</v>
      </c>
      <c r="C100" s="25">
        <f t="shared" si="4"/>
        <v>394.55</v>
      </c>
      <c r="D100" s="29">
        <f t="shared" si="5"/>
        <v>394.05</v>
      </c>
      <c r="E100" s="17">
        <v>0</v>
      </c>
      <c r="F100" s="17">
        <v>0</v>
      </c>
      <c r="G100" s="17">
        <v>0</v>
      </c>
      <c r="H100" s="17">
        <v>0</v>
      </c>
      <c r="I100" s="17">
        <v>1</v>
      </c>
      <c r="J100" s="17">
        <v>2</v>
      </c>
      <c r="K100" s="17">
        <v>0</v>
      </c>
      <c r="L100" s="17">
        <v>0</v>
      </c>
      <c r="M100" s="3">
        <f t="shared" si="6"/>
        <v>3</v>
      </c>
    </row>
    <row r="101" spans="2:13" s="20" customFormat="1">
      <c r="B101" s="21">
        <f t="shared" si="7"/>
        <v>394.55</v>
      </c>
      <c r="C101" s="25">
        <f t="shared" si="4"/>
        <v>395.55</v>
      </c>
      <c r="D101" s="29">
        <f t="shared" si="5"/>
        <v>395.05</v>
      </c>
      <c r="E101" s="17">
        <v>0</v>
      </c>
      <c r="F101" s="17">
        <v>0</v>
      </c>
      <c r="G101" s="17">
        <v>0</v>
      </c>
      <c r="H101" s="17">
        <v>0</v>
      </c>
      <c r="I101" s="17">
        <v>9</v>
      </c>
      <c r="J101" s="17">
        <v>4</v>
      </c>
      <c r="K101" s="17">
        <v>0</v>
      </c>
      <c r="L101" s="17">
        <v>0</v>
      </c>
      <c r="M101" s="3">
        <f t="shared" si="6"/>
        <v>13</v>
      </c>
    </row>
    <row r="102" spans="2:13" s="20" customFormat="1">
      <c r="B102" s="21">
        <f t="shared" si="7"/>
        <v>395.55</v>
      </c>
      <c r="C102" s="25">
        <f t="shared" si="4"/>
        <v>396.55</v>
      </c>
      <c r="D102" s="29">
        <f t="shared" si="5"/>
        <v>396.05</v>
      </c>
      <c r="E102" s="17">
        <v>0</v>
      </c>
      <c r="F102" s="17">
        <v>0</v>
      </c>
      <c r="G102" s="17">
        <v>0</v>
      </c>
      <c r="H102" s="17">
        <v>1</v>
      </c>
      <c r="I102" s="17">
        <v>4</v>
      </c>
      <c r="J102" s="17">
        <v>2</v>
      </c>
      <c r="K102" s="17">
        <v>0</v>
      </c>
      <c r="L102" s="17">
        <v>0</v>
      </c>
      <c r="M102" s="3">
        <f t="shared" si="6"/>
        <v>7</v>
      </c>
    </row>
    <row r="103" spans="2:13" s="20" customFormat="1">
      <c r="B103" s="21">
        <f t="shared" si="7"/>
        <v>396.55</v>
      </c>
      <c r="C103" s="25">
        <f t="shared" si="4"/>
        <v>397.55</v>
      </c>
      <c r="D103" s="29">
        <f t="shared" si="5"/>
        <v>397.05</v>
      </c>
      <c r="E103" s="17">
        <v>0</v>
      </c>
      <c r="F103" s="17">
        <v>0</v>
      </c>
      <c r="G103" s="17">
        <v>0</v>
      </c>
      <c r="H103" s="17">
        <v>0</v>
      </c>
      <c r="I103" s="17">
        <v>5</v>
      </c>
      <c r="J103" s="17">
        <v>6</v>
      </c>
      <c r="K103" s="17">
        <v>0</v>
      </c>
      <c r="L103" s="17">
        <v>0</v>
      </c>
      <c r="M103" s="3">
        <f t="shared" si="6"/>
        <v>11</v>
      </c>
    </row>
    <row r="104" spans="2:13" s="20" customFormat="1">
      <c r="B104" s="21">
        <f t="shared" si="7"/>
        <v>397.55</v>
      </c>
      <c r="C104" s="25">
        <f t="shared" si="4"/>
        <v>398.55</v>
      </c>
      <c r="D104" s="29">
        <f t="shared" si="5"/>
        <v>398.05</v>
      </c>
      <c r="E104" s="17">
        <v>0</v>
      </c>
      <c r="F104" s="17">
        <v>0</v>
      </c>
      <c r="G104" s="17">
        <v>0</v>
      </c>
      <c r="H104" s="17">
        <v>0</v>
      </c>
      <c r="I104" s="17">
        <v>11</v>
      </c>
      <c r="J104" s="17">
        <v>29</v>
      </c>
      <c r="K104" s="17">
        <v>0</v>
      </c>
      <c r="L104" s="17">
        <v>0</v>
      </c>
      <c r="M104" s="3">
        <f t="shared" si="6"/>
        <v>40</v>
      </c>
    </row>
    <row r="105" spans="2:13" s="20" customFormat="1">
      <c r="B105" s="21">
        <f t="shared" si="7"/>
        <v>398.55</v>
      </c>
      <c r="C105" s="25">
        <f t="shared" si="4"/>
        <v>399.55</v>
      </c>
      <c r="D105" s="29">
        <f t="shared" si="5"/>
        <v>399.05</v>
      </c>
      <c r="E105" s="17">
        <v>1</v>
      </c>
      <c r="F105" s="17">
        <v>0</v>
      </c>
      <c r="G105" s="17">
        <v>0</v>
      </c>
      <c r="H105" s="17">
        <v>0</v>
      </c>
      <c r="I105" s="17">
        <v>1</v>
      </c>
      <c r="J105" s="17">
        <v>2</v>
      </c>
      <c r="K105" s="17">
        <v>0</v>
      </c>
      <c r="L105" s="17">
        <v>0</v>
      </c>
      <c r="M105" s="3">
        <f t="shared" si="6"/>
        <v>4</v>
      </c>
    </row>
    <row r="106" spans="2:13" s="20" customFormat="1">
      <c r="B106" s="21">
        <f t="shared" si="7"/>
        <v>399.55</v>
      </c>
      <c r="C106" s="25">
        <f t="shared" si="4"/>
        <v>400.55</v>
      </c>
      <c r="D106" s="29">
        <f t="shared" si="5"/>
        <v>400.05</v>
      </c>
      <c r="E106" s="17">
        <v>0</v>
      </c>
      <c r="F106" s="17">
        <v>0</v>
      </c>
      <c r="G106" s="17">
        <v>0</v>
      </c>
      <c r="H106" s="17">
        <v>2</v>
      </c>
      <c r="I106" s="17">
        <v>1</v>
      </c>
      <c r="J106" s="17">
        <v>10</v>
      </c>
      <c r="K106" s="17">
        <v>0</v>
      </c>
      <c r="L106" s="17">
        <v>0</v>
      </c>
      <c r="M106" s="3">
        <f t="shared" si="6"/>
        <v>13</v>
      </c>
    </row>
    <row r="107" spans="2:13" s="20" customFormat="1">
      <c r="B107" s="21"/>
      <c r="C107" s="21"/>
      <c r="D107" s="2" t="s">
        <v>2</v>
      </c>
      <c r="E107" s="2" t="s">
        <v>2</v>
      </c>
      <c r="F107" s="2" t="s">
        <v>2</v>
      </c>
      <c r="G107" s="2" t="s">
        <v>2</v>
      </c>
      <c r="H107" s="2" t="s">
        <v>2</v>
      </c>
      <c r="I107" s="2" t="s">
        <v>2</v>
      </c>
      <c r="J107" s="2" t="s">
        <v>2</v>
      </c>
      <c r="K107" s="2" t="s">
        <v>2</v>
      </c>
      <c r="L107" s="2" t="s">
        <v>1</v>
      </c>
      <c r="M107" s="2" t="s">
        <v>1</v>
      </c>
    </row>
    <row r="108" spans="2:13" s="20" customFormat="1">
      <c r="B108" s="21"/>
      <c r="C108" s="21"/>
      <c r="D108" s="2" t="s">
        <v>3</v>
      </c>
      <c r="E108" s="24">
        <f>SUM(E7:E106)</f>
        <v>157</v>
      </c>
      <c r="F108" s="24">
        <f t="shared" ref="F108:M108" si="8">SUM(F7:F106)</f>
        <v>270</v>
      </c>
      <c r="G108" s="24">
        <f t="shared" si="8"/>
        <v>5</v>
      </c>
      <c r="H108" s="24">
        <f t="shared" si="8"/>
        <v>125</v>
      </c>
      <c r="I108" s="24">
        <f t="shared" si="8"/>
        <v>43</v>
      </c>
      <c r="J108" s="24">
        <f t="shared" si="8"/>
        <v>5782</v>
      </c>
      <c r="K108" s="24">
        <f t="shared" si="8"/>
        <v>0</v>
      </c>
      <c r="L108" s="24">
        <f t="shared" si="8"/>
        <v>339</v>
      </c>
      <c r="M108" s="24">
        <f t="shared" si="8"/>
        <v>6721</v>
      </c>
    </row>
    <row r="109" spans="2:13" s="20" customFormat="1">
      <c r="B109" s="21"/>
      <c r="C109" s="21"/>
      <c r="D109" s="22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2:13" s="20" customFormat="1">
      <c r="B110" s="21"/>
      <c r="C110" s="21"/>
      <c r="D110" s="22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2:13" s="20" customFormat="1">
      <c r="B111" s="21"/>
      <c r="C111" s="21"/>
      <c r="D111" s="22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2:13" s="20" customFormat="1">
      <c r="B112" s="21"/>
      <c r="C112" s="21"/>
      <c r="D112" s="22"/>
      <c r="E112" s="17"/>
      <c r="F112" s="17"/>
      <c r="G112" s="17"/>
      <c r="H112" s="17"/>
      <c r="I112" s="17"/>
      <c r="J112" s="17"/>
      <c r="K112" s="17"/>
      <c r="L112" s="17"/>
      <c r="M112" s="3"/>
    </row>
    <row r="113" spans="2:13" s="20" customFormat="1">
      <c r="B113" s="21"/>
      <c r="C113" s="21"/>
      <c r="D113" s="22"/>
      <c r="E113" s="17"/>
      <c r="F113" s="17"/>
      <c r="G113" s="17"/>
      <c r="H113" s="17"/>
      <c r="I113" s="17"/>
      <c r="J113" s="17"/>
      <c r="K113" s="17"/>
      <c r="L113" s="17"/>
      <c r="M113" s="3"/>
    </row>
    <row r="114" spans="2:13" s="20" customFormat="1">
      <c r="B114" s="21"/>
      <c r="C114" s="21"/>
      <c r="D114" s="22"/>
      <c r="E114" s="17"/>
      <c r="F114" s="17"/>
      <c r="G114" s="17"/>
      <c r="H114" s="17"/>
      <c r="I114" s="17"/>
      <c r="J114" s="17"/>
      <c r="K114" s="17"/>
      <c r="L114" s="17"/>
      <c r="M114" s="3"/>
    </row>
    <row r="115" spans="2:13" s="20" customFormat="1">
      <c r="B115" s="21"/>
      <c r="C115" s="21"/>
      <c r="D115" s="22"/>
      <c r="E115" s="17"/>
      <c r="F115" s="17"/>
      <c r="G115" s="17"/>
      <c r="H115" s="17"/>
      <c r="I115" s="17"/>
      <c r="J115" s="17"/>
      <c r="K115" s="17"/>
      <c r="L115" s="17"/>
      <c r="M115" s="3"/>
    </row>
    <row r="116" spans="2:13" s="20" customFormat="1">
      <c r="B116" s="21"/>
      <c r="C116" s="21"/>
      <c r="D116" s="22"/>
      <c r="E116" s="17"/>
      <c r="F116" s="17"/>
      <c r="G116" s="17"/>
      <c r="H116" s="17"/>
      <c r="I116" s="17"/>
      <c r="J116" s="17"/>
      <c r="K116" s="17"/>
      <c r="L116" s="17"/>
      <c r="M116" s="3"/>
    </row>
    <row r="117" spans="2:13" s="20" customFormat="1">
      <c r="B117" s="21"/>
      <c r="C117" s="21"/>
      <c r="D117" s="22"/>
      <c r="E117" s="17"/>
      <c r="F117" s="17"/>
      <c r="G117" s="17"/>
      <c r="H117" s="17"/>
      <c r="I117" s="17"/>
      <c r="J117" s="17"/>
      <c r="K117" s="17"/>
      <c r="L117" s="17"/>
      <c r="M117" s="3"/>
    </row>
    <row r="118" spans="2:13" s="20" customFormat="1">
      <c r="B118" s="21"/>
      <c r="C118" s="21"/>
      <c r="D118" s="22"/>
      <c r="E118" s="17"/>
      <c r="F118" s="17"/>
      <c r="G118" s="17"/>
      <c r="H118" s="17"/>
      <c r="I118" s="17"/>
      <c r="J118" s="17"/>
      <c r="K118" s="17"/>
      <c r="L118" s="17"/>
      <c r="M118" s="3"/>
    </row>
    <row r="119" spans="2:13" s="20" customFormat="1">
      <c r="B119" s="21"/>
      <c r="C119" s="21"/>
      <c r="D119" s="22"/>
      <c r="E119" s="17"/>
      <c r="F119" s="17"/>
      <c r="G119" s="17"/>
      <c r="H119" s="17"/>
      <c r="I119" s="17"/>
      <c r="J119" s="17"/>
      <c r="K119" s="17"/>
      <c r="L119" s="17"/>
      <c r="M119" s="3"/>
    </row>
    <row r="120" spans="2:13" s="20" customFormat="1">
      <c r="B120" s="21"/>
      <c r="C120" s="21"/>
      <c r="D120" s="22"/>
      <c r="E120" s="17"/>
      <c r="F120" s="17"/>
      <c r="G120" s="17"/>
      <c r="H120" s="17"/>
      <c r="I120" s="17"/>
      <c r="J120" s="17"/>
      <c r="K120" s="17"/>
      <c r="L120" s="17"/>
      <c r="M120" s="3"/>
    </row>
    <row r="121" spans="2:13" s="20" customFormat="1">
      <c r="B121" s="21"/>
      <c r="C121" s="21"/>
      <c r="D121" s="22"/>
      <c r="E121" s="17"/>
      <c r="F121" s="17"/>
      <c r="G121" s="17"/>
      <c r="H121" s="17"/>
      <c r="I121" s="17"/>
      <c r="J121" s="17"/>
      <c r="K121" s="17"/>
      <c r="L121" s="17"/>
      <c r="M121" s="3"/>
    </row>
    <row r="122" spans="2:13" s="20" customFormat="1">
      <c r="B122" s="21"/>
      <c r="C122" s="21"/>
      <c r="D122" s="22"/>
      <c r="E122" s="17"/>
      <c r="F122" s="17"/>
      <c r="G122" s="17"/>
      <c r="H122" s="17"/>
      <c r="I122" s="17"/>
      <c r="J122" s="17"/>
      <c r="K122" s="17"/>
      <c r="L122" s="17"/>
      <c r="M122" s="3"/>
    </row>
    <row r="123" spans="2:13" s="20" customFormat="1">
      <c r="B123" s="21"/>
      <c r="C123" s="21"/>
      <c r="D123" s="22"/>
      <c r="E123" s="17"/>
      <c r="F123" s="17"/>
      <c r="G123" s="17"/>
      <c r="H123" s="17"/>
      <c r="I123" s="17"/>
      <c r="J123" s="17"/>
      <c r="K123" s="17"/>
      <c r="L123" s="17"/>
      <c r="M123" s="3"/>
    </row>
    <row r="124" spans="2:13" s="20" customFormat="1">
      <c r="B124" s="21"/>
      <c r="C124" s="21"/>
      <c r="D124" s="22"/>
      <c r="E124" s="17"/>
      <c r="F124" s="17"/>
      <c r="G124" s="17"/>
      <c r="H124" s="17"/>
      <c r="I124" s="17"/>
      <c r="J124" s="17"/>
      <c r="K124" s="17"/>
      <c r="L124" s="17"/>
      <c r="M124" s="3"/>
    </row>
    <row r="125" spans="2:13" s="20" customFormat="1">
      <c r="B125" s="21"/>
      <c r="C125" s="21"/>
      <c r="D125" s="22"/>
      <c r="E125" s="17"/>
      <c r="F125" s="17"/>
      <c r="G125" s="17"/>
      <c r="H125" s="17"/>
      <c r="I125" s="17"/>
      <c r="J125" s="17"/>
      <c r="K125" s="17"/>
      <c r="L125" s="17"/>
      <c r="M125" s="3"/>
    </row>
    <row r="126" spans="2:13" s="20" customFormat="1">
      <c r="B126" s="21"/>
      <c r="C126" s="21"/>
      <c r="D126" s="22"/>
      <c r="E126" s="17"/>
      <c r="F126" s="17"/>
      <c r="G126" s="17"/>
      <c r="H126" s="17"/>
      <c r="I126" s="17"/>
      <c r="J126" s="17"/>
      <c r="K126" s="17"/>
      <c r="L126" s="17"/>
      <c r="M126" s="3"/>
    </row>
    <row r="127" spans="2:13" s="20" customFormat="1">
      <c r="B127" s="21"/>
      <c r="C127" s="21"/>
      <c r="D127" s="22"/>
      <c r="E127" s="17"/>
      <c r="F127" s="17"/>
      <c r="G127" s="17"/>
      <c r="H127" s="17"/>
      <c r="I127" s="17"/>
      <c r="J127" s="17"/>
      <c r="K127" s="17"/>
      <c r="L127" s="17"/>
      <c r="M127" s="3"/>
    </row>
    <row r="128" spans="2:13" s="20" customFormat="1">
      <c r="B128" s="21"/>
      <c r="C128" s="21"/>
      <c r="D128" s="22"/>
      <c r="E128" s="17"/>
      <c r="F128" s="17"/>
      <c r="G128" s="17"/>
      <c r="H128" s="17"/>
      <c r="I128" s="17"/>
      <c r="J128" s="17"/>
      <c r="K128" s="17"/>
      <c r="L128" s="17"/>
      <c r="M128" s="3"/>
    </row>
    <row r="129" spans="2:13" s="20" customFormat="1">
      <c r="B129" s="21"/>
      <c r="C129" s="21"/>
      <c r="D129" s="22"/>
      <c r="E129" s="17"/>
      <c r="F129" s="17"/>
      <c r="G129" s="17"/>
      <c r="H129" s="17"/>
      <c r="I129" s="17"/>
      <c r="J129" s="17"/>
      <c r="K129" s="17"/>
      <c r="L129" s="17"/>
      <c r="M129" s="3"/>
    </row>
    <row r="130" spans="2:13" s="20" customFormat="1">
      <c r="B130" s="21"/>
      <c r="C130" s="21"/>
      <c r="D130" s="22"/>
      <c r="E130" s="17"/>
      <c r="F130" s="17"/>
      <c r="G130" s="17"/>
      <c r="H130" s="17"/>
      <c r="I130" s="17"/>
      <c r="J130" s="17"/>
      <c r="K130" s="17"/>
      <c r="L130" s="17"/>
      <c r="M130" s="3"/>
    </row>
    <row r="131" spans="2:13" s="20" customFormat="1">
      <c r="B131" s="21"/>
      <c r="C131" s="21"/>
      <c r="D131" s="22"/>
      <c r="E131" s="17"/>
      <c r="F131" s="17"/>
      <c r="G131" s="17"/>
      <c r="H131" s="17"/>
      <c r="I131" s="17"/>
      <c r="J131" s="17"/>
      <c r="K131" s="17"/>
      <c r="L131" s="17"/>
      <c r="M131" s="3"/>
    </row>
    <row r="132" spans="2:13" s="20" customFormat="1">
      <c r="B132" s="21"/>
      <c r="C132" s="21"/>
      <c r="D132" s="22"/>
      <c r="E132" s="17"/>
      <c r="F132" s="17"/>
      <c r="G132" s="17"/>
      <c r="H132" s="17"/>
      <c r="I132" s="17"/>
      <c r="J132" s="17"/>
      <c r="K132" s="17"/>
      <c r="L132" s="17"/>
      <c r="M132" s="3"/>
    </row>
    <row r="133" spans="2:13" s="20" customFormat="1">
      <c r="B133" s="21"/>
      <c r="C133" s="21"/>
      <c r="D133" s="22"/>
      <c r="E133" s="17"/>
      <c r="F133" s="17"/>
      <c r="G133" s="17"/>
      <c r="H133" s="17"/>
      <c r="I133" s="17"/>
      <c r="J133" s="17"/>
      <c r="K133" s="17"/>
      <c r="L133" s="17"/>
      <c r="M133" s="3"/>
    </row>
    <row r="134" spans="2:13" s="20" customFormat="1">
      <c r="B134" s="21"/>
      <c r="C134" s="21"/>
      <c r="D134" s="22"/>
      <c r="E134" s="17"/>
      <c r="F134" s="17"/>
      <c r="G134" s="17"/>
      <c r="H134" s="17"/>
      <c r="I134" s="17"/>
      <c r="J134" s="17"/>
      <c r="K134" s="17"/>
      <c r="L134" s="17"/>
      <c r="M134" s="3"/>
    </row>
    <row r="135" spans="2:13" s="20" customFormat="1">
      <c r="B135" s="21"/>
      <c r="C135" s="21"/>
      <c r="D135" s="22"/>
      <c r="E135" s="17"/>
      <c r="F135" s="17"/>
      <c r="G135" s="17"/>
      <c r="H135" s="17"/>
      <c r="I135" s="17"/>
      <c r="J135" s="17"/>
      <c r="K135" s="17"/>
      <c r="L135" s="17"/>
      <c r="M135" s="3"/>
    </row>
    <row r="136" spans="2:13" s="20" customFormat="1">
      <c r="B136" s="21"/>
      <c r="C136" s="21"/>
      <c r="D136" s="22"/>
      <c r="E136" s="17"/>
      <c r="F136" s="17"/>
      <c r="G136" s="17"/>
      <c r="H136" s="17"/>
      <c r="I136" s="17"/>
      <c r="J136" s="17"/>
      <c r="K136" s="17"/>
      <c r="L136" s="17"/>
      <c r="M136" s="3"/>
    </row>
    <row r="137" spans="2:13" s="20" customFormat="1">
      <c r="B137" s="21"/>
      <c r="C137" s="21"/>
      <c r="D137" s="22"/>
      <c r="E137" s="17"/>
      <c r="F137" s="17"/>
      <c r="G137" s="17"/>
      <c r="H137" s="17"/>
      <c r="I137" s="17"/>
      <c r="J137" s="17"/>
      <c r="K137" s="17"/>
      <c r="L137" s="17"/>
      <c r="M137" s="3"/>
    </row>
    <row r="138" spans="2:13" s="20" customFormat="1">
      <c r="B138" s="21"/>
      <c r="C138" s="21"/>
      <c r="D138" s="22"/>
      <c r="E138" s="17"/>
      <c r="F138" s="17"/>
      <c r="G138" s="17"/>
      <c r="H138" s="17"/>
      <c r="I138" s="17"/>
      <c r="J138" s="17"/>
      <c r="K138" s="17"/>
      <c r="L138" s="17"/>
      <c r="M138" s="3"/>
    </row>
    <row r="139" spans="2:13" s="20" customFormat="1">
      <c r="B139" s="21"/>
      <c r="C139" s="21"/>
      <c r="D139" s="22"/>
      <c r="E139" s="17"/>
      <c r="F139" s="17"/>
      <c r="G139" s="17"/>
      <c r="H139" s="17"/>
      <c r="I139" s="17"/>
      <c r="J139" s="17"/>
      <c r="K139" s="17"/>
      <c r="L139" s="17"/>
      <c r="M139" s="3"/>
    </row>
    <row r="140" spans="2:13" s="20" customFormat="1">
      <c r="B140" s="21"/>
      <c r="C140" s="21"/>
      <c r="D140" s="22"/>
      <c r="E140" s="17"/>
      <c r="F140" s="17"/>
      <c r="G140" s="17"/>
      <c r="H140" s="17"/>
      <c r="I140" s="17"/>
      <c r="J140" s="17"/>
      <c r="K140" s="17"/>
      <c r="L140" s="17"/>
      <c r="M140" s="3"/>
    </row>
    <row r="141" spans="2:13" s="20" customFormat="1">
      <c r="B141" s="21"/>
      <c r="C141" s="21"/>
      <c r="D141" s="22"/>
      <c r="E141" s="17"/>
      <c r="F141" s="17"/>
      <c r="G141" s="17"/>
      <c r="H141" s="17"/>
      <c r="I141" s="17"/>
      <c r="J141" s="17"/>
      <c r="K141" s="17"/>
      <c r="L141" s="17"/>
      <c r="M141" s="3"/>
    </row>
    <row r="142" spans="2:13" s="20" customFormat="1">
      <c r="B142" s="21"/>
      <c r="C142" s="21"/>
      <c r="D142" s="22"/>
      <c r="E142" s="17"/>
      <c r="F142" s="17"/>
      <c r="G142" s="17"/>
      <c r="H142" s="17"/>
      <c r="I142" s="17"/>
      <c r="J142" s="17"/>
      <c r="K142" s="17"/>
      <c r="L142" s="17"/>
      <c r="M142" s="3"/>
    </row>
    <row r="143" spans="2:13" s="20" customFormat="1">
      <c r="B143" s="21"/>
      <c r="C143" s="21"/>
      <c r="D143" s="22"/>
      <c r="E143" s="17"/>
      <c r="F143" s="17"/>
      <c r="G143" s="17"/>
      <c r="H143" s="17"/>
      <c r="I143" s="17"/>
      <c r="J143" s="17"/>
      <c r="K143" s="17"/>
      <c r="L143" s="17"/>
      <c r="M143" s="3"/>
    </row>
    <row r="144" spans="2:13" s="20" customFormat="1">
      <c r="B144" s="21"/>
      <c r="C144" s="21"/>
      <c r="D144" s="22"/>
      <c r="E144" s="17"/>
      <c r="F144" s="17"/>
      <c r="G144" s="17"/>
      <c r="H144" s="17"/>
      <c r="I144" s="17"/>
      <c r="J144" s="17"/>
      <c r="K144" s="17"/>
      <c r="L144" s="17"/>
      <c r="M144" s="3"/>
    </row>
    <row r="145" spans="2:13" s="20" customFormat="1">
      <c r="B145" s="21"/>
      <c r="C145" s="21"/>
      <c r="D145" s="22"/>
      <c r="E145" s="17"/>
      <c r="F145" s="17"/>
      <c r="G145" s="17"/>
      <c r="H145" s="17"/>
      <c r="I145" s="17"/>
      <c r="J145" s="17"/>
      <c r="K145" s="17"/>
      <c r="L145" s="17"/>
      <c r="M145" s="3"/>
    </row>
    <row r="146" spans="2:13" s="20" customFormat="1">
      <c r="B146" s="21"/>
      <c r="C146" s="21"/>
      <c r="D146" s="22"/>
      <c r="E146" s="17"/>
      <c r="F146" s="17"/>
      <c r="G146" s="17"/>
      <c r="H146" s="17"/>
      <c r="I146" s="17"/>
      <c r="J146" s="17"/>
      <c r="K146" s="17"/>
      <c r="L146" s="17"/>
      <c r="M146" s="3"/>
    </row>
    <row r="147" spans="2:13" s="20" customFormat="1">
      <c r="B147" s="21"/>
      <c r="C147" s="21"/>
      <c r="D147" s="22"/>
      <c r="E147" s="17"/>
      <c r="F147" s="17"/>
      <c r="G147" s="17"/>
      <c r="H147" s="17"/>
      <c r="I147" s="17"/>
      <c r="J147" s="17"/>
      <c r="K147" s="17"/>
      <c r="L147" s="17"/>
      <c r="M147" s="3"/>
    </row>
    <row r="148" spans="2:13" s="20" customFormat="1">
      <c r="B148" s="21"/>
      <c r="C148" s="21"/>
      <c r="D148" s="22"/>
      <c r="E148" s="17"/>
      <c r="F148" s="17"/>
      <c r="G148" s="17"/>
      <c r="H148" s="17"/>
      <c r="I148" s="17"/>
      <c r="J148" s="17"/>
      <c r="K148" s="17"/>
      <c r="L148" s="17"/>
      <c r="M148" s="3"/>
    </row>
    <row r="149" spans="2:13" s="20" customFormat="1">
      <c r="B149" s="21"/>
      <c r="C149" s="21"/>
      <c r="D149" s="22"/>
      <c r="E149" s="17"/>
      <c r="F149" s="17"/>
      <c r="G149" s="17"/>
      <c r="H149" s="17"/>
      <c r="I149" s="17"/>
      <c r="J149" s="17"/>
      <c r="K149" s="17"/>
      <c r="L149" s="17"/>
      <c r="M149" s="3"/>
    </row>
    <row r="150" spans="2:13" s="20" customFormat="1">
      <c r="B150" s="21"/>
      <c r="C150" s="21"/>
      <c r="D150" s="22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2:13" s="20" customFormat="1">
      <c r="B151" s="21"/>
      <c r="C151" s="21"/>
      <c r="D151" s="22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2:13" s="20" customFormat="1">
      <c r="B152" s="21"/>
      <c r="C152" s="21"/>
      <c r="D152" s="22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2:13" s="20" customFormat="1">
      <c r="B153" s="21"/>
      <c r="C153" s="21"/>
      <c r="D153" s="22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2:13" s="20" customFormat="1">
      <c r="B154" s="21"/>
      <c r="C154" s="21"/>
      <c r="D154" s="22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2:13" s="20" customFormat="1">
      <c r="B155" s="21"/>
      <c r="C155" s="21"/>
      <c r="D155" s="22"/>
      <c r="E155" s="17"/>
      <c r="F155" s="17"/>
      <c r="G155" s="17"/>
      <c r="H155" s="17"/>
      <c r="I155" s="17"/>
      <c r="J155" s="17"/>
      <c r="K155" s="17"/>
      <c r="L155" s="17"/>
      <c r="M155" s="3"/>
    </row>
    <row r="156" spans="2:13" s="20" customFormat="1">
      <c r="B156" s="21"/>
      <c r="C156" s="21"/>
      <c r="D156" s="22"/>
      <c r="E156" s="17"/>
      <c r="F156" s="17"/>
      <c r="G156" s="17"/>
      <c r="H156" s="17"/>
      <c r="I156" s="17"/>
      <c r="J156" s="17"/>
      <c r="K156" s="17"/>
      <c r="L156" s="17"/>
      <c r="M156" s="3"/>
    </row>
    <row r="157" spans="2:13" s="20" customFormat="1">
      <c r="B157" s="21"/>
      <c r="C157" s="21"/>
      <c r="D157" s="22"/>
      <c r="E157" s="17"/>
      <c r="F157" s="17"/>
      <c r="G157" s="17"/>
      <c r="H157" s="17"/>
      <c r="I157" s="17"/>
      <c r="J157" s="17"/>
      <c r="K157" s="17"/>
      <c r="L157" s="17"/>
      <c r="M157" s="3"/>
    </row>
    <row r="158" spans="2:13" s="20" customFormat="1">
      <c r="B158" s="21"/>
      <c r="C158" s="21"/>
      <c r="D158" s="22"/>
      <c r="E158" s="17"/>
      <c r="F158" s="17"/>
      <c r="G158" s="17"/>
      <c r="H158" s="17"/>
      <c r="I158" s="17"/>
      <c r="J158" s="17"/>
      <c r="K158" s="17"/>
      <c r="L158" s="17"/>
      <c r="M158" s="3"/>
    </row>
    <row r="159" spans="2:13" s="20" customFormat="1">
      <c r="B159" s="21"/>
      <c r="C159" s="21"/>
      <c r="D159" s="22"/>
      <c r="E159" s="17"/>
      <c r="F159" s="17"/>
      <c r="G159" s="17"/>
      <c r="H159" s="17"/>
      <c r="I159" s="17"/>
      <c r="J159" s="17"/>
      <c r="K159" s="17"/>
      <c r="L159" s="17"/>
      <c r="M159" s="3"/>
    </row>
    <row r="160" spans="2:13" s="20" customFormat="1">
      <c r="B160" s="21"/>
      <c r="C160" s="21"/>
      <c r="D160" s="22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2:13" s="20" customFormat="1">
      <c r="B161" s="21"/>
      <c r="C161" s="21"/>
      <c r="D161" s="22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2:13" s="20" customFormat="1">
      <c r="B162" s="21"/>
      <c r="C162" s="21"/>
      <c r="D162" s="22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2:13" s="20" customFormat="1">
      <c r="B163" s="21"/>
      <c r="C163" s="21"/>
      <c r="D163" s="22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2:13" s="20" customFormat="1">
      <c r="B164" s="21"/>
      <c r="C164" s="21"/>
      <c r="D164" s="22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2:13" s="20" customFormat="1">
      <c r="B165" s="21"/>
      <c r="C165" s="21"/>
      <c r="D165" s="22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2:13" s="20" customFormat="1">
      <c r="B166" s="21"/>
      <c r="C166" s="21"/>
      <c r="D166" s="22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2:13" s="20" customFormat="1">
      <c r="B167" s="21"/>
      <c r="C167" s="21"/>
      <c r="D167" s="22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2:13" s="20" customFormat="1">
      <c r="B168" s="21"/>
      <c r="C168" s="21"/>
      <c r="D168" s="22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2:13" s="20" customFormat="1">
      <c r="B169" s="21"/>
      <c r="C169" s="21"/>
      <c r="D169" s="22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2:13" s="20" customFormat="1">
      <c r="B170" s="21"/>
      <c r="C170" s="21"/>
      <c r="D170" s="22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2:13" s="20" customFormat="1">
      <c r="B171" s="21"/>
      <c r="C171" s="21"/>
      <c r="D171" s="22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2:13" s="20" customFormat="1">
      <c r="B172" s="21"/>
      <c r="C172" s="21"/>
      <c r="D172" s="22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2:13" s="20" customFormat="1">
      <c r="B173" s="21"/>
      <c r="C173" s="21"/>
      <c r="D173" s="22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2:13" s="20" customFormat="1">
      <c r="B174" s="21"/>
      <c r="C174" s="21"/>
      <c r="D174" s="22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2:13" s="20" customFormat="1">
      <c r="B175" s="21"/>
      <c r="C175" s="21"/>
      <c r="D175" s="22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2:13" s="20" customFormat="1">
      <c r="B176" s="21"/>
      <c r="C176" s="21"/>
      <c r="D176" s="22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2:13" s="20" customFormat="1">
      <c r="B177" s="21"/>
      <c r="C177" s="21"/>
      <c r="D177" s="22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2:13" s="20" customFormat="1">
      <c r="B178" s="21"/>
      <c r="C178" s="21"/>
      <c r="D178" s="22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2:13" s="20" customFormat="1">
      <c r="B179" s="21"/>
      <c r="C179" s="21"/>
      <c r="D179" s="22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2:13" s="20" customFormat="1">
      <c r="B180" s="21"/>
      <c r="C180" s="21"/>
      <c r="D180" s="22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2:13" s="20" customFormat="1">
      <c r="B181" s="21"/>
      <c r="C181" s="21"/>
      <c r="D181" s="22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2:13" s="20" customFormat="1">
      <c r="B182" s="21"/>
      <c r="C182" s="21"/>
      <c r="D182" s="22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2:13" s="20" customFormat="1">
      <c r="B183" s="21"/>
      <c r="C183" s="21"/>
      <c r="D183" s="22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2:13" s="20" customFormat="1">
      <c r="B184" s="21"/>
      <c r="C184" s="21"/>
      <c r="D184" s="22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2:13" s="20" customFormat="1">
      <c r="B185" s="21"/>
      <c r="C185" s="21"/>
      <c r="D185" s="22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2:13" s="20" customFormat="1">
      <c r="B186" s="21"/>
      <c r="C186" s="21"/>
      <c r="D186" s="22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2:13" s="20" customFormat="1">
      <c r="B187" s="21"/>
      <c r="C187" s="21"/>
      <c r="D187" s="22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2:13" s="20" customFormat="1">
      <c r="B188" s="21"/>
      <c r="C188" s="21"/>
      <c r="D188" s="22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2:13" s="20" customFormat="1">
      <c r="B189" s="21"/>
      <c r="C189" s="21"/>
      <c r="D189" s="22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2:13" s="20" customFormat="1">
      <c r="B190" s="21"/>
      <c r="C190" s="21"/>
      <c r="D190" s="22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2:13" s="20" customFormat="1">
      <c r="B191" s="21"/>
      <c r="C191" s="21"/>
      <c r="D191" s="22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2:13" s="20" customFormat="1">
      <c r="B192" s="21"/>
      <c r="C192" s="21"/>
      <c r="D192" s="22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2:13" s="20" customFormat="1">
      <c r="B193" s="21"/>
      <c r="C193" s="21"/>
      <c r="D193" s="22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2:13" s="20" customFormat="1">
      <c r="B194" s="21"/>
      <c r="C194" s="21"/>
      <c r="D194" s="22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2:13" s="20" customFormat="1">
      <c r="B195" s="21"/>
      <c r="C195" s="21"/>
      <c r="D195" s="22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2:13" s="20" customFormat="1">
      <c r="B196" s="21"/>
      <c r="C196" s="21"/>
      <c r="D196" s="22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2:13" s="20" customFormat="1">
      <c r="B197" s="21"/>
      <c r="C197" s="21"/>
      <c r="D197" s="22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2:13" s="20" customFormat="1">
      <c r="B198" s="21"/>
      <c r="C198" s="21"/>
      <c r="D198" s="22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2:13" s="20" customFormat="1">
      <c r="B199" s="21"/>
      <c r="C199" s="21"/>
      <c r="D199" s="22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2:13" s="20" customFormat="1">
      <c r="B200" s="21"/>
      <c r="C200" s="21"/>
      <c r="D200" s="22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2:13" s="20" customFormat="1">
      <c r="B201" s="21"/>
      <c r="C201" s="21"/>
      <c r="D201" s="22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2:13" s="20" customFormat="1">
      <c r="B202" s="21"/>
      <c r="C202" s="21"/>
      <c r="D202" s="22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2:13" s="20" customFormat="1">
      <c r="B203" s="21"/>
      <c r="C203" s="21"/>
      <c r="D203" s="22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2:13" s="20" customFormat="1">
      <c r="B204" s="21"/>
      <c r="C204" s="21"/>
      <c r="D204" s="22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2:13" s="20" customFormat="1">
      <c r="B205" s="21"/>
      <c r="C205" s="21"/>
      <c r="D205" s="22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2:13" s="20" customFormat="1">
      <c r="B206" s="21"/>
      <c r="C206" s="21"/>
      <c r="D206" s="22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2:13" s="20" customFormat="1">
      <c r="B207" s="21"/>
      <c r="C207" s="21"/>
      <c r="D207" s="22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2:13" s="20" customFormat="1">
      <c r="B208" s="21"/>
      <c r="C208" s="21"/>
      <c r="D208" s="22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2:13" s="20" customFormat="1">
      <c r="B209" s="21"/>
      <c r="C209" s="21"/>
      <c r="D209" s="22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2:13" s="20" customFormat="1">
      <c r="B210" s="21"/>
      <c r="C210" s="21"/>
      <c r="D210" s="22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2:13" s="20" customFormat="1">
      <c r="B211" s="21"/>
      <c r="C211" s="21"/>
      <c r="D211" s="22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2:13" s="20" customFormat="1">
      <c r="B212" s="21"/>
      <c r="C212" s="21"/>
      <c r="D212" s="22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2:13" s="20" customFormat="1">
      <c r="B213" s="21"/>
      <c r="C213" s="21"/>
      <c r="D213" s="22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2:13" s="20" customFormat="1">
      <c r="B214" s="21"/>
      <c r="C214" s="21"/>
      <c r="D214" s="22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2:13" s="20" customFormat="1">
      <c r="B215" s="21"/>
      <c r="C215" s="21"/>
      <c r="D215" s="22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2:13" s="20" customFormat="1">
      <c r="B216" s="21"/>
      <c r="C216" s="21"/>
      <c r="D216" s="22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2:13" s="20" customFormat="1">
      <c r="B217" s="21"/>
      <c r="C217" s="21"/>
      <c r="D217" s="22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2:13" s="20" customFormat="1">
      <c r="B218" s="21"/>
      <c r="C218" s="21"/>
      <c r="D218" s="22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2:13" s="20" customFormat="1">
      <c r="B219" s="21"/>
      <c r="C219" s="21"/>
      <c r="D219" s="22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2:13" s="20" customFormat="1">
      <c r="B220" s="21"/>
      <c r="C220" s="21"/>
      <c r="D220" s="22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2:13" s="20" customFormat="1">
      <c r="B221" s="21"/>
      <c r="C221" s="21"/>
      <c r="D221" s="22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2:13" s="20" customFormat="1">
      <c r="B222" s="21"/>
      <c r="C222" s="21"/>
      <c r="D222" s="22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2:13" s="20" customFormat="1">
      <c r="B223" s="21"/>
      <c r="C223" s="21"/>
      <c r="D223" s="22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2:13" s="20" customFormat="1">
      <c r="B224" s="21"/>
      <c r="C224" s="21"/>
      <c r="D224" s="22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2:13" s="20" customFormat="1">
      <c r="B225" s="21"/>
      <c r="C225" s="21"/>
      <c r="D225" s="22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2:13" s="20" customFormat="1">
      <c r="B226" s="21"/>
      <c r="C226" s="21"/>
      <c r="D226" s="22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2:13" s="20" customFormat="1">
      <c r="B227" s="21"/>
      <c r="C227" s="21"/>
      <c r="D227" s="22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2:13" s="20" customFormat="1">
      <c r="B228" s="21"/>
      <c r="C228" s="21"/>
      <c r="D228" s="22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2:13" s="20" customFormat="1">
      <c r="B229" s="21"/>
      <c r="C229" s="21"/>
      <c r="D229" s="22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2:13" s="20" customFormat="1">
      <c r="B230" s="21"/>
      <c r="C230" s="21"/>
      <c r="D230" s="22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2:13" s="20" customFormat="1">
      <c r="B231" s="21"/>
      <c r="C231" s="21"/>
      <c r="D231" s="22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2:13" s="20" customFormat="1">
      <c r="B232" s="21"/>
      <c r="C232" s="21"/>
      <c r="D232" s="22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2:13" s="20" customFormat="1">
      <c r="B233" s="21"/>
      <c r="C233" s="21"/>
      <c r="D233" s="22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2:13" s="20" customFormat="1">
      <c r="B234" s="21"/>
      <c r="C234" s="21"/>
      <c r="D234" s="22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2:13" s="20" customFormat="1">
      <c r="B235" s="21"/>
      <c r="C235" s="21"/>
      <c r="D235" s="22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2:13" s="20" customFormat="1">
      <c r="B236" s="21"/>
      <c r="C236" s="21"/>
      <c r="D236" s="22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2:13" s="20" customFormat="1">
      <c r="B237" s="21"/>
      <c r="C237" s="21"/>
      <c r="D237" s="22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2:13" s="20" customFormat="1">
      <c r="B238" s="21"/>
      <c r="C238" s="21"/>
      <c r="D238" s="22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2:13" s="20" customFormat="1">
      <c r="B239" s="21"/>
      <c r="C239" s="21"/>
      <c r="D239" s="22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2:13" s="20" customFormat="1">
      <c r="B240" s="21"/>
      <c r="C240" s="21"/>
      <c r="D240" s="22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2:13" s="20" customFormat="1">
      <c r="B241" s="21"/>
      <c r="C241" s="21"/>
      <c r="D241" s="22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2:13" s="20" customFormat="1">
      <c r="B242" s="21"/>
      <c r="C242" s="21"/>
      <c r="D242" s="22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2:13" s="20" customFormat="1">
      <c r="B243" s="21"/>
      <c r="C243" s="21"/>
      <c r="D243" s="22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2:13" s="20" customFormat="1">
      <c r="B244" s="21"/>
      <c r="C244" s="21"/>
      <c r="D244" s="22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2:13" s="20" customFormat="1">
      <c r="B245" s="21"/>
      <c r="C245" s="21"/>
      <c r="D245" s="22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2:13" s="20" customFormat="1">
      <c r="B246" s="21"/>
      <c r="C246" s="21"/>
      <c r="D246" s="22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2:13" s="20" customFormat="1">
      <c r="B247" s="21"/>
      <c r="C247" s="21"/>
      <c r="D247" s="22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2:13" s="20" customFormat="1">
      <c r="B248" s="21"/>
      <c r="C248" s="21"/>
      <c r="D248" s="22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2:13" s="20" customFormat="1">
      <c r="B249" s="21"/>
      <c r="C249" s="21"/>
      <c r="D249" s="22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2:13" s="20" customFormat="1">
      <c r="B250" s="21"/>
      <c r="C250" s="21"/>
      <c r="D250" s="22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2:13" s="20" customFormat="1">
      <c r="B251" s="21"/>
      <c r="C251" s="21"/>
      <c r="D251" s="22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2:13" s="20" customFormat="1">
      <c r="B252" s="21"/>
      <c r="C252" s="21"/>
      <c r="D252" s="22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2:13" s="20" customFormat="1">
      <c r="B253" s="21"/>
      <c r="C253" s="21"/>
      <c r="D253" s="22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2:13" s="20" customFormat="1">
      <c r="B254" s="21"/>
      <c r="C254" s="21"/>
      <c r="D254" s="22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2:13" s="20" customFormat="1">
      <c r="B255" s="21"/>
      <c r="C255" s="21"/>
      <c r="D255" s="22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2:13" s="20" customFormat="1">
      <c r="B256" s="21"/>
      <c r="C256" s="21"/>
      <c r="D256" s="22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2:13" s="20" customFormat="1">
      <c r="B257" s="21"/>
      <c r="C257" s="21"/>
      <c r="D257" s="22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2:13" s="20" customFormat="1">
      <c r="B258" s="21"/>
      <c r="C258" s="21"/>
      <c r="D258" s="22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2:13" s="20" customFormat="1">
      <c r="B259" s="21"/>
      <c r="C259" s="21"/>
      <c r="D259" s="22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2:13" s="20" customFormat="1">
      <c r="B260" s="21"/>
      <c r="C260" s="21"/>
      <c r="D260" s="22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2:13" s="20" customFormat="1">
      <c r="B261" s="21"/>
      <c r="C261" s="21"/>
      <c r="D261" s="22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2:13" s="20" customFormat="1">
      <c r="B262" s="21"/>
      <c r="C262" s="21"/>
      <c r="D262" s="22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2:13" s="20" customFormat="1">
      <c r="B263" s="21"/>
      <c r="C263" s="21"/>
      <c r="D263" s="22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2:13" s="20" customFormat="1">
      <c r="B264" s="21"/>
      <c r="C264" s="21"/>
      <c r="D264" s="22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2:13" s="20" customFormat="1">
      <c r="B265" s="21"/>
      <c r="C265" s="21"/>
      <c r="D265" s="22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2:13" s="20" customFormat="1">
      <c r="B266" s="21"/>
      <c r="C266" s="21"/>
      <c r="D266" s="22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2:13" s="20" customFormat="1">
      <c r="B267" s="21"/>
      <c r="C267" s="21"/>
      <c r="D267" s="22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2:13" s="20" customFormat="1">
      <c r="B268" s="21"/>
      <c r="C268" s="21"/>
      <c r="D268" s="22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2:13" s="20" customFormat="1">
      <c r="B269" s="21"/>
      <c r="C269" s="21"/>
      <c r="D269" s="22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2:13" s="20" customFormat="1">
      <c r="B270" s="21"/>
      <c r="C270" s="21"/>
      <c r="D270" s="22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2:13" s="20" customFormat="1">
      <c r="B271" s="21"/>
      <c r="C271" s="21"/>
      <c r="D271" s="22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2:13" s="20" customFormat="1">
      <c r="B272" s="21"/>
      <c r="C272" s="21"/>
      <c r="D272" s="22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2:13" s="20" customFormat="1">
      <c r="B273" s="21"/>
      <c r="C273" s="21"/>
      <c r="D273" s="22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2:13" s="20" customFormat="1">
      <c r="B274" s="21"/>
      <c r="C274" s="21"/>
      <c r="D274" s="22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2:13" s="20" customFormat="1">
      <c r="B275" s="21"/>
      <c r="C275" s="21"/>
      <c r="D275" s="22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2:13" s="20" customFormat="1">
      <c r="B276" s="21"/>
      <c r="C276" s="21"/>
      <c r="D276" s="22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2:13" s="20" customFormat="1">
      <c r="B277" s="21"/>
      <c r="C277" s="21"/>
      <c r="D277" s="22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2:13" s="20" customFormat="1">
      <c r="B278" s="21"/>
      <c r="C278" s="21"/>
      <c r="D278" s="22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2:13" s="20" customFormat="1">
      <c r="B279" s="21"/>
      <c r="C279" s="21"/>
      <c r="D279" s="22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2:13" s="20" customFormat="1">
      <c r="B280" s="21"/>
      <c r="C280" s="21"/>
      <c r="D280" s="22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2:13" s="20" customFormat="1">
      <c r="B281" s="21"/>
      <c r="C281" s="21"/>
      <c r="D281" s="22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2:13" s="20" customFormat="1">
      <c r="B282" s="21"/>
      <c r="C282" s="21"/>
      <c r="D282" s="22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2:13" s="20" customFormat="1">
      <c r="B283" s="21"/>
      <c r="C283" s="21"/>
      <c r="D283" s="22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2:13" s="20" customFormat="1">
      <c r="B284" s="21"/>
      <c r="C284" s="21"/>
      <c r="D284" s="22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2:13" s="20" customFormat="1">
      <c r="B285" s="21"/>
      <c r="C285" s="21"/>
      <c r="D285" s="22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2:13" s="20" customFormat="1">
      <c r="B286" s="21"/>
      <c r="C286" s="21"/>
      <c r="D286" s="22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2:13" s="20" customFormat="1">
      <c r="B287" s="21"/>
      <c r="C287" s="21"/>
      <c r="D287" s="22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2:13" s="20" customFormat="1">
      <c r="B288" s="21"/>
      <c r="C288" s="21"/>
      <c r="D288" s="22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2:13" s="20" customFormat="1">
      <c r="B289" s="21"/>
      <c r="C289" s="21"/>
      <c r="D289" s="22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2:13" s="20" customFormat="1">
      <c r="B290" s="21"/>
      <c r="C290" s="21"/>
      <c r="D290" s="22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2:13" s="20" customFormat="1">
      <c r="B291" s="21"/>
      <c r="C291" s="21"/>
      <c r="D291" s="22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2:13" s="20" customFormat="1">
      <c r="B292" s="21"/>
      <c r="C292" s="21"/>
      <c r="D292" s="22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2:13" s="20" customFormat="1">
      <c r="B293" s="21"/>
      <c r="C293" s="21"/>
      <c r="D293" s="22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2:13" s="20" customFormat="1">
      <c r="B294" s="21"/>
      <c r="C294" s="21"/>
      <c r="D294" s="22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2:13" s="20" customFormat="1">
      <c r="B295" s="21"/>
      <c r="C295" s="21"/>
      <c r="D295" s="22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2:13" s="20" customFormat="1">
      <c r="B296" s="21"/>
      <c r="C296" s="21"/>
      <c r="D296" s="22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2:13" s="20" customFormat="1">
      <c r="B297" s="21"/>
      <c r="C297" s="21"/>
      <c r="D297" s="22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2:13" s="20" customFormat="1">
      <c r="B298" s="21"/>
      <c r="C298" s="21"/>
      <c r="D298" s="22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2:13" s="20" customFormat="1">
      <c r="B299" s="21"/>
      <c r="C299" s="21"/>
      <c r="D299" s="22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2:13" s="20" customFormat="1">
      <c r="B300" s="21"/>
      <c r="C300" s="21"/>
      <c r="D300" s="22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2:13" s="20" customFormat="1">
      <c r="B301" s="21"/>
      <c r="C301" s="21"/>
      <c r="D301" s="22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2:13" s="20" customFormat="1">
      <c r="B302" s="21"/>
      <c r="C302" s="21"/>
      <c r="D302" s="22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2:13" s="20" customFormat="1">
      <c r="B303" s="21"/>
      <c r="C303" s="21"/>
      <c r="D303" s="22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2:13" s="20" customFormat="1">
      <c r="B304" s="21"/>
      <c r="C304" s="21"/>
      <c r="D304" s="22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2:13" s="20" customFormat="1">
      <c r="B305" s="21"/>
      <c r="C305" s="21"/>
      <c r="D305" s="22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2:13" s="20" customFormat="1">
      <c r="B306" s="21"/>
      <c r="C306" s="21"/>
      <c r="D306" s="22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2:13" s="20" customFormat="1">
      <c r="B307" s="21"/>
      <c r="C307" s="21"/>
      <c r="D307" s="22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2:13" s="20" customFormat="1">
      <c r="B308" s="21"/>
      <c r="C308" s="21"/>
      <c r="D308" s="22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2:13" s="20" customFormat="1">
      <c r="B309" s="21"/>
      <c r="C309" s="21"/>
      <c r="D309" s="22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2:13" s="20" customFormat="1">
      <c r="B310" s="21"/>
      <c r="C310" s="21"/>
      <c r="D310" s="22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2:13" s="20" customFormat="1">
      <c r="B311" s="21"/>
      <c r="C311" s="21"/>
      <c r="D311" s="22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2:13" s="20" customFormat="1">
      <c r="B312" s="21"/>
      <c r="C312" s="21"/>
      <c r="D312" s="22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2:13" s="20" customFormat="1">
      <c r="B313" s="21"/>
      <c r="C313" s="21"/>
      <c r="D313" s="22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2:13" s="20" customFormat="1">
      <c r="B314" s="21"/>
      <c r="C314" s="21"/>
      <c r="D314" s="22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2:13" s="20" customFormat="1">
      <c r="B315" s="21"/>
      <c r="C315" s="21"/>
      <c r="D315" s="22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2:13" s="20" customFormat="1">
      <c r="B316" s="21"/>
      <c r="C316" s="21"/>
      <c r="D316" s="22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2:13" s="20" customFormat="1">
      <c r="B317" s="21"/>
      <c r="C317" s="21"/>
      <c r="D317" s="22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2:13" s="20" customFormat="1">
      <c r="B318" s="21"/>
      <c r="C318" s="21"/>
      <c r="D318" s="22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2:13" s="20" customFormat="1">
      <c r="B319" s="21"/>
      <c r="C319" s="21"/>
      <c r="D319" s="22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2:13" s="20" customFormat="1">
      <c r="B320" s="21"/>
      <c r="C320" s="21"/>
      <c r="D320" s="22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2:13" s="20" customFormat="1">
      <c r="B321" s="21"/>
      <c r="C321" s="21"/>
      <c r="D321" s="22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2:13" s="20" customFormat="1">
      <c r="B322" s="21"/>
      <c r="C322" s="21"/>
      <c r="D322" s="22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2:13" s="20" customFormat="1">
      <c r="B323" s="21"/>
      <c r="C323" s="21"/>
      <c r="D323" s="22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2:13" s="20" customFormat="1">
      <c r="B324" s="21"/>
      <c r="C324" s="21"/>
      <c r="D324" s="22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2:13" s="20" customFormat="1">
      <c r="B325" s="21"/>
      <c r="C325" s="21"/>
      <c r="D325" s="22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2:13" s="20" customFormat="1">
      <c r="B326" s="21"/>
      <c r="C326" s="21"/>
      <c r="D326" s="22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2:13" s="20" customFormat="1">
      <c r="B327" s="21"/>
      <c r="C327" s="21"/>
      <c r="D327" s="22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2:13" s="20" customFormat="1">
      <c r="B328" s="21"/>
      <c r="C328" s="21"/>
      <c r="D328" s="22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2:13" s="20" customFormat="1">
      <c r="B329" s="21"/>
      <c r="C329" s="21"/>
      <c r="D329" s="22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2:13" s="20" customFormat="1">
      <c r="B330" s="21"/>
      <c r="C330" s="21"/>
      <c r="D330" s="22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2:13" s="20" customFormat="1">
      <c r="B331" s="21"/>
      <c r="C331" s="21"/>
      <c r="D331" s="22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2:13" s="20" customFormat="1">
      <c r="B332" s="21"/>
      <c r="C332" s="21"/>
      <c r="D332" s="22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2:13" s="20" customFormat="1">
      <c r="B333" s="21"/>
      <c r="C333" s="21"/>
      <c r="D333" s="22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2:13" s="20" customFormat="1">
      <c r="B334" s="21"/>
      <c r="C334" s="21"/>
      <c r="D334" s="22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2:13" s="20" customFormat="1">
      <c r="B335" s="21"/>
      <c r="C335" s="21"/>
      <c r="D335" s="22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2:13" s="20" customFormat="1">
      <c r="B336" s="21"/>
      <c r="C336" s="21"/>
      <c r="D336" s="22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2:13" s="20" customFormat="1">
      <c r="B337" s="21"/>
      <c r="C337" s="21"/>
      <c r="D337" s="22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2:13" s="20" customFormat="1">
      <c r="B338" s="21"/>
      <c r="C338" s="21"/>
      <c r="D338" s="22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2:13" s="20" customFormat="1">
      <c r="B339" s="21"/>
      <c r="C339" s="21"/>
      <c r="D339" s="22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2:13" s="20" customFormat="1">
      <c r="B340" s="21"/>
      <c r="C340" s="21"/>
      <c r="D340" s="22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2:13" s="20" customFormat="1">
      <c r="B341" s="21"/>
      <c r="C341" s="21"/>
      <c r="D341" s="22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2:13" s="20" customFormat="1">
      <c r="B342" s="21"/>
      <c r="C342" s="21"/>
      <c r="D342" s="22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2:13" s="20" customFormat="1">
      <c r="B343" s="21"/>
      <c r="C343" s="21"/>
      <c r="D343" s="22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2:13" s="20" customFormat="1">
      <c r="B344" s="21"/>
      <c r="C344" s="21"/>
      <c r="D344" s="22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2:13" s="20" customFormat="1">
      <c r="B345" s="21"/>
      <c r="C345" s="21"/>
      <c r="D345" s="22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2:13" s="20" customFormat="1">
      <c r="B346" s="21"/>
      <c r="C346" s="21"/>
      <c r="D346" s="22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2:13" s="20" customFormat="1">
      <c r="B347" s="21"/>
      <c r="C347" s="21"/>
      <c r="D347" s="22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2:13" s="20" customFormat="1">
      <c r="B348" s="21"/>
      <c r="C348" s="21"/>
      <c r="D348" s="22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2:13" s="20" customFormat="1">
      <c r="B349" s="21"/>
      <c r="C349" s="21"/>
      <c r="D349" s="22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2:13" s="20" customFormat="1">
      <c r="B350" s="21"/>
      <c r="C350" s="21"/>
      <c r="D350" s="22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2:13" s="20" customFormat="1">
      <c r="B351" s="21"/>
      <c r="C351" s="21"/>
      <c r="D351" s="22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2:13" s="20" customFormat="1">
      <c r="B352" s="21"/>
      <c r="C352" s="21"/>
      <c r="D352" s="22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2:13" s="20" customFormat="1">
      <c r="B353" s="21"/>
      <c r="C353" s="21"/>
      <c r="D353" s="22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2:13" s="20" customFormat="1">
      <c r="B354" s="21"/>
      <c r="C354" s="21"/>
      <c r="D354" s="22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2:13" s="20" customFormat="1">
      <c r="B355" s="21"/>
      <c r="C355" s="21"/>
      <c r="D355" s="22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2:13" s="20" customFormat="1">
      <c r="B356" s="21"/>
      <c r="C356" s="21"/>
      <c r="D356" s="22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2:13" s="20" customFormat="1">
      <c r="B357" s="21"/>
      <c r="C357" s="21"/>
      <c r="D357" s="22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2:13" s="20" customFormat="1">
      <c r="B358" s="21"/>
      <c r="C358" s="21"/>
      <c r="D358" s="22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2:13" s="20" customFormat="1">
      <c r="B359" s="21"/>
      <c r="C359" s="21"/>
      <c r="D359" s="22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2:13" s="20" customFormat="1">
      <c r="B360" s="21"/>
      <c r="C360" s="21"/>
      <c r="D360" s="22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2:13" s="20" customFormat="1">
      <c r="B361" s="21"/>
      <c r="C361" s="21"/>
      <c r="D361" s="22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2:13" s="20" customFormat="1">
      <c r="B362" s="21"/>
      <c r="C362" s="21"/>
      <c r="D362" s="22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2:13" s="20" customFormat="1">
      <c r="B363" s="21"/>
      <c r="C363" s="21"/>
      <c r="D363" s="22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2:13" s="20" customFormat="1">
      <c r="B364" s="21"/>
      <c r="C364" s="21"/>
      <c r="D364" s="22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2:13" s="20" customFormat="1">
      <c r="B365" s="21"/>
      <c r="C365" s="21"/>
      <c r="D365" s="22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2:13" s="20" customFormat="1">
      <c r="B366" s="21"/>
      <c r="C366" s="21"/>
      <c r="D366" s="22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2:13" s="20" customFormat="1">
      <c r="B367" s="21"/>
      <c r="C367" s="21"/>
      <c r="D367" s="22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2:13" s="20" customFormat="1">
      <c r="B368" s="21"/>
      <c r="C368" s="21"/>
      <c r="D368" s="22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2:13" s="20" customFormat="1">
      <c r="B369" s="21"/>
      <c r="C369" s="21"/>
      <c r="D369" s="22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2:13" s="20" customFormat="1">
      <c r="B370" s="21"/>
      <c r="C370" s="21"/>
      <c r="D370" s="22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2:13" s="20" customFormat="1">
      <c r="B371" s="21"/>
      <c r="C371" s="21"/>
      <c r="D371" s="22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2:13" s="20" customFormat="1">
      <c r="B372" s="21"/>
      <c r="C372" s="21"/>
      <c r="D372" s="22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2:13" s="20" customFormat="1">
      <c r="B373" s="21"/>
      <c r="C373" s="21"/>
      <c r="D373" s="22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2:13" s="20" customFormat="1">
      <c r="B374" s="21"/>
      <c r="C374" s="21"/>
      <c r="D374" s="22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2:13" s="20" customFormat="1">
      <c r="B375" s="21"/>
      <c r="C375" s="21"/>
      <c r="D375" s="22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2:13" s="20" customFormat="1">
      <c r="B376" s="21"/>
      <c r="C376" s="21"/>
      <c r="D376" s="22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2:13" s="20" customFormat="1">
      <c r="B377" s="21"/>
      <c r="C377" s="21"/>
      <c r="D377" s="22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2:13" s="20" customFormat="1">
      <c r="B378" s="21"/>
      <c r="C378" s="21"/>
      <c r="D378" s="22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2:13" s="20" customFormat="1">
      <c r="B379" s="21"/>
      <c r="C379" s="21"/>
      <c r="D379" s="22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2:13" s="20" customFormat="1">
      <c r="B380" s="21"/>
      <c r="C380" s="21"/>
      <c r="D380" s="22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2:13" s="20" customFormat="1">
      <c r="B381" s="21"/>
      <c r="C381" s="21"/>
      <c r="D381" s="22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2:13" s="20" customFormat="1">
      <c r="B382" s="21"/>
      <c r="C382" s="21"/>
      <c r="D382" s="22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2:13" s="20" customFormat="1">
      <c r="B383" s="21"/>
      <c r="C383" s="21"/>
      <c r="D383" s="22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2:13" s="20" customFormat="1">
      <c r="B384" s="21"/>
      <c r="C384" s="21"/>
      <c r="D384" s="22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2:13" s="20" customFormat="1">
      <c r="B385" s="21"/>
      <c r="C385" s="21"/>
      <c r="D385" s="22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2:13" s="20" customFormat="1">
      <c r="B386" s="21"/>
      <c r="C386" s="21"/>
      <c r="D386" s="22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2:13" s="20" customFormat="1">
      <c r="B387" s="21"/>
      <c r="C387" s="21"/>
      <c r="D387" s="22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2:13" s="20" customFormat="1">
      <c r="B388" s="21"/>
      <c r="C388" s="21"/>
      <c r="D388" s="22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2:13" s="20" customFormat="1">
      <c r="B389" s="21"/>
      <c r="C389" s="21"/>
      <c r="D389" s="22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2:13" s="20" customFormat="1">
      <c r="B390" s="21"/>
      <c r="C390" s="21"/>
      <c r="D390" s="22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2:13" s="20" customFormat="1">
      <c r="B391" s="21"/>
      <c r="C391" s="21"/>
      <c r="D391" s="22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2:13" s="20" customFormat="1">
      <c r="B392" s="21"/>
      <c r="C392" s="21"/>
      <c r="D392" s="22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2:13" s="20" customFormat="1">
      <c r="B393" s="21"/>
      <c r="C393" s="21"/>
      <c r="D393" s="22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2:13" s="20" customFormat="1">
      <c r="B394" s="21"/>
      <c r="C394" s="21"/>
      <c r="D394" s="22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2:13" s="20" customFormat="1">
      <c r="B395" s="21"/>
      <c r="C395" s="21"/>
      <c r="D395" s="22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2:13" s="20" customFormat="1">
      <c r="B396" s="21"/>
      <c r="C396" s="21"/>
      <c r="D396" s="22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2:13" s="20" customFormat="1">
      <c r="B397" s="21"/>
      <c r="C397" s="21"/>
      <c r="D397" s="22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2:13" s="20" customFormat="1">
      <c r="B398" s="21"/>
      <c r="C398" s="21"/>
      <c r="D398" s="22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2:13" s="20" customFormat="1">
      <c r="B399" s="21"/>
      <c r="C399" s="21"/>
      <c r="D399" s="22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2:13" s="20" customFormat="1">
      <c r="B400" s="21"/>
      <c r="C400" s="21"/>
      <c r="D400" s="22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2:13" s="20" customFormat="1">
      <c r="B401" s="21"/>
      <c r="C401" s="21"/>
      <c r="D401" s="22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2:13" s="20" customFormat="1">
      <c r="B402" s="21"/>
      <c r="C402" s="21"/>
      <c r="D402" s="22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2:13" s="20" customFormat="1">
      <c r="B403" s="21"/>
      <c r="C403" s="21"/>
      <c r="D403" s="22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2:13" s="20" customFormat="1">
      <c r="B404" s="21"/>
      <c r="C404" s="21"/>
      <c r="D404" s="22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2:13" s="20" customFormat="1">
      <c r="B405" s="21"/>
      <c r="C405" s="21"/>
      <c r="D405" s="22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2:13" s="20" customFormat="1">
      <c r="B406" s="21"/>
      <c r="C406" s="21"/>
      <c r="D406" s="22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2:13" s="20" customFormat="1">
      <c r="B407" s="21"/>
      <c r="C407" s="21"/>
      <c r="D407" s="22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2:13" s="20" customFormat="1">
      <c r="B408" s="21"/>
      <c r="C408" s="21"/>
      <c r="D408" s="22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2:13" s="20" customFormat="1">
      <c r="B409" s="21"/>
      <c r="C409" s="21"/>
      <c r="D409" s="22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2:13" s="20" customFormat="1">
      <c r="B410" s="21"/>
      <c r="C410" s="21"/>
      <c r="D410" s="22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2:13" s="20" customFormat="1">
      <c r="B411" s="21"/>
      <c r="C411" s="21"/>
      <c r="D411" s="22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2:13" s="20" customFormat="1">
      <c r="B412" s="21"/>
      <c r="C412" s="21"/>
      <c r="D412" s="22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2:13" s="20" customFormat="1">
      <c r="B413" s="21"/>
      <c r="C413" s="21"/>
      <c r="D413" s="22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2:13" s="20" customFormat="1">
      <c r="B414" s="21"/>
      <c r="C414" s="21"/>
      <c r="D414" s="22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2:13" s="20" customFormat="1">
      <c r="B415" s="21"/>
      <c r="C415" s="21"/>
      <c r="D415" s="22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2:13" s="20" customFormat="1">
      <c r="B416" s="21"/>
      <c r="C416" s="21"/>
      <c r="D416" s="22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2:13" s="20" customFormat="1">
      <c r="B417" s="21"/>
      <c r="C417" s="21"/>
      <c r="D417" s="22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2:13" s="20" customFormat="1">
      <c r="B418" s="21"/>
      <c r="C418" s="21"/>
      <c r="D418" s="22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2:13" s="20" customFormat="1">
      <c r="B419" s="21"/>
      <c r="C419" s="21"/>
      <c r="D419" s="22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2:13" s="20" customFormat="1">
      <c r="B420" s="21"/>
      <c r="C420" s="21"/>
      <c r="D420" s="22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2:13" s="20" customFormat="1">
      <c r="B421" s="21"/>
      <c r="C421" s="21"/>
      <c r="D421" s="22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2:13" s="20" customFormat="1">
      <c r="B422" s="21"/>
      <c r="C422" s="21"/>
      <c r="D422" s="22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2:13" s="20" customFormat="1">
      <c r="B423" s="21"/>
      <c r="C423" s="21"/>
      <c r="D423" s="22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2:13" s="20" customFormat="1">
      <c r="B424" s="21"/>
      <c r="C424" s="21"/>
      <c r="D424" s="22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2:13" s="20" customFormat="1">
      <c r="B425" s="21"/>
      <c r="C425" s="21"/>
      <c r="D425" s="22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2:13" s="20" customFormat="1">
      <c r="B426" s="21"/>
      <c r="C426" s="21"/>
      <c r="D426" s="22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2:13" s="20" customFormat="1">
      <c r="B427" s="21"/>
      <c r="C427" s="21"/>
      <c r="D427" s="22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2:13" s="20" customFormat="1">
      <c r="B428" s="21"/>
      <c r="C428" s="21"/>
      <c r="D428" s="22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2:13" s="20" customFormat="1">
      <c r="B429" s="21"/>
      <c r="C429" s="21"/>
      <c r="D429" s="22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2:13" s="20" customFormat="1">
      <c r="B430" s="21"/>
      <c r="C430" s="21"/>
      <c r="D430" s="22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2:13" s="20" customFormat="1">
      <c r="B431" s="21"/>
      <c r="C431" s="21"/>
      <c r="D431" s="22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2:13" s="20" customFormat="1">
      <c r="B432" s="21"/>
      <c r="C432" s="21"/>
      <c r="D432" s="22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2:13" s="20" customFormat="1">
      <c r="B433" s="21"/>
      <c r="C433" s="21"/>
      <c r="D433" s="22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2:13" s="20" customFormat="1">
      <c r="B434" s="21"/>
      <c r="C434" s="21"/>
      <c r="D434" s="22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2:13" s="20" customFormat="1">
      <c r="B435" s="21"/>
      <c r="C435" s="21"/>
      <c r="D435" s="22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2:13" s="20" customFormat="1">
      <c r="B436" s="21"/>
      <c r="C436" s="21"/>
      <c r="D436" s="22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2:13" s="20" customFormat="1">
      <c r="B437" s="21"/>
      <c r="C437" s="21"/>
      <c r="D437" s="22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2:13" s="20" customFormat="1">
      <c r="B438" s="21"/>
      <c r="C438" s="21"/>
      <c r="D438" s="22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2:13" s="20" customFormat="1">
      <c r="B439" s="21"/>
      <c r="C439" s="21"/>
      <c r="D439" s="22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2:13" s="20" customFormat="1">
      <c r="B440" s="21"/>
      <c r="C440" s="21"/>
      <c r="D440" s="22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2:13" s="20" customFormat="1">
      <c r="B441" s="21"/>
      <c r="C441" s="21"/>
      <c r="D441" s="22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2:13" s="20" customFormat="1">
      <c r="B442" s="21"/>
      <c r="C442" s="21"/>
      <c r="D442" s="22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2:13" s="20" customFormat="1">
      <c r="B443" s="21"/>
      <c r="C443" s="21"/>
      <c r="D443" s="22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2:13" s="20" customFormat="1">
      <c r="B444" s="21"/>
      <c r="C444" s="21"/>
      <c r="D444" s="22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2:13" s="20" customFormat="1">
      <c r="B445" s="21"/>
      <c r="C445" s="21"/>
      <c r="D445" s="22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2:13" s="20" customFormat="1">
      <c r="B446" s="21"/>
      <c r="C446" s="21"/>
      <c r="D446" s="22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2:13" s="20" customFormat="1">
      <c r="B447" s="21"/>
      <c r="C447" s="21"/>
      <c r="D447" s="22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2:13" s="20" customFormat="1">
      <c r="B448" s="21"/>
      <c r="C448" s="21"/>
      <c r="D448" s="22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2:13" s="20" customFormat="1">
      <c r="B449" s="21"/>
      <c r="C449" s="21"/>
      <c r="D449" s="22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2:13" s="20" customFormat="1">
      <c r="B450" s="21"/>
      <c r="C450" s="21"/>
      <c r="D450" s="22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2:13" s="20" customFormat="1">
      <c r="B451" s="21"/>
      <c r="C451" s="21"/>
      <c r="D451" s="22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2:13" s="20" customFormat="1">
      <c r="B452" s="21"/>
      <c r="C452" s="21"/>
      <c r="D452" s="22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2:13" s="20" customFormat="1">
      <c r="B453" s="21"/>
      <c r="C453" s="21"/>
      <c r="D453" s="22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2:13" s="20" customFormat="1">
      <c r="B454" s="21"/>
      <c r="C454" s="21"/>
      <c r="D454" s="22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2:13" s="20" customFormat="1">
      <c r="B455" s="21"/>
      <c r="C455" s="21"/>
      <c r="D455" s="22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2:13" s="20" customFormat="1">
      <c r="B456" s="21"/>
      <c r="C456" s="21"/>
      <c r="D456" s="22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2:13" s="20" customFormat="1">
      <c r="B457" s="21"/>
      <c r="C457" s="21"/>
      <c r="D457" s="22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2:13" s="20" customFormat="1">
      <c r="B458" s="21"/>
      <c r="C458" s="21"/>
      <c r="D458" s="22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2:13" s="20" customFormat="1">
      <c r="B459" s="21"/>
      <c r="C459" s="21"/>
      <c r="D459" s="22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2:13" s="20" customFormat="1">
      <c r="B460" s="21"/>
      <c r="C460" s="21"/>
      <c r="D460" s="22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2:13" s="20" customFormat="1">
      <c r="B461" s="21"/>
      <c r="C461" s="21"/>
      <c r="D461" s="22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2:13" s="20" customFormat="1">
      <c r="B462" s="21"/>
      <c r="C462" s="21"/>
      <c r="D462" s="22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2:13" s="20" customFormat="1">
      <c r="B463" s="21"/>
      <c r="C463" s="21"/>
      <c r="D463" s="22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2:13" s="20" customFormat="1">
      <c r="B464" s="21"/>
      <c r="C464" s="21"/>
      <c r="D464" s="22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2:13" s="20" customFormat="1">
      <c r="B465" s="21"/>
      <c r="C465" s="21"/>
      <c r="D465" s="22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2:13" s="20" customFormat="1">
      <c r="B466" s="21"/>
      <c r="C466" s="21"/>
      <c r="D466" s="22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2:13" s="20" customFormat="1">
      <c r="B467" s="21"/>
      <c r="C467" s="21"/>
      <c r="D467" s="22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2:13" s="20" customFormat="1">
      <c r="B468" s="21"/>
      <c r="C468" s="21"/>
      <c r="D468" s="22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2:13" s="20" customFormat="1">
      <c r="B469" s="21"/>
      <c r="C469" s="21"/>
      <c r="D469" s="22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2:13" s="20" customFormat="1">
      <c r="B470" s="21"/>
      <c r="C470" s="21"/>
      <c r="D470" s="22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2:13" s="20" customFormat="1">
      <c r="B471" s="21"/>
      <c r="C471" s="21"/>
      <c r="D471" s="22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2:13" s="20" customFormat="1">
      <c r="B472" s="21"/>
      <c r="C472" s="21"/>
      <c r="D472" s="22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2:13" s="20" customFormat="1">
      <c r="B473" s="21"/>
      <c r="C473" s="21"/>
      <c r="D473" s="22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2:13" s="20" customFormat="1">
      <c r="B474" s="21"/>
      <c r="C474" s="21"/>
      <c r="D474" s="22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2:13" s="20" customFormat="1">
      <c r="B475" s="21"/>
      <c r="C475" s="21"/>
      <c r="D475" s="22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2:13" s="20" customFormat="1">
      <c r="B476" s="21"/>
      <c r="C476" s="21"/>
      <c r="D476" s="22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2:13" s="20" customFormat="1">
      <c r="B477" s="21"/>
      <c r="C477" s="21"/>
      <c r="D477" s="22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2:13" s="20" customFormat="1">
      <c r="B478" s="21"/>
      <c r="C478" s="21"/>
      <c r="D478" s="22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2:13" s="20" customFormat="1">
      <c r="B479" s="21"/>
      <c r="C479" s="21"/>
      <c r="D479" s="22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2:13" s="20" customFormat="1">
      <c r="B480" s="21"/>
      <c r="C480" s="21"/>
      <c r="D480" s="22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2:13" s="20" customFormat="1">
      <c r="B481" s="21"/>
      <c r="C481" s="21"/>
      <c r="D481" s="22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2:13" s="20" customFormat="1">
      <c r="B482" s="21"/>
      <c r="C482" s="21"/>
      <c r="D482" s="22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2:13" s="20" customFormat="1">
      <c r="B483" s="21"/>
      <c r="C483" s="21"/>
      <c r="D483" s="22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2:13" s="20" customFormat="1">
      <c r="B484" s="21"/>
      <c r="C484" s="21"/>
      <c r="D484" s="22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2:13" s="20" customFormat="1">
      <c r="B485" s="21"/>
      <c r="C485" s="21"/>
      <c r="D485" s="22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2:13" s="20" customFormat="1">
      <c r="B486" s="21"/>
      <c r="C486" s="21"/>
      <c r="D486" s="22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2:13" s="20" customFormat="1">
      <c r="B487" s="21"/>
      <c r="C487" s="21"/>
      <c r="D487" s="22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2:13" s="20" customFormat="1">
      <c r="B488" s="21"/>
      <c r="C488" s="21"/>
      <c r="D488" s="22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2:13" s="20" customFormat="1">
      <c r="B489" s="21"/>
      <c r="C489" s="21"/>
      <c r="D489" s="22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2:13" s="20" customFormat="1">
      <c r="B490" s="21"/>
      <c r="C490" s="21"/>
      <c r="D490" s="22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2:13" s="20" customFormat="1">
      <c r="B491" s="21"/>
      <c r="C491" s="21"/>
      <c r="D491" s="22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2:13" s="20" customFormat="1">
      <c r="B492" s="21"/>
      <c r="C492" s="21"/>
      <c r="D492" s="22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2:13" s="20" customFormat="1">
      <c r="B493" s="21"/>
      <c r="C493" s="21"/>
      <c r="D493" s="22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2:13" s="20" customFormat="1">
      <c r="B494" s="21"/>
      <c r="C494" s="21"/>
      <c r="D494" s="22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2:13" s="20" customFormat="1">
      <c r="B495" s="21"/>
      <c r="C495" s="21"/>
      <c r="D495" s="22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2:13" s="20" customFormat="1">
      <c r="B496" s="21"/>
      <c r="C496" s="21"/>
      <c r="D496" s="22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2:13" s="20" customFormat="1">
      <c r="B497" s="21"/>
      <c r="C497" s="21"/>
      <c r="D497" s="22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2:13" s="20" customFormat="1">
      <c r="B498" s="21"/>
      <c r="C498" s="21"/>
      <c r="D498" s="22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2:13" s="20" customFormat="1">
      <c r="B499" s="21"/>
      <c r="C499" s="21"/>
      <c r="D499" s="22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2:13" s="20" customFormat="1">
      <c r="B500" s="21"/>
      <c r="C500" s="21"/>
      <c r="D500" s="22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2:13" s="20" customFormat="1">
      <c r="B501" s="21"/>
      <c r="C501" s="21"/>
      <c r="D501" s="22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2:13" s="20" customFormat="1">
      <c r="B502" s="21"/>
      <c r="C502" s="21"/>
      <c r="D502" s="22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2:13" s="20" customFormat="1">
      <c r="B503" s="21"/>
      <c r="C503" s="21"/>
      <c r="D503" s="22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2:13" s="20" customFormat="1">
      <c r="B504" s="21"/>
      <c r="C504" s="21"/>
      <c r="D504" s="22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2:13" s="20" customFormat="1">
      <c r="B505" s="21"/>
      <c r="C505" s="21"/>
      <c r="D505" s="22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2:13" s="20" customFormat="1">
      <c r="B506" s="21"/>
      <c r="C506" s="21"/>
      <c r="D506" s="22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2:13" s="20" customFormat="1">
      <c r="B507" s="21"/>
      <c r="C507" s="21"/>
      <c r="D507" s="22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2:13" s="20" customFormat="1">
      <c r="B508" s="21"/>
      <c r="C508" s="21"/>
      <c r="D508" s="22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2:13" s="20" customFormat="1">
      <c r="B509" s="21"/>
      <c r="C509" s="21"/>
      <c r="D509" s="22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2:13" s="20" customFormat="1">
      <c r="B510" s="21"/>
      <c r="C510" s="21"/>
      <c r="D510" s="22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2:13" s="20" customFormat="1">
      <c r="B511" s="21"/>
      <c r="C511" s="21"/>
      <c r="D511" s="22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2:13" s="20" customFormat="1">
      <c r="B512" s="21"/>
      <c r="C512" s="21"/>
      <c r="D512" s="22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2:13" s="20" customFormat="1">
      <c r="B513" s="21"/>
      <c r="C513" s="21"/>
      <c r="D513" s="22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2:13" s="20" customFormat="1">
      <c r="B514" s="21"/>
      <c r="C514" s="21"/>
      <c r="D514" s="22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2:13" s="20" customFormat="1">
      <c r="B515" s="21"/>
      <c r="C515" s="21"/>
      <c r="D515" s="22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2:13" s="20" customFormat="1">
      <c r="B516" s="21"/>
      <c r="C516" s="21"/>
      <c r="D516" s="22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2:13" s="20" customFormat="1">
      <c r="B517" s="21"/>
      <c r="C517" s="21"/>
      <c r="D517" s="22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2:13" s="20" customFormat="1">
      <c r="B518" s="21"/>
      <c r="C518" s="21"/>
      <c r="D518" s="22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2:13" s="20" customFormat="1">
      <c r="B519" s="21"/>
      <c r="C519" s="21"/>
      <c r="D519" s="22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2:13" s="20" customFormat="1">
      <c r="B520" s="21"/>
      <c r="C520" s="21"/>
      <c r="D520" s="22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2:13" s="20" customFormat="1">
      <c r="B521" s="21"/>
      <c r="C521" s="21"/>
      <c r="D521" s="22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2:13" s="20" customFormat="1">
      <c r="B522" s="21"/>
      <c r="C522" s="21"/>
      <c r="D522" s="22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2:13" s="20" customFormat="1">
      <c r="B523" s="21"/>
      <c r="C523" s="21"/>
      <c r="D523" s="22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2:13" s="20" customFormat="1">
      <c r="B524" s="21"/>
      <c r="C524" s="21"/>
      <c r="D524" s="22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2:13" s="20" customFormat="1">
      <c r="B525" s="21"/>
      <c r="C525" s="21"/>
      <c r="D525" s="22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2:13" s="20" customFormat="1">
      <c r="B526" s="21"/>
      <c r="C526" s="21"/>
      <c r="D526" s="22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2:13" s="20" customFormat="1">
      <c r="B527" s="21"/>
      <c r="C527" s="21"/>
      <c r="D527" s="22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2:13" s="20" customFormat="1">
      <c r="B528" s="21"/>
      <c r="C528" s="21"/>
      <c r="D528" s="22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2:13" s="20" customFormat="1">
      <c r="B529" s="21"/>
      <c r="C529" s="21"/>
      <c r="D529" s="22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2:13" s="20" customFormat="1">
      <c r="B530" s="21"/>
      <c r="C530" s="21"/>
      <c r="D530" s="22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2:13" s="20" customFormat="1">
      <c r="B531" s="21"/>
      <c r="C531" s="21"/>
      <c r="D531" s="22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2:13" s="20" customFormat="1">
      <c r="B532" s="21"/>
      <c r="C532" s="21"/>
      <c r="D532" s="22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2:13" s="20" customFormat="1">
      <c r="B533" s="21"/>
      <c r="C533" s="21"/>
      <c r="D533" s="22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2:13" s="20" customFormat="1">
      <c r="B534" s="21"/>
      <c r="C534" s="21"/>
      <c r="D534" s="22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2:13" s="20" customFormat="1">
      <c r="B535" s="21"/>
      <c r="C535" s="21"/>
      <c r="D535" s="22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2:13" s="20" customFormat="1">
      <c r="B536" s="21"/>
      <c r="C536" s="21"/>
      <c r="D536" s="22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2:13" s="20" customFormat="1">
      <c r="B537" s="21"/>
      <c r="C537" s="21"/>
      <c r="D537" s="22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2:13" s="20" customFormat="1">
      <c r="B538" s="21"/>
      <c r="C538" s="21"/>
      <c r="D538" s="22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2:13" s="20" customFormat="1">
      <c r="B539" s="21"/>
      <c r="C539" s="21"/>
      <c r="D539" s="22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2:13" s="20" customFormat="1">
      <c r="B540" s="21"/>
      <c r="C540" s="21"/>
      <c r="D540" s="22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2:13" s="20" customFormat="1">
      <c r="B541" s="21"/>
      <c r="C541" s="21"/>
      <c r="D541" s="22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2:13" s="20" customFormat="1">
      <c r="B542" s="21"/>
      <c r="C542" s="21"/>
      <c r="D542" s="22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2:13" s="20" customFormat="1">
      <c r="B543" s="21"/>
      <c r="C543" s="21"/>
      <c r="D543" s="22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2:13" s="20" customFormat="1">
      <c r="B544" s="21"/>
      <c r="C544" s="21"/>
      <c r="D544" s="22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2:13" s="20" customFormat="1">
      <c r="B545" s="21"/>
      <c r="C545" s="21"/>
      <c r="D545" s="22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2:13" s="20" customFormat="1">
      <c r="B546" s="21"/>
      <c r="C546" s="21"/>
      <c r="D546" s="22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2:13" s="20" customFormat="1">
      <c r="B547" s="21"/>
      <c r="C547" s="21"/>
      <c r="D547" s="22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2:13" s="20" customFormat="1">
      <c r="B548" s="21"/>
      <c r="C548" s="21"/>
      <c r="D548" s="22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2:13" s="20" customFormat="1">
      <c r="B549" s="21"/>
      <c r="C549" s="21"/>
      <c r="D549" s="22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2:13" s="20" customFormat="1">
      <c r="B550" s="21"/>
      <c r="C550" s="21"/>
      <c r="D550" s="22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2:13" s="20" customFormat="1">
      <c r="B551" s="21"/>
      <c r="C551" s="21"/>
      <c r="D551" s="22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2:13" s="20" customFormat="1">
      <c r="B552" s="21"/>
      <c r="C552" s="21"/>
      <c r="D552" s="22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2:13" s="20" customFormat="1">
      <c r="B553" s="21"/>
      <c r="C553" s="21"/>
      <c r="D553" s="22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2:13" s="20" customFormat="1">
      <c r="B554" s="21"/>
      <c r="C554" s="21"/>
      <c r="D554" s="22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2:13" s="20" customFormat="1">
      <c r="B555" s="21"/>
      <c r="C555" s="21"/>
      <c r="D555" s="22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2:13" s="20" customFormat="1">
      <c r="B556" s="21"/>
      <c r="C556" s="21"/>
      <c r="D556" s="22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2:13" s="20" customFormat="1">
      <c r="B557" s="21"/>
      <c r="C557" s="21"/>
      <c r="D557" s="22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2:13" s="20" customFormat="1">
      <c r="B558" s="21"/>
      <c r="C558" s="21"/>
      <c r="D558" s="22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2:13" s="20" customFormat="1">
      <c r="B559" s="21"/>
      <c r="C559" s="21"/>
      <c r="D559" s="22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2:13" s="20" customFormat="1">
      <c r="B560" s="21"/>
      <c r="C560" s="21"/>
      <c r="D560" s="22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2:13" s="20" customFormat="1">
      <c r="B561" s="21"/>
      <c r="C561" s="21"/>
      <c r="D561" s="22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2:13" s="20" customFormat="1">
      <c r="B562" s="21"/>
      <c r="C562" s="21"/>
      <c r="D562" s="22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2:13" s="20" customFormat="1">
      <c r="B563" s="21"/>
      <c r="C563" s="21"/>
      <c r="D563" s="22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2:13" s="20" customFormat="1">
      <c r="B564" s="21"/>
      <c r="C564" s="21"/>
      <c r="D564" s="22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2:13" s="20" customFormat="1">
      <c r="B565" s="21"/>
      <c r="C565" s="21"/>
      <c r="D565" s="22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2:13" s="20" customFormat="1">
      <c r="B566" s="21"/>
      <c r="C566" s="21"/>
      <c r="D566" s="22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2:13" s="20" customFormat="1">
      <c r="B567" s="21"/>
      <c r="C567" s="21"/>
      <c r="D567" s="22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2:13" s="20" customFormat="1">
      <c r="B568" s="21"/>
      <c r="C568" s="21"/>
      <c r="D568" s="22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2:13" s="20" customFormat="1">
      <c r="B569" s="21"/>
      <c r="C569" s="21"/>
      <c r="D569" s="22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2:13" s="20" customFormat="1">
      <c r="B570" s="21"/>
      <c r="C570" s="21"/>
      <c r="D570" s="22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2:13" s="20" customFormat="1">
      <c r="B571" s="21"/>
      <c r="C571" s="21"/>
      <c r="D571" s="22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2:13" s="20" customFormat="1">
      <c r="B572" s="21"/>
      <c r="C572" s="21"/>
      <c r="D572" s="22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2:13" s="20" customFormat="1">
      <c r="B573" s="21"/>
      <c r="C573" s="21"/>
      <c r="D573" s="22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2:13" s="20" customFormat="1">
      <c r="B574" s="21"/>
      <c r="C574" s="21"/>
      <c r="D574" s="22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2:13" s="20" customFormat="1">
      <c r="B575" s="21"/>
      <c r="C575" s="21"/>
      <c r="D575" s="22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2:13" s="20" customFormat="1">
      <c r="B576" s="21"/>
      <c r="C576" s="21"/>
      <c r="D576" s="22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2:13" s="20" customFormat="1">
      <c r="B577" s="21"/>
      <c r="C577" s="21"/>
      <c r="D577" s="22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2:13" s="20" customFormat="1">
      <c r="B578" s="21"/>
      <c r="C578" s="21"/>
      <c r="D578" s="22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2:13" s="20" customFormat="1">
      <c r="B579" s="21"/>
      <c r="C579" s="21"/>
      <c r="D579" s="22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2:13" s="20" customFormat="1">
      <c r="B580" s="21"/>
      <c r="C580" s="21"/>
      <c r="D580" s="22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2:13" s="20" customFormat="1">
      <c r="B581" s="21"/>
      <c r="C581" s="21"/>
      <c r="D581" s="22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2:13" s="20" customFormat="1">
      <c r="B582" s="21"/>
      <c r="C582" s="21"/>
      <c r="D582" s="22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2:13" s="20" customFormat="1">
      <c r="B583" s="21"/>
      <c r="C583" s="21"/>
      <c r="D583" s="22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2:13" s="20" customFormat="1">
      <c r="B584" s="21"/>
      <c r="C584" s="21"/>
      <c r="D584" s="22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2:13" s="20" customFormat="1">
      <c r="B585" s="21"/>
      <c r="C585" s="21"/>
      <c r="D585" s="22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2:13" s="20" customFormat="1">
      <c r="B586" s="21"/>
      <c r="C586" s="21"/>
      <c r="D586" s="22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2:13" s="20" customFormat="1">
      <c r="B587" s="21"/>
      <c r="C587" s="21"/>
      <c r="D587" s="22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2:13" s="20" customFormat="1">
      <c r="B588" s="21"/>
      <c r="C588" s="21"/>
      <c r="D588" s="22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2:13" s="20" customFormat="1">
      <c r="B589" s="21"/>
      <c r="C589" s="21"/>
      <c r="D589" s="22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2:13" s="20" customFormat="1">
      <c r="B590" s="21"/>
      <c r="C590" s="21"/>
      <c r="D590" s="22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2:13" s="20" customFormat="1">
      <c r="B591" s="21"/>
      <c r="C591" s="21"/>
      <c r="D591" s="22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2:13" s="20" customFormat="1">
      <c r="B592" s="21"/>
      <c r="C592" s="21"/>
      <c r="D592" s="22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2:13" s="20" customFormat="1">
      <c r="B593" s="21"/>
      <c r="C593" s="21"/>
      <c r="D593" s="22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2:13" s="20" customFormat="1">
      <c r="B594" s="21"/>
      <c r="C594" s="21"/>
      <c r="D594" s="22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2:13" s="20" customFormat="1">
      <c r="B595" s="21"/>
      <c r="C595" s="21"/>
      <c r="D595" s="22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2:13" s="20" customFormat="1">
      <c r="B596" s="21"/>
      <c r="C596" s="21"/>
      <c r="D596" s="22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2:13" s="20" customFormat="1">
      <c r="B597" s="21"/>
      <c r="C597" s="21"/>
      <c r="D597" s="22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2:13" s="20" customFormat="1">
      <c r="B598" s="21"/>
      <c r="C598" s="21"/>
      <c r="D598" s="22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2:13" s="20" customFormat="1">
      <c r="B599" s="21"/>
      <c r="C599" s="21"/>
      <c r="D599" s="22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2:13" s="20" customFormat="1">
      <c r="B600" s="21"/>
      <c r="C600" s="21"/>
      <c r="D600" s="22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2:13" s="20" customFormat="1">
      <c r="B601" s="21"/>
      <c r="C601" s="21"/>
      <c r="D601" s="22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2:13" s="20" customFormat="1">
      <c r="B602" s="21"/>
      <c r="C602" s="21"/>
      <c r="D602" s="22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2:13" s="20" customFormat="1">
      <c r="B603" s="21"/>
      <c r="C603" s="21"/>
      <c r="D603" s="22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2:13" s="20" customFormat="1">
      <c r="B604" s="21"/>
      <c r="C604" s="21"/>
      <c r="D604" s="22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2:13" s="20" customFormat="1">
      <c r="B605" s="21"/>
      <c r="C605" s="21"/>
      <c r="D605" s="22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2:13" s="20" customFormat="1">
      <c r="B606" s="21"/>
      <c r="C606" s="21"/>
      <c r="D606" s="22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2:13" s="20" customFormat="1">
      <c r="B607" s="21"/>
      <c r="C607" s="21"/>
      <c r="D607" s="22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2:13" s="20" customFormat="1">
      <c r="B608" s="21"/>
      <c r="C608" s="21"/>
      <c r="D608" s="22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2:13" s="20" customFormat="1">
      <c r="B609" s="21"/>
      <c r="C609" s="21"/>
      <c r="D609" s="22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2:13" s="20" customFormat="1">
      <c r="B610" s="21"/>
      <c r="C610" s="21"/>
      <c r="D610" s="22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2:13" s="20" customFormat="1">
      <c r="B611" s="21"/>
      <c r="C611" s="21"/>
      <c r="D611" s="22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2:13" s="20" customFormat="1">
      <c r="B612" s="21"/>
      <c r="C612" s="21"/>
      <c r="D612" s="22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2:13" s="20" customFormat="1">
      <c r="B613" s="21"/>
      <c r="C613" s="21"/>
      <c r="D613" s="22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2:13" s="20" customFormat="1">
      <c r="B614" s="21"/>
      <c r="C614" s="21"/>
      <c r="D614" s="22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2:13" s="20" customFormat="1">
      <c r="B615" s="21"/>
      <c r="C615" s="21"/>
      <c r="D615" s="22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2:13" s="20" customFormat="1">
      <c r="B616" s="21"/>
      <c r="C616" s="21"/>
      <c r="D616" s="22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2:13" s="20" customFormat="1">
      <c r="B617" s="21"/>
      <c r="C617" s="21"/>
      <c r="D617" s="22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2:13" s="20" customFormat="1">
      <c r="B618" s="21"/>
      <c r="C618" s="21"/>
      <c r="D618" s="22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2:13" s="20" customFormat="1">
      <c r="B619" s="21"/>
      <c r="C619" s="21"/>
      <c r="D619" s="22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2:13" s="20" customFormat="1">
      <c r="B620" s="21"/>
      <c r="C620" s="21"/>
      <c r="D620" s="22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2:13" s="20" customFormat="1">
      <c r="B621" s="21"/>
      <c r="C621" s="21"/>
      <c r="D621" s="22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2:13" s="20" customFormat="1">
      <c r="B622" s="21"/>
      <c r="C622" s="21"/>
      <c r="D622" s="22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2:13" s="20" customFormat="1">
      <c r="B623" s="21"/>
      <c r="C623" s="21"/>
      <c r="D623" s="22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2:13" s="20" customFormat="1">
      <c r="B624" s="21"/>
      <c r="C624" s="21"/>
      <c r="D624" s="22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2:13" s="20" customFormat="1">
      <c r="B625" s="21"/>
      <c r="C625" s="21"/>
      <c r="D625" s="22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2:13" s="20" customFormat="1">
      <c r="B626" s="21"/>
      <c r="C626" s="21"/>
      <c r="D626" s="22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2:13" s="20" customFormat="1">
      <c r="B627" s="21"/>
      <c r="C627" s="21"/>
      <c r="D627" s="22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2:13" s="20" customFormat="1">
      <c r="B628" s="21"/>
      <c r="C628" s="21"/>
      <c r="D628" s="22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2:13" s="20" customFormat="1">
      <c r="B629" s="21"/>
      <c r="C629" s="21"/>
      <c r="D629" s="22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2:13" s="20" customFormat="1">
      <c r="B630" s="21"/>
      <c r="C630" s="21"/>
      <c r="D630" s="22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2:13" s="20" customFormat="1">
      <c r="B631" s="21"/>
      <c r="C631" s="21"/>
      <c r="D631" s="22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2:13" s="20" customFormat="1">
      <c r="B632" s="21"/>
      <c r="C632" s="21"/>
      <c r="D632" s="22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2:13" s="20" customFormat="1">
      <c r="B633" s="21"/>
      <c r="C633" s="21"/>
      <c r="D633" s="22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2:13" s="20" customFormat="1">
      <c r="B634" s="21"/>
      <c r="C634" s="21"/>
      <c r="D634" s="22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2:13" s="20" customFormat="1">
      <c r="B635" s="21"/>
      <c r="C635" s="21"/>
      <c r="D635" s="22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2:13" s="20" customFormat="1">
      <c r="B636" s="21"/>
      <c r="C636" s="21"/>
      <c r="D636" s="22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2:13" s="20" customFormat="1">
      <c r="B637" s="21"/>
      <c r="C637" s="21"/>
      <c r="D637" s="22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2:13" s="20" customFormat="1">
      <c r="B638" s="21"/>
      <c r="C638" s="21"/>
      <c r="D638" s="22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2:13" s="20" customFormat="1">
      <c r="B639" s="21"/>
      <c r="C639" s="21"/>
      <c r="D639" s="22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2:13" s="20" customFormat="1">
      <c r="B640" s="21"/>
      <c r="C640" s="21"/>
      <c r="D640" s="22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2:13" s="20" customFormat="1">
      <c r="B641" s="21"/>
      <c r="C641" s="21"/>
      <c r="D641" s="22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2:13" s="20" customFormat="1">
      <c r="B642" s="21"/>
      <c r="C642" s="21"/>
      <c r="D642" s="22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2:13" s="20" customFormat="1">
      <c r="B643" s="21"/>
      <c r="C643" s="21"/>
      <c r="D643" s="22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2:13" s="20" customFormat="1">
      <c r="B644" s="21"/>
      <c r="C644" s="21"/>
      <c r="D644" s="22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2:13" s="20" customFormat="1">
      <c r="B645" s="21"/>
      <c r="C645" s="21"/>
      <c r="D645" s="22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2:13" s="20" customFormat="1">
      <c r="B646" s="21"/>
      <c r="C646" s="21"/>
      <c r="D646" s="22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2:13" s="20" customFormat="1">
      <c r="B647" s="21"/>
      <c r="C647" s="21"/>
      <c r="D647" s="22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2:13" s="20" customFormat="1">
      <c r="B648" s="21"/>
      <c r="C648" s="21"/>
      <c r="D648" s="22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2:13" s="20" customFormat="1">
      <c r="B649" s="21"/>
      <c r="C649" s="21"/>
      <c r="D649" s="22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2:13" s="20" customFormat="1">
      <c r="B650" s="21"/>
      <c r="C650" s="21"/>
      <c r="D650" s="22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2:13" s="20" customFormat="1">
      <c r="B651" s="21"/>
      <c r="C651" s="21"/>
      <c r="D651" s="22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2:13" s="20" customFormat="1">
      <c r="B652" s="21"/>
      <c r="C652" s="21"/>
      <c r="D652" s="22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2:13" s="20" customFormat="1">
      <c r="B653" s="21"/>
      <c r="C653" s="21"/>
      <c r="D653" s="22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2:13" s="20" customFormat="1">
      <c r="B654" s="21"/>
      <c r="C654" s="21"/>
      <c r="D654" s="22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2:13" s="20" customFormat="1">
      <c r="B655" s="21"/>
      <c r="C655" s="21"/>
      <c r="D655" s="22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2:13" s="20" customFormat="1">
      <c r="B656" s="21"/>
      <c r="C656" s="21"/>
      <c r="D656" s="22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2:13" s="20" customFormat="1">
      <c r="B657" s="21"/>
      <c r="C657" s="21"/>
      <c r="D657" s="22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2:13" s="20" customFormat="1">
      <c r="B658" s="21"/>
      <c r="C658" s="21"/>
      <c r="D658" s="22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2:13" s="20" customFormat="1">
      <c r="B659" s="21"/>
      <c r="C659" s="21"/>
      <c r="D659" s="22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2:13" s="20" customFormat="1">
      <c r="B660" s="21"/>
      <c r="C660" s="21"/>
      <c r="D660" s="22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2:13" s="20" customFormat="1">
      <c r="B661" s="21"/>
      <c r="C661" s="21"/>
      <c r="D661" s="22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2:13" s="20" customFormat="1">
      <c r="B662" s="21"/>
      <c r="C662" s="21"/>
      <c r="D662" s="22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2:13" s="20" customFormat="1">
      <c r="B663" s="21"/>
      <c r="C663" s="21"/>
      <c r="D663" s="22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2:13" s="20" customFormat="1">
      <c r="B664" s="21"/>
      <c r="C664" s="21"/>
      <c r="D664" s="22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2:13" s="20" customFormat="1">
      <c r="B665" s="21"/>
      <c r="C665" s="21"/>
      <c r="D665" s="22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2:13" s="20" customFormat="1">
      <c r="B666" s="21"/>
      <c r="C666" s="21"/>
      <c r="D666" s="22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2:13" s="20" customFormat="1">
      <c r="B667" s="21"/>
      <c r="C667" s="21"/>
      <c r="D667" s="22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2:13" s="20" customFormat="1">
      <c r="B668" s="21"/>
      <c r="C668" s="21"/>
      <c r="D668" s="22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2:13" s="20" customFormat="1">
      <c r="B669" s="21"/>
      <c r="C669" s="21"/>
      <c r="D669" s="22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2:13" s="20" customFormat="1">
      <c r="B670" s="21"/>
      <c r="C670" s="21"/>
      <c r="D670" s="22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2:13" s="20" customFormat="1">
      <c r="B671" s="21"/>
      <c r="C671" s="21"/>
      <c r="D671" s="22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2:13" s="20" customFormat="1">
      <c r="B672" s="21"/>
      <c r="C672" s="21"/>
      <c r="D672" s="22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2:13" s="20" customFormat="1">
      <c r="B673" s="21"/>
      <c r="C673" s="21"/>
      <c r="D673" s="22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2:13" s="20" customFormat="1">
      <c r="B674" s="21"/>
      <c r="C674" s="21"/>
      <c r="D674" s="22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2:13" s="20" customFormat="1">
      <c r="B675" s="21"/>
      <c r="C675" s="21"/>
      <c r="D675" s="22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2:13" s="20" customFormat="1">
      <c r="B676" s="21"/>
      <c r="C676" s="21"/>
      <c r="D676" s="22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2:13" s="20" customFormat="1">
      <c r="B677" s="21"/>
      <c r="C677" s="21"/>
      <c r="D677" s="22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2:13" s="20" customFormat="1">
      <c r="B678" s="21"/>
      <c r="C678" s="21"/>
      <c r="D678" s="22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2:13" s="20" customFormat="1">
      <c r="B679" s="21"/>
      <c r="C679" s="21"/>
      <c r="D679" s="22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2:13" s="20" customFormat="1">
      <c r="B680" s="21"/>
      <c r="C680" s="21"/>
      <c r="D680" s="22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2:13" s="20" customFormat="1">
      <c r="B681" s="21"/>
      <c r="C681" s="21"/>
      <c r="D681" s="22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2:13" s="20" customFormat="1">
      <c r="B682" s="21"/>
      <c r="C682" s="21"/>
      <c r="D682" s="22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2:13" s="20" customFormat="1">
      <c r="B683" s="21"/>
      <c r="C683" s="21"/>
      <c r="D683" s="22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2:13" s="20" customFormat="1">
      <c r="B684" s="21"/>
      <c r="C684" s="21"/>
      <c r="D684" s="22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2:13" s="20" customFormat="1">
      <c r="B685" s="21"/>
      <c r="C685" s="21"/>
      <c r="D685" s="22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2:13" s="20" customFormat="1">
      <c r="B686" s="21"/>
      <c r="C686" s="21"/>
      <c r="D686" s="22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2:13" s="20" customFormat="1">
      <c r="B687" s="21"/>
      <c r="C687" s="21"/>
      <c r="D687" s="22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2:13" s="20" customFormat="1">
      <c r="B688" s="21"/>
      <c r="C688" s="21"/>
      <c r="D688" s="22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2:13" s="20" customFormat="1">
      <c r="B689" s="21"/>
      <c r="C689" s="21"/>
      <c r="D689" s="22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2:13" s="20" customFormat="1">
      <c r="B690" s="21"/>
      <c r="C690" s="21"/>
      <c r="D690" s="22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2:13" s="20" customFormat="1">
      <c r="B691" s="21"/>
      <c r="C691" s="21"/>
      <c r="D691" s="22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2:13" s="20" customFormat="1">
      <c r="B692" s="21"/>
      <c r="C692" s="21"/>
      <c r="D692" s="22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2:13" s="20" customFormat="1">
      <c r="B693" s="21"/>
      <c r="C693" s="21"/>
      <c r="D693" s="22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2:13" s="20" customFormat="1">
      <c r="B694" s="21"/>
      <c r="C694" s="21"/>
      <c r="D694" s="22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2:13" s="20" customFormat="1">
      <c r="B695" s="21"/>
      <c r="C695" s="21"/>
      <c r="D695" s="22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2:13" s="20" customFormat="1">
      <c r="B696" s="21"/>
      <c r="C696" s="21"/>
      <c r="D696" s="22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2:13" s="20" customFormat="1">
      <c r="B697" s="21"/>
      <c r="C697" s="21"/>
      <c r="D697" s="22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2:13" s="20" customFormat="1">
      <c r="B698" s="21"/>
      <c r="C698" s="21"/>
      <c r="D698" s="22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2:13" s="20" customFormat="1">
      <c r="B699" s="21"/>
      <c r="C699" s="21"/>
      <c r="D699" s="22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2:13" s="20" customFormat="1">
      <c r="B700" s="21"/>
      <c r="C700" s="21"/>
      <c r="D700" s="22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2:13" s="20" customFormat="1">
      <c r="B701" s="21"/>
      <c r="C701" s="21"/>
      <c r="D701" s="22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2:13" s="20" customFormat="1">
      <c r="B702" s="21"/>
      <c r="C702" s="21"/>
      <c r="D702" s="22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2:13" s="20" customFormat="1">
      <c r="B703" s="21"/>
      <c r="C703" s="21"/>
      <c r="D703" s="22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2:13" s="20" customFormat="1">
      <c r="B704" s="21"/>
      <c r="C704" s="21"/>
      <c r="D704" s="22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2:13" s="20" customFormat="1">
      <c r="B705" s="21"/>
      <c r="C705" s="21"/>
      <c r="D705" s="22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2:13" s="20" customFormat="1">
      <c r="B706" s="21"/>
      <c r="C706" s="21"/>
      <c r="D706" s="22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2:13" s="20" customFormat="1">
      <c r="B707" s="21"/>
      <c r="C707" s="21"/>
      <c r="D707" s="22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2:13" s="20" customFormat="1">
      <c r="B708" s="21"/>
      <c r="C708" s="21"/>
      <c r="D708" s="22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2:13" s="20" customFormat="1">
      <c r="B709" s="21"/>
      <c r="C709" s="21"/>
      <c r="D709" s="22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2:13" s="20" customFormat="1">
      <c r="B710" s="21"/>
      <c r="C710" s="21"/>
      <c r="D710" s="22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2:13" s="20" customFormat="1">
      <c r="B711" s="21"/>
      <c r="C711" s="21"/>
      <c r="D711" s="22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2:13" s="20" customFormat="1">
      <c r="B712" s="21"/>
      <c r="C712" s="21"/>
      <c r="D712" s="22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2:13" s="20" customFormat="1">
      <c r="B713" s="21"/>
      <c r="C713" s="21"/>
      <c r="D713" s="22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2:13" s="20" customFormat="1">
      <c r="B714" s="21"/>
      <c r="C714" s="21"/>
      <c r="D714" s="22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2:13" s="20" customFormat="1">
      <c r="B715" s="21"/>
      <c r="C715" s="21"/>
      <c r="D715" s="22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2:13" s="20" customFormat="1">
      <c r="B716" s="21"/>
      <c r="C716" s="21"/>
      <c r="D716" s="22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2:13" s="20" customFormat="1">
      <c r="B717" s="21"/>
      <c r="C717" s="21"/>
      <c r="D717" s="22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2:13" s="20" customFormat="1">
      <c r="B718" s="21"/>
      <c r="C718" s="21"/>
      <c r="D718" s="22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2:13" s="20" customFormat="1"/>
    <row r="720" spans="2:13" s="20" customFormat="1">
      <c r="M720" s="17"/>
    </row>
    <row r="721" spans="4:13" s="20" customFormat="1">
      <c r="E721" s="18"/>
      <c r="F721" s="18"/>
      <c r="G721" s="18"/>
      <c r="H721" s="18"/>
      <c r="I721" s="18"/>
      <c r="J721" s="18"/>
      <c r="K721" s="18"/>
      <c r="L721" s="18"/>
      <c r="M721" s="17"/>
    </row>
    <row r="722" spans="4:13" s="20" customFormat="1">
      <c r="D722" s="17"/>
      <c r="E722" s="23"/>
      <c r="F722" s="23"/>
      <c r="G722" s="23"/>
      <c r="H722" s="23"/>
      <c r="I722" s="23"/>
      <c r="J722" s="23"/>
      <c r="K722" s="23"/>
      <c r="L722" s="23"/>
      <c r="M722" s="23"/>
    </row>
    <row r="723" spans="4:13" s="20" customFormat="1"/>
    <row r="724" spans="4:13" s="20" customFormat="1"/>
    <row r="725" spans="4:13" s="20" customFormat="1">
      <c r="D725" s="17"/>
      <c r="E725" s="23"/>
      <c r="F725" s="23"/>
      <c r="G725" s="23"/>
      <c r="H725" s="23"/>
      <c r="I725" s="23"/>
      <c r="J725" s="23"/>
      <c r="K725" s="23"/>
      <c r="L725" s="23"/>
      <c r="M725" s="23"/>
    </row>
    <row r="726" spans="4:13" s="20" customFormat="1">
      <c r="M726" s="17"/>
    </row>
    <row r="727" spans="4:13" s="20" customFormat="1">
      <c r="M727" s="17"/>
    </row>
    <row r="728" spans="4:13" s="20" customFormat="1">
      <c r="M728" s="17"/>
    </row>
    <row r="729" spans="4:13" s="20" customFormat="1">
      <c r="M729" s="17"/>
    </row>
    <row r="730" spans="4:13" s="20" customFormat="1">
      <c r="M730" s="17"/>
    </row>
    <row r="731" spans="4:13" s="20" customFormat="1">
      <c r="M731" s="17"/>
    </row>
    <row r="732" spans="4:13" s="20" customFormat="1">
      <c r="M732" s="17"/>
    </row>
    <row r="733" spans="4:13" s="20" customFormat="1">
      <c r="M733" s="17"/>
    </row>
    <row r="734" spans="4:13" s="20" customFormat="1">
      <c r="M734" s="17"/>
    </row>
    <row r="735" spans="4:13" s="20" customFormat="1">
      <c r="M735" s="17"/>
    </row>
    <row r="736" spans="4:13" s="20" customFormat="1">
      <c r="M736" s="17"/>
    </row>
    <row r="737" spans="13:13" s="20" customFormat="1">
      <c r="M737" s="17"/>
    </row>
    <row r="738" spans="13:13" s="20" customFormat="1">
      <c r="M738" s="17"/>
    </row>
    <row r="739" spans="13:13" s="20" customFormat="1">
      <c r="M739" s="17"/>
    </row>
    <row r="740" spans="13:13" s="20" customFormat="1">
      <c r="M740" s="17"/>
    </row>
    <row r="741" spans="13:13" s="20" customFormat="1">
      <c r="M741" s="17"/>
    </row>
    <row r="742" spans="13:13" s="20" customFormat="1">
      <c r="M742" s="17"/>
    </row>
    <row r="743" spans="13:13" s="20" customFormat="1">
      <c r="M743" s="17"/>
    </row>
    <row r="744" spans="13:13" s="20" customFormat="1">
      <c r="M744" s="17"/>
    </row>
    <row r="745" spans="13:13" s="20" customFormat="1">
      <c r="M745" s="17"/>
    </row>
    <row r="746" spans="13:13" s="20" customFormat="1">
      <c r="M746" s="17"/>
    </row>
    <row r="747" spans="13:13" s="20" customFormat="1">
      <c r="M747" s="17"/>
    </row>
    <row r="748" spans="13:13" s="20" customFormat="1">
      <c r="M748" s="17"/>
    </row>
    <row r="749" spans="13:13" s="20" customFormat="1">
      <c r="M749" s="17"/>
    </row>
    <row r="750" spans="13:13" s="20" customFormat="1">
      <c r="M750" s="17"/>
    </row>
    <row r="751" spans="13:13" s="20" customFormat="1">
      <c r="M751" s="17"/>
    </row>
    <row r="752" spans="13:13" s="20" customFormat="1">
      <c r="M752" s="17"/>
    </row>
    <row r="753" spans="13:13" s="20" customFormat="1">
      <c r="M753" s="17"/>
    </row>
    <row r="754" spans="13:13" s="20" customFormat="1">
      <c r="M754" s="17"/>
    </row>
    <row r="755" spans="13:13" s="20" customFormat="1">
      <c r="M755" s="17"/>
    </row>
    <row r="756" spans="13:13" s="20" customFormat="1">
      <c r="M756" s="17"/>
    </row>
    <row r="757" spans="13:13" s="20" customFormat="1">
      <c r="M757" s="17"/>
    </row>
    <row r="758" spans="13:13" s="20" customFormat="1">
      <c r="M758" s="17"/>
    </row>
    <row r="759" spans="13:13" s="20" customFormat="1">
      <c r="M759" s="17"/>
    </row>
    <row r="760" spans="13:13" s="20" customFormat="1">
      <c r="M760" s="17"/>
    </row>
    <row r="761" spans="13:13" s="20" customFormat="1">
      <c r="M761" s="17"/>
    </row>
    <row r="762" spans="13:13" s="20" customFormat="1">
      <c r="M762" s="17"/>
    </row>
    <row r="763" spans="13:13" s="20" customFormat="1">
      <c r="M763" s="17"/>
    </row>
    <row r="764" spans="13:13" s="20" customFormat="1">
      <c r="M764" s="17"/>
    </row>
    <row r="765" spans="13:13" s="20" customFormat="1">
      <c r="M765" s="17"/>
    </row>
    <row r="766" spans="13:13" s="20" customFormat="1">
      <c r="M766" s="17"/>
    </row>
    <row r="767" spans="13:13" s="20" customFormat="1">
      <c r="M767" s="17"/>
    </row>
    <row r="768" spans="13:13" s="20" customFormat="1">
      <c r="M768" s="17"/>
    </row>
    <row r="769" spans="13:13" s="20" customFormat="1">
      <c r="M769" s="17"/>
    </row>
    <row r="770" spans="13:13" s="20" customFormat="1">
      <c r="M770" s="17"/>
    </row>
    <row r="771" spans="13:13" s="20" customFormat="1">
      <c r="M771" s="17"/>
    </row>
    <row r="772" spans="13:13" s="20" customFormat="1">
      <c r="M772" s="17"/>
    </row>
    <row r="773" spans="13:13" s="20" customFormat="1">
      <c r="M773" s="17"/>
    </row>
    <row r="774" spans="13:13" s="20" customFormat="1">
      <c r="M774" s="17"/>
    </row>
    <row r="775" spans="13:13" s="20" customFormat="1">
      <c r="M775" s="17"/>
    </row>
    <row r="776" spans="13:13" s="20" customFormat="1">
      <c r="M776" s="17"/>
    </row>
    <row r="777" spans="13:13" s="20" customFormat="1">
      <c r="M777" s="17"/>
    </row>
    <row r="778" spans="13:13" s="20" customFormat="1">
      <c r="M778" s="17"/>
    </row>
    <row r="779" spans="13:13" s="20" customFormat="1">
      <c r="M779" s="17"/>
    </row>
    <row r="780" spans="13:13" s="20" customFormat="1">
      <c r="M780" s="17"/>
    </row>
    <row r="781" spans="13:13" s="20" customFormat="1">
      <c r="M781" s="17"/>
    </row>
    <row r="782" spans="13:13" s="20" customFormat="1">
      <c r="M782" s="17"/>
    </row>
    <row r="783" spans="13:13" s="20" customFormat="1">
      <c r="M783" s="17"/>
    </row>
    <row r="784" spans="13:13" s="20" customFormat="1">
      <c r="M784" s="17"/>
    </row>
    <row r="785" spans="13:13" s="20" customFormat="1">
      <c r="M785" s="17"/>
    </row>
    <row r="786" spans="13:13" s="20" customFormat="1">
      <c r="M786" s="17"/>
    </row>
    <row r="787" spans="13:13" s="20" customFormat="1">
      <c r="M787" s="17"/>
    </row>
    <row r="788" spans="13:13" s="20" customFormat="1">
      <c r="M788" s="17"/>
    </row>
    <row r="789" spans="13:13" s="20" customFormat="1">
      <c r="M789" s="17"/>
    </row>
    <row r="790" spans="13:13" s="20" customFormat="1">
      <c r="M790" s="17"/>
    </row>
    <row r="791" spans="13:13" s="20" customFormat="1">
      <c r="M791" s="17"/>
    </row>
    <row r="792" spans="13:13" s="20" customFormat="1">
      <c r="M792" s="17"/>
    </row>
    <row r="793" spans="13:13" s="20" customFormat="1">
      <c r="M793" s="17"/>
    </row>
    <row r="794" spans="13:13" s="20" customFormat="1">
      <c r="M794" s="17"/>
    </row>
    <row r="795" spans="13:13" s="20" customFormat="1">
      <c r="M795" s="17"/>
    </row>
    <row r="796" spans="13:13" s="20" customFormat="1">
      <c r="M796" s="17"/>
    </row>
    <row r="797" spans="13:13" s="20" customFormat="1">
      <c r="M797" s="17"/>
    </row>
    <row r="798" spans="13:13" s="20" customFormat="1">
      <c r="M798" s="17"/>
    </row>
    <row r="799" spans="13:13" s="20" customFormat="1">
      <c r="M799" s="17"/>
    </row>
    <row r="800" spans="13:13" s="20" customFormat="1">
      <c r="M800" s="17"/>
    </row>
    <row r="801" spans="13:13" s="20" customFormat="1">
      <c r="M801" s="17"/>
    </row>
    <row r="802" spans="13:13" s="20" customFormat="1">
      <c r="M802" s="17"/>
    </row>
    <row r="803" spans="13:13" s="20" customFormat="1">
      <c r="M803" s="17"/>
    </row>
    <row r="804" spans="13:13" s="20" customFormat="1">
      <c r="M804" s="17"/>
    </row>
    <row r="805" spans="13:13" s="20" customFormat="1">
      <c r="M805" s="17"/>
    </row>
    <row r="806" spans="13:13" s="20" customFormat="1">
      <c r="M806" s="17"/>
    </row>
    <row r="807" spans="13:13" s="20" customFormat="1">
      <c r="M807" s="17"/>
    </row>
    <row r="808" spans="13:13" s="20" customFormat="1">
      <c r="M808" s="17"/>
    </row>
    <row r="809" spans="13:13" s="20" customFormat="1">
      <c r="M809" s="17"/>
    </row>
    <row r="810" spans="13:13" s="20" customFormat="1">
      <c r="M810" s="17"/>
    </row>
    <row r="811" spans="13:13" s="20" customFormat="1">
      <c r="M811" s="17"/>
    </row>
    <row r="812" spans="13:13" s="20" customFormat="1">
      <c r="M812" s="17"/>
    </row>
    <row r="813" spans="13:13" s="20" customFormat="1">
      <c r="M813" s="17"/>
    </row>
    <row r="814" spans="13:13" s="20" customFormat="1">
      <c r="M814" s="17"/>
    </row>
    <row r="815" spans="13:13" s="20" customFormat="1">
      <c r="M815" s="17"/>
    </row>
    <row r="816" spans="13:13" s="20" customFormat="1">
      <c r="M816" s="17"/>
    </row>
    <row r="817" spans="13:13" s="20" customFormat="1">
      <c r="M817" s="17"/>
    </row>
    <row r="818" spans="13:13" s="20" customFormat="1">
      <c r="M818" s="17"/>
    </row>
    <row r="819" spans="13:13" s="20" customFormat="1">
      <c r="M819" s="17"/>
    </row>
    <row r="820" spans="13:13" s="20" customFormat="1">
      <c r="M820" s="17"/>
    </row>
    <row r="821" spans="13:13" s="20" customFormat="1">
      <c r="M821" s="17"/>
    </row>
  </sheetData>
  <mergeCells count="2">
    <mergeCell ref="B5:D5"/>
    <mergeCell ref="E5:L5"/>
  </mergeCells>
  <phoneticPr fontId="5" type="noConversion"/>
  <printOptions horizontalCentered="1"/>
  <pageMargins left="0.27559055118110237" right="0.27559055118110237" top="0.78740157480314965" bottom="0.78740157480314965" header="0.43307086614173229" footer="0.43307086614173229"/>
  <pageSetup paperSize="9" orientation="landscape" horizontalDpi="4294967292" verticalDpi="4294967292" r:id="rId1"/>
  <headerFooter alignWithMargins="0">
    <oddFooter>&amp;R&amp;"Geneva,Regular"&amp;P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0-200</vt:lpstr>
      <vt:lpstr>200-300</vt:lpstr>
      <vt:lpstr>300-400</vt:lpstr>
      <vt:lpstr>'0-200'!Print_Titles</vt:lpstr>
      <vt:lpstr>'200-300'!Print_Titles</vt:lpstr>
      <vt:lpstr>'300-400'!Print_Titles</vt:lpstr>
    </vt:vector>
  </TitlesOfParts>
  <Company>McMurdo Station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CSEC</dc:creator>
  <cp:lastModifiedBy>john doe</cp:lastModifiedBy>
  <cp:lastPrinted>2007-10-17T07:46:43Z</cp:lastPrinted>
  <dcterms:created xsi:type="dcterms:W3CDTF">1999-11-22T02:30:21Z</dcterms:created>
  <dcterms:modified xsi:type="dcterms:W3CDTF">2011-04-14T17:06:43Z</dcterms:modified>
</cp:coreProperties>
</file>