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5" windowWidth="14415" windowHeight="12120"/>
  </bookViews>
  <sheets>
    <sheet name="Metadata" sheetId="4" r:id="rId1"/>
    <sheet name="Data" sheetId="1" r:id="rId2"/>
    <sheet name="Sites(Do NOT Edit)" sheetId="5" r:id="rId3"/>
  </sheets>
  <definedNames>
    <definedName name="_xlnm._FilterDatabase" localSheetId="2" hidden="1">'Sites(Do NOT Edit)'!$A$2:$N$637</definedName>
    <definedName name="ABSTRACT" localSheetId="0">Metadata!$A$6</definedName>
    <definedName name="ABSTRACT" localSheetId="2">Metadata!$A$6</definedName>
    <definedName name="Address_line_2" localSheetId="0">Metadata!$A$24</definedName>
    <definedName name="Address_line_2" localSheetId="2">Metadata!$A$24</definedName>
    <definedName name="Address_line_3" localSheetId="0">Metadata!$A$25</definedName>
    <definedName name="Address_line_3" localSheetId="2">Metadata!$A$25</definedName>
    <definedName name="Availability_Status" localSheetId="0">Metadata!$A$39</definedName>
    <definedName name="Availability_Status" localSheetId="2">Metadata!$A$39</definedName>
    <definedName name="Beginning_Date" localSheetId="0">Metadata!$A$35</definedName>
    <definedName name="Beginning_Date" localSheetId="2">Metadata!$A$35</definedName>
    <definedName name="City" localSheetId="0">Metadata!$A$26</definedName>
    <definedName name="City" localSheetId="2">Metadata!$A$26</definedName>
    <definedName name="Code_Information" localSheetId="0">Metadata!$F$143</definedName>
    <definedName name="Code_Information" localSheetId="2">Metadata!$F$143</definedName>
    <definedName name="Country" localSheetId="0">Metadata!$A$29</definedName>
    <definedName name="Country" localSheetId="2">Metadata!$A$29</definedName>
    <definedName name="DATA_FILE_INFORMATION" localSheetId="0">Metadata!$A$32</definedName>
    <definedName name="DATA_FILE_INFORMATION" localSheetId="2">Metadata!$A$32</definedName>
    <definedName name="Data_File_Name" localSheetId="0">Metadata!$A$34</definedName>
    <definedName name="Data_File_Name" localSheetId="2">Metadata!$A$34</definedName>
    <definedName name="Data_File_URL" localSheetId="0">Metadata!$A$33</definedName>
    <definedName name="Data_File_URL" localSheetId="2">Metadata!$A$33</definedName>
    <definedName name="Data_Type" localSheetId="0">Metadata!$C$143</definedName>
    <definedName name="Data_Type" localSheetId="2">Metadata!$C$143</definedName>
    <definedName name="DATASET_ID" localSheetId="0">Metadata!$A$16</definedName>
    <definedName name="DATASET_ID" localSheetId="2">Metadata!$A$16</definedName>
    <definedName name="DATASET_TITLE" localSheetId="0">Metadata!$A$5</definedName>
    <definedName name="DATASET_TITLE" localSheetId="2">Metadata!$A$5</definedName>
    <definedName name="DateTime_Format" localSheetId="0">Metadata!$E$143</definedName>
    <definedName name="DateTime_Format" localSheetId="2">Metadata!$E$143</definedName>
    <definedName name="Distribution_URL_for_file" localSheetId="0">Metadata!$A$4</definedName>
    <definedName name="Distribution_URL_for_file" localSheetId="2">Metadata!$A$4</definedName>
    <definedName name="East_Bounding_Coordinate" localSheetId="0">Metadata!$A$52</definedName>
    <definedName name="East_Bounding_Coordinate" localSheetId="2">Metadata!$A$52</definedName>
    <definedName name="Elevation" localSheetId="0">Metadata!$A$58</definedName>
    <definedName name="Elevation" localSheetId="2">Metadata!$A$58</definedName>
    <definedName name="Email" localSheetId="0">Metadata!$A$20</definedName>
    <definedName name="Email" localSheetId="2">Metadata!$A$20</definedName>
    <definedName name="End_Date" localSheetId="0">Metadata!$A$36</definedName>
    <definedName name="End_Date" localSheetId="2">Metadata!$A$36</definedName>
    <definedName name="First_Name" localSheetId="0">Metadata!$A$21</definedName>
    <definedName name="First_Name" localSheetId="2">Metadata!$A$21</definedName>
    <definedName name="Geographic_Description" localSheetId="0">Metadata!$A$49</definedName>
    <definedName name="Geographic_Description" localSheetId="2">Metadata!$A$49</definedName>
    <definedName name="INVESTIGATOR_INFORMATION" localSheetId="0">Metadata!$A$18</definedName>
    <definedName name="INVESTIGATOR_INFORMATION" localSheetId="2">Metadata!$A$18</definedName>
    <definedName name="KEYWORD_INFORMATION" localSheetId="0">Metadata!$A$64</definedName>
    <definedName name="KEYWORD_INFORMATION" localSheetId="2">Metadata!$A$64</definedName>
    <definedName name="KEYWORDS" localSheetId="0">Metadata!$A$65</definedName>
    <definedName name="KEYWORDS" localSheetId="2">Metadata!$A$65</definedName>
    <definedName name="Last_Name" localSheetId="0">Metadata!$A$22</definedName>
    <definedName name="Last_Name" localSheetId="2">Metadata!$A$22</definedName>
    <definedName name="Latitude" localSheetId="0">Metadata!$A$56</definedName>
    <definedName name="Latitude" localSheetId="2">Metadata!$A$56</definedName>
    <definedName name="Link_to_Google_Map">Metadata!$A$59</definedName>
    <definedName name="Location_Bounding_Box" localSheetId="0">Metadata!$A$50</definedName>
    <definedName name="Location_Bounding_Box" localSheetId="2">Metadata!$A$50</definedName>
    <definedName name="Location_Name">Metadata!$A$48</definedName>
    <definedName name="Log_of_Changes" localSheetId="0">Metadata!$A$42</definedName>
    <definedName name="Log_of_Changes" localSheetId="2">Metadata!$A$42</definedName>
    <definedName name="Longitude" localSheetId="0">Metadata!$A$57</definedName>
    <definedName name="Longitude" localSheetId="2">Metadata!$A$57</definedName>
    <definedName name="LTER_Sites_number">'Sites(Do NOT Edit)'!$A$2:$A$637</definedName>
    <definedName name="Maintenance_Description" localSheetId="0">Metadata!$A$41</definedName>
    <definedName name="Maintenance_Description" localSheetId="2">Metadata!$A$41</definedName>
    <definedName name="Metacat_Package_ID" localSheetId="0">Metadata!$A$2</definedName>
    <definedName name="Metacat_Package_ID" localSheetId="2">Metadata!$A$2</definedName>
    <definedName name="METHODS" localSheetId="0">Metadata!$A$68</definedName>
    <definedName name="METHODS" localSheetId="2">Metadata!$A$68</definedName>
    <definedName name="Missing_Value_Code" localSheetId="0">Metadata!$G$143</definedName>
    <definedName name="Missing_Value_Code" localSheetId="2">Metadata!$G$143</definedName>
    <definedName name="North_Bounding_Coordinate" localSheetId="0">Metadata!$A$53</definedName>
    <definedName name="North_Bounding_Coordinate" localSheetId="2">Metadata!$A$53</definedName>
    <definedName name="Number_of_Data_Records" localSheetId="0">Metadata!$A$37</definedName>
    <definedName name="Number_of_Data_Records" localSheetId="2">Metadata!$A$37</definedName>
    <definedName name="OR" localSheetId="0">Metadata!$A$134</definedName>
    <definedName name="OR" localSheetId="2">Metadata!$A$134</definedName>
    <definedName name="OR_if_single_point_location" localSheetId="0">Metadata!$A$55</definedName>
    <definedName name="OR_if_single_point_location" localSheetId="2">Metadata!$A$55</definedName>
    <definedName name="Organisms_studied" localSheetId="0">Metadata!$A$62</definedName>
    <definedName name="Organisms_studied" localSheetId="2">Metadata!$A$62</definedName>
    <definedName name="Organization" localSheetId="0">Metadata!$A$23</definedName>
    <definedName name="Organization" localSheetId="2">Metadata!$A$23</definedName>
    <definedName name="Other_Files_to_Reference" localSheetId="0">Metadata!$A$38</definedName>
    <definedName name="Other_Files_to_Reference" localSheetId="2">Metadata!$A$38</definedName>
    <definedName name="Protocol_Document" localSheetId="0">Metadata!$A$135</definedName>
    <definedName name="Protocol_Document" localSheetId="2">Metadata!$A$135</definedName>
    <definedName name="Protocol_Title" localSheetId="0">Metadata!$A$132</definedName>
    <definedName name="Protocol_Title" localSheetId="2">Metadata!$A$132</definedName>
    <definedName name="Quality_Control_Information" localSheetId="0">Metadata!$A$40</definedName>
    <definedName name="Quality_Control_Information" localSheetId="2">Metadata!$A$40</definedName>
    <definedName name="RESEARCH_LOCATION" localSheetId="0">Metadata!$A$47</definedName>
    <definedName name="RESEARCH_LOCATION" localSheetId="2">Metadata!$A$47</definedName>
    <definedName name="Role" localSheetId="0">Metadata!$A$19</definedName>
    <definedName name="Role" localSheetId="2">Metadata!$A$19</definedName>
    <definedName name="Sampling_and_or_Lab_Protocols" localSheetId="0">Metadata!$A$131</definedName>
    <definedName name="Sampling_and_or_Lab_Protocols" localSheetId="2">Metadata!$A$131</definedName>
    <definedName name="Site_name">'Sites(Do NOT Edit)'!$B$3:$B$637</definedName>
    <definedName name="Site_name_list">'Sites(Do NOT Edit)'!$B$2:$B$637</definedName>
    <definedName name="Sites">'Sites(Do NOT Edit)'!$A$3:$M$637</definedName>
    <definedName name="South_Bounding_Coordinate" localSheetId="0">Metadata!$A$54</definedName>
    <definedName name="South_Bounding_Coordinate" localSheetId="2">Metadata!$A$54</definedName>
    <definedName name="State" localSheetId="0">Metadata!$A$27</definedName>
    <definedName name="State" localSheetId="2">Metadata!$A$27</definedName>
    <definedName name="TAXONOMIC_COVERAGE" localSheetId="0">Metadata!$A$61</definedName>
    <definedName name="TAXONOMIC_COVERAGE" localSheetId="2">Metadata!$A$61</definedName>
    <definedName name="Units" localSheetId="0">Metadata!$D$143</definedName>
    <definedName name="Units" localSheetId="2">Metadata!$D$143</definedName>
    <definedName name="URL_of_online_Protocol" localSheetId="0">Metadata!$A$133</definedName>
    <definedName name="URL_of_online_Protocol" localSheetId="2">Metadata!$A$133</definedName>
    <definedName name="Variable_Description" localSheetId="0">Metadata!$B$143</definedName>
    <definedName name="Variable_Description" localSheetId="2">Metadata!$B$143</definedName>
    <definedName name="VARIABLE_DESCRIPTIONS" localSheetId="0">Metadata!$A$142</definedName>
    <definedName name="VARIABLE_DESCRIPTIONS" localSheetId="2">Metadata!$A$142</definedName>
    <definedName name="Variable_Name" localSheetId="0">Metadata!$A$143</definedName>
    <definedName name="Variable_Name" localSheetId="2">Metadata!$A$143</definedName>
    <definedName name="West_Bounding_Coordinate" localSheetId="0">Metadata!$A$51</definedName>
    <definedName name="West_Bounding_Coordinate" localSheetId="2">Metadata!$A$51</definedName>
    <definedName name="Year_Released_to_Public" localSheetId="0">Metadata!$A$3</definedName>
    <definedName name="Year_Released_to_Public" localSheetId="2">Metadata!$A$3</definedName>
    <definedName name="Zip_Code" localSheetId="0">Metadata!$A$28</definedName>
    <definedName name="Zip_Code" localSheetId="2">Metadata!$A$28</definedName>
  </definedNames>
  <calcPr calcId="145621"/>
</workbook>
</file>

<file path=xl/calcChain.xml><?xml version="1.0" encoding="utf-8"?>
<calcChain xmlns="http://schemas.openxmlformats.org/spreadsheetml/2006/main">
  <c r="M637" i="5" l="1"/>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N434" i="5"/>
  <c r="M434" i="5"/>
  <c r="N433" i="5"/>
  <c r="M433" i="5"/>
  <c r="N432" i="5"/>
  <c r="M432" i="5"/>
  <c r="N431" i="5"/>
  <c r="M431" i="5"/>
  <c r="N430" i="5"/>
  <c r="M430" i="5"/>
  <c r="N429" i="5"/>
  <c r="M429" i="5"/>
  <c r="N428" i="5"/>
  <c r="M428" i="5"/>
  <c r="N427" i="5"/>
  <c r="M427" i="5"/>
  <c r="N426" i="5"/>
  <c r="M426" i="5"/>
  <c r="N425" i="5"/>
  <c r="M425" i="5"/>
  <c r="N424" i="5"/>
  <c r="M424" i="5"/>
  <c r="N423" i="5"/>
  <c r="M423" i="5"/>
  <c r="N422" i="5"/>
  <c r="M422" i="5"/>
  <c r="N421" i="5"/>
  <c r="M421" i="5"/>
  <c r="N420" i="5"/>
  <c r="M420" i="5"/>
  <c r="N419" i="5"/>
  <c r="M419" i="5"/>
  <c r="N418" i="5"/>
  <c r="M418" i="5"/>
  <c r="N417" i="5"/>
  <c r="M417" i="5"/>
  <c r="N416" i="5"/>
  <c r="M416" i="5"/>
  <c r="N415" i="5"/>
  <c r="M415" i="5"/>
  <c r="N414" i="5"/>
  <c r="M414" i="5"/>
  <c r="N413" i="5"/>
  <c r="M413" i="5"/>
  <c r="N412" i="5"/>
  <c r="M412" i="5"/>
  <c r="N411" i="5"/>
  <c r="M411" i="5"/>
  <c r="N410" i="5"/>
  <c r="M410" i="5"/>
  <c r="N409" i="5"/>
  <c r="M409" i="5"/>
  <c r="N408" i="5"/>
  <c r="M408" i="5"/>
  <c r="N407" i="5"/>
  <c r="M407" i="5"/>
  <c r="N406" i="5"/>
  <c r="M406" i="5"/>
  <c r="N405" i="5"/>
  <c r="M405" i="5"/>
  <c r="N404" i="5"/>
  <c r="M404" i="5"/>
  <c r="N403" i="5"/>
  <c r="M403" i="5"/>
  <c r="N402" i="5"/>
  <c r="M402" i="5"/>
  <c r="N401" i="5"/>
  <c r="M401" i="5"/>
  <c r="N400" i="5"/>
  <c r="M400" i="5"/>
  <c r="N399" i="5"/>
  <c r="M399" i="5"/>
  <c r="N398" i="5"/>
  <c r="M398" i="5"/>
  <c r="N397" i="5"/>
  <c r="M397" i="5"/>
  <c r="N396" i="5"/>
  <c r="M396" i="5"/>
  <c r="N395" i="5"/>
  <c r="M395" i="5"/>
  <c r="N394" i="5"/>
  <c r="M394" i="5"/>
  <c r="N393" i="5"/>
  <c r="M393" i="5"/>
  <c r="N392" i="5"/>
  <c r="M392" i="5"/>
  <c r="N391" i="5"/>
  <c r="M391" i="5"/>
  <c r="N390" i="5"/>
  <c r="M390" i="5"/>
  <c r="N389" i="5"/>
  <c r="M389" i="5"/>
  <c r="N388" i="5"/>
  <c r="M388" i="5"/>
  <c r="N387" i="5"/>
  <c r="M387" i="5"/>
  <c r="N386" i="5"/>
  <c r="M386" i="5"/>
  <c r="N385" i="5"/>
  <c r="M385" i="5"/>
  <c r="N384" i="5"/>
  <c r="M384" i="5"/>
  <c r="N383" i="5"/>
  <c r="M383" i="5"/>
  <c r="N382" i="5"/>
  <c r="M382" i="5"/>
  <c r="N381" i="5"/>
  <c r="M381" i="5"/>
  <c r="N380" i="5"/>
  <c r="M380" i="5"/>
  <c r="N379" i="5"/>
  <c r="M379" i="5"/>
  <c r="N378" i="5"/>
  <c r="M378" i="5"/>
  <c r="N377" i="5"/>
  <c r="M377" i="5"/>
  <c r="N376" i="5"/>
  <c r="M376" i="5"/>
  <c r="N375" i="5"/>
  <c r="M375" i="5"/>
  <c r="N374" i="5"/>
  <c r="M374" i="5"/>
  <c r="N373" i="5"/>
  <c r="M373" i="5"/>
  <c r="N372" i="5"/>
  <c r="M372" i="5"/>
  <c r="N371" i="5"/>
  <c r="M371" i="5"/>
  <c r="N370" i="5"/>
  <c r="M370" i="5"/>
  <c r="N369" i="5"/>
  <c r="M369" i="5"/>
  <c r="N368" i="5"/>
  <c r="M368" i="5"/>
  <c r="N367" i="5"/>
  <c r="M367" i="5"/>
  <c r="N366" i="5"/>
  <c r="M366" i="5"/>
  <c r="N365" i="5"/>
  <c r="M365" i="5"/>
  <c r="N364" i="5"/>
  <c r="M364" i="5"/>
  <c r="N363" i="5"/>
  <c r="M363" i="5"/>
  <c r="N362" i="5"/>
  <c r="M362" i="5"/>
  <c r="N361" i="5"/>
  <c r="M361" i="5"/>
  <c r="N360" i="5"/>
  <c r="M360" i="5"/>
  <c r="N359" i="5"/>
  <c r="M359" i="5"/>
  <c r="N358" i="5"/>
  <c r="M358" i="5"/>
  <c r="N357" i="5"/>
  <c r="M357" i="5"/>
  <c r="N356"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N199" i="5"/>
  <c r="M199" i="5"/>
  <c r="N198" i="5"/>
  <c r="M198" i="5"/>
  <c r="N197" i="5"/>
  <c r="M197" i="5"/>
  <c r="N196" i="5"/>
  <c r="M196" i="5"/>
  <c r="N195" i="5"/>
  <c r="M195" i="5"/>
  <c r="N194" i="5"/>
  <c r="M194" i="5"/>
  <c r="N193" i="5"/>
  <c r="M193" i="5"/>
  <c r="N192" i="5"/>
  <c r="M192" i="5"/>
  <c r="N191" i="5"/>
  <c r="M191" i="5"/>
  <c r="N190" i="5"/>
  <c r="M190" i="5"/>
  <c r="N189" i="5"/>
  <c r="M189" i="5"/>
  <c r="N188" i="5"/>
  <c r="M188" i="5"/>
  <c r="N187" i="5"/>
  <c r="M187" i="5"/>
  <c r="N186" i="5"/>
  <c r="M186" i="5"/>
  <c r="N185" i="5"/>
  <c r="M185" i="5"/>
  <c r="N184" i="5"/>
  <c r="M184" i="5"/>
  <c r="N183" i="5"/>
  <c r="M183" i="5"/>
  <c r="N182" i="5"/>
  <c r="M182" i="5"/>
  <c r="N181" i="5"/>
  <c r="M181" i="5"/>
  <c r="N180" i="5"/>
  <c r="M180" i="5"/>
  <c r="N179" i="5"/>
  <c r="M179" i="5"/>
  <c r="N178" i="5"/>
  <c r="M178" i="5"/>
  <c r="N177" i="5"/>
  <c r="M177" i="5"/>
  <c r="N176" i="5"/>
  <c r="M176" i="5"/>
  <c r="N175" i="5"/>
  <c r="M175" i="5"/>
  <c r="N174" i="5"/>
  <c r="M174" i="5"/>
  <c r="N173" i="5"/>
  <c r="M173" i="5"/>
  <c r="N172" i="5"/>
  <c r="M172" i="5"/>
  <c r="N171" i="5"/>
  <c r="M171" i="5"/>
  <c r="N170" i="5"/>
  <c r="M170" i="5"/>
  <c r="N169" i="5"/>
  <c r="M169" i="5"/>
  <c r="N168" i="5"/>
  <c r="M168" i="5"/>
  <c r="N167"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C49" i="4"/>
  <c r="D49" i="4"/>
  <c r="E49" i="4"/>
  <c r="F49" i="4"/>
  <c r="G49" i="4"/>
  <c r="H49" i="4"/>
  <c r="I49" i="4"/>
  <c r="B56" i="4"/>
  <c r="B59" i="4" s="1"/>
  <c r="C56" i="4"/>
  <c r="C59" i="4" s="1"/>
  <c r="D56" i="4"/>
  <c r="D59" i="4" s="1"/>
  <c r="E56" i="4"/>
  <c r="E59" i="4" s="1"/>
  <c r="F56" i="4"/>
  <c r="F59" i="4" s="1"/>
  <c r="G56" i="4"/>
  <c r="G59" i="4" s="1"/>
  <c r="H56" i="4"/>
  <c r="H59" i="4" s="1"/>
  <c r="I56" i="4"/>
  <c r="I59" i="4" s="1"/>
  <c r="B57" i="4"/>
  <c r="C57" i="4"/>
  <c r="D57" i="4"/>
  <c r="E57" i="4"/>
  <c r="F57" i="4"/>
  <c r="G57" i="4"/>
  <c r="H57" i="4"/>
  <c r="I57" i="4"/>
  <c r="B58" i="4"/>
  <c r="C58" i="4"/>
  <c r="D58" i="4"/>
  <c r="E58" i="4"/>
  <c r="F58" i="4"/>
  <c r="G58" i="4"/>
  <c r="H58" i="4"/>
  <c r="I58" i="4"/>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8"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2"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3" authorId="1">
      <text>
        <r>
          <rPr>
            <b/>
            <sz val="8"/>
            <color indexed="81"/>
            <rFont val="Tahoma"/>
            <family val="2"/>
          </rPr>
          <t>The URL for the data file that this metadata describes.  This will be fill in by the Information Manager.  You Do NOT need to fill in.</t>
        </r>
      </text>
    </comment>
    <comment ref="A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5" authorId="3">
      <text>
        <r>
          <rPr>
            <b/>
            <sz val="8"/>
            <color indexed="81"/>
            <rFont val="Tahoma"/>
            <family val="2"/>
          </rPr>
          <t xml:space="preserve"> The date that data collection began for the dataset.</t>
        </r>
      </text>
    </comment>
    <comment ref="B35" authorId="3">
      <text>
        <r>
          <rPr>
            <b/>
            <sz val="8"/>
            <color indexed="81"/>
            <rFont val="Tahoma"/>
            <family val="2"/>
          </rPr>
          <t xml:space="preserve"> The date that data collection began for the dataset.</t>
        </r>
      </text>
    </comment>
    <comment ref="A36" authorId="0">
      <text>
        <r>
          <rPr>
            <b/>
            <sz val="8"/>
            <color indexed="81"/>
            <rFont val="Tahoma"/>
            <family val="2"/>
          </rPr>
          <t>The ending date of data collection.</t>
        </r>
        <r>
          <rPr>
            <sz val="8"/>
            <color indexed="81"/>
            <rFont val="Tahoma"/>
            <family val="2"/>
          </rPr>
          <t xml:space="preserve">
</t>
        </r>
      </text>
    </comment>
    <comment ref="B36" authorId="0">
      <text>
        <r>
          <rPr>
            <b/>
            <sz val="8"/>
            <color indexed="81"/>
            <rFont val="Tahoma"/>
            <family val="2"/>
          </rPr>
          <t>The ending date of data collection.</t>
        </r>
        <r>
          <rPr>
            <sz val="8"/>
            <color indexed="81"/>
            <rFont val="Tahoma"/>
            <family val="2"/>
          </rPr>
          <t xml:space="preserve">
</t>
        </r>
      </text>
    </comment>
    <comment ref="A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0" authorId="4">
      <text>
        <r>
          <rPr>
            <sz val="8"/>
            <color indexed="81"/>
            <rFont val="Tahoma"/>
            <family val="2"/>
          </rPr>
          <t xml:space="preserve">A description of the Quality Control procedures that relate to the dataset. </t>
        </r>
      </text>
    </comment>
    <comment ref="B40" authorId="4">
      <text>
        <r>
          <rPr>
            <sz val="8"/>
            <color indexed="81"/>
            <rFont val="Tahoma"/>
            <family val="2"/>
          </rPr>
          <t xml:space="preserve">A description of the Quality Control procedures that relate to the dataset. </t>
        </r>
      </text>
    </comment>
    <comment ref="A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7"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8"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8" authorId="1">
      <text>
        <r>
          <rPr>
            <b/>
            <sz val="9"/>
            <color indexed="81"/>
            <rFont val="Tahoma"/>
            <family val="2"/>
          </rPr>
          <t xml:space="preserve">The name of the sampling location or site number (from the official ARC LTER site list) see the "ARC LTER sites" worksheet Or enter a new site here.
</t>
        </r>
      </text>
    </comment>
    <comment ref="A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9" authorId="1">
      <text>
        <r>
          <rPr>
            <b/>
            <sz val="9"/>
            <color indexed="81"/>
            <rFont val="Tahoma"/>
            <family val="2"/>
          </rPr>
          <t>This link is generated by a formula using the lat long.  It's a way oc checking the values entered.</t>
        </r>
      </text>
    </comment>
    <comment ref="A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8"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32"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33" authorId="0">
      <text>
        <r>
          <rPr>
            <b/>
            <sz val="8"/>
            <color indexed="81"/>
            <rFont val="Tahoma"/>
            <family val="2"/>
          </rPr>
          <t>List the URL to an online protocol document.</t>
        </r>
      </text>
    </comment>
    <comment ref="A135" authorId="0">
      <text>
        <r>
          <rPr>
            <b/>
            <sz val="8"/>
            <color indexed="81"/>
            <rFont val="Tahoma"/>
            <family val="2"/>
          </rPr>
          <t>Describe the protocol used. Be as complete as possible.  Include any references and deviations used from references.</t>
        </r>
      </text>
    </comment>
    <comment ref="A142" authorId="3">
      <text>
        <r>
          <rPr>
            <b/>
            <sz val="8"/>
            <color indexed="81"/>
            <rFont val="Tahoma"/>
            <family val="2"/>
          </rPr>
          <t>This section describes the variables in the data set. Please be as complete as necessary.</t>
        </r>
      </text>
    </comment>
    <comment ref="A143"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3" authorId="3">
      <text>
        <r>
          <rPr>
            <b/>
            <sz val="8"/>
            <color indexed="81"/>
            <rFont val="Tahoma"/>
            <family val="2"/>
          </rPr>
          <t>Variable Description is an explanation of what the Variable represents. 
Include details about the units, e.g. microgram of NH4-N per gram of oven dried soil.</t>
        </r>
      </text>
    </comment>
    <comment ref="C143"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3"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43"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43"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3" authorId="0">
      <text>
        <r>
          <rPr>
            <b/>
            <sz val="8"/>
            <color indexed="81"/>
            <rFont val="Tahoma"/>
            <family val="2"/>
          </rPr>
          <t>Indicate the code used for missing values, e.g. blanks or -99999</t>
        </r>
      </text>
    </comment>
    <comment ref="A144"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4" authorId="3">
      <text>
        <r>
          <rPr>
            <b/>
            <sz val="8"/>
            <color indexed="81"/>
            <rFont val="Tahoma"/>
            <family val="2"/>
          </rPr>
          <t>Variable Description is an explanation of what the Variable represents. 
Include details about the units, e.g. microgram of NH4-N per gram of oven dried soil.</t>
        </r>
      </text>
    </comment>
    <comment ref="C144"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4"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44"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44"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4" authorId="0">
      <text>
        <r>
          <rPr>
            <b/>
            <sz val="8"/>
            <color indexed="81"/>
            <rFont val="Tahoma"/>
            <family val="2"/>
          </rPr>
          <t>Indicate the code used for missing values, e.g. blanks or -99999</t>
        </r>
      </text>
    </comment>
  </commentList>
</comments>
</file>

<file path=xl/comments2.xml><?xml version="1.0" encoding="utf-8"?>
<comments xmlns="http://schemas.openxmlformats.org/spreadsheetml/2006/main">
  <authors>
    <author>Michelle C. Mack</author>
    <author>Grace Crummer</author>
  </authors>
  <commentList>
    <comment ref="L1" authorId="0">
      <text>
        <r>
          <rPr>
            <b/>
            <sz val="9"/>
            <color indexed="81"/>
            <rFont val="Tahoma"/>
            <family val="2"/>
          </rPr>
          <t>Michelle C. Mack:</t>
        </r>
        <r>
          <rPr>
            <sz val="9"/>
            <color indexed="81"/>
            <rFont val="Tahoma"/>
            <family val="2"/>
          </rPr>
          <t xml:space="preserve">
If %C is = or &lt; 19.5, then this is 1 for probable mineral soil.  May be mixed due to frost boil, or incorrect id of the mineral organic interface</t>
        </r>
      </text>
    </comment>
    <comment ref="J1014" authorId="1">
      <text>
        <r>
          <rPr>
            <b/>
            <sz val="9"/>
            <color indexed="81"/>
            <rFont val="Arial"/>
            <family val="2"/>
          </rPr>
          <t>Grace Crummer:
rolled as "2-0 cm" UB 5-1 fine</t>
        </r>
        <r>
          <rPr>
            <sz val="9"/>
            <color indexed="81"/>
            <rFont val="Arial"/>
            <family val="2"/>
          </rPr>
          <t xml:space="preserve">
</t>
        </r>
      </text>
    </comment>
    <comment ref="D1328"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 ref="D1329"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 ref="D1340"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 ref="D1341"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 ref="D1342"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 ref="D1343" authorId="1">
      <text>
        <r>
          <rPr>
            <b/>
            <sz val="9"/>
            <color indexed="81"/>
            <rFont val="Arial"/>
            <family val="2"/>
          </rPr>
          <t>Grace Crummer:</t>
        </r>
        <r>
          <rPr>
            <sz val="9"/>
            <color indexed="81"/>
            <rFont val="Arial"/>
            <family val="2"/>
          </rPr>
          <t xml:space="preserve">
Lower 14 cm crumbled, unable to determine top and bottom, so processed as one layer (20-35 cm)</t>
        </r>
      </text>
    </comment>
  </commentList>
</comments>
</file>

<file path=xl/sharedStrings.xml><?xml version="1.0" encoding="utf-8"?>
<sst xmlns="http://schemas.openxmlformats.org/spreadsheetml/2006/main" count="16399" uniqueCount="1681">
  <si>
    <t>Latitude</t>
  </si>
  <si>
    <t>Longitude</t>
  </si>
  <si>
    <t>Elevation</t>
  </si>
  <si>
    <t>Field code</t>
  </si>
  <si>
    <t xml:space="preserve"> </t>
  </si>
  <si>
    <t>Burned</t>
  </si>
  <si>
    <t>State</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</si>
  <si>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</si>
  <si>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</si>
  <si>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</si>
  <si>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</si>
  <si>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</si>
  <si>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</si>
  <si>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</si>
  <si>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</si>
  <si>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</si>
  <si>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</si>
  <si>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</si>
  <si>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</si>
  <si>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</si>
  <si>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</si>
  <si>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</si>
  <si>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</si>
  <si>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</si>
  <si>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</si>
  <si>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</si>
  <si>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Email</t>
  </si>
  <si>
    <t>mcmack@ufl.edu</t>
  </si>
  <si>
    <t xml:space="preserve">First Name  </t>
  </si>
  <si>
    <t>Michelle</t>
  </si>
  <si>
    <t xml:space="preserve">Last Name  </t>
  </si>
  <si>
    <t>Mack</t>
  </si>
  <si>
    <t>Organization</t>
  </si>
  <si>
    <t>Address line 2</t>
  </si>
  <si>
    <t>220 Bartram Hall</t>
  </si>
  <si>
    <t>Address line 3</t>
  </si>
  <si>
    <t>Department of Biology</t>
  </si>
  <si>
    <t xml:space="preserve"> City  </t>
  </si>
  <si>
    <t>Gainesville</t>
  </si>
  <si>
    <t xml:space="preserve">State  </t>
  </si>
  <si>
    <t>FL</t>
  </si>
  <si>
    <t xml:space="preserve">Zip Code  </t>
  </si>
  <si>
    <t>32611</t>
  </si>
  <si>
    <t>Country</t>
  </si>
  <si>
    <t>USA</t>
  </si>
  <si>
    <t xml:space="preserve">DATA FILE INFORMATION: </t>
  </si>
  <si>
    <t>Data File URL</t>
  </si>
  <si>
    <t>Data File Name</t>
  </si>
  <si>
    <t>Beginning Date</t>
  </si>
  <si>
    <t>End Date</t>
  </si>
  <si>
    <t>Number of Data Records</t>
  </si>
  <si>
    <t>Other Files to Reference</t>
  </si>
  <si>
    <t>Availability Status</t>
  </si>
  <si>
    <t>Manuscript in press at Nature, data embargoed until publication</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</si>
  <si>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</si>
  <si>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</si>
  <si>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</si>
  <si>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</si>
  <si>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</si>
  <si>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</si>
  <si>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</si>
  <si>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</si>
  <si>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</si>
  <si>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</si>
  <si>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</si>
  <si>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</si>
  <si>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</si>
  <si>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</si>
  <si>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</si>
  <si>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</si>
  <si>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</si>
  <si>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</si>
  <si>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</si>
  <si>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</si>
  <si>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</si>
  <si>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</si>
  <si>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</si>
  <si>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</si>
  <si>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</si>
  <si>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</si>
  <si>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</si>
  <si>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</si>
  <si>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</si>
  <si>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</si>
  <si>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</si>
  <si>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</si>
  <si>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</si>
  <si>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</si>
  <si>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</si>
  <si>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number</t>
  </si>
  <si>
    <t>text</t>
  </si>
  <si>
    <t>datetime</t>
  </si>
  <si>
    <t>interval</t>
  </si>
  <si>
    <t>amperePerMeter</t>
  </si>
  <si>
    <t xml:space="preserve">Data Manager </t>
  </si>
  <si>
    <t>nominal</t>
  </si>
  <si>
    <t>amperePerMeterSquared</t>
  </si>
  <si>
    <t>Site number</t>
  </si>
  <si>
    <t xml:space="preserve">Field Crew </t>
  </si>
  <si>
    <t>ordinal</t>
  </si>
  <si>
    <t>angstrom</t>
  </si>
  <si>
    <t xml:space="preserve">Lab Crew </t>
  </si>
  <si>
    <t>ratio</t>
  </si>
  <si>
    <t>atmosphere</t>
  </si>
  <si>
    <t>bar</t>
  </si>
  <si>
    <t>becquerel</t>
  </si>
  <si>
    <t>becquerelPerGram</t>
  </si>
  <si>
    <t>centimeter</t>
  </si>
  <si>
    <t>becquerelPerMilliliter</t>
  </si>
  <si>
    <t>calorie</t>
  </si>
  <si>
    <t>candela</t>
  </si>
  <si>
    <t>candelaPerMeterSquared</t>
  </si>
  <si>
    <t>gram</t>
  </si>
  <si>
    <t>celsius</t>
  </si>
  <si>
    <t>centigram</t>
  </si>
  <si>
    <t>percent</t>
  </si>
  <si>
    <t>centimeterCubedPerCentimeterCubed</t>
  </si>
  <si>
    <t>centimeterPerSecond</t>
  </si>
  <si>
    <t>degree</t>
  </si>
  <si>
    <t>dimensionless</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</si>
  <si>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</si>
  <si>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</si>
  <si>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</si>
  <si>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</si>
  <si>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</si>
  <si>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</si>
  <si>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</si>
  <si>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</si>
  <si>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</si>
  <si>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</si>
  <si>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</si>
  <si>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</si>
  <si>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</si>
  <si>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</si>
  <si>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</si>
  <si>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</si>
  <si>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</si>
  <si>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</si>
  <si>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</si>
  <si>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</si>
  <si>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</si>
  <si>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</si>
  <si>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</si>
  <si>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</si>
  <si>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</si>
  <si>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</si>
  <si>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</si>
  <si>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</si>
  <si>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</si>
  <si>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</si>
  <si>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</si>
  <si>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</si>
  <si>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</si>
  <si>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</si>
  <si>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</si>
  <si>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</si>
  <si>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</si>
  <si>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</si>
  <si>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</si>
  <si>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</si>
  <si>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</si>
  <si>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</si>
  <si>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</si>
  <si>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</si>
  <si>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</si>
  <si>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</si>
  <si>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</si>
  <si>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</si>
  <si>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</si>
  <si>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</si>
  <si>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</si>
  <si>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</si>
  <si>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</si>
  <si>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</si>
  <si>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</si>
  <si>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</si>
  <si>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</si>
  <si>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</si>
  <si>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</si>
  <si>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</si>
  <si>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</si>
  <si>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</si>
  <si>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</si>
  <si>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</si>
  <si>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</si>
  <si>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</si>
  <si>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</si>
  <si>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</si>
  <si>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</si>
  <si>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</si>
  <si>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</si>
  <si>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</si>
  <si>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</si>
  <si>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</si>
  <si>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</si>
  <si>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</si>
  <si>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</si>
  <si>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</si>
  <si>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</si>
  <si>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</si>
  <si>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</si>
  <si>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</si>
  <si>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</si>
  <si>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</si>
  <si>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</si>
  <si>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</si>
  <si>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</si>
  <si>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</si>
  <si>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</si>
  <si>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</si>
  <si>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</si>
  <si>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</si>
  <si>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</si>
  <si>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</si>
  <si>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</si>
  <si>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</si>
  <si>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</si>
  <si>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</si>
  <si>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</si>
  <si>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</si>
  <si>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</si>
  <si>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</si>
  <si>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</si>
  <si>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</si>
  <si>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</si>
  <si>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</si>
  <si>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</si>
  <si>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</si>
  <si>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</si>
  <si>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</si>
  <si>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</si>
  <si>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</si>
  <si>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</si>
  <si>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</si>
  <si>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</si>
  <si>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</si>
  <si>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</si>
  <si>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</si>
  <si>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</si>
  <si>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</si>
  <si>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</si>
  <si>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</si>
  <si>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</si>
  <si>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</si>
  <si>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</si>
  <si>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</si>
  <si>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</si>
  <si>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</si>
  <si>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</si>
  <si>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</si>
  <si>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</si>
  <si>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</si>
  <si>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</si>
  <si>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</si>
  <si>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</si>
  <si>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</si>
  <si>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</si>
  <si>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</si>
  <si>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</si>
  <si>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</si>
  <si>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</si>
  <si>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</si>
  <si>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</si>
  <si>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</si>
  <si>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</si>
  <si>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</si>
  <si>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</si>
  <si>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</si>
  <si>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</si>
  <si>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</si>
  <si>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</si>
  <si>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</si>
  <si>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</si>
  <si>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</si>
  <si>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</si>
  <si>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</si>
  <si>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</si>
  <si>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</si>
  <si>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</si>
  <si>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</si>
  <si>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</si>
  <si>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</si>
  <si>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</si>
  <si>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</si>
  <si>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</si>
  <si>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</si>
  <si>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</si>
  <si>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</si>
  <si>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</si>
  <si>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</si>
  <si>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</si>
  <si>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University of Florida</t>
  </si>
  <si>
    <t>Anaktuvuk River Fire scar (2007) and unburned sites</t>
  </si>
  <si>
    <t>Eriophorum vaginatum</t>
  </si>
  <si>
    <t>Burned or unburned status of site</t>
  </si>
  <si>
    <t>Not yet available; online supplement for Nature paper</t>
  </si>
  <si>
    <t xml:space="preserve"> Characterization of burned and unburned moist acidic tundra soils for estimating C and N loss from the 2007 Anaktuvuk River Fire, sampled in 2008.</t>
  </si>
  <si>
    <t>Organic soil layer, depth, bulk density, carbon concentration, nitrogen concentration, carbon pool, nitrogen pool</t>
  </si>
  <si>
    <t>Replicate soil profiles sampled within each site</t>
  </si>
  <si>
    <t xml:space="preserve">Layer </t>
  </si>
  <si>
    <t>Depth bin</t>
  </si>
  <si>
    <t>Text entry describing depth increment</t>
  </si>
  <si>
    <t>Average of three depths of increment measured in lab</t>
  </si>
  <si>
    <t>Type</t>
  </si>
  <si>
    <t>Size fraction of soil organic matter</t>
  </si>
  <si>
    <t>%N</t>
    <phoneticPr fontId="0" type="noConversion"/>
  </si>
  <si>
    <t>Percentage N of dry mass</t>
  </si>
  <si>
    <t>%C</t>
    <phoneticPr fontId="0" type="noConversion"/>
  </si>
  <si>
    <t>Percentage C of dry mass</t>
  </si>
  <si>
    <t>Bulk density (g/cm3)</t>
  </si>
  <si>
    <t>gN/m2</t>
  </si>
  <si>
    <t>gC/m2</t>
  </si>
  <si>
    <t>CgN/m2</t>
  </si>
  <si>
    <t>CgC/m2</t>
  </si>
  <si>
    <t>Avg depth</t>
  </si>
  <si>
    <t>Min?</t>
  </si>
  <si>
    <t>GM</t>
  </si>
  <si>
    <t>10-0 cm</t>
  </si>
  <si>
    <t>F</t>
  </si>
  <si>
    <t>C</t>
  </si>
  <si>
    <t>0-5 cm</t>
  </si>
  <si>
    <t>5-10 cm</t>
  </si>
  <si>
    <t>10-15 cm</t>
  </si>
  <si>
    <t xml:space="preserve">10-15 cm </t>
  </si>
  <si>
    <t>15-20 cm</t>
  </si>
  <si>
    <t>20-25 cm</t>
  </si>
  <si>
    <t>25-30 cm</t>
  </si>
  <si>
    <t>30-35 cm</t>
  </si>
  <si>
    <t>ARF-C</t>
  </si>
  <si>
    <t>Kup-C</t>
  </si>
  <si>
    <t>C</t>
    <phoneticPr fontId="0" type="noConversion"/>
  </si>
  <si>
    <t>GM</t>
    <phoneticPr fontId="0" type="noConversion"/>
  </si>
  <si>
    <t>10-0 cm</t>
    <phoneticPr fontId="0" type="noConversion"/>
  </si>
  <si>
    <t>0-5 cm</t>
    <phoneticPr fontId="0" type="noConversion"/>
  </si>
  <si>
    <t>10-15 cm</t>
    <phoneticPr fontId="0" type="noConversion"/>
  </si>
  <si>
    <t>15-20 cm</t>
    <phoneticPr fontId="0" type="noConversion"/>
  </si>
  <si>
    <t>5-10 cm</t>
    <phoneticPr fontId="0" type="noConversion"/>
  </si>
  <si>
    <t xml:space="preserve">5-10 cm </t>
    <phoneticPr fontId="0" type="noConversion"/>
  </si>
  <si>
    <t>20-25 cm</t>
    <phoneticPr fontId="0" type="noConversion"/>
  </si>
  <si>
    <t>F</t>
    <phoneticPr fontId="0" type="noConversion"/>
  </si>
  <si>
    <t>5a</t>
    <phoneticPr fontId="0" type="noConversion"/>
  </si>
  <si>
    <t>20-25 cm</t>
    <phoneticPr fontId="0" type="noConversion"/>
  </si>
  <si>
    <t>25-30 cm</t>
    <phoneticPr fontId="0" type="noConversion"/>
  </si>
  <si>
    <t>30-35 cm</t>
    <phoneticPr fontId="0" type="noConversion"/>
  </si>
  <si>
    <t>35-40 cm</t>
    <phoneticPr fontId="0" type="noConversion"/>
  </si>
  <si>
    <t>35-40 cm</t>
  </si>
  <si>
    <t>0-2 cm</t>
  </si>
  <si>
    <t>5a</t>
  </si>
  <si>
    <t>5b</t>
  </si>
  <si>
    <t>All (archived)</t>
  </si>
  <si>
    <t>4 (39 m)</t>
  </si>
  <si>
    <t>60a</t>
  </si>
  <si>
    <t>Profile number</t>
  </si>
  <si>
    <t>unburned</t>
  </si>
  <si>
    <t>ARF-B</t>
  </si>
  <si>
    <t>SOL</t>
  </si>
  <si>
    <t>Depth bin code</t>
  </si>
  <si>
    <t>Site number assigned in lab</t>
  </si>
  <si>
    <t>Field code used for site in field</t>
  </si>
  <si>
    <t>Description of layer</t>
  </si>
  <si>
    <t>Numeric bin assigned to depth increment</t>
  </si>
  <si>
    <t>Identification of sample as mineral (and hence not included in calculations of organic layer pool size)</t>
  </si>
  <si>
    <t>Dry mass per unit volume of soil (minus rock volume)</t>
  </si>
  <si>
    <t>Mass of nitrogen per meter squared</t>
  </si>
  <si>
    <t>Mass of carbon per meter squared</t>
  </si>
  <si>
    <t>2008_MCM_ARFsoilCN.xls</t>
  </si>
  <si>
    <t>2008_MCM_ARFsites.xls,2008_MCM_ARF14C.xls,2008_MCM_ARFloss.xls</t>
  </si>
  <si>
    <t>Version 1: checked and generated EML and Web files.  Jim L 12Jul2011</t>
  </si>
  <si>
    <t>http://metacat.lternet.edu/das/dataAccessServlet?docid=knb-lter-arc.10125&amp;amp;urlTail=burn/terrestrial/data/2008_MCM_ARFsoilCN.csv</t>
  </si>
  <si>
    <t>2008_MCM_ARFsoilCN.2</t>
  </si>
  <si>
    <t xml:space="preserve">Version 2: Updated to newer metadata form (with sites sheet). CH March 2013. </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</si>
  <si>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</si>
  <si>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</si>
  <si>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</si>
  <si>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</si>
  <si>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</si>
  <si>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</si>
  <si>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</si>
  <si>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</si>
  <si>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</si>
  <si>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</si>
  <si>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</si>
  <si>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</si>
  <si>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</si>
  <si>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</si>
  <si>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</si>
  <si>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</si>
  <si>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</si>
  <si>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decisecond</t>
  </si>
  <si>
    <t>decimeter</t>
  </si>
  <si>
    <t>decigram</t>
  </si>
  <si>
    <t>decibar</t>
  </si>
  <si>
    <t>coulomb</t>
  </si>
  <si>
    <t>centisecond</t>
  </si>
  <si>
    <t>centimolePerKilogram</t>
  </si>
  <si>
    <t>centimeterSquaredPerGram</t>
  </si>
  <si>
    <t>centimeterSquaredPerFourHundredthMeterSquared</t>
  </si>
  <si>
    <t>centimeterSquared</t>
  </si>
  <si>
    <t>centimeterPerYear</t>
  </si>
  <si>
    <t>%C</t>
  </si>
  <si>
    <t>becquerelPerMilligram</t>
  </si>
  <si>
    <t>%N</t>
  </si>
  <si>
    <t>ampere</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</si>
  <si>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</si>
  <si>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</si>
  <si>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</si>
  <si>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</si>
  <si>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</si>
  <si>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</si>
  <si>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</si>
  <si>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</si>
  <si>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</si>
  <si>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</si>
  <si>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</si>
  <si>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</si>
  <si>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</si>
  <si>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</si>
  <si>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</si>
  <si>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</si>
  <si>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</si>
  <si>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</si>
  <si>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</si>
  <si>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</si>
  <si>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</si>
  <si>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</si>
  <si>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</si>
  <si>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</si>
  <si>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</si>
  <si>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</si>
  <si>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</si>
  <si>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</si>
  <si>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</si>
  <si>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</si>
  <si>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</si>
  <si>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</si>
  <si>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</si>
  <si>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</si>
  <si>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</si>
  <si>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</si>
  <si>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</si>
  <si>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</si>
  <si>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</si>
  <si>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</si>
  <si>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</si>
  <si>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</si>
  <si>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</si>
  <si>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</si>
  <si>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</si>
  <si>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</si>
  <si>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</si>
  <si>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</si>
  <si>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</si>
  <si>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</si>
  <si>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</si>
  <si>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</si>
  <si>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</si>
  <si>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</si>
  <si>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</si>
  <si>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</si>
  <si>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</si>
  <si>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</si>
  <si>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</si>
  <si>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</si>
  <si>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</si>
  <si>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</si>
  <si>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</si>
  <si>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</si>
  <si>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</si>
  <si>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</si>
  <si>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</si>
  <si>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</si>
  <si>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</si>
  <si>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</si>
  <si>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</si>
  <si>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</si>
  <si>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</si>
  <si>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</si>
  <si>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</si>
  <si>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</si>
  <si>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</si>
  <si>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</si>
  <si>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</si>
  <si>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</si>
  <si>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</si>
  <si>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</si>
  <si>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</si>
  <si>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</si>
  <si>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</si>
  <si>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</si>
  <si>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</si>
  <si>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</si>
  <si>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</si>
  <si>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</si>
  <si>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</si>
  <si>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</si>
  <si>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</si>
  <si>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</si>
  <si>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</si>
  <si>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</si>
  <si>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</si>
  <si>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</si>
  <si>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</si>
  <si>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</si>
  <si>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</si>
  <si>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</si>
  <si>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</si>
  <si>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</si>
  <si>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</si>
  <si>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</si>
  <si>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</si>
  <si>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</si>
  <si>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</si>
  <si>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</si>
  <si>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</si>
  <si>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</si>
  <si>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</si>
  <si>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</si>
  <si>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</si>
  <si>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</si>
  <si>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</si>
  <si>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</si>
  <si>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</si>
  <si>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</si>
  <si>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</si>
  <si>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</si>
  <si>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</si>
  <si>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</si>
  <si>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</si>
  <si>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</si>
  <si>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</si>
  <si>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</si>
  <si>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</si>
  <si>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</si>
  <si>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</si>
  <si>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</si>
  <si>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</si>
  <si>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</si>
  <si>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</si>
  <si>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</si>
  <si>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</si>
  <si>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</si>
  <si>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</si>
  <si>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</si>
  <si>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</si>
  <si>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</si>
  <si>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</si>
  <si>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</si>
  <si>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</si>
  <si>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</si>
  <si>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</si>
  <si>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</si>
  <si>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</si>
  <si>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</si>
  <si>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</si>
  <si>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</si>
  <si>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</si>
  <si>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</si>
  <si>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</si>
  <si>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</si>
  <si>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</si>
  <si>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</si>
  <si>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</si>
  <si>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</si>
  <si>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</si>
  <si>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</si>
  <si>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</si>
  <si>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</si>
  <si>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</si>
  <si>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</si>
  <si>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</si>
  <si>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</si>
  <si>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</si>
  <si>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</si>
  <si>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</si>
  <si>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</si>
  <si>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</si>
  <si>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</si>
  <si>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</si>
  <si>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</si>
  <si>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</si>
  <si>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</si>
  <si>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</si>
  <si>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</si>
  <si>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</si>
  <si>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</si>
  <si>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</si>
  <si>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</si>
  <si>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</si>
  <si>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</si>
  <si>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</si>
  <si>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</si>
  <si>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</si>
  <si>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</si>
  <si>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</si>
  <si>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</si>
  <si>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</si>
  <si>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</si>
  <si>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</si>
  <si>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</si>
  <si>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</si>
  <si>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</si>
  <si>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</si>
  <si>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</si>
  <si>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</si>
  <si>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</si>
  <si>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</si>
  <si>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</si>
  <si>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</si>
  <si>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</si>
  <si>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</si>
  <si>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</si>
  <si>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</si>
  <si>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</si>
  <si>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</si>
  <si>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</si>
  <si>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</si>
  <si>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</si>
  <si>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</si>
  <si>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</si>
  <si>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</si>
  <si>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</si>
  <si>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</si>
  <si>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</si>
  <si>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</si>
  <si>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</si>
  <si>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</si>
  <si>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</si>
  <si>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</si>
  <si>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</si>
  <si>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</si>
  <si>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</si>
  <si>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</si>
  <si>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</si>
  <si>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</si>
  <si>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</si>
  <si>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</si>
  <si>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</si>
  <si>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</si>
  <si>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</si>
  <si>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</si>
  <si>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</si>
  <si>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</si>
  <si>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</si>
  <si>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</si>
  <si>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</si>
  <si>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</si>
  <si>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</si>
  <si>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</si>
  <si>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</si>
  <si>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</si>
  <si>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</si>
  <si>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</si>
  <si>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</si>
  <si>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</si>
  <si>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</si>
  <si>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</si>
  <si>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</si>
  <si>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</si>
  <si>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</si>
  <si>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</si>
  <si>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</si>
  <si>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</si>
  <si>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</si>
  <si>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</si>
  <si>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</si>
  <si>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</si>
  <si>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</si>
  <si>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</si>
  <si>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</si>
  <si>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</si>
  <si>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</si>
  <si>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</si>
  <si>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</si>
  <si>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</si>
  <si>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</si>
  <si>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</si>
  <si>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</si>
  <si>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</si>
  <si>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</si>
  <si>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</si>
  <si>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</si>
  <si>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</si>
  <si>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</si>
  <si>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</si>
  <si>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</si>
  <si>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</si>
  <si>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</si>
  <si>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</si>
  <si>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</si>
  <si>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</si>
  <si>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</si>
  <si>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</si>
  <si>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</si>
  <si>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</si>
  <si>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</si>
  <si>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</si>
  <si>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</si>
  <si>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</si>
  <si>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</si>
  <si>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</si>
  <si>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</si>
  <si>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</si>
  <si>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</si>
  <si>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</si>
  <si>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</si>
  <si>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</si>
  <si>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</si>
  <si>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</si>
  <si>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</si>
  <si>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</si>
  <si>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</si>
  <si>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</si>
  <si>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</si>
  <si>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</si>
  <si>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</si>
  <si>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</si>
  <si>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</si>
  <si>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</si>
  <si>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</si>
  <si>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</si>
  <si>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</si>
  <si>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</si>
  <si>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</si>
  <si>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</si>
  <si>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</si>
  <si>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</si>
  <si>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</si>
  <si>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</si>
  <si>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</si>
  <si>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</si>
  <si>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</si>
  <si>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</si>
  <si>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</si>
  <si>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</si>
  <si>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</si>
  <si>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</si>
  <si>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</si>
  <si>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</si>
  <si>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</si>
  <si>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</si>
  <si>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</si>
  <si>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</si>
  <si>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</si>
  <si>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</si>
  <si>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</si>
  <si>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</si>
  <si>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</si>
  <si>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</si>
  <si>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</si>
  <si>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</si>
  <si>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</si>
  <si>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</si>
  <si>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</si>
  <si>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</si>
  <si>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</si>
  <si>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</si>
  <si>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</si>
  <si>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</si>
  <si>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</si>
  <si>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</si>
  <si>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</si>
  <si>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</si>
  <si>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</si>
  <si>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</si>
  <si>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</si>
  <si>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</si>
  <si>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</si>
  <si>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</si>
  <si>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</si>
  <si>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</si>
  <si>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</si>
  <si>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</si>
  <si>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</si>
  <si>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</si>
  <si>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</si>
  <si>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</si>
  <si>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</si>
  <si>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</si>
  <si>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</si>
  <si>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</si>
  <si>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</si>
  <si>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</si>
  <si>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</si>
  <si>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</si>
  <si>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</si>
  <si>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</si>
  <si>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</si>
  <si>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</si>
  <si>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</si>
  <si>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</si>
  <si>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</si>
  <si>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</si>
  <si>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</si>
  <si>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</si>
  <si>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</si>
  <si>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</si>
  <si>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</si>
  <si>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</si>
  <si>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</si>
  <si>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</si>
  <si>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</si>
  <si>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</si>
  <si>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</si>
  <si>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</si>
  <si>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</si>
  <si>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</si>
  <si>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</si>
  <si>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</si>
  <si>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</si>
  <si>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</si>
  <si>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</si>
  <si>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</si>
  <si>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</si>
  <si>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</si>
  <si>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</si>
  <si>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</si>
  <si>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</si>
  <si>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</si>
  <si>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</si>
  <si>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</si>
  <si>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</si>
  <si>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</si>
  <si>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</si>
  <si>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</si>
  <si>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</si>
  <si>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</si>
  <si>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</si>
  <si>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</si>
  <si>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</si>
  <si>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</si>
  <si>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</si>
  <si>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</si>
  <si>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</si>
  <si>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</si>
  <si>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</si>
  <si>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</si>
  <si>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</si>
  <si>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</si>
  <si>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</si>
  <si>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</si>
  <si>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</si>
  <si>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</si>
  <si>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</si>
  <si>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</si>
  <si>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</si>
  <si>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</si>
  <si>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</si>
  <si>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</si>
  <si>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</si>
  <si>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</si>
  <si>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</si>
  <si>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</si>
  <si>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</si>
  <si>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</si>
  <si>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</si>
  <si>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</si>
  <si>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</si>
  <si>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</si>
  <si>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</si>
  <si>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</si>
  <si>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</si>
  <si>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</si>
  <si>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</si>
  <si>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</si>
  <si>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</si>
  <si>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</si>
  <si>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</si>
  <si>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</si>
  <si>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</si>
  <si>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</si>
  <si>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</si>
  <si>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</si>
  <si>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</si>
  <si>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</si>
  <si>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</si>
  <si>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</si>
  <si>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</si>
  <si>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</si>
  <si>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</si>
  <si>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</si>
  <si>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</si>
  <si>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</si>
  <si>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</si>
  <si>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</si>
  <si>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</si>
  <si>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</si>
  <si>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</si>
  <si>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</si>
  <si>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</si>
  <si>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</si>
  <si>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</si>
  <si>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</si>
  <si>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</si>
  <si>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</si>
  <si>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</si>
  <si>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</si>
  <si>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</si>
  <si>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</si>
  <si>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</si>
  <si>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</si>
  <si>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</si>
  <si>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</si>
  <si>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</si>
  <si>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</si>
  <si>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</si>
  <si>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</si>
  <si>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</si>
  <si>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</si>
  <si>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</si>
  <si>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</si>
  <si>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</si>
  <si>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</si>
  <si>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</si>
  <si>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</si>
  <si>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</si>
  <si>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</si>
  <si>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</si>
  <si>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</si>
  <si>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</si>
  <si>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</si>
  <si>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</si>
  <si>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</si>
  <si>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</si>
  <si>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</si>
  <si>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</si>
  <si>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</si>
  <si>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</si>
  <si>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</si>
  <si>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</si>
  <si>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</si>
  <si>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</si>
  <si>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</si>
  <si>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</si>
  <si>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</si>
  <si>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</si>
  <si>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</si>
  <si>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</si>
  <si>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</si>
  <si>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</si>
  <si>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</si>
  <si>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</si>
  <si>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</si>
  <si>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</si>
  <si>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</si>
  <si>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</si>
  <si>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</si>
  <si>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</si>
  <si>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</si>
  <si>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</si>
  <si>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</si>
  <si>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</si>
  <si>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</si>
  <si>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</si>
  <si>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</si>
  <si>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</si>
  <si>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</si>
  <si>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</si>
  <si>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</si>
  <si>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</si>
  <si>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</si>
  <si>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</si>
  <si>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</si>
  <si>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</si>
  <si>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</si>
  <si>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</si>
  <si>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</si>
  <si>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</si>
  <si>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</si>
  <si>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</si>
  <si>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</si>
  <si>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</si>
  <si>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</si>
  <si>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</si>
  <si>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</si>
  <si>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</si>
  <si>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</si>
  <si>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</si>
  <si>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</si>
  <si>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</si>
  <si>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</si>
  <si>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</si>
  <si>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</si>
  <si>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</si>
  <si>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</si>
  <si>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</si>
  <si>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</si>
  <si>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</si>
  <si>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</si>
  <si>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</si>
  <si>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</si>
  <si>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</si>
  <si>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</si>
  <si>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</si>
  <si>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</si>
  <si>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</si>
  <si>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</si>
  <si>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</si>
  <si>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</si>
  <si>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</si>
  <si>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</si>
  <si>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</si>
  <si>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</si>
  <si>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</si>
  <si>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</si>
  <si>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</si>
  <si>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</si>
  <si>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</si>
  <si>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</si>
  <si>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</si>
  <si>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</si>
  <si>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</si>
  <si>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</si>
  <si>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</si>
  <si>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</si>
  <si>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</si>
  <si>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</si>
  <si>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</si>
  <si>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</si>
  <si>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</si>
  <si>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</si>
  <si>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</si>
  <si>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</si>
  <si>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</si>
  <si>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</si>
  <si>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</si>
  <si>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</si>
  <si>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</si>
  <si>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</si>
  <si>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</si>
  <si>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</si>
  <si>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</si>
  <si>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</si>
  <si>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</si>
  <si>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</si>
  <si>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</si>
  <si>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</si>
  <si>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</si>
  <si>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</si>
  <si>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</si>
  <si>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</si>
  <si>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</si>
  <si>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</si>
  <si>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</si>
  <si>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</si>
  <si>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</si>
  <si>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</si>
  <si>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</si>
  <si>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</si>
  <si>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</si>
  <si>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</si>
  <si>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</si>
  <si>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</si>
  <si>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</si>
  <si>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</si>
  <si>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</si>
  <si>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</si>
  <si>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</si>
  <si>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</si>
  <si>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</si>
  <si>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</si>
  <si>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</si>
  <si>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</si>
  <si>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</si>
  <si>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</si>
  <si>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</si>
  <si>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</si>
  <si>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</si>
  <si>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</si>
  <si>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</si>
  <si>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</si>
  <si>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</si>
  <si>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</si>
  <si>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</si>
  <si>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</si>
  <si>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</si>
  <si>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</si>
  <si>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</si>
  <si>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</si>
  <si>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</si>
  <si>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</si>
  <si>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</si>
  <si>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</si>
  <si>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</si>
  <si>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</si>
  <si>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</si>
  <si>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</si>
  <si>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</si>
  <si>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</si>
  <si>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</si>
  <si>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</si>
  <si>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</si>
  <si>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</si>
  <si>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</si>
  <si>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</si>
  <si>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</si>
  <si>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</si>
  <si>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</si>
  <si>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</si>
  <si>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</si>
  <si>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</si>
  <si>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</si>
  <si>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</si>
  <si>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</si>
  <si>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</si>
  <si>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</si>
  <si>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</si>
  <si>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</si>
  <si>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</si>
  <si>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</si>
  <si>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</si>
  <si>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</si>
  <si>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</si>
  <si>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</si>
  <si>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</si>
  <si>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</si>
  <si>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</si>
  <si>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</si>
  <si>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</si>
  <si>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</si>
  <si>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</si>
  <si>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</si>
  <si>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</si>
  <si>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</si>
  <si>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</si>
  <si>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</si>
  <si>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</si>
  <si>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</si>
  <si>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</si>
  <si>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</si>
  <si>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</si>
  <si>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</si>
  <si>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</si>
  <si>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</si>
  <si>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</si>
  <si>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</si>
  <si>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</si>
  <si>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</si>
  <si>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</si>
  <si>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</si>
  <si>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</si>
  <si>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</si>
  <si>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</si>
  <si>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</si>
  <si>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</si>
  <si>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</si>
  <si>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</si>
  <si>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</si>
  <si>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</si>
  <si>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</si>
  <si>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</si>
  <si>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</si>
  <si>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</si>
  <si>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</si>
  <si>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</si>
  <si>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</si>
  <si>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</si>
  <si>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</si>
  <si>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</si>
  <si>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</si>
  <si>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</si>
  <si>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</si>
  <si>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</si>
  <si>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</si>
  <si>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</si>
  <si>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</si>
  <si>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</si>
  <si>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</si>
  <si>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</si>
  <si>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</si>
  <si>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</si>
  <si>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</si>
  <si>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</si>
  <si>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</si>
  <si>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</si>
  <si>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</si>
  <si>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</si>
  <si>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</si>
  <si>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</si>
  <si>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</si>
  <si>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</si>
  <si>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</si>
  <si>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</si>
  <si>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</si>
  <si>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</si>
  <si>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</si>
  <si>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</si>
  <si>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</si>
  <si>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</si>
  <si>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</si>
  <si>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</si>
  <si>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</si>
  <si>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</si>
  <si>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</si>
  <si>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</si>
  <si>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</si>
  <si>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</si>
  <si>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</si>
  <si>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</si>
  <si>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</si>
  <si>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</si>
  <si>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</si>
  <si>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</si>
  <si>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</si>
  <si>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</si>
  <si>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</si>
  <si>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</si>
  <si>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</si>
  <si>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</si>
  <si>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</si>
  <si>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</si>
  <si>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</si>
  <si>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</si>
  <si>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</si>
  <si>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</si>
  <si>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</si>
  <si>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</si>
  <si>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</si>
  <si>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</si>
  <si>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</si>
  <si>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</si>
  <si>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</si>
  <si>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</si>
  <si>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</si>
  <si>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</si>
  <si>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</si>
  <si>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</si>
  <si>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</si>
  <si>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</si>
  <si>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</si>
  <si>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</si>
  <si>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</si>
  <si>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</si>
  <si>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</si>
  <si>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</si>
  <si>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</si>
  <si>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</si>
  <si>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</si>
  <si>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</si>
  <si>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</si>
  <si>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</si>
  <si>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</si>
  <si>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</si>
  <si>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</si>
  <si>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</si>
  <si>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</si>
  <si>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</si>
  <si>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</si>
  <si>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</si>
  <si>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</si>
  <si>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</si>
  <si>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</si>
  <si>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</si>
  <si>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</si>
  <si>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</si>
  <si>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</si>
  <si>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</si>
  <si>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</si>
  <si>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</si>
  <si>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</si>
  <si>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</si>
  <si>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</si>
  <si>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</si>
  <si>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</si>
  <si>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</si>
  <si>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</si>
  <si>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</si>
  <si>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</si>
  <si>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</si>
  <si>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</si>
  <si>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</si>
  <si>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</si>
  <si>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</si>
  <si>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</si>
  <si>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</si>
  <si>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</si>
  <si>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</si>
  <si>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</si>
  <si>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</si>
  <si>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</si>
  <si>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</si>
  <si>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</si>
  <si>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</si>
  <si>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</si>
  <si>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</si>
  <si>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</si>
  <si>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</si>
  <si>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</si>
  <si>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</si>
  <si>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</si>
  <si>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</si>
  <si>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</si>
  <si>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</si>
  <si>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</si>
  <si>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</si>
  <si>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</si>
  <si>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</si>
  <si>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</si>
  <si>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</si>
  <si>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</si>
  <si>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</si>
  <si>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</si>
  <si>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</si>
  <si>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</si>
  <si>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</si>
  <si>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</si>
  <si>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</si>
  <si>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</si>
  <si>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</si>
  <si>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</si>
  <si>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</si>
  <si>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</si>
  <si>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</si>
  <si>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</si>
  <si>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</si>
  <si>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</si>
  <si>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</si>
  <si>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</si>
  <si>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</si>
  <si>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</si>
  <si>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</si>
  <si>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</si>
  <si>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</si>
  <si>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</si>
  <si>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</si>
  <si>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</si>
  <si>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</si>
  <si>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</si>
  <si>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</si>
  <si>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</si>
  <si>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</si>
  <si>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</si>
  <si>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</si>
  <si>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</si>
  <si>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</si>
  <si>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</si>
  <si>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</si>
  <si>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</si>
  <si>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</si>
  <si>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</si>
  <si>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</si>
  <si>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</si>
  <si>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</si>
  <si>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</si>
  <si>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</si>
  <si>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</si>
  <si>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</si>
  <si>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</si>
  <si>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</si>
  <si>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</si>
  <si>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</si>
  <si>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</si>
  <si>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</si>
  <si>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</si>
  <si>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</si>
  <si>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</si>
  <si>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</si>
  <si>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</si>
  <si>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</si>
  <si>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</si>
  <si>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</si>
  <si>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</si>
  <si>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</si>
  <si>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</si>
  <si>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</si>
  <si>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</si>
  <si>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</si>
  <si>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</si>
  <si>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</si>
  <si>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</si>
  <si>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</si>
  <si>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</si>
  <si>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</si>
  <si>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</si>
  <si>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</si>
  <si>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</si>
  <si>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</si>
  <si>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</si>
  <si>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</si>
  <si>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</si>
  <si>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</si>
  <si>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</si>
  <si>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</si>
  <si>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</si>
  <si>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</si>
  <si>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</si>
  <si>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</si>
  <si>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</si>
  <si>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</si>
  <si>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</si>
  <si>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</si>
  <si>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</si>
  <si>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</si>
  <si>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</si>
  <si>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</si>
  <si>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</si>
  <si>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</si>
  <si>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</si>
  <si>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</si>
  <si>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</si>
  <si>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</si>
  <si>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</si>
  <si>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</si>
  <si>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</si>
  <si>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</si>
  <si>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</si>
  <si>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</si>
  <si>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</si>
  <si>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</si>
  <si>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</si>
  <si>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</si>
  <si>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</si>
  <si>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</si>
  <si>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</si>
  <si>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</si>
  <si>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</si>
  <si>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</si>
  <si>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</si>
  <si>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</si>
  <si>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</si>
  <si>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</si>
  <si>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</si>
  <si>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</si>
  <si>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</si>
  <si>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</si>
  <si>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</si>
  <si>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</si>
  <si>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</si>
  <si>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</si>
  <si>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</si>
  <si>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</si>
  <si>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</si>
  <si>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</si>
  <si>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</si>
  <si>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</si>
  <si>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</si>
  <si>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</si>
  <si>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</si>
  <si>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</si>
  <si>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</si>
  <si>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</si>
  <si>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</si>
  <si>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</si>
  <si>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</si>
  <si>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</si>
  <si>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</si>
  <si>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</si>
  <si>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</si>
  <si>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</si>
  <si>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</si>
  <si>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</si>
  <si>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</si>
  <si>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</si>
  <si>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</si>
  <si>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</si>
  <si>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</si>
  <si>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</si>
  <si>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</si>
  <si>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</si>
  <si>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</si>
  <si>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</si>
  <si>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</si>
  <si>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</si>
  <si>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</si>
  <si>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</si>
  <si>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</si>
  <si>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</si>
  <si>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</si>
  <si>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</si>
  <si>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</si>
  <si>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</si>
  <si>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</si>
  <si>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</si>
  <si>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</si>
  <si>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</si>
  <si>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</si>
  <si>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</si>
  <si>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</si>
  <si>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</si>
  <si>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</si>
  <si>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</si>
  <si>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</si>
  <si>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</si>
  <si>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</si>
  <si>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</si>
  <si>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</si>
  <si>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</si>
  <si>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</si>
  <si>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</si>
  <si>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</si>
  <si>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</si>
  <si>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</si>
  <si>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</si>
  <si>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</si>
  <si>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</si>
  <si>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</si>
  <si>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</si>
  <si>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</si>
  <si>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</si>
  <si>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</si>
  <si>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</si>
  <si>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</si>
  <si>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</si>
  <si>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</si>
  <si>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</si>
  <si>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</si>
  <si>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</si>
  <si>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</si>
  <si>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</si>
  <si>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</si>
  <si>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</si>
  <si>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</si>
  <si>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</si>
  <si>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</si>
  <si>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</si>
  <si>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</si>
  <si>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</si>
  <si>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</si>
  <si>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</si>
  <si>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</si>
  <si>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</si>
  <si>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</si>
  <si>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</si>
  <si>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</si>
  <si>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</si>
  <si>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</si>
  <si>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</si>
  <si>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</si>
  <si>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</si>
  <si>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</si>
  <si>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</si>
  <si>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</si>
  <si>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</si>
  <si>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</si>
  <si>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</si>
  <si>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</si>
  <si>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</si>
  <si>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</si>
  <si>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</si>
  <si>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</si>
  <si>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</si>
  <si>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</si>
  <si>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</si>
  <si>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</si>
  <si>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</si>
  <si>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</si>
  <si>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</si>
  <si>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</si>
  <si>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</si>
  <si>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</si>
  <si>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</si>
  <si>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</si>
  <si>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</si>
  <si>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</si>
  <si>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</si>
  <si>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</si>
  <si>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</si>
  <si>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</si>
  <si>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</si>
  <si>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</si>
  <si>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</si>
  <si>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</si>
  <si>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</si>
  <si>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</si>
  <si>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</si>
  <si>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</si>
  <si>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</si>
  <si>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</si>
  <si>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</si>
  <si>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</si>
  <si>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</si>
  <si>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</si>
  <si>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</si>
  <si>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</si>
  <si>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</si>
  <si>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</si>
  <si>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</si>
  <si>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</si>
  <si>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</si>
  <si>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</si>
  <si>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</si>
  <si>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</si>
  <si>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</si>
  <si>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</si>
  <si>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</si>
  <si>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</si>
  <si>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</si>
  <si>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</si>
  <si>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</si>
  <si>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</si>
  <si>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</si>
  <si>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</si>
  <si>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</si>
  <si>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</si>
  <si>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</si>
  <si>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</si>
  <si>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</si>
  <si>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</si>
  <si>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</si>
  <si>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</si>
  <si>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</si>
  <si>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</si>
  <si>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</si>
  <si>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</si>
  <si>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</si>
  <si>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</si>
  <si>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</si>
  <si>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</si>
  <si>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</si>
  <si>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</si>
  <si>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</si>
  <si>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</si>
  <si>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</si>
  <si>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</si>
  <si>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</si>
  <si>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</si>
  <si>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</si>
  <si>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</si>
  <si>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</si>
  <si>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</si>
  <si>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</si>
  <si>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</si>
  <si>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</si>
  <si>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</si>
  <si>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</si>
  <si>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</si>
  <si>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</si>
  <si>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</si>
  <si>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</si>
  <si>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</si>
  <si>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</si>
  <si>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</si>
  <si>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</si>
  <si>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</si>
  <si>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</si>
  <si>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</si>
  <si>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</si>
  <si>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</si>
  <si>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</si>
  <si>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</si>
  <si>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</si>
  <si>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</si>
  <si>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</si>
  <si>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</si>
  <si>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</si>
  <si>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</si>
  <si>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</si>
  <si>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</si>
  <si>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</si>
  <si>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</si>
  <si>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</si>
  <si>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</si>
  <si>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</si>
  <si>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</si>
  <si>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</si>
  <si>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</si>
  <si>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</si>
  <si>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</si>
  <si>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</si>
  <si>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</si>
  <si>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</si>
  <si>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</si>
  <si>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</si>
  <si>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</si>
  <si>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</si>
  <si>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</si>
  <si>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</si>
  <si>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</si>
  <si>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</si>
  <si>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</si>
  <si>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</si>
  <si>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</si>
  <si>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</si>
  <si>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</si>
  <si>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t>
  </si>
  <si>
    <t>Anaktuvuk River Fire Scar</t>
  </si>
  <si>
    <t>http://ecosystems.mbl.edu/ARC/meta_template.php?FileName=./burn/terrestrial/xlsfiles/2008_MCM_ARFsoilCN.html</t>
  </si>
  <si>
    <t>Corrected mass of nitrogen per meter squared. Depth is standardized to 5 cm depth for all increments except for the GM</t>
  </si>
  <si>
    <t>Corrected mass of carbon per meter squared. Depth is standardized to 5 cm depth for all increments except for the GM</t>
  </si>
  <si>
    <t>.=Missing or Not Measured</t>
  </si>
  <si>
    <t>Version3 corrected eml exel file name JimL 16May13</t>
  </si>
  <si>
    <t>knb-lter-arc.10125.4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</si>
</sst>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000"/>
    <numFmt numFmtId="165" formatCode="0.0"/>
    <numFmt numFmtId="166" formatCode="dd\-mmm\-yyyy"/>
    <numFmt numFmtId="167" formatCode="0.000"/>
    <numFmt numFmtId="168" formatCode="0.0000"/>
  </numFmts>
  <fonts count="27" x14ac:knownFonts="1">
    <font>
      <sz val="11"/>
      <color theme="1"/>
      <name val="Calibri"/>
      <family val="2"/>
      <scheme val="minor"/>
    </font>
    <font>
      <b/>
      <sz val="10"/>
      <name val="Arial"/>
      <family val="2"/>
    </font>
    <font>
      <sz val="10"/>
      <name val="Arial"/>
      <family val="2"/>
    </font>
    <font>
      <b/>
      <sz val="14"/>
      <name val="Arial"/>
      <family val="2"/>
    </font>
    <font>
      <b/>
      <sz val="12"/>
      <color indexed="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9"/>
      <color indexed="81"/>
      <name val="Tahoma"/>
      <family val="2"/>
    </font>
    <font>
      <sz val="9"/>
      <color indexed="81"/>
      <name val="Tahoma"/>
      <family val="2"/>
    </font>
    <font>
      <b/>
      <sz val="9"/>
      <color indexed="81"/>
      <name val="Arial"/>
      <family val="2"/>
    </font>
    <font>
      <sz val="9"/>
      <color indexed="81"/>
      <name val="Arial"/>
      <family val="2"/>
    </font>
    <font>
      <b/>
      <sz val="8"/>
      <color indexed="39"/>
      <name val="Tahoma"/>
      <family val="2"/>
    </font>
    <font>
      <b/>
      <sz val="8"/>
      <color indexed="12"/>
      <name val="Arial"/>
      <family val="2"/>
    </font>
    <font>
      <b/>
      <sz val="8"/>
      <color indexed="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0" fontId="2" fillId="0" borderId="0"/>
  </cellStyleXfs>
  <cellXfs count="112">
    <xf numFmtId="0" fontId="0" fillId="0" borderId="0" xfId="0"/>
    <xf numFmtId="0" fontId="1" fillId="7" borderId="1" xfId="2" applyFont="1" applyFill="1" applyBorder="1" applyAlignment="1" applyProtection="1">
      <alignment vertical="center" wrapText="1"/>
    </xf>
    <xf numFmtId="0" fontId="1" fillId="7" borderId="1" xfId="2" applyFont="1" applyFill="1" applyBorder="1" applyAlignment="1" applyProtection="1">
      <alignment horizontal="left" vertical="center" wrapText="1"/>
    </xf>
    <xf numFmtId="0" fontId="2" fillId="0" borderId="0" xfId="2" applyFont="1" applyAlignment="1" applyProtection="1">
      <alignment wrapText="1"/>
      <protection locked="0"/>
    </xf>
    <xf numFmtId="0" fontId="2" fillId="0" borderId="0" xfId="2" applyFont="1" applyAlignment="1" applyProtection="1">
      <alignment vertical="top" wrapText="1"/>
      <protection locked="0"/>
    </xf>
    <xf numFmtId="0" fontId="1" fillId="0" borderId="0" xfId="0" applyFont="1" applyFill="1" applyBorder="1" applyAlignment="1">
      <alignment horizontal="left"/>
    </xf>
    <xf numFmtId="0" fontId="0" fillId="0" borderId="0" xfId="0" applyFill="1" applyBorder="1" applyAlignment="1">
      <alignment horizontal="left"/>
    </xf>
    <xf numFmtId="0" fontId="0" fillId="0" borderId="0" xfId="0" applyFont="1" applyFill="1" applyAlignment="1">
      <alignment horizontal="left"/>
    </xf>
    <xf numFmtId="0" fontId="1" fillId="0" borderId="0" xfId="0" applyNumberFormat="1" applyFont="1" applyFill="1" applyBorder="1" applyAlignment="1">
      <alignment horizontal="left"/>
    </xf>
    <xf numFmtId="168" fontId="1" fillId="0" borderId="0" xfId="0" applyNumberFormat="1" applyFont="1" applyFill="1" applyBorder="1" applyAlignment="1">
      <alignment horizontal="left"/>
    </xf>
    <xf numFmtId="165" fontId="1" fillId="0" borderId="0" xfId="0" applyNumberFormat="1" applyFont="1" applyFill="1" applyBorder="1" applyAlignment="1">
      <alignment horizontal="left"/>
    </xf>
    <xf numFmtId="1" fontId="1" fillId="0" borderId="0" xfId="0" applyNumberFormat="1" applyFont="1" applyFill="1" applyBorder="1" applyAlignment="1">
      <alignment horizontal="left"/>
    </xf>
    <xf numFmtId="0" fontId="0" fillId="0" borderId="0" xfId="0" applyFont="1" applyFill="1" applyBorder="1" applyAlignment="1">
      <alignment horizontal="left"/>
    </xf>
    <xf numFmtId="0" fontId="2" fillId="0" borderId="0" xfId="0" applyFont="1" applyFill="1" applyAlignment="1">
      <alignment horizontal="left"/>
    </xf>
    <xf numFmtId="0" fontId="2" fillId="0" borderId="0" xfId="0" applyFont="1" applyFill="1" applyBorder="1" applyAlignment="1">
      <alignment horizontal="left"/>
    </xf>
    <xf numFmtId="168" fontId="0" fillId="0" borderId="0" xfId="0" applyNumberFormat="1" applyFill="1" applyBorder="1" applyAlignment="1">
      <alignment horizontal="left"/>
    </xf>
    <xf numFmtId="165" fontId="0" fillId="0" borderId="0" xfId="0" applyNumberFormat="1" applyFill="1" applyBorder="1" applyAlignment="1">
      <alignment horizontal="left"/>
    </xf>
    <xf numFmtId="1" fontId="0" fillId="0" borderId="0" xfId="0" applyNumberFormat="1" applyFill="1" applyBorder="1" applyAlignment="1">
      <alignment horizontal="left"/>
    </xf>
    <xf numFmtId="0" fontId="2" fillId="0" borderId="0" xfId="0" applyNumberFormat="1" applyFont="1" applyFill="1" applyBorder="1" applyAlignment="1">
      <alignment horizontal="left"/>
    </xf>
    <xf numFmtId="0" fontId="0" fillId="0" borderId="0" xfId="0" applyNumberFormat="1" applyFill="1" applyBorder="1" applyAlignment="1">
      <alignment horizontal="left"/>
    </xf>
    <xf numFmtId="0" fontId="0" fillId="0" borderId="0" xfId="0" applyFill="1" applyAlignment="1">
      <alignment horizontal="left"/>
    </xf>
    <xf numFmtId="17" fontId="2" fillId="0" borderId="0" xfId="0" applyNumberFormat="1" applyFont="1" applyFill="1" applyBorder="1" applyAlignment="1">
      <alignment horizontal="left"/>
    </xf>
    <xf numFmtId="167" fontId="0" fillId="0" borderId="0" xfId="0" applyNumberFormat="1" applyFill="1" applyAlignment="1">
      <alignment horizontal="left"/>
    </xf>
    <xf numFmtId="0" fontId="6" fillId="0" borderId="2" xfId="1" applyFill="1" applyBorder="1" applyAlignment="1" applyProtection="1">
      <alignment horizontal="left"/>
    </xf>
    <xf numFmtId="0" fontId="2" fillId="0" borderId="0" xfId="2" applyFont="1"/>
    <xf numFmtId="0" fontId="2" fillId="0" borderId="0" xfId="2" applyFont="1" applyProtection="1">
      <protection locked="0"/>
    </xf>
    <xf numFmtId="0" fontId="2" fillId="0" borderId="0" xfId="2" applyFont="1" applyAlignment="1" applyProtection="1">
      <alignment horizontal="left" wrapText="1"/>
      <protection locked="0"/>
    </xf>
    <xf numFmtId="0" fontId="2" fillId="0" borderId="0" xfId="2" applyFont="1" applyAlignment="1">
      <alignment vertical="top"/>
    </xf>
    <xf numFmtId="0" fontId="2" fillId="0" borderId="0" xfId="2" applyFont="1" applyAlignment="1">
      <alignment vertical="center" wrapText="1"/>
    </xf>
    <xf numFmtId="0" fontId="12" fillId="0" borderId="0" xfId="2" applyFont="1"/>
    <xf numFmtId="0" fontId="11" fillId="0" borderId="0" xfId="2" applyFont="1"/>
    <xf numFmtId="0" fontId="1" fillId="0" borderId="0" xfId="2" applyFont="1" applyFill="1" applyBorder="1" applyAlignment="1" applyProtection="1">
      <alignment vertical="center" wrapText="1"/>
    </xf>
    <xf numFmtId="0" fontId="10" fillId="0" borderId="0" xfId="2" applyFont="1"/>
    <xf numFmtId="0" fontId="1" fillId="2" borderId="1" xfId="2" applyFont="1" applyFill="1" applyBorder="1" applyAlignment="1" applyProtection="1">
      <alignment vertical="top" wrapText="1"/>
    </xf>
    <xf numFmtId="0" fontId="2" fillId="0" borderId="0" xfId="2" applyFont="1" applyFill="1" applyBorder="1" applyAlignment="1" applyProtection="1">
      <alignment horizontal="left" wrapText="1"/>
      <protection locked="0"/>
    </xf>
    <xf numFmtId="0" fontId="1" fillId="0" borderId="0" xfId="2" applyFont="1" applyFill="1" applyBorder="1" applyAlignment="1" applyProtection="1">
      <alignment horizontal="right" vertical="top"/>
    </xf>
    <xf numFmtId="0" fontId="2" fillId="0" borderId="0" xfId="2" applyFont="1" applyAlignment="1" applyProtection="1">
      <alignment vertical="top"/>
    </xf>
    <xf numFmtId="0" fontId="2" fillId="0" borderId="0" xfId="2" applyFont="1" applyAlignment="1" applyProtection="1">
      <protection locked="0"/>
    </xf>
    <xf numFmtId="0" fontId="1" fillId="0" borderId="0" xfId="2" applyFont="1" applyAlignment="1" applyProtection="1">
      <alignment horizontal="center" vertical="top"/>
    </xf>
    <xf numFmtId="0" fontId="1" fillId="2" borderId="1" xfId="2" applyFont="1" applyFill="1" applyBorder="1" applyAlignment="1" applyProtection="1">
      <alignment horizontal="right" vertical="top"/>
    </xf>
    <xf numFmtId="0" fontId="2" fillId="6" borderId="10" xfId="2" applyFont="1" applyFill="1" applyBorder="1" applyAlignment="1" applyProtection="1">
      <protection locked="0"/>
    </xf>
    <xf numFmtId="0" fontId="2" fillId="3" borderId="9" xfId="2" applyFont="1" applyFill="1" applyBorder="1" applyAlignment="1" applyProtection="1">
      <alignment horizontal="left"/>
      <protection locked="0"/>
    </xf>
    <xf numFmtId="0" fontId="1" fillId="2" borderId="2" xfId="2" applyFont="1" applyFill="1" applyBorder="1" applyAlignment="1" applyProtection="1">
      <alignment horizontal="right"/>
    </xf>
    <xf numFmtId="0" fontId="2" fillId="6" borderId="3" xfId="2" applyFont="1" applyFill="1" applyBorder="1" applyAlignment="1" applyProtection="1">
      <protection locked="0"/>
    </xf>
    <xf numFmtId="0" fontId="2" fillId="3" borderId="2" xfId="2" applyFont="1" applyFill="1" applyBorder="1" applyAlignment="1" applyProtection="1">
      <alignment horizontal="left"/>
      <protection locked="0"/>
    </xf>
    <xf numFmtId="0" fontId="1" fillId="2" borderId="9" xfId="2" applyFont="1" applyFill="1" applyBorder="1" applyAlignment="1" applyProtection="1">
      <alignment horizontal="right" wrapText="1"/>
    </xf>
    <xf numFmtId="0" fontId="2" fillId="2" borderId="8" xfId="2" applyNumberFormat="1" applyFont="1" applyFill="1" applyBorder="1" applyAlignment="1" applyProtection="1">
      <alignment horizontal="left"/>
    </xf>
    <xf numFmtId="0" fontId="1" fillId="2" borderId="7" xfId="2" applyFont="1" applyFill="1" applyBorder="1" applyAlignment="1" applyProtection="1">
      <alignment horizontal="left"/>
    </xf>
    <xf numFmtId="0" fontId="2" fillId="0" borderId="0" xfId="2" applyNumberFormat="1" applyFont="1" applyAlignment="1" applyProtection="1">
      <alignment horizontal="left"/>
      <protection locked="0"/>
    </xf>
    <xf numFmtId="0" fontId="2" fillId="0" borderId="0" xfId="2" applyFont="1" applyAlignment="1" applyProtection="1">
      <alignment horizontal="left"/>
      <protection locked="0"/>
    </xf>
    <xf numFmtId="0" fontId="2" fillId="0" borderId="0" xfId="2" applyFont="1" applyAlignment="1" applyProtection="1">
      <alignment vertical="center"/>
      <protection locked="0"/>
    </xf>
    <xf numFmtId="0" fontId="2" fillId="0" borderId="0" xfId="2" applyFont="1" applyFill="1" applyAlignment="1" applyProtection="1">
      <alignment vertical="center"/>
      <protection locked="0"/>
    </xf>
    <xf numFmtId="0" fontId="2" fillId="0" borderId="0" xfId="2" applyNumberFormat="1" applyFont="1" applyAlignment="1" applyProtection="1">
      <protection locked="0"/>
    </xf>
    <xf numFmtId="0" fontId="2" fillId="0" borderId="0" xfId="2" applyFont="1" applyAlignment="1" applyProtection="1"/>
    <xf numFmtId="0" fontId="7" fillId="0" borderId="0" xfId="2" applyFont="1"/>
    <xf numFmtId="0" fontId="7" fillId="0" borderId="0" xfId="2" applyFont="1" applyAlignment="1" applyProtection="1">
      <protection locked="0"/>
    </xf>
    <xf numFmtId="0" fontId="2" fillId="4" borderId="1" xfId="2" applyFont="1" applyFill="1" applyBorder="1" applyAlignment="1" applyProtection="1">
      <alignment horizontal="left" wrapText="1"/>
      <protection locked="0"/>
    </xf>
    <xf numFmtId="0" fontId="1" fillId="7" borderId="2" xfId="2" applyFont="1" applyFill="1" applyBorder="1" applyAlignment="1" applyProtection="1">
      <alignment horizontal="right" wrapText="1"/>
    </xf>
    <xf numFmtId="0" fontId="1" fillId="2" borderId="1" xfId="2" applyFont="1" applyFill="1" applyBorder="1" applyAlignment="1" applyProtection="1">
      <alignment wrapText="1"/>
    </xf>
    <xf numFmtId="0" fontId="2" fillId="0" borderId="0" xfId="2" applyFont="1" applyFill="1" applyBorder="1" applyAlignment="1" applyProtection="1">
      <alignment horizontal="right" vertical="top"/>
    </xf>
    <xf numFmtId="0" fontId="1" fillId="7" borderId="0" xfId="2" applyFont="1" applyFill="1" applyBorder="1" applyAlignment="1" applyProtection="1">
      <alignment horizontal="right" wrapText="1"/>
    </xf>
    <xf numFmtId="0" fontId="2" fillId="0" borderId="0" xfId="2" applyFont="1" applyFill="1" applyProtection="1">
      <protection locked="0"/>
    </xf>
    <xf numFmtId="0" fontId="6" fillId="3" borderId="1" xfId="1" applyFill="1" applyBorder="1" applyAlignment="1" applyProtection="1">
      <alignment horizontal="left" vertical="top" wrapText="1"/>
    </xf>
    <xf numFmtId="0" fontId="1" fillId="7" borderId="0" xfId="2" applyFont="1" applyFill="1" applyBorder="1" applyAlignment="1" applyProtection="1">
      <alignment horizontal="right" vertical="top"/>
    </xf>
    <xf numFmtId="0" fontId="2" fillId="3" borderId="1" xfId="2" applyFont="1" applyFill="1" applyBorder="1" applyAlignment="1" applyProtection="1">
      <alignment horizontal="left" vertical="top" wrapText="1"/>
      <protection locked="0"/>
    </xf>
    <xf numFmtId="0" fontId="2" fillId="0" borderId="1" xfId="2" applyFont="1" applyBorder="1" applyAlignment="1" applyProtection="1">
      <alignment horizontal="left" wrapText="1"/>
      <protection locked="0"/>
    </xf>
    <xf numFmtId="0" fontId="1" fillId="2" borderId="1" xfId="2" applyFont="1" applyFill="1" applyBorder="1" applyAlignment="1" applyProtection="1">
      <alignment horizontal="left" vertical="top"/>
    </xf>
    <xf numFmtId="0" fontId="2" fillId="3" borderId="6" xfId="2" applyFont="1" applyFill="1" applyBorder="1" applyAlignment="1" applyProtection="1">
      <alignment horizontal="left" wrapText="1"/>
      <protection locked="0"/>
    </xf>
    <xf numFmtId="0" fontId="1" fillId="7" borderId="0" xfId="2" applyFont="1" applyFill="1" applyBorder="1" applyAlignment="1" applyProtection="1">
      <alignment horizontal="left" vertical="top"/>
    </xf>
    <xf numFmtId="0" fontId="2" fillId="3" borderId="5" xfId="2" applyFont="1" applyFill="1" applyBorder="1" applyAlignment="1" applyProtection="1">
      <alignment horizontal="left" wrapText="1"/>
      <protection locked="0"/>
    </xf>
    <xf numFmtId="0" fontId="1" fillId="2" borderId="4" xfId="2" applyFont="1" applyFill="1" applyBorder="1" applyAlignment="1" applyProtection="1">
      <alignment horizontal="left" vertical="top"/>
    </xf>
    <xf numFmtId="0" fontId="2" fillId="8" borderId="1" xfId="2" applyFont="1" applyFill="1" applyBorder="1" applyAlignment="1" applyProtection="1">
      <alignment horizontal="center" wrapText="1"/>
      <protection locked="0"/>
    </xf>
    <xf numFmtId="0" fontId="1" fillId="2" borderId="1" xfId="2" applyNumberFormat="1" applyFont="1" applyFill="1" applyBorder="1" applyAlignment="1" applyProtection="1">
      <alignment vertical="top" wrapText="1"/>
    </xf>
    <xf numFmtId="0" fontId="2" fillId="0" borderId="0" xfId="2" applyFont="1" applyAlignment="1" applyProtection="1">
      <alignment horizontal="right" vertical="top"/>
    </xf>
    <xf numFmtId="0" fontId="1" fillId="7" borderId="0" xfId="2" applyFont="1" applyFill="1" applyAlignment="1" applyProtection="1">
      <alignment horizontal="right" vertical="top"/>
    </xf>
    <xf numFmtId="166" fontId="2" fillId="3" borderId="1" xfId="2" applyNumberFormat="1" applyFont="1" applyFill="1" applyBorder="1" applyAlignment="1" applyProtection="1">
      <alignment horizontal="left" wrapText="1"/>
      <protection locked="0"/>
    </xf>
    <xf numFmtId="0" fontId="1" fillId="7" borderId="0" xfId="2" applyFont="1" applyFill="1" applyAlignment="1" applyProtection="1">
      <alignment horizontal="right" vertical="top" wrapText="1"/>
    </xf>
    <xf numFmtId="0" fontId="1" fillId="7" borderId="0" xfId="2" applyNumberFormat="1" applyFont="1" applyFill="1" applyAlignment="1" applyProtection="1">
      <alignment horizontal="right" vertical="top" wrapText="1"/>
    </xf>
    <xf numFmtId="0" fontId="5" fillId="0" borderId="3" xfId="2" applyFont="1" applyBorder="1" applyAlignment="1"/>
    <xf numFmtId="0" fontId="5" fillId="0" borderId="1" xfId="2" applyFont="1" applyFill="1" applyBorder="1" applyAlignment="1" applyProtection="1">
      <alignment horizontal="right"/>
    </xf>
    <xf numFmtId="0" fontId="2" fillId="0" borderId="0" xfId="2" applyFont="1" applyBorder="1" applyAlignment="1" applyProtection="1">
      <alignment horizontal="left" wrapText="1"/>
      <protection locked="0"/>
    </xf>
    <xf numFmtId="0" fontId="2" fillId="0" borderId="0" xfId="2" applyFont="1" applyFill="1" applyAlignment="1" applyProtection="1">
      <alignment horizontal="right" vertical="top" wrapText="1"/>
    </xf>
    <xf numFmtId="0" fontId="2" fillId="0" borderId="0" xfId="2" applyFont="1" applyFill="1" applyAlignment="1" applyProtection="1">
      <alignment horizontal="left" wrapText="1"/>
      <protection locked="0"/>
    </xf>
    <xf numFmtId="49" fontId="2" fillId="0" borderId="0" xfId="2" applyNumberFormat="1" applyFont="1"/>
    <xf numFmtId="49" fontId="2" fillId="6" borderId="1" xfId="2" applyNumberFormat="1" applyFont="1" applyFill="1" applyBorder="1" applyAlignment="1" applyProtection="1">
      <alignment horizontal="left" wrapText="1"/>
      <protection locked="0"/>
    </xf>
    <xf numFmtId="49" fontId="1" fillId="5" borderId="0" xfId="2" applyNumberFormat="1" applyFont="1" applyFill="1" applyBorder="1" applyAlignment="1" applyProtection="1">
      <alignment horizontal="right" vertical="top"/>
    </xf>
    <xf numFmtId="0" fontId="1" fillId="2" borderId="1" xfId="2" applyFont="1" applyFill="1" applyBorder="1" applyAlignment="1" applyProtection="1">
      <alignment horizontal="left" wrapText="1"/>
    </xf>
    <xf numFmtId="0" fontId="8" fillId="2" borderId="1" xfId="2" applyFont="1" applyFill="1" applyBorder="1" applyAlignment="1" applyProtection="1">
      <alignment vertical="top" wrapText="1"/>
    </xf>
    <xf numFmtId="0" fontId="2" fillId="0" borderId="0" xfId="2" applyFont="1" applyAlignment="1" applyProtection="1">
      <alignment vertical="top" wrapText="1"/>
    </xf>
    <xf numFmtId="0" fontId="1" fillId="2" borderId="1" xfId="2" applyFont="1" applyFill="1" applyBorder="1" applyAlignment="1" applyProtection="1">
      <alignment vertical="top"/>
    </xf>
    <xf numFmtId="0" fontId="2" fillId="0" borderId="0" xfId="2" applyFont="1" applyFill="1" applyBorder="1" applyAlignment="1"/>
    <xf numFmtId="0" fontId="1" fillId="0" borderId="0" xfId="2" applyFont="1" applyFill="1" applyBorder="1" applyAlignment="1" applyProtection="1">
      <alignment horizontal="left" wrapText="1"/>
      <protection locked="0"/>
    </xf>
    <xf numFmtId="0" fontId="2" fillId="0" borderId="0" xfId="2" applyFont="1" applyFill="1" applyBorder="1"/>
    <xf numFmtId="0" fontId="5" fillId="0" borderId="3" xfId="2" applyFont="1" applyBorder="1" applyAlignment="1" applyProtection="1"/>
    <xf numFmtId="0" fontId="5" fillId="0" borderId="1" xfId="2" applyFont="1" applyFill="1" applyBorder="1" applyAlignment="1" applyProtection="1"/>
    <xf numFmtId="0" fontId="5" fillId="0" borderId="1" xfId="2" applyFont="1" applyFill="1" applyBorder="1" applyAlignment="1" applyProtection="1">
      <alignment horizontal="left"/>
    </xf>
    <xf numFmtId="0" fontId="1" fillId="0" borderId="0" xfId="2" applyFont="1" applyProtection="1">
      <protection locked="0"/>
    </xf>
    <xf numFmtId="0" fontId="4" fillId="0" borderId="0" xfId="2" applyFont="1" applyProtection="1">
      <protection locked="0"/>
    </xf>
    <xf numFmtId="0" fontId="3" fillId="0" borderId="0" xfId="2" applyFont="1" applyAlignment="1" applyProtection="1">
      <alignment vertical="top"/>
    </xf>
    <xf numFmtId="0" fontId="2" fillId="0" borderId="0" xfId="2"/>
    <xf numFmtId="0" fontId="25" fillId="0" borderId="0" xfId="2" applyFont="1" applyAlignment="1">
      <alignment horizontal="center" wrapText="1"/>
    </xf>
    <xf numFmtId="0" fontId="25" fillId="0" borderId="0" xfId="2" applyFont="1" applyAlignment="1">
      <alignment wrapText="1"/>
    </xf>
    <xf numFmtId="164" fontId="25" fillId="0" borderId="0" xfId="2" applyNumberFormat="1" applyFont="1" applyAlignment="1">
      <alignment wrapText="1"/>
    </xf>
    <xf numFmtId="1" fontId="25" fillId="0" borderId="0" xfId="2" applyNumberFormat="1" applyFont="1" applyAlignment="1">
      <alignment wrapText="1"/>
    </xf>
    <xf numFmtId="0" fontId="26" fillId="0" borderId="0" xfId="2" applyFont="1" applyAlignment="1">
      <alignment horizontal="center" wrapText="1"/>
    </xf>
    <xf numFmtId="0" fontId="6" fillId="0" borderId="0" xfId="1" applyAlignment="1" applyProtection="1"/>
    <xf numFmtId="0" fontId="2" fillId="0" borderId="0" xfId="2" applyAlignment="1"/>
    <xf numFmtId="1" fontId="2" fillId="0" borderId="0" xfId="2" applyNumberFormat="1"/>
    <xf numFmtId="0" fontId="2" fillId="3" borderId="2" xfId="2" applyFont="1" applyFill="1" applyBorder="1" applyAlignment="1" applyProtection="1">
      <alignment horizontal="left" wrapText="1"/>
      <protection locked="0"/>
    </xf>
    <xf numFmtId="0" fontId="2" fillId="0" borderId="3" xfId="2" applyFont="1" applyBorder="1" applyAlignment="1"/>
    <xf numFmtId="0" fontId="1" fillId="0" borderId="0" xfId="2" applyFont="1" applyFill="1" applyBorder="1" applyAlignment="1" applyProtection="1">
      <alignment horizontal="left" wrapText="1"/>
      <protection locked="0"/>
    </xf>
    <xf numFmtId="0" fontId="2" fillId="0" borderId="0" xfId="2" applyFont="1" applyFill="1" applyBorder="1" applyAlignment="1"/>
  </cellXfs>
  <cellStyles count="3">
    <cellStyle name="Hyperlink" xfId="1" builtinId="8"/>
    <cellStyle name="Normal" xfId="0" builtinId="0"/>
    <cellStyle name="Normal 2" xfId="2"/>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14</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This file contains the soil profile data for burned and unburned moist acidic tundra sites used to estimate C and N loss from the Anaktuvuk River Fire (2007).  These sites were sampled in summer of 2008.  Unburned sites were used to develop a method for estimating soil organic layer depth and plant biomass, and for determining the characteristics of unburned soil organic layers.  In burned sites, we characterized residual organic soils and used biometric measurements of tussocks to reconstruct pre-fire soil organic layer depth.  Together, these measurements were used to reconstruct pre-fire soil and plant carbon and nitrogen pools and estimate ecosystem losses of these elements during the fire. </a:t>
          </a:r>
        </a:p>
      </xdr:txBody>
    </xdr:sp>
    <xdr:clientData fLocksWithSheet="0"/>
  </xdr:twoCellAnchor>
  <xdr:twoCellAnchor>
    <xdr:from>
      <xdr:col>1</xdr:col>
      <xdr:colOff>30480</xdr:colOff>
      <xdr:row>67</xdr:row>
      <xdr:rowOff>17145</xdr:rowOff>
    </xdr:from>
    <xdr:to>
      <xdr:col>6</xdr:col>
      <xdr:colOff>817247</xdr:colOff>
      <xdr:row>128</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A detailed methods supplement is available online (link here).
 Field sites: Twenty MAT sites within the burn were accessed via helicopter from either Umiat or Toolik Lake in July and August of 2008 .  Burn severity was mapped using the differenced Normalized burn Ratio (dNBR) method40 and sites 1-12 were randomly chosen to represent the range and frequency of dNBR values as described in Jones et al. (2009).  The remaining sites, 13-20, were chosen randomly along hillslope transects from areas where collaborators had previously established eddy covariance towers and lake/stream monitoring.  
To obtain empirical relationships between ecosystem structure and the element pools necessary for reconstruction of pre-fire soil C and N pools, 11 unburned MAT sites were also sampled . Samples from one unburned site (ARF109) were held back from analyses for testing the reconstruction method.  Three unburned sites were adventitiously encountered within the burn perimeter, an additional site was located near the 2007 Kuparuk Fire (69.2974 °N, 150.3221 °W), and seven others were systematically selected along the Dalton Highway. The latter sites were randomly selected from a GIS database that included all MAT areas along the Dalton within the elevation and climate range of the burn scar and were allocated to span the same elevations as the burn scar.  All sites were &gt;300 m from the road to minimize the effects of dust and other disturbances41,42.
Field sampling—unburned sites:  We quantified the relationship between E. vaginatum crowns and SOL depth or biomass, and characterized SOL bulk density and element concentration across the 11 unburned sites.  Along a 50 m transect in each site, we measured the depth of thaw and SOL at 5 m intervals (random point) and directly adjacent to the tussock nearest to the random point (n=10 random and 10 tussock points).  We measured at both random and tussock points to determine whether the relationship between soil organic matter depth and tussock crowns was related to distance to tussock. Thaw depth was measured by inserting a metal rod into the soil until it hit ice or rock (differentiated by the sound and texture of the hit), marking the surface of the green moss on the rod, removing it, and measuring the distance from the tip to the mark with a meter stick.   Soil organic layer depth was measured by slicing a square pit with a serrated knife, removing a monolith of organic soil, exposing the surface of the mineral soil, and measuring the distance from the surface of the green moss to mineral soil on two sides of the pit.  The two depth measurements per pit were averaged to yield one SOL depth measurement per point.
At each point where SOL depth was measured, we used two meter sticks attached at a sliding right angle and fitted with a tubular spirit level to measure the depth of the green moss below a plane parallel to the crown of the nearest E. vaginatum tussock .  Use of the level ensured that the right angle was parallel to the crown and orthogonal to the ground.  For the randomly located sample point, we also measured the distance to the nearest tussock using this apparatus.  We measured the distance to, crown diameter of, and survivorship of the three next closest tussocks and used a nearest-neighbor method to estimate tussock density44.  For each tussock, two crown diameter measurements were made (and averaged) at right angles by compressing the leaves and manually locating the sides of the crown.
To determine soil bulk density and element concentration, organic soil horizons were sampled volumetrically with a serrated knife.  At 10 m intervals, a pit was dug and a 10 x 20 cm soil monolith was excised from the side of the pit, extending from the surface of the green moss to the surface of the mineral soil (roughly 5-30 cm depth depending on location). This monolith was wrapped in tinfoil to preserve structure, returned to the field station and frozen prior to shipping to the University of Florida (UF) for analyses of bulk density, moisture, C and N concentration, and C isotopes.  All aboveground plant material attached to the surface of the soil monolith was included in the sampling.  Tussocks were also harvested at 15 m intervals to develop allometric relationships between tussock diameter and combustible biomass (see below).  Biomass was shaved from the live tussock with a serrated knife and returned to the field station, where it was dried at 70° C for 48 hours before weighing and shipping to UF for analyses of C and N concentration.
Field sampling—burned sites:  Measurements in burned sites were similar to those in unburned sites except that measurements were made on the surface of the residual burned organic layer rather than the surface of the green moss and tussock leaves were not sampled. 
Laboratory analyses: Approximately 155 soil monoliths comprising ~1000 individual 5 cm increment soil samples were collected in total from the 20 burned and 11 unburned sites. In the lab, each monolith was bisected depth-wise with an electric carving knife.  One half of the monolith was processed for radiocarbon measurements, as described below, and re-frozen for archival purposes.  In the remaining half, green moss and dwarf shrubs were sliced off and the remainder of the core was sliced into 5 cm depth intervals with the last sample of variable depth depending on the location of the organic/mineral interface.   Samples were homogenized by hand and coarse organic materials (&gt;2.5 cm twigs and roots) and rocks were removed.  Coarse and fine organic fractions were weighed wet, dried at 70° C for 48 hours to determine dry matter content, then ground on a Wiley mill with a 40 mm sieve.  Carbon and N content was measured on a Costech Elemental Analyzer (Costech Analytical, Los Angeles, California, USA) calibrated with the NIST peach leaves standard (SRM 1547, National Institute of Standards and Technology, Gaithersburg, MD, USA).  The volume of each monolith layer was calculated as depth times area minus the volume of rocks.  Bulk density, C or N pools were calculated for both fine and coarse organic fractions. 
Literature Cited
40Key, C. H. and Benson, N. C., in Firemon: Fire effects monitoring and inventory system, edited by D. C.  Lutes, R. E.  Keane, J. F.  Caratti et al. (USDA Forest Service, Rocky Mountain Monitoring and Inventory System, Ogden, UT, 2005), pp. 25-36.
41Walker, D. A. and Everett, K. R., Road dust and its environmental impact on Alaskan taiga and tundra. Arctic and Alpine Research 19, 479-489 (1987).
42Myers-Smith, I. H., Arnesen, B. K., Thompson, R. M., and Chapin, F. S., Cumulative impacts on Alaskan arctic tundra of a quarter century of road dust. Ecoscience 13 (4), 503-510 (2006).
44West, P. W., Tree and forest measurement, 2nd ed. (Springer-Verlag, Heidleberg, 2009).
 </a:t>
          </a:r>
        </a:p>
      </xdr:txBody>
    </xdr:sp>
    <xdr:clientData fLocksWithSheet="0"/>
  </xdr:twoCellAnchor>
  <xdr:twoCellAnchor>
    <xdr:from>
      <xdr:col>1</xdr:col>
      <xdr:colOff>19050</xdr:colOff>
      <xdr:row>133</xdr:row>
      <xdr:rowOff>152400</xdr:rowOff>
    </xdr:from>
    <xdr:to>
      <xdr:col>3</xdr:col>
      <xdr:colOff>2076450</xdr:colOff>
      <xdr:row>140</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Not yet available; online supplement for Nature paper </a:t>
          </a:r>
        </a:p>
      </xdr:txBody>
    </xdr:sp>
    <xdr:clientData fLocksWithSheet="0"/>
  </xdr:twoCellAnchor>
  <xdr:twoCellAnchor>
    <xdr:from>
      <xdr:col>0</xdr:col>
      <xdr:colOff>60960</xdr:colOff>
      <xdr:row>6</xdr:row>
      <xdr:rowOff>38099</xdr:rowOff>
    </xdr:from>
    <xdr:to>
      <xdr:col>0</xdr:col>
      <xdr:colOff>1590790</xdr:colOff>
      <xdr:row>13</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68</xdr:row>
      <xdr:rowOff>121920</xdr:rowOff>
    </xdr:from>
    <xdr:to>
      <xdr:col>0</xdr:col>
      <xdr:colOff>1727751</xdr:colOff>
      <xdr:row>82</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25&amp;amp;urlTail=burn/terrestrial/data/2008_MCM_ARFsoilCN.csv" TargetMode="External"/><Relationship Id="rId1" Type="http://schemas.openxmlformats.org/officeDocument/2006/relationships/hyperlink" Target="http://ecosystems.mbl.edu/ARC/meta_template.php?FileName=./burn/terrestrial/xlsfiles/2008_MCM_ARFsoilCN.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67"/>
  <sheetViews>
    <sheetView tabSelected="1" zoomScale="96" zoomScaleNormal="96" workbookViewId="0">
      <selection activeCell="B4" sqref="B4"/>
    </sheetView>
  </sheetViews>
  <sheetFormatPr defaultColWidth="8.85546875" defaultRowHeight="12.75" x14ac:dyDescent="0.2"/>
  <cols>
    <col min="1" max="1" width="26.140625" style="27" customWidth="1"/>
    <col min="2" max="2" width="46" style="26" bestFit="1" customWidth="1"/>
    <col min="3" max="4" width="30.7109375" style="25" customWidth="1"/>
    <col min="5" max="9" width="30.7109375" style="24" customWidth="1"/>
    <col min="10" max="16384" width="8.85546875" style="24"/>
  </cols>
  <sheetData>
    <row r="1" spans="1:6" ht="18" x14ac:dyDescent="0.25">
      <c r="A1" s="98" t="s">
        <v>7</v>
      </c>
      <c r="C1" s="97"/>
      <c r="D1" s="96"/>
    </row>
    <row r="2" spans="1:6" hidden="1" x14ac:dyDescent="0.2">
      <c r="A2" s="94" t="s">
        <v>8</v>
      </c>
      <c r="B2" s="95" t="s">
        <v>1680</v>
      </c>
    </row>
    <row r="3" spans="1:6" hidden="1" x14ac:dyDescent="0.2">
      <c r="A3" s="94" t="s">
        <v>9</v>
      </c>
      <c r="B3" s="95">
        <v>2011</v>
      </c>
    </row>
    <row r="4" spans="1:6" hidden="1" x14ac:dyDescent="0.2">
      <c r="A4" s="94" t="s">
        <v>10</v>
      </c>
      <c r="B4" s="23" t="s">
        <v>1675</v>
      </c>
      <c r="C4" s="93"/>
    </row>
    <row r="5" spans="1:6" ht="22.5" customHeight="1" x14ac:dyDescent="0.2">
      <c r="A5" s="89" t="s">
        <v>11</v>
      </c>
      <c r="B5" s="108" t="s">
        <v>296</v>
      </c>
      <c r="C5" s="109"/>
      <c r="D5" s="24"/>
    </row>
    <row r="6" spans="1:6" ht="12.75" customHeight="1" x14ac:dyDescent="0.2">
      <c r="A6" s="89" t="s">
        <v>12</v>
      </c>
      <c r="B6" s="24"/>
      <c r="C6" s="24"/>
      <c r="D6" s="24"/>
      <c r="E6" s="92"/>
      <c r="F6" s="92"/>
    </row>
    <row r="7" spans="1:6" s="37" customFormat="1" x14ac:dyDescent="0.2">
      <c r="A7" s="36"/>
      <c r="B7" s="110"/>
      <c r="C7" s="111"/>
      <c r="D7" s="111"/>
    </row>
    <row r="8" spans="1:6" s="37" customFormat="1" x14ac:dyDescent="0.2">
      <c r="A8" s="36"/>
      <c r="B8" s="91"/>
      <c r="C8" s="90"/>
      <c r="D8" s="90"/>
    </row>
    <row r="9" spans="1:6" s="37" customFormat="1" x14ac:dyDescent="0.2">
      <c r="A9" s="36"/>
      <c r="B9" s="48"/>
    </row>
    <row r="10" spans="1:6" s="37" customFormat="1" x14ac:dyDescent="0.2">
      <c r="A10" s="36"/>
      <c r="B10" s="48"/>
    </row>
    <row r="11" spans="1:6" s="37" customFormat="1" x14ac:dyDescent="0.2">
      <c r="A11" s="36"/>
      <c r="B11" s="48"/>
    </row>
    <row r="12" spans="1:6" s="37" customFormat="1" x14ac:dyDescent="0.2">
      <c r="A12" s="36"/>
      <c r="B12" s="48"/>
    </row>
    <row r="13" spans="1:6" s="37" customFormat="1" x14ac:dyDescent="0.2">
      <c r="A13" s="36"/>
      <c r="B13" s="48"/>
    </row>
    <row r="14" spans="1:6" s="37" customFormat="1" ht="15" x14ac:dyDescent="0.2">
      <c r="A14" s="36"/>
      <c r="B14" s="55"/>
    </row>
    <row r="15" spans="1:6" s="37" customFormat="1" ht="15" x14ac:dyDescent="0.2">
      <c r="A15" s="36"/>
      <c r="B15" s="55"/>
    </row>
    <row r="16" spans="1:6" x14ac:dyDescent="0.2">
      <c r="A16" s="89" t="s">
        <v>13</v>
      </c>
      <c r="B16" s="56" t="s">
        <v>369</v>
      </c>
    </row>
    <row r="17" spans="1:9" x14ac:dyDescent="0.2">
      <c r="A17" s="88"/>
    </row>
    <row r="18" spans="1:9" x14ac:dyDescent="0.2">
      <c r="A18" s="87" t="s">
        <v>14</v>
      </c>
      <c r="B18" s="86" t="s">
        <v>15</v>
      </c>
      <c r="C18" s="86" t="s">
        <v>16</v>
      </c>
      <c r="D18" s="86" t="s">
        <v>17</v>
      </c>
      <c r="E18" s="86" t="s">
        <v>18</v>
      </c>
      <c r="F18" s="86" t="s">
        <v>19</v>
      </c>
      <c r="G18" s="86" t="s">
        <v>20</v>
      </c>
      <c r="H18" s="86" t="s">
        <v>21</v>
      </c>
      <c r="I18" s="86" t="s">
        <v>22</v>
      </c>
    </row>
    <row r="19" spans="1:9" x14ac:dyDescent="0.2">
      <c r="A19" s="85" t="s">
        <v>23</v>
      </c>
      <c r="B19" s="84" t="s">
        <v>24</v>
      </c>
      <c r="C19" s="84"/>
      <c r="D19" s="84"/>
      <c r="E19" s="84"/>
      <c r="F19" s="84"/>
      <c r="G19" s="84"/>
      <c r="H19" s="84"/>
      <c r="I19" s="84"/>
    </row>
    <row r="20" spans="1:9" s="83" customFormat="1" x14ac:dyDescent="0.2">
      <c r="A20" s="85" t="s">
        <v>26</v>
      </c>
      <c r="B20" s="84" t="s">
        <v>27</v>
      </c>
      <c r="C20" s="84"/>
      <c r="D20" s="84"/>
      <c r="E20" s="84"/>
      <c r="F20" s="84"/>
      <c r="G20" s="84"/>
      <c r="H20" s="84"/>
      <c r="I20" s="84"/>
    </row>
    <row r="21" spans="1:9" s="83" customFormat="1" x14ac:dyDescent="0.2">
      <c r="A21" s="85" t="s">
        <v>28</v>
      </c>
      <c r="B21" s="84" t="s">
        <v>29</v>
      </c>
      <c r="C21" s="84"/>
      <c r="D21" s="84"/>
      <c r="E21" s="84"/>
      <c r="F21" s="84"/>
      <c r="G21" s="84"/>
      <c r="H21" s="84"/>
      <c r="I21" s="84"/>
    </row>
    <row r="22" spans="1:9" s="83" customFormat="1" x14ac:dyDescent="0.2">
      <c r="A22" s="85" t="s">
        <v>30</v>
      </c>
      <c r="B22" s="84" t="s">
        <v>31</v>
      </c>
      <c r="C22" s="84"/>
      <c r="D22" s="84"/>
      <c r="E22" s="84"/>
      <c r="F22" s="84"/>
      <c r="G22" s="84"/>
      <c r="H22" s="84"/>
      <c r="I22" s="84"/>
    </row>
    <row r="23" spans="1:9" s="83" customFormat="1" x14ac:dyDescent="0.2">
      <c r="A23" s="85" t="s">
        <v>32</v>
      </c>
      <c r="B23" s="84" t="s">
        <v>291</v>
      </c>
      <c r="C23" s="84"/>
      <c r="D23" s="84"/>
      <c r="E23" s="84"/>
      <c r="F23" s="84"/>
      <c r="G23" s="84"/>
      <c r="H23" s="84"/>
      <c r="I23" s="84"/>
    </row>
    <row r="24" spans="1:9" s="83" customFormat="1" x14ac:dyDescent="0.2">
      <c r="A24" s="85" t="s">
        <v>33</v>
      </c>
      <c r="B24" s="84" t="s">
        <v>34</v>
      </c>
      <c r="C24" s="84"/>
      <c r="D24" s="84"/>
      <c r="E24" s="84"/>
      <c r="F24" s="84"/>
      <c r="G24" s="84"/>
      <c r="H24" s="84"/>
      <c r="I24" s="84"/>
    </row>
    <row r="25" spans="1:9" s="83" customFormat="1" x14ac:dyDescent="0.2">
      <c r="A25" s="85" t="s">
        <v>35</v>
      </c>
      <c r="B25" s="84" t="s">
        <v>36</v>
      </c>
      <c r="C25" s="84"/>
      <c r="D25" s="84"/>
      <c r="E25" s="84"/>
      <c r="F25" s="84"/>
      <c r="G25" s="84"/>
      <c r="H25" s="84"/>
      <c r="I25" s="84"/>
    </row>
    <row r="26" spans="1:9" s="83" customFormat="1" x14ac:dyDescent="0.2">
      <c r="A26" s="85" t="s">
        <v>37</v>
      </c>
      <c r="B26" s="84" t="s">
        <v>38</v>
      </c>
      <c r="C26" s="84"/>
      <c r="D26" s="84"/>
      <c r="E26" s="84"/>
      <c r="F26" s="84"/>
      <c r="G26" s="84"/>
      <c r="H26" s="84"/>
      <c r="I26" s="84"/>
    </row>
    <row r="27" spans="1:9" s="83" customFormat="1" x14ac:dyDescent="0.2">
      <c r="A27" s="85" t="s">
        <v>39</v>
      </c>
      <c r="B27" s="84" t="s">
        <v>40</v>
      </c>
      <c r="C27" s="84"/>
      <c r="D27" s="84"/>
      <c r="E27" s="84"/>
      <c r="F27" s="84"/>
      <c r="G27" s="84"/>
      <c r="H27" s="84"/>
      <c r="I27" s="84"/>
    </row>
    <row r="28" spans="1:9" s="83" customFormat="1" x14ac:dyDescent="0.2">
      <c r="A28" s="85" t="s">
        <v>41</v>
      </c>
      <c r="B28" s="84" t="s">
        <v>42</v>
      </c>
      <c r="C28" s="84"/>
      <c r="D28" s="84"/>
      <c r="E28" s="84"/>
      <c r="F28" s="84"/>
      <c r="G28" s="84"/>
      <c r="H28" s="84"/>
      <c r="I28" s="84"/>
    </row>
    <row r="29" spans="1:9" s="83" customFormat="1" x14ac:dyDescent="0.2">
      <c r="A29" s="85" t="s">
        <v>43</v>
      </c>
      <c r="B29" s="84" t="s">
        <v>44</v>
      </c>
      <c r="C29" s="84"/>
      <c r="D29" s="84"/>
      <c r="E29" s="84"/>
      <c r="F29" s="84"/>
      <c r="G29" s="84"/>
      <c r="H29" s="84"/>
      <c r="I29" s="84"/>
    </row>
    <row r="30" spans="1:9" x14ac:dyDescent="0.2">
      <c r="A30" s="59"/>
      <c r="B30" s="82"/>
      <c r="C30" s="61"/>
    </row>
    <row r="31" spans="1:9" x14ac:dyDescent="0.2">
      <c r="A31" s="81"/>
    </row>
    <row r="32" spans="1:9" x14ac:dyDescent="0.2">
      <c r="A32" s="72" t="s">
        <v>45</v>
      </c>
      <c r="B32" s="80"/>
    </row>
    <row r="33" spans="1:17" hidden="1" x14ac:dyDescent="0.2">
      <c r="A33" s="79" t="s">
        <v>46</v>
      </c>
      <c r="B33" s="23" t="s">
        <v>368</v>
      </c>
      <c r="C33" s="78"/>
    </row>
    <row r="34" spans="1:17" x14ac:dyDescent="0.2">
      <c r="A34" s="77" t="s">
        <v>47</v>
      </c>
      <c r="B34" s="56" t="s">
        <v>365</v>
      </c>
    </row>
    <row r="35" spans="1:17" x14ac:dyDescent="0.2">
      <c r="A35" s="76" t="s">
        <v>48</v>
      </c>
      <c r="B35" s="75">
        <v>39624</v>
      </c>
    </row>
    <row r="36" spans="1:17" x14ac:dyDescent="0.2">
      <c r="A36" s="76" t="s">
        <v>49</v>
      </c>
      <c r="B36" s="75">
        <v>39670</v>
      </c>
    </row>
    <row r="37" spans="1:17" x14ac:dyDescent="0.2">
      <c r="A37" s="74" t="s">
        <v>50</v>
      </c>
      <c r="B37" s="56">
        <v>1392</v>
      </c>
    </row>
    <row r="38" spans="1:17" ht="25.5" x14ac:dyDescent="0.2">
      <c r="A38" s="74" t="s">
        <v>51</v>
      </c>
      <c r="B38" s="56" t="s">
        <v>366</v>
      </c>
    </row>
    <row r="39" spans="1:17" x14ac:dyDescent="0.2">
      <c r="A39" s="74" t="s">
        <v>52</v>
      </c>
      <c r="B39" s="56">
        <v>1</v>
      </c>
      <c r="C39" s="25" t="s">
        <v>53</v>
      </c>
    </row>
    <row r="40" spans="1:17" x14ac:dyDescent="0.2">
      <c r="A40" s="63" t="s">
        <v>54</v>
      </c>
      <c r="B40" s="56"/>
    </row>
    <row r="41" spans="1:17" ht="25.5" x14ac:dyDescent="0.2">
      <c r="A41" s="63" t="s">
        <v>55</v>
      </c>
      <c r="B41" s="56" t="s">
        <v>367</v>
      </c>
    </row>
    <row r="42" spans="1:17" ht="25.5" x14ac:dyDescent="0.2">
      <c r="A42" s="74" t="s">
        <v>56</v>
      </c>
      <c r="B42" s="56" t="s">
        <v>370</v>
      </c>
    </row>
    <row r="43" spans="1:17" x14ac:dyDescent="0.2">
      <c r="A43" s="74"/>
      <c r="B43" s="56" t="s">
        <v>1679</v>
      </c>
    </row>
    <row r="44" spans="1:17" x14ac:dyDescent="0.2">
      <c r="A44" s="74"/>
      <c r="B44" s="56"/>
    </row>
    <row r="45" spans="1:17" x14ac:dyDescent="0.2">
      <c r="A45" s="74"/>
      <c r="B45" s="56"/>
    </row>
    <row r="46" spans="1:17" x14ac:dyDescent="0.2">
      <c r="A46" s="73"/>
      <c r="I46" s="24" t="s">
        <v>57</v>
      </c>
    </row>
    <row r="47" spans="1:17" x14ac:dyDescent="0.2">
      <c r="A47" s="72" t="s">
        <v>58</v>
      </c>
    </row>
    <row r="48" spans="1:17" x14ac:dyDescent="0.2">
      <c r="A48" s="63" t="s">
        <v>405</v>
      </c>
      <c r="B48" s="71" t="s">
        <v>1674</v>
      </c>
      <c r="C48" s="71" t="s">
        <v>404</v>
      </c>
      <c r="D48" s="71" t="s">
        <v>404</v>
      </c>
      <c r="E48" s="71" t="s">
        <v>404</v>
      </c>
      <c r="F48" s="71" t="s">
        <v>404</v>
      </c>
      <c r="G48" s="71" t="s">
        <v>404</v>
      </c>
      <c r="H48" s="71" t="s">
        <v>404</v>
      </c>
      <c r="I48" s="71" t="s">
        <v>404</v>
      </c>
      <c r="J48" s="25"/>
      <c r="K48" s="25"/>
      <c r="L48" s="25"/>
      <c r="M48" s="25"/>
      <c r="N48" s="25"/>
      <c r="O48" s="25"/>
      <c r="P48" s="25"/>
      <c r="Q48" s="25"/>
    </row>
    <row r="49" spans="1:19" x14ac:dyDescent="0.2">
      <c r="A49" s="63" t="s">
        <v>59</v>
      </c>
      <c r="B49" s="64" t="s">
        <v>292</v>
      </c>
      <c r="C49" s="64" t="str">
        <f t="shared" ref="C49:I49" si="0">IF(ISNA(INDEX(Sites,MATCH(C48,Site_name,0),3)),"Enter Description", INDEX(Sites,MATCH(C48,Site_name,0),3))</f>
        <v>Enter Description</v>
      </c>
      <c r="D49" s="64" t="str">
        <f t="shared" si="0"/>
        <v>Enter Description</v>
      </c>
      <c r="E49" s="64" t="str">
        <f t="shared" si="0"/>
        <v>Enter Description</v>
      </c>
      <c r="F49" s="64" t="str">
        <f t="shared" si="0"/>
        <v>Enter Description</v>
      </c>
      <c r="G49" s="64" t="str">
        <f t="shared" si="0"/>
        <v>Enter Description</v>
      </c>
      <c r="H49" s="64" t="str">
        <f t="shared" si="0"/>
        <v>Enter Description</v>
      </c>
      <c r="I49" s="64" t="str">
        <f t="shared" si="0"/>
        <v>Enter Description</v>
      </c>
      <c r="J49" s="25"/>
      <c r="K49" s="25"/>
      <c r="L49" s="25"/>
      <c r="M49" s="25"/>
      <c r="N49" s="25"/>
      <c r="O49" s="25"/>
    </row>
    <row r="50" spans="1:19" x14ac:dyDescent="0.2">
      <c r="A50" s="70" t="s">
        <v>60</v>
      </c>
      <c r="C50" s="26"/>
      <c r="D50" s="26"/>
      <c r="E50" s="26"/>
      <c r="F50" s="26"/>
      <c r="G50" s="26"/>
      <c r="H50" s="26"/>
      <c r="I50" s="26"/>
    </row>
    <row r="51" spans="1:19" x14ac:dyDescent="0.2">
      <c r="A51" s="68" t="s">
        <v>61</v>
      </c>
      <c r="B51" s="56">
        <v>-150.90848</v>
      </c>
      <c r="C51" s="56"/>
      <c r="D51" s="56"/>
      <c r="E51" s="56"/>
      <c r="F51" s="56"/>
      <c r="G51" s="56"/>
      <c r="H51" s="56"/>
      <c r="I51" s="56"/>
      <c r="J51" s="25"/>
      <c r="K51" s="25"/>
      <c r="L51" s="25"/>
      <c r="M51" s="25"/>
      <c r="N51" s="25"/>
      <c r="O51" s="25"/>
      <c r="P51" s="25"/>
      <c r="Q51" s="25"/>
      <c r="R51" s="25"/>
      <c r="S51" s="25"/>
    </row>
    <row r="52" spans="1:19" x14ac:dyDescent="0.2">
      <c r="A52" s="68" t="s">
        <v>62</v>
      </c>
      <c r="B52" s="69">
        <v>-148.72081</v>
      </c>
      <c r="C52" s="69"/>
      <c r="D52" s="69"/>
      <c r="E52" s="69"/>
      <c r="F52" s="69"/>
      <c r="G52" s="69"/>
      <c r="H52" s="69"/>
      <c r="I52" s="69"/>
      <c r="J52" s="25"/>
      <c r="K52" s="25"/>
      <c r="L52" s="25"/>
      <c r="M52" s="25"/>
      <c r="N52" s="25"/>
      <c r="O52" s="25"/>
      <c r="P52" s="25"/>
      <c r="Q52" s="25"/>
      <c r="R52" s="25"/>
      <c r="S52" s="25"/>
    </row>
    <row r="53" spans="1:19" x14ac:dyDescent="0.2">
      <c r="A53" s="68" t="s">
        <v>63</v>
      </c>
      <c r="B53" s="56">
        <v>69.411519999999996</v>
      </c>
      <c r="C53" s="56"/>
      <c r="D53" s="56"/>
      <c r="E53" s="56"/>
      <c r="F53" s="56"/>
      <c r="G53" s="56"/>
      <c r="H53" s="56"/>
      <c r="I53" s="56"/>
      <c r="J53" s="25"/>
      <c r="K53" s="25"/>
      <c r="L53" s="25"/>
      <c r="M53" s="25"/>
      <c r="N53" s="25"/>
      <c r="O53" s="25"/>
      <c r="P53" s="25"/>
      <c r="Q53" s="25"/>
      <c r="R53" s="25"/>
      <c r="S53" s="25"/>
    </row>
    <row r="54" spans="1:19" x14ac:dyDescent="0.2">
      <c r="A54" s="68" t="s">
        <v>64</v>
      </c>
      <c r="B54" s="67">
        <v>68.622829999999993</v>
      </c>
      <c r="C54" s="67"/>
      <c r="D54" s="67"/>
      <c r="E54" s="67"/>
      <c r="F54" s="67"/>
      <c r="G54" s="67"/>
      <c r="H54" s="67"/>
      <c r="I54" s="67"/>
      <c r="J54" s="25"/>
      <c r="K54" s="25"/>
      <c r="L54" s="25"/>
      <c r="M54" s="25"/>
      <c r="N54" s="25"/>
      <c r="O54" s="25"/>
      <c r="P54" s="25"/>
      <c r="Q54" s="25"/>
      <c r="R54" s="25"/>
      <c r="S54" s="25"/>
    </row>
    <row r="55" spans="1:19" x14ac:dyDescent="0.2">
      <c r="A55" s="66" t="s">
        <v>65</v>
      </c>
      <c r="B55" s="65"/>
      <c r="C55" s="65"/>
      <c r="D55" s="65"/>
      <c r="E55" s="65"/>
      <c r="F55" s="65"/>
      <c r="G55" s="65"/>
      <c r="H55" s="65"/>
      <c r="I55" s="65"/>
    </row>
    <row r="56" spans="1:19" x14ac:dyDescent="0.2">
      <c r="A56" s="63" t="s">
        <v>0</v>
      </c>
      <c r="B56" s="64" t="str">
        <f t="shared" ref="B56:I56" si="1">IF(ISNA(INDEX(Sites,MATCH(B48,Site_name,0),4)),"In Decimal Degrees", INDEX(Sites,MATCH(B48,Site_name,0),4))</f>
        <v>In Decimal Degrees</v>
      </c>
      <c r="C56" s="64" t="str">
        <f t="shared" si="1"/>
        <v>In Decimal Degrees</v>
      </c>
      <c r="D56" s="64" t="str">
        <f t="shared" si="1"/>
        <v>In Decimal Degrees</v>
      </c>
      <c r="E56" s="64" t="str">
        <f t="shared" si="1"/>
        <v>In Decimal Degrees</v>
      </c>
      <c r="F56" s="64" t="str">
        <f t="shared" si="1"/>
        <v>In Decimal Degrees</v>
      </c>
      <c r="G56" s="64" t="str">
        <f t="shared" si="1"/>
        <v>In Decimal Degrees</v>
      </c>
      <c r="H56" s="64" t="str">
        <f t="shared" si="1"/>
        <v>In Decimal Degrees</v>
      </c>
      <c r="I56" s="64" t="str">
        <f t="shared" si="1"/>
        <v>In Decimal Degrees</v>
      </c>
      <c r="J56" s="25"/>
      <c r="K56" s="25"/>
      <c r="L56" s="25"/>
      <c r="M56" s="25"/>
      <c r="N56" s="25"/>
      <c r="O56" s="25"/>
      <c r="P56" s="25"/>
      <c r="Q56" s="25"/>
    </row>
    <row r="57" spans="1:19" x14ac:dyDescent="0.2">
      <c r="A57" s="63" t="s">
        <v>1</v>
      </c>
      <c r="B57" s="64" t="str">
        <f t="shared" ref="B57:I57" si="2">IF(ISNA(INDEX(Sites,MATCH(B48,Site_name,0),5)),"In Decimal Degrees", INDEX(Sites,MATCH(B48,Site_name,0),5))</f>
        <v>In Decimal Degrees</v>
      </c>
      <c r="C57" s="64" t="str">
        <f t="shared" si="2"/>
        <v>In Decimal Degrees</v>
      </c>
      <c r="D57" s="64" t="str">
        <f t="shared" si="2"/>
        <v>In Decimal Degrees</v>
      </c>
      <c r="E57" s="64" t="str">
        <f t="shared" si="2"/>
        <v>In Decimal Degrees</v>
      </c>
      <c r="F57" s="64" t="str">
        <f t="shared" si="2"/>
        <v>In Decimal Degrees</v>
      </c>
      <c r="G57" s="64" t="str">
        <f t="shared" si="2"/>
        <v>In Decimal Degrees</v>
      </c>
      <c r="H57" s="64" t="str">
        <f t="shared" si="2"/>
        <v>In Decimal Degrees</v>
      </c>
      <c r="I57" s="64" t="str">
        <f t="shared" si="2"/>
        <v>In Decimal Degrees</v>
      </c>
      <c r="J57" s="25"/>
      <c r="K57" s="25"/>
      <c r="L57" s="25"/>
      <c r="M57" s="25"/>
      <c r="N57" s="25"/>
      <c r="O57" s="25"/>
      <c r="P57" s="25"/>
      <c r="Q57" s="25"/>
    </row>
    <row r="58" spans="1:19" x14ac:dyDescent="0.2">
      <c r="A58" s="63" t="s">
        <v>2</v>
      </c>
      <c r="B58" s="64" t="str">
        <f t="shared" ref="B58:I58" si="3">IF(ISNA(INDEX(Sites,MATCH(B48,Site_name,0),6)),"In Meters", INDEX(Sites,MATCH(B48,Site_name,0),6))</f>
        <v>In Meters</v>
      </c>
      <c r="C58" s="64" t="str">
        <f t="shared" si="3"/>
        <v>In Meters</v>
      </c>
      <c r="D58" s="64" t="str">
        <f t="shared" si="3"/>
        <v>In Meters</v>
      </c>
      <c r="E58" s="64" t="str">
        <f t="shared" si="3"/>
        <v>In Meters</v>
      </c>
      <c r="F58" s="64" t="str">
        <f t="shared" si="3"/>
        <v>In Meters</v>
      </c>
      <c r="G58" s="64" t="str">
        <f t="shared" si="3"/>
        <v>In Meters</v>
      </c>
      <c r="H58" s="64" t="str">
        <f t="shared" si="3"/>
        <v>In Meters</v>
      </c>
      <c r="I58" s="64" t="str">
        <f t="shared" si="3"/>
        <v>In Meters</v>
      </c>
      <c r="J58" s="25"/>
      <c r="K58" s="25"/>
      <c r="L58" s="25"/>
      <c r="M58" s="25"/>
      <c r="N58" s="25"/>
      <c r="O58" s="25"/>
      <c r="P58" s="25"/>
      <c r="Q58" s="25"/>
    </row>
    <row r="59" spans="1:19" x14ac:dyDescent="0.2">
      <c r="A59" s="63" t="s">
        <v>403</v>
      </c>
      <c r="B59" s="62" t="str">
        <f t="shared" ref="B59:I59" si="4">IF(ISNUMBER(B$56),HYPERLINK("http://maps.google.com/maps?q="&amp;B56&amp;","&amp;B57,"View on Google Map"),"")</f>
        <v/>
      </c>
      <c r="C59" s="62" t="str">
        <f t="shared" si="4"/>
        <v/>
      </c>
      <c r="D59" s="62" t="str">
        <f t="shared" si="4"/>
        <v/>
      </c>
      <c r="E59" s="62" t="str">
        <f t="shared" si="4"/>
        <v/>
      </c>
      <c r="F59" s="62" t="str">
        <f t="shared" si="4"/>
        <v/>
      </c>
      <c r="G59" s="62" t="str">
        <f t="shared" si="4"/>
        <v/>
      </c>
      <c r="H59" s="62" t="str">
        <f t="shared" si="4"/>
        <v/>
      </c>
      <c r="I59" s="62" t="str">
        <f t="shared" si="4"/>
        <v/>
      </c>
    </row>
    <row r="60" spans="1:19" x14ac:dyDescent="0.2">
      <c r="A60" s="35"/>
      <c r="B60" s="34"/>
      <c r="C60" s="34"/>
      <c r="D60" s="34"/>
    </row>
    <row r="61" spans="1:19" x14ac:dyDescent="0.2">
      <c r="A61" s="58" t="s">
        <v>66</v>
      </c>
      <c r="B61" s="34"/>
      <c r="C61" s="61"/>
    </row>
    <row r="62" spans="1:19" x14ac:dyDescent="0.2">
      <c r="A62" s="60" t="s">
        <v>67</v>
      </c>
      <c r="B62" s="56" t="s">
        <v>293</v>
      </c>
      <c r="C62" s="25" t="s">
        <v>68</v>
      </c>
    </row>
    <row r="63" spans="1:19" x14ac:dyDescent="0.2">
      <c r="A63" s="59"/>
    </row>
    <row r="64" spans="1:19" x14ac:dyDescent="0.2">
      <c r="A64" s="58" t="s">
        <v>69</v>
      </c>
    </row>
    <row r="65" spans="1:2" ht="38.25" x14ac:dyDescent="0.2">
      <c r="A65" s="57" t="s">
        <v>70</v>
      </c>
      <c r="B65" s="56" t="s">
        <v>297</v>
      </c>
    </row>
    <row r="66" spans="1:2" x14ac:dyDescent="0.2">
      <c r="A66" s="35"/>
      <c r="B66" s="34"/>
    </row>
    <row r="67" spans="1:2" s="37" customFormat="1" ht="15" x14ac:dyDescent="0.2">
      <c r="A67" s="36"/>
      <c r="B67" s="55"/>
    </row>
    <row r="68" spans="1:2" ht="15" x14ac:dyDescent="0.2">
      <c r="A68" s="33" t="s">
        <v>71</v>
      </c>
      <c r="B68" s="54"/>
    </row>
    <row r="69" spans="1:2" s="37" customFormat="1" x14ac:dyDescent="0.2">
      <c r="A69" s="53"/>
    </row>
    <row r="70" spans="1:2" s="37" customFormat="1" x14ac:dyDescent="0.2">
      <c r="A70" s="36"/>
      <c r="B70" s="52"/>
    </row>
    <row r="71" spans="1:2" s="37" customFormat="1" x14ac:dyDescent="0.2">
      <c r="A71" s="36"/>
    </row>
    <row r="72" spans="1:2" s="37" customFormat="1" x14ac:dyDescent="0.2">
      <c r="A72" s="36"/>
    </row>
    <row r="73" spans="1:2" s="37" customFormat="1" x14ac:dyDescent="0.2">
      <c r="A73" s="36"/>
    </row>
    <row r="74" spans="1:2" s="37" customFormat="1" x14ac:dyDescent="0.2">
      <c r="A74" s="36"/>
    </row>
    <row r="75" spans="1:2" s="37" customFormat="1" x14ac:dyDescent="0.2">
      <c r="A75" s="36"/>
    </row>
    <row r="76" spans="1:2" s="37" customFormat="1" x14ac:dyDescent="0.2">
      <c r="A76" s="36"/>
    </row>
    <row r="77" spans="1:2" s="37" customFormat="1" x14ac:dyDescent="0.2">
      <c r="A77" s="36"/>
    </row>
    <row r="78" spans="1:2" s="37" customFormat="1" x14ac:dyDescent="0.2">
      <c r="A78" s="36"/>
    </row>
    <row r="79" spans="1:2" s="37" customFormat="1" x14ac:dyDescent="0.2">
      <c r="A79" s="36"/>
    </row>
    <row r="80" spans="1:2" s="37" customFormat="1" x14ac:dyDescent="0.2">
      <c r="A80" s="36"/>
    </row>
    <row r="81" spans="1:2" s="37" customFormat="1" x14ac:dyDescent="0.2">
      <c r="A81" s="36"/>
    </row>
    <row r="82" spans="1:2" s="37" customFormat="1" x14ac:dyDescent="0.2">
      <c r="A82" s="36"/>
    </row>
    <row r="83" spans="1:2" s="37" customFormat="1" x14ac:dyDescent="0.2">
      <c r="A83" s="36"/>
    </row>
    <row r="84" spans="1:2" s="37" customFormat="1" x14ac:dyDescent="0.2">
      <c r="A84" s="36"/>
    </row>
    <row r="85" spans="1:2" s="37" customFormat="1" x14ac:dyDescent="0.2">
      <c r="A85" s="36"/>
    </row>
    <row r="86" spans="1:2" s="37" customFormat="1" x14ac:dyDescent="0.2">
      <c r="A86" s="36"/>
    </row>
    <row r="87" spans="1:2" s="37" customFormat="1" x14ac:dyDescent="0.2">
      <c r="A87" s="36"/>
    </row>
    <row r="88" spans="1:2" s="37" customFormat="1" x14ac:dyDescent="0.2">
      <c r="A88" s="36"/>
    </row>
    <row r="89" spans="1:2" s="37" customFormat="1" x14ac:dyDescent="0.2">
      <c r="A89" s="36"/>
    </row>
    <row r="90" spans="1:2" s="37" customFormat="1" x14ac:dyDescent="0.2">
      <c r="A90" s="36"/>
    </row>
    <row r="91" spans="1:2" s="37" customFormat="1" x14ac:dyDescent="0.2">
      <c r="A91" s="36"/>
    </row>
    <row r="92" spans="1:2" s="37" customFormat="1" x14ac:dyDescent="0.2">
      <c r="A92" s="36"/>
    </row>
    <row r="93" spans="1:2" s="37" customFormat="1" x14ac:dyDescent="0.2">
      <c r="A93" s="36"/>
      <c r="B93" s="48"/>
    </row>
    <row r="94" spans="1:2" s="37" customFormat="1" x14ac:dyDescent="0.2">
      <c r="A94" s="36"/>
      <c r="B94" s="48"/>
    </row>
    <row r="95" spans="1:2" s="37" customFormat="1" x14ac:dyDescent="0.2">
      <c r="A95" s="36"/>
      <c r="B95" s="48"/>
    </row>
    <row r="96" spans="1:2" s="37" customFormat="1" x14ac:dyDescent="0.2">
      <c r="A96" s="36"/>
      <c r="B96" s="48"/>
    </row>
    <row r="97" spans="1:2" s="37" customFormat="1" x14ac:dyDescent="0.2">
      <c r="A97" s="36"/>
      <c r="B97" s="48"/>
    </row>
    <row r="98" spans="1:2" s="37" customFormat="1" x14ac:dyDescent="0.2">
      <c r="A98" s="36"/>
      <c r="B98" s="48"/>
    </row>
    <row r="99" spans="1:2" s="37" customFormat="1" x14ac:dyDescent="0.2">
      <c r="A99" s="36"/>
      <c r="B99" s="48"/>
    </row>
    <row r="100" spans="1:2" s="37" customFormat="1" x14ac:dyDescent="0.2">
      <c r="A100" s="36"/>
      <c r="B100" s="48"/>
    </row>
    <row r="101" spans="1:2" s="37" customFormat="1" x14ac:dyDescent="0.2">
      <c r="A101" s="36"/>
      <c r="B101" s="48"/>
    </row>
    <row r="102" spans="1:2" s="37" customFormat="1" x14ac:dyDescent="0.2">
      <c r="A102" s="36"/>
      <c r="B102" s="48"/>
    </row>
    <row r="103" spans="1:2" s="37" customFormat="1" x14ac:dyDescent="0.2">
      <c r="A103" s="36"/>
      <c r="B103" s="48"/>
    </row>
    <row r="104" spans="1:2" s="37" customFormat="1" x14ac:dyDescent="0.2">
      <c r="A104" s="36"/>
      <c r="B104" s="48"/>
    </row>
    <row r="105" spans="1:2" s="37" customFormat="1" x14ac:dyDescent="0.2">
      <c r="A105" s="36"/>
      <c r="B105" s="48"/>
    </row>
    <row r="106" spans="1:2" s="37" customFormat="1" x14ac:dyDescent="0.2">
      <c r="A106" s="36"/>
      <c r="B106" s="48"/>
    </row>
    <row r="107" spans="1:2" s="37" customFormat="1" x14ac:dyDescent="0.2">
      <c r="A107" s="36"/>
      <c r="B107" s="48"/>
    </row>
    <row r="108" spans="1:2" s="37" customFormat="1" x14ac:dyDescent="0.2">
      <c r="A108" s="36"/>
      <c r="B108" s="48"/>
    </row>
    <row r="109" spans="1:2" s="37" customFormat="1" x14ac:dyDescent="0.2">
      <c r="A109" s="36"/>
      <c r="B109" s="48"/>
    </row>
    <row r="110" spans="1:2" s="37" customFormat="1" x14ac:dyDescent="0.2">
      <c r="A110" s="36"/>
      <c r="B110" s="48"/>
    </row>
    <row r="111" spans="1:2" s="37" customFormat="1" x14ac:dyDescent="0.2">
      <c r="A111" s="36"/>
      <c r="B111" s="48"/>
    </row>
    <row r="112" spans="1:2" s="37" customFormat="1" x14ac:dyDescent="0.2">
      <c r="A112" s="36"/>
      <c r="B112" s="48"/>
    </row>
    <row r="113" spans="1:10" s="37" customFormat="1" x14ac:dyDescent="0.2">
      <c r="A113" s="36"/>
      <c r="B113" s="48"/>
    </row>
    <row r="114" spans="1:10" s="37" customFormat="1" x14ac:dyDescent="0.2">
      <c r="A114" s="36"/>
      <c r="B114" s="48"/>
    </row>
    <row r="115" spans="1:10" s="37" customFormat="1" x14ac:dyDescent="0.2">
      <c r="A115" s="36"/>
      <c r="B115" s="48"/>
    </row>
    <row r="116" spans="1:10" s="50" customFormat="1" x14ac:dyDescent="0.2">
      <c r="A116" s="36"/>
      <c r="B116" s="48"/>
      <c r="C116" s="37"/>
      <c r="D116" s="37"/>
      <c r="E116" s="37"/>
      <c r="F116" s="37"/>
      <c r="G116" s="37"/>
      <c r="H116" s="37"/>
      <c r="I116" s="37"/>
      <c r="J116" s="51"/>
    </row>
    <row r="117" spans="1:10" s="37" customFormat="1" x14ac:dyDescent="0.2">
      <c r="A117" s="36"/>
      <c r="B117" s="48"/>
    </row>
    <row r="118" spans="1:10" s="37" customFormat="1" x14ac:dyDescent="0.2">
      <c r="A118" s="36"/>
      <c r="B118" s="48"/>
    </row>
    <row r="119" spans="1:10" s="37" customFormat="1" x14ac:dyDescent="0.2">
      <c r="A119" s="36"/>
      <c r="B119" s="48"/>
    </row>
    <row r="120" spans="1:10" s="37" customFormat="1" x14ac:dyDescent="0.2">
      <c r="A120" s="36"/>
      <c r="B120" s="48"/>
    </row>
    <row r="121" spans="1:10" s="37" customFormat="1" x14ac:dyDescent="0.2">
      <c r="A121" s="36"/>
      <c r="B121" s="48"/>
    </row>
    <row r="122" spans="1:10" s="37" customFormat="1" x14ac:dyDescent="0.2">
      <c r="A122" s="36"/>
      <c r="B122" s="48"/>
    </row>
    <row r="123" spans="1:10" s="37" customFormat="1" x14ac:dyDescent="0.2">
      <c r="A123" s="36"/>
      <c r="B123" s="48"/>
    </row>
    <row r="124" spans="1:10" s="37" customFormat="1" x14ac:dyDescent="0.2">
      <c r="A124" s="36"/>
      <c r="B124" s="48"/>
    </row>
    <row r="125" spans="1:10" s="37" customFormat="1" x14ac:dyDescent="0.2">
      <c r="A125" s="36"/>
      <c r="B125" s="48"/>
    </row>
    <row r="126" spans="1:10" s="37" customFormat="1" x14ac:dyDescent="0.2">
      <c r="A126" s="36"/>
      <c r="B126" s="48"/>
    </row>
    <row r="127" spans="1:10" s="37" customFormat="1" x14ac:dyDescent="0.2">
      <c r="A127" s="36"/>
      <c r="B127" s="48"/>
    </row>
    <row r="128" spans="1:10" s="37" customFormat="1" x14ac:dyDescent="0.2">
      <c r="A128" s="36"/>
      <c r="B128" s="48"/>
    </row>
    <row r="129" spans="1:14" s="37" customFormat="1" x14ac:dyDescent="0.2">
      <c r="A129" s="36"/>
      <c r="B129" s="49"/>
    </row>
    <row r="130" spans="1:14" s="37" customFormat="1" ht="13.5" thickBot="1" x14ac:dyDescent="0.25">
      <c r="A130" s="36"/>
      <c r="B130" s="48"/>
    </row>
    <row r="131" spans="1:14" s="37" customFormat="1" ht="13.5" thickBot="1" x14ac:dyDescent="0.25">
      <c r="A131" s="47" t="s">
        <v>72</v>
      </c>
      <c r="B131" s="46"/>
    </row>
    <row r="132" spans="1:14" s="37" customFormat="1" x14ac:dyDescent="0.2">
      <c r="A132" s="45" t="s">
        <v>73</v>
      </c>
      <c r="B132" s="44"/>
      <c r="C132" s="43"/>
    </row>
    <row r="133" spans="1:14" s="37" customFormat="1" x14ac:dyDescent="0.2">
      <c r="A133" s="42" t="s">
        <v>74</v>
      </c>
      <c r="B133" s="41"/>
      <c r="C133" s="40"/>
      <c r="D133" s="37" t="s">
        <v>295</v>
      </c>
    </row>
    <row r="134" spans="1:14" s="37" customFormat="1" x14ac:dyDescent="0.2">
      <c r="A134" s="38" t="s">
        <v>75</v>
      </c>
      <c r="B134" s="26"/>
    </row>
    <row r="135" spans="1:14" s="37" customFormat="1" x14ac:dyDescent="0.2">
      <c r="A135" s="39" t="s">
        <v>76</v>
      </c>
      <c r="B135" s="26"/>
    </row>
    <row r="136" spans="1:14" s="37" customFormat="1" x14ac:dyDescent="0.2">
      <c r="A136" s="38"/>
      <c r="B136" s="26"/>
    </row>
    <row r="137" spans="1:14" s="37" customFormat="1" x14ac:dyDescent="0.2">
      <c r="A137" s="38"/>
      <c r="B137" s="26"/>
    </row>
    <row r="138" spans="1:14" s="37" customFormat="1" x14ac:dyDescent="0.2">
      <c r="A138" s="38"/>
      <c r="B138" s="26"/>
    </row>
    <row r="139" spans="1:14" x14ac:dyDescent="0.2">
      <c r="A139" s="36"/>
      <c r="C139" s="35"/>
      <c r="D139" s="34"/>
    </row>
    <row r="140" spans="1:14" x14ac:dyDescent="0.2">
      <c r="A140" s="36"/>
      <c r="C140" s="35"/>
      <c r="D140" s="34"/>
    </row>
    <row r="141" spans="1:14" x14ac:dyDescent="0.2">
      <c r="A141" s="36"/>
      <c r="C141" s="35"/>
      <c r="D141" s="34"/>
    </row>
    <row r="142" spans="1:14" x14ac:dyDescent="0.2">
      <c r="A142" s="33" t="s">
        <v>77</v>
      </c>
      <c r="K142" s="32" t="s">
        <v>78</v>
      </c>
    </row>
    <row r="143" spans="1:14" ht="28.15" customHeight="1" x14ac:dyDescent="0.2">
      <c r="A143" s="1" t="s">
        <v>79</v>
      </c>
      <c r="B143" s="1" t="s">
        <v>80</v>
      </c>
      <c r="C143" s="1" t="s">
        <v>81</v>
      </c>
      <c r="D143" s="2" t="s">
        <v>82</v>
      </c>
      <c r="E143" s="1" t="s">
        <v>83</v>
      </c>
      <c r="F143" s="1" t="s">
        <v>84</v>
      </c>
      <c r="G143" s="1" t="s">
        <v>85</v>
      </c>
      <c r="H143" s="31"/>
      <c r="I143" s="31"/>
      <c r="K143" s="30" t="s">
        <v>23</v>
      </c>
      <c r="L143" s="30" t="s">
        <v>86</v>
      </c>
      <c r="M143" s="30" t="s">
        <v>87</v>
      </c>
      <c r="N143" s="30" t="s">
        <v>88</v>
      </c>
    </row>
    <row r="144" spans="1:14" x14ac:dyDescent="0.2">
      <c r="A144" s="4" t="s">
        <v>6</v>
      </c>
      <c r="B144" s="3" t="s">
        <v>294</v>
      </c>
      <c r="C144" s="3" t="s">
        <v>90</v>
      </c>
      <c r="D144" s="3"/>
      <c r="E144" s="3"/>
      <c r="F144" s="3"/>
      <c r="G144" s="3"/>
      <c r="H144" s="3"/>
      <c r="I144" s="3"/>
      <c r="L144" s="24" t="s">
        <v>4</v>
      </c>
      <c r="M144" s="29"/>
    </row>
    <row r="145" spans="1:14" x14ac:dyDescent="0.2">
      <c r="A145" s="4" t="s">
        <v>97</v>
      </c>
      <c r="B145" s="3" t="s">
        <v>357</v>
      </c>
      <c r="C145" s="3" t="s">
        <v>89</v>
      </c>
      <c r="D145" s="3" t="s">
        <v>89</v>
      </c>
      <c r="E145" s="3"/>
      <c r="F145" s="3"/>
      <c r="G145" s="3" t="s">
        <v>1678</v>
      </c>
      <c r="H145" s="3"/>
      <c r="I145" s="3"/>
      <c r="K145" s="24" t="s">
        <v>24</v>
      </c>
      <c r="L145" s="24" t="s">
        <v>91</v>
      </c>
      <c r="M145" s="24" t="s">
        <v>90</v>
      </c>
      <c r="N145" s="24" t="s">
        <v>402</v>
      </c>
    </row>
    <row r="146" spans="1:14" x14ac:dyDescent="0.2">
      <c r="A146" s="4" t="s">
        <v>3</v>
      </c>
      <c r="B146" s="3" t="s">
        <v>358</v>
      </c>
      <c r="C146" s="3" t="s">
        <v>90</v>
      </c>
      <c r="D146" s="3"/>
      <c r="E146" s="3"/>
      <c r="F146" s="3"/>
      <c r="G146" s="3"/>
      <c r="H146" s="3"/>
      <c r="I146" s="3"/>
      <c r="K146" s="24" t="s">
        <v>25</v>
      </c>
      <c r="L146" s="24" t="s">
        <v>92</v>
      </c>
      <c r="M146" s="24" t="s">
        <v>89</v>
      </c>
      <c r="N146" s="24" t="s">
        <v>93</v>
      </c>
    </row>
    <row r="147" spans="1:14" x14ac:dyDescent="0.2">
      <c r="A147" s="4" t="s">
        <v>352</v>
      </c>
      <c r="B147" s="3" t="s">
        <v>298</v>
      </c>
      <c r="C147" s="3" t="s">
        <v>90</v>
      </c>
      <c r="D147" s="3"/>
      <c r="E147" s="3"/>
      <c r="F147" s="3"/>
      <c r="G147" s="3"/>
      <c r="H147" s="3"/>
      <c r="I147" s="3"/>
      <c r="K147" s="24" t="s">
        <v>94</v>
      </c>
      <c r="L147" s="24" t="s">
        <v>95</v>
      </c>
      <c r="M147" s="24" t="s">
        <v>91</v>
      </c>
      <c r="N147" s="24" t="s">
        <v>96</v>
      </c>
    </row>
    <row r="148" spans="1:14" x14ac:dyDescent="0.2">
      <c r="A148" s="4" t="s">
        <v>299</v>
      </c>
      <c r="B148" s="3" t="s">
        <v>359</v>
      </c>
      <c r="C148" s="3" t="s">
        <v>90</v>
      </c>
      <c r="D148" s="3"/>
      <c r="E148" s="3"/>
      <c r="F148" s="3"/>
      <c r="G148" s="3"/>
      <c r="H148" s="3"/>
      <c r="I148" s="3"/>
      <c r="K148" s="24" t="s">
        <v>98</v>
      </c>
      <c r="L148" s="24" t="s">
        <v>99</v>
      </c>
      <c r="N148" s="24" t="s">
        <v>100</v>
      </c>
    </row>
    <row r="149" spans="1:14" x14ac:dyDescent="0.2">
      <c r="A149" s="4" t="s">
        <v>300</v>
      </c>
      <c r="B149" s="3" t="s">
        <v>301</v>
      </c>
      <c r="C149" s="3" t="s">
        <v>90</v>
      </c>
      <c r="D149" s="3"/>
      <c r="E149" s="3"/>
      <c r="F149" s="3"/>
      <c r="G149" s="3"/>
      <c r="H149" s="3"/>
      <c r="I149" s="3"/>
      <c r="K149" s="24" t="s">
        <v>101</v>
      </c>
      <c r="L149" s="24" t="s">
        <v>102</v>
      </c>
      <c r="N149" s="24" t="s">
        <v>103</v>
      </c>
    </row>
    <row r="150" spans="1:14" x14ac:dyDescent="0.2">
      <c r="A150" s="4" t="s">
        <v>356</v>
      </c>
      <c r="B150" s="3" t="s">
        <v>360</v>
      </c>
      <c r="C150" s="3" t="s">
        <v>89</v>
      </c>
      <c r="D150" s="3" t="s">
        <v>89</v>
      </c>
      <c r="E150" s="3"/>
      <c r="F150" s="3"/>
      <c r="G150" s="3" t="s">
        <v>1678</v>
      </c>
      <c r="H150" s="3"/>
      <c r="I150" s="3"/>
      <c r="N150" s="24" t="s">
        <v>104</v>
      </c>
    </row>
    <row r="151" spans="1:14" x14ac:dyDescent="0.2">
      <c r="A151" s="4" t="s">
        <v>314</v>
      </c>
      <c r="B151" s="3" t="s">
        <v>302</v>
      </c>
      <c r="C151" s="3" t="s">
        <v>89</v>
      </c>
      <c r="D151" s="3" t="s">
        <v>107</v>
      </c>
      <c r="E151" s="3"/>
      <c r="F151" s="3"/>
      <c r="G151" s="3" t="s">
        <v>1678</v>
      </c>
      <c r="H151" s="3"/>
      <c r="I151" s="3"/>
      <c r="N151" s="24" t="s">
        <v>105</v>
      </c>
    </row>
    <row r="152" spans="1:14" x14ac:dyDescent="0.2">
      <c r="A152" s="4" t="s">
        <v>303</v>
      </c>
      <c r="B152" s="3" t="s">
        <v>304</v>
      </c>
      <c r="C152" s="3" t="s">
        <v>90</v>
      </c>
      <c r="D152" s="3"/>
      <c r="E152" s="3"/>
      <c r="F152" s="3"/>
      <c r="G152" s="3"/>
      <c r="H152" s="3"/>
      <c r="I152" s="3"/>
      <c r="N152" s="24" t="s">
        <v>106</v>
      </c>
    </row>
    <row r="153" spans="1:14" x14ac:dyDescent="0.2">
      <c r="A153" s="4" t="s">
        <v>401</v>
      </c>
      <c r="B153" s="3" t="s">
        <v>306</v>
      </c>
      <c r="C153" s="3" t="s">
        <v>89</v>
      </c>
      <c r="D153" s="3" t="s">
        <v>115</v>
      </c>
      <c r="E153" s="3"/>
      <c r="F153" s="3"/>
      <c r="G153" s="3" t="s">
        <v>1678</v>
      </c>
      <c r="H153" s="3"/>
      <c r="I153" s="3"/>
      <c r="N153" s="24" t="s">
        <v>400</v>
      </c>
    </row>
    <row r="154" spans="1:14" x14ac:dyDescent="0.2">
      <c r="A154" s="4" t="s">
        <v>399</v>
      </c>
      <c r="B154" s="3" t="s">
        <v>308</v>
      </c>
      <c r="C154" s="3" t="s">
        <v>89</v>
      </c>
      <c r="D154" s="3" t="s">
        <v>115</v>
      </c>
      <c r="E154" s="3"/>
      <c r="F154" s="3"/>
      <c r="G154" s="3" t="s">
        <v>1678</v>
      </c>
      <c r="H154" s="3"/>
      <c r="I154" s="3"/>
      <c r="N154" s="24" t="s">
        <v>108</v>
      </c>
    </row>
    <row r="155" spans="1:14" ht="25.5" x14ac:dyDescent="0.2">
      <c r="A155" s="4" t="s">
        <v>315</v>
      </c>
      <c r="B155" s="3" t="s">
        <v>361</v>
      </c>
      <c r="C155" s="3" t="s">
        <v>89</v>
      </c>
      <c r="D155" s="3" t="s">
        <v>89</v>
      </c>
      <c r="E155" s="3"/>
      <c r="F155" s="3"/>
      <c r="G155" s="3" t="s">
        <v>1678</v>
      </c>
      <c r="H155" s="3"/>
      <c r="I155" s="3"/>
      <c r="N155" s="24" t="s">
        <v>109</v>
      </c>
    </row>
    <row r="156" spans="1:14" x14ac:dyDescent="0.2">
      <c r="A156" s="4" t="s">
        <v>309</v>
      </c>
      <c r="B156" s="3" t="s">
        <v>362</v>
      </c>
      <c r="C156" s="3" t="s">
        <v>89</v>
      </c>
      <c r="D156" s="3" t="s">
        <v>121</v>
      </c>
      <c r="E156" s="3"/>
      <c r="F156" s="3"/>
      <c r="G156" s="3" t="s">
        <v>1678</v>
      </c>
      <c r="H156" s="3"/>
      <c r="I156" s="3"/>
      <c r="N156" s="24" t="s">
        <v>110</v>
      </c>
    </row>
    <row r="157" spans="1:14" x14ac:dyDescent="0.2">
      <c r="A157" s="4" t="s">
        <v>310</v>
      </c>
      <c r="B157" s="3" t="s">
        <v>363</v>
      </c>
      <c r="C157" s="3" t="s">
        <v>89</v>
      </c>
      <c r="D157" s="3" t="s">
        <v>130</v>
      </c>
      <c r="E157" s="3"/>
      <c r="F157" s="3"/>
      <c r="G157" s="3" t="s">
        <v>1678</v>
      </c>
      <c r="H157" s="3"/>
      <c r="I157" s="3"/>
      <c r="N157" s="24" t="s">
        <v>111</v>
      </c>
    </row>
    <row r="158" spans="1:14" x14ac:dyDescent="0.2">
      <c r="A158" s="4" t="s">
        <v>311</v>
      </c>
      <c r="B158" s="3" t="s">
        <v>364</v>
      </c>
      <c r="C158" s="3" t="s">
        <v>89</v>
      </c>
      <c r="D158" s="3" t="s">
        <v>130</v>
      </c>
      <c r="E158" s="3"/>
      <c r="F158" s="3"/>
      <c r="G158" s="3" t="s">
        <v>1678</v>
      </c>
      <c r="H158" s="3"/>
      <c r="I158" s="3"/>
      <c r="N158" s="24" t="s">
        <v>113</v>
      </c>
    </row>
    <row r="159" spans="1:14" ht="38.25" x14ac:dyDescent="0.2">
      <c r="A159" s="4" t="s">
        <v>312</v>
      </c>
      <c r="B159" s="3" t="s">
        <v>1676</v>
      </c>
      <c r="C159" s="3" t="s">
        <v>89</v>
      </c>
      <c r="D159" s="3" t="s">
        <v>130</v>
      </c>
      <c r="E159" s="3"/>
      <c r="F159" s="3"/>
      <c r="G159" s="3" t="s">
        <v>1678</v>
      </c>
      <c r="H159" s="3"/>
      <c r="I159" s="3"/>
      <c r="N159" s="24" t="s">
        <v>114</v>
      </c>
    </row>
    <row r="160" spans="1:14" ht="38.25" x14ac:dyDescent="0.2">
      <c r="A160" s="4" t="s">
        <v>313</v>
      </c>
      <c r="B160" s="3" t="s">
        <v>1677</v>
      </c>
      <c r="C160" s="3" t="s">
        <v>89</v>
      </c>
      <c r="D160" s="3" t="s">
        <v>130</v>
      </c>
      <c r="E160" s="3"/>
      <c r="F160" s="3"/>
      <c r="G160" s="3" t="s">
        <v>1678</v>
      </c>
      <c r="H160" s="3"/>
      <c r="I160" s="3"/>
      <c r="N160" s="24" t="s">
        <v>107</v>
      </c>
    </row>
    <row r="161" spans="1:14" x14ac:dyDescent="0.2">
      <c r="A161" s="4"/>
      <c r="B161" s="3"/>
      <c r="C161" s="3"/>
      <c r="D161" s="3"/>
      <c r="E161" s="3"/>
      <c r="F161" s="3"/>
      <c r="G161" s="3"/>
      <c r="H161" s="3"/>
      <c r="I161" s="3"/>
      <c r="N161" s="24" t="s">
        <v>116</v>
      </c>
    </row>
    <row r="162" spans="1:14" x14ac:dyDescent="0.2">
      <c r="A162" s="4"/>
      <c r="B162" s="3"/>
      <c r="C162" s="3"/>
      <c r="D162" s="3"/>
      <c r="E162" s="3"/>
      <c r="F162" s="3"/>
      <c r="G162" s="3"/>
      <c r="H162" s="3"/>
      <c r="I162" s="3"/>
      <c r="N162" s="24" t="s">
        <v>117</v>
      </c>
    </row>
    <row r="163" spans="1:14" x14ac:dyDescent="0.2">
      <c r="A163" s="4"/>
      <c r="B163" s="3"/>
      <c r="C163" s="3"/>
      <c r="D163" s="3"/>
      <c r="E163" s="3"/>
      <c r="F163" s="3"/>
      <c r="G163" s="3"/>
      <c r="H163" s="3"/>
      <c r="I163" s="3"/>
      <c r="N163" s="24" t="s">
        <v>398</v>
      </c>
    </row>
    <row r="164" spans="1:14" x14ac:dyDescent="0.2">
      <c r="A164" s="4"/>
      <c r="B164" s="3"/>
      <c r="C164" s="3"/>
      <c r="D164" s="3"/>
      <c r="E164" s="3"/>
      <c r="F164" s="3"/>
      <c r="G164" s="3"/>
      <c r="H164" s="3"/>
      <c r="I164" s="3"/>
      <c r="N164" s="24" t="s">
        <v>397</v>
      </c>
    </row>
    <row r="165" spans="1:14" x14ac:dyDescent="0.2">
      <c r="A165" s="4"/>
      <c r="B165" s="3"/>
      <c r="C165" s="3"/>
      <c r="D165" s="3"/>
      <c r="E165" s="3"/>
      <c r="F165" s="3"/>
      <c r="G165" s="3"/>
      <c r="H165" s="3"/>
      <c r="I165" s="3"/>
      <c r="N165" s="24" t="s">
        <v>396</v>
      </c>
    </row>
    <row r="166" spans="1:14" x14ac:dyDescent="0.2">
      <c r="A166" s="4"/>
      <c r="B166" s="3"/>
      <c r="C166" s="3"/>
      <c r="D166" s="3"/>
      <c r="E166" s="3"/>
      <c r="F166" s="3"/>
      <c r="G166" s="3"/>
      <c r="H166" s="3"/>
      <c r="I166" s="3"/>
      <c r="N166" s="24" t="s">
        <v>395</v>
      </c>
    </row>
    <row r="167" spans="1:14" x14ac:dyDescent="0.2">
      <c r="A167" s="4"/>
      <c r="B167" s="3"/>
      <c r="C167" s="3"/>
      <c r="D167" s="3"/>
      <c r="E167" s="3"/>
      <c r="F167" s="3"/>
      <c r="G167" s="3"/>
      <c r="H167" s="3"/>
      <c r="I167" s="3"/>
      <c r="N167" s="24" t="s">
        <v>394</v>
      </c>
    </row>
    <row r="168" spans="1:14" x14ac:dyDescent="0.2">
      <c r="A168" s="4"/>
      <c r="B168" s="3"/>
      <c r="C168" s="3"/>
      <c r="D168" s="3"/>
      <c r="E168" s="3"/>
      <c r="F168" s="3"/>
      <c r="G168" s="3"/>
      <c r="H168" s="3"/>
      <c r="I168" s="3"/>
      <c r="N168" s="24" t="s">
        <v>393</v>
      </c>
    </row>
    <row r="169" spans="1:14" x14ac:dyDescent="0.2">
      <c r="A169" s="4"/>
      <c r="B169" s="3"/>
      <c r="C169" s="3"/>
      <c r="D169" s="3"/>
      <c r="E169" s="3"/>
      <c r="F169" s="3"/>
      <c r="G169" s="3"/>
      <c r="H169" s="3"/>
      <c r="I169" s="3"/>
      <c r="N169" s="24" t="s">
        <v>392</v>
      </c>
    </row>
    <row r="170" spans="1:14" x14ac:dyDescent="0.2">
      <c r="A170" s="4"/>
      <c r="B170" s="3"/>
      <c r="C170" s="3"/>
      <c r="D170" s="3"/>
      <c r="E170" s="3"/>
      <c r="F170" s="3"/>
      <c r="G170" s="3"/>
      <c r="H170" s="3"/>
      <c r="I170" s="3"/>
      <c r="N170" s="24" t="s">
        <v>391</v>
      </c>
    </row>
    <row r="171" spans="1:14" x14ac:dyDescent="0.2">
      <c r="A171" s="4"/>
      <c r="B171" s="3"/>
      <c r="C171" s="3"/>
      <c r="D171" s="3"/>
      <c r="E171" s="3"/>
      <c r="F171" s="3"/>
      <c r="G171" s="3"/>
      <c r="H171" s="3"/>
      <c r="I171" s="3"/>
      <c r="N171" s="24" t="s">
        <v>390</v>
      </c>
    </row>
    <row r="172" spans="1:14" x14ac:dyDescent="0.2">
      <c r="A172" s="4"/>
      <c r="B172" s="3"/>
      <c r="C172" s="3"/>
      <c r="D172" s="3"/>
      <c r="E172" s="3"/>
      <c r="F172" s="3"/>
      <c r="G172" s="3"/>
      <c r="H172" s="3"/>
      <c r="I172" s="3"/>
      <c r="N172" s="24" t="s">
        <v>389</v>
      </c>
    </row>
    <row r="173" spans="1:14" x14ac:dyDescent="0.2">
      <c r="A173" s="4"/>
      <c r="B173" s="3"/>
      <c r="C173" s="3"/>
      <c r="D173" s="3"/>
      <c r="E173" s="3"/>
      <c r="F173" s="3"/>
      <c r="G173" s="3"/>
      <c r="H173" s="3"/>
      <c r="I173" s="3"/>
      <c r="N173" s="24" t="s">
        <v>388</v>
      </c>
    </row>
    <row r="174" spans="1:14" x14ac:dyDescent="0.2">
      <c r="A174" s="4"/>
      <c r="B174" s="3"/>
      <c r="C174" s="3"/>
      <c r="D174" s="3"/>
      <c r="E174" s="3"/>
      <c r="F174" s="3"/>
      <c r="G174" s="3"/>
      <c r="H174" s="3"/>
      <c r="I174" s="3"/>
      <c r="N174" s="24" t="s">
        <v>118</v>
      </c>
    </row>
    <row r="175" spans="1:14" x14ac:dyDescent="0.2">
      <c r="A175" s="4"/>
      <c r="B175" s="3"/>
      <c r="C175" s="3"/>
      <c r="D175" s="3"/>
      <c r="E175" s="3"/>
      <c r="F175" s="3"/>
      <c r="G175" s="3"/>
      <c r="H175" s="3"/>
      <c r="I175" s="3"/>
      <c r="N175" s="24" t="s">
        <v>119</v>
      </c>
    </row>
    <row r="176" spans="1:14" x14ac:dyDescent="0.2">
      <c r="A176" s="4"/>
      <c r="B176" s="3"/>
      <c r="C176" s="3"/>
      <c r="D176" s="3"/>
      <c r="E176" s="3"/>
      <c r="F176" s="3"/>
      <c r="G176" s="3"/>
      <c r="H176" s="3"/>
      <c r="I176" s="3"/>
      <c r="N176" s="24" t="s">
        <v>120</v>
      </c>
    </row>
    <row r="177" spans="1:14" x14ac:dyDescent="0.2">
      <c r="A177" s="4"/>
      <c r="B177" s="3"/>
      <c r="C177" s="3"/>
      <c r="D177" s="3"/>
      <c r="E177" s="3"/>
      <c r="F177" s="3"/>
      <c r="G177" s="3"/>
      <c r="H177" s="3"/>
      <c r="I177" s="3"/>
      <c r="N177" s="24" t="s">
        <v>112</v>
      </c>
    </row>
    <row r="178" spans="1:14" x14ac:dyDescent="0.2">
      <c r="A178" s="4"/>
      <c r="B178" s="3"/>
      <c r="C178" s="3"/>
      <c r="D178" s="3"/>
      <c r="E178" s="3"/>
      <c r="F178" s="3"/>
      <c r="G178" s="3"/>
      <c r="H178" s="3"/>
      <c r="I178" s="3"/>
      <c r="N178" s="24" t="s">
        <v>387</v>
      </c>
    </row>
    <row r="179" spans="1:14" x14ac:dyDescent="0.2">
      <c r="A179" s="4"/>
      <c r="B179" s="3"/>
      <c r="C179" s="3"/>
      <c r="D179" s="3"/>
      <c r="E179" s="3"/>
      <c r="F179" s="3"/>
      <c r="G179" s="3"/>
      <c r="H179" s="3"/>
      <c r="I179" s="3"/>
      <c r="N179" s="24" t="s">
        <v>121</v>
      </c>
    </row>
    <row r="180" spans="1:14" x14ac:dyDescent="0.2">
      <c r="A180" s="4"/>
      <c r="B180" s="3"/>
      <c r="C180" s="3"/>
      <c r="D180" s="3"/>
      <c r="E180" s="3"/>
      <c r="F180" s="3"/>
      <c r="G180" s="3"/>
      <c r="H180" s="3"/>
      <c r="I180" s="3"/>
      <c r="N180" s="24" t="s">
        <v>122</v>
      </c>
    </row>
    <row r="181" spans="1:14" x14ac:dyDescent="0.2">
      <c r="A181" s="4"/>
      <c r="B181" s="3"/>
      <c r="C181" s="3"/>
      <c r="D181" s="3"/>
      <c r="E181" s="3"/>
      <c r="F181" s="3"/>
      <c r="G181" s="3"/>
      <c r="H181" s="3"/>
      <c r="I181" s="3"/>
      <c r="N181" s="24" t="s">
        <v>123</v>
      </c>
    </row>
    <row r="182" spans="1:14" x14ac:dyDescent="0.2">
      <c r="A182" s="4"/>
      <c r="B182" s="3"/>
      <c r="C182" s="3"/>
      <c r="D182" s="3"/>
      <c r="E182" s="3"/>
      <c r="F182" s="3"/>
      <c r="G182" s="3"/>
      <c r="H182" s="3"/>
      <c r="I182" s="3"/>
      <c r="N182" s="24" t="s">
        <v>124</v>
      </c>
    </row>
    <row r="183" spans="1:14" x14ac:dyDescent="0.2">
      <c r="A183" s="4"/>
      <c r="B183" s="3"/>
      <c r="C183" s="3"/>
      <c r="D183" s="3"/>
      <c r="E183" s="3"/>
      <c r="F183" s="3"/>
      <c r="G183" s="3"/>
      <c r="H183" s="3"/>
      <c r="I183" s="3"/>
      <c r="N183" s="24" t="s">
        <v>125</v>
      </c>
    </row>
    <row r="184" spans="1:14" x14ac:dyDescent="0.2">
      <c r="A184" s="4"/>
      <c r="B184" s="3"/>
      <c r="C184" s="3"/>
      <c r="D184" s="3"/>
      <c r="E184" s="3"/>
      <c r="F184" s="3"/>
      <c r="G184" s="3"/>
      <c r="H184" s="3"/>
      <c r="I184" s="3"/>
      <c r="N184" s="24" t="s">
        <v>126</v>
      </c>
    </row>
    <row r="185" spans="1:14" x14ac:dyDescent="0.2">
      <c r="A185" s="4"/>
      <c r="B185" s="3"/>
      <c r="C185" s="3"/>
      <c r="D185" s="3"/>
      <c r="E185" s="3"/>
      <c r="F185" s="3"/>
      <c r="G185" s="3"/>
      <c r="H185" s="3"/>
      <c r="I185" s="3"/>
      <c r="N185" s="24" t="s">
        <v>127</v>
      </c>
    </row>
    <row r="186" spans="1:14" x14ac:dyDescent="0.2">
      <c r="A186" s="4"/>
      <c r="B186" s="3"/>
      <c r="C186" s="3"/>
      <c r="D186" s="3"/>
      <c r="E186" s="3"/>
      <c r="F186" s="3"/>
      <c r="G186" s="3"/>
      <c r="H186" s="3"/>
      <c r="I186" s="3"/>
      <c r="N186" s="24" t="s">
        <v>128</v>
      </c>
    </row>
    <row r="187" spans="1:14" x14ac:dyDescent="0.2">
      <c r="A187" s="4"/>
      <c r="B187" s="3"/>
      <c r="C187" s="3"/>
      <c r="D187" s="3"/>
      <c r="E187" s="3"/>
      <c r="F187" s="3"/>
      <c r="G187" s="3"/>
      <c r="H187" s="3"/>
      <c r="I187" s="3"/>
      <c r="N187" s="24" t="s">
        <v>129</v>
      </c>
    </row>
    <row r="188" spans="1:14" x14ac:dyDescent="0.2">
      <c r="A188" s="4"/>
      <c r="B188" s="3"/>
      <c r="C188" s="3"/>
      <c r="D188" s="3"/>
      <c r="E188" s="3"/>
      <c r="F188" s="3"/>
      <c r="G188" s="3"/>
      <c r="H188" s="3"/>
      <c r="I188" s="3"/>
      <c r="N188" s="24" t="s">
        <v>130</v>
      </c>
    </row>
    <row r="189" spans="1:14" x14ac:dyDescent="0.2">
      <c r="A189" s="4"/>
      <c r="B189" s="3"/>
      <c r="C189" s="3"/>
      <c r="D189" s="3"/>
      <c r="E189" s="3"/>
      <c r="F189" s="3"/>
      <c r="G189" s="3"/>
      <c r="H189" s="3"/>
      <c r="I189" s="3"/>
      <c r="N189" s="24" t="s">
        <v>131</v>
      </c>
    </row>
    <row r="190" spans="1:14" x14ac:dyDescent="0.2">
      <c r="A190" s="4"/>
      <c r="B190" s="3"/>
      <c r="C190" s="3"/>
      <c r="D190" s="3"/>
      <c r="E190" s="3"/>
      <c r="F190" s="3"/>
      <c r="G190" s="3"/>
      <c r="H190" s="3"/>
      <c r="I190" s="3"/>
      <c r="N190" s="24" t="s">
        <v>132</v>
      </c>
    </row>
    <row r="191" spans="1:14" x14ac:dyDescent="0.2">
      <c r="A191" s="4"/>
      <c r="B191" s="3"/>
      <c r="C191" s="3"/>
      <c r="D191" s="3"/>
      <c r="E191" s="3"/>
      <c r="F191" s="3"/>
      <c r="G191" s="3"/>
      <c r="H191" s="3"/>
      <c r="I191" s="3"/>
      <c r="N191" s="24" t="s">
        <v>133</v>
      </c>
    </row>
    <row r="192" spans="1:14" x14ac:dyDescent="0.2">
      <c r="A192" s="4"/>
      <c r="B192" s="3"/>
      <c r="C192" s="3"/>
      <c r="D192" s="3"/>
      <c r="E192" s="3"/>
      <c r="F192" s="3"/>
      <c r="G192" s="3"/>
      <c r="H192" s="3"/>
      <c r="I192" s="3"/>
      <c r="N192" s="24" t="s">
        <v>134</v>
      </c>
    </row>
    <row r="193" spans="1:14" x14ac:dyDescent="0.2">
      <c r="A193" s="4"/>
      <c r="B193" s="3"/>
      <c r="C193" s="3"/>
      <c r="D193" s="3"/>
      <c r="E193" s="3"/>
      <c r="F193" s="3"/>
      <c r="G193" s="3"/>
      <c r="H193" s="3"/>
      <c r="I193" s="3"/>
      <c r="N193" s="24" t="s">
        <v>135</v>
      </c>
    </row>
    <row r="194" spans="1:14" x14ac:dyDescent="0.2">
      <c r="A194" s="4"/>
      <c r="B194" s="3"/>
      <c r="C194" s="3"/>
      <c r="D194" s="3"/>
      <c r="E194" s="3"/>
      <c r="F194" s="3"/>
      <c r="G194" s="3"/>
      <c r="H194" s="3"/>
      <c r="I194" s="3"/>
      <c r="N194" s="24" t="s">
        <v>136</v>
      </c>
    </row>
    <row r="195" spans="1:14" x14ac:dyDescent="0.2">
      <c r="A195" s="4"/>
      <c r="B195" s="3"/>
      <c r="C195" s="3"/>
      <c r="D195" s="3"/>
      <c r="E195" s="3"/>
      <c r="F195" s="3"/>
      <c r="G195" s="3"/>
      <c r="H195" s="3"/>
      <c r="I195" s="3"/>
      <c r="N195" s="24" t="s">
        <v>137</v>
      </c>
    </row>
    <row r="196" spans="1:14" x14ac:dyDescent="0.2">
      <c r="A196" s="4"/>
      <c r="B196" s="3"/>
      <c r="C196" s="3"/>
      <c r="D196" s="3"/>
      <c r="E196" s="3"/>
      <c r="F196" s="3"/>
      <c r="G196" s="3"/>
      <c r="H196" s="3"/>
      <c r="I196" s="3"/>
      <c r="N196" s="24" t="s">
        <v>138</v>
      </c>
    </row>
    <row r="197" spans="1:14" x14ac:dyDescent="0.2">
      <c r="A197" s="4"/>
      <c r="B197" s="3"/>
      <c r="C197" s="3"/>
      <c r="D197" s="3"/>
      <c r="E197" s="3"/>
      <c r="F197" s="3"/>
      <c r="G197" s="3"/>
      <c r="H197" s="3"/>
      <c r="I197" s="3"/>
      <c r="N197" s="24" t="s">
        <v>139</v>
      </c>
    </row>
    <row r="198" spans="1:14" x14ac:dyDescent="0.2">
      <c r="A198" s="4"/>
      <c r="B198" s="3"/>
      <c r="C198" s="3"/>
      <c r="D198" s="3"/>
      <c r="E198" s="3"/>
      <c r="F198" s="3"/>
      <c r="G198" s="3"/>
      <c r="H198" s="3"/>
      <c r="I198" s="3"/>
      <c r="N198" s="24" t="s">
        <v>140</v>
      </c>
    </row>
    <row r="199" spans="1:14" x14ac:dyDescent="0.2">
      <c r="A199" s="4"/>
      <c r="B199" s="3"/>
      <c r="C199" s="3"/>
      <c r="D199" s="3"/>
      <c r="E199" s="3"/>
      <c r="F199" s="3"/>
      <c r="G199" s="3"/>
      <c r="H199" s="3"/>
      <c r="I199" s="3"/>
      <c r="N199" s="24" t="s">
        <v>141</v>
      </c>
    </row>
    <row r="200" spans="1:14" x14ac:dyDescent="0.2">
      <c r="A200" s="4"/>
      <c r="B200" s="3"/>
      <c r="C200" s="3"/>
      <c r="D200" s="3"/>
      <c r="E200" s="3"/>
      <c r="F200" s="3"/>
      <c r="G200" s="3"/>
      <c r="H200" s="3"/>
      <c r="I200" s="3"/>
      <c r="N200" s="24" t="s">
        <v>142</v>
      </c>
    </row>
    <row r="201" spans="1:14" x14ac:dyDescent="0.2">
      <c r="A201" s="4"/>
      <c r="B201" s="3"/>
      <c r="C201" s="3"/>
      <c r="D201" s="3"/>
      <c r="E201" s="3"/>
      <c r="F201" s="3"/>
      <c r="G201" s="3"/>
      <c r="H201" s="3"/>
      <c r="I201" s="3"/>
      <c r="N201" s="24" t="s">
        <v>143</v>
      </c>
    </row>
    <row r="202" spans="1:14" x14ac:dyDescent="0.2">
      <c r="A202" s="4"/>
      <c r="B202" s="3"/>
      <c r="C202" s="3"/>
      <c r="D202" s="3"/>
      <c r="E202" s="3"/>
      <c r="F202" s="3"/>
      <c r="G202" s="3"/>
      <c r="H202" s="3"/>
      <c r="I202" s="3"/>
      <c r="N202" s="24" t="s">
        <v>144</v>
      </c>
    </row>
    <row r="203" spans="1:14" x14ac:dyDescent="0.2">
      <c r="A203" s="4"/>
      <c r="B203" s="3"/>
      <c r="C203" s="3"/>
      <c r="D203" s="3"/>
      <c r="E203" s="3"/>
      <c r="F203" s="3"/>
      <c r="G203" s="3"/>
      <c r="H203" s="3"/>
      <c r="I203" s="3"/>
      <c r="N203" s="24" t="s">
        <v>145</v>
      </c>
    </row>
    <row r="204" spans="1:14" x14ac:dyDescent="0.2">
      <c r="A204" s="4"/>
      <c r="B204" s="3"/>
      <c r="C204" s="3"/>
      <c r="D204" s="3"/>
      <c r="E204" s="3"/>
      <c r="F204" s="3"/>
      <c r="G204" s="3"/>
      <c r="H204" s="3"/>
      <c r="I204" s="3"/>
      <c r="N204" s="24" t="s">
        <v>146</v>
      </c>
    </row>
    <row r="205" spans="1:14" x14ac:dyDescent="0.2">
      <c r="A205" s="4"/>
      <c r="B205" s="3"/>
      <c r="C205" s="3"/>
      <c r="D205" s="3"/>
      <c r="E205" s="3"/>
      <c r="F205" s="3"/>
      <c r="G205" s="3"/>
      <c r="H205" s="3"/>
      <c r="I205" s="3"/>
      <c r="N205" s="24" t="s">
        <v>147</v>
      </c>
    </row>
    <row r="206" spans="1:14" x14ac:dyDescent="0.2">
      <c r="A206" s="4"/>
      <c r="B206" s="3"/>
      <c r="C206" s="3"/>
      <c r="D206" s="3"/>
      <c r="E206" s="3"/>
      <c r="F206" s="3"/>
      <c r="G206" s="3"/>
      <c r="H206" s="3"/>
      <c r="I206" s="3"/>
      <c r="N206" s="24" t="s">
        <v>148</v>
      </c>
    </row>
    <row r="207" spans="1:14" x14ac:dyDescent="0.2">
      <c r="A207" s="4"/>
      <c r="B207" s="3"/>
      <c r="C207" s="3"/>
      <c r="D207" s="3"/>
      <c r="E207" s="3"/>
      <c r="F207" s="3"/>
      <c r="G207" s="3"/>
      <c r="H207" s="3"/>
      <c r="I207" s="3"/>
      <c r="N207" s="24" t="s">
        <v>149</v>
      </c>
    </row>
    <row r="208" spans="1:14" x14ac:dyDescent="0.2">
      <c r="A208" s="4"/>
      <c r="B208" s="3"/>
      <c r="C208" s="3"/>
      <c r="D208" s="3"/>
      <c r="E208" s="3"/>
      <c r="F208" s="3"/>
      <c r="G208" s="3"/>
      <c r="H208" s="3"/>
      <c r="I208" s="3"/>
      <c r="N208" s="24" t="s">
        <v>150</v>
      </c>
    </row>
    <row r="209" spans="1:14" x14ac:dyDescent="0.2">
      <c r="A209" s="4"/>
      <c r="B209" s="3"/>
      <c r="C209" s="3"/>
      <c r="D209" s="3"/>
      <c r="E209" s="3"/>
      <c r="F209" s="3"/>
      <c r="G209" s="3"/>
      <c r="H209" s="3"/>
      <c r="I209" s="3"/>
      <c r="N209" s="24" t="s">
        <v>151</v>
      </c>
    </row>
    <row r="210" spans="1:14" x14ac:dyDescent="0.2">
      <c r="A210" s="4"/>
      <c r="B210" s="3"/>
      <c r="C210" s="3"/>
      <c r="D210" s="3"/>
      <c r="E210" s="3"/>
      <c r="F210" s="3"/>
      <c r="G210" s="3"/>
      <c r="H210" s="3"/>
      <c r="I210" s="3"/>
      <c r="N210" s="24" t="s">
        <v>152</v>
      </c>
    </row>
    <row r="211" spans="1:14" x14ac:dyDescent="0.2">
      <c r="A211" s="4"/>
      <c r="B211" s="3"/>
      <c r="C211" s="3"/>
      <c r="D211" s="3"/>
      <c r="E211" s="3"/>
      <c r="F211" s="3"/>
      <c r="G211" s="3"/>
      <c r="H211" s="3"/>
      <c r="I211" s="3"/>
      <c r="N211" s="24" t="s">
        <v>153</v>
      </c>
    </row>
    <row r="212" spans="1:14" x14ac:dyDescent="0.2">
      <c r="A212" s="4"/>
      <c r="B212" s="3"/>
      <c r="C212" s="3"/>
      <c r="D212" s="3"/>
      <c r="E212" s="3"/>
      <c r="F212" s="3"/>
      <c r="G212" s="3"/>
      <c r="H212" s="3"/>
      <c r="I212" s="3"/>
      <c r="N212" s="24" t="s">
        <v>154</v>
      </c>
    </row>
    <row r="213" spans="1:14" x14ac:dyDescent="0.2">
      <c r="A213" s="4"/>
      <c r="B213" s="3"/>
      <c r="C213" s="3"/>
      <c r="D213" s="3"/>
      <c r="E213" s="3"/>
      <c r="F213" s="3"/>
      <c r="G213" s="3"/>
      <c r="H213" s="3"/>
      <c r="I213" s="3"/>
      <c r="N213" s="24" t="s">
        <v>155</v>
      </c>
    </row>
    <row r="214" spans="1:14" x14ac:dyDescent="0.2">
      <c r="A214" s="4"/>
      <c r="B214" s="3"/>
      <c r="C214" s="3"/>
      <c r="D214" s="3"/>
      <c r="E214" s="3"/>
      <c r="F214" s="3"/>
      <c r="G214" s="3"/>
      <c r="H214" s="3"/>
      <c r="I214" s="3"/>
      <c r="N214" s="24" t="s">
        <v>156</v>
      </c>
    </row>
    <row r="215" spans="1:14" x14ac:dyDescent="0.2">
      <c r="A215" s="4"/>
      <c r="B215" s="3"/>
      <c r="C215" s="3"/>
      <c r="D215" s="3"/>
      <c r="E215" s="3"/>
      <c r="F215" s="3"/>
      <c r="G215" s="3"/>
      <c r="H215" s="3"/>
      <c r="I215" s="3"/>
      <c r="N215" s="24" t="s">
        <v>386</v>
      </c>
    </row>
    <row r="216" spans="1:14" x14ac:dyDescent="0.2">
      <c r="A216" s="4"/>
      <c r="B216" s="3"/>
      <c r="C216" s="3"/>
      <c r="D216" s="3"/>
      <c r="E216" s="3"/>
      <c r="F216" s="3"/>
      <c r="G216" s="3"/>
      <c r="H216" s="3"/>
      <c r="I216" s="3"/>
      <c r="N216" s="24" t="s">
        <v>157</v>
      </c>
    </row>
    <row r="217" spans="1:14" x14ac:dyDescent="0.2">
      <c r="A217" s="4"/>
      <c r="B217" s="3"/>
      <c r="C217" s="3"/>
      <c r="D217" s="3"/>
      <c r="E217" s="3"/>
      <c r="F217" s="3"/>
      <c r="G217" s="3"/>
      <c r="H217" s="3"/>
      <c r="I217" s="3"/>
      <c r="N217" s="24" t="s">
        <v>158</v>
      </c>
    </row>
    <row r="218" spans="1:14" x14ac:dyDescent="0.2">
      <c r="A218" s="4"/>
      <c r="B218" s="3"/>
      <c r="C218" s="3"/>
      <c r="D218" s="3"/>
      <c r="E218" s="3"/>
      <c r="F218" s="3"/>
      <c r="G218" s="3"/>
      <c r="H218" s="3"/>
      <c r="I218" s="3"/>
      <c r="N218" s="24" t="s">
        <v>159</v>
      </c>
    </row>
    <row r="219" spans="1:14" x14ac:dyDescent="0.2">
      <c r="A219" s="4"/>
      <c r="B219" s="3"/>
      <c r="C219" s="3"/>
      <c r="D219" s="3"/>
      <c r="E219" s="3"/>
      <c r="F219" s="3"/>
      <c r="G219" s="3"/>
      <c r="H219" s="3"/>
      <c r="I219" s="3"/>
      <c r="N219" s="24" t="s">
        <v>160</v>
      </c>
    </row>
    <row r="220" spans="1:14" x14ac:dyDescent="0.2">
      <c r="A220" s="4"/>
      <c r="B220" s="3"/>
      <c r="C220" s="3"/>
      <c r="D220" s="3"/>
      <c r="E220" s="3"/>
      <c r="F220" s="3"/>
      <c r="G220" s="3"/>
      <c r="H220" s="3"/>
      <c r="I220" s="3"/>
      <c r="N220" s="24" t="s">
        <v>161</v>
      </c>
    </row>
    <row r="221" spans="1:14" x14ac:dyDescent="0.2">
      <c r="A221" s="4"/>
      <c r="B221" s="3"/>
      <c r="C221" s="3"/>
      <c r="D221" s="3"/>
      <c r="E221" s="3"/>
      <c r="F221" s="3"/>
      <c r="G221" s="3"/>
      <c r="H221" s="3"/>
      <c r="I221" s="3"/>
      <c r="N221" s="24" t="s">
        <v>162</v>
      </c>
    </row>
    <row r="222" spans="1:14" x14ac:dyDescent="0.2">
      <c r="A222" s="4"/>
      <c r="B222" s="3"/>
      <c r="C222" s="3"/>
      <c r="D222" s="3"/>
      <c r="E222" s="3"/>
      <c r="F222" s="3"/>
      <c r="G222" s="3"/>
      <c r="H222" s="3"/>
      <c r="I222" s="3"/>
      <c r="N222" s="24" t="s">
        <v>163</v>
      </c>
    </row>
    <row r="223" spans="1:14" x14ac:dyDescent="0.2">
      <c r="A223" s="4"/>
      <c r="B223" s="3"/>
      <c r="C223" s="3"/>
      <c r="D223" s="3"/>
      <c r="E223" s="3"/>
      <c r="F223" s="3"/>
      <c r="G223" s="3"/>
      <c r="H223" s="3"/>
      <c r="I223" s="3"/>
      <c r="N223" s="24" t="s">
        <v>164</v>
      </c>
    </row>
    <row r="224" spans="1:14" x14ac:dyDescent="0.2">
      <c r="A224" s="4"/>
      <c r="B224" s="3"/>
      <c r="C224" s="3"/>
      <c r="D224" s="3"/>
      <c r="E224" s="3"/>
      <c r="F224" s="3"/>
      <c r="G224" s="3"/>
      <c r="H224" s="3"/>
      <c r="I224" s="3"/>
      <c r="N224" s="24" t="s">
        <v>165</v>
      </c>
    </row>
    <row r="225" spans="1:14" x14ac:dyDescent="0.2">
      <c r="A225" s="4"/>
      <c r="B225" s="3"/>
      <c r="C225" s="3"/>
      <c r="D225" s="3"/>
      <c r="E225" s="3"/>
      <c r="F225" s="3"/>
      <c r="G225" s="3"/>
      <c r="H225" s="3"/>
      <c r="I225" s="3"/>
      <c r="L225" s="28"/>
      <c r="M225" s="28"/>
      <c r="N225" s="24" t="s">
        <v>166</v>
      </c>
    </row>
    <row r="226" spans="1:14" x14ac:dyDescent="0.2">
      <c r="A226" s="4"/>
      <c r="B226" s="3"/>
      <c r="C226" s="3"/>
      <c r="D226" s="3"/>
      <c r="E226" s="3"/>
      <c r="F226" s="3"/>
      <c r="G226" s="3"/>
      <c r="H226" s="3"/>
      <c r="I226" s="3"/>
      <c r="N226" s="24" t="s">
        <v>167</v>
      </c>
    </row>
    <row r="227" spans="1:14" x14ac:dyDescent="0.2">
      <c r="A227" s="4"/>
      <c r="B227" s="3"/>
      <c r="C227" s="3"/>
      <c r="D227" s="3"/>
      <c r="E227" s="3"/>
      <c r="F227" s="3"/>
      <c r="G227" s="3"/>
      <c r="H227" s="3"/>
      <c r="I227" s="3"/>
      <c r="N227" s="24" t="s">
        <v>168</v>
      </c>
    </row>
    <row r="228" spans="1:14" x14ac:dyDescent="0.2">
      <c r="A228" s="4"/>
      <c r="B228" s="3"/>
      <c r="C228" s="3"/>
      <c r="D228" s="3"/>
      <c r="E228" s="3"/>
      <c r="F228" s="3"/>
      <c r="G228" s="3"/>
      <c r="H228" s="3"/>
      <c r="I228" s="3"/>
      <c r="N228" s="24" t="s">
        <v>169</v>
      </c>
    </row>
    <row r="229" spans="1:14" x14ac:dyDescent="0.2">
      <c r="A229" s="4"/>
      <c r="B229" s="3"/>
      <c r="C229" s="3"/>
      <c r="D229" s="3"/>
      <c r="E229" s="3"/>
      <c r="F229" s="3"/>
      <c r="G229" s="3"/>
      <c r="H229" s="3"/>
      <c r="I229" s="3"/>
      <c r="N229" s="24" t="s">
        <v>170</v>
      </c>
    </row>
    <row r="230" spans="1:14" x14ac:dyDescent="0.2">
      <c r="A230" s="4"/>
      <c r="B230" s="3"/>
      <c r="C230" s="3"/>
      <c r="D230" s="3"/>
      <c r="E230" s="3"/>
      <c r="F230" s="3"/>
      <c r="G230" s="3"/>
      <c r="H230" s="3"/>
      <c r="I230" s="3"/>
      <c r="N230" s="24" t="s">
        <v>171</v>
      </c>
    </row>
    <row r="231" spans="1:14" x14ac:dyDescent="0.2">
      <c r="A231" s="4"/>
      <c r="B231" s="3"/>
      <c r="C231" s="3"/>
      <c r="D231" s="3"/>
      <c r="E231" s="3"/>
      <c r="F231" s="3"/>
      <c r="G231" s="3"/>
      <c r="H231" s="3"/>
      <c r="I231" s="3"/>
      <c r="N231" s="24" t="s">
        <v>172</v>
      </c>
    </row>
    <row r="232" spans="1:14" x14ac:dyDescent="0.2">
      <c r="A232" s="4"/>
      <c r="B232" s="3"/>
      <c r="C232" s="3"/>
      <c r="D232" s="3"/>
      <c r="E232" s="3"/>
      <c r="F232" s="3"/>
      <c r="G232" s="3"/>
      <c r="H232" s="3"/>
      <c r="I232" s="3"/>
      <c r="N232" s="24" t="s">
        <v>173</v>
      </c>
    </row>
    <row r="233" spans="1:14" x14ac:dyDescent="0.2">
      <c r="A233" s="4"/>
      <c r="B233" s="3"/>
      <c r="C233" s="3"/>
      <c r="D233" s="3"/>
      <c r="E233" s="3"/>
      <c r="F233" s="3"/>
      <c r="G233" s="3"/>
      <c r="H233" s="3"/>
      <c r="I233" s="3"/>
      <c r="N233" s="24" t="s">
        <v>174</v>
      </c>
    </row>
    <row r="234" spans="1:14" x14ac:dyDescent="0.2">
      <c r="A234" s="4"/>
      <c r="B234" s="3"/>
      <c r="C234" s="3"/>
      <c r="D234" s="3"/>
      <c r="E234" s="3"/>
      <c r="F234" s="3"/>
      <c r="G234" s="3"/>
      <c r="H234" s="3"/>
      <c r="I234" s="3"/>
      <c r="N234" s="24" t="s">
        <v>385</v>
      </c>
    </row>
    <row r="235" spans="1:14" x14ac:dyDescent="0.2">
      <c r="A235" s="4"/>
      <c r="B235" s="3"/>
      <c r="C235" s="3"/>
      <c r="D235" s="3"/>
      <c r="E235" s="3"/>
      <c r="F235" s="3"/>
      <c r="G235" s="3"/>
      <c r="H235" s="3"/>
      <c r="I235" s="3"/>
      <c r="N235" s="24" t="s">
        <v>175</v>
      </c>
    </row>
    <row r="236" spans="1:14" x14ac:dyDescent="0.2">
      <c r="A236" s="4"/>
      <c r="B236" s="3"/>
      <c r="C236" s="3"/>
      <c r="D236" s="3"/>
      <c r="E236" s="3"/>
      <c r="F236" s="3"/>
      <c r="G236" s="3"/>
      <c r="H236" s="3"/>
      <c r="I236" s="3"/>
      <c r="N236" s="24" t="s">
        <v>176</v>
      </c>
    </row>
    <row r="237" spans="1:14" x14ac:dyDescent="0.2">
      <c r="A237" s="4"/>
      <c r="B237" s="3"/>
      <c r="C237" s="3"/>
      <c r="D237" s="3"/>
      <c r="E237" s="3"/>
      <c r="F237" s="3"/>
      <c r="G237" s="3"/>
      <c r="H237" s="3"/>
      <c r="I237" s="3"/>
      <c r="N237" s="24" t="s">
        <v>177</v>
      </c>
    </row>
    <row r="238" spans="1:14" x14ac:dyDescent="0.2">
      <c r="A238" s="4"/>
      <c r="B238" s="3"/>
      <c r="C238" s="3"/>
      <c r="D238" s="3"/>
      <c r="E238" s="3"/>
      <c r="F238" s="3"/>
      <c r="G238" s="3"/>
      <c r="H238" s="3"/>
      <c r="I238" s="3"/>
      <c r="N238" s="24" t="s">
        <v>178</v>
      </c>
    </row>
    <row r="239" spans="1:14" x14ac:dyDescent="0.2">
      <c r="A239" s="4"/>
      <c r="B239" s="3"/>
      <c r="C239" s="3"/>
      <c r="D239" s="3"/>
      <c r="E239" s="3"/>
      <c r="F239" s="3"/>
      <c r="G239" s="3"/>
      <c r="H239" s="3"/>
      <c r="I239" s="3"/>
      <c r="N239" s="24" t="s">
        <v>179</v>
      </c>
    </row>
    <row r="240" spans="1:14" x14ac:dyDescent="0.2">
      <c r="A240" s="4"/>
      <c r="B240" s="3"/>
      <c r="C240" s="3"/>
      <c r="D240" s="3"/>
      <c r="E240" s="3"/>
      <c r="F240" s="3"/>
      <c r="G240" s="3"/>
      <c r="H240" s="3"/>
      <c r="I240" s="3"/>
      <c r="N240" s="24" t="s">
        <v>180</v>
      </c>
    </row>
    <row r="241" spans="1:14" x14ac:dyDescent="0.2">
      <c r="A241" s="4"/>
      <c r="B241" s="3"/>
      <c r="C241" s="3"/>
      <c r="D241" s="3"/>
      <c r="E241" s="3"/>
      <c r="F241" s="3"/>
      <c r="G241" s="3"/>
      <c r="H241" s="3"/>
      <c r="I241" s="3"/>
      <c r="N241" s="24" t="s">
        <v>181</v>
      </c>
    </row>
    <row r="242" spans="1:14" x14ac:dyDescent="0.2">
      <c r="A242" s="4"/>
      <c r="B242" s="3"/>
      <c r="C242" s="3"/>
      <c r="D242" s="3"/>
      <c r="E242" s="3"/>
      <c r="F242" s="3"/>
      <c r="G242" s="3"/>
      <c r="H242" s="3"/>
      <c r="I242" s="3"/>
      <c r="N242" s="24" t="s">
        <v>384</v>
      </c>
    </row>
    <row r="243" spans="1:14" x14ac:dyDescent="0.2">
      <c r="A243" s="4"/>
      <c r="B243" s="3"/>
      <c r="C243" s="3"/>
      <c r="D243" s="3"/>
      <c r="E243" s="3"/>
      <c r="F243" s="3"/>
      <c r="G243" s="3"/>
      <c r="H243" s="3"/>
      <c r="I243" s="3"/>
      <c r="N243" s="24" t="s">
        <v>182</v>
      </c>
    </row>
    <row r="244" spans="1:14" x14ac:dyDescent="0.2">
      <c r="A244" s="4"/>
      <c r="B244" s="3"/>
      <c r="C244" s="3"/>
      <c r="D244" s="3"/>
      <c r="E244" s="3"/>
      <c r="F244" s="3"/>
      <c r="G244" s="3"/>
      <c r="H244" s="3"/>
      <c r="I244" s="3"/>
      <c r="N244" s="24" t="s">
        <v>183</v>
      </c>
    </row>
    <row r="245" spans="1:14" x14ac:dyDescent="0.2">
      <c r="A245" s="4"/>
      <c r="B245" s="3"/>
      <c r="C245" s="3"/>
      <c r="D245" s="3"/>
      <c r="E245" s="3"/>
      <c r="F245" s="3"/>
      <c r="G245" s="3"/>
      <c r="H245" s="3"/>
      <c r="I245" s="3"/>
      <c r="N245" s="24" t="s">
        <v>184</v>
      </c>
    </row>
    <row r="246" spans="1:14" x14ac:dyDescent="0.2">
      <c r="A246" s="4"/>
      <c r="B246" s="3"/>
      <c r="C246" s="3"/>
      <c r="D246" s="3"/>
      <c r="E246" s="3"/>
      <c r="F246" s="3"/>
      <c r="G246" s="3"/>
      <c r="H246" s="3"/>
      <c r="I246" s="3"/>
      <c r="N246" s="24" t="s">
        <v>383</v>
      </c>
    </row>
    <row r="247" spans="1:14" x14ac:dyDescent="0.2">
      <c r="A247" s="4"/>
      <c r="B247" s="3"/>
      <c r="C247" s="3"/>
      <c r="D247" s="3"/>
      <c r="E247" s="3"/>
      <c r="F247" s="3"/>
      <c r="G247" s="3"/>
      <c r="H247" s="3"/>
      <c r="I247" s="3"/>
      <c r="N247" s="24" t="s">
        <v>185</v>
      </c>
    </row>
    <row r="248" spans="1:14" x14ac:dyDescent="0.2">
      <c r="A248" s="4"/>
      <c r="B248" s="3"/>
      <c r="C248" s="3"/>
      <c r="D248" s="3"/>
      <c r="E248" s="3"/>
      <c r="F248" s="3"/>
      <c r="G248" s="3"/>
      <c r="H248" s="3"/>
      <c r="I248" s="3"/>
      <c r="N248" s="24" t="s">
        <v>186</v>
      </c>
    </row>
    <row r="249" spans="1:14" x14ac:dyDescent="0.2">
      <c r="A249" s="4"/>
      <c r="B249" s="3"/>
      <c r="C249" s="3"/>
      <c r="D249" s="3"/>
      <c r="E249" s="3"/>
      <c r="F249" s="3"/>
      <c r="G249" s="3"/>
      <c r="H249" s="3"/>
      <c r="I249" s="3"/>
      <c r="N249" s="24" t="s">
        <v>187</v>
      </c>
    </row>
    <row r="250" spans="1:14" x14ac:dyDescent="0.2">
      <c r="A250" s="4"/>
      <c r="B250" s="3"/>
      <c r="C250" s="3"/>
      <c r="D250" s="3"/>
      <c r="E250" s="3"/>
      <c r="F250" s="3"/>
      <c r="G250" s="3"/>
      <c r="H250" s="3"/>
      <c r="I250" s="3"/>
      <c r="N250" s="24" t="s">
        <v>188</v>
      </c>
    </row>
    <row r="251" spans="1:14" x14ac:dyDescent="0.2">
      <c r="A251" s="4"/>
      <c r="B251" s="3"/>
      <c r="C251" s="3"/>
      <c r="D251" s="3"/>
      <c r="E251" s="3"/>
      <c r="F251" s="3"/>
      <c r="G251" s="3"/>
      <c r="H251" s="3"/>
      <c r="I251" s="3"/>
      <c r="N251" s="24" t="s">
        <v>189</v>
      </c>
    </row>
    <row r="252" spans="1:14" x14ac:dyDescent="0.2">
      <c r="A252" s="4"/>
      <c r="B252" s="3"/>
      <c r="C252" s="3"/>
      <c r="D252" s="3"/>
      <c r="E252" s="3"/>
      <c r="F252" s="3"/>
      <c r="G252" s="3"/>
      <c r="H252" s="3"/>
      <c r="I252" s="3"/>
      <c r="N252" s="24" t="s">
        <v>190</v>
      </c>
    </row>
    <row r="253" spans="1:14" x14ac:dyDescent="0.2">
      <c r="A253" s="4"/>
      <c r="B253" s="3"/>
      <c r="C253" s="3"/>
      <c r="D253" s="3"/>
      <c r="E253" s="3"/>
      <c r="F253" s="3"/>
      <c r="G253" s="3"/>
      <c r="H253" s="3"/>
      <c r="I253" s="3"/>
      <c r="N253" s="24" t="s">
        <v>191</v>
      </c>
    </row>
    <row r="254" spans="1:14" x14ac:dyDescent="0.2">
      <c r="A254" s="4"/>
      <c r="B254" s="3"/>
      <c r="C254" s="3"/>
      <c r="D254" s="3"/>
      <c r="E254" s="3"/>
      <c r="F254" s="3"/>
      <c r="G254" s="3"/>
      <c r="H254" s="3"/>
      <c r="I254" s="3"/>
      <c r="N254" s="24" t="s">
        <v>192</v>
      </c>
    </row>
    <row r="255" spans="1:14" x14ac:dyDescent="0.2">
      <c r="A255" s="4"/>
      <c r="B255" s="3"/>
      <c r="C255" s="3"/>
      <c r="D255" s="3"/>
      <c r="E255" s="3"/>
      <c r="F255" s="3"/>
      <c r="G255" s="3"/>
      <c r="H255" s="3"/>
      <c r="I255" s="3"/>
      <c r="N255" s="24" t="s">
        <v>193</v>
      </c>
    </row>
    <row r="256" spans="1:14" x14ac:dyDescent="0.2">
      <c r="A256" s="4"/>
      <c r="B256" s="3"/>
      <c r="C256" s="3"/>
      <c r="D256" s="3"/>
      <c r="E256" s="3"/>
      <c r="F256" s="3"/>
      <c r="G256" s="3"/>
      <c r="H256" s="3"/>
      <c r="I256" s="3"/>
      <c r="N256" s="24" t="s">
        <v>194</v>
      </c>
    </row>
    <row r="257" spans="1:14" x14ac:dyDescent="0.2">
      <c r="A257" s="4"/>
      <c r="B257" s="3"/>
      <c r="C257" s="3"/>
      <c r="D257" s="3"/>
      <c r="E257" s="3"/>
      <c r="F257" s="3"/>
      <c r="G257" s="3"/>
      <c r="H257" s="3"/>
      <c r="I257" s="3"/>
      <c r="N257" s="24" t="s">
        <v>195</v>
      </c>
    </row>
    <row r="258" spans="1:14" x14ac:dyDescent="0.2">
      <c r="A258" s="4"/>
      <c r="B258" s="3"/>
      <c r="C258" s="3"/>
      <c r="D258" s="3"/>
      <c r="E258" s="3"/>
      <c r="F258" s="3"/>
      <c r="G258" s="3"/>
      <c r="H258" s="3"/>
      <c r="I258" s="3"/>
      <c r="N258" s="24" t="s">
        <v>196</v>
      </c>
    </row>
    <row r="259" spans="1:14" x14ac:dyDescent="0.2">
      <c r="A259" s="4"/>
      <c r="B259" s="3"/>
      <c r="C259" s="3"/>
      <c r="D259" s="3"/>
      <c r="E259" s="3"/>
      <c r="F259" s="3"/>
      <c r="G259" s="3"/>
      <c r="H259" s="3"/>
      <c r="I259" s="3"/>
      <c r="N259" s="24" t="s">
        <v>197</v>
      </c>
    </row>
    <row r="260" spans="1:14" x14ac:dyDescent="0.2">
      <c r="A260" s="4"/>
      <c r="B260" s="3"/>
      <c r="C260" s="3"/>
      <c r="D260" s="3"/>
      <c r="E260" s="3"/>
      <c r="F260" s="3"/>
      <c r="G260" s="3"/>
      <c r="H260" s="3"/>
      <c r="I260" s="3"/>
      <c r="N260" s="24" t="s">
        <v>198</v>
      </c>
    </row>
    <row r="261" spans="1:14" x14ac:dyDescent="0.2">
      <c r="A261" s="4"/>
      <c r="B261" s="3"/>
      <c r="C261" s="3"/>
      <c r="D261" s="3"/>
      <c r="E261" s="3"/>
      <c r="F261" s="3"/>
      <c r="G261" s="3"/>
      <c r="H261" s="3"/>
      <c r="I261" s="3"/>
      <c r="N261" s="24" t="s">
        <v>199</v>
      </c>
    </row>
    <row r="262" spans="1:14" x14ac:dyDescent="0.2">
      <c r="A262" s="4"/>
      <c r="B262" s="3"/>
      <c r="C262" s="3"/>
      <c r="D262" s="3"/>
      <c r="E262" s="3"/>
      <c r="F262" s="3"/>
      <c r="G262" s="3"/>
      <c r="H262" s="3"/>
      <c r="I262" s="3"/>
      <c r="N262" s="24" t="s">
        <v>200</v>
      </c>
    </row>
    <row r="263" spans="1:14" x14ac:dyDescent="0.2">
      <c r="A263" s="4"/>
      <c r="B263" s="3"/>
      <c r="C263" s="3"/>
      <c r="D263" s="3"/>
      <c r="E263" s="3"/>
      <c r="F263" s="3"/>
      <c r="G263" s="3"/>
      <c r="H263" s="3"/>
      <c r="I263" s="3"/>
      <c r="N263" s="24" t="s">
        <v>201</v>
      </c>
    </row>
    <row r="264" spans="1:14" x14ac:dyDescent="0.2">
      <c r="A264" s="4"/>
      <c r="B264" s="3"/>
      <c r="C264" s="3"/>
      <c r="D264" s="3"/>
      <c r="E264" s="3"/>
      <c r="F264" s="3"/>
      <c r="G264" s="3"/>
      <c r="H264" s="3"/>
      <c r="I264" s="3"/>
      <c r="N264" s="24" t="s">
        <v>202</v>
      </c>
    </row>
    <row r="265" spans="1:14" x14ac:dyDescent="0.2">
      <c r="A265" s="4"/>
      <c r="B265" s="3"/>
      <c r="C265" s="3"/>
      <c r="D265" s="3"/>
      <c r="E265" s="3"/>
      <c r="F265" s="3"/>
      <c r="G265" s="3"/>
      <c r="H265" s="3"/>
      <c r="I265" s="3"/>
      <c r="N265" s="24" t="s">
        <v>203</v>
      </c>
    </row>
    <row r="266" spans="1:14" x14ac:dyDescent="0.2">
      <c r="A266" s="4"/>
      <c r="B266" s="3"/>
      <c r="C266" s="3"/>
      <c r="D266" s="3"/>
      <c r="E266" s="3"/>
      <c r="F266" s="3"/>
      <c r="G266" s="3"/>
      <c r="H266" s="3"/>
      <c r="I266" s="3"/>
      <c r="N266" s="24" t="s">
        <v>204</v>
      </c>
    </row>
    <row r="267" spans="1:14" x14ac:dyDescent="0.2">
      <c r="A267" s="4"/>
      <c r="B267" s="3"/>
      <c r="C267" s="3"/>
      <c r="D267" s="3"/>
      <c r="E267" s="3"/>
      <c r="F267" s="3"/>
      <c r="G267" s="3"/>
      <c r="H267" s="3"/>
      <c r="I267" s="3"/>
      <c r="N267" s="24" t="s">
        <v>204</v>
      </c>
    </row>
    <row r="268" spans="1:14" x14ac:dyDescent="0.2">
      <c r="A268" s="4"/>
      <c r="B268" s="3"/>
      <c r="C268" s="3"/>
      <c r="D268" s="3"/>
      <c r="E268" s="3"/>
      <c r="F268" s="3"/>
      <c r="G268" s="3"/>
      <c r="H268" s="3"/>
      <c r="I268" s="3"/>
      <c r="N268" s="24" t="s">
        <v>205</v>
      </c>
    </row>
    <row r="269" spans="1:14" x14ac:dyDescent="0.2">
      <c r="A269" s="4"/>
      <c r="B269" s="3"/>
      <c r="C269" s="3"/>
      <c r="D269" s="3"/>
      <c r="E269" s="3"/>
      <c r="F269" s="3"/>
      <c r="G269" s="3"/>
      <c r="H269" s="3"/>
      <c r="I269" s="3"/>
      <c r="N269" s="24" t="s">
        <v>206</v>
      </c>
    </row>
    <row r="270" spans="1:14" x14ac:dyDescent="0.2">
      <c r="A270" s="4"/>
      <c r="B270" s="3"/>
      <c r="C270" s="3"/>
      <c r="D270" s="3"/>
      <c r="E270" s="3"/>
      <c r="F270" s="3"/>
      <c r="G270" s="3"/>
      <c r="H270" s="3"/>
      <c r="I270" s="3"/>
      <c r="N270" s="24" t="s">
        <v>207</v>
      </c>
    </row>
    <row r="271" spans="1:14" x14ac:dyDescent="0.2">
      <c r="A271" s="4"/>
      <c r="B271" s="3"/>
      <c r="C271" s="3"/>
      <c r="D271" s="3"/>
      <c r="E271" s="3"/>
      <c r="F271" s="3"/>
      <c r="G271" s="3"/>
      <c r="H271" s="3"/>
      <c r="I271" s="3"/>
      <c r="N271" s="24" t="s">
        <v>208</v>
      </c>
    </row>
    <row r="272" spans="1:14" x14ac:dyDescent="0.2">
      <c r="A272" s="4"/>
      <c r="B272" s="3"/>
      <c r="C272" s="3"/>
      <c r="D272" s="3"/>
      <c r="E272" s="3"/>
      <c r="F272" s="3"/>
      <c r="G272" s="3"/>
      <c r="H272" s="3"/>
      <c r="I272" s="3"/>
      <c r="N272" s="24" t="s">
        <v>209</v>
      </c>
    </row>
    <row r="273" spans="1:14" x14ac:dyDescent="0.2">
      <c r="A273" s="4"/>
      <c r="B273" s="3"/>
      <c r="C273" s="3"/>
      <c r="D273" s="3"/>
      <c r="E273" s="3"/>
      <c r="F273" s="3"/>
      <c r="G273" s="3"/>
      <c r="H273" s="3"/>
      <c r="I273" s="3"/>
      <c r="N273" s="24" t="s">
        <v>210</v>
      </c>
    </row>
    <row r="274" spans="1:14" x14ac:dyDescent="0.2">
      <c r="A274" s="4"/>
      <c r="B274" s="3"/>
      <c r="C274" s="3"/>
      <c r="D274" s="3"/>
      <c r="E274" s="3"/>
      <c r="F274" s="3"/>
      <c r="G274" s="3"/>
      <c r="H274" s="3"/>
      <c r="I274" s="3"/>
      <c r="N274" s="24" t="s">
        <v>211</v>
      </c>
    </row>
    <row r="275" spans="1:14" x14ac:dyDescent="0.2">
      <c r="A275" s="4"/>
      <c r="B275" s="3"/>
      <c r="C275" s="3"/>
      <c r="D275" s="3"/>
      <c r="E275" s="3"/>
      <c r="F275" s="3"/>
      <c r="G275" s="3"/>
      <c r="H275" s="3"/>
      <c r="I275" s="3"/>
      <c r="N275" s="24" t="s">
        <v>382</v>
      </c>
    </row>
    <row r="276" spans="1:14" x14ac:dyDescent="0.2">
      <c r="A276" s="4"/>
      <c r="B276" s="3"/>
      <c r="C276" s="3"/>
      <c r="D276" s="3"/>
      <c r="E276" s="3"/>
      <c r="F276" s="3"/>
      <c r="G276" s="3"/>
      <c r="H276" s="3"/>
      <c r="I276" s="3"/>
      <c r="N276" s="24" t="s">
        <v>212</v>
      </c>
    </row>
    <row r="277" spans="1:14" x14ac:dyDescent="0.2">
      <c r="A277" s="4"/>
      <c r="B277" s="3"/>
      <c r="C277" s="3"/>
      <c r="D277" s="3"/>
      <c r="E277" s="3"/>
      <c r="F277" s="3"/>
      <c r="G277" s="3"/>
      <c r="H277" s="3"/>
      <c r="I277" s="3"/>
      <c r="N277" s="24" t="s">
        <v>213</v>
      </c>
    </row>
    <row r="278" spans="1:14" x14ac:dyDescent="0.2">
      <c r="A278" s="4"/>
      <c r="B278" s="3"/>
      <c r="C278" s="3"/>
      <c r="D278" s="3"/>
      <c r="E278" s="3"/>
      <c r="F278" s="3"/>
      <c r="G278" s="3"/>
      <c r="H278" s="3"/>
      <c r="I278" s="3"/>
      <c r="N278" s="24" t="s">
        <v>214</v>
      </c>
    </row>
    <row r="279" spans="1:14" x14ac:dyDescent="0.2">
      <c r="A279" s="4"/>
      <c r="B279" s="3"/>
      <c r="C279" s="3"/>
      <c r="D279" s="3"/>
      <c r="E279" s="3"/>
      <c r="F279" s="3"/>
      <c r="G279" s="3"/>
      <c r="H279" s="3"/>
      <c r="I279" s="3"/>
      <c r="N279" s="24" t="s">
        <v>216</v>
      </c>
    </row>
    <row r="280" spans="1:14" x14ac:dyDescent="0.2">
      <c r="A280" s="4"/>
      <c r="B280" s="3"/>
      <c r="C280" s="3"/>
      <c r="D280" s="3"/>
      <c r="E280" s="3"/>
      <c r="F280" s="3"/>
      <c r="G280" s="3"/>
      <c r="H280" s="3"/>
      <c r="I280" s="3"/>
      <c r="N280" s="24" t="s">
        <v>215</v>
      </c>
    </row>
    <row r="281" spans="1:14" x14ac:dyDescent="0.2">
      <c r="A281" s="4"/>
      <c r="B281" s="3"/>
      <c r="C281" s="3"/>
      <c r="D281" s="3"/>
      <c r="E281" s="3"/>
      <c r="F281" s="3"/>
      <c r="G281" s="3"/>
      <c r="H281" s="3"/>
      <c r="I281" s="3"/>
      <c r="N281" s="24" t="s">
        <v>217</v>
      </c>
    </row>
    <row r="282" spans="1:14" x14ac:dyDescent="0.2">
      <c r="A282" s="4"/>
      <c r="B282" s="3"/>
      <c r="C282" s="3"/>
      <c r="D282" s="3"/>
      <c r="E282" s="3"/>
      <c r="F282" s="3"/>
      <c r="G282" s="3"/>
      <c r="H282" s="3"/>
      <c r="I282" s="3"/>
      <c r="N282" s="24" t="s">
        <v>218</v>
      </c>
    </row>
    <row r="283" spans="1:14" x14ac:dyDescent="0.2">
      <c r="A283" s="4"/>
      <c r="B283" s="3"/>
      <c r="C283" s="3"/>
      <c r="D283" s="3"/>
      <c r="E283" s="3"/>
      <c r="F283" s="3"/>
      <c r="G283" s="3"/>
      <c r="H283" s="3"/>
      <c r="I283" s="3"/>
      <c r="N283" s="24" t="s">
        <v>219</v>
      </c>
    </row>
    <row r="284" spans="1:14" x14ac:dyDescent="0.2">
      <c r="A284" s="4"/>
      <c r="B284" s="3"/>
      <c r="C284" s="3"/>
      <c r="D284" s="3"/>
      <c r="E284" s="3"/>
      <c r="F284" s="3"/>
      <c r="G284" s="3"/>
      <c r="H284" s="3"/>
      <c r="I284" s="3"/>
      <c r="N284" s="24" t="s">
        <v>220</v>
      </c>
    </row>
    <row r="285" spans="1:14" x14ac:dyDescent="0.2">
      <c r="A285" s="4"/>
      <c r="B285" s="3"/>
      <c r="C285" s="3"/>
      <c r="D285" s="3"/>
      <c r="E285" s="3"/>
      <c r="F285" s="3"/>
      <c r="G285" s="3"/>
      <c r="H285" s="3"/>
      <c r="I285" s="3"/>
      <c r="N285" s="24" t="s">
        <v>221</v>
      </c>
    </row>
    <row r="286" spans="1:14" x14ac:dyDescent="0.2">
      <c r="A286" s="4"/>
      <c r="B286" s="3"/>
      <c r="C286" s="3"/>
      <c r="D286" s="3"/>
      <c r="E286" s="3"/>
      <c r="F286" s="3"/>
      <c r="G286" s="3"/>
      <c r="H286" s="3"/>
      <c r="I286" s="3"/>
      <c r="N286" s="24" t="s">
        <v>222</v>
      </c>
    </row>
    <row r="287" spans="1:14" x14ac:dyDescent="0.2">
      <c r="A287" s="4"/>
      <c r="B287" s="3"/>
      <c r="C287" s="3"/>
      <c r="D287" s="3"/>
      <c r="E287" s="3"/>
      <c r="F287" s="3"/>
      <c r="G287" s="3"/>
      <c r="H287" s="3"/>
      <c r="I287" s="3"/>
      <c r="N287" s="24" t="s">
        <v>223</v>
      </c>
    </row>
    <row r="288" spans="1:14" x14ac:dyDescent="0.2">
      <c r="A288" s="4"/>
      <c r="B288" s="3"/>
      <c r="C288" s="3"/>
      <c r="D288" s="3"/>
      <c r="E288" s="3"/>
      <c r="F288" s="3"/>
      <c r="G288" s="3"/>
      <c r="H288" s="3"/>
      <c r="I288" s="3"/>
      <c r="N288" s="24" t="s">
        <v>224</v>
      </c>
    </row>
    <row r="289" spans="1:14" x14ac:dyDescent="0.2">
      <c r="A289" s="4"/>
      <c r="B289" s="3"/>
      <c r="C289" s="3"/>
      <c r="D289" s="3"/>
      <c r="E289" s="3"/>
      <c r="F289" s="3"/>
      <c r="G289" s="3"/>
      <c r="H289" s="3"/>
      <c r="I289" s="3"/>
      <c r="N289" s="24" t="s">
        <v>225</v>
      </c>
    </row>
    <row r="290" spans="1:14" x14ac:dyDescent="0.2">
      <c r="A290" s="4"/>
      <c r="B290" s="3"/>
      <c r="C290" s="3"/>
      <c r="D290" s="3"/>
      <c r="E290" s="3"/>
      <c r="F290" s="3"/>
      <c r="G290" s="3"/>
      <c r="H290" s="3"/>
      <c r="I290" s="3"/>
      <c r="N290" s="24" t="s">
        <v>226</v>
      </c>
    </row>
    <row r="291" spans="1:14" x14ac:dyDescent="0.2">
      <c r="A291" s="4"/>
      <c r="B291" s="3"/>
      <c r="C291" s="3"/>
      <c r="D291" s="3"/>
      <c r="E291" s="3"/>
      <c r="F291" s="3"/>
      <c r="G291" s="3"/>
      <c r="H291" s="3"/>
      <c r="I291" s="3"/>
      <c r="N291" s="24" t="s">
        <v>227</v>
      </c>
    </row>
    <row r="292" spans="1:14" x14ac:dyDescent="0.2">
      <c r="A292" s="4"/>
      <c r="B292" s="3"/>
      <c r="C292" s="3"/>
      <c r="D292" s="3"/>
      <c r="E292" s="3"/>
      <c r="F292" s="3"/>
      <c r="G292" s="3"/>
      <c r="H292" s="3"/>
      <c r="I292" s="3"/>
      <c r="N292" s="24" t="s">
        <v>228</v>
      </c>
    </row>
    <row r="293" spans="1:14" x14ac:dyDescent="0.2">
      <c r="A293" s="4"/>
      <c r="B293" s="3"/>
      <c r="C293" s="3"/>
      <c r="D293" s="3"/>
      <c r="E293" s="3"/>
      <c r="F293" s="3"/>
      <c r="G293" s="3"/>
      <c r="H293" s="3"/>
      <c r="I293" s="3"/>
      <c r="N293" s="24" t="s">
        <v>229</v>
      </c>
    </row>
    <row r="294" spans="1:14" x14ac:dyDescent="0.2">
      <c r="A294" s="4"/>
      <c r="B294" s="3"/>
      <c r="C294" s="3"/>
      <c r="D294" s="3"/>
      <c r="E294" s="3"/>
      <c r="F294" s="3"/>
      <c r="G294" s="3"/>
      <c r="H294" s="3"/>
      <c r="I294" s="3"/>
      <c r="N294" s="24" t="s">
        <v>230</v>
      </c>
    </row>
    <row r="295" spans="1:14" x14ac:dyDescent="0.2">
      <c r="A295" s="4"/>
      <c r="B295" s="3"/>
      <c r="C295" s="3"/>
      <c r="D295" s="3"/>
      <c r="E295" s="3"/>
      <c r="F295" s="3"/>
      <c r="G295" s="3"/>
      <c r="H295" s="3"/>
      <c r="I295" s="3"/>
      <c r="N295" s="24" t="s">
        <v>231</v>
      </c>
    </row>
    <row r="296" spans="1:14" x14ac:dyDescent="0.2">
      <c r="A296" s="4"/>
      <c r="B296" s="3"/>
      <c r="C296" s="3"/>
      <c r="D296" s="3"/>
      <c r="E296" s="3"/>
      <c r="F296" s="3"/>
      <c r="G296" s="3"/>
      <c r="H296" s="3"/>
      <c r="I296" s="3"/>
      <c r="N296" s="24" t="s">
        <v>232</v>
      </c>
    </row>
    <row r="297" spans="1:14" x14ac:dyDescent="0.2">
      <c r="A297" s="4"/>
      <c r="B297" s="3"/>
      <c r="C297" s="3"/>
      <c r="D297" s="3"/>
      <c r="E297" s="3"/>
      <c r="F297" s="3"/>
      <c r="G297" s="3"/>
      <c r="H297" s="3"/>
      <c r="I297" s="3"/>
      <c r="N297" s="24" t="s">
        <v>233</v>
      </c>
    </row>
    <row r="298" spans="1:14" x14ac:dyDescent="0.2">
      <c r="A298" s="4"/>
      <c r="B298" s="3"/>
      <c r="C298" s="3"/>
      <c r="D298" s="3"/>
      <c r="E298" s="3"/>
      <c r="F298" s="3"/>
      <c r="G298" s="3"/>
      <c r="H298" s="3"/>
      <c r="I298" s="3"/>
      <c r="N298" s="24" t="s">
        <v>234</v>
      </c>
    </row>
    <row r="299" spans="1:14" x14ac:dyDescent="0.2">
      <c r="A299" s="4"/>
      <c r="B299" s="3"/>
      <c r="C299" s="3"/>
      <c r="D299" s="3"/>
      <c r="E299" s="3"/>
      <c r="F299" s="3"/>
      <c r="G299" s="3"/>
      <c r="H299" s="3"/>
      <c r="I299" s="3"/>
      <c r="N299" s="24" t="s">
        <v>235</v>
      </c>
    </row>
    <row r="300" spans="1:14" x14ac:dyDescent="0.2">
      <c r="A300" s="4"/>
      <c r="B300" s="3"/>
      <c r="C300" s="3"/>
      <c r="D300" s="3"/>
      <c r="E300" s="3"/>
      <c r="F300" s="3"/>
      <c r="G300" s="3"/>
      <c r="H300" s="3"/>
      <c r="I300" s="3"/>
      <c r="N300" s="24" t="s">
        <v>236</v>
      </c>
    </row>
    <row r="301" spans="1:14" x14ac:dyDescent="0.2">
      <c r="A301" s="4"/>
      <c r="B301" s="3"/>
      <c r="C301" s="3"/>
      <c r="D301" s="3"/>
      <c r="E301" s="3"/>
      <c r="F301" s="3"/>
      <c r="G301" s="3"/>
      <c r="H301" s="3"/>
      <c r="I301" s="3"/>
      <c r="N301" s="24" t="s">
        <v>237</v>
      </c>
    </row>
    <row r="302" spans="1:14" x14ac:dyDescent="0.2">
      <c r="A302" s="4"/>
      <c r="B302" s="3"/>
      <c r="C302" s="3"/>
      <c r="D302" s="3"/>
      <c r="E302" s="3"/>
      <c r="F302" s="3"/>
      <c r="G302" s="3"/>
      <c r="H302" s="3"/>
      <c r="I302" s="3"/>
      <c r="N302" s="24" t="s">
        <v>238</v>
      </c>
    </row>
    <row r="303" spans="1:14" x14ac:dyDescent="0.2">
      <c r="A303" s="4"/>
      <c r="B303" s="3"/>
      <c r="C303" s="3"/>
      <c r="D303" s="3"/>
      <c r="E303" s="3"/>
      <c r="F303" s="3"/>
      <c r="G303" s="3"/>
      <c r="H303" s="3"/>
      <c r="I303" s="3"/>
      <c r="N303" s="24" t="s">
        <v>239</v>
      </c>
    </row>
    <row r="304" spans="1:14" x14ac:dyDescent="0.2">
      <c r="A304" s="4"/>
      <c r="B304" s="3"/>
      <c r="C304" s="3"/>
      <c r="D304" s="3"/>
      <c r="E304" s="3"/>
      <c r="F304" s="3"/>
      <c r="G304" s="3"/>
      <c r="H304" s="3"/>
      <c r="I304" s="3"/>
      <c r="N304" s="24" t="s">
        <v>240</v>
      </c>
    </row>
    <row r="305" spans="1:14" x14ac:dyDescent="0.2">
      <c r="A305" s="4"/>
      <c r="B305" s="3"/>
      <c r="C305" s="3"/>
      <c r="D305" s="3"/>
      <c r="E305" s="3"/>
      <c r="F305" s="3"/>
      <c r="G305" s="3"/>
      <c r="H305" s="3"/>
      <c r="I305" s="3"/>
      <c r="N305" s="24" t="s">
        <v>241</v>
      </c>
    </row>
    <row r="306" spans="1:14" x14ac:dyDescent="0.2">
      <c r="A306" s="4"/>
      <c r="B306" s="3"/>
      <c r="C306" s="3"/>
      <c r="D306" s="3"/>
      <c r="E306" s="3"/>
      <c r="F306" s="3"/>
      <c r="G306" s="3"/>
      <c r="H306" s="3"/>
      <c r="I306" s="3"/>
      <c r="N306" s="24" t="s">
        <v>381</v>
      </c>
    </row>
    <row r="307" spans="1:14" x14ac:dyDescent="0.2">
      <c r="A307" s="4"/>
      <c r="B307" s="3"/>
      <c r="C307" s="3"/>
      <c r="D307" s="3"/>
      <c r="E307" s="3"/>
      <c r="F307" s="3"/>
      <c r="G307" s="3"/>
      <c r="H307" s="3"/>
      <c r="I307" s="3"/>
      <c r="N307" s="24" t="s">
        <v>242</v>
      </c>
    </row>
    <row r="308" spans="1:14" x14ac:dyDescent="0.2">
      <c r="A308" s="4"/>
      <c r="B308" s="3"/>
      <c r="C308" s="3"/>
      <c r="D308" s="3"/>
      <c r="E308" s="3"/>
      <c r="F308" s="3"/>
      <c r="G308" s="3"/>
      <c r="H308" s="3"/>
      <c r="I308" s="3"/>
      <c r="N308" s="24" t="s">
        <v>380</v>
      </c>
    </row>
    <row r="309" spans="1:14" x14ac:dyDescent="0.2">
      <c r="A309" s="4"/>
      <c r="B309" s="3"/>
      <c r="C309" s="3"/>
      <c r="D309" s="3"/>
      <c r="E309" s="3"/>
      <c r="F309" s="3"/>
      <c r="G309" s="3"/>
      <c r="H309" s="3"/>
      <c r="I309" s="3"/>
      <c r="N309" s="24" t="s">
        <v>243</v>
      </c>
    </row>
    <row r="310" spans="1:14" x14ac:dyDescent="0.2">
      <c r="A310" s="4"/>
      <c r="B310" s="3"/>
      <c r="C310" s="3"/>
      <c r="D310" s="3"/>
      <c r="E310" s="3"/>
      <c r="F310" s="3"/>
      <c r="G310" s="3"/>
      <c r="H310" s="3"/>
      <c r="I310" s="3"/>
      <c r="N310" s="24" t="s">
        <v>244</v>
      </c>
    </row>
    <row r="311" spans="1:14" x14ac:dyDescent="0.2">
      <c r="A311" s="4"/>
      <c r="B311" s="3"/>
      <c r="C311" s="3"/>
      <c r="D311" s="3"/>
      <c r="E311" s="3"/>
      <c r="F311" s="3"/>
      <c r="G311" s="3"/>
      <c r="H311" s="3"/>
      <c r="I311" s="3"/>
      <c r="N311" s="24" t="s">
        <v>245</v>
      </c>
    </row>
    <row r="312" spans="1:14" x14ac:dyDescent="0.2">
      <c r="A312" s="4"/>
      <c r="B312" s="3"/>
      <c r="C312" s="3"/>
      <c r="D312" s="3"/>
      <c r="E312" s="3"/>
      <c r="F312" s="3"/>
      <c r="G312" s="3"/>
      <c r="H312" s="3"/>
      <c r="I312" s="3"/>
      <c r="N312" s="24" t="s">
        <v>246</v>
      </c>
    </row>
    <row r="313" spans="1:14" x14ac:dyDescent="0.2">
      <c r="A313" s="4"/>
      <c r="B313" s="3"/>
      <c r="C313" s="3"/>
      <c r="D313" s="3"/>
      <c r="E313" s="3"/>
      <c r="F313" s="3"/>
      <c r="G313" s="3"/>
      <c r="H313" s="3"/>
      <c r="I313" s="3"/>
      <c r="N313" s="24" t="s">
        <v>247</v>
      </c>
    </row>
    <row r="314" spans="1:14" x14ac:dyDescent="0.2">
      <c r="A314" s="4"/>
      <c r="B314" s="3"/>
      <c r="C314" s="3"/>
      <c r="D314" s="3"/>
      <c r="E314" s="3"/>
      <c r="F314" s="3"/>
      <c r="G314" s="3"/>
      <c r="H314" s="3"/>
      <c r="I314" s="3"/>
      <c r="N314" s="24" t="s">
        <v>248</v>
      </c>
    </row>
    <row r="315" spans="1:14" x14ac:dyDescent="0.2">
      <c r="A315" s="4"/>
      <c r="B315" s="3"/>
      <c r="C315" s="3"/>
      <c r="D315" s="3"/>
      <c r="E315" s="3"/>
      <c r="F315" s="3"/>
      <c r="G315" s="3"/>
      <c r="H315" s="3"/>
      <c r="I315" s="3"/>
      <c r="N315" s="24" t="s">
        <v>249</v>
      </c>
    </row>
    <row r="316" spans="1:14" x14ac:dyDescent="0.2">
      <c r="A316" s="4"/>
      <c r="B316" s="3"/>
      <c r="C316" s="3"/>
      <c r="D316" s="3"/>
      <c r="E316" s="3"/>
      <c r="F316" s="3"/>
      <c r="G316" s="3"/>
      <c r="H316" s="3"/>
      <c r="I316" s="3"/>
      <c r="N316" s="24" t="s">
        <v>250</v>
      </c>
    </row>
    <row r="317" spans="1:14" x14ac:dyDescent="0.2">
      <c r="A317" s="4"/>
      <c r="B317" s="3"/>
      <c r="C317" s="3"/>
      <c r="D317" s="3"/>
      <c r="E317" s="3"/>
      <c r="F317" s="3"/>
      <c r="G317" s="3"/>
      <c r="H317" s="3"/>
      <c r="I317" s="3"/>
      <c r="N317" s="24" t="s">
        <v>251</v>
      </c>
    </row>
    <row r="318" spans="1:14" x14ac:dyDescent="0.2">
      <c r="A318" s="4"/>
      <c r="B318" s="3"/>
      <c r="C318" s="3"/>
      <c r="D318" s="3"/>
      <c r="E318" s="3"/>
      <c r="F318" s="3"/>
      <c r="G318" s="3"/>
      <c r="H318" s="3"/>
      <c r="I318" s="3"/>
      <c r="N318" s="24" t="s">
        <v>252</v>
      </c>
    </row>
    <row r="319" spans="1:14" x14ac:dyDescent="0.2">
      <c r="A319" s="4"/>
      <c r="B319" s="3"/>
      <c r="C319" s="3"/>
      <c r="D319" s="3"/>
      <c r="E319" s="3"/>
      <c r="F319" s="3"/>
      <c r="G319" s="3"/>
      <c r="H319" s="3"/>
      <c r="I319" s="3"/>
      <c r="N319" s="24" t="s">
        <v>253</v>
      </c>
    </row>
    <row r="320" spans="1:14" x14ac:dyDescent="0.2">
      <c r="A320" s="4"/>
      <c r="B320" s="3"/>
      <c r="C320" s="3"/>
      <c r="D320" s="3"/>
      <c r="E320" s="3"/>
      <c r="F320" s="3"/>
      <c r="G320" s="3"/>
      <c r="H320" s="3"/>
      <c r="I320" s="3"/>
      <c r="N320" s="24" t="s">
        <v>254</v>
      </c>
    </row>
    <row r="321" spans="1:14" x14ac:dyDescent="0.2">
      <c r="A321" s="4"/>
      <c r="B321" s="3"/>
      <c r="C321" s="3"/>
      <c r="D321" s="3"/>
      <c r="E321" s="3"/>
      <c r="F321" s="3"/>
      <c r="G321" s="3"/>
      <c r="H321" s="3"/>
      <c r="I321" s="3"/>
      <c r="N321" s="24" t="s">
        <v>255</v>
      </c>
    </row>
    <row r="322" spans="1:14" x14ac:dyDescent="0.2">
      <c r="A322" s="4"/>
      <c r="B322" s="3"/>
      <c r="C322" s="3"/>
      <c r="D322" s="3"/>
      <c r="E322" s="3"/>
      <c r="F322" s="3"/>
      <c r="G322" s="3"/>
      <c r="H322" s="3"/>
      <c r="I322" s="3"/>
      <c r="N322" s="24" t="s">
        <v>256</v>
      </c>
    </row>
    <row r="323" spans="1:14" x14ac:dyDescent="0.2">
      <c r="A323" s="4"/>
      <c r="B323" s="3"/>
      <c r="C323" s="3"/>
      <c r="D323" s="3"/>
      <c r="E323" s="3"/>
      <c r="F323" s="3"/>
      <c r="G323" s="3"/>
      <c r="H323" s="3"/>
      <c r="I323" s="3"/>
      <c r="N323" s="24" t="s">
        <v>257</v>
      </c>
    </row>
    <row r="324" spans="1:14" x14ac:dyDescent="0.2">
      <c r="A324" s="4"/>
      <c r="B324" s="3"/>
      <c r="C324" s="3"/>
      <c r="D324" s="3"/>
      <c r="E324" s="3"/>
      <c r="F324" s="3"/>
      <c r="G324" s="3"/>
      <c r="H324" s="3"/>
      <c r="I324" s="3"/>
      <c r="N324" s="24" t="s">
        <v>258</v>
      </c>
    </row>
    <row r="325" spans="1:14" x14ac:dyDescent="0.2">
      <c r="A325" s="4"/>
      <c r="B325" s="3"/>
      <c r="C325" s="3"/>
      <c r="D325" s="3"/>
      <c r="E325" s="3"/>
      <c r="F325" s="3"/>
      <c r="G325" s="3"/>
      <c r="H325" s="3"/>
      <c r="I325" s="3"/>
      <c r="N325" s="24" t="s">
        <v>259</v>
      </c>
    </row>
    <row r="326" spans="1:14" x14ac:dyDescent="0.2">
      <c r="A326" s="4"/>
      <c r="B326" s="3"/>
      <c r="C326" s="3"/>
      <c r="D326" s="3"/>
      <c r="E326" s="3"/>
      <c r="F326" s="3"/>
      <c r="G326" s="3"/>
      <c r="H326" s="3"/>
      <c r="I326" s="3"/>
      <c r="N326" s="24" t="s">
        <v>260</v>
      </c>
    </row>
    <row r="327" spans="1:14" x14ac:dyDescent="0.2">
      <c r="A327" s="4"/>
      <c r="B327" s="3"/>
      <c r="C327" s="3"/>
      <c r="D327" s="3"/>
      <c r="E327" s="3"/>
      <c r="F327" s="3"/>
      <c r="G327" s="3"/>
      <c r="N327" s="24" t="s">
        <v>261</v>
      </c>
    </row>
    <row r="328" spans="1:14" x14ac:dyDescent="0.2">
      <c r="A328" s="4"/>
      <c r="B328" s="3"/>
      <c r="C328" s="3"/>
      <c r="D328" s="3"/>
      <c r="E328" s="3"/>
      <c r="F328" s="3"/>
      <c r="G328" s="3"/>
      <c r="N328" s="24" t="s">
        <v>262</v>
      </c>
    </row>
    <row r="329" spans="1:14" x14ac:dyDescent="0.2">
      <c r="A329" s="4"/>
      <c r="B329" s="3"/>
      <c r="C329" s="3"/>
      <c r="D329" s="3"/>
      <c r="E329" s="3"/>
      <c r="F329" s="3"/>
      <c r="G329" s="3"/>
      <c r="N329" s="24" t="s">
        <v>263</v>
      </c>
    </row>
    <row r="330" spans="1:14" x14ac:dyDescent="0.2">
      <c r="A330" s="4"/>
      <c r="B330" s="3"/>
      <c r="C330" s="3"/>
      <c r="D330" s="3"/>
      <c r="E330" s="3"/>
      <c r="F330" s="3"/>
      <c r="G330" s="3"/>
      <c r="N330" s="24" t="s">
        <v>379</v>
      </c>
    </row>
    <row r="331" spans="1:14" x14ac:dyDescent="0.2">
      <c r="A331" s="4"/>
      <c r="B331" s="3"/>
      <c r="C331" s="3"/>
      <c r="D331" s="3"/>
      <c r="E331" s="3"/>
      <c r="F331" s="3"/>
      <c r="G331" s="3"/>
      <c r="N331" s="24" t="s">
        <v>378</v>
      </c>
    </row>
    <row r="332" spans="1:14" x14ac:dyDescent="0.2">
      <c r="A332" s="4"/>
      <c r="B332" s="3"/>
      <c r="C332" s="3"/>
      <c r="D332" s="3"/>
      <c r="E332" s="3"/>
      <c r="F332" s="3"/>
      <c r="G332" s="3"/>
      <c r="N332" s="24" t="s">
        <v>377</v>
      </c>
    </row>
    <row r="333" spans="1:14" x14ac:dyDescent="0.2">
      <c r="A333" s="4"/>
      <c r="B333" s="3"/>
      <c r="C333" s="3"/>
      <c r="D333" s="3"/>
      <c r="E333" s="3"/>
      <c r="F333" s="3"/>
      <c r="G333" s="3"/>
      <c r="N333" s="24" t="s">
        <v>376</v>
      </c>
    </row>
    <row r="334" spans="1:14" x14ac:dyDescent="0.2">
      <c r="A334" s="4"/>
      <c r="B334" s="3"/>
      <c r="C334" s="3"/>
      <c r="D334" s="3"/>
      <c r="E334" s="3"/>
      <c r="F334" s="3"/>
      <c r="G334" s="3"/>
      <c r="N334" s="24" t="s">
        <v>375</v>
      </c>
    </row>
    <row r="335" spans="1:14" x14ac:dyDescent="0.2">
      <c r="A335" s="4"/>
      <c r="B335" s="3"/>
      <c r="C335" s="3"/>
      <c r="D335" s="3"/>
      <c r="E335" s="3"/>
      <c r="F335" s="3"/>
      <c r="G335" s="3"/>
      <c r="N335" s="24" t="s">
        <v>374</v>
      </c>
    </row>
    <row r="336" spans="1:14" x14ac:dyDescent="0.2">
      <c r="A336" s="4"/>
      <c r="B336" s="3"/>
      <c r="C336" s="3"/>
      <c r="D336" s="3"/>
      <c r="E336" s="3"/>
      <c r="F336" s="3"/>
      <c r="G336" s="3"/>
      <c r="N336" s="24" t="s">
        <v>89</v>
      </c>
    </row>
    <row r="337" spans="1:14" x14ac:dyDescent="0.2">
      <c r="A337" s="4"/>
      <c r="B337" s="3"/>
      <c r="C337" s="3"/>
      <c r="D337" s="3"/>
      <c r="E337" s="3"/>
      <c r="F337" s="3"/>
      <c r="G337" s="3"/>
      <c r="N337" s="24" t="s">
        <v>264</v>
      </c>
    </row>
    <row r="338" spans="1:14" x14ac:dyDescent="0.2">
      <c r="A338" s="4"/>
      <c r="B338" s="3"/>
      <c r="C338" s="3"/>
      <c r="D338" s="3"/>
      <c r="E338" s="3"/>
      <c r="F338" s="3"/>
      <c r="G338" s="3"/>
      <c r="N338" s="24" t="s">
        <v>265</v>
      </c>
    </row>
    <row r="339" spans="1:14" x14ac:dyDescent="0.2">
      <c r="A339" s="4"/>
      <c r="B339" s="3"/>
      <c r="C339" s="3"/>
      <c r="D339" s="3"/>
      <c r="E339" s="3"/>
      <c r="F339" s="3"/>
      <c r="G339" s="3"/>
      <c r="N339" s="24" t="s">
        <v>266</v>
      </c>
    </row>
    <row r="340" spans="1:14" x14ac:dyDescent="0.2">
      <c r="A340" s="4"/>
      <c r="B340" s="3"/>
      <c r="C340" s="3"/>
      <c r="D340" s="3"/>
      <c r="E340" s="3"/>
      <c r="F340" s="3"/>
      <c r="G340" s="3"/>
      <c r="N340" s="24" t="s">
        <v>267</v>
      </c>
    </row>
    <row r="341" spans="1:14" x14ac:dyDescent="0.2">
      <c r="A341" s="4"/>
      <c r="B341" s="3"/>
      <c r="C341" s="3"/>
      <c r="D341" s="3"/>
      <c r="E341" s="3"/>
      <c r="F341" s="3"/>
      <c r="G341" s="3"/>
      <c r="N341" s="24" t="s">
        <v>268</v>
      </c>
    </row>
    <row r="342" spans="1:14" x14ac:dyDescent="0.2">
      <c r="A342" s="4"/>
      <c r="B342" s="3"/>
      <c r="C342" s="3"/>
      <c r="D342" s="3"/>
      <c r="E342" s="3"/>
      <c r="F342" s="3"/>
      <c r="G342" s="3"/>
      <c r="N342" s="24" t="s">
        <v>269</v>
      </c>
    </row>
    <row r="343" spans="1:14" x14ac:dyDescent="0.2">
      <c r="A343" s="4"/>
      <c r="B343" s="3"/>
      <c r="C343" s="3"/>
      <c r="D343" s="3"/>
      <c r="E343" s="3"/>
      <c r="F343" s="3"/>
      <c r="G343" s="3"/>
      <c r="N343" s="24" t="s">
        <v>270</v>
      </c>
    </row>
    <row r="344" spans="1:14" x14ac:dyDescent="0.2">
      <c r="A344" s="4"/>
      <c r="B344" s="3"/>
      <c r="C344" s="3"/>
      <c r="D344" s="3"/>
      <c r="E344" s="3"/>
      <c r="F344" s="3"/>
      <c r="G344" s="3"/>
      <c r="N344" s="24" t="s">
        <v>271</v>
      </c>
    </row>
    <row r="345" spans="1:14" x14ac:dyDescent="0.2">
      <c r="A345" s="4"/>
      <c r="B345" s="3"/>
      <c r="C345" s="3"/>
      <c r="D345" s="3"/>
      <c r="E345" s="3"/>
      <c r="F345" s="3"/>
      <c r="G345" s="3"/>
      <c r="N345" s="24" t="s">
        <v>272</v>
      </c>
    </row>
    <row r="346" spans="1:14" x14ac:dyDescent="0.2">
      <c r="A346" s="4"/>
      <c r="B346" s="3"/>
      <c r="C346" s="3"/>
      <c r="D346" s="3"/>
      <c r="E346" s="3"/>
      <c r="F346" s="3"/>
      <c r="G346" s="3"/>
      <c r="N346" s="24" t="s">
        <v>273</v>
      </c>
    </row>
    <row r="347" spans="1:14" x14ac:dyDescent="0.2">
      <c r="A347" s="4"/>
      <c r="B347" s="3"/>
      <c r="C347" s="3"/>
      <c r="D347" s="3"/>
      <c r="E347" s="3"/>
      <c r="F347" s="3"/>
      <c r="G347" s="3"/>
      <c r="N347" s="24" t="s">
        <v>274</v>
      </c>
    </row>
    <row r="348" spans="1:14" x14ac:dyDescent="0.2">
      <c r="A348" s="4"/>
      <c r="B348" s="3"/>
      <c r="C348" s="3"/>
      <c r="D348" s="3"/>
      <c r="E348" s="3"/>
      <c r="F348" s="3"/>
      <c r="G348" s="3"/>
      <c r="N348" s="24" t="s">
        <v>275</v>
      </c>
    </row>
    <row r="349" spans="1:14" x14ac:dyDescent="0.2">
      <c r="A349" s="4"/>
      <c r="B349" s="3"/>
      <c r="C349" s="3"/>
      <c r="D349" s="3"/>
      <c r="E349" s="3"/>
      <c r="F349" s="3"/>
      <c r="G349" s="3"/>
      <c r="N349" s="24" t="s">
        <v>115</v>
      </c>
    </row>
    <row r="350" spans="1:14" x14ac:dyDescent="0.2">
      <c r="A350" s="4"/>
      <c r="B350" s="3"/>
      <c r="C350" s="3"/>
      <c r="D350" s="3"/>
      <c r="E350" s="3"/>
      <c r="F350" s="3"/>
      <c r="G350" s="3"/>
      <c r="N350" s="24" t="s">
        <v>276</v>
      </c>
    </row>
    <row r="351" spans="1:14" x14ac:dyDescent="0.2">
      <c r="A351" s="4"/>
      <c r="B351" s="3"/>
      <c r="C351" s="3"/>
      <c r="D351" s="3"/>
      <c r="E351" s="3"/>
      <c r="F351" s="3"/>
      <c r="G351" s="3"/>
      <c r="N351" s="24" t="s">
        <v>277</v>
      </c>
    </row>
    <row r="352" spans="1:14" x14ac:dyDescent="0.2">
      <c r="A352" s="4"/>
      <c r="B352" s="3"/>
      <c r="C352" s="3"/>
      <c r="D352" s="3"/>
      <c r="E352" s="3"/>
      <c r="F352" s="3"/>
      <c r="G352" s="3"/>
      <c r="N352" s="24" t="s">
        <v>373</v>
      </c>
    </row>
    <row r="353" spans="1:14" x14ac:dyDescent="0.2">
      <c r="A353" s="4"/>
      <c r="B353" s="3"/>
      <c r="C353" s="3"/>
      <c r="D353" s="3"/>
      <c r="E353" s="3"/>
      <c r="F353" s="3"/>
      <c r="G353" s="3"/>
      <c r="N353" s="24" t="s">
        <v>278</v>
      </c>
    </row>
    <row r="354" spans="1:14" x14ac:dyDescent="0.2">
      <c r="A354" s="4"/>
      <c r="B354" s="3"/>
      <c r="C354" s="3"/>
      <c r="D354" s="3"/>
      <c r="E354" s="3"/>
      <c r="F354" s="3"/>
      <c r="G354" s="3"/>
      <c r="N354" s="24" t="s">
        <v>279</v>
      </c>
    </row>
    <row r="355" spans="1:14" x14ac:dyDescent="0.2">
      <c r="A355" s="4"/>
      <c r="B355" s="3"/>
      <c r="C355" s="3"/>
      <c r="D355" s="3"/>
      <c r="E355" s="3"/>
      <c r="F355" s="3"/>
      <c r="G355" s="3"/>
      <c r="N355" s="24" t="s">
        <v>372</v>
      </c>
    </row>
    <row r="356" spans="1:14" x14ac:dyDescent="0.2">
      <c r="C356" s="3"/>
      <c r="N356" s="24" t="s">
        <v>280</v>
      </c>
    </row>
    <row r="357" spans="1:14" x14ac:dyDescent="0.2">
      <c r="N357" s="24" t="s">
        <v>281</v>
      </c>
    </row>
    <row r="358" spans="1:14" x14ac:dyDescent="0.2">
      <c r="N358" s="24" t="s">
        <v>371</v>
      </c>
    </row>
    <row r="359" spans="1:14" x14ac:dyDescent="0.2">
      <c r="N359" s="24" t="s">
        <v>282</v>
      </c>
    </row>
    <row r="360" spans="1:14" x14ac:dyDescent="0.2">
      <c r="N360" s="24" t="s">
        <v>283</v>
      </c>
    </row>
    <row r="361" spans="1:14" x14ac:dyDescent="0.2">
      <c r="N361" s="24" t="s">
        <v>284</v>
      </c>
    </row>
    <row r="362" spans="1:14" x14ac:dyDescent="0.2">
      <c r="N362" s="24" t="s">
        <v>285</v>
      </c>
    </row>
    <row r="363" spans="1:14" x14ac:dyDescent="0.2">
      <c r="N363" s="24" t="s">
        <v>286</v>
      </c>
    </row>
    <row r="364" spans="1:14" x14ac:dyDescent="0.2">
      <c r="N364" s="24" t="s">
        <v>287</v>
      </c>
    </row>
    <row r="365" spans="1:14" x14ac:dyDescent="0.2">
      <c r="N365" s="24" t="s">
        <v>288</v>
      </c>
    </row>
    <row r="366" spans="1:14" x14ac:dyDescent="0.2">
      <c r="N366" s="24" t="s">
        <v>289</v>
      </c>
    </row>
    <row r="367" spans="1:14" x14ac:dyDescent="0.2">
      <c r="N367" s="24" t="s">
        <v>290</v>
      </c>
    </row>
  </sheetData>
  <sheetProtection sheet="1" objects="1" scenarios="1"/>
  <mergeCells count="2">
    <mergeCell ref="B5:C5"/>
    <mergeCell ref="B7:D7"/>
  </mergeCells>
  <conditionalFormatting sqref="B144:B355">
    <cfRule type="expression" dxfId="10" priority="10" stopIfTrue="1">
      <formula>A144&lt;&gt;""</formula>
    </cfRule>
  </conditionalFormatting>
  <conditionalFormatting sqref="C144:C356">
    <cfRule type="expression" dxfId="9" priority="9" stopIfTrue="1">
      <formula>A144&lt;&gt;""</formula>
    </cfRule>
  </conditionalFormatting>
  <conditionalFormatting sqref="D144:D355">
    <cfRule type="expression" dxfId="8" priority="7" stopIfTrue="1">
      <formula>OR(C144="date",C144="text")</formula>
    </cfRule>
    <cfRule type="expression" dxfId="7" priority="8" stopIfTrue="1">
      <formula>OR(C144="number")</formula>
    </cfRule>
  </conditionalFormatting>
  <conditionalFormatting sqref="E144:E355">
    <cfRule type="expression" dxfId="6" priority="5" stopIfTrue="1">
      <formula>OR(C144="number",C144="text")</formula>
    </cfRule>
    <cfRule type="expression" dxfId="5" priority="6" stopIfTrue="1">
      <formula>OR(C144="datetime")</formula>
    </cfRule>
  </conditionalFormatting>
  <conditionalFormatting sqref="F144:G355">
    <cfRule type="expression" dxfId="4" priority="3" stopIfTrue="1">
      <formula>OR($C144="number", $C144="text")</formula>
    </cfRule>
    <cfRule type="expression" dxfId="3" priority="4" stopIfTrue="1">
      <formula>OR($C144="date")</formula>
    </cfRule>
  </conditionalFormatting>
  <conditionalFormatting sqref="B49:I49">
    <cfRule type="expression" dxfId="2" priority="2" stopIfTrue="1">
      <formula>NOT(ISBLANK($B$51:$B$58))</formula>
    </cfRule>
  </conditionalFormatting>
  <conditionalFormatting sqref="B56:AO59">
    <cfRule type="expression" dxfId="1" priority="1" stopIfTrue="1">
      <formula>NOT(ISBLANK($B$51:$B$58))</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44:D355 WVL983184:WVL983395 WLP983184:WLP983395 WBT983184:WBT983395 VRX983184:VRX983395 VIB983184:VIB983395 UYF983184:UYF983395 UOJ983184:UOJ983395 UEN983184:UEN983395 TUR983184:TUR983395 TKV983184:TKV983395 TAZ983184:TAZ983395 SRD983184:SRD983395 SHH983184:SHH983395 RXL983184:RXL983395 RNP983184:RNP983395 RDT983184:RDT983395 QTX983184:QTX983395 QKB983184:QKB983395 QAF983184:QAF983395 PQJ983184:PQJ983395 PGN983184:PGN983395 OWR983184:OWR983395 OMV983184:OMV983395 OCZ983184:OCZ983395 NTD983184:NTD983395 NJH983184:NJH983395 MZL983184:MZL983395 MPP983184:MPP983395 MFT983184:MFT983395 LVX983184:LVX983395 LMB983184:LMB983395 LCF983184:LCF983395 KSJ983184:KSJ983395 KIN983184:KIN983395 JYR983184:JYR983395 JOV983184:JOV983395 JEZ983184:JEZ983395 IVD983184:IVD983395 ILH983184:ILH983395 IBL983184:IBL983395 HRP983184:HRP983395 HHT983184:HHT983395 GXX983184:GXX983395 GOB983184:GOB983395 GEF983184:GEF983395 FUJ983184:FUJ983395 FKN983184:FKN983395 FAR983184:FAR983395 EQV983184:EQV983395 EGZ983184:EGZ983395 DXD983184:DXD983395 DNH983184:DNH983395 DDL983184:DDL983395 CTP983184:CTP983395 CJT983184:CJT983395 BZX983184:BZX983395 BQB983184:BQB983395 BGF983184:BGF983395 AWJ983184:AWJ983395 AMN983184:AMN983395 ACR983184:ACR983395 SV983184:SV983395 IZ983184:IZ983395 D983184:D983395 WVL917648:WVL917859 WLP917648:WLP917859 WBT917648:WBT917859 VRX917648:VRX917859 VIB917648:VIB917859 UYF917648:UYF917859 UOJ917648:UOJ917859 UEN917648:UEN917859 TUR917648:TUR917859 TKV917648:TKV917859 TAZ917648:TAZ917859 SRD917648:SRD917859 SHH917648:SHH917859 RXL917648:RXL917859 RNP917648:RNP917859 RDT917648:RDT917859 QTX917648:QTX917859 QKB917648:QKB917859 QAF917648:QAF917859 PQJ917648:PQJ917859 PGN917648:PGN917859 OWR917648:OWR917859 OMV917648:OMV917859 OCZ917648:OCZ917859 NTD917648:NTD917859 NJH917648:NJH917859 MZL917648:MZL917859 MPP917648:MPP917859 MFT917648:MFT917859 LVX917648:LVX917859 LMB917648:LMB917859 LCF917648:LCF917859 KSJ917648:KSJ917859 KIN917648:KIN917859 JYR917648:JYR917859 JOV917648:JOV917859 JEZ917648:JEZ917859 IVD917648:IVD917859 ILH917648:ILH917859 IBL917648:IBL917859 HRP917648:HRP917859 HHT917648:HHT917859 GXX917648:GXX917859 GOB917648:GOB917859 GEF917648:GEF917859 FUJ917648:FUJ917859 FKN917648:FKN917859 FAR917648:FAR917859 EQV917648:EQV917859 EGZ917648:EGZ917859 DXD917648:DXD917859 DNH917648:DNH917859 DDL917648:DDL917859 CTP917648:CTP917859 CJT917648:CJT917859 BZX917648:BZX917859 BQB917648:BQB917859 BGF917648:BGF917859 AWJ917648:AWJ917859 AMN917648:AMN917859 ACR917648:ACR917859 SV917648:SV917859 IZ917648:IZ917859 D917648:D917859 WVL852112:WVL852323 WLP852112:WLP852323 WBT852112:WBT852323 VRX852112:VRX852323 VIB852112:VIB852323 UYF852112:UYF852323 UOJ852112:UOJ852323 UEN852112:UEN852323 TUR852112:TUR852323 TKV852112:TKV852323 TAZ852112:TAZ852323 SRD852112:SRD852323 SHH852112:SHH852323 RXL852112:RXL852323 RNP852112:RNP852323 RDT852112:RDT852323 QTX852112:QTX852323 QKB852112:QKB852323 QAF852112:QAF852323 PQJ852112:PQJ852323 PGN852112:PGN852323 OWR852112:OWR852323 OMV852112:OMV852323 OCZ852112:OCZ852323 NTD852112:NTD852323 NJH852112:NJH852323 MZL852112:MZL852323 MPP852112:MPP852323 MFT852112:MFT852323 LVX852112:LVX852323 LMB852112:LMB852323 LCF852112:LCF852323 KSJ852112:KSJ852323 KIN852112:KIN852323 JYR852112:JYR852323 JOV852112:JOV852323 JEZ852112:JEZ852323 IVD852112:IVD852323 ILH852112:ILH852323 IBL852112:IBL852323 HRP852112:HRP852323 HHT852112:HHT852323 GXX852112:GXX852323 GOB852112:GOB852323 GEF852112:GEF852323 FUJ852112:FUJ852323 FKN852112:FKN852323 FAR852112:FAR852323 EQV852112:EQV852323 EGZ852112:EGZ852323 DXD852112:DXD852323 DNH852112:DNH852323 DDL852112:DDL852323 CTP852112:CTP852323 CJT852112:CJT852323 BZX852112:BZX852323 BQB852112:BQB852323 BGF852112:BGF852323 AWJ852112:AWJ852323 AMN852112:AMN852323 ACR852112:ACR852323 SV852112:SV852323 IZ852112:IZ852323 D852112:D852323 WVL786576:WVL786787 WLP786576:WLP786787 WBT786576:WBT786787 VRX786576:VRX786787 VIB786576:VIB786787 UYF786576:UYF786787 UOJ786576:UOJ786787 UEN786576:UEN786787 TUR786576:TUR786787 TKV786576:TKV786787 TAZ786576:TAZ786787 SRD786576:SRD786787 SHH786576:SHH786787 RXL786576:RXL786787 RNP786576:RNP786787 RDT786576:RDT786787 QTX786576:QTX786787 QKB786576:QKB786787 QAF786576:QAF786787 PQJ786576:PQJ786787 PGN786576:PGN786787 OWR786576:OWR786787 OMV786576:OMV786787 OCZ786576:OCZ786787 NTD786576:NTD786787 NJH786576:NJH786787 MZL786576:MZL786787 MPP786576:MPP786787 MFT786576:MFT786787 LVX786576:LVX786787 LMB786576:LMB786787 LCF786576:LCF786787 KSJ786576:KSJ786787 KIN786576:KIN786787 JYR786576:JYR786787 JOV786576:JOV786787 JEZ786576:JEZ786787 IVD786576:IVD786787 ILH786576:ILH786787 IBL786576:IBL786787 HRP786576:HRP786787 HHT786576:HHT786787 GXX786576:GXX786787 GOB786576:GOB786787 GEF786576:GEF786787 FUJ786576:FUJ786787 FKN786576:FKN786787 FAR786576:FAR786787 EQV786576:EQV786787 EGZ786576:EGZ786787 DXD786576:DXD786787 DNH786576:DNH786787 DDL786576:DDL786787 CTP786576:CTP786787 CJT786576:CJT786787 BZX786576:BZX786787 BQB786576:BQB786787 BGF786576:BGF786787 AWJ786576:AWJ786787 AMN786576:AMN786787 ACR786576:ACR786787 SV786576:SV786787 IZ786576:IZ786787 D786576:D786787 WVL721040:WVL721251 WLP721040:WLP721251 WBT721040:WBT721251 VRX721040:VRX721251 VIB721040:VIB721251 UYF721040:UYF721251 UOJ721040:UOJ721251 UEN721040:UEN721251 TUR721040:TUR721251 TKV721040:TKV721251 TAZ721040:TAZ721251 SRD721040:SRD721251 SHH721040:SHH721251 RXL721040:RXL721251 RNP721040:RNP721251 RDT721040:RDT721251 QTX721040:QTX721251 QKB721040:QKB721251 QAF721040:QAF721251 PQJ721040:PQJ721251 PGN721040:PGN721251 OWR721040:OWR721251 OMV721040:OMV721251 OCZ721040:OCZ721251 NTD721040:NTD721251 NJH721040:NJH721251 MZL721040:MZL721251 MPP721040:MPP721251 MFT721040:MFT721251 LVX721040:LVX721251 LMB721040:LMB721251 LCF721040:LCF721251 KSJ721040:KSJ721251 KIN721040:KIN721251 JYR721040:JYR721251 JOV721040:JOV721251 JEZ721040:JEZ721251 IVD721040:IVD721251 ILH721040:ILH721251 IBL721040:IBL721251 HRP721040:HRP721251 HHT721040:HHT721251 GXX721040:GXX721251 GOB721040:GOB721251 GEF721040:GEF721251 FUJ721040:FUJ721251 FKN721040:FKN721251 FAR721040:FAR721251 EQV721040:EQV721251 EGZ721040:EGZ721251 DXD721040:DXD721251 DNH721040:DNH721251 DDL721040:DDL721251 CTP721040:CTP721251 CJT721040:CJT721251 BZX721040:BZX721251 BQB721040:BQB721251 BGF721040:BGF721251 AWJ721040:AWJ721251 AMN721040:AMN721251 ACR721040:ACR721251 SV721040:SV721251 IZ721040:IZ721251 D721040:D721251 WVL655504:WVL655715 WLP655504:WLP655715 WBT655504:WBT655715 VRX655504:VRX655715 VIB655504:VIB655715 UYF655504:UYF655715 UOJ655504:UOJ655715 UEN655504:UEN655715 TUR655504:TUR655715 TKV655504:TKV655715 TAZ655504:TAZ655715 SRD655504:SRD655715 SHH655504:SHH655715 RXL655504:RXL655715 RNP655504:RNP655715 RDT655504:RDT655715 QTX655504:QTX655715 QKB655504:QKB655715 QAF655504:QAF655715 PQJ655504:PQJ655715 PGN655504:PGN655715 OWR655504:OWR655715 OMV655504:OMV655715 OCZ655504:OCZ655715 NTD655504:NTD655715 NJH655504:NJH655715 MZL655504:MZL655715 MPP655504:MPP655715 MFT655504:MFT655715 LVX655504:LVX655715 LMB655504:LMB655715 LCF655504:LCF655715 KSJ655504:KSJ655715 KIN655504:KIN655715 JYR655504:JYR655715 JOV655504:JOV655715 JEZ655504:JEZ655715 IVD655504:IVD655715 ILH655504:ILH655715 IBL655504:IBL655715 HRP655504:HRP655715 HHT655504:HHT655715 GXX655504:GXX655715 GOB655504:GOB655715 GEF655504:GEF655715 FUJ655504:FUJ655715 FKN655504:FKN655715 FAR655504:FAR655715 EQV655504:EQV655715 EGZ655504:EGZ655715 DXD655504:DXD655715 DNH655504:DNH655715 DDL655504:DDL655715 CTP655504:CTP655715 CJT655504:CJT655715 BZX655504:BZX655715 BQB655504:BQB655715 BGF655504:BGF655715 AWJ655504:AWJ655715 AMN655504:AMN655715 ACR655504:ACR655715 SV655504:SV655715 IZ655504:IZ655715 D655504:D655715 WVL589968:WVL590179 WLP589968:WLP590179 WBT589968:WBT590179 VRX589968:VRX590179 VIB589968:VIB590179 UYF589968:UYF590179 UOJ589968:UOJ590179 UEN589968:UEN590179 TUR589968:TUR590179 TKV589968:TKV590179 TAZ589968:TAZ590179 SRD589968:SRD590179 SHH589968:SHH590179 RXL589968:RXL590179 RNP589968:RNP590179 RDT589968:RDT590179 QTX589968:QTX590179 QKB589968:QKB590179 QAF589968:QAF590179 PQJ589968:PQJ590179 PGN589968:PGN590179 OWR589968:OWR590179 OMV589968:OMV590179 OCZ589968:OCZ590179 NTD589968:NTD590179 NJH589968:NJH590179 MZL589968:MZL590179 MPP589968:MPP590179 MFT589968:MFT590179 LVX589968:LVX590179 LMB589968:LMB590179 LCF589968:LCF590179 KSJ589968:KSJ590179 KIN589968:KIN590179 JYR589968:JYR590179 JOV589968:JOV590179 JEZ589968:JEZ590179 IVD589968:IVD590179 ILH589968:ILH590179 IBL589968:IBL590179 HRP589968:HRP590179 HHT589968:HHT590179 GXX589968:GXX590179 GOB589968:GOB590179 GEF589968:GEF590179 FUJ589968:FUJ590179 FKN589968:FKN590179 FAR589968:FAR590179 EQV589968:EQV590179 EGZ589968:EGZ590179 DXD589968:DXD590179 DNH589968:DNH590179 DDL589968:DDL590179 CTP589968:CTP590179 CJT589968:CJT590179 BZX589968:BZX590179 BQB589968:BQB590179 BGF589968:BGF590179 AWJ589968:AWJ590179 AMN589968:AMN590179 ACR589968:ACR590179 SV589968:SV590179 IZ589968:IZ590179 D589968:D590179 WVL524432:WVL524643 WLP524432:WLP524643 WBT524432:WBT524643 VRX524432:VRX524643 VIB524432:VIB524643 UYF524432:UYF524643 UOJ524432:UOJ524643 UEN524432:UEN524643 TUR524432:TUR524643 TKV524432:TKV524643 TAZ524432:TAZ524643 SRD524432:SRD524643 SHH524432:SHH524643 RXL524432:RXL524643 RNP524432:RNP524643 RDT524432:RDT524643 QTX524432:QTX524643 QKB524432:QKB524643 QAF524432:QAF524643 PQJ524432:PQJ524643 PGN524432:PGN524643 OWR524432:OWR524643 OMV524432:OMV524643 OCZ524432:OCZ524643 NTD524432:NTD524643 NJH524432:NJH524643 MZL524432:MZL524643 MPP524432:MPP524643 MFT524432:MFT524643 LVX524432:LVX524643 LMB524432:LMB524643 LCF524432:LCF524643 KSJ524432:KSJ524643 KIN524432:KIN524643 JYR524432:JYR524643 JOV524432:JOV524643 JEZ524432:JEZ524643 IVD524432:IVD524643 ILH524432:ILH524643 IBL524432:IBL524643 HRP524432:HRP524643 HHT524432:HHT524643 GXX524432:GXX524643 GOB524432:GOB524643 GEF524432:GEF524643 FUJ524432:FUJ524643 FKN524432:FKN524643 FAR524432:FAR524643 EQV524432:EQV524643 EGZ524432:EGZ524643 DXD524432:DXD524643 DNH524432:DNH524643 DDL524432:DDL524643 CTP524432:CTP524643 CJT524432:CJT524643 BZX524432:BZX524643 BQB524432:BQB524643 BGF524432:BGF524643 AWJ524432:AWJ524643 AMN524432:AMN524643 ACR524432:ACR524643 SV524432:SV524643 IZ524432:IZ524643 D524432:D524643 WVL458896:WVL459107 WLP458896:WLP459107 WBT458896:WBT459107 VRX458896:VRX459107 VIB458896:VIB459107 UYF458896:UYF459107 UOJ458896:UOJ459107 UEN458896:UEN459107 TUR458896:TUR459107 TKV458896:TKV459107 TAZ458896:TAZ459107 SRD458896:SRD459107 SHH458896:SHH459107 RXL458896:RXL459107 RNP458896:RNP459107 RDT458896:RDT459107 QTX458896:QTX459107 QKB458896:QKB459107 QAF458896:QAF459107 PQJ458896:PQJ459107 PGN458896:PGN459107 OWR458896:OWR459107 OMV458896:OMV459107 OCZ458896:OCZ459107 NTD458896:NTD459107 NJH458896:NJH459107 MZL458896:MZL459107 MPP458896:MPP459107 MFT458896:MFT459107 LVX458896:LVX459107 LMB458896:LMB459107 LCF458896:LCF459107 KSJ458896:KSJ459107 KIN458896:KIN459107 JYR458896:JYR459107 JOV458896:JOV459107 JEZ458896:JEZ459107 IVD458896:IVD459107 ILH458896:ILH459107 IBL458896:IBL459107 HRP458896:HRP459107 HHT458896:HHT459107 GXX458896:GXX459107 GOB458896:GOB459107 GEF458896:GEF459107 FUJ458896:FUJ459107 FKN458896:FKN459107 FAR458896:FAR459107 EQV458896:EQV459107 EGZ458896:EGZ459107 DXD458896:DXD459107 DNH458896:DNH459107 DDL458896:DDL459107 CTP458896:CTP459107 CJT458896:CJT459107 BZX458896:BZX459107 BQB458896:BQB459107 BGF458896:BGF459107 AWJ458896:AWJ459107 AMN458896:AMN459107 ACR458896:ACR459107 SV458896:SV459107 IZ458896:IZ459107 D458896:D459107 WVL393360:WVL393571 WLP393360:WLP393571 WBT393360:WBT393571 VRX393360:VRX393571 VIB393360:VIB393571 UYF393360:UYF393571 UOJ393360:UOJ393571 UEN393360:UEN393571 TUR393360:TUR393571 TKV393360:TKV393571 TAZ393360:TAZ393571 SRD393360:SRD393571 SHH393360:SHH393571 RXL393360:RXL393571 RNP393360:RNP393571 RDT393360:RDT393571 QTX393360:QTX393571 QKB393360:QKB393571 QAF393360:QAF393571 PQJ393360:PQJ393571 PGN393360:PGN393571 OWR393360:OWR393571 OMV393360:OMV393571 OCZ393360:OCZ393571 NTD393360:NTD393571 NJH393360:NJH393571 MZL393360:MZL393571 MPP393360:MPP393571 MFT393360:MFT393571 LVX393360:LVX393571 LMB393360:LMB393571 LCF393360:LCF393571 KSJ393360:KSJ393571 KIN393360:KIN393571 JYR393360:JYR393571 JOV393360:JOV393571 JEZ393360:JEZ393571 IVD393360:IVD393571 ILH393360:ILH393571 IBL393360:IBL393571 HRP393360:HRP393571 HHT393360:HHT393571 GXX393360:GXX393571 GOB393360:GOB393571 GEF393360:GEF393571 FUJ393360:FUJ393571 FKN393360:FKN393571 FAR393360:FAR393571 EQV393360:EQV393571 EGZ393360:EGZ393571 DXD393360:DXD393571 DNH393360:DNH393571 DDL393360:DDL393571 CTP393360:CTP393571 CJT393360:CJT393571 BZX393360:BZX393571 BQB393360:BQB393571 BGF393360:BGF393571 AWJ393360:AWJ393571 AMN393360:AMN393571 ACR393360:ACR393571 SV393360:SV393571 IZ393360:IZ393571 D393360:D393571 WVL327824:WVL328035 WLP327824:WLP328035 WBT327824:WBT328035 VRX327824:VRX328035 VIB327824:VIB328035 UYF327824:UYF328035 UOJ327824:UOJ328035 UEN327824:UEN328035 TUR327824:TUR328035 TKV327824:TKV328035 TAZ327824:TAZ328035 SRD327824:SRD328035 SHH327824:SHH328035 RXL327824:RXL328035 RNP327824:RNP328035 RDT327824:RDT328035 QTX327824:QTX328035 QKB327824:QKB328035 QAF327824:QAF328035 PQJ327824:PQJ328035 PGN327824:PGN328035 OWR327824:OWR328035 OMV327824:OMV328035 OCZ327824:OCZ328035 NTD327824:NTD328035 NJH327824:NJH328035 MZL327824:MZL328035 MPP327824:MPP328035 MFT327824:MFT328035 LVX327824:LVX328035 LMB327824:LMB328035 LCF327824:LCF328035 KSJ327824:KSJ328035 KIN327824:KIN328035 JYR327824:JYR328035 JOV327824:JOV328035 JEZ327824:JEZ328035 IVD327824:IVD328035 ILH327824:ILH328035 IBL327824:IBL328035 HRP327824:HRP328035 HHT327824:HHT328035 GXX327824:GXX328035 GOB327824:GOB328035 GEF327824:GEF328035 FUJ327824:FUJ328035 FKN327824:FKN328035 FAR327824:FAR328035 EQV327824:EQV328035 EGZ327824:EGZ328035 DXD327824:DXD328035 DNH327824:DNH328035 DDL327824:DDL328035 CTP327824:CTP328035 CJT327824:CJT328035 BZX327824:BZX328035 BQB327824:BQB328035 BGF327824:BGF328035 AWJ327824:AWJ328035 AMN327824:AMN328035 ACR327824:ACR328035 SV327824:SV328035 IZ327824:IZ328035 D327824:D328035 WVL262288:WVL262499 WLP262288:WLP262499 WBT262288:WBT262499 VRX262288:VRX262499 VIB262288:VIB262499 UYF262288:UYF262499 UOJ262288:UOJ262499 UEN262288:UEN262499 TUR262288:TUR262499 TKV262288:TKV262499 TAZ262288:TAZ262499 SRD262288:SRD262499 SHH262288:SHH262499 RXL262288:RXL262499 RNP262288:RNP262499 RDT262288:RDT262499 QTX262288:QTX262499 QKB262288:QKB262499 QAF262288:QAF262499 PQJ262288:PQJ262499 PGN262288:PGN262499 OWR262288:OWR262499 OMV262288:OMV262499 OCZ262288:OCZ262499 NTD262288:NTD262499 NJH262288:NJH262499 MZL262288:MZL262499 MPP262288:MPP262499 MFT262288:MFT262499 LVX262288:LVX262499 LMB262288:LMB262499 LCF262288:LCF262499 KSJ262288:KSJ262499 KIN262288:KIN262499 JYR262288:JYR262499 JOV262288:JOV262499 JEZ262288:JEZ262499 IVD262288:IVD262499 ILH262288:ILH262499 IBL262288:IBL262499 HRP262288:HRP262499 HHT262288:HHT262499 GXX262288:GXX262499 GOB262288:GOB262499 GEF262288:GEF262499 FUJ262288:FUJ262499 FKN262288:FKN262499 FAR262288:FAR262499 EQV262288:EQV262499 EGZ262288:EGZ262499 DXD262288:DXD262499 DNH262288:DNH262499 DDL262288:DDL262499 CTP262288:CTP262499 CJT262288:CJT262499 BZX262288:BZX262499 BQB262288:BQB262499 BGF262288:BGF262499 AWJ262288:AWJ262499 AMN262288:AMN262499 ACR262288:ACR262499 SV262288:SV262499 IZ262288:IZ262499 D262288:D262499 WVL196752:WVL196963 WLP196752:WLP196963 WBT196752:WBT196963 VRX196752:VRX196963 VIB196752:VIB196963 UYF196752:UYF196963 UOJ196752:UOJ196963 UEN196752:UEN196963 TUR196752:TUR196963 TKV196752:TKV196963 TAZ196752:TAZ196963 SRD196752:SRD196963 SHH196752:SHH196963 RXL196752:RXL196963 RNP196752:RNP196963 RDT196752:RDT196963 QTX196752:QTX196963 QKB196752:QKB196963 QAF196752:QAF196963 PQJ196752:PQJ196963 PGN196752:PGN196963 OWR196752:OWR196963 OMV196752:OMV196963 OCZ196752:OCZ196963 NTD196752:NTD196963 NJH196752:NJH196963 MZL196752:MZL196963 MPP196752:MPP196963 MFT196752:MFT196963 LVX196752:LVX196963 LMB196752:LMB196963 LCF196752:LCF196963 KSJ196752:KSJ196963 KIN196752:KIN196963 JYR196752:JYR196963 JOV196752:JOV196963 JEZ196752:JEZ196963 IVD196752:IVD196963 ILH196752:ILH196963 IBL196752:IBL196963 HRP196752:HRP196963 HHT196752:HHT196963 GXX196752:GXX196963 GOB196752:GOB196963 GEF196752:GEF196963 FUJ196752:FUJ196963 FKN196752:FKN196963 FAR196752:FAR196963 EQV196752:EQV196963 EGZ196752:EGZ196963 DXD196752:DXD196963 DNH196752:DNH196963 DDL196752:DDL196963 CTP196752:CTP196963 CJT196752:CJT196963 BZX196752:BZX196963 BQB196752:BQB196963 BGF196752:BGF196963 AWJ196752:AWJ196963 AMN196752:AMN196963 ACR196752:ACR196963 SV196752:SV196963 IZ196752:IZ196963 D196752:D196963 WVL131216:WVL131427 WLP131216:WLP131427 WBT131216:WBT131427 VRX131216:VRX131427 VIB131216:VIB131427 UYF131216:UYF131427 UOJ131216:UOJ131427 UEN131216:UEN131427 TUR131216:TUR131427 TKV131216:TKV131427 TAZ131216:TAZ131427 SRD131216:SRD131427 SHH131216:SHH131427 RXL131216:RXL131427 RNP131216:RNP131427 RDT131216:RDT131427 QTX131216:QTX131427 QKB131216:QKB131427 QAF131216:QAF131427 PQJ131216:PQJ131427 PGN131216:PGN131427 OWR131216:OWR131427 OMV131216:OMV131427 OCZ131216:OCZ131427 NTD131216:NTD131427 NJH131216:NJH131427 MZL131216:MZL131427 MPP131216:MPP131427 MFT131216:MFT131427 LVX131216:LVX131427 LMB131216:LMB131427 LCF131216:LCF131427 KSJ131216:KSJ131427 KIN131216:KIN131427 JYR131216:JYR131427 JOV131216:JOV131427 JEZ131216:JEZ131427 IVD131216:IVD131427 ILH131216:ILH131427 IBL131216:IBL131427 HRP131216:HRP131427 HHT131216:HHT131427 GXX131216:GXX131427 GOB131216:GOB131427 GEF131216:GEF131427 FUJ131216:FUJ131427 FKN131216:FKN131427 FAR131216:FAR131427 EQV131216:EQV131427 EGZ131216:EGZ131427 DXD131216:DXD131427 DNH131216:DNH131427 DDL131216:DDL131427 CTP131216:CTP131427 CJT131216:CJT131427 BZX131216:BZX131427 BQB131216:BQB131427 BGF131216:BGF131427 AWJ131216:AWJ131427 AMN131216:AMN131427 ACR131216:ACR131427 SV131216:SV131427 IZ131216:IZ131427 D131216:D131427 WVL65680:WVL65891 WLP65680:WLP65891 WBT65680:WBT65891 VRX65680:VRX65891 VIB65680:VIB65891 UYF65680:UYF65891 UOJ65680:UOJ65891 UEN65680:UEN65891 TUR65680:TUR65891 TKV65680:TKV65891 TAZ65680:TAZ65891 SRD65680:SRD65891 SHH65680:SHH65891 RXL65680:RXL65891 RNP65680:RNP65891 RDT65680:RDT65891 QTX65680:QTX65891 QKB65680:QKB65891 QAF65680:QAF65891 PQJ65680:PQJ65891 PGN65680:PGN65891 OWR65680:OWR65891 OMV65680:OMV65891 OCZ65680:OCZ65891 NTD65680:NTD65891 NJH65680:NJH65891 MZL65680:MZL65891 MPP65680:MPP65891 MFT65680:MFT65891 LVX65680:LVX65891 LMB65680:LMB65891 LCF65680:LCF65891 KSJ65680:KSJ65891 KIN65680:KIN65891 JYR65680:JYR65891 JOV65680:JOV65891 JEZ65680:JEZ65891 IVD65680:IVD65891 ILH65680:ILH65891 IBL65680:IBL65891 HRP65680:HRP65891 HHT65680:HHT65891 GXX65680:GXX65891 GOB65680:GOB65891 GEF65680:GEF65891 FUJ65680:FUJ65891 FKN65680:FKN65891 FAR65680:FAR65891 EQV65680:EQV65891 EGZ65680:EGZ65891 DXD65680:DXD65891 DNH65680:DNH65891 DDL65680:DDL65891 CTP65680:CTP65891 CJT65680:CJT65891 BZX65680:BZX65891 BQB65680:BQB65891 BGF65680:BGF65891 AWJ65680:AWJ65891 AMN65680:AMN65891 ACR65680:ACR65891 SV65680:SV65891 IZ65680:IZ65891 D65680:D65891 WVL144:WVL355 WLP144:WLP355 WBT144:WBT355 VRX144:VRX355 VIB144:VIB355 UYF144:UYF355 UOJ144:UOJ355 UEN144:UEN355 TUR144:TUR355 TKV144:TKV355 TAZ144:TAZ355 SRD144:SRD355 SHH144:SHH355 RXL144:RXL355 RNP144:RNP355 RDT144:RDT355 QTX144:QTX355 QKB144:QKB355 QAF144:QAF355 PQJ144:PQJ355 PGN144:PGN355 OWR144:OWR355 OMV144:OMV355 OCZ144:OCZ355 NTD144:NTD355 NJH144:NJH355 MZL144:MZL355 MPP144:MPP355 MFT144:MFT355 LVX144:LVX355 LMB144:LMB355 LCF144:LCF355 KSJ144:KSJ355 KIN144:KIN355 JYR144:JYR355 JOV144:JOV355 JEZ144:JEZ355 IVD144:IVD355 ILH144:ILH355 IBL144:IBL355 HRP144:HRP355 HHT144:HHT355 GXX144:GXX355 GOB144:GOB355 GEF144:GEF355 FUJ144:FUJ355 FKN144:FKN355 FAR144:FAR355 EQV144:EQV355 EGZ144:EGZ355 DXD144:DXD355 DNH144:DNH355 DDL144:DDL355 CTP144:CTP355 CJT144:CJT355 BZX144:BZX355 BQB144:BQB355 BGF144:BGF355 AWJ144:AWJ355 AMN144:AMN355 ACR144:ACR355 SV144:SV355 IZ144:IZ355">
      <formula1>$N$144:$N$367</formula1>
    </dataValidation>
    <dataValidation type="list" errorStyle="information" allowBlank="1" showInputMessage="1" showErrorMessage="1" errorTitle="New Site" error="If a site is not in the list enter a new Name" prompt="Select a site name or enter a new one" sqref="B48:I48 IX48:JE48 ST48:TA48 ACP48:ACW48 AML48:AMS48 AWH48:AWO48 BGD48:BGK48 BPZ48:BQG48 BZV48:CAC48 CJR48:CJY48 CTN48:CTU48 DDJ48:DDQ48 DNF48:DNM48 DXB48:DXI48 EGX48:EHE48 EQT48:ERA48 FAP48:FAW48 FKL48:FKS48 FUH48:FUO48 GED48:GEK48 GNZ48:GOG48 GXV48:GYC48 HHR48:HHY48 HRN48:HRU48 IBJ48:IBQ48 ILF48:ILM48 IVB48:IVI48 JEX48:JFE48 JOT48:JPA48 JYP48:JYW48 KIL48:KIS48 KSH48:KSO48 LCD48:LCK48 LLZ48:LMG48 LVV48:LWC48 MFR48:MFY48 MPN48:MPU48 MZJ48:MZQ48 NJF48:NJM48 NTB48:NTI48 OCX48:ODE48 OMT48:ONA48 OWP48:OWW48 PGL48:PGS48 PQH48:PQO48 QAD48:QAK48 QJZ48:QKG48 QTV48:QUC48 RDR48:RDY48 RNN48:RNU48 RXJ48:RXQ48 SHF48:SHM48 SRB48:SRI48 TAX48:TBE48 TKT48:TLA48 TUP48:TUW48 UEL48:UES48 UOH48:UOO48 UYD48:UYK48 VHZ48:VIG48 VRV48:VSC48 WBR48:WBY48 WLN48:WLU48 WVJ48:WVQ48 B65604:I65604 IX65604:JE65604 ST65604:TA65604 ACP65604:ACW65604 AML65604:AMS65604 AWH65604:AWO65604 BGD65604:BGK65604 BPZ65604:BQG65604 BZV65604:CAC65604 CJR65604:CJY65604 CTN65604:CTU65604 DDJ65604:DDQ65604 DNF65604:DNM65604 DXB65604:DXI65604 EGX65604:EHE65604 EQT65604:ERA65604 FAP65604:FAW65604 FKL65604:FKS65604 FUH65604:FUO65604 GED65604:GEK65604 GNZ65604:GOG65604 GXV65604:GYC65604 HHR65604:HHY65604 HRN65604:HRU65604 IBJ65604:IBQ65604 ILF65604:ILM65604 IVB65604:IVI65604 JEX65604:JFE65604 JOT65604:JPA65604 JYP65604:JYW65604 KIL65604:KIS65604 KSH65604:KSO65604 LCD65604:LCK65604 LLZ65604:LMG65604 LVV65604:LWC65604 MFR65604:MFY65604 MPN65604:MPU65604 MZJ65604:MZQ65604 NJF65604:NJM65604 NTB65604:NTI65604 OCX65604:ODE65604 OMT65604:ONA65604 OWP65604:OWW65604 PGL65604:PGS65604 PQH65604:PQO65604 QAD65604:QAK65604 QJZ65604:QKG65604 QTV65604:QUC65604 RDR65604:RDY65604 RNN65604:RNU65604 RXJ65604:RXQ65604 SHF65604:SHM65604 SRB65604:SRI65604 TAX65604:TBE65604 TKT65604:TLA65604 TUP65604:TUW65604 UEL65604:UES65604 UOH65604:UOO65604 UYD65604:UYK65604 VHZ65604:VIG65604 VRV65604:VSC65604 WBR65604:WBY65604 WLN65604:WLU65604 WVJ65604:WVQ65604 B131140:I131140 IX131140:JE131140 ST131140:TA131140 ACP131140:ACW131140 AML131140:AMS131140 AWH131140:AWO131140 BGD131140:BGK131140 BPZ131140:BQG131140 BZV131140:CAC131140 CJR131140:CJY131140 CTN131140:CTU131140 DDJ131140:DDQ131140 DNF131140:DNM131140 DXB131140:DXI131140 EGX131140:EHE131140 EQT131140:ERA131140 FAP131140:FAW131140 FKL131140:FKS131140 FUH131140:FUO131140 GED131140:GEK131140 GNZ131140:GOG131140 GXV131140:GYC131140 HHR131140:HHY131140 HRN131140:HRU131140 IBJ131140:IBQ131140 ILF131140:ILM131140 IVB131140:IVI131140 JEX131140:JFE131140 JOT131140:JPA131140 JYP131140:JYW131140 KIL131140:KIS131140 KSH131140:KSO131140 LCD131140:LCK131140 LLZ131140:LMG131140 LVV131140:LWC131140 MFR131140:MFY131140 MPN131140:MPU131140 MZJ131140:MZQ131140 NJF131140:NJM131140 NTB131140:NTI131140 OCX131140:ODE131140 OMT131140:ONA131140 OWP131140:OWW131140 PGL131140:PGS131140 PQH131140:PQO131140 QAD131140:QAK131140 QJZ131140:QKG131140 QTV131140:QUC131140 RDR131140:RDY131140 RNN131140:RNU131140 RXJ131140:RXQ131140 SHF131140:SHM131140 SRB131140:SRI131140 TAX131140:TBE131140 TKT131140:TLA131140 TUP131140:TUW131140 UEL131140:UES131140 UOH131140:UOO131140 UYD131140:UYK131140 VHZ131140:VIG131140 VRV131140:VSC131140 WBR131140:WBY131140 WLN131140:WLU131140 WVJ131140:WVQ131140 B196676:I196676 IX196676:JE196676 ST196676:TA196676 ACP196676:ACW196676 AML196676:AMS196676 AWH196676:AWO196676 BGD196676:BGK196676 BPZ196676:BQG196676 BZV196676:CAC196676 CJR196676:CJY196676 CTN196676:CTU196676 DDJ196676:DDQ196676 DNF196676:DNM196676 DXB196676:DXI196676 EGX196676:EHE196676 EQT196676:ERA196676 FAP196676:FAW196676 FKL196676:FKS196676 FUH196676:FUO196676 GED196676:GEK196676 GNZ196676:GOG196676 GXV196676:GYC196676 HHR196676:HHY196676 HRN196676:HRU196676 IBJ196676:IBQ196676 ILF196676:ILM196676 IVB196676:IVI196676 JEX196676:JFE196676 JOT196676:JPA196676 JYP196676:JYW196676 KIL196676:KIS196676 KSH196676:KSO196676 LCD196676:LCK196676 LLZ196676:LMG196676 LVV196676:LWC196676 MFR196676:MFY196676 MPN196676:MPU196676 MZJ196676:MZQ196676 NJF196676:NJM196676 NTB196676:NTI196676 OCX196676:ODE196676 OMT196676:ONA196676 OWP196676:OWW196676 PGL196676:PGS196676 PQH196676:PQO196676 QAD196676:QAK196676 QJZ196676:QKG196676 QTV196676:QUC196676 RDR196676:RDY196676 RNN196676:RNU196676 RXJ196676:RXQ196676 SHF196676:SHM196676 SRB196676:SRI196676 TAX196676:TBE196676 TKT196676:TLA196676 TUP196676:TUW196676 UEL196676:UES196676 UOH196676:UOO196676 UYD196676:UYK196676 VHZ196676:VIG196676 VRV196676:VSC196676 WBR196676:WBY196676 WLN196676:WLU196676 WVJ196676:WVQ196676 B262212:I262212 IX262212:JE262212 ST262212:TA262212 ACP262212:ACW262212 AML262212:AMS262212 AWH262212:AWO262212 BGD262212:BGK262212 BPZ262212:BQG262212 BZV262212:CAC262212 CJR262212:CJY262212 CTN262212:CTU262212 DDJ262212:DDQ262212 DNF262212:DNM262212 DXB262212:DXI262212 EGX262212:EHE262212 EQT262212:ERA262212 FAP262212:FAW262212 FKL262212:FKS262212 FUH262212:FUO262212 GED262212:GEK262212 GNZ262212:GOG262212 GXV262212:GYC262212 HHR262212:HHY262212 HRN262212:HRU262212 IBJ262212:IBQ262212 ILF262212:ILM262212 IVB262212:IVI262212 JEX262212:JFE262212 JOT262212:JPA262212 JYP262212:JYW262212 KIL262212:KIS262212 KSH262212:KSO262212 LCD262212:LCK262212 LLZ262212:LMG262212 LVV262212:LWC262212 MFR262212:MFY262212 MPN262212:MPU262212 MZJ262212:MZQ262212 NJF262212:NJM262212 NTB262212:NTI262212 OCX262212:ODE262212 OMT262212:ONA262212 OWP262212:OWW262212 PGL262212:PGS262212 PQH262212:PQO262212 QAD262212:QAK262212 QJZ262212:QKG262212 QTV262212:QUC262212 RDR262212:RDY262212 RNN262212:RNU262212 RXJ262212:RXQ262212 SHF262212:SHM262212 SRB262212:SRI262212 TAX262212:TBE262212 TKT262212:TLA262212 TUP262212:TUW262212 UEL262212:UES262212 UOH262212:UOO262212 UYD262212:UYK262212 VHZ262212:VIG262212 VRV262212:VSC262212 WBR262212:WBY262212 WLN262212:WLU262212 WVJ262212:WVQ262212 B327748:I327748 IX327748:JE327748 ST327748:TA327748 ACP327748:ACW327748 AML327748:AMS327748 AWH327748:AWO327748 BGD327748:BGK327748 BPZ327748:BQG327748 BZV327748:CAC327748 CJR327748:CJY327748 CTN327748:CTU327748 DDJ327748:DDQ327748 DNF327748:DNM327748 DXB327748:DXI327748 EGX327748:EHE327748 EQT327748:ERA327748 FAP327748:FAW327748 FKL327748:FKS327748 FUH327748:FUO327748 GED327748:GEK327748 GNZ327748:GOG327748 GXV327748:GYC327748 HHR327748:HHY327748 HRN327748:HRU327748 IBJ327748:IBQ327748 ILF327748:ILM327748 IVB327748:IVI327748 JEX327748:JFE327748 JOT327748:JPA327748 JYP327748:JYW327748 KIL327748:KIS327748 KSH327748:KSO327748 LCD327748:LCK327748 LLZ327748:LMG327748 LVV327748:LWC327748 MFR327748:MFY327748 MPN327748:MPU327748 MZJ327748:MZQ327748 NJF327748:NJM327748 NTB327748:NTI327748 OCX327748:ODE327748 OMT327748:ONA327748 OWP327748:OWW327748 PGL327748:PGS327748 PQH327748:PQO327748 QAD327748:QAK327748 QJZ327748:QKG327748 QTV327748:QUC327748 RDR327748:RDY327748 RNN327748:RNU327748 RXJ327748:RXQ327748 SHF327748:SHM327748 SRB327748:SRI327748 TAX327748:TBE327748 TKT327748:TLA327748 TUP327748:TUW327748 UEL327748:UES327748 UOH327748:UOO327748 UYD327748:UYK327748 VHZ327748:VIG327748 VRV327748:VSC327748 WBR327748:WBY327748 WLN327748:WLU327748 WVJ327748:WVQ327748 B393284:I393284 IX393284:JE393284 ST393284:TA393284 ACP393284:ACW393284 AML393284:AMS393284 AWH393284:AWO393284 BGD393284:BGK393284 BPZ393284:BQG393284 BZV393284:CAC393284 CJR393284:CJY393284 CTN393284:CTU393284 DDJ393284:DDQ393284 DNF393284:DNM393284 DXB393284:DXI393284 EGX393284:EHE393284 EQT393284:ERA393284 FAP393284:FAW393284 FKL393284:FKS393284 FUH393284:FUO393284 GED393284:GEK393284 GNZ393284:GOG393284 GXV393284:GYC393284 HHR393284:HHY393284 HRN393284:HRU393284 IBJ393284:IBQ393284 ILF393284:ILM393284 IVB393284:IVI393284 JEX393284:JFE393284 JOT393284:JPA393284 JYP393284:JYW393284 KIL393284:KIS393284 KSH393284:KSO393284 LCD393284:LCK393284 LLZ393284:LMG393284 LVV393284:LWC393284 MFR393284:MFY393284 MPN393284:MPU393284 MZJ393284:MZQ393284 NJF393284:NJM393284 NTB393284:NTI393284 OCX393284:ODE393284 OMT393284:ONA393284 OWP393284:OWW393284 PGL393284:PGS393284 PQH393284:PQO393284 QAD393284:QAK393284 QJZ393284:QKG393284 QTV393284:QUC393284 RDR393284:RDY393284 RNN393284:RNU393284 RXJ393284:RXQ393284 SHF393284:SHM393284 SRB393284:SRI393284 TAX393284:TBE393284 TKT393284:TLA393284 TUP393284:TUW393284 UEL393284:UES393284 UOH393284:UOO393284 UYD393284:UYK393284 VHZ393284:VIG393284 VRV393284:VSC393284 WBR393284:WBY393284 WLN393284:WLU393284 WVJ393284:WVQ393284 B458820:I458820 IX458820:JE458820 ST458820:TA458820 ACP458820:ACW458820 AML458820:AMS458820 AWH458820:AWO458820 BGD458820:BGK458820 BPZ458820:BQG458820 BZV458820:CAC458820 CJR458820:CJY458820 CTN458820:CTU458820 DDJ458820:DDQ458820 DNF458820:DNM458820 DXB458820:DXI458820 EGX458820:EHE458820 EQT458820:ERA458820 FAP458820:FAW458820 FKL458820:FKS458820 FUH458820:FUO458820 GED458820:GEK458820 GNZ458820:GOG458820 GXV458820:GYC458820 HHR458820:HHY458820 HRN458820:HRU458820 IBJ458820:IBQ458820 ILF458820:ILM458820 IVB458820:IVI458820 JEX458820:JFE458820 JOT458820:JPA458820 JYP458820:JYW458820 KIL458820:KIS458820 KSH458820:KSO458820 LCD458820:LCK458820 LLZ458820:LMG458820 LVV458820:LWC458820 MFR458820:MFY458820 MPN458820:MPU458820 MZJ458820:MZQ458820 NJF458820:NJM458820 NTB458820:NTI458820 OCX458820:ODE458820 OMT458820:ONA458820 OWP458820:OWW458820 PGL458820:PGS458820 PQH458820:PQO458820 QAD458820:QAK458820 QJZ458820:QKG458820 QTV458820:QUC458820 RDR458820:RDY458820 RNN458820:RNU458820 RXJ458820:RXQ458820 SHF458820:SHM458820 SRB458820:SRI458820 TAX458820:TBE458820 TKT458820:TLA458820 TUP458820:TUW458820 UEL458820:UES458820 UOH458820:UOO458820 UYD458820:UYK458820 VHZ458820:VIG458820 VRV458820:VSC458820 WBR458820:WBY458820 WLN458820:WLU458820 WVJ458820:WVQ458820 B524356:I524356 IX524356:JE524356 ST524356:TA524356 ACP524356:ACW524356 AML524356:AMS524356 AWH524356:AWO524356 BGD524356:BGK524356 BPZ524356:BQG524356 BZV524356:CAC524356 CJR524356:CJY524356 CTN524356:CTU524356 DDJ524356:DDQ524356 DNF524356:DNM524356 DXB524356:DXI524356 EGX524356:EHE524356 EQT524356:ERA524356 FAP524356:FAW524356 FKL524356:FKS524356 FUH524356:FUO524356 GED524356:GEK524356 GNZ524356:GOG524356 GXV524356:GYC524356 HHR524356:HHY524356 HRN524356:HRU524356 IBJ524356:IBQ524356 ILF524356:ILM524356 IVB524356:IVI524356 JEX524356:JFE524356 JOT524356:JPA524356 JYP524356:JYW524356 KIL524356:KIS524356 KSH524356:KSO524356 LCD524356:LCK524356 LLZ524356:LMG524356 LVV524356:LWC524356 MFR524356:MFY524356 MPN524356:MPU524356 MZJ524356:MZQ524356 NJF524356:NJM524356 NTB524356:NTI524356 OCX524356:ODE524356 OMT524356:ONA524356 OWP524356:OWW524356 PGL524356:PGS524356 PQH524356:PQO524356 QAD524356:QAK524356 QJZ524356:QKG524356 QTV524356:QUC524356 RDR524356:RDY524356 RNN524356:RNU524356 RXJ524356:RXQ524356 SHF524356:SHM524356 SRB524356:SRI524356 TAX524356:TBE524356 TKT524356:TLA524356 TUP524356:TUW524356 UEL524356:UES524356 UOH524356:UOO524356 UYD524356:UYK524356 VHZ524356:VIG524356 VRV524356:VSC524356 WBR524356:WBY524356 WLN524356:WLU524356 WVJ524356:WVQ524356 B589892:I589892 IX589892:JE589892 ST589892:TA589892 ACP589892:ACW589892 AML589892:AMS589892 AWH589892:AWO589892 BGD589892:BGK589892 BPZ589892:BQG589892 BZV589892:CAC589892 CJR589892:CJY589892 CTN589892:CTU589892 DDJ589892:DDQ589892 DNF589892:DNM589892 DXB589892:DXI589892 EGX589892:EHE589892 EQT589892:ERA589892 FAP589892:FAW589892 FKL589892:FKS589892 FUH589892:FUO589892 GED589892:GEK589892 GNZ589892:GOG589892 GXV589892:GYC589892 HHR589892:HHY589892 HRN589892:HRU589892 IBJ589892:IBQ589892 ILF589892:ILM589892 IVB589892:IVI589892 JEX589892:JFE589892 JOT589892:JPA589892 JYP589892:JYW589892 KIL589892:KIS589892 KSH589892:KSO589892 LCD589892:LCK589892 LLZ589892:LMG589892 LVV589892:LWC589892 MFR589892:MFY589892 MPN589892:MPU589892 MZJ589892:MZQ589892 NJF589892:NJM589892 NTB589892:NTI589892 OCX589892:ODE589892 OMT589892:ONA589892 OWP589892:OWW589892 PGL589892:PGS589892 PQH589892:PQO589892 QAD589892:QAK589892 QJZ589892:QKG589892 QTV589892:QUC589892 RDR589892:RDY589892 RNN589892:RNU589892 RXJ589892:RXQ589892 SHF589892:SHM589892 SRB589892:SRI589892 TAX589892:TBE589892 TKT589892:TLA589892 TUP589892:TUW589892 UEL589892:UES589892 UOH589892:UOO589892 UYD589892:UYK589892 VHZ589892:VIG589892 VRV589892:VSC589892 WBR589892:WBY589892 WLN589892:WLU589892 WVJ589892:WVQ589892 B655428:I655428 IX655428:JE655428 ST655428:TA655428 ACP655428:ACW655428 AML655428:AMS655428 AWH655428:AWO655428 BGD655428:BGK655428 BPZ655428:BQG655428 BZV655428:CAC655428 CJR655428:CJY655428 CTN655428:CTU655428 DDJ655428:DDQ655428 DNF655428:DNM655428 DXB655428:DXI655428 EGX655428:EHE655428 EQT655428:ERA655428 FAP655428:FAW655428 FKL655428:FKS655428 FUH655428:FUO655428 GED655428:GEK655428 GNZ655428:GOG655428 GXV655428:GYC655428 HHR655428:HHY655428 HRN655428:HRU655428 IBJ655428:IBQ655428 ILF655428:ILM655428 IVB655428:IVI655428 JEX655428:JFE655428 JOT655428:JPA655428 JYP655428:JYW655428 KIL655428:KIS655428 KSH655428:KSO655428 LCD655428:LCK655428 LLZ655428:LMG655428 LVV655428:LWC655428 MFR655428:MFY655428 MPN655428:MPU655428 MZJ655428:MZQ655428 NJF655428:NJM655428 NTB655428:NTI655428 OCX655428:ODE655428 OMT655428:ONA655428 OWP655428:OWW655428 PGL655428:PGS655428 PQH655428:PQO655428 QAD655428:QAK655428 QJZ655428:QKG655428 QTV655428:QUC655428 RDR655428:RDY655428 RNN655428:RNU655428 RXJ655428:RXQ655428 SHF655428:SHM655428 SRB655428:SRI655428 TAX655428:TBE655428 TKT655428:TLA655428 TUP655428:TUW655428 UEL655428:UES655428 UOH655428:UOO655428 UYD655428:UYK655428 VHZ655428:VIG655428 VRV655428:VSC655428 WBR655428:WBY655428 WLN655428:WLU655428 WVJ655428:WVQ655428 B720964:I720964 IX720964:JE720964 ST720964:TA720964 ACP720964:ACW720964 AML720964:AMS720964 AWH720964:AWO720964 BGD720964:BGK720964 BPZ720964:BQG720964 BZV720964:CAC720964 CJR720964:CJY720964 CTN720964:CTU720964 DDJ720964:DDQ720964 DNF720964:DNM720964 DXB720964:DXI720964 EGX720964:EHE720964 EQT720964:ERA720964 FAP720964:FAW720964 FKL720964:FKS720964 FUH720964:FUO720964 GED720964:GEK720964 GNZ720964:GOG720964 GXV720964:GYC720964 HHR720964:HHY720964 HRN720964:HRU720964 IBJ720964:IBQ720964 ILF720964:ILM720964 IVB720964:IVI720964 JEX720964:JFE720964 JOT720964:JPA720964 JYP720964:JYW720964 KIL720964:KIS720964 KSH720964:KSO720964 LCD720964:LCK720964 LLZ720964:LMG720964 LVV720964:LWC720964 MFR720964:MFY720964 MPN720964:MPU720964 MZJ720964:MZQ720964 NJF720964:NJM720964 NTB720964:NTI720964 OCX720964:ODE720964 OMT720964:ONA720964 OWP720964:OWW720964 PGL720964:PGS720964 PQH720964:PQO720964 QAD720964:QAK720964 QJZ720964:QKG720964 QTV720964:QUC720964 RDR720964:RDY720964 RNN720964:RNU720964 RXJ720964:RXQ720964 SHF720964:SHM720964 SRB720964:SRI720964 TAX720964:TBE720964 TKT720964:TLA720964 TUP720964:TUW720964 UEL720964:UES720964 UOH720964:UOO720964 UYD720964:UYK720964 VHZ720964:VIG720964 VRV720964:VSC720964 WBR720964:WBY720964 WLN720964:WLU720964 WVJ720964:WVQ720964 B786500:I786500 IX786500:JE786500 ST786500:TA786500 ACP786500:ACW786500 AML786500:AMS786500 AWH786500:AWO786500 BGD786500:BGK786500 BPZ786500:BQG786500 BZV786500:CAC786500 CJR786500:CJY786500 CTN786500:CTU786500 DDJ786500:DDQ786500 DNF786500:DNM786500 DXB786500:DXI786500 EGX786500:EHE786500 EQT786500:ERA786500 FAP786500:FAW786500 FKL786500:FKS786500 FUH786500:FUO786500 GED786500:GEK786500 GNZ786500:GOG786500 GXV786500:GYC786500 HHR786500:HHY786500 HRN786500:HRU786500 IBJ786500:IBQ786500 ILF786500:ILM786500 IVB786500:IVI786500 JEX786500:JFE786500 JOT786500:JPA786500 JYP786500:JYW786500 KIL786500:KIS786500 KSH786500:KSO786500 LCD786500:LCK786500 LLZ786500:LMG786500 LVV786500:LWC786500 MFR786500:MFY786500 MPN786500:MPU786500 MZJ786500:MZQ786500 NJF786500:NJM786500 NTB786500:NTI786500 OCX786500:ODE786500 OMT786500:ONA786500 OWP786500:OWW786500 PGL786500:PGS786500 PQH786500:PQO786500 QAD786500:QAK786500 QJZ786500:QKG786500 QTV786500:QUC786500 RDR786500:RDY786500 RNN786500:RNU786500 RXJ786500:RXQ786500 SHF786500:SHM786500 SRB786500:SRI786500 TAX786500:TBE786500 TKT786500:TLA786500 TUP786500:TUW786500 UEL786500:UES786500 UOH786500:UOO786500 UYD786500:UYK786500 VHZ786500:VIG786500 VRV786500:VSC786500 WBR786500:WBY786500 WLN786500:WLU786500 WVJ786500:WVQ786500 B852036:I852036 IX852036:JE852036 ST852036:TA852036 ACP852036:ACW852036 AML852036:AMS852036 AWH852036:AWO852036 BGD852036:BGK852036 BPZ852036:BQG852036 BZV852036:CAC852036 CJR852036:CJY852036 CTN852036:CTU852036 DDJ852036:DDQ852036 DNF852036:DNM852036 DXB852036:DXI852036 EGX852036:EHE852036 EQT852036:ERA852036 FAP852036:FAW852036 FKL852036:FKS852036 FUH852036:FUO852036 GED852036:GEK852036 GNZ852036:GOG852036 GXV852036:GYC852036 HHR852036:HHY852036 HRN852036:HRU852036 IBJ852036:IBQ852036 ILF852036:ILM852036 IVB852036:IVI852036 JEX852036:JFE852036 JOT852036:JPA852036 JYP852036:JYW852036 KIL852036:KIS852036 KSH852036:KSO852036 LCD852036:LCK852036 LLZ852036:LMG852036 LVV852036:LWC852036 MFR852036:MFY852036 MPN852036:MPU852036 MZJ852036:MZQ852036 NJF852036:NJM852036 NTB852036:NTI852036 OCX852036:ODE852036 OMT852036:ONA852036 OWP852036:OWW852036 PGL852036:PGS852036 PQH852036:PQO852036 QAD852036:QAK852036 QJZ852036:QKG852036 QTV852036:QUC852036 RDR852036:RDY852036 RNN852036:RNU852036 RXJ852036:RXQ852036 SHF852036:SHM852036 SRB852036:SRI852036 TAX852036:TBE852036 TKT852036:TLA852036 TUP852036:TUW852036 UEL852036:UES852036 UOH852036:UOO852036 UYD852036:UYK852036 VHZ852036:VIG852036 VRV852036:VSC852036 WBR852036:WBY852036 WLN852036:WLU852036 WVJ852036:WVQ852036 B917572:I917572 IX917572:JE917572 ST917572:TA917572 ACP917572:ACW917572 AML917572:AMS917572 AWH917572:AWO917572 BGD917572:BGK917572 BPZ917572:BQG917572 BZV917572:CAC917572 CJR917572:CJY917572 CTN917572:CTU917572 DDJ917572:DDQ917572 DNF917572:DNM917572 DXB917572:DXI917572 EGX917572:EHE917572 EQT917572:ERA917572 FAP917572:FAW917572 FKL917572:FKS917572 FUH917572:FUO917572 GED917572:GEK917572 GNZ917572:GOG917572 GXV917572:GYC917572 HHR917572:HHY917572 HRN917572:HRU917572 IBJ917572:IBQ917572 ILF917572:ILM917572 IVB917572:IVI917572 JEX917572:JFE917572 JOT917572:JPA917572 JYP917572:JYW917572 KIL917572:KIS917572 KSH917572:KSO917572 LCD917572:LCK917572 LLZ917572:LMG917572 LVV917572:LWC917572 MFR917572:MFY917572 MPN917572:MPU917572 MZJ917572:MZQ917572 NJF917572:NJM917572 NTB917572:NTI917572 OCX917572:ODE917572 OMT917572:ONA917572 OWP917572:OWW917572 PGL917572:PGS917572 PQH917572:PQO917572 QAD917572:QAK917572 QJZ917572:QKG917572 QTV917572:QUC917572 RDR917572:RDY917572 RNN917572:RNU917572 RXJ917572:RXQ917572 SHF917572:SHM917572 SRB917572:SRI917572 TAX917572:TBE917572 TKT917572:TLA917572 TUP917572:TUW917572 UEL917572:UES917572 UOH917572:UOO917572 UYD917572:UYK917572 VHZ917572:VIG917572 VRV917572:VSC917572 WBR917572:WBY917572 WLN917572:WLU917572 WVJ917572:WVQ917572 B983108:I983108 IX983108:JE983108 ST983108:TA983108 ACP983108:ACW983108 AML983108:AMS983108 AWH983108:AWO983108 BGD983108:BGK983108 BPZ983108:BQG983108 BZV983108:CAC983108 CJR983108:CJY983108 CTN983108:CTU983108 DDJ983108:DDQ983108 DNF983108:DNM983108 DXB983108:DXI983108 EGX983108:EHE983108 EQT983108:ERA983108 FAP983108:FAW983108 FKL983108:FKS983108 FUH983108:FUO983108 GED983108:GEK983108 GNZ983108:GOG983108 GXV983108:GYC983108 HHR983108:HHY983108 HRN983108:HRU983108 IBJ983108:IBQ983108 ILF983108:ILM983108 IVB983108:IVI983108 JEX983108:JFE983108 JOT983108:JPA983108 JYP983108:JYW983108 KIL983108:KIS983108 KSH983108:KSO983108 LCD983108:LCK983108 LLZ983108:LMG983108 LVV983108:LWC983108 MFR983108:MFY983108 MPN983108:MPU983108 MZJ983108:MZQ983108 NJF983108:NJM983108 NTB983108:NTI983108 OCX983108:ODE983108 OMT983108:ONA983108 OWP983108:OWW983108 PGL983108:PGS983108 PQH983108:PQO983108 QAD983108:QAK983108 QJZ983108:QKG983108 QTV983108:QUC983108 RDR983108:RDY983108 RNN983108:RNU983108 RXJ983108:RXQ983108 SHF983108:SHM983108 SRB983108:SRI983108 TAX983108:TBE983108 TKT983108:TLA983108 TUP983108:TUW983108 UEL983108:UES983108 UOH983108:UOO983108 UYD983108:UYK983108 VHZ983108:VIG983108 VRV983108:VSC983108 WBR983108:WBY983108 WLN983108:WLU983108 WVJ983108:WVQ983108">
      <formula1>Site_name_list</formula1>
    </dataValidation>
    <dataValidation type="custom" allowBlank="1" showInputMessage="1" showErrorMessage="1"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576:I65576 IX65576:JE65576 ST65576:TA65576 ACP65576:ACW65576 AML65576:AMS65576 AWH65576:AWO65576 BGD65576:BGK65576 BPZ65576:BQG65576 BZV65576:CAC65576 CJR65576:CJY65576 CTN65576:CTU65576 DDJ65576:DDQ65576 DNF65576:DNM65576 DXB65576:DXI65576 EGX65576:EHE65576 EQT65576:ERA65576 FAP65576:FAW65576 FKL65576:FKS65576 FUH65576:FUO65576 GED65576:GEK65576 GNZ65576:GOG65576 GXV65576:GYC65576 HHR65576:HHY65576 HRN65576:HRU65576 IBJ65576:IBQ65576 ILF65576:ILM65576 IVB65576:IVI65576 JEX65576:JFE65576 JOT65576:JPA65576 JYP65576:JYW65576 KIL65576:KIS65576 KSH65576:KSO65576 LCD65576:LCK65576 LLZ65576:LMG65576 LVV65576:LWC65576 MFR65576:MFY65576 MPN65576:MPU65576 MZJ65576:MZQ65576 NJF65576:NJM65576 NTB65576:NTI65576 OCX65576:ODE65576 OMT65576:ONA65576 OWP65576:OWW65576 PGL65576:PGS65576 PQH65576:PQO65576 QAD65576:QAK65576 QJZ65576:QKG65576 QTV65576:QUC65576 RDR65576:RDY65576 RNN65576:RNU65576 RXJ65576:RXQ65576 SHF65576:SHM65576 SRB65576:SRI65576 TAX65576:TBE65576 TKT65576:TLA65576 TUP65576:TUW65576 UEL65576:UES65576 UOH65576:UOO65576 UYD65576:UYK65576 VHZ65576:VIG65576 VRV65576:VSC65576 WBR65576:WBY65576 WLN65576:WLU65576 WVJ65576:WVQ65576 B131112:I131112 IX131112:JE131112 ST131112:TA131112 ACP131112:ACW131112 AML131112:AMS131112 AWH131112:AWO131112 BGD131112:BGK131112 BPZ131112:BQG131112 BZV131112:CAC131112 CJR131112:CJY131112 CTN131112:CTU131112 DDJ131112:DDQ131112 DNF131112:DNM131112 DXB131112:DXI131112 EGX131112:EHE131112 EQT131112:ERA131112 FAP131112:FAW131112 FKL131112:FKS131112 FUH131112:FUO131112 GED131112:GEK131112 GNZ131112:GOG131112 GXV131112:GYC131112 HHR131112:HHY131112 HRN131112:HRU131112 IBJ131112:IBQ131112 ILF131112:ILM131112 IVB131112:IVI131112 JEX131112:JFE131112 JOT131112:JPA131112 JYP131112:JYW131112 KIL131112:KIS131112 KSH131112:KSO131112 LCD131112:LCK131112 LLZ131112:LMG131112 LVV131112:LWC131112 MFR131112:MFY131112 MPN131112:MPU131112 MZJ131112:MZQ131112 NJF131112:NJM131112 NTB131112:NTI131112 OCX131112:ODE131112 OMT131112:ONA131112 OWP131112:OWW131112 PGL131112:PGS131112 PQH131112:PQO131112 QAD131112:QAK131112 QJZ131112:QKG131112 QTV131112:QUC131112 RDR131112:RDY131112 RNN131112:RNU131112 RXJ131112:RXQ131112 SHF131112:SHM131112 SRB131112:SRI131112 TAX131112:TBE131112 TKT131112:TLA131112 TUP131112:TUW131112 UEL131112:UES131112 UOH131112:UOO131112 UYD131112:UYK131112 VHZ131112:VIG131112 VRV131112:VSC131112 WBR131112:WBY131112 WLN131112:WLU131112 WVJ131112:WVQ131112 B196648:I196648 IX196648:JE196648 ST196648:TA196648 ACP196648:ACW196648 AML196648:AMS196648 AWH196648:AWO196648 BGD196648:BGK196648 BPZ196648:BQG196648 BZV196648:CAC196648 CJR196648:CJY196648 CTN196648:CTU196648 DDJ196648:DDQ196648 DNF196648:DNM196648 DXB196648:DXI196648 EGX196648:EHE196648 EQT196648:ERA196648 FAP196648:FAW196648 FKL196648:FKS196648 FUH196648:FUO196648 GED196648:GEK196648 GNZ196648:GOG196648 GXV196648:GYC196648 HHR196648:HHY196648 HRN196648:HRU196648 IBJ196648:IBQ196648 ILF196648:ILM196648 IVB196648:IVI196648 JEX196648:JFE196648 JOT196648:JPA196648 JYP196648:JYW196648 KIL196648:KIS196648 KSH196648:KSO196648 LCD196648:LCK196648 LLZ196648:LMG196648 LVV196648:LWC196648 MFR196648:MFY196648 MPN196648:MPU196648 MZJ196648:MZQ196648 NJF196648:NJM196648 NTB196648:NTI196648 OCX196648:ODE196648 OMT196648:ONA196648 OWP196648:OWW196648 PGL196648:PGS196648 PQH196648:PQO196648 QAD196648:QAK196648 QJZ196648:QKG196648 QTV196648:QUC196648 RDR196648:RDY196648 RNN196648:RNU196648 RXJ196648:RXQ196648 SHF196648:SHM196648 SRB196648:SRI196648 TAX196648:TBE196648 TKT196648:TLA196648 TUP196648:TUW196648 UEL196648:UES196648 UOH196648:UOO196648 UYD196648:UYK196648 VHZ196648:VIG196648 VRV196648:VSC196648 WBR196648:WBY196648 WLN196648:WLU196648 WVJ196648:WVQ196648 B262184:I262184 IX262184:JE262184 ST262184:TA262184 ACP262184:ACW262184 AML262184:AMS262184 AWH262184:AWO262184 BGD262184:BGK262184 BPZ262184:BQG262184 BZV262184:CAC262184 CJR262184:CJY262184 CTN262184:CTU262184 DDJ262184:DDQ262184 DNF262184:DNM262184 DXB262184:DXI262184 EGX262184:EHE262184 EQT262184:ERA262184 FAP262184:FAW262184 FKL262184:FKS262184 FUH262184:FUO262184 GED262184:GEK262184 GNZ262184:GOG262184 GXV262184:GYC262184 HHR262184:HHY262184 HRN262184:HRU262184 IBJ262184:IBQ262184 ILF262184:ILM262184 IVB262184:IVI262184 JEX262184:JFE262184 JOT262184:JPA262184 JYP262184:JYW262184 KIL262184:KIS262184 KSH262184:KSO262184 LCD262184:LCK262184 LLZ262184:LMG262184 LVV262184:LWC262184 MFR262184:MFY262184 MPN262184:MPU262184 MZJ262184:MZQ262184 NJF262184:NJM262184 NTB262184:NTI262184 OCX262184:ODE262184 OMT262184:ONA262184 OWP262184:OWW262184 PGL262184:PGS262184 PQH262184:PQO262184 QAD262184:QAK262184 QJZ262184:QKG262184 QTV262184:QUC262184 RDR262184:RDY262184 RNN262184:RNU262184 RXJ262184:RXQ262184 SHF262184:SHM262184 SRB262184:SRI262184 TAX262184:TBE262184 TKT262184:TLA262184 TUP262184:TUW262184 UEL262184:UES262184 UOH262184:UOO262184 UYD262184:UYK262184 VHZ262184:VIG262184 VRV262184:VSC262184 WBR262184:WBY262184 WLN262184:WLU262184 WVJ262184:WVQ262184 B327720:I327720 IX327720:JE327720 ST327720:TA327720 ACP327720:ACW327720 AML327720:AMS327720 AWH327720:AWO327720 BGD327720:BGK327720 BPZ327720:BQG327720 BZV327720:CAC327720 CJR327720:CJY327720 CTN327720:CTU327720 DDJ327720:DDQ327720 DNF327720:DNM327720 DXB327720:DXI327720 EGX327720:EHE327720 EQT327720:ERA327720 FAP327720:FAW327720 FKL327720:FKS327720 FUH327720:FUO327720 GED327720:GEK327720 GNZ327720:GOG327720 GXV327720:GYC327720 HHR327720:HHY327720 HRN327720:HRU327720 IBJ327720:IBQ327720 ILF327720:ILM327720 IVB327720:IVI327720 JEX327720:JFE327720 JOT327720:JPA327720 JYP327720:JYW327720 KIL327720:KIS327720 KSH327720:KSO327720 LCD327720:LCK327720 LLZ327720:LMG327720 LVV327720:LWC327720 MFR327720:MFY327720 MPN327720:MPU327720 MZJ327720:MZQ327720 NJF327720:NJM327720 NTB327720:NTI327720 OCX327720:ODE327720 OMT327720:ONA327720 OWP327720:OWW327720 PGL327720:PGS327720 PQH327720:PQO327720 QAD327720:QAK327720 QJZ327720:QKG327720 QTV327720:QUC327720 RDR327720:RDY327720 RNN327720:RNU327720 RXJ327720:RXQ327720 SHF327720:SHM327720 SRB327720:SRI327720 TAX327720:TBE327720 TKT327720:TLA327720 TUP327720:TUW327720 UEL327720:UES327720 UOH327720:UOO327720 UYD327720:UYK327720 VHZ327720:VIG327720 VRV327720:VSC327720 WBR327720:WBY327720 WLN327720:WLU327720 WVJ327720:WVQ327720 B393256:I393256 IX393256:JE393256 ST393256:TA393256 ACP393256:ACW393256 AML393256:AMS393256 AWH393256:AWO393256 BGD393256:BGK393256 BPZ393256:BQG393256 BZV393256:CAC393256 CJR393256:CJY393256 CTN393256:CTU393256 DDJ393256:DDQ393256 DNF393256:DNM393256 DXB393256:DXI393256 EGX393256:EHE393256 EQT393256:ERA393256 FAP393256:FAW393256 FKL393256:FKS393256 FUH393256:FUO393256 GED393256:GEK393256 GNZ393256:GOG393256 GXV393256:GYC393256 HHR393256:HHY393256 HRN393256:HRU393256 IBJ393256:IBQ393256 ILF393256:ILM393256 IVB393256:IVI393256 JEX393256:JFE393256 JOT393256:JPA393256 JYP393256:JYW393256 KIL393256:KIS393256 KSH393256:KSO393256 LCD393256:LCK393256 LLZ393256:LMG393256 LVV393256:LWC393256 MFR393256:MFY393256 MPN393256:MPU393256 MZJ393256:MZQ393256 NJF393256:NJM393256 NTB393256:NTI393256 OCX393256:ODE393256 OMT393256:ONA393256 OWP393256:OWW393256 PGL393256:PGS393256 PQH393256:PQO393256 QAD393256:QAK393256 QJZ393256:QKG393256 QTV393256:QUC393256 RDR393256:RDY393256 RNN393256:RNU393256 RXJ393256:RXQ393256 SHF393256:SHM393256 SRB393256:SRI393256 TAX393256:TBE393256 TKT393256:TLA393256 TUP393256:TUW393256 UEL393256:UES393256 UOH393256:UOO393256 UYD393256:UYK393256 VHZ393256:VIG393256 VRV393256:VSC393256 WBR393256:WBY393256 WLN393256:WLU393256 WVJ393256:WVQ393256 B458792:I458792 IX458792:JE458792 ST458792:TA458792 ACP458792:ACW458792 AML458792:AMS458792 AWH458792:AWO458792 BGD458792:BGK458792 BPZ458792:BQG458792 BZV458792:CAC458792 CJR458792:CJY458792 CTN458792:CTU458792 DDJ458792:DDQ458792 DNF458792:DNM458792 DXB458792:DXI458792 EGX458792:EHE458792 EQT458792:ERA458792 FAP458792:FAW458792 FKL458792:FKS458792 FUH458792:FUO458792 GED458792:GEK458792 GNZ458792:GOG458792 GXV458792:GYC458792 HHR458792:HHY458792 HRN458792:HRU458792 IBJ458792:IBQ458792 ILF458792:ILM458792 IVB458792:IVI458792 JEX458792:JFE458792 JOT458792:JPA458792 JYP458792:JYW458792 KIL458792:KIS458792 KSH458792:KSO458792 LCD458792:LCK458792 LLZ458792:LMG458792 LVV458792:LWC458792 MFR458792:MFY458792 MPN458792:MPU458792 MZJ458792:MZQ458792 NJF458792:NJM458792 NTB458792:NTI458792 OCX458792:ODE458792 OMT458792:ONA458792 OWP458792:OWW458792 PGL458792:PGS458792 PQH458792:PQO458792 QAD458792:QAK458792 QJZ458792:QKG458792 QTV458792:QUC458792 RDR458792:RDY458792 RNN458792:RNU458792 RXJ458792:RXQ458792 SHF458792:SHM458792 SRB458792:SRI458792 TAX458792:TBE458792 TKT458792:TLA458792 TUP458792:TUW458792 UEL458792:UES458792 UOH458792:UOO458792 UYD458792:UYK458792 VHZ458792:VIG458792 VRV458792:VSC458792 WBR458792:WBY458792 WLN458792:WLU458792 WVJ458792:WVQ458792 B524328:I524328 IX524328:JE524328 ST524328:TA524328 ACP524328:ACW524328 AML524328:AMS524328 AWH524328:AWO524328 BGD524328:BGK524328 BPZ524328:BQG524328 BZV524328:CAC524328 CJR524328:CJY524328 CTN524328:CTU524328 DDJ524328:DDQ524328 DNF524328:DNM524328 DXB524328:DXI524328 EGX524328:EHE524328 EQT524328:ERA524328 FAP524328:FAW524328 FKL524328:FKS524328 FUH524328:FUO524328 GED524328:GEK524328 GNZ524328:GOG524328 GXV524328:GYC524328 HHR524328:HHY524328 HRN524328:HRU524328 IBJ524328:IBQ524328 ILF524328:ILM524328 IVB524328:IVI524328 JEX524328:JFE524328 JOT524328:JPA524328 JYP524328:JYW524328 KIL524328:KIS524328 KSH524328:KSO524328 LCD524328:LCK524328 LLZ524328:LMG524328 LVV524328:LWC524328 MFR524328:MFY524328 MPN524328:MPU524328 MZJ524328:MZQ524328 NJF524328:NJM524328 NTB524328:NTI524328 OCX524328:ODE524328 OMT524328:ONA524328 OWP524328:OWW524328 PGL524328:PGS524328 PQH524328:PQO524328 QAD524328:QAK524328 QJZ524328:QKG524328 QTV524328:QUC524328 RDR524328:RDY524328 RNN524328:RNU524328 RXJ524328:RXQ524328 SHF524328:SHM524328 SRB524328:SRI524328 TAX524328:TBE524328 TKT524328:TLA524328 TUP524328:TUW524328 UEL524328:UES524328 UOH524328:UOO524328 UYD524328:UYK524328 VHZ524328:VIG524328 VRV524328:VSC524328 WBR524328:WBY524328 WLN524328:WLU524328 WVJ524328:WVQ524328 B589864:I589864 IX589864:JE589864 ST589864:TA589864 ACP589864:ACW589864 AML589864:AMS589864 AWH589864:AWO589864 BGD589864:BGK589864 BPZ589864:BQG589864 BZV589864:CAC589864 CJR589864:CJY589864 CTN589864:CTU589864 DDJ589864:DDQ589864 DNF589864:DNM589864 DXB589864:DXI589864 EGX589864:EHE589864 EQT589864:ERA589864 FAP589864:FAW589864 FKL589864:FKS589864 FUH589864:FUO589864 GED589864:GEK589864 GNZ589864:GOG589864 GXV589864:GYC589864 HHR589864:HHY589864 HRN589864:HRU589864 IBJ589864:IBQ589864 ILF589864:ILM589864 IVB589864:IVI589864 JEX589864:JFE589864 JOT589864:JPA589864 JYP589864:JYW589864 KIL589864:KIS589864 KSH589864:KSO589864 LCD589864:LCK589864 LLZ589864:LMG589864 LVV589864:LWC589864 MFR589864:MFY589864 MPN589864:MPU589864 MZJ589864:MZQ589864 NJF589864:NJM589864 NTB589864:NTI589864 OCX589864:ODE589864 OMT589864:ONA589864 OWP589864:OWW589864 PGL589864:PGS589864 PQH589864:PQO589864 QAD589864:QAK589864 QJZ589864:QKG589864 QTV589864:QUC589864 RDR589864:RDY589864 RNN589864:RNU589864 RXJ589864:RXQ589864 SHF589864:SHM589864 SRB589864:SRI589864 TAX589864:TBE589864 TKT589864:TLA589864 TUP589864:TUW589864 UEL589864:UES589864 UOH589864:UOO589864 UYD589864:UYK589864 VHZ589864:VIG589864 VRV589864:VSC589864 WBR589864:WBY589864 WLN589864:WLU589864 WVJ589864:WVQ589864 B655400:I655400 IX655400:JE655400 ST655400:TA655400 ACP655400:ACW655400 AML655400:AMS655400 AWH655400:AWO655400 BGD655400:BGK655400 BPZ655400:BQG655400 BZV655400:CAC655400 CJR655400:CJY655400 CTN655400:CTU655400 DDJ655400:DDQ655400 DNF655400:DNM655400 DXB655400:DXI655400 EGX655400:EHE655400 EQT655400:ERA655400 FAP655400:FAW655400 FKL655400:FKS655400 FUH655400:FUO655400 GED655400:GEK655400 GNZ655400:GOG655400 GXV655400:GYC655400 HHR655400:HHY655400 HRN655400:HRU655400 IBJ655400:IBQ655400 ILF655400:ILM655400 IVB655400:IVI655400 JEX655400:JFE655400 JOT655400:JPA655400 JYP655400:JYW655400 KIL655400:KIS655400 KSH655400:KSO655400 LCD655400:LCK655400 LLZ655400:LMG655400 LVV655400:LWC655400 MFR655400:MFY655400 MPN655400:MPU655400 MZJ655400:MZQ655400 NJF655400:NJM655400 NTB655400:NTI655400 OCX655400:ODE655400 OMT655400:ONA655400 OWP655400:OWW655400 PGL655400:PGS655400 PQH655400:PQO655400 QAD655400:QAK655400 QJZ655400:QKG655400 QTV655400:QUC655400 RDR655400:RDY655400 RNN655400:RNU655400 RXJ655400:RXQ655400 SHF655400:SHM655400 SRB655400:SRI655400 TAX655400:TBE655400 TKT655400:TLA655400 TUP655400:TUW655400 UEL655400:UES655400 UOH655400:UOO655400 UYD655400:UYK655400 VHZ655400:VIG655400 VRV655400:VSC655400 WBR655400:WBY655400 WLN655400:WLU655400 WVJ655400:WVQ655400 B720936:I720936 IX720936:JE720936 ST720936:TA720936 ACP720936:ACW720936 AML720936:AMS720936 AWH720936:AWO720936 BGD720936:BGK720936 BPZ720936:BQG720936 BZV720936:CAC720936 CJR720936:CJY720936 CTN720936:CTU720936 DDJ720936:DDQ720936 DNF720936:DNM720936 DXB720936:DXI720936 EGX720936:EHE720936 EQT720936:ERA720936 FAP720936:FAW720936 FKL720936:FKS720936 FUH720936:FUO720936 GED720936:GEK720936 GNZ720936:GOG720936 GXV720936:GYC720936 HHR720936:HHY720936 HRN720936:HRU720936 IBJ720936:IBQ720936 ILF720936:ILM720936 IVB720936:IVI720936 JEX720936:JFE720936 JOT720936:JPA720936 JYP720936:JYW720936 KIL720936:KIS720936 KSH720936:KSO720936 LCD720936:LCK720936 LLZ720936:LMG720936 LVV720936:LWC720936 MFR720936:MFY720936 MPN720936:MPU720936 MZJ720936:MZQ720936 NJF720936:NJM720936 NTB720936:NTI720936 OCX720936:ODE720936 OMT720936:ONA720936 OWP720936:OWW720936 PGL720936:PGS720936 PQH720936:PQO720936 QAD720936:QAK720936 QJZ720936:QKG720936 QTV720936:QUC720936 RDR720936:RDY720936 RNN720936:RNU720936 RXJ720936:RXQ720936 SHF720936:SHM720936 SRB720936:SRI720936 TAX720936:TBE720936 TKT720936:TLA720936 TUP720936:TUW720936 UEL720936:UES720936 UOH720936:UOO720936 UYD720936:UYK720936 VHZ720936:VIG720936 VRV720936:VSC720936 WBR720936:WBY720936 WLN720936:WLU720936 WVJ720936:WVQ720936 B786472:I786472 IX786472:JE786472 ST786472:TA786472 ACP786472:ACW786472 AML786472:AMS786472 AWH786472:AWO786472 BGD786472:BGK786472 BPZ786472:BQG786472 BZV786472:CAC786472 CJR786472:CJY786472 CTN786472:CTU786472 DDJ786472:DDQ786472 DNF786472:DNM786472 DXB786472:DXI786472 EGX786472:EHE786472 EQT786472:ERA786472 FAP786472:FAW786472 FKL786472:FKS786472 FUH786472:FUO786472 GED786472:GEK786472 GNZ786472:GOG786472 GXV786472:GYC786472 HHR786472:HHY786472 HRN786472:HRU786472 IBJ786472:IBQ786472 ILF786472:ILM786472 IVB786472:IVI786472 JEX786472:JFE786472 JOT786472:JPA786472 JYP786472:JYW786472 KIL786472:KIS786472 KSH786472:KSO786472 LCD786472:LCK786472 LLZ786472:LMG786472 LVV786472:LWC786472 MFR786472:MFY786472 MPN786472:MPU786472 MZJ786472:MZQ786472 NJF786472:NJM786472 NTB786472:NTI786472 OCX786472:ODE786472 OMT786472:ONA786472 OWP786472:OWW786472 PGL786472:PGS786472 PQH786472:PQO786472 QAD786472:QAK786472 QJZ786472:QKG786472 QTV786472:QUC786472 RDR786472:RDY786472 RNN786472:RNU786472 RXJ786472:RXQ786472 SHF786472:SHM786472 SRB786472:SRI786472 TAX786472:TBE786472 TKT786472:TLA786472 TUP786472:TUW786472 UEL786472:UES786472 UOH786472:UOO786472 UYD786472:UYK786472 VHZ786472:VIG786472 VRV786472:VSC786472 WBR786472:WBY786472 WLN786472:WLU786472 WVJ786472:WVQ786472 B852008:I852008 IX852008:JE852008 ST852008:TA852008 ACP852008:ACW852008 AML852008:AMS852008 AWH852008:AWO852008 BGD852008:BGK852008 BPZ852008:BQG852008 BZV852008:CAC852008 CJR852008:CJY852008 CTN852008:CTU852008 DDJ852008:DDQ852008 DNF852008:DNM852008 DXB852008:DXI852008 EGX852008:EHE852008 EQT852008:ERA852008 FAP852008:FAW852008 FKL852008:FKS852008 FUH852008:FUO852008 GED852008:GEK852008 GNZ852008:GOG852008 GXV852008:GYC852008 HHR852008:HHY852008 HRN852008:HRU852008 IBJ852008:IBQ852008 ILF852008:ILM852008 IVB852008:IVI852008 JEX852008:JFE852008 JOT852008:JPA852008 JYP852008:JYW852008 KIL852008:KIS852008 KSH852008:KSO852008 LCD852008:LCK852008 LLZ852008:LMG852008 LVV852008:LWC852008 MFR852008:MFY852008 MPN852008:MPU852008 MZJ852008:MZQ852008 NJF852008:NJM852008 NTB852008:NTI852008 OCX852008:ODE852008 OMT852008:ONA852008 OWP852008:OWW852008 PGL852008:PGS852008 PQH852008:PQO852008 QAD852008:QAK852008 QJZ852008:QKG852008 QTV852008:QUC852008 RDR852008:RDY852008 RNN852008:RNU852008 RXJ852008:RXQ852008 SHF852008:SHM852008 SRB852008:SRI852008 TAX852008:TBE852008 TKT852008:TLA852008 TUP852008:TUW852008 UEL852008:UES852008 UOH852008:UOO852008 UYD852008:UYK852008 VHZ852008:VIG852008 VRV852008:VSC852008 WBR852008:WBY852008 WLN852008:WLU852008 WVJ852008:WVQ852008 B917544:I917544 IX917544:JE917544 ST917544:TA917544 ACP917544:ACW917544 AML917544:AMS917544 AWH917544:AWO917544 BGD917544:BGK917544 BPZ917544:BQG917544 BZV917544:CAC917544 CJR917544:CJY917544 CTN917544:CTU917544 DDJ917544:DDQ917544 DNF917544:DNM917544 DXB917544:DXI917544 EGX917544:EHE917544 EQT917544:ERA917544 FAP917544:FAW917544 FKL917544:FKS917544 FUH917544:FUO917544 GED917544:GEK917544 GNZ917544:GOG917544 GXV917544:GYC917544 HHR917544:HHY917544 HRN917544:HRU917544 IBJ917544:IBQ917544 ILF917544:ILM917544 IVB917544:IVI917544 JEX917544:JFE917544 JOT917544:JPA917544 JYP917544:JYW917544 KIL917544:KIS917544 KSH917544:KSO917544 LCD917544:LCK917544 LLZ917544:LMG917544 LVV917544:LWC917544 MFR917544:MFY917544 MPN917544:MPU917544 MZJ917544:MZQ917544 NJF917544:NJM917544 NTB917544:NTI917544 OCX917544:ODE917544 OMT917544:ONA917544 OWP917544:OWW917544 PGL917544:PGS917544 PQH917544:PQO917544 QAD917544:QAK917544 QJZ917544:QKG917544 QTV917544:QUC917544 RDR917544:RDY917544 RNN917544:RNU917544 RXJ917544:RXQ917544 SHF917544:SHM917544 SRB917544:SRI917544 TAX917544:TBE917544 TKT917544:TLA917544 TUP917544:TUW917544 UEL917544:UES917544 UOH917544:UOO917544 UYD917544:UYK917544 VHZ917544:VIG917544 VRV917544:VSC917544 WBR917544:WBY917544 WLN917544:WLU917544 WVJ917544:WVQ917544 B983080:I983080 IX983080:JE983080 ST983080:TA983080 ACP983080:ACW983080 AML983080:AMS983080 AWH983080:AWO983080 BGD983080:BGK983080 BPZ983080:BQG983080 BZV983080:CAC983080 CJR983080:CJY983080 CTN983080:CTU983080 DDJ983080:DDQ983080 DNF983080:DNM983080 DXB983080:DXI983080 EGX983080:EHE983080 EQT983080:ERA983080 FAP983080:FAW983080 FKL983080:FKS983080 FUH983080:FUO983080 GED983080:GEK983080 GNZ983080:GOG983080 GXV983080:GYC983080 HHR983080:HHY983080 HRN983080:HRU983080 IBJ983080:IBQ983080 ILF983080:ILM983080 IVB983080:IVI983080 JEX983080:JFE983080 JOT983080:JPA983080 JYP983080:JYW983080 KIL983080:KIS983080 KSH983080:KSO983080 LCD983080:LCK983080 LLZ983080:LMG983080 LVV983080:LWC983080 MFR983080:MFY983080 MPN983080:MPU983080 MZJ983080:MZQ983080 NJF983080:NJM983080 NTB983080:NTI983080 OCX983080:ODE983080 OMT983080:ONA983080 OWP983080:OWW983080 PGL983080:PGS983080 PQH983080:PQO983080 QAD983080:QAK983080 QJZ983080:QKG983080 QTV983080:QUC983080 RDR983080:RDY983080 RNN983080:RNU983080 RXJ983080:RXQ983080 SHF983080:SHM983080 SRB983080:SRI983080 TAX983080:TBE983080 TKT983080:TLA983080 TUP983080:TUW983080 UEL983080:UES983080 UOH983080:UOO983080 UYD983080:UYK983080 VHZ983080:VIG983080 VRV983080:VSC983080 WBR983080:WBY983080 WLN983080:WLU983080 WVJ983080:WVQ983080">
      <formula1>NOT(ISERR(AND(FIND(".",B20),FIND("@",B20))))</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9:I19 WVJ983079:WVQ983079 WLN983079:WLU983079 WBR983079:WBY983079 VRV983079:VSC983079 VHZ983079:VIG983079 UYD983079:UYK983079 UOH983079:UOO983079 UEL983079:UES983079 TUP983079:TUW983079 TKT983079:TLA983079 TAX983079:TBE983079 SRB983079:SRI983079 SHF983079:SHM983079 RXJ983079:RXQ983079 RNN983079:RNU983079 RDR983079:RDY983079 QTV983079:QUC983079 QJZ983079:QKG983079 QAD983079:QAK983079 PQH983079:PQO983079 PGL983079:PGS983079 OWP983079:OWW983079 OMT983079:ONA983079 OCX983079:ODE983079 NTB983079:NTI983079 NJF983079:NJM983079 MZJ983079:MZQ983079 MPN983079:MPU983079 MFR983079:MFY983079 LVV983079:LWC983079 LLZ983079:LMG983079 LCD983079:LCK983079 KSH983079:KSO983079 KIL983079:KIS983079 JYP983079:JYW983079 JOT983079:JPA983079 JEX983079:JFE983079 IVB983079:IVI983079 ILF983079:ILM983079 IBJ983079:IBQ983079 HRN983079:HRU983079 HHR983079:HHY983079 GXV983079:GYC983079 GNZ983079:GOG983079 GED983079:GEK983079 FUH983079:FUO983079 FKL983079:FKS983079 FAP983079:FAW983079 EQT983079:ERA983079 EGX983079:EHE983079 DXB983079:DXI983079 DNF983079:DNM983079 DDJ983079:DDQ983079 CTN983079:CTU983079 CJR983079:CJY983079 BZV983079:CAC983079 BPZ983079:BQG983079 BGD983079:BGK983079 AWH983079:AWO983079 AML983079:AMS983079 ACP983079:ACW983079 ST983079:TA983079 IX983079:JE983079 B983079:I983079 WVJ917543:WVQ917543 WLN917543:WLU917543 WBR917543:WBY917543 VRV917543:VSC917543 VHZ917543:VIG917543 UYD917543:UYK917543 UOH917543:UOO917543 UEL917543:UES917543 TUP917543:TUW917543 TKT917543:TLA917543 TAX917543:TBE917543 SRB917543:SRI917543 SHF917543:SHM917543 RXJ917543:RXQ917543 RNN917543:RNU917543 RDR917543:RDY917543 QTV917543:QUC917543 QJZ917543:QKG917543 QAD917543:QAK917543 PQH917543:PQO917543 PGL917543:PGS917543 OWP917543:OWW917543 OMT917543:ONA917543 OCX917543:ODE917543 NTB917543:NTI917543 NJF917543:NJM917543 MZJ917543:MZQ917543 MPN917543:MPU917543 MFR917543:MFY917543 LVV917543:LWC917543 LLZ917543:LMG917543 LCD917543:LCK917543 KSH917543:KSO917543 KIL917543:KIS917543 JYP917543:JYW917543 JOT917543:JPA917543 JEX917543:JFE917543 IVB917543:IVI917543 ILF917543:ILM917543 IBJ917543:IBQ917543 HRN917543:HRU917543 HHR917543:HHY917543 GXV917543:GYC917543 GNZ917543:GOG917543 GED917543:GEK917543 FUH917543:FUO917543 FKL917543:FKS917543 FAP917543:FAW917543 EQT917543:ERA917543 EGX917543:EHE917543 DXB917543:DXI917543 DNF917543:DNM917543 DDJ917543:DDQ917543 CTN917543:CTU917543 CJR917543:CJY917543 BZV917543:CAC917543 BPZ917543:BQG917543 BGD917543:BGK917543 AWH917543:AWO917543 AML917543:AMS917543 ACP917543:ACW917543 ST917543:TA917543 IX917543:JE917543 B917543:I917543 WVJ852007:WVQ852007 WLN852007:WLU852007 WBR852007:WBY852007 VRV852007:VSC852007 VHZ852007:VIG852007 UYD852007:UYK852007 UOH852007:UOO852007 UEL852007:UES852007 TUP852007:TUW852007 TKT852007:TLA852007 TAX852007:TBE852007 SRB852007:SRI852007 SHF852007:SHM852007 RXJ852007:RXQ852007 RNN852007:RNU852007 RDR852007:RDY852007 QTV852007:QUC852007 QJZ852007:QKG852007 QAD852007:QAK852007 PQH852007:PQO852007 PGL852007:PGS852007 OWP852007:OWW852007 OMT852007:ONA852007 OCX852007:ODE852007 NTB852007:NTI852007 NJF852007:NJM852007 MZJ852007:MZQ852007 MPN852007:MPU852007 MFR852007:MFY852007 LVV852007:LWC852007 LLZ852007:LMG852007 LCD852007:LCK852007 KSH852007:KSO852007 KIL852007:KIS852007 JYP852007:JYW852007 JOT852007:JPA852007 JEX852007:JFE852007 IVB852007:IVI852007 ILF852007:ILM852007 IBJ852007:IBQ852007 HRN852007:HRU852007 HHR852007:HHY852007 GXV852007:GYC852007 GNZ852007:GOG852007 GED852007:GEK852007 FUH852007:FUO852007 FKL852007:FKS852007 FAP852007:FAW852007 EQT852007:ERA852007 EGX852007:EHE852007 DXB852007:DXI852007 DNF852007:DNM852007 DDJ852007:DDQ852007 CTN852007:CTU852007 CJR852007:CJY852007 BZV852007:CAC852007 BPZ852007:BQG852007 BGD852007:BGK852007 AWH852007:AWO852007 AML852007:AMS852007 ACP852007:ACW852007 ST852007:TA852007 IX852007:JE852007 B852007:I852007 WVJ786471:WVQ786471 WLN786471:WLU786471 WBR786471:WBY786471 VRV786471:VSC786471 VHZ786471:VIG786471 UYD786471:UYK786471 UOH786471:UOO786471 UEL786471:UES786471 TUP786471:TUW786471 TKT786471:TLA786471 TAX786471:TBE786471 SRB786471:SRI786471 SHF786471:SHM786471 RXJ786471:RXQ786471 RNN786471:RNU786471 RDR786471:RDY786471 QTV786471:QUC786471 QJZ786471:QKG786471 QAD786471:QAK786471 PQH786471:PQO786471 PGL786471:PGS786471 OWP786471:OWW786471 OMT786471:ONA786471 OCX786471:ODE786471 NTB786471:NTI786471 NJF786471:NJM786471 MZJ786471:MZQ786471 MPN786471:MPU786471 MFR786471:MFY786471 LVV786471:LWC786471 LLZ786471:LMG786471 LCD786471:LCK786471 KSH786471:KSO786471 KIL786471:KIS786471 JYP786471:JYW786471 JOT786471:JPA786471 JEX786471:JFE786471 IVB786471:IVI786471 ILF786471:ILM786471 IBJ786471:IBQ786471 HRN786471:HRU786471 HHR786471:HHY786471 GXV786471:GYC786471 GNZ786471:GOG786471 GED786471:GEK786471 FUH786471:FUO786471 FKL786471:FKS786471 FAP786471:FAW786471 EQT786471:ERA786471 EGX786471:EHE786471 DXB786471:DXI786471 DNF786471:DNM786471 DDJ786471:DDQ786471 CTN786471:CTU786471 CJR786471:CJY786471 BZV786471:CAC786471 BPZ786471:BQG786471 BGD786471:BGK786471 AWH786471:AWO786471 AML786471:AMS786471 ACP786471:ACW786471 ST786471:TA786471 IX786471:JE786471 B786471:I786471 WVJ720935:WVQ720935 WLN720935:WLU720935 WBR720935:WBY720935 VRV720935:VSC720935 VHZ720935:VIG720935 UYD720935:UYK720935 UOH720935:UOO720935 UEL720935:UES720935 TUP720935:TUW720935 TKT720935:TLA720935 TAX720935:TBE720935 SRB720935:SRI720935 SHF720935:SHM720935 RXJ720935:RXQ720935 RNN720935:RNU720935 RDR720935:RDY720935 QTV720935:QUC720935 QJZ720935:QKG720935 QAD720935:QAK720935 PQH720935:PQO720935 PGL720935:PGS720935 OWP720935:OWW720935 OMT720935:ONA720935 OCX720935:ODE720935 NTB720935:NTI720935 NJF720935:NJM720935 MZJ720935:MZQ720935 MPN720935:MPU720935 MFR720935:MFY720935 LVV720935:LWC720935 LLZ720935:LMG720935 LCD720935:LCK720935 KSH720935:KSO720935 KIL720935:KIS720935 JYP720935:JYW720935 JOT720935:JPA720935 JEX720935:JFE720935 IVB720935:IVI720935 ILF720935:ILM720935 IBJ720935:IBQ720935 HRN720935:HRU720935 HHR720935:HHY720935 GXV720935:GYC720935 GNZ720935:GOG720935 GED720935:GEK720935 FUH720935:FUO720935 FKL720935:FKS720935 FAP720935:FAW720935 EQT720935:ERA720935 EGX720935:EHE720935 DXB720935:DXI720935 DNF720935:DNM720935 DDJ720935:DDQ720935 CTN720935:CTU720935 CJR720935:CJY720935 BZV720935:CAC720935 BPZ720935:BQG720935 BGD720935:BGK720935 AWH720935:AWO720935 AML720935:AMS720935 ACP720935:ACW720935 ST720935:TA720935 IX720935:JE720935 B720935:I720935 WVJ655399:WVQ655399 WLN655399:WLU655399 WBR655399:WBY655399 VRV655399:VSC655399 VHZ655399:VIG655399 UYD655399:UYK655399 UOH655399:UOO655399 UEL655399:UES655399 TUP655399:TUW655399 TKT655399:TLA655399 TAX655399:TBE655399 SRB655399:SRI655399 SHF655399:SHM655399 RXJ655399:RXQ655399 RNN655399:RNU655399 RDR655399:RDY655399 QTV655399:QUC655399 QJZ655399:QKG655399 QAD655399:QAK655399 PQH655399:PQO655399 PGL655399:PGS655399 OWP655399:OWW655399 OMT655399:ONA655399 OCX655399:ODE655399 NTB655399:NTI655399 NJF655399:NJM655399 MZJ655399:MZQ655399 MPN655399:MPU655399 MFR655399:MFY655399 LVV655399:LWC655399 LLZ655399:LMG655399 LCD655399:LCK655399 KSH655399:KSO655399 KIL655399:KIS655399 JYP655399:JYW655399 JOT655399:JPA655399 JEX655399:JFE655399 IVB655399:IVI655399 ILF655399:ILM655399 IBJ655399:IBQ655399 HRN655399:HRU655399 HHR655399:HHY655399 GXV655399:GYC655399 GNZ655399:GOG655399 GED655399:GEK655399 FUH655399:FUO655399 FKL655399:FKS655399 FAP655399:FAW655399 EQT655399:ERA655399 EGX655399:EHE655399 DXB655399:DXI655399 DNF655399:DNM655399 DDJ655399:DDQ655399 CTN655399:CTU655399 CJR655399:CJY655399 BZV655399:CAC655399 BPZ655399:BQG655399 BGD655399:BGK655399 AWH655399:AWO655399 AML655399:AMS655399 ACP655399:ACW655399 ST655399:TA655399 IX655399:JE655399 B655399:I655399 WVJ589863:WVQ589863 WLN589863:WLU589863 WBR589863:WBY589863 VRV589863:VSC589863 VHZ589863:VIG589863 UYD589863:UYK589863 UOH589863:UOO589863 UEL589863:UES589863 TUP589863:TUW589863 TKT589863:TLA589863 TAX589863:TBE589863 SRB589863:SRI589863 SHF589863:SHM589863 RXJ589863:RXQ589863 RNN589863:RNU589863 RDR589863:RDY589863 QTV589863:QUC589863 QJZ589863:QKG589863 QAD589863:QAK589863 PQH589863:PQO589863 PGL589863:PGS589863 OWP589863:OWW589863 OMT589863:ONA589863 OCX589863:ODE589863 NTB589863:NTI589863 NJF589863:NJM589863 MZJ589863:MZQ589863 MPN589863:MPU589863 MFR589863:MFY589863 LVV589863:LWC589863 LLZ589863:LMG589863 LCD589863:LCK589863 KSH589863:KSO589863 KIL589863:KIS589863 JYP589863:JYW589863 JOT589863:JPA589863 JEX589863:JFE589863 IVB589863:IVI589863 ILF589863:ILM589863 IBJ589863:IBQ589863 HRN589863:HRU589863 HHR589863:HHY589863 GXV589863:GYC589863 GNZ589863:GOG589863 GED589863:GEK589863 FUH589863:FUO589863 FKL589863:FKS589863 FAP589863:FAW589863 EQT589863:ERA589863 EGX589863:EHE589863 DXB589863:DXI589863 DNF589863:DNM589863 DDJ589863:DDQ589863 CTN589863:CTU589863 CJR589863:CJY589863 BZV589863:CAC589863 BPZ589863:BQG589863 BGD589863:BGK589863 AWH589863:AWO589863 AML589863:AMS589863 ACP589863:ACW589863 ST589863:TA589863 IX589863:JE589863 B589863:I589863 WVJ524327:WVQ524327 WLN524327:WLU524327 WBR524327:WBY524327 VRV524327:VSC524327 VHZ524327:VIG524327 UYD524327:UYK524327 UOH524327:UOO524327 UEL524327:UES524327 TUP524327:TUW524327 TKT524327:TLA524327 TAX524327:TBE524327 SRB524327:SRI524327 SHF524327:SHM524327 RXJ524327:RXQ524327 RNN524327:RNU524327 RDR524327:RDY524327 QTV524327:QUC524327 QJZ524327:QKG524327 QAD524327:QAK524327 PQH524327:PQO524327 PGL524327:PGS524327 OWP524327:OWW524327 OMT524327:ONA524327 OCX524327:ODE524327 NTB524327:NTI524327 NJF524327:NJM524327 MZJ524327:MZQ524327 MPN524327:MPU524327 MFR524327:MFY524327 LVV524327:LWC524327 LLZ524327:LMG524327 LCD524327:LCK524327 KSH524327:KSO524327 KIL524327:KIS524327 JYP524327:JYW524327 JOT524327:JPA524327 JEX524327:JFE524327 IVB524327:IVI524327 ILF524327:ILM524327 IBJ524327:IBQ524327 HRN524327:HRU524327 HHR524327:HHY524327 GXV524327:GYC524327 GNZ524327:GOG524327 GED524327:GEK524327 FUH524327:FUO524327 FKL524327:FKS524327 FAP524327:FAW524327 EQT524327:ERA524327 EGX524327:EHE524327 DXB524327:DXI524327 DNF524327:DNM524327 DDJ524327:DDQ524327 CTN524327:CTU524327 CJR524327:CJY524327 BZV524327:CAC524327 BPZ524327:BQG524327 BGD524327:BGK524327 AWH524327:AWO524327 AML524327:AMS524327 ACP524327:ACW524327 ST524327:TA524327 IX524327:JE524327 B524327:I524327 WVJ458791:WVQ458791 WLN458791:WLU458791 WBR458791:WBY458791 VRV458791:VSC458791 VHZ458791:VIG458791 UYD458791:UYK458791 UOH458791:UOO458791 UEL458791:UES458791 TUP458791:TUW458791 TKT458791:TLA458791 TAX458791:TBE458791 SRB458791:SRI458791 SHF458791:SHM458791 RXJ458791:RXQ458791 RNN458791:RNU458791 RDR458791:RDY458791 QTV458791:QUC458791 QJZ458791:QKG458791 QAD458791:QAK458791 PQH458791:PQO458791 PGL458791:PGS458791 OWP458791:OWW458791 OMT458791:ONA458791 OCX458791:ODE458791 NTB458791:NTI458791 NJF458791:NJM458791 MZJ458791:MZQ458791 MPN458791:MPU458791 MFR458791:MFY458791 LVV458791:LWC458791 LLZ458791:LMG458791 LCD458791:LCK458791 KSH458791:KSO458791 KIL458791:KIS458791 JYP458791:JYW458791 JOT458791:JPA458791 JEX458791:JFE458791 IVB458791:IVI458791 ILF458791:ILM458791 IBJ458791:IBQ458791 HRN458791:HRU458791 HHR458791:HHY458791 GXV458791:GYC458791 GNZ458791:GOG458791 GED458791:GEK458791 FUH458791:FUO458791 FKL458791:FKS458791 FAP458791:FAW458791 EQT458791:ERA458791 EGX458791:EHE458791 DXB458791:DXI458791 DNF458791:DNM458791 DDJ458791:DDQ458791 CTN458791:CTU458791 CJR458791:CJY458791 BZV458791:CAC458791 BPZ458791:BQG458791 BGD458791:BGK458791 AWH458791:AWO458791 AML458791:AMS458791 ACP458791:ACW458791 ST458791:TA458791 IX458791:JE458791 B458791:I458791 WVJ393255:WVQ393255 WLN393255:WLU393255 WBR393255:WBY393255 VRV393255:VSC393255 VHZ393255:VIG393255 UYD393255:UYK393255 UOH393255:UOO393255 UEL393255:UES393255 TUP393255:TUW393255 TKT393255:TLA393255 TAX393255:TBE393255 SRB393255:SRI393255 SHF393255:SHM393255 RXJ393255:RXQ393255 RNN393255:RNU393255 RDR393255:RDY393255 QTV393255:QUC393255 QJZ393255:QKG393255 QAD393255:QAK393255 PQH393255:PQO393255 PGL393255:PGS393255 OWP393255:OWW393255 OMT393255:ONA393255 OCX393255:ODE393255 NTB393255:NTI393255 NJF393255:NJM393255 MZJ393255:MZQ393255 MPN393255:MPU393255 MFR393255:MFY393255 LVV393255:LWC393255 LLZ393255:LMG393255 LCD393255:LCK393255 KSH393255:KSO393255 KIL393255:KIS393255 JYP393255:JYW393255 JOT393255:JPA393255 JEX393255:JFE393255 IVB393255:IVI393255 ILF393255:ILM393255 IBJ393255:IBQ393255 HRN393255:HRU393255 HHR393255:HHY393255 GXV393255:GYC393255 GNZ393255:GOG393255 GED393255:GEK393255 FUH393255:FUO393255 FKL393255:FKS393255 FAP393255:FAW393255 EQT393255:ERA393255 EGX393255:EHE393255 DXB393255:DXI393255 DNF393255:DNM393255 DDJ393255:DDQ393255 CTN393255:CTU393255 CJR393255:CJY393255 BZV393255:CAC393255 BPZ393255:BQG393255 BGD393255:BGK393255 AWH393255:AWO393255 AML393255:AMS393255 ACP393255:ACW393255 ST393255:TA393255 IX393255:JE393255 B393255:I393255 WVJ327719:WVQ327719 WLN327719:WLU327719 WBR327719:WBY327719 VRV327719:VSC327719 VHZ327719:VIG327719 UYD327719:UYK327719 UOH327719:UOO327719 UEL327719:UES327719 TUP327719:TUW327719 TKT327719:TLA327719 TAX327719:TBE327719 SRB327719:SRI327719 SHF327719:SHM327719 RXJ327719:RXQ327719 RNN327719:RNU327719 RDR327719:RDY327719 QTV327719:QUC327719 QJZ327719:QKG327719 QAD327719:QAK327719 PQH327719:PQO327719 PGL327719:PGS327719 OWP327719:OWW327719 OMT327719:ONA327719 OCX327719:ODE327719 NTB327719:NTI327719 NJF327719:NJM327719 MZJ327719:MZQ327719 MPN327719:MPU327719 MFR327719:MFY327719 LVV327719:LWC327719 LLZ327719:LMG327719 LCD327719:LCK327719 KSH327719:KSO327719 KIL327719:KIS327719 JYP327719:JYW327719 JOT327719:JPA327719 JEX327719:JFE327719 IVB327719:IVI327719 ILF327719:ILM327719 IBJ327719:IBQ327719 HRN327719:HRU327719 HHR327719:HHY327719 GXV327719:GYC327719 GNZ327719:GOG327719 GED327719:GEK327719 FUH327719:FUO327719 FKL327719:FKS327719 FAP327719:FAW327719 EQT327719:ERA327719 EGX327719:EHE327719 DXB327719:DXI327719 DNF327719:DNM327719 DDJ327719:DDQ327719 CTN327719:CTU327719 CJR327719:CJY327719 BZV327719:CAC327719 BPZ327719:BQG327719 BGD327719:BGK327719 AWH327719:AWO327719 AML327719:AMS327719 ACP327719:ACW327719 ST327719:TA327719 IX327719:JE327719 B327719:I327719 WVJ262183:WVQ262183 WLN262183:WLU262183 WBR262183:WBY262183 VRV262183:VSC262183 VHZ262183:VIG262183 UYD262183:UYK262183 UOH262183:UOO262183 UEL262183:UES262183 TUP262183:TUW262183 TKT262183:TLA262183 TAX262183:TBE262183 SRB262183:SRI262183 SHF262183:SHM262183 RXJ262183:RXQ262183 RNN262183:RNU262183 RDR262183:RDY262183 QTV262183:QUC262183 QJZ262183:QKG262183 QAD262183:QAK262183 PQH262183:PQO262183 PGL262183:PGS262183 OWP262183:OWW262183 OMT262183:ONA262183 OCX262183:ODE262183 NTB262183:NTI262183 NJF262183:NJM262183 MZJ262183:MZQ262183 MPN262183:MPU262183 MFR262183:MFY262183 LVV262183:LWC262183 LLZ262183:LMG262183 LCD262183:LCK262183 KSH262183:KSO262183 KIL262183:KIS262183 JYP262183:JYW262183 JOT262183:JPA262183 JEX262183:JFE262183 IVB262183:IVI262183 ILF262183:ILM262183 IBJ262183:IBQ262183 HRN262183:HRU262183 HHR262183:HHY262183 GXV262183:GYC262183 GNZ262183:GOG262183 GED262183:GEK262183 FUH262183:FUO262183 FKL262183:FKS262183 FAP262183:FAW262183 EQT262183:ERA262183 EGX262183:EHE262183 DXB262183:DXI262183 DNF262183:DNM262183 DDJ262183:DDQ262183 CTN262183:CTU262183 CJR262183:CJY262183 BZV262183:CAC262183 BPZ262183:BQG262183 BGD262183:BGK262183 AWH262183:AWO262183 AML262183:AMS262183 ACP262183:ACW262183 ST262183:TA262183 IX262183:JE262183 B262183:I262183 WVJ196647:WVQ196647 WLN196647:WLU196647 WBR196647:WBY196647 VRV196647:VSC196647 VHZ196647:VIG196647 UYD196647:UYK196647 UOH196647:UOO196647 UEL196647:UES196647 TUP196647:TUW196647 TKT196647:TLA196647 TAX196647:TBE196647 SRB196647:SRI196647 SHF196647:SHM196647 RXJ196647:RXQ196647 RNN196647:RNU196647 RDR196647:RDY196647 QTV196647:QUC196647 QJZ196647:QKG196647 QAD196647:QAK196647 PQH196647:PQO196647 PGL196647:PGS196647 OWP196647:OWW196647 OMT196647:ONA196647 OCX196647:ODE196647 NTB196647:NTI196647 NJF196647:NJM196647 MZJ196647:MZQ196647 MPN196647:MPU196647 MFR196647:MFY196647 LVV196647:LWC196647 LLZ196647:LMG196647 LCD196647:LCK196647 KSH196647:KSO196647 KIL196647:KIS196647 JYP196647:JYW196647 JOT196647:JPA196647 JEX196647:JFE196647 IVB196647:IVI196647 ILF196647:ILM196647 IBJ196647:IBQ196647 HRN196647:HRU196647 HHR196647:HHY196647 GXV196647:GYC196647 GNZ196647:GOG196647 GED196647:GEK196647 FUH196647:FUO196647 FKL196647:FKS196647 FAP196647:FAW196647 EQT196647:ERA196647 EGX196647:EHE196647 DXB196647:DXI196647 DNF196647:DNM196647 DDJ196647:DDQ196647 CTN196647:CTU196647 CJR196647:CJY196647 BZV196647:CAC196647 BPZ196647:BQG196647 BGD196647:BGK196647 AWH196647:AWO196647 AML196647:AMS196647 ACP196647:ACW196647 ST196647:TA196647 IX196647:JE196647 B196647:I196647 WVJ131111:WVQ131111 WLN131111:WLU131111 WBR131111:WBY131111 VRV131111:VSC131111 VHZ131111:VIG131111 UYD131111:UYK131111 UOH131111:UOO131111 UEL131111:UES131111 TUP131111:TUW131111 TKT131111:TLA131111 TAX131111:TBE131111 SRB131111:SRI131111 SHF131111:SHM131111 RXJ131111:RXQ131111 RNN131111:RNU131111 RDR131111:RDY131111 QTV131111:QUC131111 QJZ131111:QKG131111 QAD131111:QAK131111 PQH131111:PQO131111 PGL131111:PGS131111 OWP131111:OWW131111 OMT131111:ONA131111 OCX131111:ODE131111 NTB131111:NTI131111 NJF131111:NJM131111 MZJ131111:MZQ131111 MPN131111:MPU131111 MFR131111:MFY131111 LVV131111:LWC131111 LLZ131111:LMG131111 LCD131111:LCK131111 KSH131111:KSO131111 KIL131111:KIS131111 JYP131111:JYW131111 JOT131111:JPA131111 JEX131111:JFE131111 IVB131111:IVI131111 ILF131111:ILM131111 IBJ131111:IBQ131111 HRN131111:HRU131111 HHR131111:HHY131111 GXV131111:GYC131111 GNZ131111:GOG131111 GED131111:GEK131111 FUH131111:FUO131111 FKL131111:FKS131111 FAP131111:FAW131111 EQT131111:ERA131111 EGX131111:EHE131111 DXB131111:DXI131111 DNF131111:DNM131111 DDJ131111:DDQ131111 CTN131111:CTU131111 CJR131111:CJY131111 BZV131111:CAC131111 BPZ131111:BQG131111 BGD131111:BGK131111 AWH131111:AWO131111 AML131111:AMS131111 ACP131111:ACW131111 ST131111:TA131111 IX131111:JE131111 B131111:I131111 WVJ65575:WVQ65575 WLN65575:WLU65575 WBR65575:WBY65575 VRV65575:VSC65575 VHZ65575:VIG65575 UYD65575:UYK65575 UOH65575:UOO65575 UEL65575:UES65575 TUP65575:TUW65575 TKT65575:TLA65575 TAX65575:TBE65575 SRB65575:SRI65575 SHF65575:SHM65575 RXJ65575:RXQ65575 RNN65575:RNU65575 RDR65575:RDY65575 QTV65575:QUC65575 QJZ65575:QKG65575 QAD65575:QAK65575 PQH65575:PQO65575 PGL65575:PGS65575 OWP65575:OWW65575 OMT65575:ONA65575 OCX65575:ODE65575 NTB65575:NTI65575 NJF65575:NJM65575 MZJ65575:MZQ65575 MPN65575:MPU65575 MFR65575:MFY65575 LVV65575:LWC65575 LLZ65575:LMG65575 LCD65575:LCK65575 KSH65575:KSO65575 KIL65575:KIS65575 JYP65575:JYW65575 JOT65575:JPA65575 JEX65575:JFE65575 IVB65575:IVI65575 ILF65575:ILM65575 IBJ65575:IBQ65575 HRN65575:HRU65575 HHR65575:HHY65575 GXV65575:GYC65575 GNZ65575:GOG65575 GED65575:GEK65575 FUH65575:FUO65575 FKL65575:FKS65575 FAP65575:FAW65575 EQT65575:ERA65575 EGX65575:EHE65575 DXB65575:DXI65575 DNF65575:DNM65575 DDJ65575:DDQ65575 CTN65575:CTU65575 CJR65575:CJY65575 BZV65575:CAC65575 BPZ65575:BQG65575 BGD65575:BGK65575 AWH65575:AWO65575 AML65575:AMS65575 ACP65575:ACW65575 ST65575:TA65575 IX65575:JE65575 B65575:I65575 WVJ19:WVQ19 WLN19:WLU19 WBR19:WBY19 VRV19:VSC19 VHZ19:VIG19 UYD19:UYK19 UOH19:UOO19 UEL19:UES19 TUP19:TUW19 TKT19:TLA19 TAX19:TBE19 SRB19:SRI19 SHF19:SHM19 RXJ19:RXQ19 RNN19:RNU19 RDR19:RDY19 QTV19:QUC19 QJZ19:QKG19 QAD19:QAK19 PQH19:PQO19 PGL19:PGS19 OWP19:OWW19 OMT19:ONA19 OCX19:ODE19 NTB19:NTI19 NJF19:NJM19 MZJ19:MZQ19 MPN19:MPU19 MFR19:MFY19 LVV19:LWC19 LLZ19:LMG19 LCD19:LCK19 KSH19:KSO19 KIL19:KIS19 JYP19:JYW19 JOT19:JPA19 JEX19:JFE19 IVB19:IVI19 ILF19:ILM19 IBJ19:IBQ19 HRN19:HRU19 HHR19:HHY19 GXV19:GYC19 GNZ19:GOG19 GED19:GEK19 FUH19:FUO19 FKL19:FKS19 FAP19:FAW19 EQT19:ERA19 EGX19:EHE19 DXB19:DXI19 DNF19:DNM19 DDJ19:DDQ19 CTN19:CTU19 CJR19:CJY19 BZV19:CAC19 BPZ19:BQG19 BGD19:BGK19 AWH19:AWO19 AML19:AMS19 ACP19:ACW19 ST19:TA19 IX19:JE19">
      <formula1>$K$144:$K$149</formula1>
    </dataValidation>
    <dataValidation type="list" allowBlank="1" showInputMessage="1" showErrorMessage="1" error="Please Select fromt he drop-down list." promptTitle="Data Type" prompt="Please select DateTime, Number or Text from the drop-down list." sqref="C144:C356 WVK983184:WVK983396 WLO983184:WLO983396 WBS983184:WBS983396 VRW983184:VRW983396 VIA983184:VIA983396 UYE983184:UYE983396 UOI983184:UOI983396 UEM983184:UEM983396 TUQ983184:TUQ983396 TKU983184:TKU983396 TAY983184:TAY983396 SRC983184:SRC983396 SHG983184:SHG983396 RXK983184:RXK983396 RNO983184:RNO983396 RDS983184:RDS983396 QTW983184:QTW983396 QKA983184:QKA983396 QAE983184:QAE983396 PQI983184:PQI983396 PGM983184:PGM983396 OWQ983184:OWQ983396 OMU983184:OMU983396 OCY983184:OCY983396 NTC983184:NTC983396 NJG983184:NJG983396 MZK983184:MZK983396 MPO983184:MPO983396 MFS983184:MFS983396 LVW983184:LVW983396 LMA983184:LMA983396 LCE983184:LCE983396 KSI983184:KSI983396 KIM983184:KIM983396 JYQ983184:JYQ983396 JOU983184:JOU983396 JEY983184:JEY983396 IVC983184:IVC983396 ILG983184:ILG983396 IBK983184:IBK983396 HRO983184:HRO983396 HHS983184:HHS983396 GXW983184:GXW983396 GOA983184:GOA983396 GEE983184:GEE983396 FUI983184:FUI983396 FKM983184:FKM983396 FAQ983184:FAQ983396 EQU983184:EQU983396 EGY983184:EGY983396 DXC983184:DXC983396 DNG983184:DNG983396 DDK983184:DDK983396 CTO983184:CTO983396 CJS983184:CJS983396 BZW983184:BZW983396 BQA983184:BQA983396 BGE983184:BGE983396 AWI983184:AWI983396 AMM983184:AMM983396 ACQ983184:ACQ983396 SU983184:SU983396 IY983184:IY983396 C983184:C983396 WVK917648:WVK917860 WLO917648:WLO917860 WBS917648:WBS917860 VRW917648:VRW917860 VIA917648:VIA917860 UYE917648:UYE917860 UOI917648:UOI917860 UEM917648:UEM917860 TUQ917648:TUQ917860 TKU917648:TKU917860 TAY917648:TAY917860 SRC917648:SRC917860 SHG917648:SHG917860 RXK917648:RXK917860 RNO917648:RNO917860 RDS917648:RDS917860 QTW917648:QTW917860 QKA917648:QKA917860 QAE917648:QAE917860 PQI917648:PQI917860 PGM917648:PGM917860 OWQ917648:OWQ917860 OMU917648:OMU917860 OCY917648:OCY917860 NTC917648:NTC917860 NJG917648:NJG917860 MZK917648:MZK917860 MPO917648:MPO917860 MFS917648:MFS917860 LVW917648:LVW917860 LMA917648:LMA917860 LCE917648:LCE917860 KSI917648:KSI917860 KIM917648:KIM917860 JYQ917648:JYQ917860 JOU917648:JOU917860 JEY917648:JEY917860 IVC917648:IVC917860 ILG917648:ILG917860 IBK917648:IBK917860 HRO917648:HRO917860 HHS917648:HHS917860 GXW917648:GXW917860 GOA917648:GOA917860 GEE917648:GEE917860 FUI917648:FUI917860 FKM917648:FKM917860 FAQ917648:FAQ917860 EQU917648:EQU917860 EGY917648:EGY917860 DXC917648:DXC917860 DNG917648:DNG917860 DDK917648:DDK917860 CTO917648:CTO917860 CJS917648:CJS917860 BZW917648:BZW917860 BQA917648:BQA917860 BGE917648:BGE917860 AWI917648:AWI917860 AMM917648:AMM917860 ACQ917648:ACQ917860 SU917648:SU917860 IY917648:IY917860 C917648:C917860 WVK852112:WVK852324 WLO852112:WLO852324 WBS852112:WBS852324 VRW852112:VRW852324 VIA852112:VIA852324 UYE852112:UYE852324 UOI852112:UOI852324 UEM852112:UEM852324 TUQ852112:TUQ852324 TKU852112:TKU852324 TAY852112:TAY852324 SRC852112:SRC852324 SHG852112:SHG852324 RXK852112:RXK852324 RNO852112:RNO852324 RDS852112:RDS852324 QTW852112:QTW852324 QKA852112:QKA852324 QAE852112:QAE852324 PQI852112:PQI852324 PGM852112:PGM852324 OWQ852112:OWQ852324 OMU852112:OMU852324 OCY852112:OCY852324 NTC852112:NTC852324 NJG852112:NJG852324 MZK852112:MZK852324 MPO852112:MPO852324 MFS852112:MFS852324 LVW852112:LVW852324 LMA852112:LMA852324 LCE852112:LCE852324 KSI852112:KSI852324 KIM852112:KIM852324 JYQ852112:JYQ852324 JOU852112:JOU852324 JEY852112:JEY852324 IVC852112:IVC852324 ILG852112:ILG852324 IBK852112:IBK852324 HRO852112:HRO852324 HHS852112:HHS852324 GXW852112:GXW852324 GOA852112:GOA852324 GEE852112:GEE852324 FUI852112:FUI852324 FKM852112:FKM852324 FAQ852112:FAQ852324 EQU852112:EQU852324 EGY852112:EGY852324 DXC852112:DXC852324 DNG852112:DNG852324 DDK852112:DDK852324 CTO852112:CTO852324 CJS852112:CJS852324 BZW852112:BZW852324 BQA852112:BQA852324 BGE852112:BGE852324 AWI852112:AWI852324 AMM852112:AMM852324 ACQ852112:ACQ852324 SU852112:SU852324 IY852112:IY852324 C852112:C852324 WVK786576:WVK786788 WLO786576:WLO786788 WBS786576:WBS786788 VRW786576:VRW786788 VIA786576:VIA786788 UYE786576:UYE786788 UOI786576:UOI786788 UEM786576:UEM786788 TUQ786576:TUQ786788 TKU786576:TKU786788 TAY786576:TAY786788 SRC786576:SRC786788 SHG786576:SHG786788 RXK786576:RXK786788 RNO786576:RNO786788 RDS786576:RDS786788 QTW786576:QTW786788 QKA786576:QKA786788 QAE786576:QAE786788 PQI786576:PQI786788 PGM786576:PGM786788 OWQ786576:OWQ786788 OMU786576:OMU786788 OCY786576:OCY786788 NTC786576:NTC786788 NJG786576:NJG786788 MZK786576:MZK786788 MPO786576:MPO786788 MFS786576:MFS786788 LVW786576:LVW786788 LMA786576:LMA786788 LCE786576:LCE786788 KSI786576:KSI786788 KIM786576:KIM786788 JYQ786576:JYQ786788 JOU786576:JOU786788 JEY786576:JEY786788 IVC786576:IVC786788 ILG786576:ILG786788 IBK786576:IBK786788 HRO786576:HRO786788 HHS786576:HHS786788 GXW786576:GXW786788 GOA786576:GOA786788 GEE786576:GEE786788 FUI786576:FUI786788 FKM786576:FKM786788 FAQ786576:FAQ786788 EQU786576:EQU786788 EGY786576:EGY786788 DXC786576:DXC786788 DNG786576:DNG786788 DDK786576:DDK786788 CTO786576:CTO786788 CJS786576:CJS786788 BZW786576:BZW786788 BQA786576:BQA786788 BGE786576:BGE786788 AWI786576:AWI786788 AMM786576:AMM786788 ACQ786576:ACQ786788 SU786576:SU786788 IY786576:IY786788 C786576:C786788 WVK721040:WVK721252 WLO721040:WLO721252 WBS721040:WBS721252 VRW721040:VRW721252 VIA721040:VIA721252 UYE721040:UYE721252 UOI721040:UOI721252 UEM721040:UEM721252 TUQ721040:TUQ721252 TKU721040:TKU721252 TAY721040:TAY721252 SRC721040:SRC721252 SHG721040:SHG721252 RXK721040:RXK721252 RNO721040:RNO721252 RDS721040:RDS721252 QTW721040:QTW721252 QKA721040:QKA721252 QAE721040:QAE721252 PQI721040:PQI721252 PGM721040:PGM721252 OWQ721040:OWQ721252 OMU721040:OMU721252 OCY721040:OCY721252 NTC721040:NTC721252 NJG721040:NJG721252 MZK721040:MZK721252 MPO721040:MPO721252 MFS721040:MFS721252 LVW721040:LVW721252 LMA721040:LMA721252 LCE721040:LCE721252 KSI721040:KSI721252 KIM721040:KIM721252 JYQ721040:JYQ721252 JOU721040:JOU721252 JEY721040:JEY721252 IVC721040:IVC721252 ILG721040:ILG721252 IBK721040:IBK721252 HRO721040:HRO721252 HHS721040:HHS721252 GXW721040:GXW721252 GOA721040:GOA721252 GEE721040:GEE721252 FUI721040:FUI721252 FKM721040:FKM721252 FAQ721040:FAQ721252 EQU721040:EQU721252 EGY721040:EGY721252 DXC721040:DXC721252 DNG721040:DNG721252 DDK721040:DDK721252 CTO721040:CTO721252 CJS721040:CJS721252 BZW721040:BZW721252 BQA721040:BQA721252 BGE721040:BGE721252 AWI721040:AWI721252 AMM721040:AMM721252 ACQ721040:ACQ721252 SU721040:SU721252 IY721040:IY721252 C721040:C721252 WVK655504:WVK655716 WLO655504:WLO655716 WBS655504:WBS655716 VRW655504:VRW655716 VIA655504:VIA655716 UYE655504:UYE655716 UOI655504:UOI655716 UEM655504:UEM655716 TUQ655504:TUQ655716 TKU655504:TKU655716 TAY655504:TAY655716 SRC655504:SRC655716 SHG655504:SHG655716 RXK655504:RXK655716 RNO655504:RNO655716 RDS655504:RDS655716 QTW655504:QTW655716 QKA655504:QKA655716 QAE655504:QAE655716 PQI655504:PQI655716 PGM655504:PGM655716 OWQ655504:OWQ655716 OMU655504:OMU655716 OCY655504:OCY655716 NTC655504:NTC655716 NJG655504:NJG655716 MZK655504:MZK655716 MPO655504:MPO655716 MFS655504:MFS655716 LVW655504:LVW655716 LMA655504:LMA655716 LCE655504:LCE655716 KSI655504:KSI655716 KIM655504:KIM655716 JYQ655504:JYQ655716 JOU655504:JOU655716 JEY655504:JEY655716 IVC655504:IVC655716 ILG655504:ILG655716 IBK655504:IBK655716 HRO655504:HRO655716 HHS655504:HHS655716 GXW655504:GXW655716 GOA655504:GOA655716 GEE655504:GEE655716 FUI655504:FUI655716 FKM655504:FKM655716 FAQ655504:FAQ655716 EQU655504:EQU655716 EGY655504:EGY655716 DXC655504:DXC655716 DNG655504:DNG655716 DDK655504:DDK655716 CTO655504:CTO655716 CJS655504:CJS655716 BZW655504:BZW655716 BQA655504:BQA655716 BGE655504:BGE655716 AWI655504:AWI655716 AMM655504:AMM655716 ACQ655504:ACQ655716 SU655504:SU655716 IY655504:IY655716 C655504:C655716 WVK589968:WVK590180 WLO589968:WLO590180 WBS589968:WBS590180 VRW589968:VRW590180 VIA589968:VIA590180 UYE589968:UYE590180 UOI589968:UOI590180 UEM589968:UEM590180 TUQ589968:TUQ590180 TKU589968:TKU590180 TAY589968:TAY590180 SRC589968:SRC590180 SHG589968:SHG590180 RXK589968:RXK590180 RNO589968:RNO590180 RDS589968:RDS590180 QTW589968:QTW590180 QKA589968:QKA590180 QAE589968:QAE590180 PQI589968:PQI590180 PGM589968:PGM590180 OWQ589968:OWQ590180 OMU589968:OMU590180 OCY589968:OCY590180 NTC589968:NTC590180 NJG589968:NJG590180 MZK589968:MZK590180 MPO589968:MPO590180 MFS589968:MFS590180 LVW589968:LVW590180 LMA589968:LMA590180 LCE589968:LCE590180 KSI589968:KSI590180 KIM589968:KIM590180 JYQ589968:JYQ590180 JOU589968:JOU590180 JEY589968:JEY590180 IVC589968:IVC590180 ILG589968:ILG590180 IBK589968:IBK590180 HRO589968:HRO590180 HHS589968:HHS590180 GXW589968:GXW590180 GOA589968:GOA590180 GEE589968:GEE590180 FUI589968:FUI590180 FKM589968:FKM590180 FAQ589968:FAQ590180 EQU589968:EQU590180 EGY589968:EGY590180 DXC589968:DXC590180 DNG589968:DNG590180 DDK589968:DDK590180 CTO589968:CTO590180 CJS589968:CJS590180 BZW589968:BZW590180 BQA589968:BQA590180 BGE589968:BGE590180 AWI589968:AWI590180 AMM589968:AMM590180 ACQ589968:ACQ590180 SU589968:SU590180 IY589968:IY590180 C589968:C590180 WVK524432:WVK524644 WLO524432:WLO524644 WBS524432:WBS524644 VRW524432:VRW524644 VIA524432:VIA524644 UYE524432:UYE524644 UOI524432:UOI524644 UEM524432:UEM524644 TUQ524432:TUQ524644 TKU524432:TKU524644 TAY524432:TAY524644 SRC524432:SRC524644 SHG524432:SHG524644 RXK524432:RXK524644 RNO524432:RNO524644 RDS524432:RDS524644 QTW524432:QTW524644 QKA524432:QKA524644 QAE524432:QAE524644 PQI524432:PQI524644 PGM524432:PGM524644 OWQ524432:OWQ524644 OMU524432:OMU524644 OCY524432:OCY524644 NTC524432:NTC524644 NJG524432:NJG524644 MZK524432:MZK524644 MPO524432:MPO524644 MFS524432:MFS524644 LVW524432:LVW524644 LMA524432:LMA524644 LCE524432:LCE524644 KSI524432:KSI524644 KIM524432:KIM524644 JYQ524432:JYQ524644 JOU524432:JOU524644 JEY524432:JEY524644 IVC524432:IVC524644 ILG524432:ILG524644 IBK524432:IBK524644 HRO524432:HRO524644 HHS524432:HHS524644 GXW524432:GXW524644 GOA524432:GOA524644 GEE524432:GEE524644 FUI524432:FUI524644 FKM524432:FKM524644 FAQ524432:FAQ524644 EQU524432:EQU524644 EGY524432:EGY524644 DXC524432:DXC524644 DNG524432:DNG524644 DDK524432:DDK524644 CTO524432:CTO524644 CJS524432:CJS524644 BZW524432:BZW524644 BQA524432:BQA524644 BGE524432:BGE524644 AWI524432:AWI524644 AMM524432:AMM524644 ACQ524432:ACQ524644 SU524432:SU524644 IY524432:IY524644 C524432:C524644 WVK458896:WVK459108 WLO458896:WLO459108 WBS458896:WBS459108 VRW458896:VRW459108 VIA458896:VIA459108 UYE458896:UYE459108 UOI458896:UOI459108 UEM458896:UEM459108 TUQ458896:TUQ459108 TKU458896:TKU459108 TAY458896:TAY459108 SRC458896:SRC459108 SHG458896:SHG459108 RXK458896:RXK459108 RNO458896:RNO459108 RDS458896:RDS459108 QTW458896:QTW459108 QKA458896:QKA459108 QAE458896:QAE459108 PQI458896:PQI459108 PGM458896:PGM459108 OWQ458896:OWQ459108 OMU458896:OMU459108 OCY458896:OCY459108 NTC458896:NTC459108 NJG458896:NJG459108 MZK458896:MZK459108 MPO458896:MPO459108 MFS458896:MFS459108 LVW458896:LVW459108 LMA458896:LMA459108 LCE458896:LCE459108 KSI458896:KSI459108 KIM458896:KIM459108 JYQ458896:JYQ459108 JOU458896:JOU459108 JEY458896:JEY459108 IVC458896:IVC459108 ILG458896:ILG459108 IBK458896:IBK459108 HRO458896:HRO459108 HHS458896:HHS459108 GXW458896:GXW459108 GOA458896:GOA459108 GEE458896:GEE459108 FUI458896:FUI459108 FKM458896:FKM459108 FAQ458896:FAQ459108 EQU458896:EQU459108 EGY458896:EGY459108 DXC458896:DXC459108 DNG458896:DNG459108 DDK458896:DDK459108 CTO458896:CTO459108 CJS458896:CJS459108 BZW458896:BZW459108 BQA458896:BQA459108 BGE458896:BGE459108 AWI458896:AWI459108 AMM458896:AMM459108 ACQ458896:ACQ459108 SU458896:SU459108 IY458896:IY459108 C458896:C459108 WVK393360:WVK393572 WLO393360:WLO393572 WBS393360:WBS393572 VRW393360:VRW393572 VIA393360:VIA393572 UYE393360:UYE393572 UOI393360:UOI393572 UEM393360:UEM393572 TUQ393360:TUQ393572 TKU393360:TKU393572 TAY393360:TAY393572 SRC393360:SRC393572 SHG393360:SHG393572 RXK393360:RXK393572 RNO393360:RNO393572 RDS393360:RDS393572 QTW393360:QTW393572 QKA393360:QKA393572 QAE393360:QAE393572 PQI393360:PQI393572 PGM393360:PGM393572 OWQ393360:OWQ393572 OMU393360:OMU393572 OCY393360:OCY393572 NTC393360:NTC393572 NJG393360:NJG393572 MZK393360:MZK393572 MPO393360:MPO393572 MFS393360:MFS393572 LVW393360:LVW393572 LMA393360:LMA393572 LCE393360:LCE393572 KSI393360:KSI393572 KIM393360:KIM393572 JYQ393360:JYQ393572 JOU393360:JOU393572 JEY393360:JEY393572 IVC393360:IVC393572 ILG393360:ILG393572 IBK393360:IBK393572 HRO393360:HRO393572 HHS393360:HHS393572 GXW393360:GXW393572 GOA393360:GOA393572 GEE393360:GEE393572 FUI393360:FUI393572 FKM393360:FKM393572 FAQ393360:FAQ393572 EQU393360:EQU393572 EGY393360:EGY393572 DXC393360:DXC393572 DNG393360:DNG393572 DDK393360:DDK393572 CTO393360:CTO393572 CJS393360:CJS393572 BZW393360:BZW393572 BQA393360:BQA393572 BGE393360:BGE393572 AWI393360:AWI393572 AMM393360:AMM393572 ACQ393360:ACQ393572 SU393360:SU393572 IY393360:IY393572 C393360:C393572 WVK327824:WVK328036 WLO327824:WLO328036 WBS327824:WBS328036 VRW327824:VRW328036 VIA327824:VIA328036 UYE327824:UYE328036 UOI327824:UOI328036 UEM327824:UEM328036 TUQ327824:TUQ328036 TKU327824:TKU328036 TAY327824:TAY328036 SRC327824:SRC328036 SHG327824:SHG328036 RXK327824:RXK328036 RNO327824:RNO328036 RDS327824:RDS328036 QTW327824:QTW328036 QKA327824:QKA328036 QAE327824:QAE328036 PQI327824:PQI328036 PGM327824:PGM328036 OWQ327824:OWQ328036 OMU327824:OMU328036 OCY327824:OCY328036 NTC327824:NTC328036 NJG327824:NJG328036 MZK327824:MZK328036 MPO327824:MPO328036 MFS327824:MFS328036 LVW327824:LVW328036 LMA327824:LMA328036 LCE327824:LCE328036 KSI327824:KSI328036 KIM327824:KIM328036 JYQ327824:JYQ328036 JOU327824:JOU328036 JEY327824:JEY328036 IVC327824:IVC328036 ILG327824:ILG328036 IBK327824:IBK328036 HRO327824:HRO328036 HHS327824:HHS328036 GXW327824:GXW328036 GOA327824:GOA328036 GEE327824:GEE328036 FUI327824:FUI328036 FKM327824:FKM328036 FAQ327824:FAQ328036 EQU327824:EQU328036 EGY327824:EGY328036 DXC327824:DXC328036 DNG327824:DNG328036 DDK327824:DDK328036 CTO327824:CTO328036 CJS327824:CJS328036 BZW327824:BZW328036 BQA327824:BQA328036 BGE327824:BGE328036 AWI327824:AWI328036 AMM327824:AMM328036 ACQ327824:ACQ328036 SU327824:SU328036 IY327824:IY328036 C327824:C328036 WVK262288:WVK262500 WLO262288:WLO262500 WBS262288:WBS262500 VRW262288:VRW262500 VIA262288:VIA262500 UYE262288:UYE262500 UOI262288:UOI262500 UEM262288:UEM262500 TUQ262288:TUQ262500 TKU262288:TKU262500 TAY262288:TAY262500 SRC262288:SRC262500 SHG262288:SHG262500 RXK262288:RXK262500 RNO262288:RNO262500 RDS262288:RDS262500 QTW262288:QTW262500 QKA262288:QKA262500 QAE262288:QAE262500 PQI262288:PQI262500 PGM262288:PGM262500 OWQ262288:OWQ262500 OMU262288:OMU262500 OCY262288:OCY262500 NTC262288:NTC262500 NJG262288:NJG262500 MZK262288:MZK262500 MPO262288:MPO262500 MFS262288:MFS262500 LVW262288:LVW262500 LMA262288:LMA262500 LCE262288:LCE262500 KSI262288:KSI262500 KIM262288:KIM262500 JYQ262288:JYQ262500 JOU262288:JOU262500 JEY262288:JEY262500 IVC262288:IVC262500 ILG262288:ILG262500 IBK262288:IBK262500 HRO262288:HRO262500 HHS262288:HHS262500 GXW262288:GXW262500 GOA262288:GOA262500 GEE262288:GEE262500 FUI262288:FUI262500 FKM262288:FKM262500 FAQ262288:FAQ262500 EQU262288:EQU262500 EGY262288:EGY262500 DXC262288:DXC262500 DNG262288:DNG262500 DDK262288:DDK262500 CTO262288:CTO262500 CJS262288:CJS262500 BZW262288:BZW262500 BQA262288:BQA262500 BGE262288:BGE262500 AWI262288:AWI262500 AMM262288:AMM262500 ACQ262288:ACQ262500 SU262288:SU262500 IY262288:IY262500 C262288:C262500 WVK196752:WVK196964 WLO196752:WLO196964 WBS196752:WBS196964 VRW196752:VRW196964 VIA196752:VIA196964 UYE196752:UYE196964 UOI196752:UOI196964 UEM196752:UEM196964 TUQ196752:TUQ196964 TKU196752:TKU196964 TAY196752:TAY196964 SRC196752:SRC196964 SHG196752:SHG196964 RXK196752:RXK196964 RNO196752:RNO196964 RDS196752:RDS196964 QTW196752:QTW196964 QKA196752:QKA196964 QAE196752:QAE196964 PQI196752:PQI196964 PGM196752:PGM196964 OWQ196752:OWQ196964 OMU196752:OMU196964 OCY196752:OCY196964 NTC196752:NTC196964 NJG196752:NJG196964 MZK196752:MZK196964 MPO196752:MPO196964 MFS196752:MFS196964 LVW196752:LVW196964 LMA196752:LMA196964 LCE196752:LCE196964 KSI196752:KSI196964 KIM196752:KIM196964 JYQ196752:JYQ196964 JOU196752:JOU196964 JEY196752:JEY196964 IVC196752:IVC196964 ILG196752:ILG196964 IBK196752:IBK196964 HRO196752:HRO196964 HHS196752:HHS196964 GXW196752:GXW196964 GOA196752:GOA196964 GEE196752:GEE196964 FUI196752:FUI196964 FKM196752:FKM196964 FAQ196752:FAQ196964 EQU196752:EQU196964 EGY196752:EGY196964 DXC196752:DXC196964 DNG196752:DNG196964 DDK196752:DDK196964 CTO196752:CTO196964 CJS196752:CJS196964 BZW196752:BZW196964 BQA196752:BQA196964 BGE196752:BGE196964 AWI196752:AWI196964 AMM196752:AMM196964 ACQ196752:ACQ196964 SU196752:SU196964 IY196752:IY196964 C196752:C196964 WVK131216:WVK131428 WLO131216:WLO131428 WBS131216:WBS131428 VRW131216:VRW131428 VIA131216:VIA131428 UYE131216:UYE131428 UOI131216:UOI131428 UEM131216:UEM131428 TUQ131216:TUQ131428 TKU131216:TKU131428 TAY131216:TAY131428 SRC131216:SRC131428 SHG131216:SHG131428 RXK131216:RXK131428 RNO131216:RNO131428 RDS131216:RDS131428 QTW131216:QTW131428 QKA131216:QKA131428 QAE131216:QAE131428 PQI131216:PQI131428 PGM131216:PGM131428 OWQ131216:OWQ131428 OMU131216:OMU131428 OCY131216:OCY131428 NTC131216:NTC131428 NJG131216:NJG131428 MZK131216:MZK131428 MPO131216:MPO131428 MFS131216:MFS131428 LVW131216:LVW131428 LMA131216:LMA131428 LCE131216:LCE131428 KSI131216:KSI131428 KIM131216:KIM131428 JYQ131216:JYQ131428 JOU131216:JOU131428 JEY131216:JEY131428 IVC131216:IVC131428 ILG131216:ILG131428 IBK131216:IBK131428 HRO131216:HRO131428 HHS131216:HHS131428 GXW131216:GXW131428 GOA131216:GOA131428 GEE131216:GEE131428 FUI131216:FUI131428 FKM131216:FKM131428 FAQ131216:FAQ131428 EQU131216:EQU131428 EGY131216:EGY131428 DXC131216:DXC131428 DNG131216:DNG131428 DDK131216:DDK131428 CTO131216:CTO131428 CJS131216:CJS131428 BZW131216:BZW131428 BQA131216:BQA131428 BGE131216:BGE131428 AWI131216:AWI131428 AMM131216:AMM131428 ACQ131216:ACQ131428 SU131216:SU131428 IY131216:IY131428 C131216:C131428 WVK65680:WVK65892 WLO65680:WLO65892 WBS65680:WBS65892 VRW65680:VRW65892 VIA65680:VIA65892 UYE65680:UYE65892 UOI65680:UOI65892 UEM65680:UEM65892 TUQ65680:TUQ65892 TKU65680:TKU65892 TAY65680:TAY65892 SRC65680:SRC65892 SHG65680:SHG65892 RXK65680:RXK65892 RNO65680:RNO65892 RDS65680:RDS65892 QTW65680:QTW65892 QKA65680:QKA65892 QAE65680:QAE65892 PQI65680:PQI65892 PGM65680:PGM65892 OWQ65680:OWQ65892 OMU65680:OMU65892 OCY65680:OCY65892 NTC65680:NTC65892 NJG65680:NJG65892 MZK65680:MZK65892 MPO65680:MPO65892 MFS65680:MFS65892 LVW65680:LVW65892 LMA65680:LMA65892 LCE65680:LCE65892 KSI65680:KSI65892 KIM65680:KIM65892 JYQ65680:JYQ65892 JOU65680:JOU65892 JEY65680:JEY65892 IVC65680:IVC65892 ILG65680:ILG65892 IBK65680:IBK65892 HRO65680:HRO65892 HHS65680:HHS65892 GXW65680:GXW65892 GOA65680:GOA65892 GEE65680:GEE65892 FUI65680:FUI65892 FKM65680:FKM65892 FAQ65680:FAQ65892 EQU65680:EQU65892 EGY65680:EGY65892 DXC65680:DXC65892 DNG65680:DNG65892 DDK65680:DDK65892 CTO65680:CTO65892 CJS65680:CJS65892 BZW65680:BZW65892 BQA65680:BQA65892 BGE65680:BGE65892 AWI65680:AWI65892 AMM65680:AMM65892 ACQ65680:ACQ65892 SU65680:SU65892 IY65680:IY65892 C65680:C65892 WVK144:WVK356 WLO144:WLO356 WBS144:WBS356 VRW144:VRW356 VIA144:VIA356 UYE144:UYE356 UOI144:UOI356 UEM144:UEM356 TUQ144:TUQ356 TKU144:TKU356 TAY144:TAY356 SRC144:SRC356 SHG144:SHG356 RXK144:RXK356 RNO144:RNO356 RDS144:RDS356 QTW144:QTW356 QKA144:QKA356 QAE144:QAE356 PQI144:PQI356 PGM144:PGM356 OWQ144:OWQ356 OMU144:OMU356 OCY144:OCY356 NTC144:NTC356 NJG144:NJG356 MZK144:MZK356 MPO144:MPO356 MFS144:MFS356 LVW144:LVW356 LMA144:LMA356 LCE144:LCE356 KSI144:KSI356 KIM144:KIM356 JYQ144:JYQ356 JOU144:JOU356 JEY144:JEY356 IVC144:IVC356 ILG144:ILG356 IBK144:IBK356 HRO144:HRO356 HHS144:HHS356 GXW144:GXW356 GOA144:GOA356 GEE144:GEE356 FUI144:FUI356 FKM144:FKM356 FAQ144:FAQ356 EQU144:EQU356 EGY144:EGY356 DXC144:DXC356 DNG144:DNG356 DDK144:DDK356 CTO144:CTO356 CJS144:CJS356 BZW144:BZW356 BQA144:BQA356 BGE144:BGE356 AWI144:AWI356 AMM144:AMM356 ACQ144:ACQ356 SU144:SU356 IY144:IY356">
      <formula1>$M$145:$M$147</formula1>
    </dataValidation>
  </dataValidations>
  <hyperlinks>
    <hyperlink ref="B4" r:id="rId1"/>
    <hyperlink ref="B33" r:id="rId2"/>
  </hyperlinks>
  <printOptions gridLines="1"/>
  <pageMargins left="0.53" right="0.38" top="0.5" bottom="0.5" header="0.5" footer="0.5"/>
  <pageSetup scale="99" fitToHeight="10" orientation="landscape" cellComments="atEnd" r:id="rId3"/>
  <headerFooter alignWithMargins="0"/>
  <rowBreaks count="1" manualBreakCount="1">
    <brk id="62"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Q1393"/>
  <sheetViews>
    <sheetView workbookViewId="0">
      <pane ySplit="1" topLeftCell="A1378" activePane="bottomLeft" state="frozen"/>
      <selection activeCell="B1" sqref="B1"/>
      <selection pane="bottomLeft"/>
    </sheetView>
  </sheetViews>
  <sheetFormatPr defaultRowHeight="15" x14ac:dyDescent="0.25"/>
  <cols>
    <col min="1" max="4" width="9.140625" style="6"/>
    <col min="5" max="5" width="9.140625" style="19"/>
    <col min="6" max="12" width="9.140625" style="6"/>
    <col min="13" max="13" width="9.140625" style="15"/>
    <col min="14" max="14" width="9.140625" style="16"/>
    <col min="15" max="15" width="9.140625" style="17"/>
    <col min="16" max="16" width="9.140625" style="16"/>
    <col min="17" max="17" width="9.140625" style="17"/>
    <col min="18" max="16384" width="9.140625" style="6"/>
  </cols>
  <sheetData>
    <row r="1" spans="1:17" s="5" customFormat="1" ht="12.75" x14ac:dyDescent="0.2">
      <c r="A1" s="5" t="s">
        <v>6</v>
      </c>
      <c r="B1" s="5" t="s">
        <v>97</v>
      </c>
      <c r="C1" s="5" t="s">
        <v>3</v>
      </c>
      <c r="D1" s="5" t="s">
        <v>352</v>
      </c>
      <c r="E1" s="5" t="s">
        <v>299</v>
      </c>
      <c r="F1" s="5" t="s">
        <v>300</v>
      </c>
      <c r="G1" s="8" t="s">
        <v>356</v>
      </c>
      <c r="H1" s="5" t="s">
        <v>314</v>
      </c>
      <c r="I1" s="5" t="s">
        <v>303</v>
      </c>
      <c r="J1" s="5" t="s">
        <v>305</v>
      </c>
      <c r="K1" s="5" t="s">
        <v>307</v>
      </c>
      <c r="L1" s="5" t="s">
        <v>315</v>
      </c>
      <c r="M1" s="9" t="s">
        <v>309</v>
      </c>
      <c r="N1" s="10" t="s">
        <v>310</v>
      </c>
      <c r="O1" s="11" t="s">
        <v>311</v>
      </c>
      <c r="P1" s="10" t="s">
        <v>312</v>
      </c>
      <c r="Q1" s="11" t="s">
        <v>313</v>
      </c>
    </row>
    <row r="2" spans="1:17" x14ac:dyDescent="0.25">
      <c r="A2" s="6" t="s">
        <v>5</v>
      </c>
      <c r="B2" s="12">
        <v>1</v>
      </c>
      <c r="C2" s="12">
        <v>5</v>
      </c>
      <c r="D2" s="12">
        <v>1</v>
      </c>
      <c r="E2" s="6" t="s">
        <v>316</v>
      </c>
      <c r="F2" s="7" t="s">
        <v>317</v>
      </c>
      <c r="G2" s="13">
        <v>0</v>
      </c>
      <c r="H2" s="7">
        <v>0</v>
      </c>
      <c r="I2" s="14" t="s">
        <v>318</v>
      </c>
      <c r="J2" s="20" t="s">
        <v>1673</v>
      </c>
      <c r="K2" s="7" t="s">
        <v>1673</v>
      </c>
      <c r="L2" s="6" t="s">
        <v>1673</v>
      </c>
      <c r="M2" s="15" t="s">
        <v>1673</v>
      </c>
      <c r="N2" s="16" t="s">
        <v>1673</v>
      </c>
      <c r="O2" s="17" t="s">
        <v>1673</v>
      </c>
      <c r="P2" s="16" t="s">
        <v>1673</v>
      </c>
      <c r="Q2" s="17" t="s">
        <v>1673</v>
      </c>
    </row>
    <row r="3" spans="1:17" x14ac:dyDescent="0.25">
      <c r="A3" s="6" t="s">
        <v>5</v>
      </c>
      <c r="B3" s="12">
        <v>1</v>
      </c>
      <c r="C3" s="12">
        <v>5</v>
      </c>
      <c r="D3" s="12">
        <v>1</v>
      </c>
      <c r="E3" s="6" t="s">
        <v>316</v>
      </c>
      <c r="F3" s="7" t="s">
        <v>317</v>
      </c>
      <c r="G3" s="13">
        <v>0</v>
      </c>
      <c r="H3" s="7">
        <v>0</v>
      </c>
      <c r="I3" s="14" t="s">
        <v>319</v>
      </c>
      <c r="J3" s="7" t="s">
        <v>1673</v>
      </c>
      <c r="K3" s="7" t="s">
        <v>1673</v>
      </c>
      <c r="L3" s="6" t="s">
        <v>1673</v>
      </c>
      <c r="M3" s="15" t="s">
        <v>1673</v>
      </c>
      <c r="N3" s="16" t="s">
        <v>1673</v>
      </c>
      <c r="O3" s="17" t="s">
        <v>1673</v>
      </c>
      <c r="P3" s="16" t="s">
        <v>1673</v>
      </c>
      <c r="Q3" s="17" t="s">
        <v>1673</v>
      </c>
    </row>
    <row r="4" spans="1:17" x14ac:dyDescent="0.25">
      <c r="A4" s="6" t="s">
        <v>5</v>
      </c>
      <c r="B4" s="12">
        <v>1</v>
      </c>
      <c r="C4" s="12">
        <v>5</v>
      </c>
      <c r="D4" s="12">
        <v>1</v>
      </c>
      <c r="E4" s="6" t="s">
        <v>355</v>
      </c>
      <c r="F4" s="7" t="s">
        <v>320</v>
      </c>
      <c r="G4" s="13">
        <v>1</v>
      </c>
      <c r="H4" s="7">
        <v>5</v>
      </c>
      <c r="I4" s="14" t="s">
        <v>318</v>
      </c>
      <c r="J4" s="7">
        <v>1.478</v>
      </c>
      <c r="K4" s="7">
        <v>45.463999999999999</v>
      </c>
      <c r="L4" s="6">
        <v>0</v>
      </c>
      <c r="M4" s="15">
        <v>8.0373333333333324E-2</v>
      </c>
      <c r="N4" s="16">
        <v>59.395893333333326</v>
      </c>
      <c r="O4" s="17">
        <v>1827.046613333333</v>
      </c>
      <c r="P4" s="16">
        <v>59.395893333333319</v>
      </c>
      <c r="Q4" s="17">
        <v>1827.0466133333332</v>
      </c>
    </row>
    <row r="5" spans="1:17" x14ac:dyDescent="0.25">
      <c r="A5" s="6" t="s">
        <v>5</v>
      </c>
      <c r="B5" s="12">
        <v>1</v>
      </c>
      <c r="C5" s="12">
        <v>5</v>
      </c>
      <c r="D5" s="12">
        <v>1</v>
      </c>
      <c r="E5" s="6" t="s">
        <v>355</v>
      </c>
      <c r="F5" s="7" t="s">
        <v>320</v>
      </c>
      <c r="G5" s="13">
        <v>1</v>
      </c>
      <c r="H5" s="7">
        <v>5</v>
      </c>
      <c r="I5" s="14" t="s">
        <v>319</v>
      </c>
      <c r="J5" s="7">
        <v>0.93</v>
      </c>
      <c r="K5" s="7">
        <v>45.960999999999999</v>
      </c>
      <c r="L5" s="6">
        <v>0</v>
      </c>
      <c r="M5" s="15">
        <v>2.82E-3</v>
      </c>
      <c r="N5" s="16">
        <v>1.3113000000000001</v>
      </c>
      <c r="O5" s="17">
        <v>64.805009999999996</v>
      </c>
      <c r="P5" s="16">
        <v>1.3112999999999999</v>
      </c>
      <c r="Q5" s="17">
        <v>64.805009999999996</v>
      </c>
    </row>
    <row r="6" spans="1:17" x14ac:dyDescent="0.25">
      <c r="A6" s="6" t="s">
        <v>5</v>
      </c>
      <c r="B6" s="12">
        <v>1</v>
      </c>
      <c r="C6" s="12">
        <v>5</v>
      </c>
      <c r="D6" s="12">
        <v>1</v>
      </c>
      <c r="E6" s="6" t="s">
        <v>355</v>
      </c>
      <c r="F6" s="7" t="s">
        <v>321</v>
      </c>
      <c r="G6" s="13">
        <v>2</v>
      </c>
      <c r="H6" s="7">
        <v>3</v>
      </c>
      <c r="I6" s="14" t="s">
        <v>318</v>
      </c>
      <c r="J6" s="7">
        <v>1.427</v>
      </c>
      <c r="K6" s="7">
        <v>44.819000000000003</v>
      </c>
      <c r="L6" s="6">
        <v>0</v>
      </c>
      <c r="M6" s="15">
        <v>9.2309764309764314E-2</v>
      </c>
      <c r="N6" s="16">
        <v>39.517810101010099</v>
      </c>
      <c r="O6" s="17">
        <v>1241.1693979797981</v>
      </c>
      <c r="P6" s="16">
        <v>65.863016835016836</v>
      </c>
      <c r="Q6" s="17">
        <v>2068.6156632996635</v>
      </c>
    </row>
    <row r="7" spans="1:17" x14ac:dyDescent="0.25">
      <c r="A7" s="6" t="s">
        <v>5</v>
      </c>
      <c r="B7" s="12">
        <v>1</v>
      </c>
      <c r="C7" s="12">
        <v>5</v>
      </c>
      <c r="D7" s="12">
        <v>1</v>
      </c>
      <c r="E7" s="6" t="s">
        <v>355</v>
      </c>
      <c r="F7" s="7" t="s">
        <v>321</v>
      </c>
      <c r="G7" s="13">
        <v>2</v>
      </c>
      <c r="H7" s="7">
        <v>3</v>
      </c>
      <c r="I7" s="14" t="s">
        <v>319</v>
      </c>
      <c r="J7" s="7" t="s">
        <v>1673</v>
      </c>
      <c r="K7" s="7" t="s">
        <v>1673</v>
      </c>
      <c r="L7" s="6" t="s">
        <v>1673</v>
      </c>
      <c r="M7" s="15" t="s">
        <v>1673</v>
      </c>
      <c r="N7" s="16" t="s">
        <v>1673</v>
      </c>
      <c r="O7" s="17" t="s">
        <v>1673</v>
      </c>
      <c r="P7" s="16" t="s">
        <v>1673</v>
      </c>
      <c r="Q7" s="17" t="s">
        <v>1673</v>
      </c>
    </row>
    <row r="8" spans="1:17" x14ac:dyDescent="0.25">
      <c r="A8" s="6" t="s">
        <v>5</v>
      </c>
      <c r="B8" s="12">
        <v>1</v>
      </c>
      <c r="C8" s="12">
        <v>5</v>
      </c>
      <c r="D8" s="7">
        <v>2</v>
      </c>
      <c r="E8" s="6" t="s">
        <v>316</v>
      </c>
      <c r="F8" s="13" t="s">
        <v>317</v>
      </c>
      <c r="G8" s="13">
        <v>0</v>
      </c>
      <c r="H8" s="7">
        <v>0</v>
      </c>
      <c r="I8" s="14" t="s">
        <v>318</v>
      </c>
      <c r="J8" s="7" t="s">
        <v>1673</v>
      </c>
      <c r="K8" s="7" t="s">
        <v>1673</v>
      </c>
      <c r="L8" s="6" t="s">
        <v>1673</v>
      </c>
      <c r="M8" s="15" t="s">
        <v>1673</v>
      </c>
      <c r="N8" s="16" t="s">
        <v>1673</v>
      </c>
      <c r="O8" s="17" t="s">
        <v>1673</v>
      </c>
      <c r="P8" s="16" t="s">
        <v>1673</v>
      </c>
      <c r="Q8" s="17" t="s">
        <v>1673</v>
      </c>
    </row>
    <row r="9" spans="1:17" x14ac:dyDescent="0.25">
      <c r="A9" s="6" t="s">
        <v>5</v>
      </c>
      <c r="B9" s="12">
        <v>1</v>
      </c>
      <c r="C9" s="12">
        <v>5</v>
      </c>
      <c r="D9" s="7">
        <v>2</v>
      </c>
      <c r="E9" s="6" t="s">
        <v>316</v>
      </c>
      <c r="F9" s="13" t="s">
        <v>317</v>
      </c>
      <c r="G9" s="13">
        <v>0</v>
      </c>
      <c r="H9" s="7">
        <v>0</v>
      </c>
      <c r="I9" s="14" t="s">
        <v>319</v>
      </c>
      <c r="J9" s="7" t="s">
        <v>1673</v>
      </c>
      <c r="K9" s="7" t="s">
        <v>1673</v>
      </c>
      <c r="L9" s="6" t="s">
        <v>1673</v>
      </c>
      <c r="M9" s="15" t="s">
        <v>1673</v>
      </c>
      <c r="N9" s="16" t="s">
        <v>1673</v>
      </c>
      <c r="O9" s="17" t="s">
        <v>1673</v>
      </c>
      <c r="P9" s="16" t="s">
        <v>1673</v>
      </c>
      <c r="Q9" s="17" t="s">
        <v>1673</v>
      </c>
    </row>
    <row r="10" spans="1:17" x14ac:dyDescent="0.25">
      <c r="A10" s="6" t="s">
        <v>5</v>
      </c>
      <c r="B10" s="12">
        <v>1</v>
      </c>
      <c r="C10" s="12">
        <v>5</v>
      </c>
      <c r="D10" s="7">
        <v>2</v>
      </c>
      <c r="E10" s="6" t="s">
        <v>355</v>
      </c>
      <c r="F10" s="7" t="s">
        <v>320</v>
      </c>
      <c r="G10" s="13">
        <v>1</v>
      </c>
      <c r="H10" s="7">
        <v>5</v>
      </c>
      <c r="I10" s="14" t="s">
        <v>318</v>
      </c>
      <c r="J10" s="7">
        <v>1.07</v>
      </c>
      <c r="K10" s="7">
        <v>42.192</v>
      </c>
      <c r="L10" s="6">
        <v>0</v>
      </c>
      <c r="M10" s="15">
        <v>4.4209090909090913E-2</v>
      </c>
      <c r="N10" s="16">
        <v>23.65186363636364</v>
      </c>
      <c r="O10" s="17">
        <v>932.63498181818193</v>
      </c>
      <c r="P10" s="16">
        <v>23.65186363636364</v>
      </c>
      <c r="Q10" s="17">
        <v>932.63498181818181</v>
      </c>
    </row>
    <row r="11" spans="1:17" x14ac:dyDescent="0.25">
      <c r="A11" s="6" t="s">
        <v>5</v>
      </c>
      <c r="B11" s="12">
        <v>1</v>
      </c>
      <c r="C11" s="12">
        <v>5</v>
      </c>
      <c r="D11" s="7">
        <v>2</v>
      </c>
      <c r="E11" s="6" t="s">
        <v>355</v>
      </c>
      <c r="F11" s="7" t="s">
        <v>320</v>
      </c>
      <c r="G11" s="13">
        <v>1</v>
      </c>
      <c r="H11" s="7">
        <v>5</v>
      </c>
      <c r="I11" s="14" t="s">
        <v>319</v>
      </c>
      <c r="J11" s="7" t="s">
        <v>1673</v>
      </c>
      <c r="K11" s="7" t="s">
        <v>1673</v>
      </c>
      <c r="L11" s="6" t="s">
        <v>1673</v>
      </c>
      <c r="M11" s="15" t="s">
        <v>1673</v>
      </c>
      <c r="N11" s="16" t="s">
        <v>1673</v>
      </c>
      <c r="O11" s="17" t="s">
        <v>1673</v>
      </c>
      <c r="P11" s="16" t="s">
        <v>1673</v>
      </c>
      <c r="Q11" s="17" t="s">
        <v>1673</v>
      </c>
    </row>
    <row r="12" spans="1:17" x14ac:dyDescent="0.25">
      <c r="A12" s="6" t="s">
        <v>5</v>
      </c>
      <c r="B12" s="12">
        <v>1</v>
      </c>
      <c r="C12" s="12">
        <v>5</v>
      </c>
      <c r="D12" s="7">
        <v>2</v>
      </c>
      <c r="E12" s="6" t="s">
        <v>355</v>
      </c>
      <c r="F12" s="7" t="s">
        <v>321</v>
      </c>
      <c r="G12" s="13">
        <v>2</v>
      </c>
      <c r="H12" s="7">
        <v>5</v>
      </c>
      <c r="I12" s="14" t="s">
        <v>318</v>
      </c>
      <c r="J12" s="7">
        <v>2.1040000000000001</v>
      </c>
      <c r="K12" s="7">
        <v>40.448</v>
      </c>
      <c r="L12" s="6">
        <v>0</v>
      </c>
      <c r="M12" s="15">
        <v>6.7226923076923073E-2</v>
      </c>
      <c r="N12" s="16">
        <v>70.72272307692306</v>
      </c>
      <c r="O12" s="17">
        <v>1359.5972923076922</v>
      </c>
      <c r="P12" s="16">
        <v>70.722723076923074</v>
      </c>
      <c r="Q12" s="17">
        <v>1359.5972923076924</v>
      </c>
    </row>
    <row r="13" spans="1:17" x14ac:dyDescent="0.25">
      <c r="A13" s="6" t="s">
        <v>5</v>
      </c>
      <c r="B13" s="12">
        <v>1</v>
      </c>
      <c r="C13" s="12">
        <v>5</v>
      </c>
      <c r="D13" s="7">
        <v>2</v>
      </c>
      <c r="E13" s="6" t="s">
        <v>355</v>
      </c>
      <c r="F13" s="7" t="s">
        <v>321</v>
      </c>
      <c r="G13" s="13">
        <v>2</v>
      </c>
      <c r="H13" s="7">
        <v>5</v>
      </c>
      <c r="I13" s="14" t="s">
        <v>319</v>
      </c>
      <c r="J13" s="7" t="s">
        <v>1673</v>
      </c>
      <c r="K13" s="7" t="s">
        <v>1673</v>
      </c>
      <c r="L13" s="6" t="s">
        <v>1673</v>
      </c>
      <c r="M13" s="15" t="s">
        <v>1673</v>
      </c>
      <c r="N13" s="16" t="s">
        <v>1673</v>
      </c>
      <c r="O13" s="17" t="s">
        <v>1673</v>
      </c>
      <c r="P13" s="16" t="s">
        <v>1673</v>
      </c>
      <c r="Q13" s="17" t="s">
        <v>1673</v>
      </c>
    </row>
    <row r="14" spans="1:17" x14ac:dyDescent="0.25">
      <c r="A14" s="6" t="s">
        <v>5</v>
      </c>
      <c r="B14" s="12">
        <v>1</v>
      </c>
      <c r="C14" s="12">
        <v>5</v>
      </c>
      <c r="D14" s="7">
        <v>2</v>
      </c>
      <c r="E14" s="6" t="s">
        <v>355</v>
      </c>
      <c r="F14" s="7" t="s">
        <v>322</v>
      </c>
      <c r="G14" s="13">
        <v>3</v>
      </c>
      <c r="H14" s="7">
        <v>4</v>
      </c>
      <c r="I14" s="14" t="s">
        <v>318</v>
      </c>
      <c r="J14" s="7">
        <v>1.4370000000000001</v>
      </c>
      <c r="K14" s="7">
        <v>26.225000000000001</v>
      </c>
      <c r="L14" s="6">
        <v>0</v>
      </c>
      <c r="M14" s="15">
        <v>0.12726153846153845</v>
      </c>
      <c r="N14" s="16">
        <v>73.14993230769231</v>
      </c>
      <c r="O14" s="17">
        <v>1334.9735384615385</v>
      </c>
      <c r="P14" s="16">
        <v>91.437415384615377</v>
      </c>
      <c r="Q14" s="17">
        <v>1668.7169230769234</v>
      </c>
    </row>
    <row r="15" spans="1:17" x14ac:dyDescent="0.25">
      <c r="A15" s="6" t="s">
        <v>5</v>
      </c>
      <c r="B15" s="12">
        <v>1</v>
      </c>
      <c r="C15" s="12">
        <v>5</v>
      </c>
      <c r="D15" s="7">
        <v>2</v>
      </c>
      <c r="E15" s="6" t="s">
        <v>355</v>
      </c>
      <c r="F15" s="7" t="s">
        <v>322</v>
      </c>
      <c r="G15" s="13">
        <v>3</v>
      </c>
      <c r="H15" s="7">
        <v>4</v>
      </c>
      <c r="I15" s="14" t="s">
        <v>319</v>
      </c>
      <c r="J15" s="7" t="s">
        <v>1673</v>
      </c>
      <c r="K15" s="7" t="s">
        <v>1673</v>
      </c>
      <c r="L15" s="6" t="s">
        <v>1673</v>
      </c>
      <c r="M15" s="15" t="s">
        <v>1673</v>
      </c>
      <c r="N15" s="16" t="s">
        <v>1673</v>
      </c>
      <c r="O15" s="17" t="s">
        <v>1673</v>
      </c>
      <c r="P15" s="16" t="s">
        <v>1673</v>
      </c>
      <c r="Q15" s="17" t="s">
        <v>1673</v>
      </c>
    </row>
    <row r="16" spans="1:17" x14ac:dyDescent="0.25">
      <c r="A16" s="6" t="s">
        <v>5</v>
      </c>
      <c r="B16" s="12">
        <v>1</v>
      </c>
      <c r="C16" s="12">
        <v>5</v>
      </c>
      <c r="D16" s="7">
        <v>3</v>
      </c>
      <c r="E16" s="6" t="s">
        <v>316</v>
      </c>
      <c r="F16" s="13" t="s">
        <v>317</v>
      </c>
      <c r="G16" s="13">
        <v>0</v>
      </c>
      <c r="H16" s="7">
        <v>0</v>
      </c>
      <c r="I16" s="14" t="s">
        <v>318</v>
      </c>
      <c r="J16" s="7" t="s">
        <v>1673</v>
      </c>
      <c r="K16" s="7" t="s">
        <v>1673</v>
      </c>
      <c r="L16" s="6" t="s">
        <v>1673</v>
      </c>
      <c r="M16" s="15" t="s">
        <v>1673</v>
      </c>
      <c r="N16" s="16" t="s">
        <v>1673</v>
      </c>
      <c r="O16" s="17" t="s">
        <v>1673</v>
      </c>
      <c r="P16" s="16" t="s">
        <v>1673</v>
      </c>
      <c r="Q16" s="17" t="s">
        <v>1673</v>
      </c>
    </row>
    <row r="17" spans="1:17" x14ac:dyDescent="0.25">
      <c r="A17" s="6" t="s">
        <v>5</v>
      </c>
      <c r="B17" s="12">
        <v>1</v>
      </c>
      <c r="C17" s="12">
        <v>5</v>
      </c>
      <c r="D17" s="7">
        <v>3</v>
      </c>
      <c r="E17" s="6" t="s">
        <v>316</v>
      </c>
      <c r="F17" s="13" t="s">
        <v>317</v>
      </c>
      <c r="G17" s="13">
        <v>0</v>
      </c>
      <c r="H17" s="7">
        <v>0</v>
      </c>
      <c r="I17" s="14" t="s">
        <v>319</v>
      </c>
      <c r="J17" s="7" t="s">
        <v>1673</v>
      </c>
      <c r="K17" s="7" t="s">
        <v>1673</v>
      </c>
      <c r="L17" s="6" t="s">
        <v>1673</v>
      </c>
      <c r="M17" s="15" t="s">
        <v>1673</v>
      </c>
      <c r="N17" s="16" t="s">
        <v>1673</v>
      </c>
      <c r="O17" s="17" t="s">
        <v>1673</v>
      </c>
      <c r="P17" s="16" t="s">
        <v>1673</v>
      </c>
      <c r="Q17" s="17" t="s">
        <v>1673</v>
      </c>
    </row>
    <row r="18" spans="1:17" x14ac:dyDescent="0.25">
      <c r="A18" s="6" t="s">
        <v>5</v>
      </c>
      <c r="B18" s="12">
        <v>1</v>
      </c>
      <c r="C18" s="12">
        <v>5</v>
      </c>
      <c r="D18" s="7">
        <v>3</v>
      </c>
      <c r="E18" s="6" t="s">
        <v>355</v>
      </c>
      <c r="F18" s="7" t="s">
        <v>320</v>
      </c>
      <c r="G18" s="13">
        <v>1</v>
      </c>
      <c r="H18" s="7">
        <v>5</v>
      </c>
      <c r="I18" s="14" t="s">
        <v>318</v>
      </c>
      <c r="J18" s="7">
        <v>1.2290000000000001</v>
      </c>
      <c r="K18" s="7">
        <v>43.783000000000001</v>
      </c>
      <c r="L18" s="6">
        <v>0</v>
      </c>
      <c r="M18" s="15">
        <v>5.05038961038961E-2</v>
      </c>
      <c r="N18" s="16">
        <v>31.034644155844159</v>
      </c>
      <c r="O18" s="17">
        <v>1105.6060415584416</v>
      </c>
      <c r="P18" s="16">
        <v>31.034644155844152</v>
      </c>
      <c r="Q18" s="17">
        <v>1105.6060415584416</v>
      </c>
    </row>
    <row r="19" spans="1:17" x14ac:dyDescent="0.25">
      <c r="A19" s="6" t="s">
        <v>5</v>
      </c>
      <c r="B19" s="12">
        <v>1</v>
      </c>
      <c r="C19" s="12">
        <v>5</v>
      </c>
      <c r="D19" s="7">
        <v>3</v>
      </c>
      <c r="E19" s="6" t="s">
        <v>355</v>
      </c>
      <c r="F19" s="7" t="s">
        <v>320</v>
      </c>
      <c r="G19" s="13">
        <v>1</v>
      </c>
      <c r="H19" s="7">
        <v>5</v>
      </c>
      <c r="I19" s="14" t="s">
        <v>319</v>
      </c>
      <c r="J19" s="7" t="s">
        <v>1673</v>
      </c>
      <c r="K19" s="7" t="s">
        <v>1673</v>
      </c>
      <c r="L19" s="6" t="s">
        <v>1673</v>
      </c>
      <c r="M19" s="15" t="s">
        <v>1673</v>
      </c>
      <c r="N19" s="16" t="s">
        <v>1673</v>
      </c>
      <c r="O19" s="17" t="s">
        <v>1673</v>
      </c>
      <c r="P19" s="16" t="s">
        <v>1673</v>
      </c>
      <c r="Q19" s="17" t="s">
        <v>1673</v>
      </c>
    </row>
    <row r="20" spans="1:17" x14ac:dyDescent="0.25">
      <c r="A20" s="6" t="s">
        <v>5</v>
      </c>
      <c r="B20" s="12">
        <v>1</v>
      </c>
      <c r="C20" s="12">
        <v>5</v>
      </c>
      <c r="D20" s="7">
        <v>3</v>
      </c>
      <c r="E20" s="6" t="s">
        <v>355</v>
      </c>
      <c r="F20" s="7" t="s">
        <v>321</v>
      </c>
      <c r="G20" s="13">
        <v>2</v>
      </c>
      <c r="H20" s="7">
        <v>5</v>
      </c>
      <c r="I20" s="14" t="s">
        <v>318</v>
      </c>
      <c r="J20" s="7">
        <v>1.222</v>
      </c>
      <c r="K20" s="7">
        <v>43.524999999999999</v>
      </c>
      <c r="L20" s="6">
        <v>0</v>
      </c>
      <c r="M20" s="15">
        <v>8.0783333333333346E-2</v>
      </c>
      <c r="N20" s="16">
        <v>49.358616666666677</v>
      </c>
      <c r="O20" s="17">
        <v>1758.047291666667</v>
      </c>
      <c r="P20" s="16">
        <v>49.35861666666667</v>
      </c>
      <c r="Q20" s="17">
        <v>1758.047291666667</v>
      </c>
    </row>
    <row r="21" spans="1:17" x14ac:dyDescent="0.25">
      <c r="A21" s="6" t="s">
        <v>5</v>
      </c>
      <c r="B21" s="12">
        <v>1</v>
      </c>
      <c r="C21" s="12">
        <v>5</v>
      </c>
      <c r="D21" s="7">
        <v>3</v>
      </c>
      <c r="E21" s="6" t="s">
        <v>355</v>
      </c>
      <c r="F21" s="7" t="s">
        <v>321</v>
      </c>
      <c r="G21" s="13">
        <v>2</v>
      </c>
      <c r="H21" s="7">
        <v>5</v>
      </c>
      <c r="I21" s="14" t="s">
        <v>319</v>
      </c>
      <c r="J21" s="7" t="s">
        <v>1673</v>
      </c>
      <c r="K21" s="7" t="s">
        <v>1673</v>
      </c>
      <c r="L21" s="6" t="s">
        <v>1673</v>
      </c>
      <c r="M21" s="15" t="s">
        <v>1673</v>
      </c>
      <c r="N21" s="16" t="s">
        <v>1673</v>
      </c>
      <c r="O21" s="17" t="s">
        <v>1673</v>
      </c>
      <c r="P21" s="16" t="s">
        <v>1673</v>
      </c>
      <c r="Q21" s="17" t="s">
        <v>1673</v>
      </c>
    </row>
    <row r="22" spans="1:17" x14ac:dyDescent="0.25">
      <c r="A22" s="6" t="s">
        <v>5</v>
      </c>
      <c r="B22" s="12">
        <v>1</v>
      </c>
      <c r="C22" s="12">
        <v>5</v>
      </c>
      <c r="D22" s="7">
        <v>3</v>
      </c>
      <c r="E22" s="6" t="s">
        <v>355</v>
      </c>
      <c r="F22" s="7" t="s">
        <v>322</v>
      </c>
      <c r="G22" s="13">
        <v>3</v>
      </c>
      <c r="H22" s="7">
        <v>5</v>
      </c>
      <c r="I22" s="14" t="s">
        <v>318</v>
      </c>
      <c r="J22" s="7">
        <v>1.9370000000000001</v>
      </c>
      <c r="K22" s="7">
        <v>43.216000000000001</v>
      </c>
      <c r="L22" s="6">
        <v>0</v>
      </c>
      <c r="M22" s="15">
        <v>0.17315</v>
      </c>
      <c r="N22" s="16">
        <v>167.69577500000003</v>
      </c>
      <c r="O22" s="17">
        <v>3741.4251999999997</v>
      </c>
      <c r="P22" s="16">
        <v>167.695775</v>
      </c>
      <c r="Q22" s="17">
        <v>3741.4251999999997</v>
      </c>
    </row>
    <row r="23" spans="1:17" x14ac:dyDescent="0.25">
      <c r="A23" s="6" t="s">
        <v>5</v>
      </c>
      <c r="B23" s="12">
        <v>1</v>
      </c>
      <c r="C23" s="12">
        <v>5</v>
      </c>
      <c r="D23" s="7">
        <v>3</v>
      </c>
      <c r="E23" s="6" t="s">
        <v>355</v>
      </c>
      <c r="F23" s="7" t="s">
        <v>322</v>
      </c>
      <c r="G23" s="13">
        <v>3</v>
      </c>
      <c r="H23" s="7">
        <v>5</v>
      </c>
      <c r="I23" s="14" t="s">
        <v>319</v>
      </c>
      <c r="J23" s="7" t="s">
        <v>1673</v>
      </c>
      <c r="K23" s="7" t="s">
        <v>1673</v>
      </c>
      <c r="L23" s="6" t="s">
        <v>1673</v>
      </c>
      <c r="M23" s="15" t="s">
        <v>1673</v>
      </c>
      <c r="N23" s="16" t="s">
        <v>1673</v>
      </c>
      <c r="O23" s="17" t="s">
        <v>1673</v>
      </c>
      <c r="P23" s="16" t="s">
        <v>1673</v>
      </c>
      <c r="Q23" s="17" t="s">
        <v>1673</v>
      </c>
    </row>
    <row r="24" spans="1:17" x14ac:dyDescent="0.25">
      <c r="A24" s="6" t="s">
        <v>5</v>
      </c>
      <c r="B24" s="12">
        <v>1</v>
      </c>
      <c r="C24" s="12">
        <v>5</v>
      </c>
      <c r="D24" s="7">
        <v>3</v>
      </c>
      <c r="E24" s="6" t="s">
        <v>355</v>
      </c>
      <c r="F24" s="7" t="s">
        <v>324</v>
      </c>
      <c r="G24" s="18">
        <v>4</v>
      </c>
      <c r="H24" s="7">
        <v>3</v>
      </c>
      <c r="I24" s="14" t="s">
        <v>318</v>
      </c>
      <c r="J24" s="7">
        <v>2.1469999999999998</v>
      </c>
      <c r="K24" s="7">
        <v>41.898000000000003</v>
      </c>
      <c r="L24" s="6">
        <v>0</v>
      </c>
      <c r="M24" s="15">
        <v>0.208625</v>
      </c>
      <c r="N24" s="16">
        <v>134.37536249999999</v>
      </c>
      <c r="O24" s="17">
        <v>2622.2910750000001</v>
      </c>
      <c r="P24" s="16">
        <v>223.95893749999999</v>
      </c>
      <c r="Q24" s="17">
        <v>4370.4851250000002</v>
      </c>
    </row>
    <row r="25" spans="1:17" x14ac:dyDescent="0.25">
      <c r="A25" s="6" t="s">
        <v>5</v>
      </c>
      <c r="B25" s="12">
        <v>1</v>
      </c>
      <c r="C25" s="12">
        <v>5</v>
      </c>
      <c r="D25" s="7">
        <v>3</v>
      </c>
      <c r="E25" s="6" t="s">
        <v>355</v>
      </c>
      <c r="F25" s="7" t="s">
        <v>324</v>
      </c>
      <c r="G25" s="18">
        <v>4</v>
      </c>
      <c r="H25" s="7">
        <v>3</v>
      </c>
      <c r="I25" s="14" t="s">
        <v>319</v>
      </c>
      <c r="J25" s="7" t="s">
        <v>1673</v>
      </c>
      <c r="K25" s="7" t="s">
        <v>1673</v>
      </c>
      <c r="L25" s="6" t="s">
        <v>1673</v>
      </c>
      <c r="M25" s="15" t="s">
        <v>1673</v>
      </c>
      <c r="N25" s="16" t="s">
        <v>1673</v>
      </c>
      <c r="O25" s="17" t="s">
        <v>1673</v>
      </c>
      <c r="P25" s="16" t="s">
        <v>1673</v>
      </c>
      <c r="Q25" s="17" t="s">
        <v>1673</v>
      </c>
    </row>
    <row r="26" spans="1:17" x14ac:dyDescent="0.25">
      <c r="A26" s="6" t="s">
        <v>5</v>
      </c>
      <c r="B26" s="12">
        <v>1</v>
      </c>
      <c r="C26" s="12">
        <v>5</v>
      </c>
      <c r="D26" s="7">
        <v>4</v>
      </c>
      <c r="E26" s="6" t="s">
        <v>316</v>
      </c>
      <c r="F26" s="13" t="s">
        <v>317</v>
      </c>
      <c r="G26" s="13">
        <v>0</v>
      </c>
      <c r="H26" s="7">
        <v>6</v>
      </c>
      <c r="I26" s="14" t="s">
        <v>318</v>
      </c>
      <c r="J26" s="7">
        <v>1.103</v>
      </c>
      <c r="K26" s="7">
        <v>44.468000000000004</v>
      </c>
      <c r="L26" s="6">
        <v>0</v>
      </c>
      <c r="M26" s="15" t="s">
        <v>1673</v>
      </c>
      <c r="N26" s="16" t="s">
        <v>1673</v>
      </c>
      <c r="O26" s="17" t="s">
        <v>1673</v>
      </c>
      <c r="P26" s="16" t="s">
        <v>1673</v>
      </c>
      <c r="Q26" s="17" t="s">
        <v>1673</v>
      </c>
    </row>
    <row r="27" spans="1:17" x14ac:dyDescent="0.25">
      <c r="A27" s="6" t="s">
        <v>5</v>
      </c>
      <c r="B27" s="12">
        <v>1</v>
      </c>
      <c r="C27" s="12">
        <v>5</v>
      </c>
      <c r="D27" s="7">
        <v>4</v>
      </c>
      <c r="E27" s="6" t="s">
        <v>316</v>
      </c>
      <c r="F27" s="13" t="s">
        <v>317</v>
      </c>
      <c r="G27" s="13">
        <v>0</v>
      </c>
      <c r="H27" s="7">
        <v>6</v>
      </c>
      <c r="I27" s="14" t="s">
        <v>319</v>
      </c>
      <c r="J27" s="7" t="s">
        <v>1673</v>
      </c>
      <c r="K27" s="7" t="s">
        <v>1673</v>
      </c>
      <c r="L27" s="6" t="s">
        <v>1673</v>
      </c>
      <c r="M27" s="15" t="s">
        <v>1673</v>
      </c>
      <c r="N27" s="16" t="s">
        <v>1673</v>
      </c>
      <c r="O27" s="17" t="s">
        <v>1673</v>
      </c>
      <c r="P27" s="16" t="s">
        <v>1673</v>
      </c>
      <c r="Q27" s="17" t="s">
        <v>1673</v>
      </c>
    </row>
    <row r="28" spans="1:17" x14ac:dyDescent="0.25">
      <c r="A28" s="6" t="s">
        <v>5</v>
      </c>
      <c r="B28" s="12">
        <v>1</v>
      </c>
      <c r="C28" s="12">
        <v>5</v>
      </c>
      <c r="D28" s="7">
        <v>4</v>
      </c>
      <c r="E28" s="6" t="s">
        <v>355</v>
      </c>
      <c r="F28" s="13" t="s">
        <v>320</v>
      </c>
      <c r="G28" s="13">
        <v>1</v>
      </c>
      <c r="H28" s="7">
        <v>5</v>
      </c>
      <c r="I28" s="14" t="s">
        <v>318</v>
      </c>
      <c r="J28" s="7">
        <v>0.64700000000000002</v>
      </c>
      <c r="K28" s="7">
        <v>42.485999999999997</v>
      </c>
      <c r="L28" s="6">
        <v>0</v>
      </c>
      <c r="M28" s="15">
        <v>2.6168E-2</v>
      </c>
      <c r="N28" s="16">
        <v>8.4653480000000005</v>
      </c>
      <c r="O28" s="17">
        <v>555.88682399999993</v>
      </c>
      <c r="P28" s="16">
        <v>8.4653480000000005</v>
      </c>
      <c r="Q28" s="17">
        <v>555.88682399999993</v>
      </c>
    </row>
    <row r="29" spans="1:17" x14ac:dyDescent="0.25">
      <c r="A29" s="6" t="s">
        <v>5</v>
      </c>
      <c r="B29" s="12">
        <v>1</v>
      </c>
      <c r="C29" s="12">
        <v>5</v>
      </c>
      <c r="D29" s="7">
        <v>4</v>
      </c>
      <c r="E29" s="6" t="s">
        <v>355</v>
      </c>
      <c r="F29" s="13" t="s">
        <v>320</v>
      </c>
      <c r="G29" s="13">
        <v>1</v>
      </c>
      <c r="H29" s="7">
        <v>5</v>
      </c>
      <c r="I29" s="14" t="s">
        <v>319</v>
      </c>
      <c r="J29" s="7" t="s">
        <v>1673</v>
      </c>
      <c r="K29" s="7" t="s">
        <v>1673</v>
      </c>
      <c r="L29" s="6" t="s">
        <v>1673</v>
      </c>
      <c r="M29" s="15" t="s">
        <v>1673</v>
      </c>
      <c r="N29" s="16" t="s">
        <v>1673</v>
      </c>
      <c r="O29" s="17" t="s">
        <v>1673</v>
      </c>
      <c r="P29" s="16" t="s">
        <v>1673</v>
      </c>
      <c r="Q29" s="17" t="s">
        <v>1673</v>
      </c>
    </row>
    <row r="30" spans="1:17" x14ac:dyDescent="0.25">
      <c r="A30" s="6" t="s">
        <v>5</v>
      </c>
      <c r="B30" s="12">
        <v>1</v>
      </c>
      <c r="C30" s="12">
        <v>5</v>
      </c>
      <c r="D30" s="7">
        <v>4</v>
      </c>
      <c r="E30" s="6" t="s">
        <v>355</v>
      </c>
      <c r="F30" s="13" t="s">
        <v>321</v>
      </c>
      <c r="G30" s="13">
        <v>2</v>
      </c>
      <c r="H30" s="7">
        <v>5</v>
      </c>
      <c r="I30" s="14" t="s">
        <v>318</v>
      </c>
      <c r="J30" s="7">
        <v>0.751</v>
      </c>
      <c r="K30" s="7">
        <v>42.47</v>
      </c>
      <c r="L30" s="6">
        <v>0</v>
      </c>
      <c r="M30" s="15">
        <v>3.5271999999999998E-2</v>
      </c>
      <c r="N30" s="16">
        <v>13.244636</v>
      </c>
      <c r="O30" s="17">
        <v>749.00091999999995</v>
      </c>
      <c r="P30" s="16">
        <v>13.244635999999998</v>
      </c>
      <c r="Q30" s="17">
        <v>749.00091999999984</v>
      </c>
    </row>
    <row r="31" spans="1:17" x14ac:dyDescent="0.25">
      <c r="A31" s="6" t="s">
        <v>5</v>
      </c>
      <c r="B31" s="12">
        <v>1</v>
      </c>
      <c r="C31" s="12">
        <v>5</v>
      </c>
      <c r="D31" s="7">
        <v>4</v>
      </c>
      <c r="E31" s="6" t="s">
        <v>355</v>
      </c>
      <c r="F31" s="13" t="s">
        <v>321</v>
      </c>
      <c r="G31" s="13">
        <v>2</v>
      </c>
      <c r="H31" s="7">
        <v>5</v>
      </c>
      <c r="I31" s="14" t="s">
        <v>319</v>
      </c>
      <c r="J31" s="7">
        <v>0.54600000000000004</v>
      </c>
      <c r="K31" s="7">
        <v>48.109000000000002</v>
      </c>
      <c r="L31" s="6">
        <v>0</v>
      </c>
      <c r="M31" s="15">
        <v>1.9703999999999999E-2</v>
      </c>
      <c r="N31" s="16">
        <v>5.3791919999999998</v>
      </c>
      <c r="O31" s="17">
        <v>473.96986799999996</v>
      </c>
      <c r="P31" s="16">
        <v>5.3791920000000006</v>
      </c>
      <c r="Q31" s="17">
        <v>473.96986799999996</v>
      </c>
    </row>
    <row r="32" spans="1:17" x14ac:dyDescent="0.25">
      <c r="A32" s="6" t="s">
        <v>5</v>
      </c>
      <c r="B32" s="12">
        <v>1</v>
      </c>
      <c r="C32" s="12">
        <v>5</v>
      </c>
      <c r="D32" s="7">
        <v>4</v>
      </c>
      <c r="E32" s="6" t="s">
        <v>355</v>
      </c>
      <c r="F32" s="13" t="s">
        <v>322</v>
      </c>
      <c r="G32" s="13">
        <v>3</v>
      </c>
      <c r="H32" s="7">
        <v>5</v>
      </c>
      <c r="I32" s="14" t="s">
        <v>318</v>
      </c>
      <c r="J32" s="7">
        <v>0.84699999999999998</v>
      </c>
      <c r="K32" s="7">
        <v>42.512999999999998</v>
      </c>
      <c r="L32" s="6">
        <v>0</v>
      </c>
      <c r="M32" s="15">
        <v>4.9531428571428567E-2</v>
      </c>
      <c r="N32" s="16">
        <v>20.976559999999999</v>
      </c>
      <c r="O32" s="17">
        <v>1052.8648114285713</v>
      </c>
      <c r="P32" s="16">
        <v>20.976559999999999</v>
      </c>
      <c r="Q32" s="17">
        <v>1052.8648114285713</v>
      </c>
    </row>
    <row r="33" spans="1:17" x14ac:dyDescent="0.25">
      <c r="A33" s="6" t="s">
        <v>5</v>
      </c>
      <c r="B33" s="12">
        <v>1</v>
      </c>
      <c r="C33" s="12">
        <v>5</v>
      </c>
      <c r="D33" s="7">
        <v>4</v>
      </c>
      <c r="E33" s="6" t="s">
        <v>355</v>
      </c>
      <c r="F33" s="13" t="s">
        <v>322</v>
      </c>
      <c r="G33" s="13">
        <v>3</v>
      </c>
      <c r="H33" s="7">
        <v>5</v>
      </c>
      <c r="I33" s="14" t="s">
        <v>319</v>
      </c>
      <c r="J33" s="7" t="s">
        <v>1673</v>
      </c>
      <c r="K33" s="7" t="s">
        <v>1673</v>
      </c>
      <c r="L33" s="6" t="s">
        <v>1673</v>
      </c>
      <c r="M33" s="15" t="s">
        <v>1673</v>
      </c>
      <c r="N33" s="16" t="s">
        <v>1673</v>
      </c>
      <c r="O33" s="17" t="s">
        <v>1673</v>
      </c>
      <c r="P33" s="16" t="s">
        <v>1673</v>
      </c>
      <c r="Q33" s="17" t="s">
        <v>1673</v>
      </c>
    </row>
    <row r="34" spans="1:17" x14ac:dyDescent="0.25">
      <c r="A34" s="6" t="s">
        <v>5</v>
      </c>
      <c r="B34" s="12">
        <v>1</v>
      </c>
      <c r="C34" s="12">
        <v>5</v>
      </c>
      <c r="D34" s="7">
        <v>4</v>
      </c>
      <c r="E34" s="6" t="s">
        <v>355</v>
      </c>
      <c r="F34" s="13" t="s">
        <v>324</v>
      </c>
      <c r="G34" s="18">
        <v>4</v>
      </c>
      <c r="H34" s="7">
        <v>5</v>
      </c>
      <c r="I34" s="14" t="s">
        <v>318</v>
      </c>
      <c r="J34" s="7">
        <v>0.89600000000000002</v>
      </c>
      <c r="K34" s="7">
        <v>41.392000000000003</v>
      </c>
      <c r="L34" s="6">
        <v>0</v>
      </c>
      <c r="M34" s="15">
        <v>5.6411428571428571E-2</v>
      </c>
      <c r="N34" s="16">
        <v>25.272320000000004</v>
      </c>
      <c r="O34" s="17">
        <v>1167.4909257142858</v>
      </c>
      <c r="P34" s="16">
        <v>25.272320000000001</v>
      </c>
      <c r="Q34" s="17">
        <v>1167.4909257142856</v>
      </c>
    </row>
    <row r="35" spans="1:17" x14ac:dyDescent="0.25">
      <c r="A35" s="6" t="s">
        <v>5</v>
      </c>
      <c r="B35" s="12">
        <v>1</v>
      </c>
      <c r="C35" s="12">
        <v>5</v>
      </c>
      <c r="D35" s="7">
        <v>4</v>
      </c>
      <c r="E35" s="6" t="s">
        <v>355</v>
      </c>
      <c r="F35" s="13" t="s">
        <v>324</v>
      </c>
      <c r="G35" s="18">
        <v>4</v>
      </c>
      <c r="H35" s="7">
        <v>5</v>
      </c>
      <c r="I35" s="14" t="s">
        <v>319</v>
      </c>
      <c r="J35" s="7" t="s">
        <v>1673</v>
      </c>
      <c r="K35" s="7" t="s">
        <v>1673</v>
      </c>
      <c r="L35" s="6" t="s">
        <v>1673</v>
      </c>
      <c r="M35" s="15" t="s">
        <v>1673</v>
      </c>
      <c r="N35" s="16" t="s">
        <v>1673</v>
      </c>
      <c r="O35" s="17" t="s">
        <v>1673</v>
      </c>
      <c r="P35" s="16" t="s">
        <v>1673</v>
      </c>
      <c r="Q35" s="17" t="s">
        <v>1673</v>
      </c>
    </row>
    <row r="36" spans="1:17" x14ac:dyDescent="0.25">
      <c r="A36" s="6" t="s">
        <v>5</v>
      </c>
      <c r="B36" s="12">
        <v>1</v>
      </c>
      <c r="C36" s="12">
        <v>5</v>
      </c>
      <c r="D36" s="7">
        <v>4</v>
      </c>
      <c r="E36" s="6" t="s">
        <v>355</v>
      </c>
      <c r="F36" s="13" t="s">
        <v>325</v>
      </c>
      <c r="G36" s="18">
        <v>5</v>
      </c>
      <c r="H36" s="7">
        <v>1</v>
      </c>
      <c r="I36" s="14" t="s">
        <v>318</v>
      </c>
      <c r="J36" s="7">
        <v>1.0269999999999999</v>
      </c>
      <c r="K36" s="7">
        <v>41.018999999999998</v>
      </c>
      <c r="L36" s="6">
        <v>0</v>
      </c>
      <c r="M36" s="15">
        <v>0.1318</v>
      </c>
      <c r="N36" s="16">
        <v>13.53586</v>
      </c>
      <c r="O36" s="17">
        <v>540.63041999999996</v>
      </c>
      <c r="P36" s="16">
        <v>67.679299999999998</v>
      </c>
      <c r="Q36" s="17">
        <v>2703.1520999999998</v>
      </c>
    </row>
    <row r="37" spans="1:17" x14ac:dyDescent="0.25">
      <c r="A37" s="6" t="s">
        <v>5</v>
      </c>
      <c r="B37" s="12">
        <v>1</v>
      </c>
      <c r="C37" s="12">
        <v>5</v>
      </c>
      <c r="D37" s="7">
        <v>4</v>
      </c>
      <c r="E37" s="6" t="s">
        <v>355</v>
      </c>
      <c r="F37" s="13" t="s">
        <v>325</v>
      </c>
      <c r="G37" s="18">
        <v>5</v>
      </c>
      <c r="H37" s="7">
        <v>1</v>
      </c>
      <c r="I37" s="14" t="s">
        <v>319</v>
      </c>
      <c r="J37" s="7" t="s">
        <v>1673</v>
      </c>
      <c r="K37" s="7" t="s">
        <v>1673</v>
      </c>
      <c r="L37" s="6" t="s">
        <v>1673</v>
      </c>
      <c r="M37" s="15" t="s">
        <v>1673</v>
      </c>
      <c r="N37" s="16" t="s">
        <v>1673</v>
      </c>
      <c r="O37" s="17" t="s">
        <v>1673</v>
      </c>
      <c r="P37" s="16" t="s">
        <v>1673</v>
      </c>
      <c r="Q37" s="17" t="s">
        <v>1673</v>
      </c>
    </row>
    <row r="38" spans="1:17" x14ac:dyDescent="0.25">
      <c r="A38" s="6" t="s">
        <v>5</v>
      </c>
      <c r="B38" s="12">
        <v>1</v>
      </c>
      <c r="C38" s="12">
        <v>5</v>
      </c>
      <c r="D38" s="7">
        <v>5</v>
      </c>
      <c r="E38" s="6" t="s">
        <v>316</v>
      </c>
      <c r="F38" s="13" t="s">
        <v>317</v>
      </c>
      <c r="G38" s="13">
        <v>0</v>
      </c>
      <c r="H38" s="7">
        <v>8</v>
      </c>
      <c r="I38" s="14" t="s">
        <v>318</v>
      </c>
      <c r="J38" s="7">
        <v>1.998</v>
      </c>
      <c r="K38" s="7">
        <v>44.31</v>
      </c>
      <c r="L38" s="6">
        <v>0</v>
      </c>
      <c r="M38" s="15" t="s">
        <v>1673</v>
      </c>
      <c r="N38" s="16" t="s">
        <v>1673</v>
      </c>
      <c r="O38" s="17" t="s">
        <v>1673</v>
      </c>
      <c r="P38" s="16" t="s">
        <v>1673</v>
      </c>
      <c r="Q38" s="17" t="s">
        <v>1673</v>
      </c>
    </row>
    <row r="39" spans="1:17" x14ac:dyDescent="0.25">
      <c r="A39" s="6" t="s">
        <v>5</v>
      </c>
      <c r="B39" s="12">
        <v>1</v>
      </c>
      <c r="C39" s="12">
        <v>5</v>
      </c>
      <c r="D39" s="7">
        <v>5</v>
      </c>
      <c r="E39" s="6" t="s">
        <v>316</v>
      </c>
      <c r="F39" s="13" t="s">
        <v>317</v>
      </c>
      <c r="G39" s="13">
        <v>0</v>
      </c>
      <c r="H39" s="7">
        <v>8</v>
      </c>
      <c r="I39" s="14" t="s">
        <v>319</v>
      </c>
      <c r="J39" s="7" t="s">
        <v>1673</v>
      </c>
      <c r="K39" s="7" t="s">
        <v>1673</v>
      </c>
      <c r="L39" s="6" t="s">
        <v>1673</v>
      </c>
      <c r="M39" s="15" t="s">
        <v>1673</v>
      </c>
      <c r="N39" s="16" t="s">
        <v>1673</v>
      </c>
      <c r="O39" s="17" t="s">
        <v>1673</v>
      </c>
      <c r="P39" s="16" t="s">
        <v>1673</v>
      </c>
      <c r="Q39" s="17" t="s">
        <v>1673</v>
      </c>
    </row>
    <row r="40" spans="1:17" x14ac:dyDescent="0.25">
      <c r="A40" s="6" t="s">
        <v>5</v>
      </c>
      <c r="B40" s="12">
        <v>1</v>
      </c>
      <c r="C40" s="12">
        <v>5</v>
      </c>
      <c r="D40" s="7">
        <v>5</v>
      </c>
      <c r="E40" s="6" t="s">
        <v>355</v>
      </c>
      <c r="F40" s="13" t="s">
        <v>320</v>
      </c>
      <c r="G40" s="13">
        <v>1</v>
      </c>
      <c r="H40" s="7">
        <v>5</v>
      </c>
      <c r="I40" s="14" t="s">
        <v>318</v>
      </c>
      <c r="J40" s="7">
        <v>0.77600000000000002</v>
      </c>
      <c r="K40" s="7">
        <v>45.164000000000001</v>
      </c>
      <c r="L40" s="6">
        <v>0</v>
      </c>
      <c r="M40" s="15">
        <v>0.06</v>
      </c>
      <c r="N40" s="16">
        <v>23.28</v>
      </c>
      <c r="O40" s="17">
        <v>1354.92</v>
      </c>
      <c r="P40" s="16">
        <v>23.28</v>
      </c>
      <c r="Q40" s="17">
        <v>1354.9200000000003</v>
      </c>
    </row>
    <row r="41" spans="1:17" x14ac:dyDescent="0.25">
      <c r="A41" s="6" t="s">
        <v>5</v>
      </c>
      <c r="B41" s="12">
        <v>1</v>
      </c>
      <c r="C41" s="12">
        <v>5</v>
      </c>
      <c r="D41" s="7">
        <v>5</v>
      </c>
      <c r="E41" s="6" t="s">
        <v>355</v>
      </c>
      <c r="F41" s="13" t="s">
        <v>320</v>
      </c>
      <c r="G41" s="13">
        <v>1</v>
      </c>
      <c r="H41" s="7">
        <v>5</v>
      </c>
      <c r="I41" s="14" t="s">
        <v>319</v>
      </c>
      <c r="J41" s="7" t="s">
        <v>1673</v>
      </c>
      <c r="K41" s="7" t="s">
        <v>1673</v>
      </c>
      <c r="L41" s="6" t="s">
        <v>1673</v>
      </c>
      <c r="M41" s="15" t="s">
        <v>1673</v>
      </c>
      <c r="N41" s="16" t="s">
        <v>1673</v>
      </c>
      <c r="O41" s="17" t="s">
        <v>1673</v>
      </c>
      <c r="P41" s="16" t="s">
        <v>1673</v>
      </c>
      <c r="Q41" s="17" t="s">
        <v>1673</v>
      </c>
    </row>
    <row r="42" spans="1:17" x14ac:dyDescent="0.25">
      <c r="A42" s="6" t="s">
        <v>5</v>
      </c>
      <c r="B42" s="12">
        <v>1</v>
      </c>
      <c r="C42" s="12">
        <v>5</v>
      </c>
      <c r="D42" s="7">
        <v>5</v>
      </c>
      <c r="E42" s="6" t="s">
        <v>355</v>
      </c>
      <c r="F42" s="13" t="s">
        <v>321</v>
      </c>
      <c r="G42" s="13">
        <v>2</v>
      </c>
      <c r="H42" s="7">
        <v>5</v>
      </c>
      <c r="I42" s="14" t="s">
        <v>318</v>
      </c>
      <c r="J42" s="7">
        <v>0.68799999999999994</v>
      </c>
      <c r="K42" s="7">
        <v>44.08</v>
      </c>
      <c r="L42" s="6">
        <v>0</v>
      </c>
      <c r="M42" s="15">
        <v>9.9388888888888888E-2</v>
      </c>
      <c r="N42" s="16">
        <v>34.189777777777778</v>
      </c>
      <c r="O42" s="17">
        <v>2190.5311111111109</v>
      </c>
      <c r="P42" s="16">
        <v>34.189777777777778</v>
      </c>
      <c r="Q42" s="17">
        <v>2190.5311111111109</v>
      </c>
    </row>
    <row r="43" spans="1:17" x14ac:dyDescent="0.25">
      <c r="A43" s="6" t="s">
        <v>5</v>
      </c>
      <c r="B43" s="12">
        <v>1</v>
      </c>
      <c r="C43" s="12">
        <v>5</v>
      </c>
      <c r="D43" s="7">
        <v>5</v>
      </c>
      <c r="E43" s="6" t="s">
        <v>355</v>
      </c>
      <c r="F43" s="13" t="s">
        <v>321</v>
      </c>
      <c r="G43" s="13">
        <v>2</v>
      </c>
      <c r="H43" s="7">
        <v>5</v>
      </c>
      <c r="I43" s="14" t="s">
        <v>319</v>
      </c>
      <c r="J43" s="7" t="s">
        <v>1673</v>
      </c>
      <c r="K43" s="7" t="s">
        <v>1673</v>
      </c>
      <c r="L43" s="6" t="s">
        <v>1673</v>
      </c>
      <c r="M43" s="15" t="s">
        <v>1673</v>
      </c>
      <c r="N43" s="16" t="s">
        <v>1673</v>
      </c>
      <c r="O43" s="17" t="s">
        <v>1673</v>
      </c>
      <c r="P43" s="16" t="s">
        <v>1673</v>
      </c>
      <c r="Q43" s="17" t="s">
        <v>1673</v>
      </c>
    </row>
    <row r="44" spans="1:17" x14ac:dyDescent="0.25">
      <c r="A44" s="6" t="s">
        <v>5</v>
      </c>
      <c r="B44" s="12">
        <v>1</v>
      </c>
      <c r="C44" s="12">
        <v>5</v>
      </c>
      <c r="D44" s="7">
        <v>5</v>
      </c>
      <c r="E44" s="6" t="s">
        <v>355</v>
      </c>
      <c r="F44" s="13" t="s">
        <v>322</v>
      </c>
      <c r="G44" s="13">
        <v>3</v>
      </c>
      <c r="H44" s="7">
        <v>5</v>
      </c>
      <c r="I44" s="14" t="s">
        <v>318</v>
      </c>
      <c r="J44" s="7">
        <v>0.85</v>
      </c>
      <c r="K44" s="7">
        <v>44.527999999999999</v>
      </c>
      <c r="L44" s="6">
        <v>0</v>
      </c>
      <c r="M44" s="15">
        <v>0.11613333333333334</v>
      </c>
      <c r="N44" s="16">
        <v>49.356666666666683</v>
      </c>
      <c r="O44" s="17">
        <v>2585.5925333333339</v>
      </c>
      <c r="P44" s="16">
        <v>49.356666666666669</v>
      </c>
      <c r="Q44" s="17">
        <v>2585.5925333333334</v>
      </c>
    </row>
    <row r="45" spans="1:17" x14ac:dyDescent="0.25">
      <c r="A45" s="6" t="s">
        <v>5</v>
      </c>
      <c r="B45" s="12">
        <v>1</v>
      </c>
      <c r="C45" s="12">
        <v>5</v>
      </c>
      <c r="D45" s="7">
        <v>5</v>
      </c>
      <c r="E45" s="6" t="s">
        <v>355</v>
      </c>
      <c r="F45" s="13" t="s">
        <v>322</v>
      </c>
      <c r="G45" s="13">
        <v>3</v>
      </c>
      <c r="H45" s="7">
        <v>5</v>
      </c>
      <c r="I45" s="14" t="s">
        <v>319</v>
      </c>
      <c r="J45" s="7" t="s">
        <v>1673</v>
      </c>
      <c r="K45" s="7" t="s">
        <v>1673</v>
      </c>
      <c r="L45" s="6" t="s">
        <v>1673</v>
      </c>
      <c r="M45" s="15" t="s">
        <v>1673</v>
      </c>
      <c r="N45" s="16" t="s">
        <v>1673</v>
      </c>
      <c r="O45" s="17" t="s">
        <v>1673</v>
      </c>
      <c r="P45" s="16" t="s">
        <v>1673</v>
      </c>
      <c r="Q45" s="17" t="s">
        <v>1673</v>
      </c>
    </row>
    <row r="46" spans="1:17" x14ac:dyDescent="0.25">
      <c r="A46" s="6" t="s">
        <v>5</v>
      </c>
      <c r="B46" s="12">
        <v>1</v>
      </c>
      <c r="C46" s="12">
        <v>5</v>
      </c>
      <c r="D46" s="7">
        <v>5</v>
      </c>
      <c r="E46" s="6" t="s">
        <v>355</v>
      </c>
      <c r="F46" s="13" t="s">
        <v>324</v>
      </c>
      <c r="G46" s="18">
        <v>4</v>
      </c>
      <c r="H46" s="7">
        <v>5</v>
      </c>
      <c r="I46" s="14" t="s">
        <v>318</v>
      </c>
      <c r="J46" s="7">
        <v>1.9059999999999999</v>
      </c>
      <c r="K46" s="7">
        <v>43.365000000000002</v>
      </c>
      <c r="L46" s="6">
        <v>0</v>
      </c>
      <c r="M46" s="15">
        <v>0.14955199999999999</v>
      </c>
      <c r="N46" s="16">
        <v>142.523056</v>
      </c>
      <c r="O46" s="17">
        <v>3242.6612400000004</v>
      </c>
      <c r="P46" s="16">
        <v>142.523056</v>
      </c>
      <c r="Q46" s="17">
        <v>3242.6612399999999</v>
      </c>
    </row>
    <row r="47" spans="1:17" x14ac:dyDescent="0.25">
      <c r="A47" s="6" t="s">
        <v>5</v>
      </c>
      <c r="B47" s="12">
        <v>1</v>
      </c>
      <c r="C47" s="12">
        <v>5</v>
      </c>
      <c r="D47" s="7">
        <v>5</v>
      </c>
      <c r="E47" s="6" t="s">
        <v>355</v>
      </c>
      <c r="F47" s="13" t="s">
        <v>324</v>
      </c>
      <c r="G47" s="18">
        <v>4</v>
      </c>
      <c r="H47" s="7">
        <v>5</v>
      </c>
      <c r="I47" s="14" t="s">
        <v>319</v>
      </c>
      <c r="J47" s="7">
        <v>0.92200000000000004</v>
      </c>
      <c r="K47" s="7">
        <v>49.793999999999997</v>
      </c>
      <c r="L47" s="6">
        <v>0</v>
      </c>
      <c r="M47" s="15">
        <v>1.1231999999999999E-2</v>
      </c>
      <c r="N47" s="16">
        <v>5.1779519999999994</v>
      </c>
      <c r="O47" s="17">
        <v>279.64310399999994</v>
      </c>
      <c r="P47" s="16">
        <v>5.1779520000000003</v>
      </c>
      <c r="Q47" s="17">
        <v>279.64310399999999</v>
      </c>
    </row>
    <row r="48" spans="1:17" x14ac:dyDescent="0.25">
      <c r="A48" s="6" t="s">
        <v>5</v>
      </c>
      <c r="B48" s="12">
        <v>1</v>
      </c>
      <c r="C48" s="12">
        <v>5</v>
      </c>
      <c r="D48" s="7">
        <v>5</v>
      </c>
      <c r="E48" s="6" t="s">
        <v>355</v>
      </c>
      <c r="F48" s="13" t="s">
        <v>325</v>
      </c>
      <c r="G48" s="18">
        <v>5</v>
      </c>
      <c r="H48" s="7">
        <v>2</v>
      </c>
      <c r="I48" s="14" t="s">
        <v>318</v>
      </c>
      <c r="J48" s="7">
        <v>1.9079999999999999</v>
      </c>
      <c r="K48" s="7">
        <v>33.796999999999997</v>
      </c>
      <c r="L48" s="6">
        <v>0</v>
      </c>
      <c r="M48" s="15">
        <v>0.20364000000000002</v>
      </c>
      <c r="N48" s="16">
        <v>77.709023999999999</v>
      </c>
      <c r="O48" s="17">
        <v>1376.4842160000001</v>
      </c>
      <c r="P48" s="16">
        <v>194.27256</v>
      </c>
      <c r="Q48" s="17">
        <v>3441.21054</v>
      </c>
    </row>
    <row r="49" spans="1:17" x14ac:dyDescent="0.25">
      <c r="A49" s="6" t="s">
        <v>5</v>
      </c>
      <c r="B49" s="12">
        <v>1</v>
      </c>
      <c r="C49" s="12">
        <v>5</v>
      </c>
      <c r="D49" s="7">
        <v>5</v>
      </c>
      <c r="E49" s="6" t="s">
        <v>355</v>
      </c>
      <c r="F49" s="13" t="s">
        <v>325</v>
      </c>
      <c r="G49" s="18">
        <v>5</v>
      </c>
      <c r="H49" s="7">
        <v>2</v>
      </c>
      <c r="I49" s="14" t="s">
        <v>319</v>
      </c>
      <c r="J49" s="7" t="s">
        <v>1673</v>
      </c>
      <c r="K49" s="7" t="s">
        <v>1673</v>
      </c>
      <c r="L49" s="6" t="s">
        <v>1673</v>
      </c>
      <c r="M49" s="15" t="s">
        <v>1673</v>
      </c>
      <c r="N49" s="16" t="s">
        <v>1673</v>
      </c>
      <c r="O49" s="17" t="s">
        <v>1673</v>
      </c>
      <c r="P49" s="16" t="s">
        <v>1673</v>
      </c>
      <c r="Q49" s="17" t="s">
        <v>1673</v>
      </c>
    </row>
    <row r="50" spans="1:17" x14ac:dyDescent="0.25">
      <c r="A50" s="6" t="s">
        <v>5</v>
      </c>
      <c r="B50" s="12">
        <v>2</v>
      </c>
      <c r="C50" s="12">
        <v>13</v>
      </c>
      <c r="D50" s="7">
        <v>1</v>
      </c>
      <c r="E50" s="6" t="s">
        <v>316</v>
      </c>
      <c r="F50" s="13" t="s">
        <v>317</v>
      </c>
      <c r="G50" s="13">
        <v>0</v>
      </c>
      <c r="H50" s="7">
        <v>0</v>
      </c>
      <c r="I50" s="14" t="s">
        <v>318</v>
      </c>
      <c r="J50" s="7" t="s">
        <v>1673</v>
      </c>
      <c r="K50" s="7" t="s">
        <v>1673</v>
      </c>
      <c r="L50" s="6" t="s">
        <v>1673</v>
      </c>
      <c r="M50" s="15" t="s">
        <v>1673</v>
      </c>
      <c r="N50" s="16" t="s">
        <v>1673</v>
      </c>
      <c r="O50" s="17" t="s">
        <v>1673</v>
      </c>
      <c r="P50" s="16" t="s">
        <v>1673</v>
      </c>
      <c r="Q50" s="17" t="s">
        <v>1673</v>
      </c>
    </row>
    <row r="51" spans="1:17" x14ac:dyDescent="0.25">
      <c r="A51" s="6" t="s">
        <v>5</v>
      </c>
      <c r="B51" s="12">
        <v>2</v>
      </c>
      <c r="C51" s="12">
        <v>13</v>
      </c>
      <c r="D51" s="7">
        <v>1</v>
      </c>
      <c r="E51" s="6" t="s">
        <v>316</v>
      </c>
      <c r="F51" s="13" t="s">
        <v>317</v>
      </c>
      <c r="G51" s="13">
        <v>0</v>
      </c>
      <c r="H51" s="7">
        <v>0</v>
      </c>
      <c r="I51" s="14" t="s">
        <v>319</v>
      </c>
      <c r="J51" s="7" t="s">
        <v>1673</v>
      </c>
      <c r="K51" s="7" t="s">
        <v>1673</v>
      </c>
      <c r="L51" s="6" t="s">
        <v>1673</v>
      </c>
      <c r="M51" s="15" t="s">
        <v>1673</v>
      </c>
      <c r="N51" s="16" t="s">
        <v>1673</v>
      </c>
      <c r="O51" s="17" t="s">
        <v>1673</v>
      </c>
      <c r="P51" s="16" t="s">
        <v>1673</v>
      </c>
      <c r="Q51" s="17" t="s">
        <v>1673</v>
      </c>
    </row>
    <row r="52" spans="1:17" x14ac:dyDescent="0.25">
      <c r="A52" s="6" t="s">
        <v>5</v>
      </c>
      <c r="B52" s="12">
        <v>2</v>
      </c>
      <c r="C52" s="12">
        <v>13</v>
      </c>
      <c r="D52" s="7">
        <v>1</v>
      </c>
      <c r="E52" s="6" t="s">
        <v>355</v>
      </c>
      <c r="F52" s="13" t="s">
        <v>320</v>
      </c>
      <c r="G52" s="13">
        <v>1</v>
      </c>
      <c r="H52" s="7">
        <v>5</v>
      </c>
      <c r="I52" s="14" t="s">
        <v>318</v>
      </c>
      <c r="J52" s="7">
        <v>1.4179999999999999</v>
      </c>
      <c r="K52" s="7">
        <v>44.787999999999997</v>
      </c>
      <c r="L52" s="6">
        <v>0</v>
      </c>
      <c r="M52" s="15">
        <v>9.4453333333333334E-2</v>
      </c>
      <c r="N52" s="16">
        <v>66.967413333333326</v>
      </c>
      <c r="O52" s="17">
        <v>2115.187946666666</v>
      </c>
      <c r="P52" s="16">
        <v>66.967413333333326</v>
      </c>
      <c r="Q52" s="17">
        <v>2115.1879466666664</v>
      </c>
    </row>
    <row r="53" spans="1:17" x14ac:dyDescent="0.25">
      <c r="A53" s="6" t="s">
        <v>5</v>
      </c>
      <c r="B53" s="12">
        <v>2</v>
      </c>
      <c r="C53" s="12">
        <v>13</v>
      </c>
      <c r="D53" s="7">
        <v>1</v>
      </c>
      <c r="E53" s="6" t="s">
        <v>355</v>
      </c>
      <c r="F53" s="13" t="s">
        <v>320</v>
      </c>
      <c r="G53" s="13">
        <v>1</v>
      </c>
      <c r="H53" s="7">
        <v>5</v>
      </c>
      <c r="I53" s="14" t="s">
        <v>319</v>
      </c>
      <c r="J53" s="7" t="s">
        <v>1673</v>
      </c>
      <c r="K53" s="7" t="s">
        <v>1673</v>
      </c>
      <c r="L53" s="6" t="s">
        <v>1673</v>
      </c>
      <c r="M53" s="15" t="s">
        <v>1673</v>
      </c>
      <c r="N53" s="16" t="s">
        <v>1673</v>
      </c>
      <c r="O53" s="17" t="s">
        <v>1673</v>
      </c>
      <c r="P53" s="16" t="s">
        <v>1673</v>
      </c>
      <c r="Q53" s="17" t="s">
        <v>1673</v>
      </c>
    </row>
    <row r="54" spans="1:17" x14ac:dyDescent="0.25">
      <c r="A54" s="6" t="s">
        <v>5</v>
      </c>
      <c r="B54" s="12">
        <v>2</v>
      </c>
      <c r="C54" s="12">
        <v>13</v>
      </c>
      <c r="D54" s="7">
        <v>1</v>
      </c>
      <c r="E54" s="6" t="s">
        <v>355</v>
      </c>
      <c r="F54" s="13" t="s">
        <v>321</v>
      </c>
      <c r="G54" s="13">
        <v>2</v>
      </c>
      <c r="H54" s="7">
        <v>5</v>
      </c>
      <c r="I54" s="14" t="s">
        <v>318</v>
      </c>
      <c r="J54" s="7">
        <v>1.74</v>
      </c>
      <c r="K54" s="7">
        <v>44.25</v>
      </c>
      <c r="L54" s="6">
        <v>0</v>
      </c>
      <c r="M54" s="15">
        <v>9.6146666666666672E-2</v>
      </c>
      <c r="N54" s="16">
        <v>83.647600000000011</v>
      </c>
      <c r="O54" s="17">
        <v>2127.2450000000003</v>
      </c>
      <c r="P54" s="16">
        <v>83.647599999999983</v>
      </c>
      <c r="Q54" s="17">
        <v>2127.2449999999999</v>
      </c>
    </row>
    <row r="55" spans="1:17" x14ac:dyDescent="0.25">
      <c r="A55" s="6" t="s">
        <v>5</v>
      </c>
      <c r="B55" s="12">
        <v>2</v>
      </c>
      <c r="C55" s="12">
        <v>13</v>
      </c>
      <c r="D55" s="7">
        <v>1</v>
      </c>
      <c r="E55" s="6" t="s">
        <v>355</v>
      </c>
      <c r="F55" s="13" t="s">
        <v>321</v>
      </c>
      <c r="G55" s="13">
        <v>2</v>
      </c>
      <c r="H55" s="7">
        <v>5</v>
      </c>
      <c r="I55" s="14" t="s">
        <v>319</v>
      </c>
      <c r="J55" s="7" t="s">
        <v>1673</v>
      </c>
      <c r="K55" s="7" t="s">
        <v>1673</v>
      </c>
      <c r="L55" s="6" t="s">
        <v>1673</v>
      </c>
      <c r="M55" s="15" t="s">
        <v>1673</v>
      </c>
      <c r="N55" s="16" t="s">
        <v>1673</v>
      </c>
      <c r="O55" s="17" t="s">
        <v>1673</v>
      </c>
      <c r="P55" s="16" t="s">
        <v>1673</v>
      </c>
      <c r="Q55" s="17" t="s">
        <v>1673</v>
      </c>
    </row>
    <row r="56" spans="1:17" x14ac:dyDescent="0.25">
      <c r="A56" s="6" t="s">
        <v>5</v>
      </c>
      <c r="B56" s="12">
        <v>2</v>
      </c>
      <c r="C56" s="12">
        <v>13</v>
      </c>
      <c r="D56" s="7">
        <v>1</v>
      </c>
      <c r="E56" s="6" t="s">
        <v>355</v>
      </c>
      <c r="F56" s="13" t="s">
        <v>322</v>
      </c>
      <c r="G56" s="13">
        <v>3</v>
      </c>
      <c r="H56" s="7">
        <v>5</v>
      </c>
      <c r="I56" s="14" t="s">
        <v>318</v>
      </c>
      <c r="J56" s="7">
        <v>2.0190000000000001</v>
      </c>
      <c r="K56" s="7">
        <v>42.084000000000003</v>
      </c>
      <c r="L56" s="6">
        <v>0</v>
      </c>
      <c r="M56" s="15">
        <v>0.20854400000000001</v>
      </c>
      <c r="N56" s="16">
        <v>210.52516800000001</v>
      </c>
      <c r="O56" s="17">
        <v>4388.1828480000004</v>
      </c>
      <c r="P56" s="16">
        <v>210.52516800000001</v>
      </c>
      <c r="Q56" s="17">
        <v>4388.1828480000004</v>
      </c>
    </row>
    <row r="57" spans="1:17" x14ac:dyDescent="0.25">
      <c r="A57" s="6" t="s">
        <v>5</v>
      </c>
      <c r="B57" s="12">
        <v>2</v>
      </c>
      <c r="C57" s="12">
        <v>13</v>
      </c>
      <c r="D57" s="7">
        <v>1</v>
      </c>
      <c r="E57" s="6" t="s">
        <v>355</v>
      </c>
      <c r="F57" s="13" t="s">
        <v>322</v>
      </c>
      <c r="G57" s="13">
        <v>3</v>
      </c>
      <c r="H57" s="7">
        <v>5</v>
      </c>
      <c r="I57" s="14" t="s">
        <v>319</v>
      </c>
      <c r="J57" s="7" t="s">
        <v>1673</v>
      </c>
      <c r="K57" s="7" t="s">
        <v>1673</v>
      </c>
      <c r="L57" s="6" t="s">
        <v>1673</v>
      </c>
      <c r="M57" s="15" t="s">
        <v>1673</v>
      </c>
      <c r="N57" s="16" t="s">
        <v>1673</v>
      </c>
      <c r="O57" s="17" t="s">
        <v>1673</v>
      </c>
      <c r="P57" s="16" t="s">
        <v>1673</v>
      </c>
      <c r="Q57" s="17" t="s">
        <v>1673</v>
      </c>
    </row>
    <row r="58" spans="1:17" x14ac:dyDescent="0.25">
      <c r="A58" s="6" t="s">
        <v>5</v>
      </c>
      <c r="B58" s="12">
        <v>2</v>
      </c>
      <c r="C58" s="12">
        <v>13</v>
      </c>
      <c r="D58" s="7">
        <v>1</v>
      </c>
      <c r="E58" s="6" t="s">
        <v>355</v>
      </c>
      <c r="F58" s="13" t="s">
        <v>324</v>
      </c>
      <c r="G58" s="18">
        <v>4</v>
      </c>
      <c r="H58" s="7">
        <v>1</v>
      </c>
      <c r="I58" s="14" t="s">
        <v>318</v>
      </c>
      <c r="J58" s="7">
        <v>1.73</v>
      </c>
      <c r="K58" s="7">
        <v>30.986000000000001</v>
      </c>
      <c r="L58" s="6">
        <v>0</v>
      </c>
      <c r="M58" s="15">
        <v>0.31584000000000001</v>
      </c>
      <c r="N58" s="16">
        <v>54.640320000000003</v>
      </c>
      <c r="O58" s="17">
        <v>978.66182400000014</v>
      </c>
      <c r="P58" s="16">
        <v>273.20160000000004</v>
      </c>
      <c r="Q58" s="17">
        <v>4893.3091200000008</v>
      </c>
    </row>
    <row r="59" spans="1:17" x14ac:dyDescent="0.25">
      <c r="A59" s="6" t="s">
        <v>5</v>
      </c>
      <c r="B59" s="12">
        <v>2</v>
      </c>
      <c r="C59" s="12">
        <v>13</v>
      </c>
      <c r="D59" s="7">
        <v>1</v>
      </c>
      <c r="E59" s="6" t="s">
        <v>355</v>
      </c>
      <c r="F59" s="13" t="s">
        <v>324</v>
      </c>
      <c r="G59" s="18">
        <v>4</v>
      </c>
      <c r="H59" s="7">
        <v>1</v>
      </c>
      <c r="I59" s="14" t="s">
        <v>319</v>
      </c>
      <c r="J59" s="7" t="s">
        <v>1673</v>
      </c>
      <c r="K59" s="7" t="s">
        <v>1673</v>
      </c>
      <c r="L59" s="6" t="s">
        <v>1673</v>
      </c>
      <c r="M59" s="15" t="s">
        <v>1673</v>
      </c>
      <c r="N59" s="16" t="s">
        <v>1673</v>
      </c>
      <c r="O59" s="17" t="s">
        <v>1673</v>
      </c>
      <c r="P59" s="16" t="s">
        <v>1673</v>
      </c>
      <c r="Q59" s="17" t="s">
        <v>1673</v>
      </c>
    </row>
    <row r="60" spans="1:17" x14ac:dyDescent="0.25">
      <c r="A60" s="6" t="s">
        <v>5</v>
      </c>
      <c r="B60" s="12">
        <v>2</v>
      </c>
      <c r="C60" s="12">
        <v>13</v>
      </c>
      <c r="D60" s="7">
        <v>4</v>
      </c>
      <c r="E60" s="6" t="s">
        <v>316</v>
      </c>
      <c r="F60" s="13" t="s">
        <v>317</v>
      </c>
      <c r="G60" s="13">
        <v>0</v>
      </c>
      <c r="H60" s="7">
        <v>0</v>
      </c>
      <c r="I60" s="14" t="s">
        <v>318</v>
      </c>
      <c r="J60" s="7" t="s">
        <v>1673</v>
      </c>
      <c r="K60" s="7" t="s">
        <v>1673</v>
      </c>
      <c r="L60" s="6" t="s">
        <v>1673</v>
      </c>
      <c r="M60" s="15" t="s">
        <v>1673</v>
      </c>
      <c r="N60" s="16" t="s">
        <v>1673</v>
      </c>
      <c r="O60" s="17" t="s">
        <v>1673</v>
      </c>
      <c r="P60" s="16" t="s">
        <v>1673</v>
      </c>
      <c r="Q60" s="17" t="s">
        <v>1673</v>
      </c>
    </row>
    <row r="61" spans="1:17" x14ac:dyDescent="0.25">
      <c r="A61" s="6" t="s">
        <v>5</v>
      </c>
      <c r="B61" s="12">
        <v>2</v>
      </c>
      <c r="C61" s="12">
        <v>13</v>
      </c>
      <c r="D61" s="7">
        <v>4</v>
      </c>
      <c r="E61" s="6" t="s">
        <v>316</v>
      </c>
      <c r="F61" s="13" t="s">
        <v>317</v>
      </c>
      <c r="G61" s="13">
        <v>0</v>
      </c>
      <c r="H61" s="7">
        <v>0</v>
      </c>
      <c r="I61" s="14" t="s">
        <v>319</v>
      </c>
      <c r="J61" s="7" t="s">
        <v>1673</v>
      </c>
      <c r="K61" s="7" t="s">
        <v>1673</v>
      </c>
      <c r="L61" s="6" t="s">
        <v>1673</v>
      </c>
      <c r="M61" s="15" t="s">
        <v>1673</v>
      </c>
      <c r="N61" s="16" t="s">
        <v>1673</v>
      </c>
      <c r="O61" s="17" t="s">
        <v>1673</v>
      </c>
      <c r="P61" s="16" t="s">
        <v>1673</v>
      </c>
      <c r="Q61" s="17" t="s">
        <v>1673</v>
      </c>
    </row>
    <row r="62" spans="1:17" x14ac:dyDescent="0.25">
      <c r="A62" s="6" t="s">
        <v>5</v>
      </c>
      <c r="B62" s="12">
        <v>2</v>
      </c>
      <c r="C62" s="12">
        <v>13</v>
      </c>
      <c r="D62" s="7">
        <v>4</v>
      </c>
      <c r="E62" s="6" t="s">
        <v>355</v>
      </c>
      <c r="F62" s="13" t="s">
        <v>320</v>
      </c>
      <c r="G62" s="13">
        <v>1</v>
      </c>
      <c r="H62" s="7">
        <v>5</v>
      </c>
      <c r="I62" s="14" t="s">
        <v>318</v>
      </c>
      <c r="J62" s="7">
        <v>1.2969999999999999</v>
      </c>
      <c r="K62" s="7">
        <v>44.176000000000002</v>
      </c>
      <c r="L62" s="6">
        <v>0</v>
      </c>
      <c r="M62" s="15">
        <v>4.7762499999999999E-2</v>
      </c>
      <c r="N62" s="16">
        <v>30.973981249999998</v>
      </c>
      <c r="O62" s="17">
        <v>1054.9781</v>
      </c>
      <c r="P62" s="16">
        <v>30.973981249999994</v>
      </c>
      <c r="Q62" s="17">
        <v>1054.9781</v>
      </c>
    </row>
    <row r="63" spans="1:17" x14ac:dyDescent="0.25">
      <c r="A63" s="6" t="s">
        <v>5</v>
      </c>
      <c r="B63" s="12">
        <v>2</v>
      </c>
      <c r="C63" s="12">
        <v>13</v>
      </c>
      <c r="D63" s="7">
        <v>4</v>
      </c>
      <c r="E63" s="6" t="s">
        <v>355</v>
      </c>
      <c r="F63" s="13" t="s">
        <v>320</v>
      </c>
      <c r="G63" s="13">
        <v>1</v>
      </c>
      <c r="H63" s="7">
        <v>5</v>
      </c>
      <c r="I63" s="14" t="s">
        <v>319</v>
      </c>
      <c r="J63" s="7">
        <v>0.68600000000000005</v>
      </c>
      <c r="K63" s="7">
        <v>50.664999999999999</v>
      </c>
      <c r="L63" s="6">
        <v>0</v>
      </c>
      <c r="M63" s="15">
        <v>1.1125E-3</v>
      </c>
      <c r="N63" s="16">
        <v>0.38158750000000002</v>
      </c>
      <c r="O63" s="17">
        <v>28.182406250000003</v>
      </c>
      <c r="P63" s="16">
        <v>0.38158750000000002</v>
      </c>
      <c r="Q63" s="17">
        <v>28.182406250000003</v>
      </c>
    </row>
    <row r="64" spans="1:17" x14ac:dyDescent="0.25">
      <c r="A64" s="6" t="s">
        <v>5</v>
      </c>
      <c r="B64" s="12">
        <v>2</v>
      </c>
      <c r="C64" s="12">
        <v>13</v>
      </c>
      <c r="D64" s="7">
        <v>4</v>
      </c>
      <c r="E64" s="6" t="s">
        <v>355</v>
      </c>
      <c r="F64" s="13" t="s">
        <v>321</v>
      </c>
      <c r="G64" s="13">
        <v>2</v>
      </c>
      <c r="H64" s="7">
        <v>5</v>
      </c>
      <c r="I64" s="14" t="s">
        <v>318</v>
      </c>
      <c r="J64" s="7">
        <v>1.389</v>
      </c>
      <c r="K64" s="7">
        <v>43.494999999999997</v>
      </c>
      <c r="L64" s="6">
        <v>0</v>
      </c>
      <c r="M64" s="15">
        <v>6.7271428571428565E-2</v>
      </c>
      <c r="N64" s="16">
        <v>46.720007142857142</v>
      </c>
      <c r="O64" s="17">
        <v>1462.9853928571426</v>
      </c>
      <c r="P64" s="16">
        <v>46.720007142857128</v>
      </c>
      <c r="Q64" s="17">
        <v>1462.9853928571424</v>
      </c>
    </row>
    <row r="65" spans="1:17" x14ac:dyDescent="0.25">
      <c r="A65" s="6" t="s">
        <v>5</v>
      </c>
      <c r="B65" s="12">
        <v>2</v>
      </c>
      <c r="C65" s="12">
        <v>13</v>
      </c>
      <c r="D65" s="7">
        <v>4</v>
      </c>
      <c r="E65" s="6" t="s">
        <v>355</v>
      </c>
      <c r="F65" s="13" t="s">
        <v>321</v>
      </c>
      <c r="G65" s="13">
        <v>2</v>
      </c>
      <c r="H65" s="7">
        <v>5</v>
      </c>
      <c r="I65" s="14" t="s">
        <v>319</v>
      </c>
      <c r="J65" s="7">
        <v>0.78400000000000003</v>
      </c>
      <c r="K65" s="7">
        <v>48.338999999999999</v>
      </c>
      <c r="L65" s="6">
        <v>0</v>
      </c>
      <c r="M65" s="15">
        <v>3.0000000000000003E-4</v>
      </c>
      <c r="N65" s="16">
        <v>0.11760000000000001</v>
      </c>
      <c r="O65" s="17">
        <v>7.2508500000000007</v>
      </c>
      <c r="P65" s="16">
        <v>0.1176</v>
      </c>
      <c r="Q65" s="17">
        <v>7.2508500000000007</v>
      </c>
    </row>
    <row r="66" spans="1:17" x14ac:dyDescent="0.25">
      <c r="A66" s="6" t="s">
        <v>5</v>
      </c>
      <c r="B66" s="12">
        <v>2</v>
      </c>
      <c r="C66" s="12">
        <v>13</v>
      </c>
      <c r="D66" s="7">
        <v>4</v>
      </c>
      <c r="E66" s="6" t="s">
        <v>355</v>
      </c>
      <c r="F66" s="13" t="s">
        <v>322</v>
      </c>
      <c r="G66" s="13">
        <v>3</v>
      </c>
      <c r="H66" s="7">
        <v>5</v>
      </c>
      <c r="I66" s="14" t="s">
        <v>318</v>
      </c>
      <c r="J66" s="7">
        <v>1.4730000000000001</v>
      </c>
      <c r="K66" s="7">
        <v>44.237000000000002</v>
      </c>
      <c r="L66" s="6">
        <v>0</v>
      </c>
      <c r="M66" s="15">
        <v>7.5885714285714279E-2</v>
      </c>
      <c r="N66" s="16">
        <v>55.889828571428566</v>
      </c>
      <c r="O66" s="17">
        <v>1678.4781714285714</v>
      </c>
      <c r="P66" s="16">
        <v>55.889828571428566</v>
      </c>
      <c r="Q66" s="17">
        <v>1678.4781714285712</v>
      </c>
    </row>
    <row r="67" spans="1:17" x14ac:dyDescent="0.25">
      <c r="A67" s="6" t="s">
        <v>5</v>
      </c>
      <c r="B67" s="12">
        <v>2</v>
      </c>
      <c r="C67" s="12">
        <v>13</v>
      </c>
      <c r="D67" s="7">
        <v>4</v>
      </c>
      <c r="E67" s="6" t="s">
        <v>355</v>
      </c>
      <c r="F67" s="13" t="s">
        <v>322</v>
      </c>
      <c r="G67" s="13">
        <v>3</v>
      </c>
      <c r="H67" s="7">
        <v>5</v>
      </c>
      <c r="I67" s="14" t="s">
        <v>319</v>
      </c>
      <c r="J67" s="7">
        <v>1.198</v>
      </c>
      <c r="K67" s="7">
        <v>50.112000000000002</v>
      </c>
      <c r="L67" s="6">
        <v>0</v>
      </c>
      <c r="M67" s="15">
        <v>4.0761904761904763E-3</v>
      </c>
      <c r="N67" s="16">
        <v>2.4416380952380954</v>
      </c>
      <c r="O67" s="17">
        <v>102.13302857142858</v>
      </c>
      <c r="P67" s="16">
        <v>2.4416380952380954</v>
      </c>
      <c r="Q67" s="17">
        <v>102.13302857142858</v>
      </c>
    </row>
    <row r="68" spans="1:17" x14ac:dyDescent="0.25">
      <c r="A68" s="6" t="s">
        <v>5</v>
      </c>
      <c r="B68" s="12">
        <v>2</v>
      </c>
      <c r="C68" s="12">
        <v>13</v>
      </c>
      <c r="D68" s="7">
        <v>4</v>
      </c>
      <c r="E68" s="6" t="s">
        <v>355</v>
      </c>
      <c r="F68" s="13" t="s">
        <v>324</v>
      </c>
      <c r="G68" s="18">
        <v>4</v>
      </c>
      <c r="H68" s="7">
        <v>5</v>
      </c>
      <c r="I68" s="14" t="s">
        <v>318</v>
      </c>
      <c r="J68" s="7">
        <v>1.784</v>
      </c>
      <c r="K68" s="7">
        <v>38.466000000000001</v>
      </c>
      <c r="L68" s="6">
        <v>0</v>
      </c>
      <c r="M68" s="15">
        <v>0.12006349206349207</v>
      </c>
      <c r="N68" s="16">
        <v>107.09663492063494</v>
      </c>
      <c r="O68" s="17">
        <v>2309.1811428571427</v>
      </c>
      <c r="P68" s="16">
        <v>107.09663492063494</v>
      </c>
      <c r="Q68" s="17">
        <v>2309.1811428571427</v>
      </c>
    </row>
    <row r="69" spans="1:17" x14ac:dyDescent="0.25">
      <c r="A69" s="6" t="s">
        <v>5</v>
      </c>
      <c r="B69" s="12">
        <v>2</v>
      </c>
      <c r="C69" s="12">
        <v>13</v>
      </c>
      <c r="D69" s="7">
        <v>4</v>
      </c>
      <c r="E69" s="6" t="s">
        <v>355</v>
      </c>
      <c r="F69" s="13" t="s">
        <v>324</v>
      </c>
      <c r="G69" s="18">
        <v>4</v>
      </c>
      <c r="H69" s="7">
        <v>5</v>
      </c>
      <c r="I69" s="14" t="s">
        <v>319</v>
      </c>
      <c r="J69" s="7">
        <v>1.198</v>
      </c>
      <c r="K69" s="7">
        <v>52.238</v>
      </c>
      <c r="L69" s="6">
        <v>0</v>
      </c>
      <c r="M69" s="15">
        <v>5.1047619047619053E-3</v>
      </c>
      <c r="N69" s="16">
        <v>3.057752380952381</v>
      </c>
      <c r="O69" s="17">
        <v>133.33127619047619</v>
      </c>
      <c r="P69" s="16">
        <v>3.0577523809523806</v>
      </c>
      <c r="Q69" s="17">
        <v>133.33127619047622</v>
      </c>
    </row>
    <row r="70" spans="1:17" x14ac:dyDescent="0.25">
      <c r="A70" s="6" t="s">
        <v>5</v>
      </c>
      <c r="B70" s="12">
        <v>2</v>
      </c>
      <c r="C70" s="12">
        <v>13</v>
      </c>
      <c r="D70" s="7">
        <v>4</v>
      </c>
      <c r="E70" s="6" t="s">
        <v>355</v>
      </c>
      <c r="F70" s="13" t="s">
        <v>325</v>
      </c>
      <c r="G70" s="18">
        <v>5</v>
      </c>
      <c r="H70" s="7">
        <v>5</v>
      </c>
      <c r="I70" s="14" t="s">
        <v>318</v>
      </c>
      <c r="J70" s="7">
        <v>1.7170000000000001</v>
      </c>
      <c r="K70" s="7">
        <v>33.951000000000001</v>
      </c>
      <c r="L70" s="6">
        <v>0</v>
      </c>
      <c r="M70" s="15">
        <v>0.15436734693877552</v>
      </c>
      <c r="N70" s="16">
        <v>132.52436734693879</v>
      </c>
      <c r="O70" s="17">
        <v>2620.4628979591835</v>
      </c>
      <c r="P70" s="16">
        <v>132.52436734693879</v>
      </c>
      <c r="Q70" s="17">
        <v>2620.4628979591839</v>
      </c>
    </row>
    <row r="71" spans="1:17" x14ac:dyDescent="0.25">
      <c r="A71" s="6" t="s">
        <v>5</v>
      </c>
      <c r="B71" s="12">
        <v>2</v>
      </c>
      <c r="C71" s="12">
        <v>13</v>
      </c>
      <c r="D71" s="7">
        <v>4</v>
      </c>
      <c r="E71" s="6" t="s">
        <v>355</v>
      </c>
      <c r="F71" s="13" t="s">
        <v>325</v>
      </c>
      <c r="G71" s="18">
        <v>5</v>
      </c>
      <c r="H71" s="7">
        <v>5</v>
      </c>
      <c r="I71" s="14" t="s">
        <v>319</v>
      </c>
      <c r="J71" s="7">
        <v>1.107</v>
      </c>
      <c r="K71" s="7">
        <v>41.988999999999997</v>
      </c>
      <c r="L71" s="6">
        <v>0</v>
      </c>
      <c r="M71" s="15">
        <v>7.8367346938775515E-4</v>
      </c>
      <c r="N71" s="16">
        <v>0.43376326530612247</v>
      </c>
      <c r="O71" s="17">
        <v>16.452832653061225</v>
      </c>
      <c r="P71" s="16">
        <v>0.43376326530612241</v>
      </c>
      <c r="Q71" s="17">
        <v>16.452832653061225</v>
      </c>
    </row>
    <row r="72" spans="1:17" x14ac:dyDescent="0.25">
      <c r="A72" s="6" t="s">
        <v>5</v>
      </c>
      <c r="B72" s="12">
        <v>2</v>
      </c>
      <c r="C72" s="12">
        <v>13</v>
      </c>
      <c r="D72" s="7">
        <v>4</v>
      </c>
      <c r="E72" s="6" t="s">
        <v>355</v>
      </c>
      <c r="F72" s="13" t="s">
        <v>326</v>
      </c>
      <c r="G72" s="18">
        <v>6</v>
      </c>
      <c r="H72" s="7">
        <v>0</v>
      </c>
      <c r="I72" s="14" t="s">
        <v>318</v>
      </c>
      <c r="J72" s="7" t="s">
        <v>1673</v>
      </c>
      <c r="K72" s="7" t="s">
        <v>1673</v>
      </c>
      <c r="L72" s="6" t="s">
        <v>1673</v>
      </c>
      <c r="M72" s="15" t="s">
        <v>1673</v>
      </c>
      <c r="N72" s="16" t="s">
        <v>1673</v>
      </c>
      <c r="O72" s="17" t="s">
        <v>1673</v>
      </c>
      <c r="P72" s="16" t="s">
        <v>1673</v>
      </c>
      <c r="Q72" s="17" t="s">
        <v>1673</v>
      </c>
    </row>
    <row r="73" spans="1:17" x14ac:dyDescent="0.25">
      <c r="A73" s="6" t="s">
        <v>5</v>
      </c>
      <c r="B73" s="12">
        <v>2</v>
      </c>
      <c r="C73" s="12">
        <v>13</v>
      </c>
      <c r="D73" s="7">
        <v>4</v>
      </c>
      <c r="E73" s="6" t="s">
        <v>355</v>
      </c>
      <c r="F73" s="13" t="s">
        <v>326</v>
      </c>
      <c r="G73" s="18">
        <v>6</v>
      </c>
      <c r="H73" s="7">
        <v>0</v>
      </c>
      <c r="I73" s="14" t="s">
        <v>319</v>
      </c>
      <c r="J73" s="7" t="s">
        <v>1673</v>
      </c>
      <c r="K73" s="7" t="s">
        <v>1673</v>
      </c>
      <c r="L73" s="6" t="s">
        <v>1673</v>
      </c>
      <c r="M73" s="15" t="s">
        <v>1673</v>
      </c>
      <c r="N73" s="16" t="s">
        <v>1673</v>
      </c>
      <c r="O73" s="17" t="s">
        <v>1673</v>
      </c>
      <c r="P73" s="16" t="s">
        <v>1673</v>
      </c>
      <c r="Q73" s="17" t="s">
        <v>1673</v>
      </c>
    </row>
    <row r="74" spans="1:17" x14ac:dyDescent="0.25">
      <c r="A74" s="6" t="s">
        <v>5</v>
      </c>
      <c r="B74" s="12">
        <v>2</v>
      </c>
      <c r="C74" s="12">
        <v>13</v>
      </c>
      <c r="D74" s="7">
        <v>5</v>
      </c>
      <c r="E74" s="6" t="s">
        <v>316</v>
      </c>
      <c r="F74" s="13" t="s">
        <v>317</v>
      </c>
      <c r="G74" s="13">
        <v>0</v>
      </c>
      <c r="H74" s="7">
        <v>0</v>
      </c>
      <c r="I74" s="14" t="s">
        <v>318</v>
      </c>
      <c r="J74" s="7" t="s">
        <v>1673</v>
      </c>
      <c r="K74" s="7" t="s">
        <v>1673</v>
      </c>
      <c r="L74" s="6" t="s">
        <v>1673</v>
      </c>
      <c r="M74" s="15" t="s">
        <v>1673</v>
      </c>
      <c r="N74" s="16" t="s">
        <v>1673</v>
      </c>
      <c r="O74" s="17" t="s">
        <v>1673</v>
      </c>
      <c r="P74" s="16" t="s">
        <v>1673</v>
      </c>
      <c r="Q74" s="17" t="s">
        <v>1673</v>
      </c>
    </row>
    <row r="75" spans="1:17" x14ac:dyDescent="0.25">
      <c r="A75" s="6" t="s">
        <v>5</v>
      </c>
      <c r="B75" s="12">
        <v>2</v>
      </c>
      <c r="C75" s="12">
        <v>13</v>
      </c>
      <c r="D75" s="7">
        <v>5</v>
      </c>
      <c r="E75" s="6" t="s">
        <v>316</v>
      </c>
      <c r="F75" s="13" t="s">
        <v>317</v>
      </c>
      <c r="G75" s="13">
        <v>0</v>
      </c>
      <c r="H75" s="7">
        <v>0</v>
      </c>
      <c r="I75" s="14" t="s">
        <v>319</v>
      </c>
      <c r="J75" s="7" t="s">
        <v>1673</v>
      </c>
      <c r="K75" s="7" t="s">
        <v>1673</v>
      </c>
      <c r="L75" s="6" t="s">
        <v>1673</v>
      </c>
      <c r="M75" s="15" t="s">
        <v>1673</v>
      </c>
      <c r="N75" s="16" t="s">
        <v>1673</v>
      </c>
      <c r="O75" s="17" t="s">
        <v>1673</v>
      </c>
      <c r="P75" s="16" t="s">
        <v>1673</v>
      </c>
      <c r="Q75" s="17" t="s">
        <v>1673</v>
      </c>
    </row>
    <row r="76" spans="1:17" x14ac:dyDescent="0.25">
      <c r="A76" s="6" t="s">
        <v>5</v>
      </c>
      <c r="B76" s="12">
        <v>2</v>
      </c>
      <c r="C76" s="12">
        <v>13</v>
      </c>
      <c r="D76" s="7">
        <v>5</v>
      </c>
      <c r="E76" s="6" t="s">
        <v>355</v>
      </c>
      <c r="F76" s="13" t="s">
        <v>320</v>
      </c>
      <c r="G76" s="13">
        <v>1</v>
      </c>
      <c r="H76" s="7">
        <v>5</v>
      </c>
      <c r="I76" s="14" t="s">
        <v>318</v>
      </c>
      <c r="J76" s="7">
        <v>0.61599999999999999</v>
      </c>
      <c r="K76" s="7">
        <v>42.878999999999998</v>
      </c>
      <c r="L76" s="6">
        <v>0</v>
      </c>
      <c r="M76" s="15">
        <v>4.6115555555555555E-2</v>
      </c>
      <c r="N76" s="16">
        <v>14.203591111111111</v>
      </c>
      <c r="O76" s="17">
        <v>988.6944533333334</v>
      </c>
      <c r="P76" s="16">
        <v>14.203591111111109</v>
      </c>
      <c r="Q76" s="17">
        <v>988.69445333333351</v>
      </c>
    </row>
    <row r="77" spans="1:17" x14ac:dyDescent="0.25">
      <c r="A77" s="6" t="s">
        <v>5</v>
      </c>
      <c r="B77" s="12">
        <v>2</v>
      </c>
      <c r="C77" s="12">
        <v>13</v>
      </c>
      <c r="D77" s="7">
        <v>5</v>
      </c>
      <c r="E77" s="6" t="s">
        <v>355</v>
      </c>
      <c r="F77" s="13" t="s">
        <v>320</v>
      </c>
      <c r="G77" s="13">
        <v>1</v>
      </c>
      <c r="H77" s="7">
        <v>5</v>
      </c>
      <c r="I77" s="14" t="s">
        <v>319</v>
      </c>
      <c r="J77" s="7" t="s">
        <v>1673</v>
      </c>
      <c r="K77" s="7" t="s">
        <v>1673</v>
      </c>
      <c r="L77" s="6" t="s">
        <v>1673</v>
      </c>
      <c r="M77" s="15" t="s">
        <v>1673</v>
      </c>
      <c r="N77" s="16" t="s">
        <v>1673</v>
      </c>
      <c r="O77" s="17" t="s">
        <v>1673</v>
      </c>
      <c r="P77" s="16" t="s">
        <v>1673</v>
      </c>
      <c r="Q77" s="17" t="s">
        <v>1673</v>
      </c>
    </row>
    <row r="78" spans="1:17" x14ac:dyDescent="0.25">
      <c r="A78" s="6" t="s">
        <v>5</v>
      </c>
      <c r="B78" s="12">
        <v>2</v>
      </c>
      <c r="C78" s="12">
        <v>13</v>
      </c>
      <c r="D78" s="7">
        <v>5</v>
      </c>
      <c r="E78" s="6" t="s">
        <v>355</v>
      </c>
      <c r="F78" s="13" t="s">
        <v>321</v>
      </c>
      <c r="G78" s="13">
        <v>2</v>
      </c>
      <c r="H78" s="7">
        <v>5</v>
      </c>
      <c r="I78" s="14" t="s">
        <v>318</v>
      </c>
      <c r="J78" s="7">
        <v>1.1220000000000001</v>
      </c>
      <c r="K78" s="7">
        <v>42.514000000000003</v>
      </c>
      <c r="L78" s="6">
        <v>0</v>
      </c>
      <c r="M78" s="15">
        <v>6.0562962962962964E-2</v>
      </c>
      <c r="N78" s="16">
        <v>33.975822222222227</v>
      </c>
      <c r="O78" s="17">
        <v>1287.3869037037039</v>
      </c>
      <c r="P78" s="16">
        <v>33.975822222222227</v>
      </c>
      <c r="Q78" s="17">
        <v>1287.3869037037039</v>
      </c>
    </row>
    <row r="79" spans="1:17" x14ac:dyDescent="0.25">
      <c r="A79" s="6" t="s">
        <v>5</v>
      </c>
      <c r="B79" s="12">
        <v>2</v>
      </c>
      <c r="C79" s="12">
        <v>13</v>
      </c>
      <c r="D79" s="7">
        <v>5</v>
      </c>
      <c r="E79" s="6" t="s">
        <v>355</v>
      </c>
      <c r="F79" s="13" t="s">
        <v>321</v>
      </c>
      <c r="G79" s="13">
        <v>2</v>
      </c>
      <c r="H79" s="7">
        <v>5</v>
      </c>
      <c r="I79" s="14" t="s">
        <v>319</v>
      </c>
      <c r="J79" s="7">
        <v>0.76800000000000002</v>
      </c>
      <c r="K79" s="7">
        <v>51.079000000000001</v>
      </c>
      <c r="L79" s="6">
        <v>0</v>
      </c>
      <c r="M79" s="15">
        <v>3.9703703703703706E-3</v>
      </c>
      <c r="N79" s="16">
        <v>1.5246222222222223</v>
      </c>
      <c r="O79" s="17">
        <v>101.40127407407408</v>
      </c>
      <c r="P79" s="16">
        <v>1.5246222222222223</v>
      </c>
      <c r="Q79" s="17">
        <v>101.40127407407408</v>
      </c>
    </row>
    <row r="80" spans="1:17" x14ac:dyDescent="0.25">
      <c r="A80" s="6" t="s">
        <v>5</v>
      </c>
      <c r="B80" s="12">
        <v>2</v>
      </c>
      <c r="C80" s="12">
        <v>13</v>
      </c>
      <c r="D80" s="7">
        <v>5</v>
      </c>
      <c r="E80" s="6" t="s">
        <v>355</v>
      </c>
      <c r="F80" s="13" t="s">
        <v>322</v>
      </c>
      <c r="G80" s="13">
        <v>3</v>
      </c>
      <c r="H80" s="7">
        <v>5</v>
      </c>
      <c r="I80" s="14" t="s">
        <v>318</v>
      </c>
      <c r="J80" s="7">
        <v>1.331</v>
      </c>
      <c r="K80" s="7">
        <v>41.357999999999997</v>
      </c>
      <c r="L80" s="6">
        <v>0</v>
      </c>
      <c r="M80" s="15">
        <v>7.7333333333333337E-2</v>
      </c>
      <c r="N80" s="16">
        <v>51.465333333333334</v>
      </c>
      <c r="O80" s="17">
        <v>1599.1759999999999</v>
      </c>
      <c r="P80" s="16">
        <v>51.465333333333334</v>
      </c>
      <c r="Q80" s="17">
        <v>1599.1759999999999</v>
      </c>
    </row>
    <row r="81" spans="1:17" x14ac:dyDescent="0.25">
      <c r="A81" s="6" t="s">
        <v>5</v>
      </c>
      <c r="B81" s="12">
        <v>2</v>
      </c>
      <c r="C81" s="12">
        <v>13</v>
      </c>
      <c r="D81" s="7">
        <v>5</v>
      </c>
      <c r="E81" s="6" t="s">
        <v>355</v>
      </c>
      <c r="F81" s="13" t="s">
        <v>322</v>
      </c>
      <c r="G81" s="13">
        <v>3</v>
      </c>
      <c r="H81" s="7">
        <v>5</v>
      </c>
      <c r="I81" s="14" t="s">
        <v>319</v>
      </c>
      <c r="J81" s="7">
        <v>0.82799999999999996</v>
      </c>
      <c r="K81" s="7">
        <v>53.164999999999999</v>
      </c>
      <c r="L81" s="6">
        <v>0</v>
      </c>
      <c r="M81" s="15">
        <v>2.0533333333333332E-3</v>
      </c>
      <c r="N81" s="16">
        <v>0.85007999999999984</v>
      </c>
      <c r="O81" s="17">
        <v>54.582733333333323</v>
      </c>
      <c r="P81" s="16">
        <v>0.85007999999999995</v>
      </c>
      <c r="Q81" s="17">
        <v>54.58273333333333</v>
      </c>
    </row>
    <row r="82" spans="1:17" x14ac:dyDescent="0.25">
      <c r="A82" s="6" t="s">
        <v>5</v>
      </c>
      <c r="B82" s="12">
        <v>2</v>
      </c>
      <c r="C82" s="12">
        <v>13</v>
      </c>
      <c r="D82" s="7">
        <v>5</v>
      </c>
      <c r="E82" s="6" t="s">
        <v>355</v>
      </c>
      <c r="F82" s="13" t="s">
        <v>324</v>
      </c>
      <c r="G82" s="18">
        <v>4</v>
      </c>
      <c r="H82" s="7">
        <v>2</v>
      </c>
      <c r="I82" s="14" t="s">
        <v>318</v>
      </c>
      <c r="J82" s="7">
        <v>1.7570000000000001</v>
      </c>
      <c r="K82" s="7">
        <v>34.725999999999999</v>
      </c>
      <c r="L82" s="6">
        <v>0</v>
      </c>
      <c r="M82" s="15">
        <v>0.13364999999999999</v>
      </c>
      <c r="N82" s="16">
        <v>46.964610000000008</v>
      </c>
      <c r="O82" s="17">
        <v>928.22598000000005</v>
      </c>
      <c r="P82" s="16">
        <v>117.41152500000001</v>
      </c>
      <c r="Q82" s="17">
        <v>2320.56495</v>
      </c>
    </row>
    <row r="83" spans="1:17" x14ac:dyDescent="0.25">
      <c r="A83" s="6" t="s">
        <v>5</v>
      </c>
      <c r="B83" s="12">
        <v>2</v>
      </c>
      <c r="C83" s="12">
        <v>13</v>
      </c>
      <c r="D83" s="7">
        <v>5</v>
      </c>
      <c r="E83" s="6" t="s">
        <v>355</v>
      </c>
      <c r="F83" s="13" t="s">
        <v>324</v>
      </c>
      <c r="G83" s="18">
        <v>4</v>
      </c>
      <c r="H83" s="7">
        <v>2</v>
      </c>
      <c r="I83" s="14" t="s">
        <v>319</v>
      </c>
      <c r="J83" s="7" t="s">
        <v>1673</v>
      </c>
      <c r="K83" s="7" t="s">
        <v>1673</v>
      </c>
      <c r="L83" s="6" t="s">
        <v>1673</v>
      </c>
      <c r="M83" s="15" t="s">
        <v>1673</v>
      </c>
      <c r="N83" s="16" t="s">
        <v>1673</v>
      </c>
      <c r="O83" s="17" t="s">
        <v>1673</v>
      </c>
      <c r="P83" s="16" t="s">
        <v>1673</v>
      </c>
      <c r="Q83" s="17" t="s">
        <v>1673</v>
      </c>
    </row>
    <row r="84" spans="1:17" x14ac:dyDescent="0.25">
      <c r="A84" s="6" t="s">
        <v>5</v>
      </c>
      <c r="B84" s="12">
        <v>3</v>
      </c>
      <c r="C84" s="12">
        <v>20</v>
      </c>
      <c r="D84" s="7">
        <v>2</v>
      </c>
      <c r="E84" s="6" t="s">
        <v>316</v>
      </c>
      <c r="F84" s="13" t="s">
        <v>317</v>
      </c>
      <c r="G84" s="13">
        <v>0</v>
      </c>
      <c r="H84" s="7">
        <v>0</v>
      </c>
      <c r="I84" s="14" t="s">
        <v>318</v>
      </c>
      <c r="J84" s="7" t="s">
        <v>1673</v>
      </c>
      <c r="K84" s="7" t="s">
        <v>1673</v>
      </c>
      <c r="L84" s="6" t="s">
        <v>1673</v>
      </c>
      <c r="M84" s="15" t="s">
        <v>1673</v>
      </c>
      <c r="N84" s="16" t="s">
        <v>1673</v>
      </c>
      <c r="O84" s="17" t="s">
        <v>1673</v>
      </c>
      <c r="P84" s="16" t="s">
        <v>1673</v>
      </c>
      <c r="Q84" s="17" t="s">
        <v>1673</v>
      </c>
    </row>
    <row r="85" spans="1:17" x14ac:dyDescent="0.25">
      <c r="A85" s="6" t="s">
        <v>5</v>
      </c>
      <c r="B85" s="12">
        <v>3</v>
      </c>
      <c r="C85" s="12">
        <v>20</v>
      </c>
      <c r="D85" s="7">
        <v>2</v>
      </c>
      <c r="E85" s="6" t="s">
        <v>316</v>
      </c>
      <c r="F85" s="13" t="s">
        <v>317</v>
      </c>
      <c r="G85" s="13">
        <v>0</v>
      </c>
      <c r="H85" s="7">
        <v>0</v>
      </c>
      <c r="I85" s="14" t="s">
        <v>319</v>
      </c>
      <c r="J85" s="7" t="s">
        <v>1673</v>
      </c>
      <c r="K85" s="7" t="s">
        <v>1673</v>
      </c>
      <c r="L85" s="6" t="s">
        <v>1673</v>
      </c>
      <c r="M85" s="15" t="s">
        <v>1673</v>
      </c>
      <c r="N85" s="16" t="s">
        <v>1673</v>
      </c>
      <c r="O85" s="17" t="s">
        <v>1673</v>
      </c>
      <c r="P85" s="16" t="s">
        <v>1673</v>
      </c>
      <c r="Q85" s="17" t="s">
        <v>1673</v>
      </c>
    </row>
    <row r="86" spans="1:17" x14ac:dyDescent="0.25">
      <c r="A86" s="6" t="s">
        <v>5</v>
      </c>
      <c r="B86" s="12">
        <v>3</v>
      </c>
      <c r="C86" s="12">
        <v>20</v>
      </c>
      <c r="D86" s="7">
        <v>2</v>
      </c>
      <c r="E86" s="6" t="s">
        <v>355</v>
      </c>
      <c r="F86" s="13" t="s">
        <v>320</v>
      </c>
      <c r="G86" s="13">
        <v>1</v>
      </c>
      <c r="H86" s="7">
        <v>5</v>
      </c>
      <c r="I86" s="14" t="s">
        <v>318</v>
      </c>
      <c r="J86" s="7">
        <v>1.333</v>
      </c>
      <c r="K86" s="7">
        <v>43.668999999999997</v>
      </c>
      <c r="L86" s="6">
        <v>0</v>
      </c>
      <c r="M86" s="15">
        <v>0</v>
      </c>
      <c r="N86" s="16">
        <v>0</v>
      </c>
      <c r="O86" s="17">
        <v>0</v>
      </c>
      <c r="P86" s="16">
        <v>0</v>
      </c>
      <c r="Q86" s="17">
        <v>0</v>
      </c>
    </row>
    <row r="87" spans="1:17" x14ac:dyDescent="0.25">
      <c r="A87" s="6" t="s">
        <v>5</v>
      </c>
      <c r="B87" s="12">
        <v>3</v>
      </c>
      <c r="C87" s="12">
        <v>20</v>
      </c>
      <c r="D87" s="7">
        <v>2</v>
      </c>
      <c r="E87" s="6" t="s">
        <v>355</v>
      </c>
      <c r="F87" s="13" t="s">
        <v>320</v>
      </c>
      <c r="G87" s="13">
        <v>1</v>
      </c>
      <c r="H87" s="7">
        <v>5</v>
      </c>
      <c r="I87" s="14" t="s">
        <v>319</v>
      </c>
      <c r="J87" s="7">
        <v>1.0189999999999999</v>
      </c>
      <c r="K87" s="7">
        <v>52.610999999999997</v>
      </c>
      <c r="L87" s="6">
        <v>0</v>
      </c>
      <c r="M87" s="15">
        <v>3.8787878787878787E-3</v>
      </c>
      <c r="N87" s="16">
        <v>1.9762424242424241</v>
      </c>
      <c r="O87" s="17">
        <v>102.03345454545453</v>
      </c>
      <c r="P87" s="16">
        <v>1.9762424242424241</v>
      </c>
      <c r="Q87" s="17">
        <v>102.03345454545455</v>
      </c>
    </row>
    <row r="88" spans="1:17" x14ac:dyDescent="0.25">
      <c r="A88" s="6" t="s">
        <v>5</v>
      </c>
      <c r="B88" s="12">
        <v>3</v>
      </c>
      <c r="C88" s="12">
        <v>20</v>
      </c>
      <c r="D88" s="7">
        <v>2</v>
      </c>
      <c r="E88" s="6" t="s">
        <v>355</v>
      </c>
      <c r="F88" s="13" t="s">
        <v>321</v>
      </c>
      <c r="G88" s="13">
        <v>2</v>
      </c>
      <c r="H88" s="7">
        <v>3.5</v>
      </c>
      <c r="I88" s="14" t="s">
        <v>318</v>
      </c>
      <c r="J88" s="7">
        <v>1.026</v>
      </c>
      <c r="K88" s="7">
        <v>21.905999999999999</v>
      </c>
      <c r="L88" s="6">
        <v>0</v>
      </c>
      <c r="M88" s="15">
        <v>0.24838095238095237</v>
      </c>
      <c r="N88" s="16">
        <v>89.193600000000004</v>
      </c>
      <c r="O88" s="17">
        <v>1904.3616</v>
      </c>
      <c r="P88" s="16">
        <v>127.41942857142855</v>
      </c>
      <c r="Q88" s="17">
        <v>2720.5165714285713</v>
      </c>
    </row>
    <row r="89" spans="1:17" x14ac:dyDescent="0.25">
      <c r="A89" s="6" t="s">
        <v>5</v>
      </c>
      <c r="B89" s="12">
        <v>3</v>
      </c>
      <c r="C89" s="12">
        <v>20</v>
      </c>
      <c r="D89" s="7">
        <v>2</v>
      </c>
      <c r="E89" s="6" t="s">
        <v>355</v>
      </c>
      <c r="F89" s="13" t="s">
        <v>321</v>
      </c>
      <c r="G89" s="13">
        <v>2</v>
      </c>
      <c r="H89" s="7">
        <v>3.5</v>
      </c>
      <c r="I89" s="14" t="s">
        <v>319</v>
      </c>
      <c r="J89" s="7" t="s">
        <v>1673</v>
      </c>
      <c r="K89" s="7" t="s">
        <v>1673</v>
      </c>
      <c r="L89" s="6" t="s">
        <v>1673</v>
      </c>
      <c r="M89" s="15" t="s">
        <v>1673</v>
      </c>
      <c r="N89" s="16" t="s">
        <v>1673</v>
      </c>
      <c r="O89" s="17" t="s">
        <v>1673</v>
      </c>
      <c r="P89" s="16" t="s">
        <v>1673</v>
      </c>
      <c r="Q89" s="17" t="s">
        <v>1673</v>
      </c>
    </row>
    <row r="90" spans="1:17" x14ac:dyDescent="0.25">
      <c r="A90" s="6" t="s">
        <v>5</v>
      </c>
      <c r="B90" s="12">
        <v>3</v>
      </c>
      <c r="C90" s="12">
        <v>20</v>
      </c>
      <c r="D90" s="7">
        <v>3</v>
      </c>
      <c r="E90" s="6" t="s">
        <v>316</v>
      </c>
      <c r="F90" s="13" t="s">
        <v>317</v>
      </c>
      <c r="G90" s="13">
        <v>0</v>
      </c>
      <c r="H90" s="7">
        <v>0</v>
      </c>
      <c r="I90" s="14" t="s">
        <v>318</v>
      </c>
      <c r="J90" s="7" t="s">
        <v>1673</v>
      </c>
      <c r="K90" s="7" t="s">
        <v>1673</v>
      </c>
      <c r="L90" s="6" t="s">
        <v>1673</v>
      </c>
      <c r="M90" s="15" t="s">
        <v>1673</v>
      </c>
      <c r="N90" s="16" t="s">
        <v>1673</v>
      </c>
      <c r="O90" s="17" t="s">
        <v>1673</v>
      </c>
      <c r="P90" s="16" t="s">
        <v>1673</v>
      </c>
      <c r="Q90" s="17" t="s">
        <v>1673</v>
      </c>
    </row>
    <row r="91" spans="1:17" x14ac:dyDescent="0.25">
      <c r="A91" s="6" t="s">
        <v>5</v>
      </c>
      <c r="B91" s="12">
        <v>3</v>
      </c>
      <c r="C91" s="12">
        <v>20</v>
      </c>
      <c r="D91" s="7">
        <v>3</v>
      </c>
      <c r="E91" s="6" t="s">
        <v>316</v>
      </c>
      <c r="F91" s="13" t="s">
        <v>317</v>
      </c>
      <c r="G91" s="13">
        <v>0</v>
      </c>
      <c r="H91" s="7">
        <v>0</v>
      </c>
      <c r="I91" s="14" t="s">
        <v>319</v>
      </c>
      <c r="J91" s="7" t="s">
        <v>1673</v>
      </c>
      <c r="K91" s="7" t="s">
        <v>1673</v>
      </c>
      <c r="L91" s="6" t="s">
        <v>1673</v>
      </c>
      <c r="M91" s="15" t="s">
        <v>1673</v>
      </c>
      <c r="N91" s="16" t="s">
        <v>1673</v>
      </c>
      <c r="O91" s="17" t="s">
        <v>1673</v>
      </c>
      <c r="P91" s="16" t="s">
        <v>1673</v>
      </c>
      <c r="Q91" s="17" t="s">
        <v>1673</v>
      </c>
    </row>
    <row r="92" spans="1:17" x14ac:dyDescent="0.25">
      <c r="A92" s="6" t="s">
        <v>5</v>
      </c>
      <c r="B92" s="12">
        <v>3</v>
      </c>
      <c r="C92" s="12">
        <v>20</v>
      </c>
      <c r="D92" s="7">
        <v>3</v>
      </c>
      <c r="E92" s="6" t="s">
        <v>355</v>
      </c>
      <c r="F92" s="13" t="s">
        <v>320</v>
      </c>
      <c r="G92" s="13">
        <v>1</v>
      </c>
      <c r="H92" s="7">
        <v>5</v>
      </c>
      <c r="I92" s="14" t="s">
        <v>318</v>
      </c>
      <c r="J92" s="7">
        <v>0.97199999999999998</v>
      </c>
      <c r="K92" s="7">
        <v>29.494</v>
      </c>
      <c r="L92" s="6">
        <v>0</v>
      </c>
      <c r="M92" s="15">
        <v>8.2962962962962961E-2</v>
      </c>
      <c r="N92" s="16">
        <v>40.319999999999993</v>
      </c>
      <c r="O92" s="17">
        <v>1223.4548148148147</v>
      </c>
      <c r="P92" s="16">
        <v>40.32</v>
      </c>
      <c r="Q92" s="17">
        <v>1223.4548148148147</v>
      </c>
    </row>
    <row r="93" spans="1:17" x14ac:dyDescent="0.25">
      <c r="A93" s="6" t="s">
        <v>5</v>
      </c>
      <c r="B93" s="12">
        <v>3</v>
      </c>
      <c r="C93" s="12">
        <v>20</v>
      </c>
      <c r="D93" s="7">
        <v>3</v>
      </c>
      <c r="E93" s="6" t="s">
        <v>355</v>
      </c>
      <c r="F93" s="13" t="s">
        <v>320</v>
      </c>
      <c r="G93" s="13">
        <v>1</v>
      </c>
      <c r="H93" s="7">
        <v>5</v>
      </c>
      <c r="I93" s="14" t="s">
        <v>319</v>
      </c>
      <c r="J93" s="7" t="s">
        <v>1673</v>
      </c>
      <c r="K93" s="7" t="s">
        <v>1673</v>
      </c>
      <c r="L93" s="6" t="s">
        <v>1673</v>
      </c>
      <c r="M93" s="15" t="s">
        <v>1673</v>
      </c>
      <c r="N93" s="16" t="s">
        <v>1673</v>
      </c>
      <c r="O93" s="17" t="s">
        <v>1673</v>
      </c>
      <c r="P93" s="16" t="s">
        <v>1673</v>
      </c>
      <c r="Q93" s="17" t="s">
        <v>1673</v>
      </c>
    </row>
    <row r="94" spans="1:17" x14ac:dyDescent="0.25">
      <c r="A94" s="6" t="s">
        <v>5</v>
      </c>
      <c r="B94" s="12">
        <v>3</v>
      </c>
      <c r="C94" s="12">
        <v>20</v>
      </c>
      <c r="D94" s="7">
        <v>3</v>
      </c>
      <c r="E94" s="6" t="s">
        <v>355</v>
      </c>
      <c r="F94" s="13" t="s">
        <v>321</v>
      </c>
      <c r="G94" s="13">
        <v>2</v>
      </c>
      <c r="H94" s="7">
        <v>5</v>
      </c>
      <c r="I94" s="14" t="s">
        <v>318</v>
      </c>
      <c r="J94" s="7">
        <v>0.91100000000000003</v>
      </c>
      <c r="K94" s="7">
        <v>43.521000000000001</v>
      </c>
      <c r="L94" s="6">
        <v>0</v>
      </c>
      <c r="M94" s="15">
        <v>6.5777777777777782E-2</v>
      </c>
      <c r="N94" s="16">
        <v>29.96177777777778</v>
      </c>
      <c r="O94" s="17">
        <v>1431.3573333333334</v>
      </c>
      <c r="P94" s="16">
        <v>29.96177777777778</v>
      </c>
      <c r="Q94" s="17">
        <v>1431.3573333333334</v>
      </c>
    </row>
    <row r="95" spans="1:17" x14ac:dyDescent="0.25">
      <c r="A95" s="6" t="s">
        <v>5</v>
      </c>
      <c r="B95" s="12">
        <v>3</v>
      </c>
      <c r="C95" s="12">
        <v>20</v>
      </c>
      <c r="D95" s="7">
        <v>3</v>
      </c>
      <c r="E95" s="6" t="s">
        <v>355</v>
      </c>
      <c r="F95" s="13" t="s">
        <v>321</v>
      </c>
      <c r="G95" s="13">
        <v>2</v>
      </c>
      <c r="H95" s="7">
        <v>5</v>
      </c>
      <c r="I95" s="14" t="s">
        <v>319</v>
      </c>
      <c r="J95" s="7" t="s">
        <v>1673</v>
      </c>
      <c r="K95" s="7" t="s">
        <v>1673</v>
      </c>
      <c r="L95" s="6" t="s">
        <v>1673</v>
      </c>
      <c r="M95" s="15" t="s">
        <v>1673</v>
      </c>
      <c r="N95" s="16" t="s">
        <v>1673</v>
      </c>
      <c r="O95" s="17" t="s">
        <v>1673</v>
      </c>
      <c r="P95" s="16" t="s">
        <v>1673</v>
      </c>
      <c r="Q95" s="17" t="s">
        <v>1673</v>
      </c>
    </row>
    <row r="96" spans="1:17" x14ac:dyDescent="0.25">
      <c r="A96" s="6" t="s">
        <v>5</v>
      </c>
      <c r="B96" s="12">
        <v>3</v>
      </c>
      <c r="C96" s="12">
        <v>20</v>
      </c>
      <c r="D96" s="7">
        <v>3</v>
      </c>
      <c r="E96" s="6" t="s">
        <v>355</v>
      </c>
      <c r="F96" s="13" t="s">
        <v>322</v>
      </c>
      <c r="G96" s="13">
        <v>3</v>
      </c>
      <c r="H96" s="7">
        <v>5</v>
      </c>
      <c r="I96" s="14" t="s">
        <v>318</v>
      </c>
      <c r="J96" s="7">
        <v>0.81299999999999994</v>
      </c>
      <c r="K96" s="7">
        <v>46.576000000000001</v>
      </c>
      <c r="L96" s="6">
        <v>0</v>
      </c>
      <c r="M96" s="15">
        <v>5.624242424242424E-2</v>
      </c>
      <c r="N96" s="16">
        <v>22.862545454545455</v>
      </c>
      <c r="O96" s="17">
        <v>1309.7735757575758</v>
      </c>
      <c r="P96" s="16">
        <v>22.862545454545455</v>
      </c>
      <c r="Q96" s="17">
        <v>1309.7735757575756</v>
      </c>
    </row>
    <row r="97" spans="1:17" x14ac:dyDescent="0.25">
      <c r="A97" s="6" t="s">
        <v>5</v>
      </c>
      <c r="B97" s="12">
        <v>3</v>
      </c>
      <c r="C97" s="12">
        <v>20</v>
      </c>
      <c r="D97" s="7">
        <v>3</v>
      </c>
      <c r="E97" s="6" t="s">
        <v>355</v>
      </c>
      <c r="F97" s="13" t="s">
        <v>322</v>
      </c>
      <c r="G97" s="13">
        <v>3</v>
      </c>
      <c r="H97" s="7">
        <v>5</v>
      </c>
      <c r="I97" s="14" t="s">
        <v>319</v>
      </c>
      <c r="J97" s="7" t="s">
        <v>1673</v>
      </c>
      <c r="K97" s="7" t="s">
        <v>1673</v>
      </c>
      <c r="L97" s="6" t="s">
        <v>1673</v>
      </c>
      <c r="M97" s="15" t="s">
        <v>1673</v>
      </c>
      <c r="N97" s="16" t="s">
        <v>1673</v>
      </c>
      <c r="O97" s="17" t="s">
        <v>1673</v>
      </c>
      <c r="P97" s="16" t="s">
        <v>1673</v>
      </c>
      <c r="Q97" s="17" t="s">
        <v>1673</v>
      </c>
    </row>
    <row r="98" spans="1:17" x14ac:dyDescent="0.25">
      <c r="A98" s="6" t="s">
        <v>5</v>
      </c>
      <c r="B98" s="12">
        <v>3</v>
      </c>
      <c r="C98" s="12">
        <v>20</v>
      </c>
      <c r="D98" s="7">
        <v>3</v>
      </c>
      <c r="E98" s="6" t="s">
        <v>355</v>
      </c>
      <c r="F98" s="13" t="s">
        <v>324</v>
      </c>
      <c r="G98" s="18">
        <v>4</v>
      </c>
      <c r="H98" s="7">
        <v>5</v>
      </c>
      <c r="I98" s="14" t="s">
        <v>318</v>
      </c>
      <c r="J98" s="7">
        <v>0.97699999999999998</v>
      </c>
      <c r="K98" s="7">
        <v>45.773000000000003</v>
      </c>
      <c r="L98" s="6">
        <v>0</v>
      </c>
      <c r="M98" s="15">
        <v>7.4181818181818182E-2</v>
      </c>
      <c r="N98" s="16">
        <v>36.237818181818184</v>
      </c>
      <c r="O98" s="17">
        <v>1697.7621818181822</v>
      </c>
      <c r="P98" s="16">
        <v>36.237818181818177</v>
      </c>
      <c r="Q98" s="17">
        <v>1697.7621818181817</v>
      </c>
    </row>
    <row r="99" spans="1:17" x14ac:dyDescent="0.25">
      <c r="A99" s="6" t="s">
        <v>5</v>
      </c>
      <c r="B99" s="12">
        <v>3</v>
      </c>
      <c r="C99" s="12">
        <v>20</v>
      </c>
      <c r="D99" s="7">
        <v>3</v>
      </c>
      <c r="E99" s="6" t="s">
        <v>355</v>
      </c>
      <c r="F99" s="13" t="s">
        <v>324</v>
      </c>
      <c r="G99" s="18">
        <v>4</v>
      </c>
      <c r="H99" s="7">
        <v>5</v>
      </c>
      <c r="I99" s="14" t="s">
        <v>319</v>
      </c>
      <c r="J99" s="7" t="s">
        <v>1673</v>
      </c>
      <c r="K99" s="7" t="s">
        <v>1673</v>
      </c>
      <c r="L99" s="6" t="s">
        <v>1673</v>
      </c>
      <c r="M99" s="15" t="s">
        <v>1673</v>
      </c>
      <c r="N99" s="16" t="s">
        <v>1673</v>
      </c>
      <c r="O99" s="17" t="s">
        <v>1673</v>
      </c>
      <c r="P99" s="16" t="s">
        <v>1673</v>
      </c>
      <c r="Q99" s="17" t="s">
        <v>1673</v>
      </c>
    </row>
    <row r="100" spans="1:17" x14ac:dyDescent="0.25">
      <c r="A100" s="6" t="s">
        <v>5</v>
      </c>
      <c r="B100" s="12">
        <v>3</v>
      </c>
      <c r="C100" s="12">
        <v>20</v>
      </c>
      <c r="D100" s="7">
        <v>4</v>
      </c>
      <c r="E100" s="6" t="s">
        <v>316</v>
      </c>
      <c r="F100" s="13" t="s">
        <v>317</v>
      </c>
      <c r="G100" s="13">
        <v>0</v>
      </c>
      <c r="H100" s="7">
        <v>0</v>
      </c>
      <c r="I100" s="14" t="s">
        <v>318</v>
      </c>
      <c r="J100" s="7" t="s">
        <v>1673</v>
      </c>
      <c r="K100" s="7" t="s">
        <v>1673</v>
      </c>
      <c r="L100" s="6" t="s">
        <v>1673</v>
      </c>
      <c r="M100" s="15" t="s">
        <v>1673</v>
      </c>
      <c r="N100" s="16" t="s">
        <v>1673</v>
      </c>
      <c r="O100" s="17" t="s">
        <v>1673</v>
      </c>
      <c r="P100" s="16" t="s">
        <v>1673</v>
      </c>
      <c r="Q100" s="17" t="s">
        <v>1673</v>
      </c>
    </row>
    <row r="101" spans="1:17" x14ac:dyDescent="0.25">
      <c r="A101" s="6" t="s">
        <v>5</v>
      </c>
      <c r="B101" s="12">
        <v>3</v>
      </c>
      <c r="C101" s="12">
        <v>20</v>
      </c>
      <c r="D101" s="7">
        <v>4</v>
      </c>
      <c r="E101" s="6" t="s">
        <v>316</v>
      </c>
      <c r="F101" s="13" t="s">
        <v>317</v>
      </c>
      <c r="G101" s="13">
        <v>0</v>
      </c>
      <c r="H101" s="7">
        <v>0</v>
      </c>
      <c r="I101" s="14" t="s">
        <v>319</v>
      </c>
      <c r="J101" s="7" t="s">
        <v>1673</v>
      </c>
      <c r="K101" s="7" t="s">
        <v>1673</v>
      </c>
      <c r="L101" s="6" t="s">
        <v>1673</v>
      </c>
      <c r="M101" s="15" t="s">
        <v>1673</v>
      </c>
      <c r="N101" s="16" t="s">
        <v>1673</v>
      </c>
      <c r="O101" s="17" t="s">
        <v>1673</v>
      </c>
      <c r="P101" s="16" t="s">
        <v>1673</v>
      </c>
      <c r="Q101" s="17" t="s">
        <v>1673</v>
      </c>
    </row>
    <row r="102" spans="1:17" x14ac:dyDescent="0.25">
      <c r="A102" s="6" t="s">
        <v>5</v>
      </c>
      <c r="B102" s="12">
        <v>3</v>
      </c>
      <c r="C102" s="12">
        <v>20</v>
      </c>
      <c r="D102" s="7">
        <v>4</v>
      </c>
      <c r="E102" s="6" t="s">
        <v>355</v>
      </c>
      <c r="F102" s="13" t="s">
        <v>320</v>
      </c>
      <c r="G102" s="13">
        <v>1</v>
      </c>
      <c r="H102" s="7">
        <v>5</v>
      </c>
      <c r="I102" s="14" t="s">
        <v>318</v>
      </c>
      <c r="J102" s="7">
        <v>1.323</v>
      </c>
      <c r="K102" s="7">
        <v>46.316000000000003</v>
      </c>
      <c r="L102" s="6">
        <v>0</v>
      </c>
      <c r="M102" s="15">
        <v>4.308E-2</v>
      </c>
      <c r="N102" s="16">
        <v>28.497419999999998</v>
      </c>
      <c r="O102" s="17">
        <v>997.64664000000005</v>
      </c>
      <c r="P102" s="16">
        <v>28.497419999999998</v>
      </c>
      <c r="Q102" s="17">
        <v>997.64664000000016</v>
      </c>
    </row>
    <row r="103" spans="1:17" x14ac:dyDescent="0.25">
      <c r="A103" s="6" t="s">
        <v>5</v>
      </c>
      <c r="B103" s="12">
        <v>3</v>
      </c>
      <c r="C103" s="12">
        <v>20</v>
      </c>
      <c r="D103" s="7">
        <v>4</v>
      </c>
      <c r="E103" s="6" t="s">
        <v>355</v>
      </c>
      <c r="F103" s="13" t="s">
        <v>320</v>
      </c>
      <c r="G103" s="13">
        <v>1</v>
      </c>
      <c r="H103" s="7">
        <v>5</v>
      </c>
      <c r="I103" s="14" t="s">
        <v>319</v>
      </c>
      <c r="J103" s="7" t="s">
        <v>1673</v>
      </c>
      <c r="K103" s="7" t="s">
        <v>1673</v>
      </c>
      <c r="L103" s="6" t="s">
        <v>1673</v>
      </c>
      <c r="M103" s="15" t="s">
        <v>1673</v>
      </c>
      <c r="N103" s="16" t="s">
        <v>1673</v>
      </c>
      <c r="O103" s="17" t="s">
        <v>1673</v>
      </c>
      <c r="P103" s="16" t="s">
        <v>1673</v>
      </c>
      <c r="Q103" s="17" t="s">
        <v>1673</v>
      </c>
    </row>
    <row r="104" spans="1:17" x14ac:dyDescent="0.25">
      <c r="A104" s="6" t="s">
        <v>5</v>
      </c>
      <c r="B104" s="12">
        <v>3</v>
      </c>
      <c r="C104" s="12">
        <v>20</v>
      </c>
      <c r="D104" s="7">
        <v>4</v>
      </c>
      <c r="E104" s="6" t="s">
        <v>355</v>
      </c>
      <c r="F104" s="13" t="s">
        <v>321</v>
      </c>
      <c r="G104" s="13">
        <v>2</v>
      </c>
      <c r="H104" s="7">
        <v>5</v>
      </c>
      <c r="I104" s="14" t="s">
        <v>318</v>
      </c>
      <c r="J104" s="7">
        <v>1.3149999999999999</v>
      </c>
      <c r="K104" s="7">
        <v>45.817</v>
      </c>
      <c r="L104" s="6">
        <v>0</v>
      </c>
      <c r="M104" s="15">
        <v>5.8493333333333328E-2</v>
      </c>
      <c r="N104" s="16">
        <v>38.459366666666668</v>
      </c>
      <c r="O104" s="17">
        <v>1339.9945266666666</v>
      </c>
      <c r="P104" s="16">
        <v>38.459366666666668</v>
      </c>
      <c r="Q104" s="17">
        <v>1339.9945266666666</v>
      </c>
    </row>
    <row r="105" spans="1:17" x14ac:dyDescent="0.25">
      <c r="A105" s="6" t="s">
        <v>5</v>
      </c>
      <c r="B105" s="12">
        <v>3</v>
      </c>
      <c r="C105" s="12">
        <v>20</v>
      </c>
      <c r="D105" s="7">
        <v>4</v>
      </c>
      <c r="E105" s="6" t="s">
        <v>355</v>
      </c>
      <c r="F105" s="13" t="s">
        <v>321</v>
      </c>
      <c r="G105" s="13">
        <v>2</v>
      </c>
      <c r="H105" s="7">
        <v>5</v>
      </c>
      <c r="I105" s="14" t="s">
        <v>319</v>
      </c>
      <c r="J105" s="7">
        <v>1.028</v>
      </c>
      <c r="K105" s="7">
        <v>50.313000000000002</v>
      </c>
      <c r="L105" s="6">
        <v>0</v>
      </c>
      <c r="M105" s="15">
        <v>9.2000000000000003E-4</v>
      </c>
      <c r="N105" s="16">
        <v>0.47288000000000013</v>
      </c>
      <c r="O105" s="17">
        <v>23.143980000000006</v>
      </c>
      <c r="P105" s="16">
        <v>0.47288000000000008</v>
      </c>
      <c r="Q105" s="17">
        <v>23.143980000000006</v>
      </c>
    </row>
    <row r="106" spans="1:17" x14ac:dyDescent="0.25">
      <c r="A106" s="6" t="s">
        <v>5</v>
      </c>
      <c r="B106" s="12">
        <v>3</v>
      </c>
      <c r="C106" s="12">
        <v>20</v>
      </c>
      <c r="D106" s="7">
        <v>4</v>
      </c>
      <c r="E106" s="6" t="s">
        <v>355</v>
      </c>
      <c r="F106" s="13" t="s">
        <v>322</v>
      </c>
      <c r="G106" s="13">
        <v>3</v>
      </c>
      <c r="H106" s="7">
        <v>5</v>
      </c>
      <c r="I106" s="14" t="s">
        <v>318</v>
      </c>
      <c r="J106" s="7">
        <v>1.347</v>
      </c>
      <c r="K106" s="7">
        <v>44.420999999999999</v>
      </c>
      <c r="L106" s="6">
        <v>0</v>
      </c>
      <c r="M106" s="15">
        <v>5.5693333333333331E-2</v>
      </c>
      <c r="N106" s="16">
        <v>37.509459999999997</v>
      </c>
      <c r="O106" s="17">
        <v>1236.97678</v>
      </c>
      <c r="P106" s="16">
        <v>37.509459999999997</v>
      </c>
      <c r="Q106" s="17">
        <v>1236.97678</v>
      </c>
    </row>
    <row r="107" spans="1:17" x14ac:dyDescent="0.25">
      <c r="A107" s="6" t="s">
        <v>5</v>
      </c>
      <c r="B107" s="12">
        <v>3</v>
      </c>
      <c r="C107" s="12">
        <v>20</v>
      </c>
      <c r="D107" s="7">
        <v>4</v>
      </c>
      <c r="E107" s="6" t="s">
        <v>355</v>
      </c>
      <c r="F107" s="13" t="s">
        <v>322</v>
      </c>
      <c r="G107" s="13">
        <v>3</v>
      </c>
      <c r="H107" s="7">
        <v>5</v>
      </c>
      <c r="I107" s="14" t="s">
        <v>319</v>
      </c>
      <c r="J107" s="7">
        <v>0.85299999999999998</v>
      </c>
      <c r="K107" s="7">
        <v>51.84</v>
      </c>
      <c r="L107" s="6">
        <v>0</v>
      </c>
      <c r="M107" s="15">
        <v>2.7199999999999998E-3</v>
      </c>
      <c r="N107" s="16">
        <v>1.16008</v>
      </c>
      <c r="O107" s="17">
        <v>70.502400000000009</v>
      </c>
      <c r="P107" s="16">
        <v>1.16008</v>
      </c>
      <c r="Q107" s="17">
        <v>70.502400000000009</v>
      </c>
    </row>
    <row r="108" spans="1:17" x14ac:dyDescent="0.25">
      <c r="A108" s="6" t="s">
        <v>5</v>
      </c>
      <c r="B108" s="12">
        <v>3</v>
      </c>
      <c r="C108" s="12">
        <v>20</v>
      </c>
      <c r="D108" s="7">
        <v>4</v>
      </c>
      <c r="E108" s="6" t="s">
        <v>355</v>
      </c>
      <c r="F108" s="13" t="s">
        <v>324</v>
      </c>
      <c r="G108" s="18">
        <v>4</v>
      </c>
      <c r="H108" s="7">
        <v>5</v>
      </c>
      <c r="I108" s="14" t="s">
        <v>318</v>
      </c>
      <c r="J108" s="7">
        <v>1.2050000000000001</v>
      </c>
      <c r="K108" s="7">
        <v>42.223999999999997</v>
      </c>
      <c r="L108" s="6">
        <v>0</v>
      </c>
      <c r="M108" s="15">
        <v>6.835999999999999E-2</v>
      </c>
      <c r="N108" s="16">
        <v>41.186899999999994</v>
      </c>
      <c r="O108" s="17">
        <v>1443.2163199999995</v>
      </c>
      <c r="P108" s="16">
        <v>41.186899999999994</v>
      </c>
      <c r="Q108" s="17">
        <v>1443.2163199999995</v>
      </c>
    </row>
    <row r="109" spans="1:17" x14ac:dyDescent="0.25">
      <c r="A109" s="6" t="s">
        <v>5</v>
      </c>
      <c r="B109" s="12">
        <v>3</v>
      </c>
      <c r="C109" s="12">
        <v>20</v>
      </c>
      <c r="D109" s="7">
        <v>4</v>
      </c>
      <c r="E109" s="6" t="s">
        <v>355</v>
      </c>
      <c r="F109" s="13" t="s">
        <v>324</v>
      </c>
      <c r="G109" s="18">
        <v>4</v>
      </c>
      <c r="H109" s="7">
        <v>5</v>
      </c>
      <c r="I109" s="14" t="s">
        <v>319</v>
      </c>
      <c r="J109" s="7" t="s">
        <v>1673</v>
      </c>
      <c r="K109" s="7" t="s">
        <v>1673</v>
      </c>
      <c r="L109" s="6" t="s">
        <v>1673</v>
      </c>
      <c r="M109" s="15" t="s">
        <v>1673</v>
      </c>
      <c r="N109" s="16" t="s">
        <v>1673</v>
      </c>
      <c r="O109" s="17" t="s">
        <v>1673</v>
      </c>
      <c r="P109" s="16" t="s">
        <v>1673</v>
      </c>
      <c r="Q109" s="17" t="s">
        <v>1673</v>
      </c>
    </row>
    <row r="110" spans="1:17" x14ac:dyDescent="0.25">
      <c r="A110" s="6" t="s">
        <v>5</v>
      </c>
      <c r="B110" s="12">
        <v>3</v>
      </c>
      <c r="C110" s="12">
        <v>20</v>
      </c>
      <c r="D110" s="7">
        <v>4</v>
      </c>
      <c r="E110" s="6" t="s">
        <v>355</v>
      </c>
      <c r="F110" s="13" t="s">
        <v>325</v>
      </c>
      <c r="G110" s="18">
        <v>5</v>
      </c>
      <c r="H110" s="7">
        <v>5</v>
      </c>
      <c r="I110" s="14" t="s">
        <v>318</v>
      </c>
      <c r="J110" s="7">
        <v>1.7</v>
      </c>
      <c r="K110" s="7">
        <v>37.83</v>
      </c>
      <c r="L110" s="6">
        <v>0</v>
      </c>
      <c r="M110" s="15">
        <v>8.9359999999999995E-2</v>
      </c>
      <c r="N110" s="16">
        <v>75.956000000000003</v>
      </c>
      <c r="O110" s="17">
        <v>1690.2443999999998</v>
      </c>
      <c r="P110" s="16">
        <v>75.956000000000003</v>
      </c>
      <c r="Q110" s="17">
        <v>1690.2443999999998</v>
      </c>
    </row>
    <row r="111" spans="1:17" x14ac:dyDescent="0.25">
      <c r="A111" s="6" t="s">
        <v>5</v>
      </c>
      <c r="B111" s="12">
        <v>3</v>
      </c>
      <c r="C111" s="12">
        <v>20</v>
      </c>
      <c r="D111" s="7">
        <v>4</v>
      </c>
      <c r="E111" s="6" t="s">
        <v>355</v>
      </c>
      <c r="F111" s="13" t="s">
        <v>325</v>
      </c>
      <c r="G111" s="18">
        <v>5</v>
      </c>
      <c r="H111" s="7">
        <v>5</v>
      </c>
      <c r="I111" s="14" t="s">
        <v>319</v>
      </c>
      <c r="J111" s="7" t="s">
        <v>1673</v>
      </c>
      <c r="K111" s="7" t="s">
        <v>1673</v>
      </c>
      <c r="L111" s="6" t="s">
        <v>1673</v>
      </c>
      <c r="M111" s="15" t="s">
        <v>1673</v>
      </c>
      <c r="N111" s="16" t="s">
        <v>1673</v>
      </c>
      <c r="O111" s="17" t="s">
        <v>1673</v>
      </c>
      <c r="P111" s="16" t="s">
        <v>1673</v>
      </c>
      <c r="Q111" s="17" t="s">
        <v>1673</v>
      </c>
    </row>
    <row r="112" spans="1:17" x14ac:dyDescent="0.25">
      <c r="A112" s="6" t="s">
        <v>5</v>
      </c>
      <c r="B112" s="12">
        <v>3</v>
      </c>
      <c r="C112" s="12">
        <v>20</v>
      </c>
      <c r="D112" s="7">
        <v>4</v>
      </c>
      <c r="E112" s="6" t="s">
        <v>355</v>
      </c>
      <c r="F112" s="13" t="s">
        <v>326</v>
      </c>
      <c r="G112" s="18">
        <v>6</v>
      </c>
      <c r="H112" s="7">
        <v>4</v>
      </c>
      <c r="I112" s="14" t="s">
        <v>318</v>
      </c>
      <c r="J112" s="7">
        <v>1.466</v>
      </c>
      <c r="K112" s="7">
        <v>33.442999999999998</v>
      </c>
      <c r="L112" s="6">
        <v>0</v>
      </c>
      <c r="M112" s="15">
        <v>0.25131428571428571</v>
      </c>
      <c r="N112" s="16">
        <v>147.37069714285715</v>
      </c>
      <c r="O112" s="17">
        <v>3361.8814628571431</v>
      </c>
      <c r="P112" s="16">
        <v>184.21337142857143</v>
      </c>
      <c r="Q112" s="17">
        <v>4202.3518285714281</v>
      </c>
    </row>
    <row r="113" spans="1:17" x14ac:dyDescent="0.25">
      <c r="A113" s="6" t="s">
        <v>5</v>
      </c>
      <c r="B113" s="12">
        <v>3</v>
      </c>
      <c r="C113" s="12">
        <v>20</v>
      </c>
      <c r="D113" s="7">
        <v>4</v>
      </c>
      <c r="E113" s="6" t="s">
        <v>355</v>
      </c>
      <c r="F113" s="13" t="s">
        <v>326</v>
      </c>
      <c r="G113" s="18">
        <v>6</v>
      </c>
      <c r="H113" s="7">
        <v>4</v>
      </c>
      <c r="I113" s="14" t="s">
        <v>319</v>
      </c>
      <c r="J113" s="7" t="s">
        <v>1673</v>
      </c>
      <c r="K113" s="7" t="s">
        <v>1673</v>
      </c>
      <c r="L113" s="6" t="s">
        <v>1673</v>
      </c>
      <c r="M113" s="15" t="s">
        <v>1673</v>
      </c>
      <c r="N113" s="16" t="s">
        <v>1673</v>
      </c>
      <c r="O113" s="17" t="s">
        <v>1673</v>
      </c>
      <c r="P113" s="16" t="s">
        <v>1673</v>
      </c>
      <c r="Q113" s="17" t="s">
        <v>1673</v>
      </c>
    </row>
    <row r="114" spans="1:17" x14ac:dyDescent="0.25">
      <c r="A114" s="6" t="s">
        <v>5</v>
      </c>
      <c r="B114" s="12">
        <v>3</v>
      </c>
      <c r="C114" s="12">
        <v>20</v>
      </c>
      <c r="D114" s="7">
        <v>5</v>
      </c>
      <c r="E114" s="6" t="s">
        <v>316</v>
      </c>
      <c r="F114" s="13" t="s">
        <v>317</v>
      </c>
      <c r="G114" s="13">
        <v>0</v>
      </c>
      <c r="H114" s="7">
        <v>0</v>
      </c>
      <c r="I114" s="14" t="s">
        <v>318</v>
      </c>
      <c r="J114" s="7" t="s">
        <v>1673</v>
      </c>
      <c r="K114" s="7" t="s">
        <v>1673</v>
      </c>
      <c r="L114" s="6" t="s">
        <v>1673</v>
      </c>
      <c r="M114" s="15" t="s">
        <v>1673</v>
      </c>
      <c r="N114" s="16" t="s">
        <v>1673</v>
      </c>
      <c r="O114" s="17" t="s">
        <v>1673</v>
      </c>
      <c r="P114" s="16" t="s">
        <v>1673</v>
      </c>
      <c r="Q114" s="17" t="s">
        <v>1673</v>
      </c>
    </row>
    <row r="115" spans="1:17" x14ac:dyDescent="0.25">
      <c r="A115" s="6" t="s">
        <v>5</v>
      </c>
      <c r="B115" s="12">
        <v>3</v>
      </c>
      <c r="C115" s="12">
        <v>20</v>
      </c>
      <c r="D115" s="7">
        <v>5</v>
      </c>
      <c r="E115" s="6" t="s">
        <v>316</v>
      </c>
      <c r="F115" s="13" t="s">
        <v>317</v>
      </c>
      <c r="G115" s="13">
        <v>0</v>
      </c>
      <c r="H115" s="7">
        <v>0</v>
      </c>
      <c r="I115" s="14" t="s">
        <v>319</v>
      </c>
      <c r="J115" s="7" t="s">
        <v>1673</v>
      </c>
      <c r="K115" s="7" t="s">
        <v>1673</v>
      </c>
      <c r="L115" s="6" t="s">
        <v>1673</v>
      </c>
      <c r="M115" s="15" t="s">
        <v>1673</v>
      </c>
      <c r="N115" s="16" t="s">
        <v>1673</v>
      </c>
      <c r="O115" s="17" t="s">
        <v>1673</v>
      </c>
      <c r="P115" s="16" t="s">
        <v>1673</v>
      </c>
      <c r="Q115" s="17" t="s">
        <v>1673</v>
      </c>
    </row>
    <row r="116" spans="1:17" x14ac:dyDescent="0.25">
      <c r="A116" s="6" t="s">
        <v>5</v>
      </c>
      <c r="B116" s="12">
        <v>3</v>
      </c>
      <c r="C116" s="12">
        <v>20</v>
      </c>
      <c r="D116" s="7">
        <v>5</v>
      </c>
      <c r="E116" s="6" t="s">
        <v>355</v>
      </c>
      <c r="F116" s="13" t="s">
        <v>320</v>
      </c>
      <c r="G116" s="13">
        <v>1</v>
      </c>
      <c r="H116" s="7">
        <v>5</v>
      </c>
      <c r="I116" s="14" t="s">
        <v>318</v>
      </c>
      <c r="J116" s="7">
        <v>0.76600000000000001</v>
      </c>
      <c r="K116" s="7">
        <v>43.683</v>
      </c>
      <c r="L116" s="6">
        <v>0</v>
      </c>
      <c r="M116" s="15">
        <v>2.6785185185185186E-2</v>
      </c>
      <c r="N116" s="16">
        <v>10.258725925925924</v>
      </c>
      <c r="O116" s="17">
        <v>585.02862222222211</v>
      </c>
      <c r="P116" s="16">
        <v>10.258725925925926</v>
      </c>
      <c r="Q116" s="17">
        <v>585.02862222222222</v>
      </c>
    </row>
    <row r="117" spans="1:17" x14ac:dyDescent="0.25">
      <c r="A117" s="6" t="s">
        <v>5</v>
      </c>
      <c r="B117" s="12">
        <v>3</v>
      </c>
      <c r="C117" s="12">
        <v>20</v>
      </c>
      <c r="D117" s="7">
        <v>5</v>
      </c>
      <c r="E117" s="6" t="s">
        <v>355</v>
      </c>
      <c r="F117" s="13" t="s">
        <v>320</v>
      </c>
      <c r="G117" s="13">
        <v>1</v>
      </c>
      <c r="H117" s="7">
        <v>5</v>
      </c>
      <c r="I117" s="14" t="s">
        <v>319</v>
      </c>
      <c r="J117" s="7">
        <v>0.497</v>
      </c>
      <c r="K117" s="7">
        <v>49.527999999999999</v>
      </c>
      <c r="L117" s="6">
        <v>0</v>
      </c>
      <c r="M117" s="15">
        <v>9.4814814814814816E-4</v>
      </c>
      <c r="N117" s="16">
        <v>0.23561481481481478</v>
      </c>
      <c r="O117" s="17">
        <v>23.479940740740741</v>
      </c>
      <c r="P117" s="16">
        <v>0.23561481481481478</v>
      </c>
      <c r="Q117" s="17">
        <v>23.479940740740741</v>
      </c>
    </row>
    <row r="118" spans="1:17" x14ac:dyDescent="0.25">
      <c r="A118" s="6" t="s">
        <v>5</v>
      </c>
      <c r="B118" s="12">
        <v>3</v>
      </c>
      <c r="C118" s="12">
        <v>20</v>
      </c>
      <c r="D118" s="7">
        <v>5</v>
      </c>
      <c r="E118" s="6" t="s">
        <v>355</v>
      </c>
      <c r="F118" s="13" t="s">
        <v>321</v>
      </c>
      <c r="G118" s="13">
        <v>2</v>
      </c>
      <c r="H118" s="7">
        <v>5</v>
      </c>
      <c r="I118" s="14" t="s">
        <v>318</v>
      </c>
      <c r="J118" s="7">
        <v>0.80700000000000005</v>
      </c>
      <c r="K118" s="7">
        <v>38.976999999999997</v>
      </c>
      <c r="L118" s="6">
        <v>0</v>
      </c>
      <c r="M118" s="15">
        <v>3.0675000000000001E-2</v>
      </c>
      <c r="N118" s="16">
        <v>12.377362500000002</v>
      </c>
      <c r="O118" s="17">
        <v>597.80973749999987</v>
      </c>
      <c r="P118" s="16">
        <v>12.377362500000002</v>
      </c>
      <c r="Q118" s="17">
        <v>597.80973749999998</v>
      </c>
    </row>
    <row r="119" spans="1:17" x14ac:dyDescent="0.25">
      <c r="A119" s="6" t="s">
        <v>5</v>
      </c>
      <c r="B119" s="12">
        <v>3</v>
      </c>
      <c r="C119" s="12">
        <v>20</v>
      </c>
      <c r="D119" s="7">
        <v>5</v>
      </c>
      <c r="E119" s="6" t="s">
        <v>355</v>
      </c>
      <c r="F119" s="13" t="s">
        <v>321</v>
      </c>
      <c r="G119" s="13">
        <v>2</v>
      </c>
      <c r="H119" s="7">
        <v>5</v>
      </c>
      <c r="I119" s="14" t="s">
        <v>319</v>
      </c>
      <c r="J119" s="7">
        <v>0.56200000000000006</v>
      </c>
      <c r="K119" s="7">
        <v>50.728000000000002</v>
      </c>
      <c r="L119" s="6">
        <v>0</v>
      </c>
      <c r="M119" s="15">
        <v>6.4166666666666669E-4</v>
      </c>
      <c r="N119" s="16">
        <v>0.18030833333333338</v>
      </c>
      <c r="O119" s="17">
        <v>16.275233333333336</v>
      </c>
      <c r="P119" s="16">
        <v>0.18030833333333338</v>
      </c>
      <c r="Q119" s="17">
        <v>16.275233333333336</v>
      </c>
    </row>
    <row r="120" spans="1:17" x14ac:dyDescent="0.25">
      <c r="A120" s="6" t="s">
        <v>5</v>
      </c>
      <c r="B120" s="12">
        <v>3</v>
      </c>
      <c r="C120" s="12">
        <v>20</v>
      </c>
      <c r="D120" s="7">
        <v>5</v>
      </c>
      <c r="E120" s="6" t="s">
        <v>355</v>
      </c>
      <c r="F120" s="13" t="s">
        <v>322</v>
      </c>
      <c r="G120" s="13">
        <v>3</v>
      </c>
      <c r="H120" s="7">
        <v>5</v>
      </c>
      <c r="I120" s="14" t="s">
        <v>318</v>
      </c>
      <c r="J120" s="7">
        <v>0.88300000000000001</v>
      </c>
      <c r="K120" s="7">
        <v>42.481999999999999</v>
      </c>
      <c r="L120" s="6">
        <v>0</v>
      </c>
      <c r="M120" s="15">
        <v>2.8472727272727275E-2</v>
      </c>
      <c r="N120" s="16">
        <v>12.570709090909091</v>
      </c>
      <c r="O120" s="17">
        <v>604.78920000000005</v>
      </c>
      <c r="P120" s="16">
        <v>12.570709090909089</v>
      </c>
      <c r="Q120" s="17">
        <v>604.78919999999994</v>
      </c>
    </row>
    <row r="121" spans="1:17" x14ac:dyDescent="0.25">
      <c r="A121" s="6" t="s">
        <v>5</v>
      </c>
      <c r="B121" s="12">
        <v>3</v>
      </c>
      <c r="C121" s="12">
        <v>20</v>
      </c>
      <c r="D121" s="7">
        <v>5</v>
      </c>
      <c r="E121" s="6" t="s">
        <v>355</v>
      </c>
      <c r="F121" s="13" t="s">
        <v>322</v>
      </c>
      <c r="G121" s="13">
        <v>3</v>
      </c>
      <c r="H121" s="7">
        <v>5</v>
      </c>
      <c r="I121" s="14" t="s">
        <v>319</v>
      </c>
      <c r="J121" s="7">
        <v>0.55400000000000005</v>
      </c>
      <c r="K121" s="7">
        <v>51.433999999999997</v>
      </c>
      <c r="L121" s="6">
        <v>0</v>
      </c>
      <c r="M121" s="15">
        <v>2.6272727272727272E-3</v>
      </c>
      <c r="N121" s="16">
        <v>0.72775454545454554</v>
      </c>
      <c r="O121" s="17">
        <v>67.565572727272738</v>
      </c>
      <c r="P121" s="16">
        <v>0.72775454545454554</v>
      </c>
      <c r="Q121" s="17">
        <v>67.565572727272723</v>
      </c>
    </row>
    <row r="122" spans="1:17" x14ac:dyDescent="0.25">
      <c r="A122" s="6" t="s">
        <v>5</v>
      </c>
      <c r="B122" s="12">
        <v>3</v>
      </c>
      <c r="C122" s="12">
        <v>20</v>
      </c>
      <c r="D122" s="7">
        <v>5</v>
      </c>
      <c r="E122" s="6" t="s">
        <v>355</v>
      </c>
      <c r="F122" s="13" t="s">
        <v>324</v>
      </c>
      <c r="G122" s="18">
        <v>4</v>
      </c>
      <c r="H122" s="7">
        <v>5</v>
      </c>
      <c r="I122" s="14" t="s">
        <v>318</v>
      </c>
      <c r="J122" s="7">
        <v>0.87</v>
      </c>
      <c r="K122" s="7">
        <v>42.265999999999998</v>
      </c>
      <c r="L122" s="6">
        <v>0</v>
      </c>
      <c r="M122" s="15">
        <v>4.9889999999999997E-2</v>
      </c>
      <c r="N122" s="16">
        <v>21.70215</v>
      </c>
      <c r="O122" s="17">
        <v>1054.32537</v>
      </c>
      <c r="P122" s="16">
        <v>21.702149999999996</v>
      </c>
      <c r="Q122" s="17">
        <v>1054.3253699999998</v>
      </c>
    </row>
    <row r="123" spans="1:17" x14ac:dyDescent="0.25">
      <c r="A123" s="6" t="s">
        <v>5</v>
      </c>
      <c r="B123" s="12">
        <v>3</v>
      </c>
      <c r="C123" s="12">
        <v>20</v>
      </c>
      <c r="D123" s="7">
        <v>5</v>
      </c>
      <c r="E123" s="6" t="s">
        <v>355</v>
      </c>
      <c r="F123" s="13" t="s">
        <v>324</v>
      </c>
      <c r="G123" s="18">
        <v>4</v>
      </c>
      <c r="H123" s="7">
        <v>5</v>
      </c>
      <c r="I123" s="14" t="s">
        <v>319</v>
      </c>
      <c r="J123" s="7" t="s">
        <v>1673</v>
      </c>
      <c r="K123" s="7" t="s">
        <v>1673</v>
      </c>
      <c r="L123" s="6" t="s">
        <v>1673</v>
      </c>
      <c r="M123" s="15" t="s">
        <v>1673</v>
      </c>
      <c r="N123" s="16" t="s">
        <v>1673</v>
      </c>
      <c r="O123" s="17" t="s">
        <v>1673</v>
      </c>
      <c r="P123" s="16" t="s">
        <v>1673</v>
      </c>
      <c r="Q123" s="17" t="s">
        <v>1673</v>
      </c>
    </row>
    <row r="124" spans="1:17" x14ac:dyDescent="0.25">
      <c r="A124" s="6" t="s">
        <v>5</v>
      </c>
      <c r="B124" s="12">
        <v>3</v>
      </c>
      <c r="C124" s="12">
        <v>20</v>
      </c>
      <c r="D124" s="7">
        <v>5</v>
      </c>
      <c r="E124" s="6" t="s">
        <v>355</v>
      </c>
      <c r="F124" s="13" t="s">
        <v>325</v>
      </c>
      <c r="G124" s="18">
        <v>5</v>
      </c>
      <c r="H124" s="7">
        <v>5</v>
      </c>
      <c r="I124" s="14" t="s">
        <v>318</v>
      </c>
      <c r="J124" s="7">
        <v>1.044</v>
      </c>
      <c r="K124" s="7">
        <v>35.866</v>
      </c>
      <c r="L124" s="6">
        <v>0</v>
      </c>
      <c r="M124" s="15">
        <v>0.10877333333333333</v>
      </c>
      <c r="N124" s="16">
        <v>56.779679999999999</v>
      </c>
      <c r="O124" s="17">
        <v>1950.6321866666667</v>
      </c>
      <c r="P124" s="16">
        <v>56.779679999999999</v>
      </c>
      <c r="Q124" s="17">
        <v>1950.6321866666665</v>
      </c>
    </row>
    <row r="125" spans="1:17" x14ac:dyDescent="0.25">
      <c r="A125" s="6" t="s">
        <v>5</v>
      </c>
      <c r="B125" s="12">
        <v>3</v>
      </c>
      <c r="C125" s="12">
        <v>20</v>
      </c>
      <c r="D125" s="7">
        <v>5</v>
      </c>
      <c r="E125" s="6" t="s">
        <v>355</v>
      </c>
      <c r="F125" s="13" t="s">
        <v>325</v>
      </c>
      <c r="G125" s="18">
        <v>5</v>
      </c>
      <c r="H125" s="7">
        <v>5</v>
      </c>
      <c r="I125" s="14" t="s">
        <v>319</v>
      </c>
      <c r="J125" s="7">
        <v>0.748</v>
      </c>
      <c r="K125" s="7">
        <v>47.070999999999998</v>
      </c>
      <c r="L125" s="6">
        <v>0</v>
      </c>
      <c r="M125" s="15">
        <v>4.3555555555555552E-3</v>
      </c>
      <c r="N125" s="16">
        <v>1.6289777777777774</v>
      </c>
      <c r="O125" s="17">
        <v>102.51017777777776</v>
      </c>
      <c r="P125" s="16">
        <v>1.6289777777777776</v>
      </c>
      <c r="Q125" s="17">
        <v>102.51017777777776</v>
      </c>
    </row>
    <row r="126" spans="1:17" x14ac:dyDescent="0.25">
      <c r="A126" s="6" t="s">
        <v>5</v>
      </c>
      <c r="B126" s="12">
        <v>3</v>
      </c>
      <c r="C126" s="12">
        <v>20</v>
      </c>
      <c r="D126" s="7">
        <v>5</v>
      </c>
      <c r="E126" s="6" t="s">
        <v>355</v>
      </c>
      <c r="F126" s="13" t="s">
        <v>326</v>
      </c>
      <c r="G126" s="18">
        <v>6</v>
      </c>
      <c r="H126" s="7">
        <v>5</v>
      </c>
      <c r="I126" s="14" t="s">
        <v>318</v>
      </c>
      <c r="J126" s="7">
        <v>1.024</v>
      </c>
      <c r="K126" s="7">
        <v>24.632000000000001</v>
      </c>
      <c r="L126" s="6">
        <v>0</v>
      </c>
      <c r="M126" s="15">
        <v>0.16820909090909092</v>
      </c>
      <c r="N126" s="16">
        <v>86.123054545454551</v>
      </c>
      <c r="O126" s="17">
        <v>2071.6631636363641</v>
      </c>
      <c r="P126" s="16">
        <v>86.123054545454551</v>
      </c>
      <c r="Q126" s="17">
        <v>2071.6631636363641</v>
      </c>
    </row>
    <row r="127" spans="1:17" x14ac:dyDescent="0.25">
      <c r="A127" s="6" t="s">
        <v>5</v>
      </c>
      <c r="B127" s="12">
        <v>3</v>
      </c>
      <c r="C127" s="12">
        <v>20</v>
      </c>
      <c r="D127" s="7">
        <v>5</v>
      </c>
      <c r="E127" s="6" t="s">
        <v>355</v>
      </c>
      <c r="F127" s="13" t="s">
        <v>326</v>
      </c>
      <c r="G127" s="18">
        <v>6</v>
      </c>
      <c r="H127" s="7">
        <v>5</v>
      </c>
      <c r="I127" s="14" t="s">
        <v>319</v>
      </c>
      <c r="J127" s="7" t="s">
        <v>1673</v>
      </c>
      <c r="K127" s="7" t="s">
        <v>1673</v>
      </c>
      <c r="L127" s="6" t="s">
        <v>1673</v>
      </c>
      <c r="M127" s="15" t="s">
        <v>1673</v>
      </c>
      <c r="N127" s="16" t="s">
        <v>1673</v>
      </c>
      <c r="O127" s="17" t="s">
        <v>1673</v>
      </c>
      <c r="P127" s="16" t="s">
        <v>1673</v>
      </c>
      <c r="Q127" s="17" t="s">
        <v>1673</v>
      </c>
    </row>
    <row r="128" spans="1:17" x14ac:dyDescent="0.25">
      <c r="A128" s="6" t="s">
        <v>5</v>
      </c>
      <c r="B128" s="12">
        <v>3</v>
      </c>
      <c r="C128" s="12">
        <v>20</v>
      </c>
      <c r="D128" s="7">
        <v>5</v>
      </c>
      <c r="E128" s="6" t="s">
        <v>355</v>
      </c>
      <c r="F128" s="13" t="s">
        <v>327</v>
      </c>
      <c r="G128" s="19">
        <v>7</v>
      </c>
      <c r="H128" s="7">
        <v>5</v>
      </c>
      <c r="I128" s="14" t="s">
        <v>318</v>
      </c>
      <c r="J128" s="7">
        <v>1.008</v>
      </c>
      <c r="K128" s="7">
        <v>20.728999999999999</v>
      </c>
      <c r="L128" s="6">
        <v>0</v>
      </c>
      <c r="M128" s="15">
        <v>0.25002727272727271</v>
      </c>
      <c r="N128" s="16">
        <v>126.01374545454546</v>
      </c>
      <c r="O128" s="17">
        <v>2591.4076681818183</v>
      </c>
      <c r="P128" s="16">
        <v>126.01374545454546</v>
      </c>
      <c r="Q128" s="17">
        <v>2591.4076681818183</v>
      </c>
    </row>
    <row r="129" spans="1:17" x14ac:dyDescent="0.25">
      <c r="A129" s="6" t="s">
        <v>5</v>
      </c>
      <c r="B129" s="12">
        <v>3</v>
      </c>
      <c r="C129" s="12">
        <v>20</v>
      </c>
      <c r="D129" s="7">
        <v>5</v>
      </c>
      <c r="E129" s="6" t="s">
        <v>355</v>
      </c>
      <c r="F129" s="13" t="s">
        <v>327</v>
      </c>
      <c r="G129" s="19">
        <v>7</v>
      </c>
      <c r="H129" s="7">
        <v>5</v>
      </c>
      <c r="I129" s="14" t="s">
        <v>319</v>
      </c>
      <c r="J129" s="7" t="s">
        <v>1673</v>
      </c>
      <c r="K129" s="7" t="s">
        <v>1673</v>
      </c>
      <c r="L129" s="6" t="s">
        <v>1673</v>
      </c>
      <c r="M129" s="15" t="s">
        <v>1673</v>
      </c>
      <c r="N129" s="16" t="s">
        <v>1673</v>
      </c>
      <c r="O129" s="17" t="s">
        <v>1673</v>
      </c>
      <c r="P129" s="16" t="s">
        <v>1673</v>
      </c>
      <c r="Q129" s="17" t="s">
        <v>1673</v>
      </c>
    </row>
    <row r="130" spans="1:17" x14ac:dyDescent="0.25">
      <c r="A130" s="6" t="s">
        <v>5</v>
      </c>
      <c r="B130" s="12">
        <v>3</v>
      </c>
      <c r="C130" s="12">
        <v>20</v>
      </c>
      <c r="D130" s="7">
        <v>5</v>
      </c>
      <c r="E130" s="6" t="s">
        <v>355</v>
      </c>
      <c r="F130" s="13" t="s">
        <v>345</v>
      </c>
      <c r="G130" s="13">
        <v>8</v>
      </c>
      <c r="H130" s="7">
        <v>1</v>
      </c>
      <c r="I130" s="14" t="s">
        <v>318</v>
      </c>
      <c r="J130" s="7">
        <v>1.1719999999999999</v>
      </c>
      <c r="K130" s="7">
        <v>23.824000000000002</v>
      </c>
      <c r="L130" s="6">
        <v>0</v>
      </c>
      <c r="M130" s="15">
        <v>0.25651428571428569</v>
      </c>
      <c r="N130" s="16">
        <v>30.063474285714282</v>
      </c>
      <c r="O130" s="17">
        <v>611.11963428571426</v>
      </c>
      <c r="P130" s="16">
        <v>150.31737142857142</v>
      </c>
      <c r="Q130" s="17">
        <v>3055.5981714285713</v>
      </c>
    </row>
    <row r="131" spans="1:17" x14ac:dyDescent="0.25">
      <c r="A131" s="6" t="s">
        <v>5</v>
      </c>
      <c r="B131" s="12">
        <v>3</v>
      </c>
      <c r="C131" s="12">
        <v>20</v>
      </c>
      <c r="D131" s="7">
        <v>5</v>
      </c>
      <c r="E131" s="6" t="s">
        <v>355</v>
      </c>
      <c r="F131" s="13" t="s">
        <v>345</v>
      </c>
      <c r="G131" s="13">
        <v>8</v>
      </c>
      <c r="H131" s="7">
        <v>1</v>
      </c>
      <c r="I131" s="14" t="s">
        <v>319</v>
      </c>
      <c r="J131" s="7" t="s">
        <v>1673</v>
      </c>
      <c r="K131" s="7" t="s">
        <v>1673</v>
      </c>
      <c r="L131" s="6" t="s">
        <v>1673</v>
      </c>
      <c r="M131" s="15" t="s">
        <v>1673</v>
      </c>
      <c r="N131" s="16" t="s">
        <v>1673</v>
      </c>
      <c r="O131" s="17" t="s">
        <v>1673</v>
      </c>
      <c r="P131" s="16" t="s">
        <v>1673</v>
      </c>
      <c r="Q131" s="17" t="s">
        <v>1673</v>
      </c>
    </row>
    <row r="132" spans="1:17" x14ac:dyDescent="0.25">
      <c r="A132" s="6" t="s">
        <v>5</v>
      </c>
      <c r="B132" s="12">
        <v>4</v>
      </c>
      <c r="C132" s="12">
        <v>30</v>
      </c>
      <c r="D132" s="7">
        <v>1</v>
      </c>
      <c r="E132" s="6" t="s">
        <v>316</v>
      </c>
      <c r="F132" s="13" t="s">
        <v>317</v>
      </c>
      <c r="G132" s="13">
        <v>0</v>
      </c>
      <c r="H132" s="7">
        <v>0</v>
      </c>
      <c r="I132" s="14" t="s">
        <v>318</v>
      </c>
      <c r="J132" s="7" t="s">
        <v>1673</v>
      </c>
      <c r="K132" s="7" t="s">
        <v>1673</v>
      </c>
      <c r="L132" s="6" t="s">
        <v>1673</v>
      </c>
      <c r="M132" s="15" t="s">
        <v>1673</v>
      </c>
      <c r="N132" s="16" t="s">
        <v>1673</v>
      </c>
      <c r="O132" s="17" t="s">
        <v>1673</v>
      </c>
      <c r="P132" s="16" t="s">
        <v>1673</v>
      </c>
      <c r="Q132" s="17" t="s">
        <v>1673</v>
      </c>
    </row>
    <row r="133" spans="1:17" x14ac:dyDescent="0.25">
      <c r="A133" s="6" t="s">
        <v>5</v>
      </c>
      <c r="B133" s="12">
        <v>4</v>
      </c>
      <c r="C133" s="12">
        <v>30</v>
      </c>
      <c r="D133" s="7">
        <v>1</v>
      </c>
      <c r="E133" s="6" t="s">
        <v>316</v>
      </c>
      <c r="F133" s="13" t="s">
        <v>317</v>
      </c>
      <c r="G133" s="13">
        <v>0</v>
      </c>
      <c r="H133" s="7">
        <v>0</v>
      </c>
      <c r="I133" s="14" t="s">
        <v>319</v>
      </c>
      <c r="J133" s="7" t="s">
        <v>1673</v>
      </c>
      <c r="K133" s="7" t="s">
        <v>1673</v>
      </c>
      <c r="L133" s="6" t="s">
        <v>1673</v>
      </c>
      <c r="M133" s="15" t="s">
        <v>1673</v>
      </c>
      <c r="N133" s="16" t="s">
        <v>1673</v>
      </c>
      <c r="O133" s="17" t="s">
        <v>1673</v>
      </c>
      <c r="P133" s="16" t="s">
        <v>1673</v>
      </c>
      <c r="Q133" s="17" t="s">
        <v>1673</v>
      </c>
    </row>
    <row r="134" spans="1:17" x14ac:dyDescent="0.25">
      <c r="A134" s="6" t="s">
        <v>5</v>
      </c>
      <c r="B134" s="12">
        <v>4</v>
      </c>
      <c r="C134" s="12">
        <v>30</v>
      </c>
      <c r="D134" s="7">
        <v>1</v>
      </c>
      <c r="E134" s="6" t="s">
        <v>355</v>
      </c>
      <c r="F134" s="13" t="s">
        <v>320</v>
      </c>
      <c r="G134" s="13">
        <v>1</v>
      </c>
      <c r="H134" s="7">
        <v>5</v>
      </c>
      <c r="I134" s="14" t="s">
        <v>318</v>
      </c>
      <c r="J134" s="7">
        <v>0.94</v>
      </c>
      <c r="K134" s="7">
        <v>44.274999999999999</v>
      </c>
      <c r="L134" s="6">
        <v>0</v>
      </c>
      <c r="M134" s="15">
        <v>7.0507936507936506E-2</v>
      </c>
      <c r="N134" s="16">
        <v>33.138730158730148</v>
      </c>
      <c r="O134" s="17">
        <v>1560.8694444444443</v>
      </c>
      <c r="P134" s="16">
        <v>33.138730158730155</v>
      </c>
      <c r="Q134" s="17">
        <v>1560.8694444444445</v>
      </c>
    </row>
    <row r="135" spans="1:17" x14ac:dyDescent="0.25">
      <c r="A135" s="6" t="s">
        <v>5</v>
      </c>
      <c r="B135" s="12">
        <v>4</v>
      </c>
      <c r="C135" s="12">
        <v>30</v>
      </c>
      <c r="D135" s="7">
        <v>1</v>
      </c>
      <c r="E135" s="6" t="s">
        <v>355</v>
      </c>
      <c r="F135" s="13" t="s">
        <v>320</v>
      </c>
      <c r="G135" s="13">
        <v>1</v>
      </c>
      <c r="H135" s="7">
        <v>5</v>
      </c>
      <c r="I135" s="14" t="s">
        <v>319</v>
      </c>
      <c r="J135" s="7">
        <v>1.0629999999999999</v>
      </c>
      <c r="K135" s="7">
        <v>51.988</v>
      </c>
      <c r="L135" s="6">
        <v>0</v>
      </c>
      <c r="M135" s="15">
        <v>2.6984126984126982E-3</v>
      </c>
      <c r="N135" s="16">
        <v>1.434206349206349</v>
      </c>
      <c r="O135" s="17">
        <v>70.142539682539677</v>
      </c>
      <c r="P135" s="16">
        <v>1.434206349206349</v>
      </c>
      <c r="Q135" s="17">
        <v>70.142539682539677</v>
      </c>
    </row>
    <row r="136" spans="1:17" x14ac:dyDescent="0.25">
      <c r="A136" s="6" t="s">
        <v>5</v>
      </c>
      <c r="B136" s="12">
        <v>4</v>
      </c>
      <c r="C136" s="12">
        <v>30</v>
      </c>
      <c r="D136" s="7">
        <v>1</v>
      </c>
      <c r="E136" s="6" t="s">
        <v>355</v>
      </c>
      <c r="F136" s="13" t="s">
        <v>321</v>
      </c>
      <c r="G136" s="13">
        <v>2</v>
      </c>
      <c r="H136" s="7">
        <v>2</v>
      </c>
      <c r="I136" s="14" t="s">
        <v>318</v>
      </c>
      <c r="J136" s="7">
        <v>1.258</v>
      </c>
      <c r="K136" s="7">
        <v>44.006999999999998</v>
      </c>
      <c r="L136" s="6">
        <v>0</v>
      </c>
      <c r="M136" s="15">
        <v>0.14826785714285715</v>
      </c>
      <c r="N136" s="16">
        <v>37.304192857142866</v>
      </c>
      <c r="O136" s="17">
        <v>1304.9647178571429</v>
      </c>
      <c r="P136" s="16">
        <v>93.260482142857157</v>
      </c>
      <c r="Q136" s="17">
        <v>3262.4117946428573</v>
      </c>
    </row>
    <row r="137" spans="1:17" x14ac:dyDescent="0.25">
      <c r="A137" s="6" t="s">
        <v>5</v>
      </c>
      <c r="B137" s="12">
        <v>4</v>
      </c>
      <c r="C137" s="12">
        <v>30</v>
      </c>
      <c r="D137" s="7">
        <v>1</v>
      </c>
      <c r="E137" s="6" t="s">
        <v>355</v>
      </c>
      <c r="F137" s="13" t="s">
        <v>321</v>
      </c>
      <c r="G137" s="13">
        <v>2</v>
      </c>
      <c r="H137" s="7">
        <v>2</v>
      </c>
      <c r="I137" s="14" t="s">
        <v>319</v>
      </c>
      <c r="J137" s="7" t="s">
        <v>1673</v>
      </c>
      <c r="K137" s="7" t="s">
        <v>1673</v>
      </c>
      <c r="L137" s="6" t="s">
        <v>1673</v>
      </c>
      <c r="M137" s="15" t="s">
        <v>1673</v>
      </c>
      <c r="N137" s="16" t="s">
        <v>1673</v>
      </c>
      <c r="O137" s="17" t="s">
        <v>1673</v>
      </c>
      <c r="P137" s="16" t="s">
        <v>1673</v>
      </c>
      <c r="Q137" s="17" t="s">
        <v>1673</v>
      </c>
    </row>
    <row r="138" spans="1:17" x14ac:dyDescent="0.25">
      <c r="A138" s="6" t="s">
        <v>5</v>
      </c>
      <c r="B138" s="12">
        <v>4</v>
      </c>
      <c r="C138" s="12">
        <v>30</v>
      </c>
      <c r="D138" s="7">
        <v>2</v>
      </c>
      <c r="E138" s="6" t="s">
        <v>316</v>
      </c>
      <c r="F138" s="13" t="s">
        <v>317</v>
      </c>
      <c r="G138" s="13">
        <v>0</v>
      </c>
      <c r="H138" s="7">
        <v>0</v>
      </c>
      <c r="I138" s="14" t="s">
        <v>318</v>
      </c>
      <c r="J138" s="7" t="s">
        <v>1673</v>
      </c>
      <c r="K138" s="7" t="s">
        <v>1673</v>
      </c>
      <c r="L138" s="6" t="s">
        <v>1673</v>
      </c>
      <c r="M138" s="15" t="s">
        <v>1673</v>
      </c>
      <c r="N138" s="16" t="s">
        <v>1673</v>
      </c>
      <c r="O138" s="17" t="s">
        <v>1673</v>
      </c>
      <c r="P138" s="16" t="s">
        <v>1673</v>
      </c>
      <c r="Q138" s="17" t="s">
        <v>1673</v>
      </c>
    </row>
    <row r="139" spans="1:17" x14ac:dyDescent="0.25">
      <c r="A139" s="6" t="s">
        <v>5</v>
      </c>
      <c r="B139" s="12">
        <v>4</v>
      </c>
      <c r="C139" s="12">
        <v>30</v>
      </c>
      <c r="D139" s="7">
        <v>2</v>
      </c>
      <c r="E139" s="6" t="s">
        <v>316</v>
      </c>
      <c r="F139" s="13" t="s">
        <v>317</v>
      </c>
      <c r="G139" s="13">
        <v>0</v>
      </c>
      <c r="H139" s="7">
        <v>0</v>
      </c>
      <c r="I139" s="14" t="s">
        <v>319</v>
      </c>
      <c r="J139" s="7" t="s">
        <v>1673</v>
      </c>
      <c r="K139" s="7" t="s">
        <v>1673</v>
      </c>
      <c r="L139" s="6" t="s">
        <v>1673</v>
      </c>
      <c r="M139" s="15" t="s">
        <v>1673</v>
      </c>
      <c r="N139" s="16" t="s">
        <v>1673</v>
      </c>
      <c r="O139" s="17" t="s">
        <v>1673</v>
      </c>
      <c r="P139" s="16" t="s">
        <v>1673</v>
      </c>
      <c r="Q139" s="17" t="s">
        <v>1673</v>
      </c>
    </row>
    <row r="140" spans="1:17" x14ac:dyDescent="0.25">
      <c r="A140" s="6" t="s">
        <v>5</v>
      </c>
      <c r="B140" s="12">
        <v>4</v>
      </c>
      <c r="C140" s="12">
        <v>30</v>
      </c>
      <c r="D140" s="7">
        <v>2</v>
      </c>
      <c r="E140" s="6" t="s">
        <v>355</v>
      </c>
      <c r="F140" s="13" t="s">
        <v>320</v>
      </c>
      <c r="G140" s="13">
        <v>1</v>
      </c>
      <c r="H140" s="7">
        <v>5</v>
      </c>
      <c r="I140" s="14" t="s">
        <v>318</v>
      </c>
      <c r="J140" s="7">
        <v>1.397</v>
      </c>
      <c r="K140" s="7">
        <v>45.368000000000002</v>
      </c>
      <c r="L140" s="6">
        <v>0</v>
      </c>
      <c r="M140" s="15">
        <v>6.4923076923076931E-2</v>
      </c>
      <c r="N140" s="16">
        <v>45.348769230769236</v>
      </c>
      <c r="O140" s="17">
        <v>1472.7150769230773</v>
      </c>
      <c r="P140" s="16">
        <v>45.348769230769236</v>
      </c>
      <c r="Q140" s="17">
        <v>1472.7150769230773</v>
      </c>
    </row>
    <row r="141" spans="1:17" x14ac:dyDescent="0.25">
      <c r="A141" s="6" t="s">
        <v>5</v>
      </c>
      <c r="B141" s="12">
        <v>4</v>
      </c>
      <c r="C141" s="12">
        <v>30</v>
      </c>
      <c r="D141" s="7">
        <v>2</v>
      </c>
      <c r="E141" s="6" t="s">
        <v>355</v>
      </c>
      <c r="F141" s="13" t="s">
        <v>320</v>
      </c>
      <c r="G141" s="13">
        <v>1</v>
      </c>
      <c r="H141" s="7">
        <v>5</v>
      </c>
      <c r="I141" s="14" t="s">
        <v>319</v>
      </c>
      <c r="J141" s="7" t="s">
        <v>1673</v>
      </c>
      <c r="K141" s="7" t="s">
        <v>1673</v>
      </c>
      <c r="L141" s="6" t="s">
        <v>1673</v>
      </c>
      <c r="M141" s="15" t="s">
        <v>1673</v>
      </c>
      <c r="N141" s="16" t="s">
        <v>1673</v>
      </c>
      <c r="O141" s="17" t="s">
        <v>1673</v>
      </c>
      <c r="P141" s="16" t="s">
        <v>1673</v>
      </c>
      <c r="Q141" s="17" t="s">
        <v>1673</v>
      </c>
    </row>
    <row r="142" spans="1:17" x14ac:dyDescent="0.25">
      <c r="A142" s="6" t="s">
        <v>5</v>
      </c>
      <c r="B142" s="12">
        <v>4</v>
      </c>
      <c r="C142" s="12">
        <v>30</v>
      </c>
      <c r="D142" s="7">
        <v>2</v>
      </c>
      <c r="E142" s="6" t="s">
        <v>355</v>
      </c>
      <c r="F142" s="13" t="s">
        <v>321</v>
      </c>
      <c r="G142" s="13">
        <v>2</v>
      </c>
      <c r="H142" s="7">
        <v>3</v>
      </c>
      <c r="I142" s="14" t="s">
        <v>318</v>
      </c>
      <c r="J142" s="7">
        <v>1.216</v>
      </c>
      <c r="K142" s="7">
        <v>43.448</v>
      </c>
      <c r="L142" s="6">
        <v>0</v>
      </c>
      <c r="M142" s="15">
        <v>9.1333333333333336E-2</v>
      </c>
      <c r="N142" s="16">
        <v>33.318399999999997</v>
      </c>
      <c r="O142" s="17">
        <v>1190.4751999999999</v>
      </c>
      <c r="P142" s="16">
        <v>55.530666666666662</v>
      </c>
      <c r="Q142" s="17">
        <v>1984.1253333333332</v>
      </c>
    </row>
    <row r="143" spans="1:17" x14ac:dyDescent="0.25">
      <c r="A143" s="6" t="s">
        <v>5</v>
      </c>
      <c r="B143" s="12">
        <v>4</v>
      </c>
      <c r="C143" s="12">
        <v>30</v>
      </c>
      <c r="D143" s="7">
        <v>2</v>
      </c>
      <c r="E143" s="6" t="s">
        <v>355</v>
      </c>
      <c r="F143" s="13" t="s">
        <v>321</v>
      </c>
      <c r="G143" s="13">
        <v>2</v>
      </c>
      <c r="H143" s="7">
        <v>3</v>
      </c>
      <c r="I143" s="14" t="s">
        <v>319</v>
      </c>
      <c r="J143" s="7" t="s">
        <v>1673</v>
      </c>
      <c r="K143" s="7" t="s">
        <v>1673</v>
      </c>
      <c r="L143" s="6" t="s">
        <v>1673</v>
      </c>
      <c r="M143" s="15" t="s">
        <v>1673</v>
      </c>
      <c r="N143" s="16" t="s">
        <v>1673</v>
      </c>
      <c r="O143" s="17" t="s">
        <v>1673</v>
      </c>
      <c r="P143" s="16" t="s">
        <v>1673</v>
      </c>
      <c r="Q143" s="17" t="s">
        <v>1673</v>
      </c>
    </row>
    <row r="144" spans="1:17" x14ac:dyDescent="0.25">
      <c r="A144" s="6" t="s">
        <v>5</v>
      </c>
      <c r="B144" s="12">
        <v>4</v>
      </c>
      <c r="C144" s="12">
        <v>30</v>
      </c>
      <c r="D144" s="7">
        <v>3</v>
      </c>
      <c r="E144" s="6" t="s">
        <v>316</v>
      </c>
      <c r="F144" s="13" t="s">
        <v>317</v>
      </c>
      <c r="G144" s="13">
        <v>0</v>
      </c>
      <c r="H144" s="7">
        <v>0</v>
      </c>
      <c r="I144" s="14" t="s">
        <v>318</v>
      </c>
      <c r="J144" s="7" t="s">
        <v>1673</v>
      </c>
      <c r="K144" s="7" t="s">
        <v>1673</v>
      </c>
      <c r="L144" s="6" t="s">
        <v>1673</v>
      </c>
      <c r="M144" s="15" t="s">
        <v>1673</v>
      </c>
      <c r="N144" s="16" t="s">
        <v>1673</v>
      </c>
      <c r="O144" s="17" t="s">
        <v>1673</v>
      </c>
      <c r="P144" s="16" t="s">
        <v>1673</v>
      </c>
      <c r="Q144" s="17" t="s">
        <v>1673</v>
      </c>
    </row>
    <row r="145" spans="1:17" x14ac:dyDescent="0.25">
      <c r="A145" s="6" t="s">
        <v>5</v>
      </c>
      <c r="B145" s="12">
        <v>4</v>
      </c>
      <c r="C145" s="12">
        <v>30</v>
      </c>
      <c r="D145" s="7">
        <v>3</v>
      </c>
      <c r="E145" s="6" t="s">
        <v>316</v>
      </c>
      <c r="F145" s="13" t="s">
        <v>317</v>
      </c>
      <c r="G145" s="13">
        <v>0</v>
      </c>
      <c r="H145" s="7">
        <v>0</v>
      </c>
      <c r="I145" s="14" t="s">
        <v>319</v>
      </c>
      <c r="J145" s="7" t="s">
        <v>1673</v>
      </c>
      <c r="K145" s="7" t="s">
        <v>1673</v>
      </c>
      <c r="L145" s="6" t="s">
        <v>1673</v>
      </c>
      <c r="M145" s="15" t="s">
        <v>1673</v>
      </c>
      <c r="N145" s="16" t="s">
        <v>1673</v>
      </c>
      <c r="O145" s="17" t="s">
        <v>1673</v>
      </c>
      <c r="P145" s="16" t="s">
        <v>1673</v>
      </c>
      <c r="Q145" s="17" t="s">
        <v>1673</v>
      </c>
    </row>
    <row r="146" spans="1:17" x14ac:dyDescent="0.25">
      <c r="A146" s="6" t="s">
        <v>5</v>
      </c>
      <c r="B146" s="12">
        <v>4</v>
      </c>
      <c r="C146" s="12">
        <v>30</v>
      </c>
      <c r="D146" s="7">
        <v>3</v>
      </c>
      <c r="E146" s="6" t="s">
        <v>355</v>
      </c>
      <c r="F146" s="13" t="s">
        <v>320</v>
      </c>
      <c r="G146" s="13">
        <v>1</v>
      </c>
      <c r="H146" s="7">
        <v>5</v>
      </c>
      <c r="I146" s="14" t="s">
        <v>318</v>
      </c>
      <c r="J146" s="7">
        <v>1.53</v>
      </c>
      <c r="K146" s="7">
        <v>42.539000000000001</v>
      </c>
      <c r="L146" s="6">
        <v>0</v>
      </c>
      <c r="M146" s="15">
        <v>0.10432222222222222</v>
      </c>
      <c r="N146" s="16">
        <v>79.806500000000014</v>
      </c>
      <c r="O146" s="17">
        <v>2218.8815055555556</v>
      </c>
      <c r="P146" s="16">
        <v>79.8065</v>
      </c>
      <c r="Q146" s="17">
        <v>2218.8815055555551</v>
      </c>
    </row>
    <row r="147" spans="1:17" x14ac:dyDescent="0.25">
      <c r="A147" s="6" t="s">
        <v>5</v>
      </c>
      <c r="B147" s="12">
        <v>4</v>
      </c>
      <c r="C147" s="12">
        <v>30</v>
      </c>
      <c r="D147" s="7">
        <v>3</v>
      </c>
      <c r="E147" s="6" t="s">
        <v>355</v>
      </c>
      <c r="F147" s="13" t="s">
        <v>320</v>
      </c>
      <c r="G147" s="13">
        <v>1</v>
      </c>
      <c r="H147" s="7">
        <v>5</v>
      </c>
      <c r="I147" s="14" t="s">
        <v>319</v>
      </c>
      <c r="J147" s="7" t="s">
        <v>1673</v>
      </c>
      <c r="K147" s="7" t="s">
        <v>1673</v>
      </c>
      <c r="L147" s="6" t="s">
        <v>1673</v>
      </c>
      <c r="M147" s="15" t="s">
        <v>1673</v>
      </c>
      <c r="N147" s="16" t="s">
        <v>1673</v>
      </c>
      <c r="O147" s="17" t="s">
        <v>1673</v>
      </c>
      <c r="P147" s="16" t="s">
        <v>1673</v>
      </c>
      <c r="Q147" s="17" t="s">
        <v>1673</v>
      </c>
    </row>
    <row r="148" spans="1:17" x14ac:dyDescent="0.25">
      <c r="A148" s="6" t="s">
        <v>5</v>
      </c>
      <c r="B148" s="12">
        <v>4</v>
      </c>
      <c r="C148" s="12">
        <v>30</v>
      </c>
      <c r="D148" s="7">
        <v>3</v>
      </c>
      <c r="E148" s="6" t="s">
        <v>355</v>
      </c>
      <c r="F148" s="13" t="s">
        <v>321</v>
      </c>
      <c r="G148" s="13">
        <v>2</v>
      </c>
      <c r="H148" s="7">
        <v>4</v>
      </c>
      <c r="I148" s="14" t="s">
        <v>318</v>
      </c>
      <c r="J148" s="7">
        <v>1.6379999999999999</v>
      </c>
      <c r="K148" s="7">
        <v>39.865000000000002</v>
      </c>
      <c r="L148" s="6">
        <v>0</v>
      </c>
      <c r="M148" s="15">
        <v>0.10090476190476191</v>
      </c>
      <c r="N148" s="16">
        <v>66.112800000000007</v>
      </c>
      <c r="O148" s="17">
        <v>1609.0273333333334</v>
      </c>
      <c r="P148" s="16">
        <v>82.641000000000005</v>
      </c>
      <c r="Q148" s="17">
        <v>2011.2841666666668</v>
      </c>
    </row>
    <row r="149" spans="1:17" x14ac:dyDescent="0.25">
      <c r="A149" s="6" t="s">
        <v>5</v>
      </c>
      <c r="B149" s="12">
        <v>4</v>
      </c>
      <c r="C149" s="12">
        <v>30</v>
      </c>
      <c r="D149" s="7">
        <v>3</v>
      </c>
      <c r="E149" s="6" t="s">
        <v>355</v>
      </c>
      <c r="F149" s="13" t="s">
        <v>321</v>
      </c>
      <c r="G149" s="13">
        <v>2</v>
      </c>
      <c r="H149" s="7">
        <v>4</v>
      </c>
      <c r="I149" s="14" t="s">
        <v>319</v>
      </c>
      <c r="J149" s="7" t="s">
        <v>1673</v>
      </c>
      <c r="K149" s="7" t="s">
        <v>1673</v>
      </c>
      <c r="L149" s="6" t="s">
        <v>1673</v>
      </c>
      <c r="M149" s="15" t="s">
        <v>1673</v>
      </c>
      <c r="N149" s="16" t="s">
        <v>1673</v>
      </c>
      <c r="O149" s="17" t="s">
        <v>1673</v>
      </c>
      <c r="P149" s="16" t="s">
        <v>1673</v>
      </c>
      <c r="Q149" s="17" t="s">
        <v>1673</v>
      </c>
    </row>
    <row r="150" spans="1:17" x14ac:dyDescent="0.25">
      <c r="A150" s="6" t="s">
        <v>5</v>
      </c>
      <c r="B150" s="12">
        <v>4</v>
      </c>
      <c r="C150" s="12">
        <v>30</v>
      </c>
      <c r="D150" s="7">
        <v>5</v>
      </c>
      <c r="E150" s="6" t="s">
        <v>316</v>
      </c>
      <c r="F150" s="13" t="s">
        <v>317</v>
      </c>
      <c r="G150" s="13">
        <v>0</v>
      </c>
      <c r="H150" s="7">
        <v>0</v>
      </c>
      <c r="I150" s="14" t="s">
        <v>318</v>
      </c>
      <c r="J150" s="7" t="s">
        <v>1673</v>
      </c>
      <c r="K150" s="7" t="s">
        <v>1673</v>
      </c>
      <c r="L150" s="6" t="s">
        <v>1673</v>
      </c>
      <c r="M150" s="15" t="s">
        <v>1673</v>
      </c>
      <c r="N150" s="16" t="s">
        <v>1673</v>
      </c>
      <c r="O150" s="17" t="s">
        <v>1673</v>
      </c>
      <c r="P150" s="16" t="s">
        <v>1673</v>
      </c>
      <c r="Q150" s="17" t="s">
        <v>1673</v>
      </c>
    </row>
    <row r="151" spans="1:17" x14ac:dyDescent="0.25">
      <c r="A151" s="6" t="s">
        <v>5</v>
      </c>
      <c r="B151" s="12">
        <v>4</v>
      </c>
      <c r="C151" s="12">
        <v>30</v>
      </c>
      <c r="D151" s="7">
        <v>5</v>
      </c>
      <c r="E151" s="6" t="s">
        <v>316</v>
      </c>
      <c r="F151" s="13" t="s">
        <v>317</v>
      </c>
      <c r="G151" s="13">
        <v>0</v>
      </c>
      <c r="H151" s="7">
        <v>0</v>
      </c>
      <c r="I151" s="14" t="s">
        <v>319</v>
      </c>
      <c r="J151" s="7" t="s">
        <v>1673</v>
      </c>
      <c r="K151" s="7" t="s">
        <v>1673</v>
      </c>
      <c r="L151" s="6" t="s">
        <v>1673</v>
      </c>
      <c r="M151" s="15" t="s">
        <v>1673</v>
      </c>
      <c r="N151" s="16" t="s">
        <v>1673</v>
      </c>
      <c r="O151" s="17" t="s">
        <v>1673</v>
      </c>
      <c r="P151" s="16" t="s">
        <v>1673</v>
      </c>
      <c r="Q151" s="17" t="s">
        <v>1673</v>
      </c>
    </row>
    <row r="152" spans="1:17" x14ac:dyDescent="0.25">
      <c r="A152" s="6" t="s">
        <v>5</v>
      </c>
      <c r="B152" s="12">
        <v>4</v>
      </c>
      <c r="C152" s="12">
        <v>30</v>
      </c>
      <c r="D152" s="7">
        <v>5</v>
      </c>
      <c r="E152" s="6" t="s">
        <v>355</v>
      </c>
      <c r="F152" s="13" t="s">
        <v>320</v>
      </c>
      <c r="G152" s="13">
        <v>1</v>
      </c>
      <c r="H152" s="7">
        <v>5</v>
      </c>
      <c r="I152" s="14" t="s">
        <v>318</v>
      </c>
      <c r="J152" s="7">
        <v>1.1120000000000001</v>
      </c>
      <c r="K152" s="7">
        <v>43.587000000000003</v>
      </c>
      <c r="L152" s="6">
        <v>0</v>
      </c>
      <c r="M152" s="15">
        <v>6.7883333333333337E-2</v>
      </c>
      <c r="N152" s="16">
        <v>37.74313333333334</v>
      </c>
      <c r="O152" s="17">
        <v>1479.4154250000001</v>
      </c>
      <c r="P152" s="16">
        <v>37.74313333333334</v>
      </c>
      <c r="Q152" s="17">
        <v>1479.4154250000001</v>
      </c>
    </row>
    <row r="153" spans="1:17" x14ac:dyDescent="0.25">
      <c r="A153" s="6" t="s">
        <v>5</v>
      </c>
      <c r="B153" s="12">
        <v>4</v>
      </c>
      <c r="C153" s="12">
        <v>30</v>
      </c>
      <c r="D153" s="7">
        <v>5</v>
      </c>
      <c r="E153" s="6" t="s">
        <v>355</v>
      </c>
      <c r="F153" s="13" t="s">
        <v>320</v>
      </c>
      <c r="G153" s="13">
        <v>1</v>
      </c>
      <c r="H153" s="7">
        <v>5</v>
      </c>
      <c r="I153" s="14" t="s">
        <v>319</v>
      </c>
      <c r="J153" s="7">
        <v>0.64600000000000002</v>
      </c>
      <c r="K153" s="7">
        <v>48.301000000000002</v>
      </c>
      <c r="L153" s="6">
        <v>0</v>
      </c>
      <c r="M153" s="15">
        <v>8.1666666666666671E-4</v>
      </c>
      <c r="N153" s="16">
        <v>0.26378333333333343</v>
      </c>
      <c r="O153" s="17">
        <v>19.722908333333336</v>
      </c>
      <c r="P153" s="16">
        <v>0.26378333333333337</v>
      </c>
      <c r="Q153" s="17">
        <v>19.722908333333336</v>
      </c>
    </row>
    <row r="154" spans="1:17" x14ac:dyDescent="0.25">
      <c r="A154" s="6" t="s">
        <v>5</v>
      </c>
      <c r="B154" s="12">
        <v>4</v>
      </c>
      <c r="C154" s="12">
        <v>30</v>
      </c>
      <c r="D154" s="7">
        <v>5</v>
      </c>
      <c r="E154" s="6" t="s">
        <v>355</v>
      </c>
      <c r="F154" s="13" t="s">
        <v>321</v>
      </c>
      <c r="G154" s="13">
        <v>2</v>
      </c>
      <c r="H154" s="7">
        <v>4</v>
      </c>
      <c r="I154" s="14" t="s">
        <v>318</v>
      </c>
      <c r="J154" s="7">
        <v>1.4730000000000001</v>
      </c>
      <c r="K154" s="7">
        <v>44.122</v>
      </c>
      <c r="L154" s="6">
        <v>0</v>
      </c>
      <c r="M154" s="15">
        <v>0.13134090909090909</v>
      </c>
      <c r="N154" s="16">
        <v>77.386063636363644</v>
      </c>
      <c r="O154" s="17">
        <v>2318.0094363636367</v>
      </c>
      <c r="P154" s="16">
        <v>96.732579545454541</v>
      </c>
      <c r="Q154" s="17">
        <v>2897.5117954545458</v>
      </c>
    </row>
    <row r="155" spans="1:17" x14ac:dyDescent="0.25">
      <c r="A155" s="6" t="s">
        <v>5</v>
      </c>
      <c r="B155" s="12">
        <v>4</v>
      </c>
      <c r="C155" s="12">
        <v>30</v>
      </c>
      <c r="D155" s="7">
        <v>5</v>
      </c>
      <c r="E155" s="6" t="s">
        <v>355</v>
      </c>
      <c r="F155" s="13" t="s">
        <v>321</v>
      </c>
      <c r="G155" s="13">
        <v>2</v>
      </c>
      <c r="H155" s="7">
        <v>4</v>
      </c>
      <c r="I155" s="14" t="s">
        <v>319</v>
      </c>
      <c r="J155" s="7" t="s">
        <v>1673</v>
      </c>
      <c r="K155" s="7" t="s">
        <v>1673</v>
      </c>
      <c r="L155" s="6" t="s">
        <v>1673</v>
      </c>
      <c r="M155" s="15" t="s">
        <v>1673</v>
      </c>
      <c r="N155" s="16" t="s">
        <v>1673</v>
      </c>
      <c r="O155" s="17" t="s">
        <v>1673</v>
      </c>
      <c r="P155" s="16" t="s">
        <v>1673</v>
      </c>
      <c r="Q155" s="17" t="s">
        <v>1673</v>
      </c>
    </row>
    <row r="156" spans="1:17" x14ac:dyDescent="0.25">
      <c r="A156" s="6" t="s">
        <v>5</v>
      </c>
      <c r="B156" s="12">
        <v>5</v>
      </c>
      <c r="C156" s="12">
        <v>32</v>
      </c>
      <c r="D156" s="7">
        <v>1</v>
      </c>
      <c r="E156" s="6" t="s">
        <v>316</v>
      </c>
      <c r="F156" s="13" t="s">
        <v>317</v>
      </c>
      <c r="G156" s="13">
        <v>0</v>
      </c>
      <c r="H156" s="7">
        <v>0</v>
      </c>
      <c r="I156" s="14" t="s">
        <v>318</v>
      </c>
      <c r="J156" s="7" t="s">
        <v>1673</v>
      </c>
      <c r="K156" s="7" t="s">
        <v>1673</v>
      </c>
      <c r="L156" s="6" t="s">
        <v>1673</v>
      </c>
      <c r="M156" s="15" t="s">
        <v>1673</v>
      </c>
      <c r="N156" s="16" t="s">
        <v>1673</v>
      </c>
      <c r="O156" s="17" t="s">
        <v>1673</v>
      </c>
      <c r="P156" s="16" t="s">
        <v>1673</v>
      </c>
      <c r="Q156" s="17" t="s">
        <v>1673</v>
      </c>
    </row>
    <row r="157" spans="1:17" x14ac:dyDescent="0.25">
      <c r="A157" s="6" t="s">
        <v>5</v>
      </c>
      <c r="B157" s="12">
        <v>5</v>
      </c>
      <c r="C157" s="12">
        <v>32</v>
      </c>
      <c r="D157" s="7">
        <v>1</v>
      </c>
      <c r="E157" s="6" t="s">
        <v>316</v>
      </c>
      <c r="F157" s="13" t="s">
        <v>317</v>
      </c>
      <c r="G157" s="13">
        <v>0</v>
      </c>
      <c r="H157" s="7">
        <v>0</v>
      </c>
      <c r="I157" s="14" t="s">
        <v>319</v>
      </c>
      <c r="J157" s="7" t="s">
        <v>1673</v>
      </c>
      <c r="K157" s="7" t="s">
        <v>1673</v>
      </c>
      <c r="L157" s="6" t="s">
        <v>1673</v>
      </c>
      <c r="M157" s="15" t="s">
        <v>1673</v>
      </c>
      <c r="N157" s="16" t="s">
        <v>1673</v>
      </c>
      <c r="O157" s="17" t="s">
        <v>1673</v>
      </c>
      <c r="P157" s="16" t="s">
        <v>1673</v>
      </c>
      <c r="Q157" s="17" t="s">
        <v>1673</v>
      </c>
    </row>
    <row r="158" spans="1:17" x14ac:dyDescent="0.25">
      <c r="A158" s="6" t="s">
        <v>5</v>
      </c>
      <c r="B158" s="12">
        <v>5</v>
      </c>
      <c r="C158" s="12">
        <v>32</v>
      </c>
      <c r="D158" s="7">
        <v>1</v>
      </c>
      <c r="E158" s="6" t="s">
        <v>355</v>
      </c>
      <c r="F158" s="13" t="s">
        <v>320</v>
      </c>
      <c r="G158" s="13">
        <v>1</v>
      </c>
      <c r="H158" s="7">
        <v>5</v>
      </c>
      <c r="I158" s="14" t="s">
        <v>318</v>
      </c>
      <c r="J158" s="7">
        <v>1.3089999999999999</v>
      </c>
      <c r="K158" s="7">
        <v>44.453000000000003</v>
      </c>
      <c r="L158" s="6">
        <v>0</v>
      </c>
      <c r="M158" s="15">
        <v>8.6360000000000006E-2</v>
      </c>
      <c r="N158" s="16">
        <v>56.522619999999996</v>
      </c>
      <c r="O158" s="17">
        <v>1919.4805400000002</v>
      </c>
      <c r="P158" s="16">
        <v>56.522619999999996</v>
      </c>
      <c r="Q158" s="17">
        <v>1919.4805400000002</v>
      </c>
    </row>
    <row r="159" spans="1:17" x14ac:dyDescent="0.25">
      <c r="A159" s="6" t="s">
        <v>5</v>
      </c>
      <c r="B159" s="12">
        <v>5</v>
      </c>
      <c r="C159" s="12">
        <v>32</v>
      </c>
      <c r="D159" s="7">
        <v>1</v>
      </c>
      <c r="E159" s="6" t="s">
        <v>355</v>
      </c>
      <c r="F159" s="13" t="s">
        <v>320</v>
      </c>
      <c r="G159" s="13">
        <v>1</v>
      </c>
      <c r="H159" s="7">
        <v>5</v>
      </c>
      <c r="I159" s="14" t="s">
        <v>319</v>
      </c>
      <c r="J159" s="7" t="s">
        <v>1673</v>
      </c>
      <c r="K159" s="7" t="s">
        <v>1673</v>
      </c>
      <c r="L159" s="6" t="s">
        <v>1673</v>
      </c>
      <c r="M159" s="15" t="s">
        <v>1673</v>
      </c>
      <c r="N159" s="16" t="s">
        <v>1673</v>
      </c>
      <c r="O159" s="17" t="s">
        <v>1673</v>
      </c>
      <c r="P159" s="16" t="s">
        <v>1673</v>
      </c>
      <c r="Q159" s="17" t="s">
        <v>1673</v>
      </c>
    </row>
    <row r="160" spans="1:17" x14ac:dyDescent="0.25">
      <c r="A160" s="6" t="s">
        <v>5</v>
      </c>
      <c r="B160" s="12">
        <v>5</v>
      </c>
      <c r="C160" s="12">
        <v>32</v>
      </c>
      <c r="D160" s="7">
        <v>1</v>
      </c>
      <c r="E160" s="6" t="s">
        <v>355</v>
      </c>
      <c r="F160" s="13" t="s">
        <v>321</v>
      </c>
      <c r="G160" s="13">
        <v>2</v>
      </c>
      <c r="H160" s="7">
        <v>5</v>
      </c>
      <c r="I160" s="14" t="s">
        <v>318</v>
      </c>
      <c r="J160" s="7">
        <v>2.464</v>
      </c>
      <c r="K160" s="7">
        <v>42.134</v>
      </c>
      <c r="L160" s="6">
        <v>0</v>
      </c>
      <c r="M160" s="15">
        <v>0.18127272727272728</v>
      </c>
      <c r="N160" s="16">
        <v>223.328</v>
      </c>
      <c r="O160" s="17">
        <v>3818.8725454545456</v>
      </c>
      <c r="P160" s="16">
        <v>223.328</v>
      </c>
      <c r="Q160" s="17">
        <v>3818.8725454545456</v>
      </c>
    </row>
    <row r="161" spans="1:17" x14ac:dyDescent="0.25">
      <c r="A161" s="6" t="s">
        <v>5</v>
      </c>
      <c r="B161" s="12">
        <v>5</v>
      </c>
      <c r="C161" s="12">
        <v>32</v>
      </c>
      <c r="D161" s="7">
        <v>1</v>
      </c>
      <c r="E161" s="6" t="s">
        <v>355</v>
      </c>
      <c r="F161" s="13" t="s">
        <v>321</v>
      </c>
      <c r="G161" s="13">
        <v>2</v>
      </c>
      <c r="H161" s="7">
        <v>5</v>
      </c>
      <c r="I161" s="14" t="s">
        <v>319</v>
      </c>
      <c r="J161" s="7" t="s">
        <v>1673</v>
      </c>
      <c r="K161" s="7" t="s">
        <v>1673</v>
      </c>
      <c r="L161" s="6" t="s">
        <v>1673</v>
      </c>
      <c r="M161" s="15" t="s">
        <v>1673</v>
      </c>
      <c r="N161" s="16" t="s">
        <v>1673</v>
      </c>
      <c r="O161" s="17" t="s">
        <v>1673</v>
      </c>
      <c r="P161" s="16" t="s">
        <v>1673</v>
      </c>
      <c r="Q161" s="17" t="s">
        <v>1673</v>
      </c>
    </row>
    <row r="162" spans="1:17" x14ac:dyDescent="0.25">
      <c r="A162" s="6" t="s">
        <v>5</v>
      </c>
      <c r="B162" s="12">
        <v>5</v>
      </c>
      <c r="C162" s="12">
        <v>32</v>
      </c>
      <c r="D162" s="7">
        <v>1</v>
      </c>
      <c r="E162" s="6" t="s">
        <v>355</v>
      </c>
      <c r="F162" s="13" t="s">
        <v>322</v>
      </c>
      <c r="G162" s="13">
        <v>3</v>
      </c>
      <c r="H162" s="7">
        <v>5</v>
      </c>
      <c r="I162" s="14" t="s">
        <v>318</v>
      </c>
      <c r="J162" s="7">
        <v>2.544</v>
      </c>
      <c r="K162" s="7">
        <v>43.481000000000002</v>
      </c>
      <c r="L162" s="6">
        <v>0</v>
      </c>
      <c r="M162" s="15">
        <v>0.2216969696969697</v>
      </c>
      <c r="N162" s="16">
        <v>281.99854545454542</v>
      </c>
      <c r="O162" s="17">
        <v>4819.8029696969697</v>
      </c>
      <c r="P162" s="16">
        <v>281.99854545454548</v>
      </c>
      <c r="Q162" s="17">
        <v>4819.8029696969706</v>
      </c>
    </row>
    <row r="163" spans="1:17" x14ac:dyDescent="0.25">
      <c r="A163" s="6" t="s">
        <v>5</v>
      </c>
      <c r="B163" s="12">
        <v>5</v>
      </c>
      <c r="C163" s="12">
        <v>32</v>
      </c>
      <c r="D163" s="7">
        <v>1</v>
      </c>
      <c r="E163" s="6" t="s">
        <v>355</v>
      </c>
      <c r="F163" s="13" t="s">
        <v>322</v>
      </c>
      <c r="G163" s="13">
        <v>3</v>
      </c>
      <c r="H163" s="7">
        <v>5</v>
      </c>
      <c r="I163" s="14" t="s">
        <v>319</v>
      </c>
      <c r="J163" s="7" t="s">
        <v>1673</v>
      </c>
      <c r="K163" s="7" t="s">
        <v>1673</v>
      </c>
      <c r="L163" s="6" t="s">
        <v>1673</v>
      </c>
      <c r="M163" s="15" t="s">
        <v>1673</v>
      </c>
      <c r="N163" s="16" t="s">
        <v>1673</v>
      </c>
      <c r="O163" s="17" t="s">
        <v>1673</v>
      </c>
      <c r="P163" s="16" t="s">
        <v>1673</v>
      </c>
      <c r="Q163" s="17" t="s">
        <v>1673</v>
      </c>
    </row>
    <row r="164" spans="1:17" x14ac:dyDescent="0.25">
      <c r="A164" s="6" t="s">
        <v>5</v>
      </c>
      <c r="B164" s="12">
        <v>5</v>
      </c>
      <c r="C164" s="12">
        <v>32</v>
      </c>
      <c r="D164" s="7">
        <v>1</v>
      </c>
      <c r="E164" s="6" t="s">
        <v>355</v>
      </c>
      <c r="F164" s="13" t="s">
        <v>324</v>
      </c>
      <c r="G164" s="18">
        <v>4</v>
      </c>
      <c r="H164" s="7">
        <v>1</v>
      </c>
      <c r="I164" s="14" t="s">
        <v>318</v>
      </c>
      <c r="J164" s="7">
        <v>3.052</v>
      </c>
      <c r="K164" s="7">
        <v>43.406999999999996</v>
      </c>
      <c r="L164" s="6">
        <v>0</v>
      </c>
      <c r="M164" s="15">
        <v>0.24896969696969695</v>
      </c>
      <c r="N164" s="16">
        <v>75.985551515151514</v>
      </c>
      <c r="O164" s="17">
        <v>1080.7027636363634</v>
      </c>
      <c r="P164" s="16">
        <v>379.92775757575754</v>
      </c>
      <c r="Q164" s="17">
        <v>5403.5138181818174</v>
      </c>
    </row>
    <row r="165" spans="1:17" x14ac:dyDescent="0.25">
      <c r="A165" s="6" t="s">
        <v>5</v>
      </c>
      <c r="B165" s="12">
        <v>5</v>
      </c>
      <c r="C165" s="12">
        <v>32</v>
      </c>
      <c r="D165" s="7">
        <v>1</v>
      </c>
      <c r="E165" s="6" t="s">
        <v>355</v>
      </c>
      <c r="F165" s="13" t="s">
        <v>324</v>
      </c>
      <c r="G165" s="18">
        <v>4</v>
      </c>
      <c r="H165" s="7">
        <v>1</v>
      </c>
      <c r="I165" s="14" t="s">
        <v>319</v>
      </c>
      <c r="J165" s="7" t="s">
        <v>1673</v>
      </c>
      <c r="K165" s="7" t="s">
        <v>1673</v>
      </c>
      <c r="L165" s="6" t="s">
        <v>1673</v>
      </c>
      <c r="M165" s="15" t="s">
        <v>1673</v>
      </c>
      <c r="N165" s="16" t="s">
        <v>1673</v>
      </c>
      <c r="O165" s="17" t="s">
        <v>1673</v>
      </c>
      <c r="P165" s="16" t="s">
        <v>1673</v>
      </c>
      <c r="Q165" s="17" t="s">
        <v>1673</v>
      </c>
    </row>
    <row r="166" spans="1:17" x14ac:dyDescent="0.25">
      <c r="A166" s="6" t="s">
        <v>5</v>
      </c>
      <c r="B166" s="12">
        <v>5</v>
      </c>
      <c r="C166" s="12">
        <v>32</v>
      </c>
      <c r="D166" s="7">
        <v>2</v>
      </c>
      <c r="E166" s="6" t="s">
        <v>316</v>
      </c>
      <c r="F166" s="13" t="s">
        <v>317</v>
      </c>
      <c r="G166" s="13">
        <v>0</v>
      </c>
      <c r="H166" s="7">
        <v>19</v>
      </c>
      <c r="I166" s="14" t="s">
        <v>318</v>
      </c>
      <c r="J166" s="7">
        <v>2.4020000000000001</v>
      </c>
      <c r="K166" s="7">
        <v>43.142000000000003</v>
      </c>
      <c r="L166" s="6">
        <v>0</v>
      </c>
      <c r="M166" s="15" t="s">
        <v>1673</v>
      </c>
      <c r="N166" s="16" t="s">
        <v>1673</v>
      </c>
      <c r="O166" s="17" t="s">
        <v>1673</v>
      </c>
      <c r="P166" s="16" t="s">
        <v>1673</v>
      </c>
      <c r="Q166" s="17" t="s">
        <v>1673</v>
      </c>
    </row>
    <row r="167" spans="1:17" x14ac:dyDescent="0.25">
      <c r="A167" s="6" t="s">
        <v>5</v>
      </c>
      <c r="B167" s="12">
        <v>5</v>
      </c>
      <c r="C167" s="12">
        <v>32</v>
      </c>
      <c r="D167" s="7">
        <v>2</v>
      </c>
      <c r="E167" s="6" t="s">
        <v>316</v>
      </c>
      <c r="F167" s="13" t="s">
        <v>317</v>
      </c>
      <c r="G167" s="13">
        <v>0</v>
      </c>
      <c r="H167" s="7">
        <v>19</v>
      </c>
      <c r="I167" s="14" t="s">
        <v>319</v>
      </c>
      <c r="J167" s="7" t="s">
        <v>1673</v>
      </c>
      <c r="K167" s="7" t="s">
        <v>1673</v>
      </c>
      <c r="L167" s="6" t="s">
        <v>1673</v>
      </c>
      <c r="M167" s="15" t="s">
        <v>1673</v>
      </c>
      <c r="N167" s="16" t="s">
        <v>1673</v>
      </c>
      <c r="O167" s="17" t="s">
        <v>1673</v>
      </c>
      <c r="P167" s="16" t="s">
        <v>1673</v>
      </c>
      <c r="Q167" s="17" t="s">
        <v>1673</v>
      </c>
    </row>
    <row r="168" spans="1:17" x14ac:dyDescent="0.25">
      <c r="A168" s="6" t="s">
        <v>5</v>
      </c>
      <c r="B168" s="12">
        <v>5</v>
      </c>
      <c r="C168" s="12">
        <v>32</v>
      </c>
      <c r="D168" s="7">
        <v>2</v>
      </c>
      <c r="E168" s="6" t="s">
        <v>355</v>
      </c>
      <c r="F168" s="13" t="s">
        <v>320</v>
      </c>
      <c r="G168" s="13">
        <v>1</v>
      </c>
      <c r="H168" s="7">
        <v>5</v>
      </c>
      <c r="I168" s="14" t="s">
        <v>318</v>
      </c>
      <c r="J168" s="7">
        <v>2.23</v>
      </c>
      <c r="K168" s="7">
        <v>44.973999999999997</v>
      </c>
      <c r="L168" s="6">
        <v>0</v>
      </c>
      <c r="M168" s="15">
        <v>8.9333333333333334E-2</v>
      </c>
      <c r="N168" s="16">
        <v>99.606666666666669</v>
      </c>
      <c r="O168" s="17">
        <v>2008.8386666666668</v>
      </c>
      <c r="P168" s="16">
        <v>99.606666666666669</v>
      </c>
      <c r="Q168" s="17">
        <v>2008.8386666666665</v>
      </c>
    </row>
    <row r="169" spans="1:17" x14ac:dyDescent="0.25">
      <c r="A169" s="6" t="s">
        <v>5</v>
      </c>
      <c r="B169" s="12">
        <v>5</v>
      </c>
      <c r="C169" s="12">
        <v>32</v>
      </c>
      <c r="D169" s="7">
        <v>2</v>
      </c>
      <c r="E169" s="6" t="s">
        <v>355</v>
      </c>
      <c r="F169" s="13" t="s">
        <v>320</v>
      </c>
      <c r="G169" s="13">
        <v>1</v>
      </c>
      <c r="H169" s="7">
        <v>5</v>
      </c>
      <c r="I169" s="14" t="s">
        <v>319</v>
      </c>
      <c r="J169" s="7" t="s">
        <v>1673</v>
      </c>
      <c r="K169" s="7" t="s">
        <v>1673</v>
      </c>
      <c r="L169" s="6" t="s">
        <v>1673</v>
      </c>
      <c r="M169" s="15" t="s">
        <v>1673</v>
      </c>
      <c r="N169" s="16" t="s">
        <v>1673</v>
      </c>
      <c r="O169" s="17" t="s">
        <v>1673</v>
      </c>
      <c r="P169" s="16" t="s">
        <v>1673</v>
      </c>
      <c r="Q169" s="17" t="s">
        <v>1673</v>
      </c>
    </row>
    <row r="170" spans="1:17" x14ac:dyDescent="0.25">
      <c r="A170" s="6" t="s">
        <v>5</v>
      </c>
      <c r="B170" s="12">
        <v>5</v>
      </c>
      <c r="C170" s="12">
        <v>32</v>
      </c>
      <c r="D170" s="7">
        <v>2</v>
      </c>
      <c r="E170" s="6" t="s">
        <v>355</v>
      </c>
      <c r="F170" s="13" t="s">
        <v>321</v>
      </c>
      <c r="G170" s="13">
        <v>2</v>
      </c>
      <c r="H170" s="7">
        <v>5</v>
      </c>
      <c r="I170" s="14" t="s">
        <v>318</v>
      </c>
      <c r="J170" s="7">
        <v>1.631</v>
      </c>
      <c r="K170" s="7">
        <v>44.154000000000003</v>
      </c>
      <c r="L170" s="6">
        <v>0</v>
      </c>
      <c r="M170" s="15">
        <v>9.9706666666666666E-2</v>
      </c>
      <c r="N170" s="16">
        <v>81.310786666666672</v>
      </c>
      <c r="O170" s="17">
        <v>2201.22408</v>
      </c>
      <c r="P170" s="16">
        <v>81.310786666666687</v>
      </c>
      <c r="Q170" s="17">
        <v>2201.22408</v>
      </c>
    </row>
    <row r="171" spans="1:17" x14ac:dyDescent="0.25">
      <c r="A171" s="6" t="s">
        <v>5</v>
      </c>
      <c r="B171" s="12">
        <v>5</v>
      </c>
      <c r="C171" s="12">
        <v>32</v>
      </c>
      <c r="D171" s="7">
        <v>2</v>
      </c>
      <c r="E171" s="6" t="s">
        <v>355</v>
      </c>
      <c r="F171" s="13" t="s">
        <v>321</v>
      </c>
      <c r="G171" s="13">
        <v>2</v>
      </c>
      <c r="H171" s="7">
        <v>5</v>
      </c>
      <c r="I171" s="14" t="s">
        <v>319</v>
      </c>
      <c r="J171" s="7" t="s">
        <v>1673</v>
      </c>
      <c r="K171" s="7" t="s">
        <v>1673</v>
      </c>
      <c r="L171" s="6" t="s">
        <v>1673</v>
      </c>
      <c r="M171" s="15" t="s">
        <v>1673</v>
      </c>
      <c r="N171" s="16" t="s">
        <v>1673</v>
      </c>
      <c r="O171" s="17" t="s">
        <v>1673</v>
      </c>
      <c r="P171" s="16" t="s">
        <v>1673</v>
      </c>
      <c r="Q171" s="17" t="s">
        <v>1673</v>
      </c>
    </row>
    <row r="172" spans="1:17" x14ac:dyDescent="0.25">
      <c r="A172" s="6" t="s">
        <v>5</v>
      </c>
      <c r="B172" s="12">
        <v>5</v>
      </c>
      <c r="C172" s="12">
        <v>32</v>
      </c>
      <c r="D172" s="7">
        <v>2</v>
      </c>
      <c r="E172" s="6" t="s">
        <v>355</v>
      </c>
      <c r="F172" s="13" t="s">
        <v>322</v>
      </c>
      <c r="G172" s="13">
        <v>3</v>
      </c>
      <c r="H172" s="7">
        <v>5</v>
      </c>
      <c r="I172" s="14" t="s">
        <v>318</v>
      </c>
      <c r="J172" s="7">
        <v>1.7290000000000001</v>
      </c>
      <c r="K172" s="7">
        <v>43.283000000000001</v>
      </c>
      <c r="L172" s="6">
        <v>0</v>
      </c>
      <c r="M172" s="15">
        <v>0.11638666666666665</v>
      </c>
      <c r="N172" s="16">
        <v>100.61627333333333</v>
      </c>
      <c r="O172" s="17">
        <v>2518.7820466666667</v>
      </c>
      <c r="P172" s="16">
        <v>100.61627333333334</v>
      </c>
      <c r="Q172" s="17">
        <v>2518.7820466666662</v>
      </c>
    </row>
    <row r="173" spans="1:17" x14ac:dyDescent="0.25">
      <c r="A173" s="6" t="s">
        <v>5</v>
      </c>
      <c r="B173" s="12">
        <v>5</v>
      </c>
      <c r="C173" s="12">
        <v>32</v>
      </c>
      <c r="D173" s="7">
        <v>2</v>
      </c>
      <c r="E173" s="6" t="s">
        <v>355</v>
      </c>
      <c r="F173" s="13" t="s">
        <v>322</v>
      </c>
      <c r="G173" s="13">
        <v>3</v>
      </c>
      <c r="H173" s="7">
        <v>5</v>
      </c>
      <c r="I173" s="14" t="s">
        <v>319</v>
      </c>
      <c r="J173" s="7">
        <v>0.78800000000000003</v>
      </c>
      <c r="K173" s="7">
        <v>47.442</v>
      </c>
      <c r="L173" s="6">
        <v>0</v>
      </c>
      <c r="M173" s="15">
        <v>3.1866666666666666E-3</v>
      </c>
      <c r="N173" s="16">
        <v>1.2555466666666668</v>
      </c>
      <c r="O173" s="17">
        <v>75.590920000000011</v>
      </c>
      <c r="P173" s="16">
        <v>1.2555466666666666</v>
      </c>
      <c r="Q173" s="17">
        <v>75.590919999999997</v>
      </c>
    </row>
    <row r="174" spans="1:17" x14ac:dyDescent="0.25">
      <c r="A174" s="6" t="s">
        <v>5</v>
      </c>
      <c r="B174" s="12">
        <v>5</v>
      </c>
      <c r="C174" s="12">
        <v>32</v>
      </c>
      <c r="D174" s="7">
        <v>2</v>
      </c>
      <c r="E174" s="6" t="s">
        <v>355</v>
      </c>
      <c r="F174" s="13" t="s">
        <v>324</v>
      </c>
      <c r="G174" s="18">
        <v>4</v>
      </c>
      <c r="H174" s="7">
        <v>5</v>
      </c>
      <c r="I174" s="14" t="s">
        <v>318</v>
      </c>
      <c r="J174" s="7">
        <v>1.857</v>
      </c>
      <c r="K174" s="7">
        <v>42.53</v>
      </c>
      <c r="L174" s="6">
        <v>0</v>
      </c>
      <c r="M174" s="15">
        <v>0.13806222222222223</v>
      </c>
      <c r="N174" s="16">
        <v>128.19077333333334</v>
      </c>
      <c r="O174" s="17">
        <v>2935.8931555555555</v>
      </c>
      <c r="P174" s="16">
        <v>128.19077333333334</v>
      </c>
      <c r="Q174" s="17">
        <v>2935.8931555555555</v>
      </c>
    </row>
    <row r="175" spans="1:17" x14ac:dyDescent="0.25">
      <c r="A175" s="6" t="s">
        <v>5</v>
      </c>
      <c r="B175" s="12">
        <v>5</v>
      </c>
      <c r="C175" s="12">
        <v>32</v>
      </c>
      <c r="D175" s="7">
        <v>2</v>
      </c>
      <c r="E175" s="6" t="s">
        <v>355</v>
      </c>
      <c r="F175" s="13" t="s">
        <v>324</v>
      </c>
      <c r="G175" s="18">
        <v>4</v>
      </c>
      <c r="H175" s="7">
        <v>5</v>
      </c>
      <c r="I175" s="14" t="s">
        <v>319</v>
      </c>
      <c r="J175" s="7" t="s">
        <v>1673</v>
      </c>
      <c r="K175" s="7" t="s">
        <v>1673</v>
      </c>
      <c r="L175" s="6" t="s">
        <v>1673</v>
      </c>
      <c r="M175" s="15" t="s">
        <v>1673</v>
      </c>
      <c r="N175" s="16" t="s">
        <v>1673</v>
      </c>
      <c r="O175" s="17" t="s">
        <v>1673</v>
      </c>
      <c r="P175" s="16" t="s">
        <v>1673</v>
      </c>
      <c r="Q175" s="17" t="s">
        <v>1673</v>
      </c>
    </row>
    <row r="176" spans="1:17" x14ac:dyDescent="0.25">
      <c r="A176" s="6" t="s">
        <v>5</v>
      </c>
      <c r="B176" s="12">
        <v>5</v>
      </c>
      <c r="C176" s="12">
        <v>32</v>
      </c>
      <c r="D176" s="7">
        <v>2</v>
      </c>
      <c r="E176" s="6" t="s">
        <v>355</v>
      </c>
      <c r="F176" s="13" t="s">
        <v>325</v>
      </c>
      <c r="G176" s="18">
        <v>5</v>
      </c>
      <c r="H176" s="7">
        <v>0</v>
      </c>
      <c r="I176" s="14" t="s">
        <v>318</v>
      </c>
      <c r="J176" s="7" t="s">
        <v>1673</v>
      </c>
      <c r="K176" s="7" t="s">
        <v>1673</v>
      </c>
      <c r="L176" s="6" t="s">
        <v>1673</v>
      </c>
      <c r="M176" s="15" t="s">
        <v>1673</v>
      </c>
      <c r="N176" s="16" t="s">
        <v>1673</v>
      </c>
      <c r="O176" s="17" t="s">
        <v>1673</v>
      </c>
      <c r="P176" s="16" t="s">
        <v>1673</v>
      </c>
      <c r="Q176" s="17" t="s">
        <v>1673</v>
      </c>
    </row>
    <row r="177" spans="1:17" x14ac:dyDescent="0.25">
      <c r="A177" s="6" t="s">
        <v>5</v>
      </c>
      <c r="B177" s="12">
        <v>5</v>
      </c>
      <c r="C177" s="12">
        <v>32</v>
      </c>
      <c r="D177" s="7">
        <v>2</v>
      </c>
      <c r="E177" s="6" t="s">
        <v>355</v>
      </c>
      <c r="F177" s="13" t="s">
        <v>325</v>
      </c>
      <c r="G177" s="18">
        <v>5</v>
      </c>
      <c r="H177" s="7">
        <v>0</v>
      </c>
      <c r="I177" s="14" t="s">
        <v>319</v>
      </c>
      <c r="J177" s="7" t="s">
        <v>1673</v>
      </c>
      <c r="K177" s="7" t="s">
        <v>1673</v>
      </c>
      <c r="L177" s="6" t="s">
        <v>1673</v>
      </c>
      <c r="M177" s="15" t="s">
        <v>1673</v>
      </c>
      <c r="N177" s="16" t="s">
        <v>1673</v>
      </c>
      <c r="O177" s="17" t="s">
        <v>1673</v>
      </c>
      <c r="P177" s="16" t="s">
        <v>1673</v>
      </c>
      <c r="Q177" s="17" t="s">
        <v>1673</v>
      </c>
    </row>
    <row r="178" spans="1:17" x14ac:dyDescent="0.25">
      <c r="A178" s="6" t="s">
        <v>5</v>
      </c>
      <c r="B178" s="12">
        <v>5</v>
      </c>
      <c r="C178" s="12">
        <v>32</v>
      </c>
      <c r="D178" s="7">
        <v>3</v>
      </c>
      <c r="E178" s="6" t="s">
        <v>316</v>
      </c>
      <c r="F178" s="13" t="s">
        <v>317</v>
      </c>
      <c r="G178" s="13">
        <v>0</v>
      </c>
      <c r="H178" s="7">
        <v>0</v>
      </c>
      <c r="I178" s="14" t="s">
        <v>318</v>
      </c>
      <c r="J178" s="7" t="s">
        <v>1673</v>
      </c>
      <c r="K178" s="7" t="s">
        <v>1673</v>
      </c>
      <c r="L178" s="6" t="s">
        <v>1673</v>
      </c>
      <c r="M178" s="15" t="s">
        <v>1673</v>
      </c>
      <c r="N178" s="16" t="s">
        <v>1673</v>
      </c>
      <c r="O178" s="17" t="s">
        <v>1673</v>
      </c>
      <c r="P178" s="16" t="s">
        <v>1673</v>
      </c>
      <c r="Q178" s="17" t="s">
        <v>1673</v>
      </c>
    </row>
    <row r="179" spans="1:17" x14ac:dyDescent="0.25">
      <c r="A179" s="6" t="s">
        <v>5</v>
      </c>
      <c r="B179" s="12">
        <v>5</v>
      </c>
      <c r="C179" s="12">
        <v>32</v>
      </c>
      <c r="D179" s="7">
        <v>3</v>
      </c>
      <c r="E179" s="6" t="s">
        <v>316</v>
      </c>
      <c r="F179" s="13" t="s">
        <v>317</v>
      </c>
      <c r="G179" s="13">
        <v>0</v>
      </c>
      <c r="H179" s="7">
        <v>0</v>
      </c>
      <c r="I179" s="14" t="s">
        <v>319</v>
      </c>
      <c r="J179" s="7" t="s">
        <v>1673</v>
      </c>
      <c r="K179" s="7" t="s">
        <v>1673</v>
      </c>
      <c r="L179" s="6" t="s">
        <v>1673</v>
      </c>
      <c r="M179" s="15" t="s">
        <v>1673</v>
      </c>
      <c r="N179" s="16" t="s">
        <v>1673</v>
      </c>
      <c r="O179" s="17" t="s">
        <v>1673</v>
      </c>
      <c r="P179" s="16" t="s">
        <v>1673</v>
      </c>
      <c r="Q179" s="17" t="s">
        <v>1673</v>
      </c>
    </row>
    <row r="180" spans="1:17" x14ac:dyDescent="0.25">
      <c r="A180" s="6" t="s">
        <v>5</v>
      </c>
      <c r="B180" s="12">
        <v>5</v>
      </c>
      <c r="C180" s="12">
        <v>32</v>
      </c>
      <c r="D180" s="7">
        <v>3</v>
      </c>
      <c r="E180" s="6" t="s">
        <v>355</v>
      </c>
      <c r="F180" s="13" t="s">
        <v>320</v>
      </c>
      <c r="G180" s="13">
        <v>1</v>
      </c>
      <c r="H180" s="7">
        <v>5</v>
      </c>
      <c r="I180" s="14" t="s">
        <v>318</v>
      </c>
      <c r="J180" s="7">
        <v>2.4129999999999998</v>
      </c>
      <c r="K180" s="7">
        <v>41.777000000000001</v>
      </c>
      <c r="L180" s="6">
        <v>0</v>
      </c>
      <c r="M180" s="15">
        <v>0.11078666666666666</v>
      </c>
      <c r="N180" s="16">
        <v>133.66411333333332</v>
      </c>
      <c r="O180" s="17">
        <v>2314.1672866666668</v>
      </c>
      <c r="P180" s="16">
        <v>133.66411333333332</v>
      </c>
      <c r="Q180" s="17">
        <v>2314.1672866666668</v>
      </c>
    </row>
    <row r="181" spans="1:17" x14ac:dyDescent="0.25">
      <c r="A181" s="6" t="s">
        <v>5</v>
      </c>
      <c r="B181" s="12">
        <v>5</v>
      </c>
      <c r="C181" s="12">
        <v>32</v>
      </c>
      <c r="D181" s="7">
        <v>3</v>
      </c>
      <c r="E181" s="6" t="s">
        <v>355</v>
      </c>
      <c r="F181" s="13" t="s">
        <v>320</v>
      </c>
      <c r="G181" s="13">
        <v>1</v>
      </c>
      <c r="H181" s="7">
        <v>5</v>
      </c>
      <c r="I181" s="14" t="s">
        <v>319</v>
      </c>
      <c r="J181" s="7" t="s">
        <v>1673</v>
      </c>
      <c r="K181" s="7" t="s">
        <v>1673</v>
      </c>
      <c r="L181" s="6" t="s">
        <v>1673</v>
      </c>
      <c r="M181" s="15" t="s">
        <v>1673</v>
      </c>
      <c r="N181" s="16" t="s">
        <v>1673</v>
      </c>
      <c r="O181" s="17" t="s">
        <v>1673</v>
      </c>
      <c r="P181" s="16" t="s">
        <v>1673</v>
      </c>
      <c r="Q181" s="17" t="s">
        <v>1673</v>
      </c>
    </row>
    <row r="182" spans="1:17" x14ac:dyDescent="0.25">
      <c r="A182" s="6" t="s">
        <v>5</v>
      </c>
      <c r="B182" s="12">
        <v>5</v>
      </c>
      <c r="C182" s="12">
        <v>32</v>
      </c>
      <c r="D182" s="7">
        <v>3</v>
      </c>
      <c r="E182" s="6" t="s">
        <v>355</v>
      </c>
      <c r="F182" s="13" t="s">
        <v>321</v>
      </c>
      <c r="G182" s="13">
        <v>2</v>
      </c>
      <c r="H182" s="7">
        <v>5</v>
      </c>
      <c r="I182" s="14" t="s">
        <v>318</v>
      </c>
      <c r="J182" s="7">
        <v>2.3580000000000001</v>
      </c>
      <c r="K182" s="7">
        <v>44.097000000000001</v>
      </c>
      <c r="L182" s="6">
        <v>0</v>
      </c>
      <c r="M182" s="15">
        <v>0.12975999999999999</v>
      </c>
      <c r="N182" s="16">
        <v>152.98704000000001</v>
      </c>
      <c r="O182" s="17">
        <v>2861.0133600000004</v>
      </c>
      <c r="P182" s="16">
        <v>152.98703999999998</v>
      </c>
      <c r="Q182" s="17">
        <v>2861.0133599999999</v>
      </c>
    </row>
    <row r="183" spans="1:17" x14ac:dyDescent="0.25">
      <c r="A183" s="6" t="s">
        <v>5</v>
      </c>
      <c r="B183" s="12">
        <v>5</v>
      </c>
      <c r="C183" s="12">
        <v>32</v>
      </c>
      <c r="D183" s="7">
        <v>3</v>
      </c>
      <c r="E183" s="6" t="s">
        <v>355</v>
      </c>
      <c r="F183" s="13" t="s">
        <v>321</v>
      </c>
      <c r="G183" s="13">
        <v>2</v>
      </c>
      <c r="H183" s="7">
        <v>5</v>
      </c>
      <c r="I183" s="14" t="s">
        <v>319</v>
      </c>
      <c r="J183" s="7">
        <v>1.091</v>
      </c>
      <c r="K183" s="7">
        <v>47.256999999999998</v>
      </c>
      <c r="L183" s="6">
        <v>0</v>
      </c>
      <c r="M183" s="15">
        <v>1.0666666666666668E-2</v>
      </c>
      <c r="N183" s="16">
        <v>5.818666666666668</v>
      </c>
      <c r="O183" s="17">
        <v>252.03733333333341</v>
      </c>
      <c r="P183" s="16">
        <v>5.8186666666666671</v>
      </c>
      <c r="Q183" s="17">
        <v>252.03733333333335</v>
      </c>
    </row>
    <row r="184" spans="1:17" x14ac:dyDescent="0.25">
      <c r="A184" s="6" t="s">
        <v>5</v>
      </c>
      <c r="B184" s="12">
        <v>5</v>
      </c>
      <c r="C184" s="12">
        <v>32</v>
      </c>
      <c r="D184" s="7">
        <v>3</v>
      </c>
      <c r="E184" s="6" t="s">
        <v>355</v>
      </c>
      <c r="F184" s="13" t="s">
        <v>322</v>
      </c>
      <c r="G184" s="13">
        <v>3</v>
      </c>
      <c r="H184" s="7">
        <v>5</v>
      </c>
      <c r="I184" s="14" t="s">
        <v>318</v>
      </c>
      <c r="J184" s="7">
        <v>2.4660000000000002</v>
      </c>
      <c r="K184" s="7">
        <v>44.453000000000003</v>
      </c>
      <c r="L184" s="6">
        <v>0</v>
      </c>
      <c r="M184" s="15">
        <v>0.15124444444444446</v>
      </c>
      <c r="N184" s="16">
        <v>186.48440000000002</v>
      </c>
      <c r="O184" s="17">
        <v>3361.6346444444448</v>
      </c>
      <c r="P184" s="16">
        <v>186.48440000000005</v>
      </c>
      <c r="Q184" s="17">
        <v>3361.6346444444453</v>
      </c>
    </row>
    <row r="185" spans="1:17" x14ac:dyDescent="0.25">
      <c r="A185" s="6" t="s">
        <v>5</v>
      </c>
      <c r="B185" s="12">
        <v>5</v>
      </c>
      <c r="C185" s="12">
        <v>32</v>
      </c>
      <c r="D185" s="7">
        <v>3</v>
      </c>
      <c r="E185" s="6" t="s">
        <v>355</v>
      </c>
      <c r="F185" s="13" t="s">
        <v>322</v>
      </c>
      <c r="G185" s="13">
        <v>3</v>
      </c>
      <c r="H185" s="7">
        <v>5</v>
      </c>
      <c r="I185" s="14" t="s">
        <v>319</v>
      </c>
      <c r="J185" s="7" t="s">
        <v>1673</v>
      </c>
      <c r="K185" s="7" t="s">
        <v>1673</v>
      </c>
      <c r="L185" s="6" t="s">
        <v>1673</v>
      </c>
      <c r="M185" s="15" t="s">
        <v>1673</v>
      </c>
      <c r="N185" s="16" t="s">
        <v>1673</v>
      </c>
      <c r="O185" s="17" t="s">
        <v>1673</v>
      </c>
      <c r="P185" s="16" t="s">
        <v>1673</v>
      </c>
      <c r="Q185" s="17" t="s">
        <v>1673</v>
      </c>
    </row>
    <row r="186" spans="1:17" x14ac:dyDescent="0.25">
      <c r="A186" s="6" t="s">
        <v>5</v>
      </c>
      <c r="B186" s="12">
        <v>5</v>
      </c>
      <c r="C186" s="12">
        <v>32</v>
      </c>
      <c r="D186" s="7">
        <v>4</v>
      </c>
      <c r="E186" s="6" t="s">
        <v>316</v>
      </c>
      <c r="F186" s="13" t="s">
        <v>317</v>
      </c>
      <c r="G186" s="13">
        <v>0</v>
      </c>
      <c r="H186" s="7">
        <v>8</v>
      </c>
      <c r="I186" s="14" t="s">
        <v>318</v>
      </c>
      <c r="J186" s="7">
        <v>3.069</v>
      </c>
      <c r="K186" s="7">
        <v>44.012</v>
      </c>
      <c r="L186" s="6">
        <v>0</v>
      </c>
      <c r="M186" s="15" t="s">
        <v>1673</v>
      </c>
      <c r="N186" s="16" t="s">
        <v>1673</v>
      </c>
      <c r="O186" s="17" t="s">
        <v>1673</v>
      </c>
      <c r="P186" s="16" t="s">
        <v>1673</v>
      </c>
      <c r="Q186" s="17" t="s">
        <v>1673</v>
      </c>
    </row>
    <row r="187" spans="1:17" x14ac:dyDescent="0.25">
      <c r="A187" s="6" t="s">
        <v>5</v>
      </c>
      <c r="B187" s="12">
        <v>5</v>
      </c>
      <c r="C187" s="12">
        <v>32</v>
      </c>
      <c r="D187" s="7">
        <v>4</v>
      </c>
      <c r="E187" s="6" t="s">
        <v>316</v>
      </c>
      <c r="F187" s="13" t="s">
        <v>317</v>
      </c>
      <c r="G187" s="13">
        <v>0</v>
      </c>
      <c r="H187" s="7">
        <v>8</v>
      </c>
      <c r="I187" s="14" t="s">
        <v>319</v>
      </c>
      <c r="J187" s="7" t="s">
        <v>1673</v>
      </c>
      <c r="K187" s="7" t="s">
        <v>1673</v>
      </c>
      <c r="L187" s="6" t="s">
        <v>1673</v>
      </c>
      <c r="M187" s="15" t="s">
        <v>1673</v>
      </c>
      <c r="N187" s="16" t="s">
        <v>1673</v>
      </c>
      <c r="O187" s="17" t="s">
        <v>1673</v>
      </c>
      <c r="P187" s="16" t="s">
        <v>1673</v>
      </c>
      <c r="Q187" s="17" t="s">
        <v>1673</v>
      </c>
    </row>
    <row r="188" spans="1:17" x14ac:dyDescent="0.25">
      <c r="A188" s="6" t="s">
        <v>5</v>
      </c>
      <c r="B188" s="12">
        <v>5</v>
      </c>
      <c r="C188" s="12">
        <v>32</v>
      </c>
      <c r="D188" s="7">
        <v>4</v>
      </c>
      <c r="E188" s="6" t="s">
        <v>355</v>
      </c>
      <c r="F188" s="13" t="s">
        <v>320</v>
      </c>
      <c r="G188" s="13">
        <v>1</v>
      </c>
      <c r="H188" s="7">
        <v>5</v>
      </c>
      <c r="I188" s="14" t="s">
        <v>318</v>
      </c>
      <c r="J188" s="7">
        <v>2.1219999999999999</v>
      </c>
      <c r="K188" s="7">
        <v>42.182000000000002</v>
      </c>
      <c r="L188" s="6">
        <v>0</v>
      </c>
      <c r="M188" s="15">
        <v>8.2548571428571429E-2</v>
      </c>
      <c r="N188" s="16">
        <v>87.584034285714282</v>
      </c>
      <c r="O188" s="17">
        <v>1741.0319200000001</v>
      </c>
      <c r="P188" s="16">
        <v>87.584034285714282</v>
      </c>
      <c r="Q188" s="17">
        <v>1741.0319200000001</v>
      </c>
    </row>
    <row r="189" spans="1:17" x14ac:dyDescent="0.25">
      <c r="A189" s="6" t="s">
        <v>5</v>
      </c>
      <c r="B189" s="12">
        <v>5</v>
      </c>
      <c r="C189" s="12">
        <v>32</v>
      </c>
      <c r="D189" s="7">
        <v>4</v>
      </c>
      <c r="E189" s="6" t="s">
        <v>355</v>
      </c>
      <c r="F189" s="13" t="s">
        <v>320</v>
      </c>
      <c r="G189" s="13">
        <v>1</v>
      </c>
      <c r="H189" s="7">
        <v>5</v>
      </c>
      <c r="I189" s="14" t="s">
        <v>319</v>
      </c>
      <c r="J189" s="7" t="s">
        <v>1673</v>
      </c>
      <c r="K189" s="7" t="s">
        <v>1673</v>
      </c>
      <c r="L189" s="6" t="s">
        <v>1673</v>
      </c>
      <c r="M189" s="15" t="s">
        <v>1673</v>
      </c>
      <c r="N189" s="16" t="s">
        <v>1673</v>
      </c>
      <c r="O189" s="17" t="s">
        <v>1673</v>
      </c>
      <c r="P189" s="16" t="s">
        <v>1673</v>
      </c>
      <c r="Q189" s="17" t="s">
        <v>1673</v>
      </c>
    </row>
    <row r="190" spans="1:17" x14ac:dyDescent="0.25">
      <c r="A190" s="6" t="s">
        <v>5</v>
      </c>
      <c r="B190" s="12">
        <v>5</v>
      </c>
      <c r="C190" s="12">
        <v>32</v>
      </c>
      <c r="D190" s="7">
        <v>4</v>
      </c>
      <c r="E190" s="6" t="s">
        <v>355</v>
      </c>
      <c r="F190" s="13" t="s">
        <v>321</v>
      </c>
      <c r="G190" s="13">
        <v>2</v>
      </c>
      <c r="H190" s="7">
        <v>5</v>
      </c>
      <c r="I190" s="14" t="s">
        <v>318</v>
      </c>
      <c r="J190" s="7">
        <v>1.849</v>
      </c>
      <c r="K190" s="7">
        <v>45.390999999999998</v>
      </c>
      <c r="L190" s="6">
        <v>0</v>
      </c>
      <c r="M190" s="15">
        <v>0.12890909090909092</v>
      </c>
      <c r="N190" s="16">
        <v>119.17645454545455</v>
      </c>
      <c r="O190" s="17">
        <v>2925.6562727272726</v>
      </c>
      <c r="P190" s="16">
        <v>119.17645454545455</v>
      </c>
      <c r="Q190" s="17">
        <v>2925.6562727272726</v>
      </c>
    </row>
    <row r="191" spans="1:17" x14ac:dyDescent="0.25">
      <c r="A191" s="6" t="s">
        <v>5</v>
      </c>
      <c r="B191" s="12">
        <v>5</v>
      </c>
      <c r="C191" s="12">
        <v>32</v>
      </c>
      <c r="D191" s="7">
        <v>4</v>
      </c>
      <c r="E191" s="6" t="s">
        <v>355</v>
      </c>
      <c r="F191" s="13" t="s">
        <v>321</v>
      </c>
      <c r="G191" s="13">
        <v>2</v>
      </c>
      <c r="H191" s="7">
        <v>5</v>
      </c>
      <c r="I191" s="14" t="s">
        <v>319</v>
      </c>
      <c r="J191" s="7" t="s">
        <v>1673</v>
      </c>
      <c r="K191" s="7" t="s">
        <v>1673</v>
      </c>
      <c r="L191" s="6" t="s">
        <v>1673</v>
      </c>
      <c r="M191" s="15" t="s">
        <v>1673</v>
      </c>
      <c r="N191" s="16" t="s">
        <v>1673</v>
      </c>
      <c r="O191" s="17" t="s">
        <v>1673</v>
      </c>
      <c r="P191" s="16" t="s">
        <v>1673</v>
      </c>
      <c r="Q191" s="17" t="s">
        <v>1673</v>
      </c>
    </row>
    <row r="192" spans="1:17" x14ac:dyDescent="0.25">
      <c r="A192" s="6" t="s">
        <v>5</v>
      </c>
      <c r="B192" s="12">
        <v>5</v>
      </c>
      <c r="C192" s="12">
        <v>32</v>
      </c>
      <c r="D192" s="7">
        <v>4</v>
      </c>
      <c r="E192" s="6" t="s">
        <v>355</v>
      </c>
      <c r="F192" s="13" t="s">
        <v>322</v>
      </c>
      <c r="G192" s="13">
        <v>3</v>
      </c>
      <c r="H192" s="7">
        <v>5</v>
      </c>
      <c r="I192" s="14" t="s">
        <v>318</v>
      </c>
      <c r="J192" s="7">
        <v>2.7890000000000001</v>
      </c>
      <c r="K192" s="7">
        <v>43.515000000000001</v>
      </c>
      <c r="L192" s="6">
        <v>0</v>
      </c>
      <c r="M192" s="15">
        <v>0.19437575757575759</v>
      </c>
      <c r="N192" s="16">
        <v>271.05699393939398</v>
      </c>
      <c r="O192" s="17">
        <v>4229.1305454545454</v>
      </c>
      <c r="P192" s="16">
        <v>271.05699393939398</v>
      </c>
      <c r="Q192" s="17">
        <v>4229.1305454545454</v>
      </c>
    </row>
    <row r="193" spans="1:17" x14ac:dyDescent="0.25">
      <c r="A193" s="6" t="s">
        <v>5</v>
      </c>
      <c r="B193" s="12">
        <v>5</v>
      </c>
      <c r="C193" s="12">
        <v>32</v>
      </c>
      <c r="D193" s="7">
        <v>4</v>
      </c>
      <c r="E193" s="6" t="s">
        <v>355</v>
      </c>
      <c r="F193" s="13" t="s">
        <v>322</v>
      </c>
      <c r="G193" s="13">
        <v>3</v>
      </c>
      <c r="H193" s="7">
        <v>5</v>
      </c>
      <c r="I193" s="14" t="s">
        <v>319</v>
      </c>
      <c r="J193" s="7" t="s">
        <v>1673</v>
      </c>
      <c r="K193" s="7" t="s">
        <v>1673</v>
      </c>
      <c r="L193" s="6" t="s">
        <v>1673</v>
      </c>
      <c r="M193" s="15" t="s">
        <v>1673</v>
      </c>
      <c r="N193" s="16" t="s">
        <v>1673</v>
      </c>
      <c r="O193" s="17" t="s">
        <v>1673</v>
      </c>
      <c r="P193" s="16" t="s">
        <v>1673</v>
      </c>
      <c r="Q193" s="17" t="s">
        <v>1673</v>
      </c>
    </row>
    <row r="194" spans="1:17" x14ac:dyDescent="0.25">
      <c r="A194" s="6" t="s">
        <v>5</v>
      </c>
      <c r="B194" s="12">
        <v>5</v>
      </c>
      <c r="C194" s="12">
        <v>32</v>
      </c>
      <c r="D194" s="7">
        <v>4</v>
      </c>
      <c r="E194" s="6" t="s">
        <v>355</v>
      </c>
      <c r="F194" s="13" t="s">
        <v>324</v>
      </c>
      <c r="G194" s="18">
        <v>4</v>
      </c>
      <c r="H194" s="7">
        <v>1</v>
      </c>
      <c r="I194" s="14" t="s">
        <v>318</v>
      </c>
      <c r="J194" s="7">
        <v>3.2650000000000001</v>
      </c>
      <c r="K194" s="7">
        <v>43.405999999999999</v>
      </c>
      <c r="L194" s="6">
        <v>0</v>
      </c>
      <c r="M194" s="15">
        <v>0.22106666666666666</v>
      </c>
      <c r="N194" s="16">
        <v>72.178266666666659</v>
      </c>
      <c r="O194" s="17">
        <v>959.5619733333333</v>
      </c>
      <c r="P194" s="16">
        <v>360.89133333333331</v>
      </c>
      <c r="Q194" s="17">
        <v>4797.8098666666665</v>
      </c>
    </row>
    <row r="195" spans="1:17" x14ac:dyDescent="0.25">
      <c r="A195" s="6" t="s">
        <v>5</v>
      </c>
      <c r="B195" s="12">
        <v>5</v>
      </c>
      <c r="C195" s="12">
        <v>32</v>
      </c>
      <c r="D195" s="7">
        <v>4</v>
      </c>
      <c r="E195" s="6" t="s">
        <v>355</v>
      </c>
      <c r="F195" s="13" t="s">
        <v>324</v>
      </c>
      <c r="G195" s="18">
        <v>4</v>
      </c>
      <c r="H195" s="7">
        <v>1</v>
      </c>
      <c r="I195" s="14" t="s">
        <v>319</v>
      </c>
      <c r="J195" s="7" t="s">
        <v>1673</v>
      </c>
      <c r="K195" s="7" t="s">
        <v>1673</v>
      </c>
      <c r="L195" s="6" t="s">
        <v>1673</v>
      </c>
      <c r="M195" s="15" t="s">
        <v>1673</v>
      </c>
      <c r="N195" s="16" t="s">
        <v>1673</v>
      </c>
      <c r="O195" s="17" t="s">
        <v>1673</v>
      </c>
      <c r="P195" s="16" t="s">
        <v>1673</v>
      </c>
      <c r="Q195" s="17" t="s">
        <v>1673</v>
      </c>
    </row>
    <row r="196" spans="1:17" x14ac:dyDescent="0.25">
      <c r="A196" s="6" t="s">
        <v>5</v>
      </c>
      <c r="B196" s="12">
        <v>5</v>
      </c>
      <c r="C196" s="12">
        <v>32</v>
      </c>
      <c r="D196" s="7">
        <v>5</v>
      </c>
      <c r="E196" s="6" t="s">
        <v>316</v>
      </c>
      <c r="F196" s="13" t="s">
        <v>317</v>
      </c>
      <c r="G196" s="13">
        <v>0</v>
      </c>
      <c r="H196" s="7">
        <v>0</v>
      </c>
      <c r="I196" s="14" t="s">
        <v>318</v>
      </c>
      <c r="J196" s="7" t="s">
        <v>1673</v>
      </c>
      <c r="K196" s="7" t="s">
        <v>1673</v>
      </c>
      <c r="L196" s="6" t="s">
        <v>1673</v>
      </c>
      <c r="M196" s="15" t="s">
        <v>1673</v>
      </c>
      <c r="N196" s="16" t="s">
        <v>1673</v>
      </c>
      <c r="O196" s="17" t="s">
        <v>1673</v>
      </c>
      <c r="P196" s="16" t="s">
        <v>1673</v>
      </c>
      <c r="Q196" s="17" t="s">
        <v>1673</v>
      </c>
    </row>
    <row r="197" spans="1:17" x14ac:dyDescent="0.25">
      <c r="A197" s="6" t="s">
        <v>5</v>
      </c>
      <c r="B197" s="12">
        <v>5</v>
      </c>
      <c r="C197" s="12">
        <v>32</v>
      </c>
      <c r="D197" s="7">
        <v>5</v>
      </c>
      <c r="E197" s="6" t="s">
        <v>316</v>
      </c>
      <c r="F197" s="13" t="s">
        <v>317</v>
      </c>
      <c r="G197" s="13">
        <v>0</v>
      </c>
      <c r="H197" s="7">
        <v>0</v>
      </c>
      <c r="I197" s="14" t="s">
        <v>319</v>
      </c>
      <c r="J197" s="7" t="s">
        <v>1673</v>
      </c>
      <c r="K197" s="7" t="s">
        <v>1673</v>
      </c>
      <c r="L197" s="6" t="s">
        <v>1673</v>
      </c>
      <c r="M197" s="15" t="s">
        <v>1673</v>
      </c>
      <c r="N197" s="16" t="s">
        <v>1673</v>
      </c>
      <c r="O197" s="17" t="s">
        <v>1673</v>
      </c>
      <c r="P197" s="16" t="s">
        <v>1673</v>
      </c>
      <c r="Q197" s="17" t="s">
        <v>1673</v>
      </c>
    </row>
    <row r="198" spans="1:17" x14ac:dyDescent="0.25">
      <c r="A198" s="6" t="s">
        <v>5</v>
      </c>
      <c r="B198" s="12">
        <v>5</v>
      </c>
      <c r="C198" s="12">
        <v>32</v>
      </c>
      <c r="D198" s="7">
        <v>5</v>
      </c>
      <c r="E198" s="6" t="s">
        <v>355</v>
      </c>
      <c r="F198" s="13" t="s">
        <v>320</v>
      </c>
      <c r="G198" s="13">
        <v>1</v>
      </c>
      <c r="H198" s="7">
        <v>5</v>
      </c>
      <c r="I198" s="14" t="s">
        <v>318</v>
      </c>
      <c r="J198" s="7">
        <v>2.9430000000000001</v>
      </c>
      <c r="K198" s="7">
        <v>42.180999999999997</v>
      </c>
      <c r="L198" s="6">
        <v>0</v>
      </c>
      <c r="M198" s="15">
        <v>0.14832000000000001</v>
      </c>
      <c r="N198" s="16">
        <v>218.25288</v>
      </c>
      <c r="O198" s="17">
        <v>3128.1429599999997</v>
      </c>
      <c r="P198" s="16">
        <v>218.25288</v>
      </c>
      <c r="Q198" s="17">
        <v>3128.1429600000001</v>
      </c>
    </row>
    <row r="199" spans="1:17" x14ac:dyDescent="0.25">
      <c r="A199" s="6" t="s">
        <v>5</v>
      </c>
      <c r="B199" s="12">
        <v>5</v>
      </c>
      <c r="C199" s="12">
        <v>32</v>
      </c>
      <c r="D199" s="7">
        <v>5</v>
      </c>
      <c r="E199" s="6" t="s">
        <v>355</v>
      </c>
      <c r="F199" s="13" t="s">
        <v>320</v>
      </c>
      <c r="G199" s="13">
        <v>1</v>
      </c>
      <c r="H199" s="7">
        <v>5</v>
      </c>
      <c r="I199" s="14" t="s">
        <v>319</v>
      </c>
      <c r="J199" s="7" t="s">
        <v>1673</v>
      </c>
      <c r="K199" s="7" t="s">
        <v>1673</v>
      </c>
      <c r="L199" s="6" t="s">
        <v>1673</v>
      </c>
      <c r="M199" s="15" t="s">
        <v>1673</v>
      </c>
      <c r="N199" s="16" t="s">
        <v>1673</v>
      </c>
      <c r="O199" s="17" t="s">
        <v>1673</v>
      </c>
      <c r="P199" s="16" t="s">
        <v>1673</v>
      </c>
      <c r="Q199" s="17" t="s">
        <v>1673</v>
      </c>
    </row>
    <row r="200" spans="1:17" x14ac:dyDescent="0.25">
      <c r="A200" s="6" t="s">
        <v>5</v>
      </c>
      <c r="B200" s="12">
        <v>5</v>
      </c>
      <c r="C200" s="12">
        <v>32</v>
      </c>
      <c r="D200" s="7">
        <v>5</v>
      </c>
      <c r="E200" s="6" t="s">
        <v>355</v>
      </c>
      <c r="F200" s="13" t="s">
        <v>321</v>
      </c>
      <c r="G200" s="13">
        <v>2</v>
      </c>
      <c r="H200" s="7">
        <v>5</v>
      </c>
      <c r="I200" s="14" t="s">
        <v>318</v>
      </c>
      <c r="J200" s="7">
        <v>1.7589999999999999</v>
      </c>
      <c r="K200" s="7">
        <v>44.106999999999999</v>
      </c>
      <c r="L200" s="6">
        <v>0</v>
      </c>
      <c r="M200" s="15">
        <v>0.131968</v>
      </c>
      <c r="N200" s="16">
        <v>116.065856</v>
      </c>
      <c r="O200" s="17">
        <v>2910.3562880000004</v>
      </c>
      <c r="P200" s="16">
        <v>116.06585599999998</v>
      </c>
      <c r="Q200" s="17">
        <v>2910.3562879999999</v>
      </c>
    </row>
    <row r="201" spans="1:17" x14ac:dyDescent="0.25">
      <c r="A201" s="6" t="s">
        <v>5</v>
      </c>
      <c r="B201" s="12">
        <v>5</v>
      </c>
      <c r="C201" s="12">
        <v>32</v>
      </c>
      <c r="D201" s="7">
        <v>5</v>
      </c>
      <c r="E201" s="6" t="s">
        <v>355</v>
      </c>
      <c r="F201" s="13" t="s">
        <v>321</v>
      </c>
      <c r="G201" s="13">
        <v>2</v>
      </c>
      <c r="H201" s="7">
        <v>5</v>
      </c>
      <c r="I201" s="14" t="s">
        <v>319</v>
      </c>
      <c r="J201" s="7" t="s">
        <v>1673</v>
      </c>
      <c r="K201" s="7" t="s">
        <v>1673</v>
      </c>
      <c r="L201" s="6" t="s">
        <v>1673</v>
      </c>
      <c r="M201" s="15" t="s">
        <v>1673</v>
      </c>
      <c r="N201" s="16" t="s">
        <v>1673</v>
      </c>
      <c r="O201" s="17" t="s">
        <v>1673</v>
      </c>
      <c r="P201" s="16" t="s">
        <v>1673</v>
      </c>
      <c r="Q201" s="17" t="s">
        <v>1673</v>
      </c>
    </row>
    <row r="202" spans="1:17" x14ac:dyDescent="0.25">
      <c r="A202" s="6" t="s">
        <v>5</v>
      </c>
      <c r="B202" s="12">
        <v>5</v>
      </c>
      <c r="C202" s="12">
        <v>32</v>
      </c>
      <c r="D202" s="7">
        <v>5</v>
      </c>
      <c r="E202" s="6" t="s">
        <v>355</v>
      </c>
      <c r="F202" s="13" t="s">
        <v>322</v>
      </c>
      <c r="G202" s="13">
        <v>3</v>
      </c>
      <c r="H202" s="7">
        <v>5</v>
      </c>
      <c r="I202" s="14" t="s">
        <v>318</v>
      </c>
      <c r="J202" s="7">
        <v>1.792</v>
      </c>
      <c r="K202" s="7">
        <v>44.588999999999999</v>
      </c>
      <c r="L202" s="6">
        <v>0</v>
      </c>
      <c r="M202" s="15">
        <v>0.16791999999999999</v>
      </c>
      <c r="N202" s="16">
        <v>150.45632000000001</v>
      </c>
      <c r="O202" s="17">
        <v>3743.6924400000003</v>
      </c>
      <c r="P202" s="16">
        <v>150.45632000000001</v>
      </c>
      <c r="Q202" s="17">
        <v>3743.6924399999994</v>
      </c>
    </row>
    <row r="203" spans="1:17" x14ac:dyDescent="0.25">
      <c r="A203" s="6" t="s">
        <v>5</v>
      </c>
      <c r="B203" s="12">
        <v>5</v>
      </c>
      <c r="C203" s="12">
        <v>32</v>
      </c>
      <c r="D203" s="7">
        <v>5</v>
      </c>
      <c r="E203" s="6" t="s">
        <v>355</v>
      </c>
      <c r="F203" s="13" t="s">
        <v>322</v>
      </c>
      <c r="G203" s="13">
        <v>3</v>
      </c>
      <c r="H203" s="7">
        <v>5</v>
      </c>
      <c r="I203" s="14" t="s">
        <v>319</v>
      </c>
      <c r="J203" s="7" t="s">
        <v>1673</v>
      </c>
      <c r="K203" s="7" t="s">
        <v>1673</v>
      </c>
      <c r="L203" s="6" t="s">
        <v>1673</v>
      </c>
      <c r="M203" s="15" t="s">
        <v>1673</v>
      </c>
      <c r="N203" s="16" t="s">
        <v>1673</v>
      </c>
      <c r="O203" s="17" t="s">
        <v>1673</v>
      </c>
      <c r="P203" s="16" t="s">
        <v>1673</v>
      </c>
      <c r="Q203" s="17" t="s">
        <v>1673</v>
      </c>
    </row>
    <row r="204" spans="1:17" x14ac:dyDescent="0.25">
      <c r="A204" s="6" t="s">
        <v>5</v>
      </c>
      <c r="B204" s="12">
        <v>5</v>
      </c>
      <c r="C204" s="12">
        <v>32</v>
      </c>
      <c r="D204" s="7">
        <v>5</v>
      </c>
      <c r="E204" s="6" t="s">
        <v>355</v>
      </c>
      <c r="F204" s="13" t="s">
        <v>324</v>
      </c>
      <c r="G204" s="18">
        <v>4</v>
      </c>
      <c r="H204" s="7">
        <v>3</v>
      </c>
      <c r="I204" s="14" t="s">
        <v>318</v>
      </c>
      <c r="J204" s="7">
        <v>3.1150000000000002</v>
      </c>
      <c r="K204" s="7">
        <v>41.915999999999997</v>
      </c>
      <c r="L204" s="6">
        <v>0</v>
      </c>
      <c r="M204" s="15">
        <v>0.22269629629629631</v>
      </c>
      <c r="N204" s="16">
        <v>208.10968888888888</v>
      </c>
      <c r="O204" s="17">
        <v>2800.3613866666665</v>
      </c>
      <c r="P204" s="16">
        <v>346.84948148148146</v>
      </c>
      <c r="Q204" s="17">
        <v>4667.2689777777769</v>
      </c>
    </row>
    <row r="205" spans="1:17" x14ac:dyDescent="0.25">
      <c r="A205" s="6" t="s">
        <v>5</v>
      </c>
      <c r="B205" s="12">
        <v>5</v>
      </c>
      <c r="C205" s="12">
        <v>32</v>
      </c>
      <c r="D205" s="7">
        <v>5</v>
      </c>
      <c r="E205" s="6" t="s">
        <v>355</v>
      </c>
      <c r="F205" s="13" t="s">
        <v>324</v>
      </c>
      <c r="G205" s="18">
        <v>4</v>
      </c>
      <c r="H205" s="7">
        <v>3</v>
      </c>
      <c r="I205" s="14" t="s">
        <v>319</v>
      </c>
      <c r="J205" s="7" t="s">
        <v>1673</v>
      </c>
      <c r="K205" s="7" t="s">
        <v>1673</v>
      </c>
      <c r="L205" s="6" t="s">
        <v>1673</v>
      </c>
      <c r="M205" s="15" t="s">
        <v>1673</v>
      </c>
      <c r="N205" s="16" t="s">
        <v>1673</v>
      </c>
      <c r="O205" s="17" t="s">
        <v>1673</v>
      </c>
      <c r="P205" s="16" t="s">
        <v>1673</v>
      </c>
      <c r="Q205" s="17" t="s">
        <v>1673</v>
      </c>
    </row>
    <row r="206" spans="1:17" x14ac:dyDescent="0.25">
      <c r="A206" s="6" t="s">
        <v>5</v>
      </c>
      <c r="B206" s="12">
        <v>6</v>
      </c>
      <c r="C206" s="12">
        <v>37</v>
      </c>
      <c r="D206" s="7">
        <v>1</v>
      </c>
      <c r="E206" s="6" t="s">
        <v>316</v>
      </c>
      <c r="F206" s="13" t="s">
        <v>317</v>
      </c>
      <c r="G206" s="13">
        <v>0</v>
      </c>
      <c r="H206" s="7">
        <v>0</v>
      </c>
      <c r="I206" s="14" t="s">
        <v>318</v>
      </c>
      <c r="J206" s="7" t="s">
        <v>1673</v>
      </c>
      <c r="K206" s="7" t="s">
        <v>1673</v>
      </c>
      <c r="L206" s="6" t="s">
        <v>1673</v>
      </c>
      <c r="M206" s="15" t="s">
        <v>1673</v>
      </c>
      <c r="N206" s="16" t="s">
        <v>1673</v>
      </c>
      <c r="O206" s="17" t="s">
        <v>1673</v>
      </c>
      <c r="P206" s="16" t="s">
        <v>1673</v>
      </c>
      <c r="Q206" s="17" t="s">
        <v>1673</v>
      </c>
    </row>
    <row r="207" spans="1:17" x14ac:dyDescent="0.25">
      <c r="A207" s="6" t="s">
        <v>5</v>
      </c>
      <c r="B207" s="12">
        <v>6</v>
      </c>
      <c r="C207" s="12">
        <v>37</v>
      </c>
      <c r="D207" s="7">
        <v>1</v>
      </c>
      <c r="E207" s="6" t="s">
        <v>316</v>
      </c>
      <c r="F207" s="13" t="s">
        <v>317</v>
      </c>
      <c r="G207" s="13">
        <v>0</v>
      </c>
      <c r="H207" s="7">
        <v>0</v>
      </c>
      <c r="I207" s="14" t="s">
        <v>319</v>
      </c>
      <c r="J207" s="7" t="s">
        <v>1673</v>
      </c>
      <c r="K207" s="7" t="s">
        <v>1673</v>
      </c>
      <c r="L207" s="6" t="s">
        <v>1673</v>
      </c>
      <c r="M207" s="15" t="s">
        <v>1673</v>
      </c>
      <c r="N207" s="16" t="s">
        <v>1673</v>
      </c>
      <c r="O207" s="17" t="s">
        <v>1673</v>
      </c>
      <c r="P207" s="16" t="s">
        <v>1673</v>
      </c>
      <c r="Q207" s="17" t="s">
        <v>1673</v>
      </c>
    </row>
    <row r="208" spans="1:17" x14ac:dyDescent="0.25">
      <c r="A208" s="6" t="s">
        <v>5</v>
      </c>
      <c r="B208" s="12">
        <v>6</v>
      </c>
      <c r="C208" s="12">
        <v>37</v>
      </c>
      <c r="D208" s="7">
        <v>1</v>
      </c>
      <c r="E208" s="6" t="s">
        <v>355</v>
      </c>
      <c r="F208" s="13" t="s">
        <v>346</v>
      </c>
      <c r="G208" s="13">
        <v>1</v>
      </c>
      <c r="H208" s="7">
        <v>2</v>
      </c>
      <c r="I208" s="14" t="s">
        <v>318</v>
      </c>
      <c r="J208" s="7">
        <v>0.628</v>
      </c>
      <c r="K208" s="7">
        <v>14.569000000000001</v>
      </c>
      <c r="L208" s="6">
        <v>1</v>
      </c>
      <c r="M208" s="15">
        <v>0.21300000000000002</v>
      </c>
      <c r="N208" s="16">
        <v>26.752800000000001</v>
      </c>
      <c r="O208" s="17">
        <v>620.63940000000002</v>
      </c>
      <c r="P208" s="16">
        <v>66.882000000000005</v>
      </c>
      <c r="Q208" s="17">
        <v>1551.5985000000001</v>
      </c>
    </row>
    <row r="209" spans="1:17" x14ac:dyDescent="0.25">
      <c r="A209" s="6" t="s">
        <v>5</v>
      </c>
      <c r="B209" s="12">
        <v>6</v>
      </c>
      <c r="C209" s="12">
        <v>37</v>
      </c>
      <c r="D209" s="7">
        <v>1</v>
      </c>
      <c r="E209" s="6" t="s">
        <v>355</v>
      </c>
      <c r="F209" s="13" t="s">
        <v>346</v>
      </c>
      <c r="G209" s="13">
        <v>1</v>
      </c>
      <c r="H209" s="7">
        <v>2</v>
      </c>
      <c r="I209" s="14" t="s">
        <v>319</v>
      </c>
      <c r="J209" s="7">
        <v>0.66600000000000004</v>
      </c>
      <c r="K209" s="7">
        <v>49.386000000000003</v>
      </c>
      <c r="L209" s="6">
        <v>0</v>
      </c>
      <c r="M209" s="15">
        <v>7.7499999999999999E-3</v>
      </c>
      <c r="N209" s="16">
        <v>1.0323</v>
      </c>
      <c r="O209" s="17">
        <v>76.548299999999998</v>
      </c>
      <c r="P209" s="16">
        <v>2.5807500000000001</v>
      </c>
      <c r="Q209" s="17">
        <v>191.37074999999999</v>
      </c>
    </row>
    <row r="210" spans="1:17" x14ac:dyDescent="0.25">
      <c r="A210" s="6" t="s">
        <v>5</v>
      </c>
      <c r="B210" s="12">
        <v>6</v>
      </c>
      <c r="C210" s="12">
        <v>37</v>
      </c>
      <c r="D210" s="7">
        <v>2</v>
      </c>
      <c r="E210" s="6" t="s">
        <v>316</v>
      </c>
      <c r="F210" s="13" t="s">
        <v>317</v>
      </c>
      <c r="G210" s="13">
        <v>0</v>
      </c>
      <c r="H210" s="7">
        <v>0</v>
      </c>
      <c r="I210" s="14" t="s">
        <v>318</v>
      </c>
      <c r="J210" s="7" t="s">
        <v>1673</v>
      </c>
      <c r="K210" s="7" t="s">
        <v>1673</v>
      </c>
      <c r="L210" s="6" t="s">
        <v>1673</v>
      </c>
      <c r="M210" s="15" t="s">
        <v>1673</v>
      </c>
      <c r="N210" s="16" t="s">
        <v>1673</v>
      </c>
      <c r="O210" s="17" t="s">
        <v>1673</v>
      </c>
      <c r="P210" s="16" t="s">
        <v>1673</v>
      </c>
      <c r="Q210" s="17" t="s">
        <v>1673</v>
      </c>
    </row>
    <row r="211" spans="1:17" x14ac:dyDescent="0.25">
      <c r="A211" s="6" t="s">
        <v>5</v>
      </c>
      <c r="B211" s="12">
        <v>6</v>
      </c>
      <c r="C211" s="12">
        <v>37</v>
      </c>
      <c r="D211" s="7">
        <v>2</v>
      </c>
      <c r="E211" s="6" t="s">
        <v>316</v>
      </c>
      <c r="F211" s="13" t="s">
        <v>317</v>
      </c>
      <c r="G211" s="13">
        <v>0</v>
      </c>
      <c r="H211" s="7">
        <v>0</v>
      </c>
      <c r="I211" s="14" t="s">
        <v>319</v>
      </c>
      <c r="J211" s="7" t="s">
        <v>1673</v>
      </c>
      <c r="K211" s="7" t="s">
        <v>1673</v>
      </c>
      <c r="L211" s="6" t="s">
        <v>1673</v>
      </c>
      <c r="M211" s="15" t="s">
        <v>1673</v>
      </c>
      <c r="N211" s="16" t="s">
        <v>1673</v>
      </c>
      <c r="O211" s="17" t="s">
        <v>1673</v>
      </c>
      <c r="P211" s="16" t="s">
        <v>1673</v>
      </c>
      <c r="Q211" s="17" t="s">
        <v>1673</v>
      </c>
    </row>
    <row r="212" spans="1:17" x14ac:dyDescent="0.25">
      <c r="A212" s="6" t="s">
        <v>5</v>
      </c>
      <c r="B212" s="12">
        <v>6</v>
      </c>
      <c r="C212" s="12">
        <v>37</v>
      </c>
      <c r="D212" s="7">
        <v>2</v>
      </c>
      <c r="E212" s="6" t="s">
        <v>355</v>
      </c>
      <c r="F212" s="13" t="s">
        <v>320</v>
      </c>
      <c r="G212" s="13">
        <v>1</v>
      </c>
      <c r="H212" s="7">
        <v>6</v>
      </c>
      <c r="I212" s="14" t="s">
        <v>318</v>
      </c>
      <c r="J212" s="7">
        <v>1.526</v>
      </c>
      <c r="K212" s="7">
        <v>45.07</v>
      </c>
      <c r="L212" s="6">
        <v>0</v>
      </c>
      <c r="M212" s="15">
        <v>7.8057692307692314E-2</v>
      </c>
      <c r="N212" s="16">
        <v>71.469623076923085</v>
      </c>
      <c r="O212" s="17">
        <v>2110.8361153846154</v>
      </c>
      <c r="P212" s="16">
        <v>59.55801923076924</v>
      </c>
      <c r="Q212" s="17">
        <v>1759.030096153846</v>
      </c>
    </row>
    <row r="213" spans="1:17" x14ac:dyDescent="0.25">
      <c r="A213" s="6" t="s">
        <v>5</v>
      </c>
      <c r="B213" s="12">
        <v>6</v>
      </c>
      <c r="C213" s="12">
        <v>37</v>
      </c>
      <c r="D213" s="7">
        <v>2</v>
      </c>
      <c r="E213" s="6" t="s">
        <v>355</v>
      </c>
      <c r="F213" s="13" t="s">
        <v>320</v>
      </c>
      <c r="G213" s="13">
        <v>1</v>
      </c>
      <c r="H213" s="7">
        <v>6</v>
      </c>
      <c r="I213" s="14" t="s">
        <v>319</v>
      </c>
      <c r="J213" s="7" t="s">
        <v>1673</v>
      </c>
      <c r="K213" s="7" t="s">
        <v>1673</v>
      </c>
      <c r="L213" s="6" t="s">
        <v>1673</v>
      </c>
      <c r="M213" s="15" t="s">
        <v>1673</v>
      </c>
      <c r="N213" s="16" t="s">
        <v>1673</v>
      </c>
      <c r="O213" s="17" t="s">
        <v>1673</v>
      </c>
      <c r="P213" s="16" t="s">
        <v>1673</v>
      </c>
      <c r="Q213" s="17" t="s">
        <v>1673</v>
      </c>
    </row>
    <row r="214" spans="1:17" x14ac:dyDescent="0.25">
      <c r="A214" s="6" t="s">
        <v>5</v>
      </c>
      <c r="B214" s="12">
        <v>6</v>
      </c>
      <c r="C214" s="12">
        <v>37</v>
      </c>
      <c r="D214" s="7">
        <v>3</v>
      </c>
      <c r="E214" s="6" t="s">
        <v>316</v>
      </c>
      <c r="F214" s="13" t="s">
        <v>317</v>
      </c>
      <c r="G214" s="13">
        <v>0</v>
      </c>
      <c r="H214" s="7">
        <v>0</v>
      </c>
      <c r="I214" s="14" t="s">
        <v>318</v>
      </c>
      <c r="J214" s="7" t="s">
        <v>1673</v>
      </c>
      <c r="K214" s="7" t="s">
        <v>1673</v>
      </c>
      <c r="L214" s="6" t="s">
        <v>1673</v>
      </c>
      <c r="M214" s="15" t="s">
        <v>1673</v>
      </c>
      <c r="N214" s="16" t="s">
        <v>1673</v>
      </c>
      <c r="O214" s="17" t="s">
        <v>1673</v>
      </c>
      <c r="P214" s="16" t="s">
        <v>1673</v>
      </c>
      <c r="Q214" s="17" t="s">
        <v>1673</v>
      </c>
    </row>
    <row r="215" spans="1:17" x14ac:dyDescent="0.25">
      <c r="A215" s="6" t="s">
        <v>5</v>
      </c>
      <c r="B215" s="12">
        <v>6</v>
      </c>
      <c r="C215" s="12">
        <v>37</v>
      </c>
      <c r="D215" s="7">
        <v>3</v>
      </c>
      <c r="E215" s="6" t="s">
        <v>316</v>
      </c>
      <c r="F215" s="13" t="s">
        <v>317</v>
      </c>
      <c r="G215" s="13">
        <v>0</v>
      </c>
      <c r="H215" s="7">
        <v>0</v>
      </c>
      <c r="I215" s="14" t="s">
        <v>319</v>
      </c>
      <c r="J215" s="7" t="s">
        <v>1673</v>
      </c>
      <c r="K215" s="7" t="s">
        <v>1673</v>
      </c>
      <c r="L215" s="6" t="s">
        <v>1673</v>
      </c>
      <c r="M215" s="15" t="s">
        <v>1673</v>
      </c>
      <c r="N215" s="16" t="s">
        <v>1673</v>
      </c>
      <c r="O215" s="17" t="s">
        <v>1673</v>
      </c>
      <c r="P215" s="16" t="s">
        <v>1673</v>
      </c>
      <c r="Q215" s="17" t="s">
        <v>1673</v>
      </c>
    </row>
    <row r="216" spans="1:17" x14ac:dyDescent="0.25">
      <c r="A216" s="6" t="s">
        <v>5</v>
      </c>
      <c r="B216" s="12">
        <v>6</v>
      </c>
      <c r="C216" s="12">
        <v>37</v>
      </c>
      <c r="D216" s="7">
        <v>3</v>
      </c>
      <c r="E216" s="6" t="s">
        <v>355</v>
      </c>
      <c r="F216" s="13" t="s">
        <v>320</v>
      </c>
      <c r="G216" s="13">
        <v>1</v>
      </c>
      <c r="H216" s="7">
        <v>5</v>
      </c>
      <c r="I216" s="14" t="s">
        <v>318</v>
      </c>
      <c r="J216" s="7">
        <v>0.71099999999999997</v>
      </c>
      <c r="K216" s="7">
        <v>44.628</v>
      </c>
      <c r="L216" s="6">
        <v>0</v>
      </c>
      <c r="M216" s="15">
        <v>5.1185454545454548E-2</v>
      </c>
      <c r="N216" s="16">
        <v>18.196429090909092</v>
      </c>
      <c r="O216" s="17">
        <v>1142.1522327272728</v>
      </c>
      <c r="P216" s="16">
        <v>18.196429090909092</v>
      </c>
      <c r="Q216" s="17">
        <v>1142.1522327272728</v>
      </c>
    </row>
    <row r="217" spans="1:17" x14ac:dyDescent="0.25">
      <c r="A217" s="6" t="s">
        <v>5</v>
      </c>
      <c r="B217" s="12">
        <v>6</v>
      </c>
      <c r="C217" s="12">
        <v>37</v>
      </c>
      <c r="D217" s="7">
        <v>3</v>
      </c>
      <c r="E217" s="6" t="s">
        <v>355</v>
      </c>
      <c r="F217" s="13" t="s">
        <v>320</v>
      </c>
      <c r="G217" s="13">
        <v>1</v>
      </c>
      <c r="H217" s="7">
        <v>5</v>
      </c>
      <c r="I217" s="14" t="s">
        <v>319</v>
      </c>
      <c r="J217" s="7">
        <v>0.66800000000000004</v>
      </c>
      <c r="K217" s="7">
        <v>52.392000000000003</v>
      </c>
      <c r="L217" s="6">
        <v>0</v>
      </c>
      <c r="M217" s="15">
        <v>1.8666666666666666E-3</v>
      </c>
      <c r="N217" s="16">
        <v>0.62346666666666672</v>
      </c>
      <c r="O217" s="17">
        <v>48.899200000000008</v>
      </c>
      <c r="P217" s="16">
        <v>0.62346666666666661</v>
      </c>
      <c r="Q217" s="17">
        <v>48.8992</v>
      </c>
    </row>
    <row r="218" spans="1:17" x14ac:dyDescent="0.25">
      <c r="A218" s="6" t="s">
        <v>5</v>
      </c>
      <c r="B218" s="12">
        <v>6</v>
      </c>
      <c r="C218" s="12">
        <v>37</v>
      </c>
      <c r="D218" s="7">
        <v>3</v>
      </c>
      <c r="E218" s="6" t="s">
        <v>355</v>
      </c>
      <c r="F218" s="13" t="s">
        <v>321</v>
      </c>
      <c r="G218" s="13">
        <v>2</v>
      </c>
      <c r="H218" s="7">
        <v>5</v>
      </c>
      <c r="I218" s="14" t="s">
        <v>318</v>
      </c>
      <c r="J218" s="7">
        <v>0.95499999999999996</v>
      </c>
      <c r="K218" s="7">
        <v>45.081000000000003</v>
      </c>
      <c r="L218" s="6">
        <v>0</v>
      </c>
      <c r="M218" s="15">
        <v>4.1616E-2</v>
      </c>
      <c r="N218" s="16">
        <v>19.871639999999999</v>
      </c>
      <c r="O218" s="17">
        <v>938.04544800000019</v>
      </c>
      <c r="P218" s="16">
        <v>19.871639999999996</v>
      </c>
      <c r="Q218" s="17">
        <v>938.04544800000019</v>
      </c>
    </row>
    <row r="219" spans="1:17" x14ac:dyDescent="0.25">
      <c r="A219" s="6" t="s">
        <v>5</v>
      </c>
      <c r="B219" s="12">
        <v>6</v>
      </c>
      <c r="C219" s="12">
        <v>37</v>
      </c>
      <c r="D219" s="7">
        <v>3</v>
      </c>
      <c r="E219" s="6" t="s">
        <v>355</v>
      </c>
      <c r="F219" s="13" t="s">
        <v>321</v>
      </c>
      <c r="G219" s="13">
        <v>2</v>
      </c>
      <c r="H219" s="7">
        <v>5</v>
      </c>
      <c r="I219" s="14" t="s">
        <v>319</v>
      </c>
      <c r="J219" s="7">
        <v>0.754</v>
      </c>
      <c r="K219" s="7">
        <v>51.323</v>
      </c>
      <c r="L219" s="6">
        <v>0</v>
      </c>
      <c r="M219" s="15">
        <v>4.0213333333333334E-3</v>
      </c>
      <c r="N219" s="16">
        <v>1.5160426666666666</v>
      </c>
      <c r="O219" s="17">
        <v>103.19344533333333</v>
      </c>
      <c r="P219" s="16">
        <v>1.5160426666666666</v>
      </c>
      <c r="Q219" s="17">
        <v>103.19344533333333</v>
      </c>
    </row>
    <row r="220" spans="1:17" x14ac:dyDescent="0.25">
      <c r="A220" s="6" t="s">
        <v>5</v>
      </c>
      <c r="B220" s="12">
        <v>6</v>
      </c>
      <c r="C220" s="12">
        <v>37</v>
      </c>
      <c r="D220" s="7">
        <v>3</v>
      </c>
      <c r="E220" s="6" t="s">
        <v>355</v>
      </c>
      <c r="F220" s="13" t="s">
        <v>322</v>
      </c>
      <c r="G220" s="13">
        <v>3</v>
      </c>
      <c r="H220" s="7">
        <v>5</v>
      </c>
      <c r="I220" s="14" t="s">
        <v>318</v>
      </c>
      <c r="J220" s="7">
        <v>1.1579999999999999</v>
      </c>
      <c r="K220" s="7">
        <v>44.508000000000003</v>
      </c>
      <c r="L220" s="6">
        <v>0</v>
      </c>
      <c r="M220" s="15">
        <v>5.6740740740740737E-2</v>
      </c>
      <c r="N220" s="16">
        <v>32.852888888888891</v>
      </c>
      <c r="O220" s="17">
        <v>1262.7084444444445</v>
      </c>
      <c r="P220" s="16">
        <v>32.852888888888884</v>
      </c>
      <c r="Q220" s="17">
        <v>1262.7084444444445</v>
      </c>
    </row>
    <row r="221" spans="1:17" x14ac:dyDescent="0.25">
      <c r="A221" s="6" t="s">
        <v>5</v>
      </c>
      <c r="B221" s="12">
        <v>6</v>
      </c>
      <c r="C221" s="12">
        <v>37</v>
      </c>
      <c r="D221" s="7">
        <v>3</v>
      </c>
      <c r="E221" s="6" t="s">
        <v>355</v>
      </c>
      <c r="F221" s="13" t="s">
        <v>322</v>
      </c>
      <c r="G221" s="13">
        <v>3</v>
      </c>
      <c r="H221" s="7">
        <v>5</v>
      </c>
      <c r="I221" s="14" t="s">
        <v>319</v>
      </c>
      <c r="J221" s="7">
        <v>0.80700000000000005</v>
      </c>
      <c r="K221" s="7">
        <v>50.482999999999997</v>
      </c>
      <c r="L221" s="6">
        <v>0</v>
      </c>
      <c r="M221" s="15">
        <v>1.428148148148148E-3</v>
      </c>
      <c r="N221" s="16">
        <v>0.57625777777777776</v>
      </c>
      <c r="O221" s="17">
        <v>36.048601481481484</v>
      </c>
      <c r="P221" s="16">
        <v>0.57625777777777776</v>
      </c>
      <c r="Q221" s="17">
        <v>36.048601481481477</v>
      </c>
    </row>
    <row r="222" spans="1:17" x14ac:dyDescent="0.25">
      <c r="A222" s="6" t="s">
        <v>5</v>
      </c>
      <c r="B222" s="12">
        <v>6</v>
      </c>
      <c r="C222" s="12">
        <v>37</v>
      </c>
      <c r="D222" s="7">
        <v>5</v>
      </c>
      <c r="E222" s="6" t="s">
        <v>316</v>
      </c>
      <c r="F222" s="13" t="s">
        <v>317</v>
      </c>
      <c r="G222" s="13">
        <v>0</v>
      </c>
      <c r="H222" s="7">
        <v>0</v>
      </c>
      <c r="I222" s="14" t="s">
        <v>318</v>
      </c>
      <c r="J222" s="7" t="s">
        <v>1673</v>
      </c>
      <c r="K222" s="7" t="s">
        <v>1673</v>
      </c>
      <c r="L222" s="6" t="s">
        <v>1673</v>
      </c>
      <c r="M222" s="15" t="s">
        <v>1673</v>
      </c>
      <c r="N222" s="16" t="s">
        <v>1673</v>
      </c>
      <c r="O222" s="17" t="s">
        <v>1673</v>
      </c>
      <c r="P222" s="16" t="s">
        <v>1673</v>
      </c>
      <c r="Q222" s="17" t="s">
        <v>1673</v>
      </c>
    </row>
    <row r="223" spans="1:17" x14ac:dyDescent="0.25">
      <c r="A223" s="6" t="s">
        <v>5</v>
      </c>
      <c r="B223" s="12">
        <v>6</v>
      </c>
      <c r="C223" s="12">
        <v>37</v>
      </c>
      <c r="D223" s="7">
        <v>5</v>
      </c>
      <c r="E223" s="6" t="s">
        <v>316</v>
      </c>
      <c r="F223" s="13" t="s">
        <v>317</v>
      </c>
      <c r="G223" s="13">
        <v>0</v>
      </c>
      <c r="H223" s="7">
        <v>0</v>
      </c>
      <c r="I223" s="14" t="s">
        <v>319</v>
      </c>
      <c r="J223" s="7" t="s">
        <v>1673</v>
      </c>
      <c r="K223" s="7" t="s">
        <v>1673</v>
      </c>
      <c r="L223" s="6" t="s">
        <v>1673</v>
      </c>
      <c r="M223" s="15" t="s">
        <v>1673</v>
      </c>
      <c r="N223" s="16" t="s">
        <v>1673</v>
      </c>
      <c r="O223" s="17" t="s">
        <v>1673</v>
      </c>
      <c r="P223" s="16" t="s">
        <v>1673</v>
      </c>
      <c r="Q223" s="17" t="s">
        <v>1673</v>
      </c>
    </row>
    <row r="224" spans="1:17" x14ac:dyDescent="0.25">
      <c r="A224" s="6" t="s">
        <v>5</v>
      </c>
      <c r="B224" s="12">
        <v>6</v>
      </c>
      <c r="C224" s="12">
        <v>37</v>
      </c>
      <c r="D224" s="7">
        <v>5</v>
      </c>
      <c r="E224" s="6" t="s">
        <v>355</v>
      </c>
      <c r="F224" s="13" t="s">
        <v>320</v>
      </c>
      <c r="G224" s="13">
        <v>1</v>
      </c>
      <c r="H224" s="7">
        <v>4</v>
      </c>
      <c r="I224" s="14" t="s">
        <v>318</v>
      </c>
      <c r="J224" s="7">
        <v>1.4630000000000001</v>
      </c>
      <c r="K224" s="7">
        <v>43.726999999999997</v>
      </c>
      <c r="L224" s="6">
        <v>0</v>
      </c>
      <c r="M224" s="15">
        <v>8.9320512820512815E-2</v>
      </c>
      <c r="N224" s="16">
        <v>52.270364102564102</v>
      </c>
      <c r="O224" s="17">
        <v>1562.2872256410255</v>
      </c>
      <c r="P224" s="16">
        <v>65.337955128205124</v>
      </c>
      <c r="Q224" s="17">
        <v>1952.8590320512819</v>
      </c>
    </row>
    <row r="225" spans="1:17" x14ac:dyDescent="0.25">
      <c r="A225" s="6" t="s">
        <v>5</v>
      </c>
      <c r="B225" s="12">
        <v>6</v>
      </c>
      <c r="C225" s="12">
        <v>37</v>
      </c>
      <c r="D225" s="7">
        <v>5</v>
      </c>
      <c r="E225" s="6" t="s">
        <v>355</v>
      </c>
      <c r="F225" s="13" t="s">
        <v>320</v>
      </c>
      <c r="G225" s="13">
        <v>1</v>
      </c>
      <c r="H225" s="7">
        <v>4</v>
      </c>
      <c r="I225" s="14" t="s">
        <v>319</v>
      </c>
      <c r="J225" s="7" t="s">
        <v>1673</v>
      </c>
      <c r="K225" s="7" t="s">
        <v>1673</v>
      </c>
      <c r="L225" s="6" t="s">
        <v>1673</v>
      </c>
      <c r="M225" s="15" t="s">
        <v>1673</v>
      </c>
      <c r="N225" s="16" t="s">
        <v>1673</v>
      </c>
      <c r="O225" s="17" t="s">
        <v>1673</v>
      </c>
      <c r="P225" s="16" t="s">
        <v>1673</v>
      </c>
      <c r="Q225" s="17" t="s">
        <v>1673</v>
      </c>
    </row>
    <row r="226" spans="1:17" x14ac:dyDescent="0.25">
      <c r="A226" s="6" t="s">
        <v>5</v>
      </c>
      <c r="B226" s="12">
        <v>7</v>
      </c>
      <c r="C226" s="12">
        <v>41</v>
      </c>
      <c r="D226" s="7">
        <v>1</v>
      </c>
      <c r="E226" s="6" t="s">
        <v>316</v>
      </c>
      <c r="F226" s="13" t="s">
        <v>317</v>
      </c>
      <c r="G226" s="13">
        <v>0</v>
      </c>
      <c r="H226" s="7">
        <v>0</v>
      </c>
      <c r="I226" s="14" t="s">
        <v>318</v>
      </c>
      <c r="J226" s="7" t="s">
        <v>1673</v>
      </c>
      <c r="K226" s="7" t="s">
        <v>1673</v>
      </c>
      <c r="L226" s="6" t="s">
        <v>1673</v>
      </c>
      <c r="M226" s="15" t="s">
        <v>1673</v>
      </c>
      <c r="N226" s="16" t="s">
        <v>1673</v>
      </c>
      <c r="O226" s="17" t="s">
        <v>1673</v>
      </c>
      <c r="P226" s="16" t="s">
        <v>1673</v>
      </c>
      <c r="Q226" s="17" t="s">
        <v>1673</v>
      </c>
    </row>
    <row r="227" spans="1:17" x14ac:dyDescent="0.25">
      <c r="A227" s="6" t="s">
        <v>5</v>
      </c>
      <c r="B227" s="12">
        <v>7</v>
      </c>
      <c r="C227" s="12">
        <v>41</v>
      </c>
      <c r="D227" s="7">
        <v>1</v>
      </c>
      <c r="E227" s="6" t="s">
        <v>316</v>
      </c>
      <c r="F227" s="13" t="s">
        <v>317</v>
      </c>
      <c r="G227" s="13">
        <v>0</v>
      </c>
      <c r="H227" s="7">
        <v>0</v>
      </c>
      <c r="I227" s="14" t="s">
        <v>319</v>
      </c>
      <c r="J227" s="7" t="s">
        <v>1673</v>
      </c>
      <c r="K227" s="7" t="s">
        <v>1673</v>
      </c>
      <c r="L227" s="6" t="s">
        <v>1673</v>
      </c>
      <c r="M227" s="15" t="s">
        <v>1673</v>
      </c>
      <c r="N227" s="16" t="s">
        <v>1673</v>
      </c>
      <c r="O227" s="17" t="s">
        <v>1673</v>
      </c>
      <c r="P227" s="16" t="s">
        <v>1673</v>
      </c>
      <c r="Q227" s="17" t="s">
        <v>1673</v>
      </c>
    </row>
    <row r="228" spans="1:17" x14ac:dyDescent="0.25">
      <c r="A228" s="6" t="s">
        <v>5</v>
      </c>
      <c r="B228" s="12">
        <v>7</v>
      </c>
      <c r="C228" s="12">
        <v>41</v>
      </c>
      <c r="D228" s="7">
        <v>1</v>
      </c>
      <c r="E228" s="6" t="s">
        <v>355</v>
      </c>
      <c r="F228" s="13" t="s">
        <v>320</v>
      </c>
      <c r="G228" s="13">
        <v>1</v>
      </c>
      <c r="H228" s="7">
        <v>1.5</v>
      </c>
      <c r="I228" s="14" t="s">
        <v>318</v>
      </c>
      <c r="J228" s="7">
        <v>0.64200000000000002</v>
      </c>
      <c r="K228" s="7">
        <v>14.382999999999999</v>
      </c>
      <c r="L228" s="6">
        <v>1</v>
      </c>
      <c r="M228" s="15">
        <v>0.35715750915750916</v>
      </c>
      <c r="N228" s="16">
        <v>34.394268131868138</v>
      </c>
      <c r="O228" s="17">
        <v>770.54946813186803</v>
      </c>
      <c r="P228" s="16">
        <v>114.64756043956045</v>
      </c>
      <c r="Q228" s="17">
        <v>2568.4982271062268</v>
      </c>
    </row>
    <row r="229" spans="1:17" x14ac:dyDescent="0.25">
      <c r="A229" s="6" t="s">
        <v>5</v>
      </c>
      <c r="B229" s="12">
        <v>7</v>
      </c>
      <c r="C229" s="12">
        <v>41</v>
      </c>
      <c r="D229" s="7">
        <v>1</v>
      </c>
      <c r="E229" s="6" t="s">
        <v>355</v>
      </c>
      <c r="F229" s="13" t="s">
        <v>320</v>
      </c>
      <c r="G229" s="13">
        <v>1</v>
      </c>
      <c r="H229" s="7">
        <v>1.5</v>
      </c>
      <c r="I229" s="14" t="s">
        <v>319</v>
      </c>
      <c r="J229" s="7">
        <v>0.88300000000000001</v>
      </c>
      <c r="K229" s="7">
        <v>51.029000000000003</v>
      </c>
      <c r="L229" s="6">
        <v>0</v>
      </c>
      <c r="M229" s="15">
        <v>1.805128205128205E-2</v>
      </c>
      <c r="N229" s="16">
        <v>2.3908923076923072</v>
      </c>
      <c r="O229" s="17">
        <v>138.17083076923075</v>
      </c>
      <c r="P229" s="16">
        <v>7.9696410256410246</v>
      </c>
      <c r="Q229" s="17">
        <v>460.56943589743582</v>
      </c>
    </row>
    <row r="230" spans="1:17" x14ac:dyDescent="0.25">
      <c r="A230" s="6" t="s">
        <v>5</v>
      </c>
      <c r="B230" s="12">
        <v>7</v>
      </c>
      <c r="C230" s="12">
        <v>41</v>
      </c>
      <c r="D230" s="7">
        <v>1</v>
      </c>
      <c r="E230" s="6" t="s">
        <v>355</v>
      </c>
      <c r="F230" s="13" t="s">
        <v>321</v>
      </c>
      <c r="G230" s="13">
        <v>2</v>
      </c>
      <c r="H230" s="7">
        <v>0</v>
      </c>
      <c r="I230" s="14" t="s">
        <v>318</v>
      </c>
      <c r="J230" s="7" t="s">
        <v>1673</v>
      </c>
      <c r="K230" s="7" t="s">
        <v>1673</v>
      </c>
      <c r="L230" s="6" t="s">
        <v>1673</v>
      </c>
      <c r="M230" s="15" t="s">
        <v>1673</v>
      </c>
      <c r="N230" s="16" t="s">
        <v>1673</v>
      </c>
      <c r="O230" s="17" t="s">
        <v>1673</v>
      </c>
      <c r="P230" s="16" t="s">
        <v>1673</v>
      </c>
      <c r="Q230" s="17" t="s">
        <v>1673</v>
      </c>
    </row>
    <row r="231" spans="1:17" x14ac:dyDescent="0.25">
      <c r="A231" s="6" t="s">
        <v>5</v>
      </c>
      <c r="B231" s="12">
        <v>7</v>
      </c>
      <c r="C231" s="12">
        <v>41</v>
      </c>
      <c r="D231" s="7">
        <v>1</v>
      </c>
      <c r="E231" s="6" t="s">
        <v>355</v>
      </c>
      <c r="F231" s="13" t="s">
        <v>321</v>
      </c>
      <c r="G231" s="13">
        <v>2</v>
      </c>
      <c r="H231" s="7">
        <v>0</v>
      </c>
      <c r="I231" s="14" t="s">
        <v>319</v>
      </c>
      <c r="J231" s="7" t="s">
        <v>1673</v>
      </c>
      <c r="K231" s="7" t="s">
        <v>1673</v>
      </c>
      <c r="L231" s="6" t="s">
        <v>1673</v>
      </c>
      <c r="M231" s="15" t="s">
        <v>1673</v>
      </c>
      <c r="N231" s="16" t="s">
        <v>1673</v>
      </c>
      <c r="O231" s="17" t="s">
        <v>1673</v>
      </c>
      <c r="P231" s="16" t="s">
        <v>1673</v>
      </c>
      <c r="Q231" s="17" t="s">
        <v>1673</v>
      </c>
    </row>
    <row r="232" spans="1:17" x14ac:dyDescent="0.25">
      <c r="A232" s="6" t="s">
        <v>5</v>
      </c>
      <c r="B232" s="12">
        <v>7</v>
      </c>
      <c r="C232" s="12">
        <v>41</v>
      </c>
      <c r="D232" s="7">
        <v>2</v>
      </c>
      <c r="E232" s="6" t="s">
        <v>316</v>
      </c>
      <c r="F232" s="13" t="s">
        <v>317</v>
      </c>
      <c r="G232" s="13">
        <v>0</v>
      </c>
      <c r="H232" s="7">
        <v>0</v>
      </c>
      <c r="I232" s="14" t="s">
        <v>318</v>
      </c>
      <c r="J232" s="7">
        <v>1.4019999999999999</v>
      </c>
      <c r="K232" s="7">
        <v>44.72</v>
      </c>
      <c r="L232" s="6">
        <v>0</v>
      </c>
      <c r="M232" s="15" t="s">
        <v>1673</v>
      </c>
      <c r="N232" s="16" t="s">
        <v>1673</v>
      </c>
      <c r="O232" s="17" t="s">
        <v>1673</v>
      </c>
      <c r="P232" s="16" t="s">
        <v>1673</v>
      </c>
      <c r="Q232" s="17" t="s">
        <v>1673</v>
      </c>
    </row>
    <row r="233" spans="1:17" x14ac:dyDescent="0.25">
      <c r="A233" s="6" t="s">
        <v>5</v>
      </c>
      <c r="B233" s="12">
        <v>7</v>
      </c>
      <c r="C233" s="12">
        <v>41</v>
      </c>
      <c r="D233" s="7">
        <v>2</v>
      </c>
      <c r="E233" s="6" t="s">
        <v>316</v>
      </c>
      <c r="F233" s="13" t="s">
        <v>317</v>
      </c>
      <c r="G233" s="13">
        <v>0</v>
      </c>
      <c r="H233" s="7">
        <v>0</v>
      </c>
      <c r="I233" s="14" t="s">
        <v>319</v>
      </c>
      <c r="J233" s="7" t="s">
        <v>1673</v>
      </c>
      <c r="K233" s="7" t="s">
        <v>1673</v>
      </c>
      <c r="L233" s="6" t="s">
        <v>1673</v>
      </c>
      <c r="M233" s="15" t="s">
        <v>1673</v>
      </c>
      <c r="N233" s="16" t="s">
        <v>1673</v>
      </c>
      <c r="O233" s="17" t="s">
        <v>1673</v>
      </c>
      <c r="P233" s="16" t="s">
        <v>1673</v>
      </c>
      <c r="Q233" s="17" t="s">
        <v>1673</v>
      </c>
    </row>
    <row r="234" spans="1:17" x14ac:dyDescent="0.25">
      <c r="A234" s="6" t="s">
        <v>5</v>
      </c>
      <c r="B234" s="12">
        <v>7</v>
      </c>
      <c r="C234" s="12">
        <v>41</v>
      </c>
      <c r="D234" s="7">
        <v>2</v>
      </c>
      <c r="E234" s="6" t="s">
        <v>355</v>
      </c>
      <c r="F234" s="13" t="s">
        <v>320</v>
      </c>
      <c r="G234" s="13">
        <v>1</v>
      </c>
      <c r="H234" s="7">
        <v>5</v>
      </c>
      <c r="I234" s="14" t="s">
        <v>318</v>
      </c>
      <c r="J234" s="7">
        <v>0.74</v>
      </c>
      <c r="K234" s="7">
        <v>43.633000000000003</v>
      </c>
      <c r="L234" s="6">
        <v>0</v>
      </c>
      <c r="M234" s="15">
        <v>4.4969696969696972E-2</v>
      </c>
      <c r="N234" s="16">
        <v>16.638787878787884</v>
      </c>
      <c r="O234" s="17">
        <v>981.08139393939427</v>
      </c>
      <c r="P234" s="16">
        <v>16.63878787878788</v>
      </c>
      <c r="Q234" s="17">
        <v>981.08139393939416</v>
      </c>
    </row>
    <row r="235" spans="1:17" x14ac:dyDescent="0.25">
      <c r="A235" s="6" t="s">
        <v>5</v>
      </c>
      <c r="B235" s="12">
        <v>7</v>
      </c>
      <c r="C235" s="12">
        <v>41</v>
      </c>
      <c r="D235" s="7">
        <v>2</v>
      </c>
      <c r="E235" s="6" t="s">
        <v>355</v>
      </c>
      <c r="F235" s="13" t="s">
        <v>320</v>
      </c>
      <c r="G235" s="13">
        <v>1</v>
      </c>
      <c r="H235" s="7">
        <v>5</v>
      </c>
      <c r="I235" s="14" t="s">
        <v>319</v>
      </c>
      <c r="J235" s="7" t="s">
        <v>1673</v>
      </c>
      <c r="K235" s="7" t="s">
        <v>1673</v>
      </c>
      <c r="L235" s="6" t="s">
        <v>1673</v>
      </c>
      <c r="M235" s="15" t="s">
        <v>1673</v>
      </c>
      <c r="N235" s="16" t="s">
        <v>1673</v>
      </c>
      <c r="O235" s="17" t="s">
        <v>1673</v>
      </c>
      <c r="P235" s="16" t="s">
        <v>1673</v>
      </c>
      <c r="Q235" s="17" t="s">
        <v>1673</v>
      </c>
    </row>
    <row r="236" spans="1:17" x14ac:dyDescent="0.25">
      <c r="A236" s="6" t="s">
        <v>5</v>
      </c>
      <c r="B236" s="12">
        <v>7</v>
      </c>
      <c r="C236" s="12">
        <v>41</v>
      </c>
      <c r="D236" s="7">
        <v>2</v>
      </c>
      <c r="E236" s="6" t="s">
        <v>355</v>
      </c>
      <c r="F236" s="13" t="s">
        <v>321</v>
      </c>
      <c r="G236" s="13">
        <v>2</v>
      </c>
      <c r="H236" s="7">
        <v>5</v>
      </c>
      <c r="I236" s="14" t="s">
        <v>318</v>
      </c>
      <c r="J236" s="7">
        <v>0.42399999999999999</v>
      </c>
      <c r="K236" s="7">
        <v>29.943999999999999</v>
      </c>
      <c r="L236" s="6">
        <v>0</v>
      </c>
      <c r="M236" s="15">
        <v>4.3515151515151514E-2</v>
      </c>
      <c r="N236" s="16">
        <v>9.2252121212121203</v>
      </c>
      <c r="O236" s="17">
        <v>651.50884848484839</v>
      </c>
      <c r="P236" s="16">
        <v>9.2252121212121203</v>
      </c>
      <c r="Q236" s="17">
        <v>651.50884848484839</v>
      </c>
    </row>
    <row r="237" spans="1:17" x14ac:dyDescent="0.25">
      <c r="A237" s="6" t="s">
        <v>5</v>
      </c>
      <c r="B237" s="12">
        <v>7</v>
      </c>
      <c r="C237" s="12">
        <v>41</v>
      </c>
      <c r="D237" s="7">
        <v>2</v>
      </c>
      <c r="E237" s="6" t="s">
        <v>355</v>
      </c>
      <c r="F237" s="13" t="s">
        <v>321</v>
      </c>
      <c r="G237" s="13">
        <v>2</v>
      </c>
      <c r="H237" s="7">
        <v>5</v>
      </c>
      <c r="I237" s="14" t="s">
        <v>319</v>
      </c>
      <c r="J237" s="7" t="s">
        <v>1673</v>
      </c>
      <c r="K237" s="7" t="s">
        <v>1673</v>
      </c>
      <c r="L237" s="6" t="s">
        <v>1673</v>
      </c>
      <c r="M237" s="15" t="s">
        <v>1673</v>
      </c>
      <c r="N237" s="16" t="s">
        <v>1673</v>
      </c>
      <c r="O237" s="17" t="s">
        <v>1673</v>
      </c>
      <c r="P237" s="16" t="s">
        <v>1673</v>
      </c>
      <c r="Q237" s="17" t="s">
        <v>1673</v>
      </c>
    </row>
    <row r="238" spans="1:17" x14ac:dyDescent="0.25">
      <c r="A238" s="6" t="s">
        <v>5</v>
      </c>
      <c r="B238" s="12">
        <v>7</v>
      </c>
      <c r="C238" s="12">
        <v>41</v>
      </c>
      <c r="D238" s="7">
        <v>2</v>
      </c>
      <c r="E238" s="6" t="s">
        <v>355</v>
      </c>
      <c r="F238" s="13" t="s">
        <v>322</v>
      </c>
      <c r="G238" s="13">
        <v>3</v>
      </c>
      <c r="H238" s="7">
        <v>5</v>
      </c>
      <c r="I238" s="14" t="s">
        <v>318</v>
      </c>
      <c r="J238" s="7">
        <v>0.94</v>
      </c>
      <c r="K238" s="7">
        <v>44.203000000000003</v>
      </c>
      <c r="L238" s="6">
        <v>0</v>
      </c>
      <c r="M238" s="15">
        <v>6.4399999999999999E-2</v>
      </c>
      <c r="N238" s="16">
        <v>30.267999999999997</v>
      </c>
      <c r="O238" s="17">
        <v>1423.3366000000001</v>
      </c>
      <c r="P238" s="16">
        <v>30.267999999999997</v>
      </c>
      <c r="Q238" s="17">
        <v>1423.3366000000001</v>
      </c>
    </row>
    <row r="239" spans="1:17" x14ac:dyDescent="0.25">
      <c r="A239" s="6" t="s">
        <v>5</v>
      </c>
      <c r="B239" s="12">
        <v>7</v>
      </c>
      <c r="C239" s="12">
        <v>41</v>
      </c>
      <c r="D239" s="7">
        <v>2</v>
      </c>
      <c r="E239" s="6" t="s">
        <v>355</v>
      </c>
      <c r="F239" s="13" t="s">
        <v>322</v>
      </c>
      <c r="G239" s="13">
        <v>3</v>
      </c>
      <c r="H239" s="7">
        <v>5</v>
      </c>
      <c r="I239" s="14" t="s">
        <v>319</v>
      </c>
      <c r="J239" s="7" t="s">
        <v>1673</v>
      </c>
      <c r="K239" s="7" t="s">
        <v>1673</v>
      </c>
      <c r="L239" s="6" t="s">
        <v>1673</v>
      </c>
      <c r="M239" s="15" t="s">
        <v>1673</v>
      </c>
      <c r="N239" s="16" t="s">
        <v>1673</v>
      </c>
      <c r="O239" s="17" t="s">
        <v>1673</v>
      </c>
      <c r="P239" s="16" t="s">
        <v>1673</v>
      </c>
      <c r="Q239" s="17" t="s">
        <v>1673</v>
      </c>
    </row>
    <row r="240" spans="1:17" x14ac:dyDescent="0.25">
      <c r="A240" s="6" t="s">
        <v>5</v>
      </c>
      <c r="B240" s="12">
        <v>7</v>
      </c>
      <c r="C240" s="12">
        <v>41</v>
      </c>
      <c r="D240" s="7">
        <v>2</v>
      </c>
      <c r="E240" s="6" t="s">
        <v>355</v>
      </c>
      <c r="F240" s="13" t="s">
        <v>324</v>
      </c>
      <c r="G240" s="18">
        <v>4</v>
      </c>
      <c r="H240" s="7">
        <v>5</v>
      </c>
      <c r="I240" s="14" t="s">
        <v>318</v>
      </c>
      <c r="J240" s="7">
        <v>1.2589999999999999</v>
      </c>
      <c r="K240" s="7">
        <v>44.201999999999998</v>
      </c>
      <c r="L240" s="6">
        <v>0</v>
      </c>
      <c r="M240" s="15">
        <v>8.7851851851851848E-2</v>
      </c>
      <c r="N240" s="16">
        <v>55.302740740740731</v>
      </c>
      <c r="O240" s="17">
        <v>1941.6137777777774</v>
      </c>
      <c r="P240" s="16">
        <v>55.302740740740731</v>
      </c>
      <c r="Q240" s="17">
        <v>1941.6137777777776</v>
      </c>
    </row>
    <row r="241" spans="1:17" x14ac:dyDescent="0.25">
      <c r="A241" s="6" t="s">
        <v>5</v>
      </c>
      <c r="B241" s="12">
        <v>7</v>
      </c>
      <c r="C241" s="12">
        <v>41</v>
      </c>
      <c r="D241" s="7">
        <v>2</v>
      </c>
      <c r="E241" s="6" t="s">
        <v>355</v>
      </c>
      <c r="F241" s="13" t="s">
        <v>324</v>
      </c>
      <c r="G241" s="18">
        <v>4</v>
      </c>
      <c r="H241" s="7">
        <v>5</v>
      </c>
      <c r="I241" s="14" t="s">
        <v>319</v>
      </c>
      <c r="J241" s="7">
        <v>1.1359999999999999</v>
      </c>
      <c r="K241" s="7">
        <v>51.689</v>
      </c>
      <c r="L241" s="6">
        <v>0</v>
      </c>
      <c r="M241" s="15">
        <v>8.8888888888888882E-4</v>
      </c>
      <c r="N241" s="16">
        <v>0.50488888888888872</v>
      </c>
      <c r="O241" s="17">
        <v>22.972888888888882</v>
      </c>
      <c r="P241" s="16">
        <v>0.50488888888888883</v>
      </c>
      <c r="Q241" s="17">
        <v>22.972888888888885</v>
      </c>
    </row>
    <row r="242" spans="1:17" x14ac:dyDescent="0.25">
      <c r="A242" s="6" t="s">
        <v>5</v>
      </c>
      <c r="B242" s="12">
        <v>7</v>
      </c>
      <c r="C242" s="12">
        <v>41</v>
      </c>
      <c r="D242" s="7">
        <v>3</v>
      </c>
      <c r="E242" s="6" t="s">
        <v>316</v>
      </c>
      <c r="F242" s="13" t="s">
        <v>317</v>
      </c>
      <c r="G242" s="13">
        <v>0</v>
      </c>
      <c r="H242" s="7">
        <v>0</v>
      </c>
      <c r="I242" s="14" t="s">
        <v>318</v>
      </c>
      <c r="J242" s="7" t="s">
        <v>1673</v>
      </c>
      <c r="K242" s="7" t="s">
        <v>1673</v>
      </c>
      <c r="L242" s="6" t="s">
        <v>1673</v>
      </c>
      <c r="M242" s="15" t="s">
        <v>1673</v>
      </c>
      <c r="N242" s="16" t="s">
        <v>1673</v>
      </c>
      <c r="O242" s="17" t="s">
        <v>1673</v>
      </c>
      <c r="P242" s="16" t="s">
        <v>1673</v>
      </c>
      <c r="Q242" s="17" t="s">
        <v>1673</v>
      </c>
    </row>
    <row r="243" spans="1:17" x14ac:dyDescent="0.25">
      <c r="A243" s="6" t="s">
        <v>5</v>
      </c>
      <c r="B243" s="12">
        <v>7</v>
      </c>
      <c r="C243" s="12">
        <v>41</v>
      </c>
      <c r="D243" s="7">
        <v>3</v>
      </c>
      <c r="E243" s="6" t="s">
        <v>316</v>
      </c>
      <c r="F243" s="13" t="s">
        <v>317</v>
      </c>
      <c r="G243" s="13">
        <v>0</v>
      </c>
      <c r="H243" s="7">
        <v>0</v>
      </c>
      <c r="I243" s="14" t="s">
        <v>319</v>
      </c>
      <c r="J243" s="7" t="s">
        <v>1673</v>
      </c>
      <c r="K243" s="7" t="s">
        <v>1673</v>
      </c>
      <c r="L243" s="6" t="s">
        <v>1673</v>
      </c>
      <c r="M243" s="15" t="s">
        <v>1673</v>
      </c>
      <c r="N243" s="16" t="s">
        <v>1673</v>
      </c>
      <c r="O243" s="17" t="s">
        <v>1673</v>
      </c>
      <c r="P243" s="16" t="s">
        <v>1673</v>
      </c>
      <c r="Q243" s="17" t="s">
        <v>1673</v>
      </c>
    </row>
    <row r="244" spans="1:17" x14ac:dyDescent="0.25">
      <c r="A244" s="6" t="s">
        <v>5</v>
      </c>
      <c r="B244" s="12">
        <v>7</v>
      </c>
      <c r="C244" s="12">
        <v>41</v>
      </c>
      <c r="D244" s="7">
        <v>3</v>
      </c>
      <c r="E244" s="6" t="s">
        <v>355</v>
      </c>
      <c r="F244" s="13" t="s">
        <v>320</v>
      </c>
      <c r="G244" s="13">
        <v>1</v>
      </c>
      <c r="H244" s="7">
        <v>0</v>
      </c>
      <c r="I244" s="14" t="s">
        <v>318</v>
      </c>
      <c r="J244" s="7" t="s">
        <v>1673</v>
      </c>
      <c r="K244" s="7" t="s">
        <v>1673</v>
      </c>
      <c r="L244" s="6" t="s">
        <v>1673</v>
      </c>
      <c r="M244" s="15" t="s">
        <v>1673</v>
      </c>
      <c r="N244" s="16" t="s">
        <v>1673</v>
      </c>
      <c r="O244" s="17" t="s">
        <v>1673</v>
      </c>
      <c r="P244" s="16" t="s">
        <v>1673</v>
      </c>
      <c r="Q244" s="17" t="s">
        <v>1673</v>
      </c>
    </row>
    <row r="245" spans="1:17" x14ac:dyDescent="0.25">
      <c r="A245" s="6" t="s">
        <v>5</v>
      </c>
      <c r="B245" s="12">
        <v>7</v>
      </c>
      <c r="C245" s="12">
        <v>41</v>
      </c>
      <c r="D245" s="7">
        <v>3</v>
      </c>
      <c r="E245" s="6" t="s">
        <v>355</v>
      </c>
      <c r="F245" s="13" t="s">
        <v>320</v>
      </c>
      <c r="G245" s="13">
        <v>1</v>
      </c>
      <c r="H245" s="7">
        <v>0</v>
      </c>
      <c r="I245" s="14" t="s">
        <v>319</v>
      </c>
      <c r="J245" s="7" t="s">
        <v>1673</v>
      </c>
      <c r="K245" s="7" t="s">
        <v>1673</v>
      </c>
      <c r="L245" s="6" t="s">
        <v>1673</v>
      </c>
      <c r="M245" s="15" t="s">
        <v>1673</v>
      </c>
      <c r="N245" s="16" t="s">
        <v>1673</v>
      </c>
      <c r="O245" s="17" t="s">
        <v>1673</v>
      </c>
      <c r="P245" s="16" t="s">
        <v>1673</v>
      </c>
      <c r="Q245" s="17" t="s">
        <v>1673</v>
      </c>
    </row>
    <row r="246" spans="1:17" x14ac:dyDescent="0.25">
      <c r="A246" s="6" t="s">
        <v>5</v>
      </c>
      <c r="B246" s="12">
        <v>7</v>
      </c>
      <c r="C246" s="12">
        <v>41</v>
      </c>
      <c r="D246" s="7">
        <v>3</v>
      </c>
      <c r="E246" s="6" t="s">
        <v>355</v>
      </c>
      <c r="F246" s="13" t="s">
        <v>321</v>
      </c>
      <c r="G246" s="13">
        <v>2</v>
      </c>
      <c r="H246" s="7">
        <v>0</v>
      </c>
      <c r="I246" s="14" t="s">
        <v>318</v>
      </c>
      <c r="J246" s="7" t="s">
        <v>1673</v>
      </c>
      <c r="K246" s="7" t="s">
        <v>1673</v>
      </c>
      <c r="L246" s="6" t="s">
        <v>1673</v>
      </c>
      <c r="M246" s="15" t="s">
        <v>1673</v>
      </c>
      <c r="N246" s="16" t="s">
        <v>1673</v>
      </c>
      <c r="O246" s="17" t="s">
        <v>1673</v>
      </c>
      <c r="P246" s="16" t="s">
        <v>1673</v>
      </c>
      <c r="Q246" s="17" t="s">
        <v>1673</v>
      </c>
    </row>
    <row r="247" spans="1:17" x14ac:dyDescent="0.25">
      <c r="A247" s="6" t="s">
        <v>5</v>
      </c>
      <c r="B247" s="12">
        <v>7</v>
      </c>
      <c r="C247" s="12">
        <v>41</v>
      </c>
      <c r="D247" s="7">
        <v>3</v>
      </c>
      <c r="E247" s="6" t="s">
        <v>355</v>
      </c>
      <c r="F247" s="13" t="s">
        <v>321</v>
      </c>
      <c r="G247" s="13">
        <v>2</v>
      </c>
      <c r="H247" s="7">
        <v>0</v>
      </c>
      <c r="I247" s="14" t="s">
        <v>319</v>
      </c>
      <c r="J247" s="7" t="s">
        <v>1673</v>
      </c>
      <c r="K247" s="7" t="s">
        <v>1673</v>
      </c>
      <c r="L247" s="6" t="s">
        <v>1673</v>
      </c>
      <c r="M247" s="15" t="s">
        <v>1673</v>
      </c>
      <c r="N247" s="16" t="s">
        <v>1673</v>
      </c>
      <c r="O247" s="17" t="s">
        <v>1673</v>
      </c>
      <c r="P247" s="16" t="s">
        <v>1673</v>
      </c>
      <c r="Q247" s="17" t="s">
        <v>1673</v>
      </c>
    </row>
    <row r="248" spans="1:17" x14ac:dyDescent="0.25">
      <c r="A248" s="6" t="s">
        <v>5</v>
      </c>
      <c r="B248" s="12">
        <v>7</v>
      </c>
      <c r="C248" s="12">
        <v>41</v>
      </c>
      <c r="D248" s="7">
        <v>3</v>
      </c>
      <c r="E248" s="6" t="s">
        <v>355</v>
      </c>
      <c r="F248" s="13" t="s">
        <v>322</v>
      </c>
      <c r="G248" s="13">
        <v>3</v>
      </c>
      <c r="H248" s="7">
        <v>0</v>
      </c>
      <c r="I248" s="14" t="s">
        <v>318</v>
      </c>
      <c r="J248" s="7" t="s">
        <v>1673</v>
      </c>
      <c r="K248" s="7" t="s">
        <v>1673</v>
      </c>
      <c r="L248" s="6" t="s">
        <v>1673</v>
      </c>
      <c r="M248" s="15" t="s">
        <v>1673</v>
      </c>
      <c r="N248" s="16" t="s">
        <v>1673</v>
      </c>
      <c r="O248" s="17" t="s">
        <v>1673</v>
      </c>
      <c r="P248" s="16" t="s">
        <v>1673</v>
      </c>
      <c r="Q248" s="17" t="s">
        <v>1673</v>
      </c>
    </row>
    <row r="249" spans="1:17" x14ac:dyDescent="0.25">
      <c r="A249" s="6" t="s">
        <v>5</v>
      </c>
      <c r="B249" s="12">
        <v>7</v>
      </c>
      <c r="C249" s="12">
        <v>41</v>
      </c>
      <c r="D249" s="7">
        <v>3</v>
      </c>
      <c r="E249" s="6" t="s">
        <v>355</v>
      </c>
      <c r="F249" s="13" t="s">
        <v>322</v>
      </c>
      <c r="G249" s="13">
        <v>3</v>
      </c>
      <c r="H249" s="7">
        <v>0</v>
      </c>
      <c r="I249" s="14" t="s">
        <v>319</v>
      </c>
      <c r="J249" s="7" t="s">
        <v>1673</v>
      </c>
      <c r="K249" s="7" t="s">
        <v>1673</v>
      </c>
      <c r="L249" s="6" t="s">
        <v>1673</v>
      </c>
      <c r="M249" s="15" t="s">
        <v>1673</v>
      </c>
      <c r="N249" s="16" t="s">
        <v>1673</v>
      </c>
      <c r="O249" s="17" t="s">
        <v>1673</v>
      </c>
      <c r="P249" s="16" t="s">
        <v>1673</v>
      </c>
      <c r="Q249" s="17" t="s">
        <v>1673</v>
      </c>
    </row>
    <row r="250" spans="1:17" x14ac:dyDescent="0.25">
      <c r="A250" s="6" t="s">
        <v>5</v>
      </c>
      <c r="B250" s="12">
        <v>7</v>
      </c>
      <c r="C250" s="12">
        <v>41</v>
      </c>
      <c r="D250" s="7">
        <v>3</v>
      </c>
      <c r="E250" s="6" t="s">
        <v>355</v>
      </c>
      <c r="F250" s="13" t="s">
        <v>324</v>
      </c>
      <c r="G250" s="18">
        <v>4</v>
      </c>
      <c r="H250" s="7">
        <v>0</v>
      </c>
      <c r="I250" s="14" t="s">
        <v>318</v>
      </c>
      <c r="J250" s="7" t="s">
        <v>1673</v>
      </c>
      <c r="K250" s="7" t="s">
        <v>1673</v>
      </c>
      <c r="L250" s="6" t="s">
        <v>1673</v>
      </c>
      <c r="M250" s="15" t="s">
        <v>1673</v>
      </c>
      <c r="N250" s="16" t="s">
        <v>1673</v>
      </c>
      <c r="O250" s="17" t="s">
        <v>1673</v>
      </c>
      <c r="P250" s="16" t="s">
        <v>1673</v>
      </c>
      <c r="Q250" s="17" t="s">
        <v>1673</v>
      </c>
    </row>
    <row r="251" spans="1:17" x14ac:dyDescent="0.25">
      <c r="A251" s="6" t="s">
        <v>5</v>
      </c>
      <c r="B251" s="12">
        <v>7</v>
      </c>
      <c r="C251" s="12">
        <v>41</v>
      </c>
      <c r="D251" s="7">
        <v>3</v>
      </c>
      <c r="E251" s="6" t="s">
        <v>355</v>
      </c>
      <c r="F251" s="13" t="s">
        <v>324</v>
      </c>
      <c r="G251" s="18">
        <v>4</v>
      </c>
      <c r="H251" s="7">
        <v>0</v>
      </c>
      <c r="I251" s="14" t="s">
        <v>319</v>
      </c>
      <c r="J251" s="7" t="s">
        <v>1673</v>
      </c>
      <c r="K251" s="7" t="s">
        <v>1673</v>
      </c>
      <c r="L251" s="6" t="s">
        <v>1673</v>
      </c>
      <c r="M251" s="15" t="s">
        <v>1673</v>
      </c>
      <c r="N251" s="16" t="s">
        <v>1673</v>
      </c>
      <c r="O251" s="17" t="s">
        <v>1673</v>
      </c>
      <c r="P251" s="16" t="s">
        <v>1673</v>
      </c>
      <c r="Q251" s="17" t="s">
        <v>1673</v>
      </c>
    </row>
    <row r="252" spans="1:17" x14ac:dyDescent="0.25">
      <c r="A252" s="6" t="s">
        <v>5</v>
      </c>
      <c r="B252" s="12">
        <v>7</v>
      </c>
      <c r="C252" s="12">
        <v>41</v>
      </c>
      <c r="D252" s="7">
        <v>3</v>
      </c>
      <c r="E252" s="6" t="s">
        <v>355</v>
      </c>
      <c r="F252" s="13" t="s">
        <v>325</v>
      </c>
      <c r="G252" s="18">
        <v>5</v>
      </c>
      <c r="H252" s="7">
        <v>0</v>
      </c>
      <c r="I252" s="14" t="s">
        <v>318</v>
      </c>
      <c r="J252" s="7" t="s">
        <v>1673</v>
      </c>
      <c r="K252" s="7" t="s">
        <v>1673</v>
      </c>
      <c r="L252" s="6" t="s">
        <v>1673</v>
      </c>
      <c r="M252" s="15" t="s">
        <v>1673</v>
      </c>
      <c r="N252" s="16" t="s">
        <v>1673</v>
      </c>
      <c r="O252" s="17" t="s">
        <v>1673</v>
      </c>
      <c r="P252" s="16" t="s">
        <v>1673</v>
      </c>
      <c r="Q252" s="17" t="s">
        <v>1673</v>
      </c>
    </row>
    <row r="253" spans="1:17" x14ac:dyDescent="0.25">
      <c r="A253" s="6" t="s">
        <v>5</v>
      </c>
      <c r="B253" s="12">
        <v>7</v>
      </c>
      <c r="C253" s="12">
        <v>41</v>
      </c>
      <c r="D253" s="7">
        <v>3</v>
      </c>
      <c r="E253" s="6" t="s">
        <v>355</v>
      </c>
      <c r="F253" s="13" t="s">
        <v>325</v>
      </c>
      <c r="G253" s="18">
        <v>5</v>
      </c>
      <c r="H253" s="7">
        <v>0</v>
      </c>
      <c r="I253" s="14" t="s">
        <v>319</v>
      </c>
      <c r="J253" s="7" t="s">
        <v>1673</v>
      </c>
      <c r="K253" s="7" t="s">
        <v>1673</v>
      </c>
      <c r="L253" s="6" t="s">
        <v>1673</v>
      </c>
      <c r="M253" s="15" t="s">
        <v>1673</v>
      </c>
      <c r="N253" s="16" t="s">
        <v>1673</v>
      </c>
      <c r="O253" s="17" t="s">
        <v>1673</v>
      </c>
      <c r="P253" s="16" t="s">
        <v>1673</v>
      </c>
      <c r="Q253" s="17" t="s">
        <v>1673</v>
      </c>
    </row>
    <row r="254" spans="1:17" x14ac:dyDescent="0.25">
      <c r="A254" s="6" t="s">
        <v>5</v>
      </c>
      <c r="B254" s="12">
        <v>7</v>
      </c>
      <c r="C254" s="12">
        <v>41</v>
      </c>
      <c r="D254" s="7">
        <v>3</v>
      </c>
      <c r="E254" s="6" t="s">
        <v>355</v>
      </c>
      <c r="F254" s="13" t="s">
        <v>326</v>
      </c>
      <c r="G254" s="18">
        <v>6</v>
      </c>
      <c r="H254" s="7">
        <v>0</v>
      </c>
      <c r="I254" s="14" t="s">
        <v>318</v>
      </c>
      <c r="J254" s="7" t="s">
        <v>1673</v>
      </c>
      <c r="K254" s="7" t="s">
        <v>1673</v>
      </c>
      <c r="L254" s="6" t="s">
        <v>1673</v>
      </c>
      <c r="M254" s="15" t="s">
        <v>1673</v>
      </c>
      <c r="N254" s="16" t="s">
        <v>1673</v>
      </c>
      <c r="O254" s="17" t="s">
        <v>1673</v>
      </c>
      <c r="P254" s="16" t="s">
        <v>1673</v>
      </c>
      <c r="Q254" s="17" t="s">
        <v>1673</v>
      </c>
    </row>
    <row r="255" spans="1:17" x14ac:dyDescent="0.25">
      <c r="A255" s="6" t="s">
        <v>5</v>
      </c>
      <c r="B255" s="12">
        <v>7</v>
      </c>
      <c r="C255" s="12">
        <v>41</v>
      </c>
      <c r="D255" s="7">
        <v>3</v>
      </c>
      <c r="E255" s="6" t="s">
        <v>355</v>
      </c>
      <c r="F255" s="13" t="s">
        <v>326</v>
      </c>
      <c r="G255" s="18">
        <v>6</v>
      </c>
      <c r="H255" s="7">
        <v>0</v>
      </c>
      <c r="I255" s="14" t="s">
        <v>319</v>
      </c>
      <c r="J255" s="7" t="s">
        <v>1673</v>
      </c>
      <c r="K255" s="7" t="s">
        <v>1673</v>
      </c>
      <c r="L255" s="6" t="s">
        <v>1673</v>
      </c>
      <c r="M255" s="15" t="s">
        <v>1673</v>
      </c>
      <c r="N255" s="16" t="s">
        <v>1673</v>
      </c>
      <c r="O255" s="17" t="s">
        <v>1673</v>
      </c>
      <c r="P255" s="16" t="s">
        <v>1673</v>
      </c>
      <c r="Q255" s="17" t="s">
        <v>1673</v>
      </c>
    </row>
    <row r="256" spans="1:17" x14ac:dyDescent="0.25">
      <c r="A256" s="6" t="s">
        <v>5</v>
      </c>
      <c r="B256" s="12">
        <v>7</v>
      </c>
      <c r="C256" s="12">
        <v>41</v>
      </c>
      <c r="D256" s="7">
        <v>4</v>
      </c>
      <c r="E256" s="6" t="s">
        <v>316</v>
      </c>
      <c r="F256" s="13" t="s">
        <v>317</v>
      </c>
      <c r="G256" s="13">
        <v>0</v>
      </c>
      <c r="H256" s="7">
        <v>0</v>
      </c>
      <c r="I256" s="14" t="s">
        <v>318</v>
      </c>
      <c r="J256" s="7" t="s">
        <v>1673</v>
      </c>
      <c r="K256" s="7" t="s">
        <v>1673</v>
      </c>
      <c r="L256" s="6" t="s">
        <v>1673</v>
      </c>
      <c r="M256" s="15" t="s">
        <v>1673</v>
      </c>
      <c r="N256" s="16" t="s">
        <v>1673</v>
      </c>
      <c r="O256" s="17" t="s">
        <v>1673</v>
      </c>
      <c r="P256" s="16" t="s">
        <v>1673</v>
      </c>
      <c r="Q256" s="17" t="s">
        <v>1673</v>
      </c>
    </row>
    <row r="257" spans="1:17" x14ac:dyDescent="0.25">
      <c r="A257" s="6" t="s">
        <v>5</v>
      </c>
      <c r="B257" s="12">
        <v>7</v>
      </c>
      <c r="C257" s="12">
        <v>41</v>
      </c>
      <c r="D257" s="7">
        <v>4</v>
      </c>
      <c r="E257" s="6" t="s">
        <v>316</v>
      </c>
      <c r="F257" s="13" t="s">
        <v>317</v>
      </c>
      <c r="G257" s="13">
        <v>0</v>
      </c>
      <c r="H257" s="7">
        <v>0</v>
      </c>
      <c r="I257" s="14" t="s">
        <v>319</v>
      </c>
      <c r="J257" s="7" t="s">
        <v>1673</v>
      </c>
      <c r="K257" s="7" t="s">
        <v>1673</v>
      </c>
      <c r="L257" s="6" t="s">
        <v>1673</v>
      </c>
      <c r="M257" s="15" t="s">
        <v>1673</v>
      </c>
      <c r="N257" s="16" t="s">
        <v>1673</v>
      </c>
      <c r="O257" s="17" t="s">
        <v>1673</v>
      </c>
      <c r="P257" s="16" t="s">
        <v>1673</v>
      </c>
      <c r="Q257" s="17" t="s">
        <v>1673</v>
      </c>
    </row>
    <row r="258" spans="1:17" x14ac:dyDescent="0.25">
      <c r="A258" s="6" t="s">
        <v>5</v>
      </c>
      <c r="B258" s="12">
        <v>7</v>
      </c>
      <c r="C258" s="12">
        <v>41</v>
      </c>
      <c r="D258" s="7">
        <v>4</v>
      </c>
      <c r="E258" s="6" t="s">
        <v>355</v>
      </c>
      <c r="F258" s="13" t="s">
        <v>320</v>
      </c>
      <c r="G258" s="13">
        <v>1</v>
      </c>
      <c r="H258" s="7">
        <v>0</v>
      </c>
      <c r="I258" s="14" t="s">
        <v>318</v>
      </c>
      <c r="J258" s="7" t="s">
        <v>1673</v>
      </c>
      <c r="K258" s="7" t="s">
        <v>1673</v>
      </c>
      <c r="L258" s="6" t="s">
        <v>1673</v>
      </c>
      <c r="M258" s="15" t="s">
        <v>1673</v>
      </c>
      <c r="N258" s="16" t="s">
        <v>1673</v>
      </c>
      <c r="O258" s="17" t="s">
        <v>1673</v>
      </c>
      <c r="P258" s="16" t="s">
        <v>1673</v>
      </c>
      <c r="Q258" s="17" t="s">
        <v>1673</v>
      </c>
    </row>
    <row r="259" spans="1:17" x14ac:dyDescent="0.25">
      <c r="A259" s="6" t="s">
        <v>5</v>
      </c>
      <c r="B259" s="12">
        <v>7</v>
      </c>
      <c r="C259" s="12">
        <v>41</v>
      </c>
      <c r="D259" s="7">
        <v>4</v>
      </c>
      <c r="E259" s="6" t="s">
        <v>355</v>
      </c>
      <c r="F259" s="13" t="s">
        <v>320</v>
      </c>
      <c r="G259" s="13">
        <v>1</v>
      </c>
      <c r="H259" s="7">
        <v>0</v>
      </c>
      <c r="I259" s="14" t="s">
        <v>319</v>
      </c>
      <c r="J259" s="7" t="s">
        <v>1673</v>
      </c>
      <c r="K259" s="7" t="s">
        <v>1673</v>
      </c>
      <c r="L259" s="6" t="s">
        <v>1673</v>
      </c>
      <c r="M259" s="15" t="s">
        <v>1673</v>
      </c>
      <c r="N259" s="16" t="s">
        <v>1673</v>
      </c>
      <c r="O259" s="17" t="s">
        <v>1673</v>
      </c>
      <c r="P259" s="16" t="s">
        <v>1673</v>
      </c>
      <c r="Q259" s="17" t="s">
        <v>1673</v>
      </c>
    </row>
    <row r="260" spans="1:17" x14ac:dyDescent="0.25">
      <c r="A260" s="6" t="s">
        <v>5</v>
      </c>
      <c r="B260" s="12">
        <v>7</v>
      </c>
      <c r="C260" s="12">
        <v>41</v>
      </c>
      <c r="D260" s="7">
        <v>4</v>
      </c>
      <c r="E260" s="6" t="s">
        <v>355</v>
      </c>
      <c r="F260" s="13" t="s">
        <v>321</v>
      </c>
      <c r="G260" s="13">
        <v>2</v>
      </c>
      <c r="H260" s="7">
        <v>0</v>
      </c>
      <c r="I260" s="14" t="s">
        <v>318</v>
      </c>
      <c r="J260" s="7" t="s">
        <v>1673</v>
      </c>
      <c r="K260" s="7" t="s">
        <v>1673</v>
      </c>
      <c r="L260" s="6" t="s">
        <v>1673</v>
      </c>
      <c r="M260" s="15" t="s">
        <v>1673</v>
      </c>
      <c r="N260" s="16" t="s">
        <v>1673</v>
      </c>
      <c r="O260" s="17" t="s">
        <v>1673</v>
      </c>
      <c r="P260" s="16" t="s">
        <v>1673</v>
      </c>
      <c r="Q260" s="17" t="s">
        <v>1673</v>
      </c>
    </row>
    <row r="261" spans="1:17" x14ac:dyDescent="0.25">
      <c r="A261" s="6" t="s">
        <v>5</v>
      </c>
      <c r="B261" s="12">
        <v>7</v>
      </c>
      <c r="C261" s="12">
        <v>41</v>
      </c>
      <c r="D261" s="7">
        <v>4</v>
      </c>
      <c r="E261" s="6" t="s">
        <v>355</v>
      </c>
      <c r="F261" s="13" t="s">
        <v>321</v>
      </c>
      <c r="G261" s="13">
        <v>2</v>
      </c>
      <c r="H261" s="7">
        <v>0</v>
      </c>
      <c r="I261" s="14" t="s">
        <v>319</v>
      </c>
      <c r="J261" s="7" t="s">
        <v>1673</v>
      </c>
      <c r="K261" s="7" t="s">
        <v>1673</v>
      </c>
      <c r="L261" s="6" t="s">
        <v>1673</v>
      </c>
      <c r="M261" s="15" t="s">
        <v>1673</v>
      </c>
      <c r="N261" s="16" t="s">
        <v>1673</v>
      </c>
      <c r="O261" s="17" t="s">
        <v>1673</v>
      </c>
      <c r="P261" s="16" t="s">
        <v>1673</v>
      </c>
      <c r="Q261" s="17" t="s">
        <v>1673</v>
      </c>
    </row>
    <row r="262" spans="1:17" x14ac:dyDescent="0.25">
      <c r="A262" s="6" t="s">
        <v>5</v>
      </c>
      <c r="B262" s="12">
        <v>7</v>
      </c>
      <c r="C262" s="12">
        <v>41</v>
      </c>
      <c r="D262" s="7">
        <v>4</v>
      </c>
      <c r="E262" s="6" t="s">
        <v>355</v>
      </c>
      <c r="F262" s="13" t="s">
        <v>322</v>
      </c>
      <c r="G262" s="13">
        <v>3</v>
      </c>
      <c r="H262" s="7">
        <v>0</v>
      </c>
      <c r="I262" s="14" t="s">
        <v>318</v>
      </c>
      <c r="J262" s="7" t="s">
        <v>1673</v>
      </c>
      <c r="K262" s="7" t="s">
        <v>1673</v>
      </c>
      <c r="L262" s="6" t="s">
        <v>1673</v>
      </c>
      <c r="M262" s="15" t="s">
        <v>1673</v>
      </c>
      <c r="N262" s="16" t="s">
        <v>1673</v>
      </c>
      <c r="O262" s="17" t="s">
        <v>1673</v>
      </c>
      <c r="P262" s="16" t="s">
        <v>1673</v>
      </c>
      <c r="Q262" s="17" t="s">
        <v>1673</v>
      </c>
    </row>
    <row r="263" spans="1:17" x14ac:dyDescent="0.25">
      <c r="A263" s="6" t="s">
        <v>5</v>
      </c>
      <c r="B263" s="12">
        <v>7</v>
      </c>
      <c r="C263" s="12">
        <v>41</v>
      </c>
      <c r="D263" s="7">
        <v>4</v>
      </c>
      <c r="E263" s="6" t="s">
        <v>355</v>
      </c>
      <c r="F263" s="13" t="s">
        <v>322</v>
      </c>
      <c r="G263" s="13">
        <v>3</v>
      </c>
      <c r="H263" s="7">
        <v>0</v>
      </c>
      <c r="I263" s="14" t="s">
        <v>319</v>
      </c>
      <c r="J263" s="7" t="s">
        <v>1673</v>
      </c>
      <c r="K263" s="7" t="s">
        <v>1673</v>
      </c>
      <c r="L263" s="6" t="s">
        <v>1673</v>
      </c>
      <c r="M263" s="15" t="s">
        <v>1673</v>
      </c>
      <c r="N263" s="16" t="s">
        <v>1673</v>
      </c>
      <c r="O263" s="17" t="s">
        <v>1673</v>
      </c>
      <c r="P263" s="16" t="s">
        <v>1673</v>
      </c>
      <c r="Q263" s="17" t="s">
        <v>1673</v>
      </c>
    </row>
    <row r="264" spans="1:17" x14ac:dyDescent="0.25">
      <c r="A264" s="6" t="s">
        <v>5</v>
      </c>
      <c r="B264" s="12">
        <v>7</v>
      </c>
      <c r="C264" s="12">
        <v>41</v>
      </c>
      <c r="D264" s="7">
        <v>5</v>
      </c>
      <c r="E264" s="6" t="s">
        <v>316</v>
      </c>
      <c r="F264" s="13" t="s">
        <v>317</v>
      </c>
      <c r="G264" s="13">
        <v>0</v>
      </c>
      <c r="H264" s="7">
        <v>0</v>
      </c>
      <c r="I264" s="14" t="s">
        <v>318</v>
      </c>
      <c r="J264" s="7">
        <v>2.6669999999999998</v>
      </c>
      <c r="K264" s="7">
        <v>45.658999999999999</v>
      </c>
      <c r="L264" s="6">
        <v>0</v>
      </c>
      <c r="M264" s="15" t="s">
        <v>1673</v>
      </c>
      <c r="N264" s="16" t="s">
        <v>1673</v>
      </c>
      <c r="O264" s="17" t="s">
        <v>1673</v>
      </c>
      <c r="P264" s="16" t="s">
        <v>1673</v>
      </c>
      <c r="Q264" s="17" t="s">
        <v>1673</v>
      </c>
    </row>
    <row r="265" spans="1:17" x14ac:dyDescent="0.25">
      <c r="A265" s="6" t="s">
        <v>5</v>
      </c>
      <c r="B265" s="12">
        <v>7</v>
      </c>
      <c r="C265" s="12">
        <v>41</v>
      </c>
      <c r="D265" s="7">
        <v>5</v>
      </c>
      <c r="E265" s="6" t="s">
        <v>316</v>
      </c>
      <c r="F265" s="13" t="s">
        <v>317</v>
      </c>
      <c r="G265" s="13">
        <v>0</v>
      </c>
      <c r="H265" s="7">
        <v>0</v>
      </c>
      <c r="I265" s="14" t="s">
        <v>319</v>
      </c>
      <c r="J265" s="7" t="s">
        <v>1673</v>
      </c>
      <c r="K265" s="7" t="s">
        <v>1673</v>
      </c>
      <c r="L265" s="6" t="s">
        <v>1673</v>
      </c>
      <c r="M265" s="15" t="s">
        <v>1673</v>
      </c>
      <c r="N265" s="16" t="s">
        <v>1673</v>
      </c>
      <c r="O265" s="17" t="s">
        <v>1673</v>
      </c>
      <c r="P265" s="16" t="s">
        <v>1673</v>
      </c>
      <c r="Q265" s="17" t="s">
        <v>1673</v>
      </c>
    </row>
    <row r="266" spans="1:17" x14ac:dyDescent="0.25">
      <c r="A266" s="6" t="s">
        <v>5</v>
      </c>
      <c r="B266" s="12">
        <v>7</v>
      </c>
      <c r="C266" s="12">
        <v>41</v>
      </c>
      <c r="D266" s="7">
        <v>5</v>
      </c>
      <c r="E266" s="6" t="s">
        <v>355</v>
      </c>
      <c r="F266" s="13" t="s">
        <v>320</v>
      </c>
      <c r="G266" s="13">
        <v>1</v>
      </c>
      <c r="H266" s="7">
        <v>5</v>
      </c>
      <c r="I266" s="14" t="s">
        <v>318</v>
      </c>
      <c r="J266" s="7">
        <v>2.4889999999999999</v>
      </c>
      <c r="K266" s="7">
        <v>43.917999999999999</v>
      </c>
      <c r="L266" s="6">
        <v>0</v>
      </c>
      <c r="M266" s="15">
        <v>7.6242424242424237E-2</v>
      </c>
      <c r="N266" s="16">
        <v>94.883696969696956</v>
      </c>
      <c r="O266" s="17">
        <v>1674.207393939394</v>
      </c>
      <c r="P266" s="16">
        <v>94.883696969696956</v>
      </c>
      <c r="Q266" s="17">
        <v>1674.2073939393936</v>
      </c>
    </row>
    <row r="267" spans="1:17" x14ac:dyDescent="0.25">
      <c r="A267" s="6" t="s">
        <v>5</v>
      </c>
      <c r="B267" s="12">
        <v>7</v>
      </c>
      <c r="C267" s="12">
        <v>41</v>
      </c>
      <c r="D267" s="7">
        <v>5</v>
      </c>
      <c r="E267" s="6" t="s">
        <v>355</v>
      </c>
      <c r="F267" s="13" t="s">
        <v>320</v>
      </c>
      <c r="G267" s="13">
        <v>1</v>
      </c>
      <c r="H267" s="7">
        <v>5</v>
      </c>
      <c r="I267" s="14" t="s">
        <v>319</v>
      </c>
      <c r="J267" s="7" t="s">
        <v>1673</v>
      </c>
      <c r="K267" s="7" t="s">
        <v>1673</v>
      </c>
      <c r="L267" s="6" t="s">
        <v>1673</v>
      </c>
      <c r="M267" s="15" t="s">
        <v>1673</v>
      </c>
      <c r="N267" s="16" t="s">
        <v>1673</v>
      </c>
      <c r="O267" s="17" t="s">
        <v>1673</v>
      </c>
      <c r="P267" s="16" t="s">
        <v>1673</v>
      </c>
      <c r="Q267" s="17" t="s">
        <v>1673</v>
      </c>
    </row>
    <row r="268" spans="1:17" x14ac:dyDescent="0.25">
      <c r="A268" s="6" t="s">
        <v>5</v>
      </c>
      <c r="B268" s="12">
        <v>7</v>
      </c>
      <c r="C268" s="12">
        <v>41</v>
      </c>
      <c r="D268" s="7">
        <v>5</v>
      </c>
      <c r="E268" s="6" t="s">
        <v>355</v>
      </c>
      <c r="F268" s="13" t="s">
        <v>321</v>
      </c>
      <c r="G268" s="13">
        <v>2</v>
      </c>
      <c r="H268" s="7">
        <v>5</v>
      </c>
      <c r="I268" s="14" t="s">
        <v>318</v>
      </c>
      <c r="J268" s="7">
        <v>2.6629999999999998</v>
      </c>
      <c r="K268" s="7">
        <v>44.579000000000001</v>
      </c>
      <c r="L268" s="6">
        <v>0</v>
      </c>
      <c r="M268" s="15">
        <v>0.13248484848484848</v>
      </c>
      <c r="N268" s="16">
        <v>176.40357575757574</v>
      </c>
      <c r="O268" s="17">
        <v>2953.0210303030303</v>
      </c>
      <c r="P268" s="16">
        <v>176.40357575757574</v>
      </c>
      <c r="Q268" s="17">
        <v>2953.0210303030308</v>
      </c>
    </row>
    <row r="269" spans="1:17" x14ac:dyDescent="0.25">
      <c r="A269" s="6" t="s">
        <v>5</v>
      </c>
      <c r="B269" s="12">
        <v>7</v>
      </c>
      <c r="C269" s="12">
        <v>41</v>
      </c>
      <c r="D269" s="7">
        <v>5</v>
      </c>
      <c r="E269" s="6" t="s">
        <v>355</v>
      </c>
      <c r="F269" s="13" t="s">
        <v>321</v>
      </c>
      <c r="G269" s="13">
        <v>2</v>
      </c>
      <c r="H269" s="7">
        <v>5</v>
      </c>
      <c r="I269" s="14" t="s">
        <v>319</v>
      </c>
      <c r="J269" s="7" t="s">
        <v>1673</v>
      </c>
      <c r="K269" s="7" t="s">
        <v>1673</v>
      </c>
      <c r="L269" s="6" t="s">
        <v>1673</v>
      </c>
      <c r="M269" s="15" t="s">
        <v>1673</v>
      </c>
      <c r="N269" s="16" t="s">
        <v>1673</v>
      </c>
      <c r="O269" s="17" t="s">
        <v>1673</v>
      </c>
      <c r="P269" s="16" t="s">
        <v>1673</v>
      </c>
      <c r="Q269" s="17" t="s">
        <v>1673</v>
      </c>
    </row>
    <row r="270" spans="1:17" x14ac:dyDescent="0.25">
      <c r="A270" s="6" t="s">
        <v>5</v>
      </c>
      <c r="B270" s="12">
        <v>7</v>
      </c>
      <c r="C270" s="12">
        <v>41</v>
      </c>
      <c r="D270" s="7">
        <v>5</v>
      </c>
      <c r="E270" s="6" t="s">
        <v>355</v>
      </c>
      <c r="F270" s="13" t="s">
        <v>322</v>
      </c>
      <c r="G270" s="13">
        <v>3</v>
      </c>
      <c r="H270" s="7">
        <v>5</v>
      </c>
      <c r="I270" s="14" t="s">
        <v>318</v>
      </c>
      <c r="J270" s="7">
        <v>2.4220000000000002</v>
      </c>
      <c r="K270" s="7">
        <v>46.360999999999997</v>
      </c>
      <c r="L270" s="6">
        <v>0</v>
      </c>
      <c r="M270" s="15">
        <v>0.17786666666666667</v>
      </c>
      <c r="N270" s="16">
        <v>215.39653333333337</v>
      </c>
      <c r="O270" s="17">
        <v>4123.0382666666665</v>
      </c>
      <c r="P270" s="16">
        <v>215.39653333333337</v>
      </c>
      <c r="Q270" s="17">
        <v>4123.0382666666665</v>
      </c>
    </row>
    <row r="271" spans="1:17" x14ac:dyDescent="0.25">
      <c r="A271" s="6" t="s">
        <v>5</v>
      </c>
      <c r="B271" s="12">
        <v>7</v>
      </c>
      <c r="C271" s="12">
        <v>41</v>
      </c>
      <c r="D271" s="7">
        <v>5</v>
      </c>
      <c r="E271" s="6" t="s">
        <v>355</v>
      </c>
      <c r="F271" s="13" t="s">
        <v>322</v>
      </c>
      <c r="G271" s="13">
        <v>3</v>
      </c>
      <c r="H271" s="7">
        <v>5</v>
      </c>
      <c r="I271" s="14" t="s">
        <v>319</v>
      </c>
      <c r="J271" s="7" t="s">
        <v>1673</v>
      </c>
      <c r="K271" s="7" t="s">
        <v>1673</v>
      </c>
      <c r="L271" s="6" t="s">
        <v>1673</v>
      </c>
      <c r="M271" s="15" t="s">
        <v>1673</v>
      </c>
      <c r="N271" s="16" t="s">
        <v>1673</v>
      </c>
      <c r="O271" s="17" t="s">
        <v>1673</v>
      </c>
      <c r="P271" s="16" t="s">
        <v>1673</v>
      </c>
      <c r="Q271" s="17" t="s">
        <v>1673</v>
      </c>
    </row>
    <row r="272" spans="1:17" x14ac:dyDescent="0.25">
      <c r="A272" s="6" t="s">
        <v>5</v>
      </c>
      <c r="B272" s="12">
        <v>7</v>
      </c>
      <c r="C272" s="12">
        <v>41</v>
      </c>
      <c r="D272" s="7">
        <v>5</v>
      </c>
      <c r="E272" s="6" t="s">
        <v>355</v>
      </c>
      <c r="F272" s="13" t="s">
        <v>324</v>
      </c>
      <c r="G272" s="18">
        <v>4</v>
      </c>
      <c r="H272" s="7">
        <v>3.5</v>
      </c>
      <c r="I272" s="14" t="s">
        <v>318</v>
      </c>
      <c r="J272" s="7">
        <v>2.0539999999999998</v>
      </c>
      <c r="K272" s="7">
        <v>47.5</v>
      </c>
      <c r="L272" s="6">
        <v>0</v>
      </c>
      <c r="M272" s="15">
        <v>0.15449735449735449</v>
      </c>
      <c r="N272" s="16">
        <v>111.06814814814814</v>
      </c>
      <c r="O272" s="17">
        <v>2568.5185185185182</v>
      </c>
      <c r="P272" s="16">
        <v>158.66878306878306</v>
      </c>
      <c r="Q272" s="17">
        <v>3669.3121693121693</v>
      </c>
    </row>
    <row r="273" spans="1:17" x14ac:dyDescent="0.25">
      <c r="A273" s="6" t="s">
        <v>5</v>
      </c>
      <c r="B273" s="12">
        <v>7</v>
      </c>
      <c r="C273" s="12">
        <v>41</v>
      </c>
      <c r="D273" s="7">
        <v>5</v>
      </c>
      <c r="E273" s="6" t="s">
        <v>355</v>
      </c>
      <c r="F273" s="13" t="s">
        <v>324</v>
      </c>
      <c r="G273" s="18">
        <v>4</v>
      </c>
      <c r="H273" s="7">
        <v>3.5</v>
      </c>
      <c r="I273" s="14" t="s">
        <v>319</v>
      </c>
      <c r="J273" s="7" t="s">
        <v>1673</v>
      </c>
      <c r="K273" s="7" t="s">
        <v>1673</v>
      </c>
      <c r="L273" s="6" t="s">
        <v>1673</v>
      </c>
      <c r="M273" s="15" t="s">
        <v>1673</v>
      </c>
      <c r="N273" s="16" t="s">
        <v>1673</v>
      </c>
      <c r="O273" s="17" t="s">
        <v>1673</v>
      </c>
      <c r="P273" s="16" t="s">
        <v>1673</v>
      </c>
      <c r="Q273" s="17" t="s">
        <v>1673</v>
      </c>
    </row>
    <row r="274" spans="1:17" x14ac:dyDescent="0.25">
      <c r="A274" s="6" t="s">
        <v>5</v>
      </c>
      <c r="B274" s="12">
        <v>8</v>
      </c>
      <c r="C274" s="12">
        <v>51</v>
      </c>
      <c r="D274" s="7">
        <v>1</v>
      </c>
      <c r="E274" s="6" t="s">
        <v>316</v>
      </c>
      <c r="F274" s="13" t="s">
        <v>317</v>
      </c>
      <c r="G274" s="13">
        <v>0</v>
      </c>
      <c r="H274" s="7">
        <v>0</v>
      </c>
      <c r="I274" s="14" t="s">
        <v>318</v>
      </c>
      <c r="J274" s="7" t="s">
        <v>1673</v>
      </c>
      <c r="K274" s="7" t="s">
        <v>1673</v>
      </c>
      <c r="L274" s="6" t="s">
        <v>1673</v>
      </c>
      <c r="M274" s="15" t="s">
        <v>1673</v>
      </c>
      <c r="N274" s="16" t="s">
        <v>1673</v>
      </c>
      <c r="O274" s="17" t="s">
        <v>1673</v>
      </c>
      <c r="P274" s="16" t="s">
        <v>1673</v>
      </c>
      <c r="Q274" s="17" t="s">
        <v>1673</v>
      </c>
    </row>
    <row r="275" spans="1:17" x14ac:dyDescent="0.25">
      <c r="A275" s="6" t="s">
        <v>5</v>
      </c>
      <c r="B275" s="12">
        <v>8</v>
      </c>
      <c r="C275" s="12">
        <v>51</v>
      </c>
      <c r="D275" s="7">
        <v>1</v>
      </c>
      <c r="E275" s="6" t="s">
        <v>316</v>
      </c>
      <c r="F275" s="13" t="s">
        <v>317</v>
      </c>
      <c r="G275" s="13">
        <v>0</v>
      </c>
      <c r="H275" s="7">
        <v>0</v>
      </c>
      <c r="I275" s="14" t="s">
        <v>319</v>
      </c>
      <c r="J275" s="7" t="s">
        <v>1673</v>
      </c>
      <c r="K275" s="7" t="s">
        <v>1673</v>
      </c>
      <c r="L275" s="6" t="s">
        <v>1673</v>
      </c>
      <c r="M275" s="15" t="s">
        <v>1673</v>
      </c>
      <c r="N275" s="16" t="s">
        <v>1673</v>
      </c>
      <c r="O275" s="17" t="s">
        <v>1673</v>
      </c>
      <c r="P275" s="16" t="s">
        <v>1673</v>
      </c>
      <c r="Q275" s="17" t="s">
        <v>1673</v>
      </c>
    </row>
    <row r="276" spans="1:17" x14ac:dyDescent="0.25">
      <c r="A276" s="6" t="s">
        <v>5</v>
      </c>
      <c r="B276" s="12">
        <v>8</v>
      </c>
      <c r="C276" s="12">
        <v>51</v>
      </c>
      <c r="D276" s="7">
        <v>1</v>
      </c>
      <c r="E276" s="6" t="s">
        <v>355</v>
      </c>
      <c r="F276" s="13" t="s">
        <v>320</v>
      </c>
      <c r="G276" s="13">
        <v>1</v>
      </c>
      <c r="H276" s="7">
        <v>5</v>
      </c>
      <c r="I276" s="14" t="s">
        <v>318</v>
      </c>
      <c r="J276" s="7">
        <v>2.0150000000000001</v>
      </c>
      <c r="K276" s="7">
        <v>44.2</v>
      </c>
      <c r="L276" s="6">
        <v>0</v>
      </c>
      <c r="M276" s="15">
        <v>0.12466285714285713</v>
      </c>
      <c r="N276" s="16">
        <v>125.59782857142858</v>
      </c>
      <c r="O276" s="17">
        <v>2755.0491428571427</v>
      </c>
      <c r="P276" s="16">
        <v>125.59782857142859</v>
      </c>
      <c r="Q276" s="17">
        <v>2755.0491428571427</v>
      </c>
    </row>
    <row r="277" spans="1:17" x14ac:dyDescent="0.25">
      <c r="A277" s="6" t="s">
        <v>5</v>
      </c>
      <c r="B277" s="12">
        <v>8</v>
      </c>
      <c r="C277" s="12">
        <v>51</v>
      </c>
      <c r="D277" s="7">
        <v>1</v>
      </c>
      <c r="E277" s="6" t="s">
        <v>355</v>
      </c>
      <c r="F277" s="13" t="s">
        <v>320</v>
      </c>
      <c r="G277" s="13">
        <v>1</v>
      </c>
      <c r="H277" s="7">
        <v>5</v>
      </c>
      <c r="I277" s="14" t="s">
        <v>319</v>
      </c>
      <c r="J277" s="7">
        <v>1.1479999999999999</v>
      </c>
      <c r="K277" s="7">
        <v>47.651000000000003</v>
      </c>
      <c r="L277" s="6">
        <v>0</v>
      </c>
      <c r="M277" s="15">
        <v>2.9714285714285715E-3</v>
      </c>
      <c r="N277" s="16">
        <v>1.7056</v>
      </c>
      <c r="O277" s="17">
        <v>70.795771428571442</v>
      </c>
      <c r="P277" s="16">
        <v>1.7056</v>
      </c>
      <c r="Q277" s="17">
        <v>70.795771428571442</v>
      </c>
    </row>
    <row r="278" spans="1:17" x14ac:dyDescent="0.25">
      <c r="A278" s="6" t="s">
        <v>5</v>
      </c>
      <c r="B278" s="12">
        <v>8</v>
      </c>
      <c r="C278" s="12">
        <v>51</v>
      </c>
      <c r="D278" s="7">
        <v>1</v>
      </c>
      <c r="E278" s="6" t="s">
        <v>355</v>
      </c>
      <c r="F278" s="13" t="s">
        <v>321</v>
      </c>
      <c r="G278" s="13">
        <v>2</v>
      </c>
      <c r="H278" s="7">
        <v>2.5</v>
      </c>
      <c r="I278" s="14" t="s">
        <v>318</v>
      </c>
      <c r="J278" s="7">
        <v>2.0739999999999998</v>
      </c>
      <c r="K278" s="7">
        <v>38.317</v>
      </c>
      <c r="L278" s="6">
        <v>0</v>
      </c>
      <c r="M278" s="15">
        <v>0.27128888888888891</v>
      </c>
      <c r="N278" s="16">
        <v>140.66328888888887</v>
      </c>
      <c r="O278" s="17">
        <v>2598.7440888888891</v>
      </c>
      <c r="P278" s="16">
        <v>281.3265777777778</v>
      </c>
      <c r="Q278" s="17">
        <v>5197.4881777777782</v>
      </c>
    </row>
    <row r="279" spans="1:17" x14ac:dyDescent="0.25">
      <c r="A279" s="6" t="s">
        <v>5</v>
      </c>
      <c r="B279" s="12">
        <v>8</v>
      </c>
      <c r="C279" s="12">
        <v>51</v>
      </c>
      <c r="D279" s="7">
        <v>1</v>
      </c>
      <c r="E279" s="6" t="s">
        <v>355</v>
      </c>
      <c r="F279" s="13" t="s">
        <v>321</v>
      </c>
      <c r="G279" s="13">
        <v>2</v>
      </c>
      <c r="H279" s="7">
        <v>2.5</v>
      </c>
      <c r="I279" s="14" t="s">
        <v>319</v>
      </c>
      <c r="J279" s="7" t="s">
        <v>1673</v>
      </c>
      <c r="K279" s="7" t="s">
        <v>1673</v>
      </c>
      <c r="L279" s="6" t="s">
        <v>1673</v>
      </c>
      <c r="M279" s="15" t="s">
        <v>1673</v>
      </c>
      <c r="N279" s="16" t="s">
        <v>1673</v>
      </c>
      <c r="O279" s="17" t="s">
        <v>1673</v>
      </c>
      <c r="P279" s="16" t="s">
        <v>1673</v>
      </c>
      <c r="Q279" s="17" t="s">
        <v>1673</v>
      </c>
    </row>
    <row r="280" spans="1:17" x14ac:dyDescent="0.25">
      <c r="A280" s="6" t="s">
        <v>5</v>
      </c>
      <c r="B280" s="12">
        <v>8</v>
      </c>
      <c r="C280" s="12">
        <v>51</v>
      </c>
      <c r="D280" s="7">
        <v>2</v>
      </c>
      <c r="E280" s="6" t="s">
        <v>316</v>
      </c>
      <c r="F280" s="13" t="s">
        <v>317</v>
      </c>
      <c r="G280" s="13">
        <v>0</v>
      </c>
      <c r="H280" s="7">
        <v>0</v>
      </c>
      <c r="I280" s="14" t="s">
        <v>318</v>
      </c>
      <c r="J280" s="7" t="s">
        <v>1673</v>
      </c>
      <c r="K280" s="7" t="s">
        <v>1673</v>
      </c>
      <c r="L280" s="6" t="s">
        <v>1673</v>
      </c>
      <c r="M280" s="15" t="s">
        <v>1673</v>
      </c>
      <c r="N280" s="16" t="s">
        <v>1673</v>
      </c>
      <c r="O280" s="17" t="s">
        <v>1673</v>
      </c>
      <c r="P280" s="16" t="s">
        <v>1673</v>
      </c>
      <c r="Q280" s="17" t="s">
        <v>1673</v>
      </c>
    </row>
    <row r="281" spans="1:17" x14ac:dyDescent="0.25">
      <c r="A281" s="6" t="s">
        <v>5</v>
      </c>
      <c r="B281" s="12">
        <v>8</v>
      </c>
      <c r="C281" s="12">
        <v>51</v>
      </c>
      <c r="D281" s="7">
        <v>2</v>
      </c>
      <c r="E281" s="6" t="s">
        <v>316</v>
      </c>
      <c r="F281" s="13" t="s">
        <v>317</v>
      </c>
      <c r="G281" s="13">
        <v>0</v>
      </c>
      <c r="H281" s="7">
        <v>0</v>
      </c>
      <c r="I281" s="14" t="s">
        <v>319</v>
      </c>
      <c r="J281" s="7" t="s">
        <v>1673</v>
      </c>
      <c r="K281" s="7" t="s">
        <v>1673</v>
      </c>
      <c r="L281" s="6" t="s">
        <v>1673</v>
      </c>
      <c r="M281" s="15" t="s">
        <v>1673</v>
      </c>
      <c r="N281" s="16" t="s">
        <v>1673</v>
      </c>
      <c r="O281" s="17" t="s">
        <v>1673</v>
      </c>
      <c r="P281" s="16" t="s">
        <v>1673</v>
      </c>
      <c r="Q281" s="17" t="s">
        <v>1673</v>
      </c>
    </row>
    <row r="282" spans="1:17" x14ac:dyDescent="0.25">
      <c r="A282" s="6" t="s">
        <v>5</v>
      </c>
      <c r="B282" s="12">
        <v>8</v>
      </c>
      <c r="C282" s="12">
        <v>51</v>
      </c>
      <c r="D282" s="7">
        <v>2</v>
      </c>
      <c r="E282" s="6" t="s">
        <v>355</v>
      </c>
      <c r="F282" s="13" t="s">
        <v>320</v>
      </c>
      <c r="G282" s="13">
        <v>1</v>
      </c>
      <c r="H282" s="7">
        <v>5</v>
      </c>
      <c r="I282" s="14" t="s">
        <v>318</v>
      </c>
      <c r="J282" s="7">
        <v>1.7290000000000001</v>
      </c>
      <c r="K282" s="7">
        <v>45.862000000000002</v>
      </c>
      <c r="L282" s="6">
        <v>0</v>
      </c>
      <c r="M282" s="15">
        <v>4.4200000000000003E-2</v>
      </c>
      <c r="N282" s="16">
        <v>38.210900000000009</v>
      </c>
      <c r="O282" s="17">
        <v>1013.5502000000002</v>
      </c>
      <c r="P282" s="16">
        <v>38.210900000000002</v>
      </c>
      <c r="Q282" s="17">
        <v>1013.5502</v>
      </c>
    </row>
    <row r="283" spans="1:17" x14ac:dyDescent="0.25">
      <c r="A283" s="6" t="s">
        <v>5</v>
      </c>
      <c r="B283" s="12">
        <v>8</v>
      </c>
      <c r="C283" s="12">
        <v>51</v>
      </c>
      <c r="D283" s="7">
        <v>2</v>
      </c>
      <c r="E283" s="6" t="s">
        <v>355</v>
      </c>
      <c r="F283" s="13" t="s">
        <v>320</v>
      </c>
      <c r="G283" s="13">
        <v>1</v>
      </c>
      <c r="H283" s="7">
        <v>5</v>
      </c>
      <c r="I283" s="14" t="s">
        <v>319</v>
      </c>
      <c r="J283" s="7" t="s">
        <v>1673</v>
      </c>
      <c r="K283" s="7" t="s">
        <v>1673</v>
      </c>
      <c r="L283" s="6" t="s">
        <v>1673</v>
      </c>
      <c r="M283" s="15" t="s">
        <v>1673</v>
      </c>
      <c r="N283" s="16" t="s">
        <v>1673</v>
      </c>
      <c r="O283" s="17" t="s">
        <v>1673</v>
      </c>
      <c r="P283" s="16" t="s">
        <v>1673</v>
      </c>
      <c r="Q283" s="17" t="s">
        <v>1673</v>
      </c>
    </row>
    <row r="284" spans="1:17" x14ac:dyDescent="0.25">
      <c r="A284" s="6" t="s">
        <v>5</v>
      </c>
      <c r="B284" s="12">
        <v>8</v>
      </c>
      <c r="C284" s="12">
        <v>51</v>
      </c>
      <c r="D284" s="7">
        <v>2</v>
      </c>
      <c r="E284" s="6" t="s">
        <v>355</v>
      </c>
      <c r="F284" s="13" t="s">
        <v>321</v>
      </c>
      <c r="G284" s="13">
        <v>2</v>
      </c>
      <c r="H284" s="7">
        <v>5</v>
      </c>
      <c r="I284" s="14" t="s">
        <v>318</v>
      </c>
      <c r="J284" s="7">
        <v>2.3889999999999998</v>
      </c>
      <c r="K284" s="7">
        <v>45.52</v>
      </c>
      <c r="L284" s="6">
        <v>0</v>
      </c>
      <c r="M284" s="15">
        <v>8.6222222222222214E-2</v>
      </c>
      <c r="N284" s="16">
        <v>102.99244444444444</v>
      </c>
      <c r="O284" s="17">
        <v>1962.4177777777782</v>
      </c>
      <c r="P284" s="16">
        <v>102.99244444444442</v>
      </c>
      <c r="Q284" s="17">
        <v>1962.4177777777779</v>
      </c>
    </row>
    <row r="285" spans="1:17" x14ac:dyDescent="0.25">
      <c r="A285" s="6" t="s">
        <v>5</v>
      </c>
      <c r="B285" s="12">
        <v>8</v>
      </c>
      <c r="C285" s="12">
        <v>51</v>
      </c>
      <c r="D285" s="7">
        <v>2</v>
      </c>
      <c r="E285" s="6" t="s">
        <v>355</v>
      </c>
      <c r="F285" s="13" t="s">
        <v>321</v>
      </c>
      <c r="G285" s="13">
        <v>2</v>
      </c>
      <c r="H285" s="7">
        <v>5</v>
      </c>
      <c r="I285" s="14" t="s">
        <v>319</v>
      </c>
      <c r="J285" s="7" t="s">
        <v>1673</v>
      </c>
      <c r="K285" s="7" t="s">
        <v>1673</v>
      </c>
      <c r="L285" s="6" t="s">
        <v>1673</v>
      </c>
      <c r="M285" s="15" t="s">
        <v>1673</v>
      </c>
      <c r="N285" s="16" t="s">
        <v>1673</v>
      </c>
      <c r="O285" s="17" t="s">
        <v>1673</v>
      </c>
      <c r="P285" s="16" t="s">
        <v>1673</v>
      </c>
      <c r="Q285" s="17" t="s">
        <v>1673</v>
      </c>
    </row>
    <row r="286" spans="1:17" x14ac:dyDescent="0.25">
      <c r="A286" s="6" t="s">
        <v>5</v>
      </c>
      <c r="B286" s="12">
        <v>8</v>
      </c>
      <c r="C286" s="12">
        <v>51</v>
      </c>
      <c r="D286" s="7">
        <v>2</v>
      </c>
      <c r="E286" s="6" t="s">
        <v>355</v>
      </c>
      <c r="F286" s="13" t="s">
        <v>322</v>
      </c>
      <c r="G286" s="13">
        <v>3</v>
      </c>
      <c r="H286" s="7">
        <v>5</v>
      </c>
      <c r="I286" s="14" t="s">
        <v>318</v>
      </c>
      <c r="J286" s="7">
        <v>2.6880000000000002</v>
      </c>
      <c r="K286" s="7">
        <v>45.804000000000002</v>
      </c>
      <c r="L286" s="6">
        <v>0</v>
      </c>
      <c r="M286" s="15">
        <v>7.8488888888888886E-2</v>
      </c>
      <c r="N286" s="16">
        <v>105.48906666666667</v>
      </c>
      <c r="O286" s="17">
        <v>1797.5525333333333</v>
      </c>
      <c r="P286" s="16">
        <v>105.48906666666666</v>
      </c>
      <c r="Q286" s="17">
        <v>1797.5525333333333</v>
      </c>
    </row>
    <row r="287" spans="1:17" x14ac:dyDescent="0.25">
      <c r="A287" s="6" t="s">
        <v>5</v>
      </c>
      <c r="B287" s="12">
        <v>8</v>
      </c>
      <c r="C287" s="12">
        <v>51</v>
      </c>
      <c r="D287" s="7">
        <v>2</v>
      </c>
      <c r="E287" s="6" t="s">
        <v>355</v>
      </c>
      <c r="F287" s="13" t="s">
        <v>322</v>
      </c>
      <c r="G287" s="13">
        <v>3</v>
      </c>
      <c r="H287" s="7">
        <v>5</v>
      </c>
      <c r="I287" s="14" t="s">
        <v>319</v>
      </c>
      <c r="J287" s="7">
        <v>1.5589999999999999</v>
      </c>
      <c r="K287" s="7">
        <v>52.484999999999999</v>
      </c>
      <c r="L287" s="6">
        <v>0</v>
      </c>
      <c r="M287" s="15">
        <v>7.0222222222222222E-3</v>
      </c>
      <c r="N287" s="16">
        <v>5.473822222222223</v>
      </c>
      <c r="O287" s="17">
        <v>184.28066666666669</v>
      </c>
      <c r="P287" s="16">
        <v>5.473822222222223</v>
      </c>
      <c r="Q287" s="17">
        <v>184.28066666666666</v>
      </c>
    </row>
    <row r="288" spans="1:17" x14ac:dyDescent="0.25">
      <c r="A288" s="6" t="s">
        <v>5</v>
      </c>
      <c r="B288" s="12">
        <v>8</v>
      </c>
      <c r="C288" s="12">
        <v>51</v>
      </c>
      <c r="D288" s="7">
        <v>2</v>
      </c>
      <c r="E288" s="6" t="s">
        <v>355</v>
      </c>
      <c r="F288" s="13" t="s">
        <v>324</v>
      </c>
      <c r="G288" s="18">
        <v>4</v>
      </c>
      <c r="H288" s="7">
        <v>3</v>
      </c>
      <c r="I288" s="14" t="s">
        <v>318</v>
      </c>
      <c r="J288" s="7">
        <v>2.6880000000000002</v>
      </c>
      <c r="K288" s="7">
        <v>39.643000000000001</v>
      </c>
      <c r="L288" s="6">
        <v>0</v>
      </c>
      <c r="M288" s="15">
        <v>0.1380952380952381</v>
      </c>
      <c r="N288" s="16">
        <v>111.36000000000001</v>
      </c>
      <c r="O288" s="17">
        <v>1642.3528571428574</v>
      </c>
      <c r="P288" s="16">
        <v>185.6</v>
      </c>
      <c r="Q288" s="17">
        <v>2737.2547619047623</v>
      </c>
    </row>
    <row r="289" spans="1:17" x14ac:dyDescent="0.25">
      <c r="A289" s="6" t="s">
        <v>5</v>
      </c>
      <c r="B289" s="12">
        <v>8</v>
      </c>
      <c r="C289" s="12">
        <v>51</v>
      </c>
      <c r="D289" s="7">
        <v>2</v>
      </c>
      <c r="E289" s="6" t="s">
        <v>355</v>
      </c>
      <c r="F289" s="13" t="s">
        <v>324</v>
      </c>
      <c r="G289" s="18">
        <v>4</v>
      </c>
      <c r="H289" s="7">
        <v>3</v>
      </c>
      <c r="I289" s="14" t="s">
        <v>319</v>
      </c>
      <c r="J289" s="7" t="s">
        <v>1673</v>
      </c>
      <c r="K289" s="7" t="s">
        <v>1673</v>
      </c>
      <c r="L289" s="6" t="s">
        <v>1673</v>
      </c>
      <c r="M289" s="15" t="s">
        <v>1673</v>
      </c>
      <c r="N289" s="16" t="s">
        <v>1673</v>
      </c>
      <c r="O289" s="17" t="s">
        <v>1673</v>
      </c>
      <c r="P289" s="16" t="s">
        <v>1673</v>
      </c>
      <c r="Q289" s="17" t="s">
        <v>1673</v>
      </c>
    </row>
    <row r="290" spans="1:17" x14ac:dyDescent="0.25">
      <c r="A290" s="6" t="s">
        <v>5</v>
      </c>
      <c r="B290" s="12">
        <v>8</v>
      </c>
      <c r="C290" s="12">
        <v>51</v>
      </c>
      <c r="D290" s="7">
        <v>3</v>
      </c>
      <c r="E290" s="6" t="s">
        <v>316</v>
      </c>
      <c r="F290" s="13" t="s">
        <v>317</v>
      </c>
      <c r="G290" s="13">
        <v>0</v>
      </c>
      <c r="H290" s="7">
        <v>0</v>
      </c>
      <c r="I290" s="14" t="s">
        <v>318</v>
      </c>
      <c r="J290" s="7" t="s">
        <v>1673</v>
      </c>
      <c r="K290" s="7" t="s">
        <v>1673</v>
      </c>
      <c r="L290" s="6" t="s">
        <v>1673</v>
      </c>
      <c r="M290" s="15" t="s">
        <v>1673</v>
      </c>
      <c r="N290" s="16" t="s">
        <v>1673</v>
      </c>
      <c r="O290" s="17" t="s">
        <v>1673</v>
      </c>
      <c r="P290" s="16" t="s">
        <v>1673</v>
      </c>
      <c r="Q290" s="17" t="s">
        <v>1673</v>
      </c>
    </row>
    <row r="291" spans="1:17" x14ac:dyDescent="0.25">
      <c r="A291" s="6" t="s">
        <v>5</v>
      </c>
      <c r="B291" s="12">
        <v>8</v>
      </c>
      <c r="C291" s="12">
        <v>51</v>
      </c>
      <c r="D291" s="7">
        <v>3</v>
      </c>
      <c r="E291" s="6" t="s">
        <v>316</v>
      </c>
      <c r="F291" s="13" t="s">
        <v>317</v>
      </c>
      <c r="G291" s="13">
        <v>0</v>
      </c>
      <c r="H291" s="7">
        <v>0</v>
      </c>
      <c r="I291" s="14" t="s">
        <v>319</v>
      </c>
      <c r="J291" s="7" t="s">
        <v>1673</v>
      </c>
      <c r="K291" s="7" t="s">
        <v>1673</v>
      </c>
      <c r="L291" s="6" t="s">
        <v>1673</v>
      </c>
      <c r="M291" s="15" t="s">
        <v>1673</v>
      </c>
      <c r="N291" s="16" t="s">
        <v>1673</v>
      </c>
      <c r="O291" s="17" t="s">
        <v>1673</v>
      </c>
      <c r="P291" s="16" t="s">
        <v>1673</v>
      </c>
      <c r="Q291" s="17" t="s">
        <v>1673</v>
      </c>
    </row>
    <row r="292" spans="1:17" x14ac:dyDescent="0.25">
      <c r="A292" s="6" t="s">
        <v>5</v>
      </c>
      <c r="B292" s="12">
        <v>8</v>
      </c>
      <c r="C292" s="12">
        <v>51</v>
      </c>
      <c r="D292" s="7">
        <v>3</v>
      </c>
      <c r="E292" s="6" t="s">
        <v>355</v>
      </c>
      <c r="F292" s="13" t="s">
        <v>320</v>
      </c>
      <c r="G292" s="13">
        <v>1</v>
      </c>
      <c r="H292" s="7">
        <v>5</v>
      </c>
      <c r="I292" s="14" t="s">
        <v>318</v>
      </c>
      <c r="J292" s="7">
        <v>1.294</v>
      </c>
      <c r="K292" s="7">
        <v>43.024999999999999</v>
      </c>
      <c r="L292" s="6">
        <v>0</v>
      </c>
      <c r="M292" s="15">
        <v>3.2300000000000002E-2</v>
      </c>
      <c r="N292" s="16">
        <v>20.898099999999999</v>
      </c>
      <c r="O292" s="17">
        <v>694.85374999999999</v>
      </c>
      <c r="P292" s="16">
        <v>20.898099999999999</v>
      </c>
      <c r="Q292" s="17">
        <v>694.85374999999988</v>
      </c>
    </row>
    <row r="293" spans="1:17" x14ac:dyDescent="0.25">
      <c r="A293" s="6" t="s">
        <v>5</v>
      </c>
      <c r="B293" s="12">
        <v>8</v>
      </c>
      <c r="C293" s="12">
        <v>51</v>
      </c>
      <c r="D293" s="7">
        <v>3</v>
      </c>
      <c r="E293" s="6" t="s">
        <v>355</v>
      </c>
      <c r="F293" s="13" t="s">
        <v>320</v>
      </c>
      <c r="G293" s="13">
        <v>1</v>
      </c>
      <c r="H293" s="7">
        <v>5</v>
      </c>
      <c r="I293" s="14" t="s">
        <v>319</v>
      </c>
      <c r="J293" s="7" t="s">
        <v>1673</v>
      </c>
      <c r="K293" s="7" t="s">
        <v>1673</v>
      </c>
      <c r="L293" s="6" t="s">
        <v>1673</v>
      </c>
      <c r="M293" s="15" t="s">
        <v>1673</v>
      </c>
      <c r="N293" s="16" t="s">
        <v>1673</v>
      </c>
      <c r="O293" s="17" t="s">
        <v>1673</v>
      </c>
      <c r="P293" s="16" t="s">
        <v>1673</v>
      </c>
      <c r="Q293" s="17" t="s">
        <v>1673</v>
      </c>
    </row>
    <row r="294" spans="1:17" x14ac:dyDescent="0.25">
      <c r="A294" s="6" t="s">
        <v>5</v>
      </c>
      <c r="B294" s="12">
        <v>8</v>
      </c>
      <c r="C294" s="12">
        <v>51</v>
      </c>
      <c r="D294" s="7">
        <v>3</v>
      </c>
      <c r="E294" s="6" t="s">
        <v>355</v>
      </c>
      <c r="F294" s="13" t="s">
        <v>321</v>
      </c>
      <c r="G294" s="13">
        <v>2</v>
      </c>
      <c r="H294" s="7">
        <v>5</v>
      </c>
      <c r="I294" s="14" t="s">
        <v>318</v>
      </c>
      <c r="J294" s="7">
        <v>1.032</v>
      </c>
      <c r="K294" s="7">
        <v>41.375</v>
      </c>
      <c r="L294" s="6">
        <v>0</v>
      </c>
      <c r="M294" s="15">
        <v>4.5066666666666665E-2</v>
      </c>
      <c r="N294" s="16">
        <v>23.2544</v>
      </c>
      <c r="O294" s="17">
        <v>932.31666666666661</v>
      </c>
      <c r="P294" s="16">
        <v>23.254400000000004</v>
      </c>
      <c r="Q294" s="17">
        <v>932.31666666666672</v>
      </c>
    </row>
    <row r="295" spans="1:17" x14ac:dyDescent="0.25">
      <c r="A295" s="6" t="s">
        <v>5</v>
      </c>
      <c r="B295" s="12">
        <v>8</v>
      </c>
      <c r="C295" s="12">
        <v>51</v>
      </c>
      <c r="D295" s="7">
        <v>3</v>
      </c>
      <c r="E295" s="6" t="s">
        <v>355</v>
      </c>
      <c r="F295" s="13" t="s">
        <v>321</v>
      </c>
      <c r="G295" s="13">
        <v>2</v>
      </c>
      <c r="H295" s="7">
        <v>5</v>
      </c>
      <c r="I295" s="14" t="s">
        <v>319</v>
      </c>
      <c r="J295" s="7" t="s">
        <v>1673</v>
      </c>
      <c r="K295" s="7" t="s">
        <v>1673</v>
      </c>
      <c r="L295" s="6" t="s">
        <v>1673</v>
      </c>
      <c r="M295" s="15" t="s">
        <v>1673</v>
      </c>
      <c r="N295" s="16" t="s">
        <v>1673</v>
      </c>
      <c r="O295" s="17" t="s">
        <v>1673</v>
      </c>
      <c r="P295" s="16" t="s">
        <v>1673</v>
      </c>
      <c r="Q295" s="17" t="s">
        <v>1673</v>
      </c>
    </row>
    <row r="296" spans="1:17" x14ac:dyDescent="0.25">
      <c r="A296" s="6" t="s">
        <v>5</v>
      </c>
      <c r="B296" s="12">
        <v>8</v>
      </c>
      <c r="C296" s="12">
        <v>51</v>
      </c>
      <c r="D296" s="7">
        <v>3</v>
      </c>
      <c r="E296" s="6" t="s">
        <v>355</v>
      </c>
      <c r="F296" s="13" t="s">
        <v>322</v>
      </c>
      <c r="G296" s="13">
        <v>3</v>
      </c>
      <c r="H296" s="7">
        <v>5</v>
      </c>
      <c r="I296" s="14" t="s">
        <v>318</v>
      </c>
      <c r="J296" s="7">
        <v>1.52</v>
      </c>
      <c r="K296" s="7">
        <v>37.543999999999997</v>
      </c>
      <c r="L296" s="6">
        <v>0</v>
      </c>
      <c r="M296" s="15">
        <v>0.1047111111111111</v>
      </c>
      <c r="N296" s="16">
        <v>79.580444444444453</v>
      </c>
      <c r="O296" s="17">
        <v>1965.6369777777777</v>
      </c>
      <c r="P296" s="16">
        <v>79.580444444444439</v>
      </c>
      <c r="Q296" s="17">
        <v>1965.6369777777777</v>
      </c>
    </row>
    <row r="297" spans="1:17" x14ac:dyDescent="0.25">
      <c r="A297" s="6" t="s">
        <v>5</v>
      </c>
      <c r="B297" s="12">
        <v>8</v>
      </c>
      <c r="C297" s="12">
        <v>51</v>
      </c>
      <c r="D297" s="7">
        <v>3</v>
      </c>
      <c r="E297" s="6" t="s">
        <v>355</v>
      </c>
      <c r="F297" s="13" t="s">
        <v>322</v>
      </c>
      <c r="G297" s="13">
        <v>3</v>
      </c>
      <c r="H297" s="7">
        <v>5</v>
      </c>
      <c r="I297" s="14" t="s">
        <v>319</v>
      </c>
      <c r="J297" s="7" t="s">
        <v>1673</v>
      </c>
      <c r="K297" s="7" t="s">
        <v>1673</v>
      </c>
      <c r="L297" s="6" t="s">
        <v>1673</v>
      </c>
      <c r="M297" s="15" t="s">
        <v>1673</v>
      </c>
      <c r="N297" s="16" t="s">
        <v>1673</v>
      </c>
      <c r="O297" s="17" t="s">
        <v>1673</v>
      </c>
      <c r="P297" s="16" t="s">
        <v>1673</v>
      </c>
      <c r="Q297" s="17" t="s">
        <v>1673</v>
      </c>
    </row>
    <row r="298" spans="1:17" x14ac:dyDescent="0.25">
      <c r="A298" s="6" t="s">
        <v>5</v>
      </c>
      <c r="B298" s="12">
        <v>8</v>
      </c>
      <c r="C298" s="12">
        <v>51</v>
      </c>
      <c r="D298" s="7">
        <v>3</v>
      </c>
      <c r="E298" s="6" t="s">
        <v>355</v>
      </c>
      <c r="F298" s="13" t="s">
        <v>324</v>
      </c>
      <c r="G298" s="18">
        <v>4</v>
      </c>
      <c r="H298" s="7">
        <v>5</v>
      </c>
      <c r="I298" s="14" t="s">
        <v>318</v>
      </c>
      <c r="J298" s="7">
        <v>1.6739999999999999</v>
      </c>
      <c r="K298" s="7">
        <v>38.326000000000001</v>
      </c>
      <c r="L298" s="6">
        <v>0</v>
      </c>
      <c r="M298" s="15">
        <v>0.10938666666666666</v>
      </c>
      <c r="N298" s="16">
        <v>91.556639999999987</v>
      </c>
      <c r="O298" s="17">
        <v>2096.1766933333333</v>
      </c>
      <c r="P298" s="16">
        <v>91.556639999999973</v>
      </c>
      <c r="Q298" s="17">
        <v>2096.1766933333333</v>
      </c>
    </row>
    <row r="299" spans="1:17" x14ac:dyDescent="0.25">
      <c r="A299" s="6" t="s">
        <v>5</v>
      </c>
      <c r="B299" s="12">
        <v>8</v>
      </c>
      <c r="C299" s="12">
        <v>51</v>
      </c>
      <c r="D299" s="7">
        <v>3</v>
      </c>
      <c r="E299" s="6" t="s">
        <v>355</v>
      </c>
      <c r="F299" s="13" t="s">
        <v>324</v>
      </c>
      <c r="G299" s="18">
        <v>4</v>
      </c>
      <c r="H299" s="7">
        <v>5</v>
      </c>
      <c r="I299" s="14" t="s">
        <v>319</v>
      </c>
      <c r="J299" s="7">
        <v>1.2569999999999999</v>
      </c>
      <c r="K299" s="7">
        <v>47.215000000000003</v>
      </c>
      <c r="L299" s="6">
        <v>0</v>
      </c>
      <c r="M299" s="15">
        <v>8.8888888888888893E-4</v>
      </c>
      <c r="N299" s="16">
        <v>0.55866666666666664</v>
      </c>
      <c r="O299" s="17">
        <v>20.984444444444446</v>
      </c>
      <c r="P299" s="16">
        <v>0.55866666666666664</v>
      </c>
      <c r="Q299" s="17">
        <v>20.984444444444446</v>
      </c>
    </row>
    <row r="300" spans="1:17" x14ac:dyDescent="0.25">
      <c r="A300" s="6" t="s">
        <v>5</v>
      </c>
      <c r="B300" s="12">
        <v>8</v>
      </c>
      <c r="C300" s="12">
        <v>51</v>
      </c>
      <c r="D300" s="7">
        <v>3</v>
      </c>
      <c r="E300" s="6" t="s">
        <v>355</v>
      </c>
      <c r="F300" s="13" t="s">
        <v>325</v>
      </c>
      <c r="G300" s="18">
        <v>5</v>
      </c>
      <c r="H300" s="7">
        <v>3</v>
      </c>
      <c r="I300" s="14" t="s">
        <v>318</v>
      </c>
      <c r="J300" s="7">
        <v>2.028</v>
      </c>
      <c r="K300" s="7">
        <v>42.55</v>
      </c>
      <c r="L300" s="6">
        <v>0</v>
      </c>
      <c r="M300" s="15">
        <v>0.12316666666666666</v>
      </c>
      <c r="N300" s="16">
        <v>74.934599999999989</v>
      </c>
      <c r="O300" s="17">
        <v>1572.2224999999999</v>
      </c>
      <c r="P300" s="16">
        <v>124.89099999999999</v>
      </c>
      <c r="Q300" s="17">
        <v>2620.3708333333329</v>
      </c>
    </row>
    <row r="301" spans="1:17" x14ac:dyDescent="0.25">
      <c r="A301" s="6" t="s">
        <v>5</v>
      </c>
      <c r="B301" s="12">
        <v>8</v>
      </c>
      <c r="C301" s="12">
        <v>51</v>
      </c>
      <c r="D301" s="7">
        <v>3</v>
      </c>
      <c r="E301" s="6" t="s">
        <v>355</v>
      </c>
      <c r="F301" s="13" t="s">
        <v>325</v>
      </c>
      <c r="G301" s="18">
        <v>5</v>
      </c>
      <c r="H301" s="7">
        <v>3</v>
      </c>
      <c r="I301" s="14" t="s">
        <v>319</v>
      </c>
      <c r="J301" s="7" t="s">
        <v>1673</v>
      </c>
      <c r="K301" s="7" t="s">
        <v>1673</v>
      </c>
      <c r="L301" s="6" t="s">
        <v>1673</v>
      </c>
      <c r="M301" s="15" t="s">
        <v>1673</v>
      </c>
      <c r="N301" s="16" t="s">
        <v>1673</v>
      </c>
      <c r="O301" s="17" t="s">
        <v>1673</v>
      </c>
      <c r="P301" s="16" t="s">
        <v>1673</v>
      </c>
      <c r="Q301" s="17" t="s">
        <v>1673</v>
      </c>
    </row>
    <row r="302" spans="1:17" x14ac:dyDescent="0.25">
      <c r="A302" s="6" t="s">
        <v>5</v>
      </c>
      <c r="B302" s="12">
        <v>8</v>
      </c>
      <c r="C302" s="12">
        <v>51</v>
      </c>
      <c r="D302" s="7">
        <v>4</v>
      </c>
      <c r="E302" s="6" t="s">
        <v>316</v>
      </c>
      <c r="F302" s="13" t="s">
        <v>317</v>
      </c>
      <c r="G302" s="13">
        <v>0</v>
      </c>
      <c r="H302" s="7">
        <v>0</v>
      </c>
      <c r="I302" s="14" t="s">
        <v>318</v>
      </c>
      <c r="J302" s="7" t="s">
        <v>1673</v>
      </c>
      <c r="K302" s="7" t="s">
        <v>1673</v>
      </c>
      <c r="L302" s="6" t="s">
        <v>1673</v>
      </c>
      <c r="M302" s="15" t="s">
        <v>1673</v>
      </c>
      <c r="N302" s="16" t="s">
        <v>1673</v>
      </c>
      <c r="O302" s="17" t="s">
        <v>1673</v>
      </c>
      <c r="P302" s="16" t="s">
        <v>1673</v>
      </c>
      <c r="Q302" s="17" t="s">
        <v>1673</v>
      </c>
    </row>
    <row r="303" spans="1:17" x14ac:dyDescent="0.25">
      <c r="A303" s="6" t="s">
        <v>5</v>
      </c>
      <c r="B303" s="12">
        <v>8</v>
      </c>
      <c r="C303" s="12">
        <v>51</v>
      </c>
      <c r="D303" s="7">
        <v>4</v>
      </c>
      <c r="E303" s="6" t="s">
        <v>316</v>
      </c>
      <c r="F303" s="13" t="s">
        <v>317</v>
      </c>
      <c r="G303" s="13">
        <v>0</v>
      </c>
      <c r="H303" s="7">
        <v>0</v>
      </c>
      <c r="I303" s="14" t="s">
        <v>319</v>
      </c>
      <c r="J303" s="7" t="s">
        <v>1673</v>
      </c>
      <c r="K303" s="7" t="s">
        <v>1673</v>
      </c>
      <c r="L303" s="6" t="s">
        <v>1673</v>
      </c>
      <c r="M303" s="15" t="s">
        <v>1673</v>
      </c>
      <c r="N303" s="16" t="s">
        <v>1673</v>
      </c>
      <c r="O303" s="17" t="s">
        <v>1673</v>
      </c>
      <c r="P303" s="16" t="s">
        <v>1673</v>
      </c>
      <c r="Q303" s="17" t="s">
        <v>1673</v>
      </c>
    </row>
    <row r="304" spans="1:17" x14ac:dyDescent="0.25">
      <c r="A304" s="6" t="s">
        <v>5</v>
      </c>
      <c r="B304" s="12">
        <v>8</v>
      </c>
      <c r="C304" s="12">
        <v>51</v>
      </c>
      <c r="D304" s="7">
        <v>4</v>
      </c>
      <c r="E304" s="6" t="s">
        <v>355</v>
      </c>
      <c r="F304" s="13" t="s">
        <v>320</v>
      </c>
      <c r="G304" s="13">
        <v>1</v>
      </c>
      <c r="H304" s="7">
        <v>5</v>
      </c>
      <c r="I304" s="14" t="s">
        <v>318</v>
      </c>
      <c r="J304" s="7">
        <v>1.9359999999999999</v>
      </c>
      <c r="K304" s="7">
        <v>43.973999999999997</v>
      </c>
      <c r="L304" s="6">
        <v>0</v>
      </c>
      <c r="M304" s="15">
        <v>0.10231999999999999</v>
      </c>
      <c r="N304" s="16">
        <v>99.045759999999987</v>
      </c>
      <c r="O304" s="17">
        <v>2249.70984</v>
      </c>
      <c r="P304" s="16">
        <v>99.045759999999987</v>
      </c>
      <c r="Q304" s="17">
        <v>2249.7098399999995</v>
      </c>
    </row>
    <row r="305" spans="1:17" x14ac:dyDescent="0.25">
      <c r="A305" s="6" t="s">
        <v>5</v>
      </c>
      <c r="B305" s="12">
        <v>8</v>
      </c>
      <c r="C305" s="12">
        <v>51</v>
      </c>
      <c r="D305" s="7">
        <v>4</v>
      </c>
      <c r="E305" s="6" t="s">
        <v>355</v>
      </c>
      <c r="F305" s="13" t="s">
        <v>320</v>
      </c>
      <c r="G305" s="13">
        <v>1</v>
      </c>
      <c r="H305" s="7">
        <v>5</v>
      </c>
      <c r="I305" s="14" t="s">
        <v>319</v>
      </c>
      <c r="J305" s="7">
        <v>1.1879999999999999</v>
      </c>
      <c r="K305" s="7">
        <v>48.640999999999998</v>
      </c>
      <c r="L305" s="6">
        <v>0</v>
      </c>
      <c r="M305" s="15">
        <v>3.0971428571428573E-3</v>
      </c>
      <c r="N305" s="16">
        <v>1.8397028571428575</v>
      </c>
      <c r="O305" s="17">
        <v>75.324062857142877</v>
      </c>
      <c r="P305" s="16">
        <v>1.8397028571428571</v>
      </c>
      <c r="Q305" s="17">
        <v>75.324062857142863</v>
      </c>
    </row>
    <row r="306" spans="1:17" x14ac:dyDescent="0.25">
      <c r="A306" s="6" t="s">
        <v>5</v>
      </c>
      <c r="B306" s="12">
        <v>8</v>
      </c>
      <c r="C306" s="12">
        <v>51</v>
      </c>
      <c r="D306" s="7">
        <v>4</v>
      </c>
      <c r="E306" s="6" t="s">
        <v>355</v>
      </c>
      <c r="F306" s="13" t="s">
        <v>321</v>
      </c>
      <c r="G306" s="13">
        <v>2</v>
      </c>
      <c r="H306" s="7">
        <v>5</v>
      </c>
      <c r="I306" s="14" t="s">
        <v>318</v>
      </c>
      <c r="J306" s="7">
        <v>2.5350000000000001</v>
      </c>
      <c r="K306" s="7">
        <v>42.268999999999998</v>
      </c>
      <c r="L306" s="6">
        <v>0</v>
      </c>
      <c r="M306" s="15">
        <v>0.19733714285714285</v>
      </c>
      <c r="N306" s="16">
        <v>250.12482857142854</v>
      </c>
      <c r="O306" s="17">
        <v>4170.621845714285</v>
      </c>
      <c r="P306" s="16">
        <v>250.12482857142859</v>
      </c>
      <c r="Q306" s="17">
        <v>4170.6218457142859</v>
      </c>
    </row>
    <row r="307" spans="1:17" x14ac:dyDescent="0.25">
      <c r="A307" s="6" t="s">
        <v>5</v>
      </c>
      <c r="B307" s="12">
        <v>8</v>
      </c>
      <c r="C307" s="12">
        <v>51</v>
      </c>
      <c r="D307" s="7">
        <v>4</v>
      </c>
      <c r="E307" s="6" t="s">
        <v>355</v>
      </c>
      <c r="F307" s="13" t="s">
        <v>321</v>
      </c>
      <c r="G307" s="13">
        <v>2</v>
      </c>
      <c r="H307" s="7">
        <v>5</v>
      </c>
      <c r="I307" s="14" t="s">
        <v>319</v>
      </c>
      <c r="J307" s="7" t="s">
        <v>1673</v>
      </c>
      <c r="K307" s="7" t="s">
        <v>1673</v>
      </c>
      <c r="L307" s="6" t="s">
        <v>1673</v>
      </c>
      <c r="M307" s="15" t="s">
        <v>1673</v>
      </c>
      <c r="N307" s="16" t="s">
        <v>1673</v>
      </c>
      <c r="O307" s="17" t="s">
        <v>1673</v>
      </c>
      <c r="P307" s="16" t="s">
        <v>1673</v>
      </c>
      <c r="Q307" s="17" t="s">
        <v>1673</v>
      </c>
    </row>
    <row r="308" spans="1:17" x14ac:dyDescent="0.25">
      <c r="A308" s="6" t="s">
        <v>5</v>
      </c>
      <c r="B308" s="12">
        <v>8</v>
      </c>
      <c r="C308" s="12">
        <v>51</v>
      </c>
      <c r="D308" s="7">
        <v>4</v>
      </c>
      <c r="E308" s="6" t="s">
        <v>355</v>
      </c>
      <c r="F308" s="13" t="s">
        <v>322</v>
      </c>
      <c r="G308" s="13">
        <v>3</v>
      </c>
      <c r="H308" s="7">
        <v>2</v>
      </c>
      <c r="I308" s="14" t="s">
        <v>318</v>
      </c>
      <c r="J308" s="7">
        <v>1.4570000000000001</v>
      </c>
      <c r="K308" s="7">
        <v>24.651</v>
      </c>
      <c r="L308" s="6">
        <v>0</v>
      </c>
      <c r="M308" s="15">
        <v>0.32057142857142856</v>
      </c>
      <c r="N308" s="16">
        <v>93.41451428571429</v>
      </c>
      <c r="O308" s="17">
        <v>1580.4812571428572</v>
      </c>
      <c r="P308" s="16">
        <v>233.53628571428573</v>
      </c>
      <c r="Q308" s="17">
        <v>3951.2031428571431</v>
      </c>
    </row>
    <row r="309" spans="1:17" x14ac:dyDescent="0.25">
      <c r="A309" s="6" t="s">
        <v>5</v>
      </c>
      <c r="B309" s="12">
        <v>8</v>
      </c>
      <c r="C309" s="12">
        <v>51</v>
      </c>
      <c r="D309" s="7">
        <v>4</v>
      </c>
      <c r="E309" s="6" t="s">
        <v>355</v>
      </c>
      <c r="F309" s="13" t="s">
        <v>322</v>
      </c>
      <c r="G309" s="13">
        <v>3</v>
      </c>
      <c r="H309" s="7">
        <v>2</v>
      </c>
      <c r="I309" s="14" t="s">
        <v>319</v>
      </c>
      <c r="J309" s="7" t="s">
        <v>1673</v>
      </c>
      <c r="K309" s="7" t="s">
        <v>1673</v>
      </c>
      <c r="L309" s="6" t="s">
        <v>1673</v>
      </c>
      <c r="M309" s="15" t="s">
        <v>1673</v>
      </c>
      <c r="N309" s="16" t="s">
        <v>1673</v>
      </c>
      <c r="O309" s="17" t="s">
        <v>1673</v>
      </c>
      <c r="P309" s="16" t="s">
        <v>1673</v>
      </c>
      <c r="Q309" s="17" t="s">
        <v>1673</v>
      </c>
    </row>
    <row r="310" spans="1:17" x14ac:dyDescent="0.25">
      <c r="A310" s="6" t="s">
        <v>5</v>
      </c>
      <c r="B310" s="12">
        <v>8</v>
      </c>
      <c r="C310" s="12">
        <v>51</v>
      </c>
      <c r="D310" s="7">
        <v>5</v>
      </c>
      <c r="E310" s="6" t="s">
        <v>316</v>
      </c>
      <c r="F310" s="13" t="s">
        <v>317</v>
      </c>
      <c r="G310" s="13">
        <v>0</v>
      </c>
      <c r="H310" s="7">
        <v>8</v>
      </c>
      <c r="I310" s="14" t="s">
        <v>318</v>
      </c>
      <c r="J310" s="7">
        <v>3.3690000000000002</v>
      </c>
      <c r="K310" s="7">
        <v>44.603000000000002</v>
      </c>
      <c r="L310" s="6">
        <v>0</v>
      </c>
      <c r="M310" s="15" t="s">
        <v>1673</v>
      </c>
      <c r="N310" s="16" t="s">
        <v>1673</v>
      </c>
      <c r="O310" s="17" t="s">
        <v>1673</v>
      </c>
      <c r="P310" s="16" t="s">
        <v>1673</v>
      </c>
      <c r="Q310" s="17" t="s">
        <v>1673</v>
      </c>
    </row>
    <row r="311" spans="1:17" x14ac:dyDescent="0.25">
      <c r="A311" s="6" t="s">
        <v>5</v>
      </c>
      <c r="B311" s="12">
        <v>8</v>
      </c>
      <c r="C311" s="12">
        <v>51</v>
      </c>
      <c r="D311" s="7">
        <v>5</v>
      </c>
      <c r="E311" s="6" t="s">
        <v>316</v>
      </c>
      <c r="F311" s="13" t="s">
        <v>317</v>
      </c>
      <c r="G311" s="13">
        <v>0</v>
      </c>
      <c r="H311" s="7">
        <v>8</v>
      </c>
      <c r="I311" s="14" t="s">
        <v>319</v>
      </c>
      <c r="J311" s="7" t="s">
        <v>1673</v>
      </c>
      <c r="K311" s="7" t="s">
        <v>1673</v>
      </c>
      <c r="L311" s="6" t="s">
        <v>1673</v>
      </c>
      <c r="M311" s="15" t="s">
        <v>1673</v>
      </c>
      <c r="N311" s="16" t="s">
        <v>1673</v>
      </c>
      <c r="O311" s="17" t="s">
        <v>1673</v>
      </c>
      <c r="P311" s="16" t="s">
        <v>1673</v>
      </c>
      <c r="Q311" s="17" t="s">
        <v>1673</v>
      </c>
    </row>
    <row r="312" spans="1:17" x14ac:dyDescent="0.25">
      <c r="A312" s="6" t="s">
        <v>5</v>
      </c>
      <c r="B312" s="12">
        <v>8</v>
      </c>
      <c r="C312" s="12">
        <v>51</v>
      </c>
      <c r="D312" s="7">
        <v>5</v>
      </c>
      <c r="E312" s="6" t="s">
        <v>355</v>
      </c>
      <c r="F312" s="13" t="s">
        <v>320</v>
      </c>
      <c r="G312" s="13">
        <v>1</v>
      </c>
      <c r="H312" s="7">
        <v>5</v>
      </c>
      <c r="I312" s="14" t="s">
        <v>318</v>
      </c>
      <c r="J312" s="7">
        <v>1.302</v>
      </c>
      <c r="K312" s="7">
        <v>44.991999999999997</v>
      </c>
      <c r="L312" s="6">
        <v>0</v>
      </c>
      <c r="M312" s="15">
        <v>3.8592207792207796E-2</v>
      </c>
      <c r="N312" s="16">
        <v>25.123527272727276</v>
      </c>
      <c r="O312" s="17">
        <v>868.17030649350659</v>
      </c>
      <c r="P312" s="16">
        <v>25.123527272727276</v>
      </c>
      <c r="Q312" s="17">
        <v>868.17030649350659</v>
      </c>
    </row>
    <row r="313" spans="1:17" x14ac:dyDescent="0.25">
      <c r="A313" s="6" t="s">
        <v>5</v>
      </c>
      <c r="B313" s="12">
        <v>8</v>
      </c>
      <c r="C313" s="12">
        <v>51</v>
      </c>
      <c r="D313" s="7">
        <v>5</v>
      </c>
      <c r="E313" s="6" t="s">
        <v>355</v>
      </c>
      <c r="F313" s="13" t="s">
        <v>320</v>
      </c>
      <c r="G313" s="13">
        <v>1</v>
      </c>
      <c r="H313" s="7">
        <v>5</v>
      </c>
      <c r="I313" s="14" t="s">
        <v>319</v>
      </c>
      <c r="J313" s="7">
        <v>0.41299999999999998</v>
      </c>
      <c r="K313" s="7">
        <v>48.149000000000001</v>
      </c>
      <c r="L313" s="6">
        <v>0</v>
      </c>
      <c r="M313" s="15">
        <v>1.1584415584415585E-3</v>
      </c>
      <c r="N313" s="16">
        <v>0.2392181818181818</v>
      </c>
      <c r="O313" s="17">
        <v>27.888901298701299</v>
      </c>
      <c r="P313" s="16">
        <v>0.2392181818181818</v>
      </c>
      <c r="Q313" s="17">
        <v>27.888901298701303</v>
      </c>
    </row>
    <row r="314" spans="1:17" x14ac:dyDescent="0.25">
      <c r="A314" s="6" t="s">
        <v>5</v>
      </c>
      <c r="B314" s="12">
        <v>8</v>
      </c>
      <c r="C314" s="12">
        <v>51</v>
      </c>
      <c r="D314" s="7">
        <v>5</v>
      </c>
      <c r="E314" s="6" t="s">
        <v>355</v>
      </c>
      <c r="F314" s="13" t="s">
        <v>321</v>
      </c>
      <c r="G314" s="13">
        <v>2</v>
      </c>
      <c r="H314" s="7">
        <v>5</v>
      </c>
      <c r="I314" s="14" t="s">
        <v>318</v>
      </c>
      <c r="J314" s="7">
        <v>1.3959999999999999</v>
      </c>
      <c r="K314" s="7">
        <v>43.088000000000001</v>
      </c>
      <c r="L314" s="6">
        <v>0</v>
      </c>
      <c r="M314" s="15">
        <v>5.0161038961038962E-2</v>
      </c>
      <c r="N314" s="16">
        <v>35.012405194805197</v>
      </c>
      <c r="O314" s="17">
        <v>1080.6694233766234</v>
      </c>
      <c r="P314" s="16">
        <v>35.01240519480519</v>
      </c>
      <c r="Q314" s="17">
        <v>1080.6694233766232</v>
      </c>
    </row>
    <row r="315" spans="1:17" x14ac:dyDescent="0.25">
      <c r="A315" s="6" t="s">
        <v>5</v>
      </c>
      <c r="B315" s="12">
        <v>8</v>
      </c>
      <c r="C315" s="12">
        <v>51</v>
      </c>
      <c r="D315" s="7">
        <v>5</v>
      </c>
      <c r="E315" s="6" t="s">
        <v>355</v>
      </c>
      <c r="F315" s="13" t="s">
        <v>321</v>
      </c>
      <c r="G315" s="13">
        <v>2</v>
      </c>
      <c r="H315" s="7">
        <v>5</v>
      </c>
      <c r="I315" s="14" t="s">
        <v>319</v>
      </c>
      <c r="J315" s="7">
        <v>0.68100000000000005</v>
      </c>
      <c r="K315" s="7">
        <v>47.057000000000002</v>
      </c>
      <c r="L315" s="6">
        <v>0</v>
      </c>
      <c r="M315" s="15">
        <v>1.1812987012987013E-2</v>
      </c>
      <c r="N315" s="16">
        <v>4.0223220779220776</v>
      </c>
      <c r="O315" s="17">
        <v>277.94186493506493</v>
      </c>
      <c r="P315" s="16">
        <v>4.0223220779220776</v>
      </c>
      <c r="Q315" s="17">
        <v>277.94186493506493</v>
      </c>
    </row>
    <row r="316" spans="1:17" x14ac:dyDescent="0.25">
      <c r="A316" s="6" t="s">
        <v>5</v>
      </c>
      <c r="B316" s="12">
        <v>8</v>
      </c>
      <c r="C316" s="12">
        <v>51</v>
      </c>
      <c r="D316" s="7">
        <v>5</v>
      </c>
      <c r="E316" s="6" t="s">
        <v>355</v>
      </c>
      <c r="F316" s="13" t="s">
        <v>322</v>
      </c>
      <c r="G316" s="13">
        <v>3</v>
      </c>
      <c r="H316" s="7">
        <v>5</v>
      </c>
      <c r="I316" s="14" t="s">
        <v>318</v>
      </c>
      <c r="J316" s="7">
        <v>0.505</v>
      </c>
      <c r="K316" s="7">
        <v>14.074999999999999</v>
      </c>
      <c r="L316" s="6">
        <v>1</v>
      </c>
      <c r="M316" s="15">
        <v>6.1433766233766236E-2</v>
      </c>
      <c r="N316" s="16">
        <v>15.512025974025974</v>
      </c>
      <c r="O316" s="17">
        <v>432.34012987012983</v>
      </c>
      <c r="P316" s="16">
        <v>15.512025974025974</v>
      </c>
      <c r="Q316" s="17">
        <v>432.34012987012983</v>
      </c>
    </row>
    <row r="317" spans="1:17" x14ac:dyDescent="0.25">
      <c r="A317" s="6" t="s">
        <v>5</v>
      </c>
      <c r="B317" s="12">
        <v>8</v>
      </c>
      <c r="C317" s="12">
        <v>51</v>
      </c>
      <c r="D317" s="7">
        <v>5</v>
      </c>
      <c r="E317" s="6" t="s">
        <v>355</v>
      </c>
      <c r="F317" s="13" t="s">
        <v>322</v>
      </c>
      <c r="G317" s="13">
        <v>3</v>
      </c>
      <c r="H317" s="7">
        <v>5</v>
      </c>
      <c r="I317" s="14" t="s">
        <v>319</v>
      </c>
      <c r="J317" s="7">
        <v>0.63100000000000001</v>
      </c>
      <c r="K317" s="7">
        <v>46.387999999999998</v>
      </c>
      <c r="L317" s="6">
        <v>0</v>
      </c>
      <c r="M317" s="15">
        <v>4.4425974025974022E-2</v>
      </c>
      <c r="N317" s="16">
        <v>14.016394805194802</v>
      </c>
      <c r="O317" s="17">
        <v>1030.4160415584413</v>
      </c>
      <c r="P317" s="16">
        <v>14.016394805194805</v>
      </c>
      <c r="Q317" s="17">
        <v>1030.4160415584413</v>
      </c>
    </row>
    <row r="318" spans="1:17" x14ac:dyDescent="0.25">
      <c r="A318" s="6" t="s">
        <v>5</v>
      </c>
      <c r="B318" s="12">
        <v>8</v>
      </c>
      <c r="C318" s="12">
        <v>51</v>
      </c>
      <c r="D318" s="7">
        <v>5</v>
      </c>
      <c r="E318" s="6" t="s">
        <v>355</v>
      </c>
      <c r="F318" s="13" t="s">
        <v>324</v>
      </c>
      <c r="G318" s="18">
        <v>4</v>
      </c>
      <c r="H318" s="7">
        <v>5</v>
      </c>
      <c r="I318" s="14" t="s">
        <v>318</v>
      </c>
      <c r="J318" s="7">
        <v>2.1269999999999998</v>
      </c>
      <c r="K318" s="7">
        <v>42.575000000000003</v>
      </c>
      <c r="L318" s="6">
        <v>0</v>
      </c>
      <c r="M318" s="15">
        <v>0.10801558441558441</v>
      </c>
      <c r="N318" s="16">
        <v>114.87457402597401</v>
      </c>
      <c r="O318" s="17">
        <v>2299.3817532467533</v>
      </c>
      <c r="P318" s="16">
        <v>114.87457402597401</v>
      </c>
      <c r="Q318" s="17">
        <v>2299.3817532467533</v>
      </c>
    </row>
    <row r="319" spans="1:17" x14ac:dyDescent="0.25">
      <c r="A319" s="6" t="s">
        <v>5</v>
      </c>
      <c r="B319" s="12">
        <v>8</v>
      </c>
      <c r="C319" s="12">
        <v>51</v>
      </c>
      <c r="D319" s="7">
        <v>5</v>
      </c>
      <c r="E319" s="6" t="s">
        <v>355</v>
      </c>
      <c r="F319" s="13" t="s">
        <v>324</v>
      </c>
      <c r="G319" s="18">
        <v>4</v>
      </c>
      <c r="H319" s="7">
        <v>5</v>
      </c>
      <c r="I319" s="14" t="s">
        <v>319</v>
      </c>
      <c r="J319" s="7">
        <v>1.139</v>
      </c>
      <c r="K319" s="7">
        <v>49.447000000000003</v>
      </c>
      <c r="L319" s="6">
        <v>0</v>
      </c>
      <c r="M319" s="15">
        <v>1.3922077922077923E-3</v>
      </c>
      <c r="N319" s="16">
        <v>0.79286233766233782</v>
      </c>
      <c r="O319" s="17">
        <v>34.420249350649357</v>
      </c>
      <c r="P319" s="16">
        <v>0.79286233766233771</v>
      </c>
      <c r="Q319" s="17">
        <v>34.420249350649357</v>
      </c>
    </row>
    <row r="320" spans="1:17" x14ac:dyDescent="0.25">
      <c r="A320" s="6" t="s">
        <v>5</v>
      </c>
      <c r="B320" s="12">
        <v>8</v>
      </c>
      <c r="C320" s="12">
        <v>51</v>
      </c>
      <c r="D320" s="7">
        <v>5</v>
      </c>
      <c r="E320" s="6" t="s">
        <v>355</v>
      </c>
      <c r="F320" s="13" t="s">
        <v>325</v>
      </c>
      <c r="G320" s="18">
        <v>5</v>
      </c>
      <c r="H320" s="7">
        <v>2</v>
      </c>
      <c r="I320" s="14" t="s">
        <v>318</v>
      </c>
      <c r="J320" s="7">
        <v>2.2229999999999999</v>
      </c>
      <c r="K320" s="7">
        <v>43.021999999999998</v>
      </c>
      <c r="L320" s="6">
        <v>0</v>
      </c>
      <c r="M320" s="15">
        <v>0.10445714285714286</v>
      </c>
      <c r="N320" s="16">
        <v>46.44164571428572</v>
      </c>
      <c r="O320" s="17">
        <v>898.79104000000007</v>
      </c>
      <c r="P320" s="16">
        <v>116.10411428571427</v>
      </c>
      <c r="Q320" s="17">
        <v>2246.9776000000002</v>
      </c>
    </row>
    <row r="321" spans="1:17" x14ac:dyDescent="0.25">
      <c r="A321" s="6" t="s">
        <v>5</v>
      </c>
      <c r="B321" s="12">
        <v>8</v>
      </c>
      <c r="C321" s="12">
        <v>51</v>
      </c>
      <c r="D321" s="7">
        <v>5</v>
      </c>
      <c r="E321" s="6" t="s">
        <v>355</v>
      </c>
      <c r="F321" s="13" t="s">
        <v>325</v>
      </c>
      <c r="G321" s="18">
        <v>5</v>
      </c>
      <c r="H321" s="7">
        <v>2</v>
      </c>
      <c r="I321" s="14" t="s">
        <v>319</v>
      </c>
      <c r="J321" s="7" t="s">
        <v>1673</v>
      </c>
      <c r="K321" s="7" t="s">
        <v>1673</v>
      </c>
      <c r="L321" s="6" t="s">
        <v>1673</v>
      </c>
      <c r="M321" s="15" t="s">
        <v>1673</v>
      </c>
      <c r="N321" s="16" t="s">
        <v>1673</v>
      </c>
      <c r="O321" s="17" t="s">
        <v>1673</v>
      </c>
      <c r="P321" s="16" t="s">
        <v>1673</v>
      </c>
      <c r="Q321" s="17" t="s">
        <v>1673</v>
      </c>
    </row>
    <row r="322" spans="1:17" x14ac:dyDescent="0.25">
      <c r="A322" s="6" t="s">
        <v>5</v>
      </c>
      <c r="B322" s="7">
        <v>9</v>
      </c>
      <c r="C322" s="13" t="s">
        <v>351</v>
      </c>
      <c r="D322" s="7">
        <v>1</v>
      </c>
      <c r="E322" s="6" t="s">
        <v>316</v>
      </c>
      <c r="F322" s="13" t="s">
        <v>317</v>
      </c>
      <c r="G322" s="13">
        <v>0</v>
      </c>
      <c r="H322" s="7">
        <v>0</v>
      </c>
      <c r="I322" s="14" t="s">
        <v>318</v>
      </c>
      <c r="J322" s="7" t="s">
        <v>1673</v>
      </c>
      <c r="K322" s="7" t="s">
        <v>1673</v>
      </c>
      <c r="L322" s="6" t="s">
        <v>1673</v>
      </c>
      <c r="M322" s="15" t="s">
        <v>1673</v>
      </c>
      <c r="N322" s="16" t="s">
        <v>1673</v>
      </c>
      <c r="O322" s="17" t="s">
        <v>1673</v>
      </c>
      <c r="P322" s="16" t="s">
        <v>1673</v>
      </c>
      <c r="Q322" s="17" t="s">
        <v>1673</v>
      </c>
    </row>
    <row r="323" spans="1:17" x14ac:dyDescent="0.25">
      <c r="A323" s="6" t="s">
        <v>5</v>
      </c>
      <c r="B323" s="7">
        <v>9</v>
      </c>
      <c r="C323" s="13" t="s">
        <v>351</v>
      </c>
      <c r="D323" s="7">
        <v>1</v>
      </c>
      <c r="E323" s="6" t="s">
        <v>316</v>
      </c>
      <c r="F323" s="13" t="s">
        <v>317</v>
      </c>
      <c r="G323" s="13">
        <v>0</v>
      </c>
      <c r="H323" s="7">
        <v>0</v>
      </c>
      <c r="I323" s="14" t="s">
        <v>319</v>
      </c>
      <c r="J323" s="7" t="s">
        <v>1673</v>
      </c>
      <c r="K323" s="7" t="s">
        <v>1673</v>
      </c>
      <c r="L323" s="6" t="s">
        <v>1673</v>
      </c>
      <c r="M323" s="15" t="s">
        <v>1673</v>
      </c>
      <c r="N323" s="16" t="s">
        <v>1673</v>
      </c>
      <c r="O323" s="17" t="s">
        <v>1673</v>
      </c>
      <c r="P323" s="16" t="s">
        <v>1673</v>
      </c>
      <c r="Q323" s="17" t="s">
        <v>1673</v>
      </c>
    </row>
    <row r="324" spans="1:17" x14ac:dyDescent="0.25">
      <c r="A324" s="6" t="s">
        <v>5</v>
      </c>
      <c r="B324" s="7">
        <v>9</v>
      </c>
      <c r="C324" s="13" t="s">
        <v>351</v>
      </c>
      <c r="D324" s="7">
        <v>1</v>
      </c>
      <c r="E324" s="6" t="s">
        <v>355</v>
      </c>
      <c r="F324" s="13" t="s">
        <v>320</v>
      </c>
      <c r="G324" s="13">
        <v>1</v>
      </c>
      <c r="H324" s="7">
        <v>5</v>
      </c>
      <c r="I324" s="14" t="s">
        <v>318</v>
      </c>
      <c r="J324" s="7">
        <v>0.79300000000000004</v>
      </c>
      <c r="K324" s="7">
        <v>25.768999999999998</v>
      </c>
      <c r="L324" s="6">
        <v>0</v>
      </c>
      <c r="M324" s="15">
        <v>8.9516666666666675E-2</v>
      </c>
      <c r="N324" s="16">
        <v>35.493358333333333</v>
      </c>
      <c r="O324" s="17">
        <v>1153.3774916666666</v>
      </c>
      <c r="P324" s="16">
        <v>35.493358333333333</v>
      </c>
      <c r="Q324" s="17">
        <v>1153.3774916666666</v>
      </c>
    </row>
    <row r="325" spans="1:17" x14ac:dyDescent="0.25">
      <c r="A325" s="6" t="s">
        <v>5</v>
      </c>
      <c r="B325" s="7">
        <v>9</v>
      </c>
      <c r="C325" s="13" t="s">
        <v>351</v>
      </c>
      <c r="D325" s="7">
        <v>1</v>
      </c>
      <c r="E325" s="6" t="s">
        <v>355</v>
      </c>
      <c r="F325" s="13" t="s">
        <v>320</v>
      </c>
      <c r="G325" s="13">
        <v>1</v>
      </c>
      <c r="H325" s="7">
        <v>5</v>
      </c>
      <c r="I325" s="14" t="s">
        <v>319</v>
      </c>
      <c r="J325" s="7" t="s">
        <v>1673</v>
      </c>
      <c r="K325" s="7" t="s">
        <v>1673</v>
      </c>
      <c r="L325" s="6" t="s">
        <v>1673</v>
      </c>
      <c r="M325" s="15" t="s">
        <v>1673</v>
      </c>
      <c r="N325" s="16" t="s">
        <v>1673</v>
      </c>
      <c r="O325" s="17" t="s">
        <v>1673</v>
      </c>
      <c r="P325" s="16" t="s">
        <v>1673</v>
      </c>
      <c r="Q325" s="17" t="s">
        <v>1673</v>
      </c>
    </row>
    <row r="326" spans="1:17" x14ac:dyDescent="0.25">
      <c r="A326" s="6" t="s">
        <v>5</v>
      </c>
      <c r="B326" s="7">
        <v>9</v>
      </c>
      <c r="C326" s="13" t="s">
        <v>351</v>
      </c>
      <c r="D326" s="7">
        <v>1</v>
      </c>
      <c r="E326" s="6" t="s">
        <v>355</v>
      </c>
      <c r="F326" s="13" t="s">
        <v>321</v>
      </c>
      <c r="G326" s="13">
        <v>2</v>
      </c>
      <c r="H326" s="7">
        <v>5</v>
      </c>
      <c r="I326" s="14" t="s">
        <v>318</v>
      </c>
      <c r="J326" s="7">
        <v>0.86699999999999999</v>
      </c>
      <c r="K326" s="7">
        <v>22.611999999999998</v>
      </c>
      <c r="L326" s="6">
        <v>0</v>
      </c>
      <c r="M326" s="15">
        <v>0.14521666666666666</v>
      </c>
      <c r="N326" s="16">
        <v>62.951424999999993</v>
      </c>
      <c r="O326" s="17">
        <v>1641.8196333333331</v>
      </c>
      <c r="P326" s="16">
        <v>62.951425</v>
      </c>
      <c r="Q326" s="17">
        <v>1641.8196333333328</v>
      </c>
    </row>
    <row r="327" spans="1:17" x14ac:dyDescent="0.25">
      <c r="A327" s="6" t="s">
        <v>5</v>
      </c>
      <c r="B327" s="7">
        <v>9</v>
      </c>
      <c r="C327" s="13" t="s">
        <v>351</v>
      </c>
      <c r="D327" s="7">
        <v>1</v>
      </c>
      <c r="E327" s="6" t="s">
        <v>355</v>
      </c>
      <c r="F327" s="13" t="s">
        <v>321</v>
      </c>
      <c r="G327" s="13">
        <v>2</v>
      </c>
      <c r="H327" s="7">
        <v>5</v>
      </c>
      <c r="I327" s="14" t="s">
        <v>319</v>
      </c>
      <c r="J327" s="7">
        <v>0.999</v>
      </c>
      <c r="K327" s="7">
        <v>45.731999999999999</v>
      </c>
      <c r="L327" s="6">
        <v>0</v>
      </c>
      <c r="M327" s="15">
        <v>5.483333333333334E-3</v>
      </c>
      <c r="N327" s="16">
        <v>2.7389250000000009</v>
      </c>
      <c r="O327" s="17">
        <v>125.38190000000003</v>
      </c>
      <c r="P327" s="16">
        <v>2.7389250000000005</v>
      </c>
      <c r="Q327" s="17">
        <v>125.38190000000002</v>
      </c>
    </row>
    <row r="328" spans="1:17" x14ac:dyDescent="0.25">
      <c r="A328" s="6" t="s">
        <v>5</v>
      </c>
      <c r="B328" s="7">
        <v>9</v>
      </c>
      <c r="C328" s="13" t="s">
        <v>351</v>
      </c>
      <c r="D328" s="7">
        <v>1</v>
      </c>
      <c r="E328" s="6" t="s">
        <v>355</v>
      </c>
      <c r="F328" s="13" t="s">
        <v>322</v>
      </c>
      <c r="G328" s="13">
        <v>3</v>
      </c>
      <c r="H328" s="7">
        <v>5</v>
      </c>
      <c r="I328" s="14" t="s">
        <v>318</v>
      </c>
      <c r="J328" s="7">
        <v>1.0089999999999999</v>
      </c>
      <c r="K328" s="7">
        <v>21.887</v>
      </c>
      <c r="L328" s="6">
        <v>0</v>
      </c>
      <c r="M328" s="15">
        <v>0.16239999999999999</v>
      </c>
      <c r="N328" s="16">
        <v>81.930799999999991</v>
      </c>
      <c r="O328" s="17">
        <v>1777.2244000000001</v>
      </c>
      <c r="P328" s="16">
        <v>81.930799999999991</v>
      </c>
      <c r="Q328" s="17">
        <v>1777.2243999999998</v>
      </c>
    </row>
    <row r="329" spans="1:17" x14ac:dyDescent="0.25">
      <c r="A329" s="6" t="s">
        <v>5</v>
      </c>
      <c r="B329" s="7">
        <v>9</v>
      </c>
      <c r="C329" s="13" t="s">
        <v>351</v>
      </c>
      <c r="D329" s="7">
        <v>1</v>
      </c>
      <c r="E329" s="6" t="s">
        <v>355</v>
      </c>
      <c r="F329" s="13" t="s">
        <v>322</v>
      </c>
      <c r="G329" s="13">
        <v>3</v>
      </c>
      <c r="H329" s="7">
        <v>5</v>
      </c>
      <c r="I329" s="14" t="s">
        <v>319</v>
      </c>
      <c r="J329" s="7">
        <v>1.6879999999999999</v>
      </c>
      <c r="K329" s="7">
        <v>40.777999999999999</v>
      </c>
      <c r="L329" s="6">
        <v>0</v>
      </c>
      <c r="M329" s="15">
        <v>1.1633333333333332E-2</v>
      </c>
      <c r="N329" s="16">
        <v>9.8185333333333329</v>
      </c>
      <c r="O329" s="17">
        <v>237.19203333333331</v>
      </c>
      <c r="P329" s="16">
        <v>9.8185333333333311</v>
      </c>
      <c r="Q329" s="17">
        <v>237.19203333333331</v>
      </c>
    </row>
    <row r="330" spans="1:17" x14ac:dyDescent="0.25">
      <c r="A330" s="6" t="s">
        <v>5</v>
      </c>
      <c r="B330" s="7">
        <v>9</v>
      </c>
      <c r="C330" s="13" t="s">
        <v>351</v>
      </c>
      <c r="D330" s="7">
        <v>1</v>
      </c>
      <c r="E330" s="6" t="s">
        <v>355</v>
      </c>
      <c r="F330" s="13" t="s">
        <v>324</v>
      </c>
      <c r="G330" s="18">
        <v>4</v>
      </c>
      <c r="H330" s="7">
        <v>5</v>
      </c>
      <c r="I330" s="14" t="s">
        <v>318</v>
      </c>
      <c r="J330" s="7">
        <v>0.81100000000000005</v>
      </c>
      <c r="K330" s="7">
        <v>16.943000000000001</v>
      </c>
      <c r="L330" s="6">
        <v>1</v>
      </c>
      <c r="M330" s="15">
        <v>0.25554285714285713</v>
      </c>
      <c r="N330" s="16">
        <v>103.62262857142856</v>
      </c>
      <c r="O330" s="17">
        <v>2164.8313142857141</v>
      </c>
      <c r="P330" s="16">
        <v>103.62262857142858</v>
      </c>
      <c r="Q330" s="17">
        <v>2164.8313142857141</v>
      </c>
    </row>
    <row r="331" spans="1:17" x14ac:dyDescent="0.25">
      <c r="A331" s="6" t="s">
        <v>5</v>
      </c>
      <c r="B331" s="7">
        <v>9</v>
      </c>
      <c r="C331" s="13" t="s">
        <v>351</v>
      </c>
      <c r="D331" s="7">
        <v>1</v>
      </c>
      <c r="E331" s="6" t="s">
        <v>355</v>
      </c>
      <c r="F331" s="13" t="s">
        <v>324</v>
      </c>
      <c r="G331" s="18">
        <v>4</v>
      </c>
      <c r="H331" s="7">
        <v>5</v>
      </c>
      <c r="I331" s="14" t="s">
        <v>319</v>
      </c>
      <c r="J331" s="7" t="s">
        <v>1673</v>
      </c>
      <c r="K331" s="7" t="s">
        <v>1673</v>
      </c>
      <c r="L331" s="6" t="s">
        <v>1673</v>
      </c>
      <c r="M331" s="15" t="s">
        <v>1673</v>
      </c>
      <c r="N331" s="16" t="s">
        <v>1673</v>
      </c>
      <c r="O331" s="17" t="s">
        <v>1673</v>
      </c>
      <c r="P331" s="16" t="s">
        <v>1673</v>
      </c>
      <c r="Q331" s="17" t="s">
        <v>1673</v>
      </c>
    </row>
    <row r="332" spans="1:17" x14ac:dyDescent="0.25">
      <c r="A332" s="6" t="s">
        <v>5</v>
      </c>
      <c r="B332" s="7">
        <v>9</v>
      </c>
      <c r="C332" s="13" t="s">
        <v>351</v>
      </c>
      <c r="D332" s="7">
        <v>1</v>
      </c>
      <c r="E332" s="6" t="s">
        <v>355</v>
      </c>
      <c r="F332" s="13" t="s">
        <v>325</v>
      </c>
      <c r="G332" s="18">
        <v>5</v>
      </c>
      <c r="H332" s="7">
        <v>2</v>
      </c>
      <c r="I332" s="14" t="s">
        <v>318</v>
      </c>
      <c r="J332" s="7">
        <v>0.47799999999999998</v>
      </c>
      <c r="K332" s="7">
        <v>8.1349999999999998</v>
      </c>
      <c r="L332" s="6">
        <v>1</v>
      </c>
      <c r="M332" s="15">
        <v>0.40079999999999999</v>
      </c>
      <c r="N332" s="16">
        <v>38.316479999999999</v>
      </c>
      <c r="O332" s="17">
        <v>652.10159999999996</v>
      </c>
      <c r="P332" s="16">
        <v>95.791199999999989</v>
      </c>
      <c r="Q332" s="17">
        <v>1630.2539999999999</v>
      </c>
    </row>
    <row r="333" spans="1:17" x14ac:dyDescent="0.25">
      <c r="A333" s="6" t="s">
        <v>5</v>
      </c>
      <c r="B333" s="7">
        <v>9</v>
      </c>
      <c r="C333" s="13" t="s">
        <v>351</v>
      </c>
      <c r="D333" s="7">
        <v>1</v>
      </c>
      <c r="E333" s="6" t="s">
        <v>355</v>
      </c>
      <c r="F333" s="13" t="s">
        <v>325</v>
      </c>
      <c r="G333" s="18">
        <v>5</v>
      </c>
      <c r="H333" s="7">
        <v>2</v>
      </c>
      <c r="I333" s="14" t="s">
        <v>319</v>
      </c>
      <c r="J333" s="7" t="s">
        <v>1673</v>
      </c>
      <c r="K333" s="7" t="s">
        <v>1673</v>
      </c>
      <c r="L333" s="6" t="s">
        <v>1673</v>
      </c>
      <c r="M333" s="15" t="s">
        <v>1673</v>
      </c>
      <c r="N333" s="16" t="s">
        <v>1673</v>
      </c>
      <c r="O333" s="17" t="s">
        <v>1673</v>
      </c>
      <c r="P333" s="16" t="s">
        <v>1673</v>
      </c>
      <c r="Q333" s="17" t="s">
        <v>1673</v>
      </c>
    </row>
    <row r="334" spans="1:17" x14ac:dyDescent="0.25">
      <c r="A334" s="6" t="s">
        <v>5</v>
      </c>
      <c r="B334" s="7">
        <v>9</v>
      </c>
      <c r="C334" s="13" t="s">
        <v>351</v>
      </c>
      <c r="D334" s="7">
        <v>2</v>
      </c>
      <c r="E334" s="6" t="s">
        <v>316</v>
      </c>
      <c r="F334" s="13" t="s">
        <v>317</v>
      </c>
      <c r="G334" s="13">
        <v>0</v>
      </c>
      <c r="H334" s="7">
        <v>0</v>
      </c>
      <c r="I334" s="14" t="s">
        <v>318</v>
      </c>
      <c r="J334" s="7" t="s">
        <v>1673</v>
      </c>
      <c r="K334" s="7" t="s">
        <v>1673</v>
      </c>
      <c r="L334" s="6" t="s">
        <v>1673</v>
      </c>
      <c r="M334" s="15" t="s">
        <v>1673</v>
      </c>
      <c r="N334" s="16" t="s">
        <v>1673</v>
      </c>
      <c r="O334" s="17" t="s">
        <v>1673</v>
      </c>
      <c r="P334" s="16" t="s">
        <v>1673</v>
      </c>
      <c r="Q334" s="17" t="s">
        <v>1673</v>
      </c>
    </row>
    <row r="335" spans="1:17" x14ac:dyDescent="0.25">
      <c r="A335" s="6" t="s">
        <v>5</v>
      </c>
      <c r="B335" s="7">
        <v>9</v>
      </c>
      <c r="C335" s="13" t="s">
        <v>351</v>
      </c>
      <c r="D335" s="7">
        <v>2</v>
      </c>
      <c r="E335" s="6" t="s">
        <v>316</v>
      </c>
      <c r="F335" s="13" t="s">
        <v>317</v>
      </c>
      <c r="G335" s="13">
        <v>0</v>
      </c>
      <c r="H335" s="7">
        <v>0</v>
      </c>
      <c r="I335" s="14" t="s">
        <v>319</v>
      </c>
      <c r="J335" s="7" t="s">
        <v>1673</v>
      </c>
      <c r="K335" s="7" t="s">
        <v>1673</v>
      </c>
      <c r="L335" s="6" t="s">
        <v>1673</v>
      </c>
      <c r="M335" s="15" t="s">
        <v>1673</v>
      </c>
      <c r="N335" s="16" t="s">
        <v>1673</v>
      </c>
      <c r="O335" s="17" t="s">
        <v>1673</v>
      </c>
      <c r="P335" s="16" t="s">
        <v>1673</v>
      </c>
      <c r="Q335" s="17" t="s">
        <v>1673</v>
      </c>
    </row>
    <row r="336" spans="1:17" x14ac:dyDescent="0.25">
      <c r="A336" s="6" t="s">
        <v>5</v>
      </c>
      <c r="B336" s="7">
        <v>9</v>
      </c>
      <c r="C336" s="13" t="s">
        <v>351</v>
      </c>
      <c r="D336" s="7">
        <v>2</v>
      </c>
      <c r="E336" s="6" t="s">
        <v>355</v>
      </c>
      <c r="F336" s="13" t="s">
        <v>320</v>
      </c>
      <c r="G336" s="13">
        <v>1</v>
      </c>
      <c r="H336" s="7">
        <v>2</v>
      </c>
      <c r="I336" s="14" t="s">
        <v>318</v>
      </c>
      <c r="J336" s="7">
        <v>1.38</v>
      </c>
      <c r="K336" s="7">
        <v>19.044</v>
      </c>
      <c r="L336" s="6">
        <v>1</v>
      </c>
      <c r="M336" s="15">
        <v>0.11751428571428572</v>
      </c>
      <c r="N336" s="16">
        <v>32.43394285714286</v>
      </c>
      <c r="O336" s="17">
        <v>447.58841142857148</v>
      </c>
      <c r="P336" s="16">
        <v>81.084857142857146</v>
      </c>
      <c r="Q336" s="17">
        <v>1118.9710285714286</v>
      </c>
    </row>
    <row r="337" spans="1:17" x14ac:dyDescent="0.25">
      <c r="A337" s="6" t="s">
        <v>5</v>
      </c>
      <c r="B337" s="7">
        <v>9</v>
      </c>
      <c r="C337" s="13" t="s">
        <v>351</v>
      </c>
      <c r="D337" s="7">
        <v>2</v>
      </c>
      <c r="E337" s="6" t="s">
        <v>355</v>
      </c>
      <c r="F337" s="13" t="s">
        <v>320</v>
      </c>
      <c r="G337" s="13">
        <v>1</v>
      </c>
      <c r="H337" s="7">
        <v>2</v>
      </c>
      <c r="I337" s="14" t="s">
        <v>319</v>
      </c>
      <c r="J337" s="7">
        <v>1.2529999999999999</v>
      </c>
      <c r="K337" s="7">
        <v>55.704000000000001</v>
      </c>
      <c r="L337" s="6">
        <v>0</v>
      </c>
      <c r="M337" s="15">
        <v>3.0571428571428572E-3</v>
      </c>
      <c r="N337" s="16">
        <v>0.76612000000000002</v>
      </c>
      <c r="O337" s="17">
        <v>34.059017142857144</v>
      </c>
      <c r="P337" s="16">
        <v>1.9153</v>
      </c>
      <c r="Q337" s="17">
        <v>85.147542857142852</v>
      </c>
    </row>
    <row r="338" spans="1:17" x14ac:dyDescent="0.25">
      <c r="A338" s="6" t="s">
        <v>5</v>
      </c>
      <c r="B338" s="7">
        <v>9</v>
      </c>
      <c r="C338" s="13" t="s">
        <v>351</v>
      </c>
      <c r="D338" s="7">
        <v>3</v>
      </c>
      <c r="E338" s="6" t="s">
        <v>316</v>
      </c>
      <c r="F338" s="13" t="s">
        <v>317</v>
      </c>
      <c r="G338" s="13">
        <v>0</v>
      </c>
      <c r="H338" s="7">
        <v>0</v>
      </c>
      <c r="I338" s="14" t="s">
        <v>318</v>
      </c>
      <c r="J338" s="7" t="s">
        <v>1673</v>
      </c>
      <c r="K338" s="7" t="s">
        <v>1673</v>
      </c>
      <c r="L338" s="6" t="s">
        <v>1673</v>
      </c>
      <c r="M338" s="15" t="s">
        <v>1673</v>
      </c>
      <c r="N338" s="16" t="s">
        <v>1673</v>
      </c>
      <c r="O338" s="17" t="s">
        <v>1673</v>
      </c>
      <c r="P338" s="16" t="s">
        <v>1673</v>
      </c>
      <c r="Q338" s="17" t="s">
        <v>1673</v>
      </c>
    </row>
    <row r="339" spans="1:17" x14ac:dyDescent="0.25">
      <c r="A339" s="6" t="s">
        <v>5</v>
      </c>
      <c r="B339" s="7">
        <v>9</v>
      </c>
      <c r="C339" s="13" t="s">
        <v>351</v>
      </c>
      <c r="D339" s="7">
        <v>3</v>
      </c>
      <c r="E339" s="6" t="s">
        <v>316</v>
      </c>
      <c r="F339" s="13" t="s">
        <v>317</v>
      </c>
      <c r="G339" s="13">
        <v>0</v>
      </c>
      <c r="H339" s="7">
        <v>0</v>
      </c>
      <c r="I339" s="14" t="s">
        <v>319</v>
      </c>
      <c r="J339" s="7" t="s">
        <v>1673</v>
      </c>
      <c r="K339" s="7" t="s">
        <v>1673</v>
      </c>
      <c r="L339" s="6" t="s">
        <v>1673</v>
      </c>
      <c r="M339" s="15" t="s">
        <v>1673</v>
      </c>
      <c r="N339" s="16" t="s">
        <v>1673</v>
      </c>
      <c r="O339" s="17" t="s">
        <v>1673</v>
      </c>
      <c r="P339" s="16" t="s">
        <v>1673</v>
      </c>
      <c r="Q339" s="17" t="s">
        <v>1673</v>
      </c>
    </row>
    <row r="340" spans="1:17" x14ac:dyDescent="0.25">
      <c r="A340" s="6" t="s">
        <v>5</v>
      </c>
      <c r="B340" s="7">
        <v>9</v>
      </c>
      <c r="C340" s="13" t="s">
        <v>351</v>
      </c>
      <c r="D340" s="7">
        <v>3</v>
      </c>
      <c r="E340" s="6" t="s">
        <v>355</v>
      </c>
      <c r="F340" s="13" t="s">
        <v>320</v>
      </c>
      <c r="G340" s="13">
        <v>1</v>
      </c>
      <c r="H340" s="7">
        <v>1</v>
      </c>
      <c r="I340" s="14" t="s">
        <v>318</v>
      </c>
      <c r="J340" s="7">
        <v>0.96399999999999997</v>
      </c>
      <c r="K340" s="7">
        <v>11.939</v>
      </c>
      <c r="L340" s="6">
        <v>1</v>
      </c>
      <c r="M340" s="15">
        <v>0.29279365079365083</v>
      </c>
      <c r="N340" s="16">
        <v>28.225307936507939</v>
      </c>
      <c r="O340" s="17">
        <v>349.56633968253971</v>
      </c>
      <c r="P340" s="16">
        <v>141.12653968253969</v>
      </c>
      <c r="Q340" s="17">
        <v>1747.8316984126984</v>
      </c>
    </row>
    <row r="341" spans="1:17" x14ac:dyDescent="0.25">
      <c r="A341" s="6" t="s">
        <v>5</v>
      </c>
      <c r="B341" s="7">
        <v>9</v>
      </c>
      <c r="C341" s="13" t="s">
        <v>351</v>
      </c>
      <c r="D341" s="7">
        <v>3</v>
      </c>
      <c r="E341" s="6" t="s">
        <v>355</v>
      </c>
      <c r="F341" s="13" t="s">
        <v>320</v>
      </c>
      <c r="G341" s="13">
        <v>1</v>
      </c>
      <c r="H341" s="7">
        <v>1</v>
      </c>
      <c r="I341" s="14" t="s">
        <v>319</v>
      </c>
      <c r="J341" s="7" t="s">
        <v>1673</v>
      </c>
      <c r="K341" s="7" t="s">
        <v>1673</v>
      </c>
      <c r="L341" s="6" t="s">
        <v>1673</v>
      </c>
      <c r="M341" s="15" t="s">
        <v>1673</v>
      </c>
      <c r="N341" s="16" t="s">
        <v>1673</v>
      </c>
      <c r="O341" s="17" t="s">
        <v>1673</v>
      </c>
      <c r="P341" s="16" t="s">
        <v>1673</v>
      </c>
      <c r="Q341" s="17" t="s">
        <v>1673</v>
      </c>
    </row>
    <row r="342" spans="1:17" x14ac:dyDescent="0.25">
      <c r="A342" s="6" t="s">
        <v>5</v>
      </c>
      <c r="B342" s="12">
        <v>10</v>
      </c>
      <c r="C342" s="12">
        <v>69</v>
      </c>
      <c r="D342" s="7">
        <v>1</v>
      </c>
      <c r="E342" s="6" t="s">
        <v>316</v>
      </c>
      <c r="F342" s="13" t="s">
        <v>317</v>
      </c>
      <c r="G342" s="13">
        <v>0</v>
      </c>
      <c r="H342" s="7">
        <v>0</v>
      </c>
      <c r="I342" s="14" t="s">
        <v>318</v>
      </c>
      <c r="J342" s="7" t="s">
        <v>1673</v>
      </c>
      <c r="K342" s="7" t="s">
        <v>1673</v>
      </c>
      <c r="L342" s="6" t="s">
        <v>1673</v>
      </c>
      <c r="M342" s="15" t="s">
        <v>1673</v>
      </c>
      <c r="N342" s="16" t="s">
        <v>1673</v>
      </c>
      <c r="O342" s="17" t="s">
        <v>1673</v>
      </c>
      <c r="P342" s="16" t="s">
        <v>1673</v>
      </c>
      <c r="Q342" s="17" t="s">
        <v>1673</v>
      </c>
    </row>
    <row r="343" spans="1:17" x14ac:dyDescent="0.25">
      <c r="A343" s="6" t="s">
        <v>5</v>
      </c>
      <c r="B343" s="12">
        <v>10</v>
      </c>
      <c r="C343" s="12">
        <v>69</v>
      </c>
      <c r="D343" s="7">
        <v>1</v>
      </c>
      <c r="E343" s="6" t="s">
        <v>316</v>
      </c>
      <c r="F343" s="13" t="s">
        <v>317</v>
      </c>
      <c r="G343" s="13">
        <v>0</v>
      </c>
      <c r="H343" s="7">
        <v>0</v>
      </c>
      <c r="I343" s="14" t="s">
        <v>319</v>
      </c>
      <c r="J343" s="7" t="s">
        <v>1673</v>
      </c>
      <c r="K343" s="7" t="s">
        <v>1673</v>
      </c>
      <c r="L343" s="6" t="s">
        <v>1673</v>
      </c>
      <c r="M343" s="15" t="s">
        <v>1673</v>
      </c>
      <c r="N343" s="16" t="s">
        <v>1673</v>
      </c>
      <c r="O343" s="17" t="s">
        <v>1673</v>
      </c>
      <c r="P343" s="16" t="s">
        <v>1673</v>
      </c>
      <c r="Q343" s="17" t="s">
        <v>1673</v>
      </c>
    </row>
    <row r="344" spans="1:17" x14ac:dyDescent="0.25">
      <c r="A344" s="6" t="s">
        <v>5</v>
      </c>
      <c r="B344" s="12">
        <v>10</v>
      </c>
      <c r="C344" s="12">
        <v>69</v>
      </c>
      <c r="D344" s="7">
        <v>1</v>
      </c>
      <c r="E344" s="6" t="s">
        <v>355</v>
      </c>
      <c r="F344" s="13" t="s">
        <v>320</v>
      </c>
      <c r="G344" s="13">
        <v>1</v>
      </c>
      <c r="H344" s="7">
        <v>5</v>
      </c>
      <c r="I344" s="14" t="s">
        <v>318</v>
      </c>
      <c r="J344" s="7">
        <v>0.997</v>
      </c>
      <c r="K344" s="7">
        <v>43.902999999999999</v>
      </c>
      <c r="L344" s="6">
        <v>0</v>
      </c>
      <c r="M344" s="15">
        <v>0.10380259740259742</v>
      </c>
      <c r="N344" s="16">
        <v>51.745594805194813</v>
      </c>
      <c r="O344" s="17">
        <v>2278.6227168831169</v>
      </c>
      <c r="P344" s="16">
        <v>51.745594805194813</v>
      </c>
      <c r="Q344" s="17">
        <v>2278.6227168831174</v>
      </c>
    </row>
    <row r="345" spans="1:17" x14ac:dyDescent="0.25">
      <c r="A345" s="6" t="s">
        <v>5</v>
      </c>
      <c r="B345" s="12">
        <v>10</v>
      </c>
      <c r="C345" s="12">
        <v>69</v>
      </c>
      <c r="D345" s="7">
        <v>1</v>
      </c>
      <c r="E345" s="6" t="s">
        <v>355</v>
      </c>
      <c r="F345" s="13" t="s">
        <v>320</v>
      </c>
      <c r="G345" s="13">
        <v>1</v>
      </c>
      <c r="H345" s="7">
        <v>5</v>
      </c>
      <c r="I345" s="14" t="s">
        <v>319</v>
      </c>
      <c r="J345" s="7">
        <v>0.71899999999999997</v>
      </c>
      <c r="K345" s="7">
        <v>49.783999999999999</v>
      </c>
      <c r="L345" s="6">
        <v>0</v>
      </c>
      <c r="M345" s="15">
        <v>2.0259740259740261E-3</v>
      </c>
      <c r="N345" s="16">
        <v>0.72833766233766228</v>
      </c>
      <c r="O345" s="17">
        <v>50.430545454545459</v>
      </c>
      <c r="P345" s="16">
        <v>0.72833766233766239</v>
      </c>
      <c r="Q345" s="17">
        <v>50.430545454545452</v>
      </c>
    </row>
    <row r="346" spans="1:17" x14ac:dyDescent="0.25">
      <c r="A346" s="6" t="s">
        <v>5</v>
      </c>
      <c r="B346" s="12">
        <v>10</v>
      </c>
      <c r="C346" s="12">
        <v>69</v>
      </c>
      <c r="D346" s="7">
        <v>1</v>
      </c>
      <c r="E346" s="6" t="s">
        <v>355</v>
      </c>
      <c r="F346" s="13" t="s">
        <v>321</v>
      </c>
      <c r="G346" s="13">
        <v>2</v>
      </c>
      <c r="H346" s="7">
        <v>2</v>
      </c>
      <c r="I346" s="14" t="s">
        <v>318</v>
      </c>
      <c r="J346" s="7">
        <v>1.26</v>
      </c>
      <c r="K346" s="7">
        <v>43.665999999999997</v>
      </c>
      <c r="L346" s="6">
        <v>0</v>
      </c>
      <c r="M346" s="15">
        <v>0.10099999999999999</v>
      </c>
      <c r="N346" s="16">
        <v>25.451999999999998</v>
      </c>
      <c r="O346" s="17">
        <v>882.05319999999983</v>
      </c>
      <c r="P346" s="16">
        <v>63.629999999999995</v>
      </c>
      <c r="Q346" s="17">
        <v>2205.1329999999998</v>
      </c>
    </row>
    <row r="347" spans="1:17" x14ac:dyDescent="0.25">
      <c r="A347" s="6" t="s">
        <v>5</v>
      </c>
      <c r="B347" s="12">
        <v>10</v>
      </c>
      <c r="C347" s="12">
        <v>69</v>
      </c>
      <c r="D347" s="7">
        <v>1</v>
      </c>
      <c r="E347" s="6" t="s">
        <v>355</v>
      </c>
      <c r="F347" s="13" t="s">
        <v>321</v>
      </c>
      <c r="G347" s="13">
        <v>2</v>
      </c>
      <c r="H347" s="7">
        <v>2</v>
      </c>
      <c r="I347" s="14" t="s">
        <v>319</v>
      </c>
      <c r="J347" s="7" t="s">
        <v>1673</v>
      </c>
      <c r="K347" s="7" t="s">
        <v>1673</v>
      </c>
      <c r="L347" s="6" t="s">
        <v>1673</v>
      </c>
      <c r="M347" s="15" t="s">
        <v>1673</v>
      </c>
      <c r="N347" s="16" t="s">
        <v>1673</v>
      </c>
      <c r="O347" s="17" t="s">
        <v>1673</v>
      </c>
      <c r="P347" s="16" t="s">
        <v>1673</v>
      </c>
      <c r="Q347" s="17" t="s">
        <v>1673</v>
      </c>
    </row>
    <row r="348" spans="1:17" x14ac:dyDescent="0.25">
      <c r="A348" s="6" t="s">
        <v>5</v>
      </c>
      <c r="B348" s="12">
        <v>10</v>
      </c>
      <c r="C348" s="12">
        <v>69</v>
      </c>
      <c r="D348" s="7">
        <v>2</v>
      </c>
      <c r="E348" s="6" t="s">
        <v>316</v>
      </c>
      <c r="F348" s="13" t="s">
        <v>317</v>
      </c>
      <c r="G348" s="13">
        <v>0</v>
      </c>
      <c r="H348" s="7">
        <v>0</v>
      </c>
      <c r="I348" s="14" t="s">
        <v>318</v>
      </c>
      <c r="J348" s="7" t="s">
        <v>1673</v>
      </c>
      <c r="K348" s="7" t="s">
        <v>1673</v>
      </c>
      <c r="L348" s="6" t="s">
        <v>1673</v>
      </c>
      <c r="M348" s="15" t="s">
        <v>1673</v>
      </c>
      <c r="N348" s="16" t="s">
        <v>1673</v>
      </c>
      <c r="O348" s="17" t="s">
        <v>1673</v>
      </c>
      <c r="P348" s="16" t="s">
        <v>1673</v>
      </c>
      <c r="Q348" s="17" t="s">
        <v>1673</v>
      </c>
    </row>
    <row r="349" spans="1:17" x14ac:dyDescent="0.25">
      <c r="A349" s="6" t="s">
        <v>5</v>
      </c>
      <c r="B349" s="12">
        <v>10</v>
      </c>
      <c r="C349" s="12">
        <v>69</v>
      </c>
      <c r="D349" s="7">
        <v>2</v>
      </c>
      <c r="E349" s="6" t="s">
        <v>316</v>
      </c>
      <c r="F349" s="13" t="s">
        <v>317</v>
      </c>
      <c r="G349" s="13">
        <v>0</v>
      </c>
      <c r="H349" s="7">
        <v>0</v>
      </c>
      <c r="I349" s="14" t="s">
        <v>319</v>
      </c>
      <c r="J349" s="7" t="s">
        <v>1673</v>
      </c>
      <c r="K349" s="7" t="s">
        <v>1673</v>
      </c>
      <c r="L349" s="6" t="s">
        <v>1673</v>
      </c>
      <c r="M349" s="15" t="s">
        <v>1673</v>
      </c>
      <c r="N349" s="16" t="s">
        <v>1673</v>
      </c>
      <c r="O349" s="17" t="s">
        <v>1673</v>
      </c>
      <c r="P349" s="16" t="s">
        <v>1673</v>
      </c>
      <c r="Q349" s="17" t="s">
        <v>1673</v>
      </c>
    </row>
    <row r="350" spans="1:17" x14ac:dyDescent="0.25">
      <c r="A350" s="6" t="s">
        <v>5</v>
      </c>
      <c r="B350" s="12">
        <v>10</v>
      </c>
      <c r="C350" s="12">
        <v>69</v>
      </c>
      <c r="D350" s="7">
        <v>2</v>
      </c>
      <c r="E350" s="6" t="s">
        <v>355</v>
      </c>
      <c r="F350" s="13" t="s">
        <v>320</v>
      </c>
      <c r="G350" s="13">
        <v>1</v>
      </c>
      <c r="H350" s="7">
        <v>4</v>
      </c>
      <c r="I350" s="14" t="s">
        <v>318</v>
      </c>
      <c r="J350" s="7">
        <v>1.101</v>
      </c>
      <c r="K350" s="7">
        <v>45.607999999999997</v>
      </c>
      <c r="L350" s="6">
        <v>0</v>
      </c>
      <c r="M350" s="15">
        <v>9.6442857142857163E-2</v>
      </c>
      <c r="N350" s="16">
        <v>42.473434285714291</v>
      </c>
      <c r="O350" s="17">
        <v>1759.4263314285718</v>
      </c>
      <c r="P350" s="16">
        <v>53.091792857142863</v>
      </c>
      <c r="Q350" s="17">
        <v>2199.2829142857145</v>
      </c>
    </row>
    <row r="351" spans="1:17" x14ac:dyDescent="0.25">
      <c r="A351" s="6" t="s">
        <v>5</v>
      </c>
      <c r="B351" s="12">
        <v>10</v>
      </c>
      <c r="C351" s="12">
        <v>69</v>
      </c>
      <c r="D351" s="7">
        <v>2</v>
      </c>
      <c r="E351" s="6" t="s">
        <v>355</v>
      </c>
      <c r="F351" s="13" t="s">
        <v>320</v>
      </c>
      <c r="G351" s="13">
        <v>1</v>
      </c>
      <c r="H351" s="7">
        <v>4</v>
      </c>
      <c r="I351" s="14" t="s">
        <v>319</v>
      </c>
      <c r="J351" s="7">
        <v>0.65600000000000003</v>
      </c>
      <c r="K351" s="7">
        <v>51.012</v>
      </c>
      <c r="L351" s="6">
        <v>0</v>
      </c>
      <c r="M351" s="15">
        <v>1.8571428571428571E-3</v>
      </c>
      <c r="N351" s="16">
        <v>0.48731428571428576</v>
      </c>
      <c r="O351" s="17">
        <v>37.894628571428576</v>
      </c>
      <c r="P351" s="16">
        <v>0.6091428571428571</v>
      </c>
      <c r="Q351" s="17">
        <v>47.368285714285712</v>
      </c>
    </row>
    <row r="352" spans="1:17" x14ac:dyDescent="0.25">
      <c r="A352" s="6" t="s">
        <v>5</v>
      </c>
      <c r="B352" s="12">
        <v>10</v>
      </c>
      <c r="C352" s="12">
        <v>69</v>
      </c>
      <c r="D352" s="7">
        <v>3</v>
      </c>
      <c r="E352" s="6" t="s">
        <v>316</v>
      </c>
      <c r="F352" s="13" t="s">
        <v>317</v>
      </c>
      <c r="G352" s="13">
        <v>0</v>
      </c>
      <c r="H352" s="7">
        <v>0</v>
      </c>
      <c r="I352" s="14" t="s">
        <v>318</v>
      </c>
      <c r="J352" s="7" t="s">
        <v>1673</v>
      </c>
      <c r="K352" s="7" t="s">
        <v>1673</v>
      </c>
      <c r="L352" s="6" t="s">
        <v>1673</v>
      </c>
      <c r="M352" s="15" t="s">
        <v>1673</v>
      </c>
      <c r="N352" s="16" t="s">
        <v>1673</v>
      </c>
      <c r="O352" s="17" t="s">
        <v>1673</v>
      </c>
      <c r="P352" s="16" t="s">
        <v>1673</v>
      </c>
      <c r="Q352" s="17" t="s">
        <v>1673</v>
      </c>
    </row>
    <row r="353" spans="1:17" x14ac:dyDescent="0.25">
      <c r="A353" s="6" t="s">
        <v>5</v>
      </c>
      <c r="B353" s="12">
        <v>10</v>
      </c>
      <c r="C353" s="12">
        <v>69</v>
      </c>
      <c r="D353" s="7">
        <v>3</v>
      </c>
      <c r="E353" s="6" t="s">
        <v>316</v>
      </c>
      <c r="F353" s="13" t="s">
        <v>317</v>
      </c>
      <c r="G353" s="13">
        <v>0</v>
      </c>
      <c r="H353" s="7">
        <v>0</v>
      </c>
      <c r="I353" s="14" t="s">
        <v>319</v>
      </c>
      <c r="J353" s="7" t="s">
        <v>1673</v>
      </c>
      <c r="K353" s="7" t="s">
        <v>1673</v>
      </c>
      <c r="L353" s="6" t="s">
        <v>1673</v>
      </c>
      <c r="M353" s="15" t="s">
        <v>1673</v>
      </c>
      <c r="N353" s="16" t="s">
        <v>1673</v>
      </c>
      <c r="O353" s="17" t="s">
        <v>1673</v>
      </c>
      <c r="P353" s="16" t="s">
        <v>1673</v>
      </c>
      <c r="Q353" s="17" t="s">
        <v>1673</v>
      </c>
    </row>
    <row r="354" spans="1:17" x14ac:dyDescent="0.25">
      <c r="A354" s="6" t="s">
        <v>5</v>
      </c>
      <c r="B354" s="12">
        <v>10</v>
      </c>
      <c r="C354" s="12">
        <v>69</v>
      </c>
      <c r="D354" s="7">
        <v>3</v>
      </c>
      <c r="E354" s="6" t="s">
        <v>355</v>
      </c>
      <c r="F354" s="13" t="s">
        <v>320</v>
      </c>
      <c r="G354" s="13">
        <v>1</v>
      </c>
      <c r="H354" s="7">
        <v>5</v>
      </c>
      <c r="I354" s="14" t="s">
        <v>318</v>
      </c>
      <c r="J354" s="7">
        <v>0.65500000000000003</v>
      </c>
      <c r="K354" s="7">
        <v>42.640999999999998</v>
      </c>
      <c r="L354" s="6">
        <v>0</v>
      </c>
      <c r="M354" s="15">
        <v>7.8320000000000001E-2</v>
      </c>
      <c r="N354" s="16">
        <v>25.649800000000003</v>
      </c>
      <c r="O354" s="17">
        <v>1669.8215599999999</v>
      </c>
      <c r="P354" s="16">
        <v>25.649800000000003</v>
      </c>
      <c r="Q354" s="17">
        <v>1669.8215599999996</v>
      </c>
    </row>
    <row r="355" spans="1:17" x14ac:dyDescent="0.25">
      <c r="A355" s="6" t="s">
        <v>5</v>
      </c>
      <c r="B355" s="12">
        <v>10</v>
      </c>
      <c r="C355" s="12">
        <v>69</v>
      </c>
      <c r="D355" s="7">
        <v>3</v>
      </c>
      <c r="E355" s="6" t="s">
        <v>355</v>
      </c>
      <c r="F355" s="13" t="s">
        <v>320</v>
      </c>
      <c r="G355" s="13">
        <v>1</v>
      </c>
      <c r="H355" s="7">
        <v>5</v>
      </c>
      <c r="I355" s="14" t="s">
        <v>319</v>
      </c>
      <c r="J355" s="7" t="s">
        <v>1673</v>
      </c>
      <c r="K355" s="7" t="s">
        <v>1673</v>
      </c>
      <c r="L355" s="6" t="s">
        <v>1673</v>
      </c>
      <c r="M355" s="15" t="s">
        <v>1673</v>
      </c>
      <c r="N355" s="16" t="s">
        <v>1673</v>
      </c>
      <c r="O355" s="17" t="s">
        <v>1673</v>
      </c>
      <c r="P355" s="16" t="s">
        <v>1673</v>
      </c>
      <c r="Q355" s="17" t="s">
        <v>1673</v>
      </c>
    </row>
    <row r="356" spans="1:17" x14ac:dyDescent="0.25">
      <c r="A356" s="6" t="s">
        <v>5</v>
      </c>
      <c r="B356" s="12">
        <v>10</v>
      </c>
      <c r="C356" s="12">
        <v>69</v>
      </c>
      <c r="D356" s="7">
        <v>3</v>
      </c>
      <c r="E356" s="6" t="s">
        <v>355</v>
      </c>
      <c r="F356" s="13" t="s">
        <v>321</v>
      </c>
      <c r="G356" s="13">
        <v>2</v>
      </c>
      <c r="H356" s="7">
        <v>5</v>
      </c>
      <c r="I356" s="14" t="s">
        <v>318</v>
      </c>
      <c r="J356" s="7">
        <v>1.05</v>
      </c>
      <c r="K356" s="7">
        <v>40.942</v>
      </c>
      <c r="L356" s="6">
        <v>0</v>
      </c>
      <c r="M356" s="15">
        <v>8.6077922077922073E-2</v>
      </c>
      <c r="N356" s="16">
        <v>45.190909090909088</v>
      </c>
      <c r="O356" s="17">
        <v>1762.1011428571426</v>
      </c>
      <c r="P356" s="16">
        <v>45.190909090909095</v>
      </c>
      <c r="Q356" s="17">
        <v>1762.1011428571426</v>
      </c>
    </row>
    <row r="357" spans="1:17" x14ac:dyDescent="0.25">
      <c r="A357" s="6" t="s">
        <v>5</v>
      </c>
      <c r="B357" s="12">
        <v>10</v>
      </c>
      <c r="C357" s="12">
        <v>69</v>
      </c>
      <c r="D357" s="7">
        <v>3</v>
      </c>
      <c r="E357" s="6" t="s">
        <v>355</v>
      </c>
      <c r="F357" s="13" t="s">
        <v>321</v>
      </c>
      <c r="G357" s="13">
        <v>2</v>
      </c>
      <c r="H357" s="7">
        <v>5</v>
      </c>
      <c r="I357" s="14" t="s">
        <v>319</v>
      </c>
      <c r="J357" s="7" t="s">
        <v>1673</v>
      </c>
      <c r="K357" s="7" t="s">
        <v>1673</v>
      </c>
      <c r="L357" s="6" t="s">
        <v>1673</v>
      </c>
      <c r="M357" s="15" t="s">
        <v>1673</v>
      </c>
      <c r="N357" s="16" t="s">
        <v>1673</v>
      </c>
      <c r="O357" s="17" t="s">
        <v>1673</v>
      </c>
      <c r="P357" s="16" t="s">
        <v>1673</v>
      </c>
      <c r="Q357" s="17" t="s">
        <v>1673</v>
      </c>
    </row>
    <row r="358" spans="1:17" x14ac:dyDescent="0.25">
      <c r="A358" s="6" t="s">
        <v>5</v>
      </c>
      <c r="B358" s="12">
        <v>10</v>
      </c>
      <c r="C358" s="12">
        <v>69</v>
      </c>
      <c r="D358" s="7">
        <v>3</v>
      </c>
      <c r="E358" s="6" t="s">
        <v>355</v>
      </c>
      <c r="F358" s="13" t="s">
        <v>322</v>
      </c>
      <c r="G358" s="13">
        <v>3</v>
      </c>
      <c r="H358" s="7">
        <v>1</v>
      </c>
      <c r="I358" s="14" t="s">
        <v>318</v>
      </c>
      <c r="J358" s="7">
        <v>1.294</v>
      </c>
      <c r="K358" s="7">
        <v>34.981000000000002</v>
      </c>
      <c r="L358" s="6">
        <v>0</v>
      </c>
      <c r="M358" s="15">
        <v>0.19127272727272729</v>
      </c>
      <c r="N358" s="16">
        <v>24.750690909090913</v>
      </c>
      <c r="O358" s="17">
        <v>669.09112727272736</v>
      </c>
      <c r="P358" s="16">
        <v>123.75345454545455</v>
      </c>
      <c r="Q358" s="17">
        <v>3345.4556363636366</v>
      </c>
    </row>
    <row r="359" spans="1:17" x14ac:dyDescent="0.25">
      <c r="A359" s="6" t="s">
        <v>5</v>
      </c>
      <c r="B359" s="12">
        <v>10</v>
      </c>
      <c r="C359" s="12">
        <v>69</v>
      </c>
      <c r="D359" s="7">
        <v>3</v>
      </c>
      <c r="E359" s="6" t="s">
        <v>355</v>
      </c>
      <c r="F359" s="13" t="s">
        <v>322</v>
      </c>
      <c r="G359" s="13">
        <v>3</v>
      </c>
      <c r="H359" s="7">
        <v>1</v>
      </c>
      <c r="I359" s="14" t="s">
        <v>319</v>
      </c>
      <c r="J359" s="7" t="s">
        <v>1673</v>
      </c>
      <c r="K359" s="7" t="s">
        <v>1673</v>
      </c>
      <c r="L359" s="6" t="s">
        <v>1673</v>
      </c>
      <c r="M359" s="15" t="s">
        <v>1673</v>
      </c>
      <c r="N359" s="16" t="s">
        <v>1673</v>
      </c>
      <c r="O359" s="17" t="s">
        <v>1673</v>
      </c>
      <c r="P359" s="16" t="s">
        <v>1673</v>
      </c>
      <c r="Q359" s="17" t="s">
        <v>1673</v>
      </c>
    </row>
    <row r="360" spans="1:17" x14ac:dyDescent="0.25">
      <c r="A360" s="6" t="s">
        <v>5</v>
      </c>
      <c r="B360" s="12">
        <v>10</v>
      </c>
      <c r="C360" s="12">
        <v>69</v>
      </c>
      <c r="D360" s="7">
        <v>4</v>
      </c>
      <c r="E360" s="6" t="s">
        <v>316</v>
      </c>
      <c r="F360" s="13" t="s">
        <v>317</v>
      </c>
      <c r="G360" s="13">
        <v>0</v>
      </c>
      <c r="H360" s="7">
        <v>0</v>
      </c>
      <c r="I360" s="14" t="s">
        <v>318</v>
      </c>
      <c r="J360" s="7" t="s">
        <v>1673</v>
      </c>
      <c r="K360" s="7" t="s">
        <v>1673</v>
      </c>
      <c r="L360" s="6" t="s">
        <v>1673</v>
      </c>
      <c r="M360" s="15" t="s">
        <v>1673</v>
      </c>
      <c r="N360" s="16" t="s">
        <v>1673</v>
      </c>
      <c r="O360" s="17" t="s">
        <v>1673</v>
      </c>
      <c r="P360" s="16" t="s">
        <v>1673</v>
      </c>
      <c r="Q360" s="17" t="s">
        <v>1673</v>
      </c>
    </row>
    <row r="361" spans="1:17" x14ac:dyDescent="0.25">
      <c r="A361" s="6" t="s">
        <v>5</v>
      </c>
      <c r="B361" s="12">
        <v>10</v>
      </c>
      <c r="C361" s="12">
        <v>69</v>
      </c>
      <c r="D361" s="7">
        <v>4</v>
      </c>
      <c r="E361" s="6" t="s">
        <v>316</v>
      </c>
      <c r="F361" s="13" t="s">
        <v>317</v>
      </c>
      <c r="G361" s="13">
        <v>0</v>
      </c>
      <c r="H361" s="7">
        <v>0</v>
      </c>
      <c r="I361" s="14" t="s">
        <v>319</v>
      </c>
      <c r="J361" s="7" t="s">
        <v>1673</v>
      </c>
      <c r="K361" s="7" t="s">
        <v>1673</v>
      </c>
      <c r="L361" s="6" t="s">
        <v>1673</v>
      </c>
      <c r="M361" s="15" t="s">
        <v>1673</v>
      </c>
      <c r="N361" s="16" t="s">
        <v>1673</v>
      </c>
      <c r="O361" s="17" t="s">
        <v>1673</v>
      </c>
      <c r="P361" s="16" t="s">
        <v>1673</v>
      </c>
      <c r="Q361" s="17" t="s">
        <v>1673</v>
      </c>
    </row>
    <row r="362" spans="1:17" x14ac:dyDescent="0.25">
      <c r="A362" s="6" t="s">
        <v>5</v>
      </c>
      <c r="B362" s="12">
        <v>10</v>
      </c>
      <c r="C362" s="12">
        <v>69</v>
      </c>
      <c r="D362" s="7">
        <v>4</v>
      </c>
      <c r="E362" s="6" t="s">
        <v>355</v>
      </c>
      <c r="F362" s="13" t="s">
        <v>320</v>
      </c>
      <c r="G362" s="13">
        <v>1</v>
      </c>
      <c r="H362" s="7">
        <v>5</v>
      </c>
      <c r="I362" s="14" t="s">
        <v>318</v>
      </c>
      <c r="J362" s="7">
        <v>1</v>
      </c>
      <c r="K362" s="7">
        <v>46.615000000000002</v>
      </c>
      <c r="L362" s="6">
        <v>0</v>
      </c>
      <c r="M362" s="15">
        <v>4.0893333333333337E-2</v>
      </c>
      <c r="N362" s="16">
        <v>20.446666666666669</v>
      </c>
      <c r="O362" s="17">
        <v>953.12136666666686</v>
      </c>
      <c r="P362" s="16">
        <v>20.446666666666669</v>
      </c>
      <c r="Q362" s="17">
        <v>953.12136666666686</v>
      </c>
    </row>
    <row r="363" spans="1:17" x14ac:dyDescent="0.25">
      <c r="A363" s="6" t="s">
        <v>5</v>
      </c>
      <c r="B363" s="12">
        <v>10</v>
      </c>
      <c r="C363" s="12">
        <v>69</v>
      </c>
      <c r="D363" s="7">
        <v>4</v>
      </c>
      <c r="E363" s="6" t="s">
        <v>355</v>
      </c>
      <c r="F363" s="13" t="s">
        <v>320</v>
      </c>
      <c r="G363" s="13">
        <v>1</v>
      </c>
      <c r="H363" s="7">
        <v>5</v>
      </c>
      <c r="I363" s="14" t="s">
        <v>319</v>
      </c>
      <c r="J363" s="7" t="s">
        <v>1673</v>
      </c>
      <c r="K363" s="7" t="s">
        <v>1673</v>
      </c>
      <c r="L363" s="6" t="s">
        <v>1673</v>
      </c>
      <c r="M363" s="15" t="s">
        <v>1673</v>
      </c>
      <c r="N363" s="16" t="s">
        <v>1673</v>
      </c>
      <c r="O363" s="17" t="s">
        <v>1673</v>
      </c>
      <c r="P363" s="16" t="s">
        <v>1673</v>
      </c>
      <c r="Q363" s="17" t="s">
        <v>1673</v>
      </c>
    </row>
    <row r="364" spans="1:17" x14ac:dyDescent="0.25">
      <c r="A364" s="6" t="s">
        <v>5</v>
      </c>
      <c r="B364" s="12">
        <v>10</v>
      </c>
      <c r="C364" s="12">
        <v>69</v>
      </c>
      <c r="D364" s="7">
        <v>4</v>
      </c>
      <c r="E364" s="6" t="s">
        <v>355</v>
      </c>
      <c r="F364" s="13" t="s">
        <v>321</v>
      </c>
      <c r="G364" s="13">
        <v>2</v>
      </c>
      <c r="H364" s="7">
        <v>5</v>
      </c>
      <c r="I364" s="14" t="s">
        <v>318</v>
      </c>
      <c r="J364" s="7">
        <v>0.97699999999999998</v>
      </c>
      <c r="K364" s="7">
        <v>45.149000000000001</v>
      </c>
      <c r="L364" s="6">
        <v>0</v>
      </c>
      <c r="M364" s="15">
        <v>6.9680000000000006E-2</v>
      </c>
      <c r="N364" s="16">
        <v>34.038679999999999</v>
      </c>
      <c r="O364" s="17">
        <v>1572.9911600000003</v>
      </c>
      <c r="P364" s="16">
        <v>34.038679999999999</v>
      </c>
      <c r="Q364" s="17">
        <v>1572.9911600000003</v>
      </c>
    </row>
    <row r="365" spans="1:17" x14ac:dyDescent="0.25">
      <c r="A365" s="6" t="s">
        <v>5</v>
      </c>
      <c r="B365" s="12">
        <v>10</v>
      </c>
      <c r="C365" s="12">
        <v>69</v>
      </c>
      <c r="D365" s="7">
        <v>4</v>
      </c>
      <c r="E365" s="6" t="s">
        <v>355</v>
      </c>
      <c r="F365" s="13" t="s">
        <v>321</v>
      </c>
      <c r="G365" s="13">
        <v>2</v>
      </c>
      <c r="H365" s="7">
        <v>5</v>
      </c>
      <c r="I365" s="14" t="s">
        <v>319</v>
      </c>
      <c r="J365" s="7" t="s">
        <v>1673</v>
      </c>
      <c r="K365" s="7" t="s">
        <v>1673</v>
      </c>
      <c r="L365" s="6" t="s">
        <v>1673</v>
      </c>
      <c r="M365" s="15" t="s">
        <v>1673</v>
      </c>
      <c r="N365" s="16" t="s">
        <v>1673</v>
      </c>
      <c r="O365" s="17" t="s">
        <v>1673</v>
      </c>
      <c r="P365" s="16" t="s">
        <v>1673</v>
      </c>
      <c r="Q365" s="17" t="s">
        <v>1673</v>
      </c>
    </row>
    <row r="366" spans="1:17" x14ac:dyDescent="0.25">
      <c r="A366" s="6" t="s">
        <v>5</v>
      </c>
      <c r="B366" s="12">
        <v>10</v>
      </c>
      <c r="C366" s="12">
        <v>69</v>
      </c>
      <c r="D366" s="7">
        <v>4</v>
      </c>
      <c r="E366" s="6" t="s">
        <v>355</v>
      </c>
      <c r="F366" s="13" t="s">
        <v>322</v>
      </c>
      <c r="G366" s="13">
        <v>3</v>
      </c>
      <c r="H366" s="7">
        <v>3</v>
      </c>
      <c r="I366" s="14" t="s">
        <v>318</v>
      </c>
      <c r="J366" s="7">
        <v>0.96299999999999997</v>
      </c>
      <c r="K366" s="7">
        <v>42.612000000000002</v>
      </c>
      <c r="L366" s="6">
        <v>0</v>
      </c>
      <c r="M366" s="15">
        <v>7.6952380952380953E-2</v>
      </c>
      <c r="N366" s="16">
        <v>22.231542857142855</v>
      </c>
      <c r="O366" s="17">
        <v>983.72845714285711</v>
      </c>
      <c r="P366" s="16">
        <v>37.052571428571426</v>
      </c>
      <c r="Q366" s="17">
        <v>1639.5474285714283</v>
      </c>
    </row>
    <row r="367" spans="1:17" x14ac:dyDescent="0.25">
      <c r="A367" s="6" t="s">
        <v>5</v>
      </c>
      <c r="B367" s="12">
        <v>10</v>
      </c>
      <c r="C367" s="12">
        <v>69</v>
      </c>
      <c r="D367" s="7">
        <v>4</v>
      </c>
      <c r="E367" s="6" t="s">
        <v>355</v>
      </c>
      <c r="F367" s="13" t="s">
        <v>322</v>
      </c>
      <c r="G367" s="13">
        <v>3</v>
      </c>
      <c r="H367" s="7">
        <v>3</v>
      </c>
      <c r="I367" s="14" t="s">
        <v>319</v>
      </c>
      <c r="J367" s="7">
        <v>0.6875</v>
      </c>
      <c r="K367" s="7">
        <v>50.397999999999996</v>
      </c>
      <c r="L367" s="6">
        <v>0</v>
      </c>
      <c r="M367" s="15" t="s">
        <v>1673</v>
      </c>
      <c r="N367" s="16" t="s">
        <v>1673</v>
      </c>
      <c r="O367" s="17" t="s">
        <v>1673</v>
      </c>
      <c r="P367" s="16" t="s">
        <v>1673</v>
      </c>
      <c r="Q367" s="17" t="s">
        <v>1673</v>
      </c>
    </row>
    <row r="368" spans="1:17" x14ac:dyDescent="0.25">
      <c r="A368" s="6" t="s">
        <v>5</v>
      </c>
      <c r="B368" s="12">
        <v>10</v>
      </c>
      <c r="C368" s="12">
        <v>69</v>
      </c>
      <c r="D368" s="7">
        <v>5</v>
      </c>
      <c r="E368" s="6" t="s">
        <v>316</v>
      </c>
      <c r="F368" s="13" t="s">
        <v>317</v>
      </c>
      <c r="G368" s="13">
        <v>0</v>
      </c>
      <c r="H368" s="7">
        <v>0</v>
      </c>
      <c r="I368" s="14" t="s">
        <v>318</v>
      </c>
      <c r="J368" s="7" t="s">
        <v>1673</v>
      </c>
      <c r="K368" s="7" t="s">
        <v>1673</v>
      </c>
      <c r="L368" s="6" t="s">
        <v>1673</v>
      </c>
      <c r="M368" s="15" t="s">
        <v>1673</v>
      </c>
      <c r="N368" s="16" t="s">
        <v>1673</v>
      </c>
      <c r="O368" s="17" t="s">
        <v>1673</v>
      </c>
      <c r="P368" s="16" t="s">
        <v>1673</v>
      </c>
      <c r="Q368" s="17" t="s">
        <v>1673</v>
      </c>
    </row>
    <row r="369" spans="1:17" x14ac:dyDescent="0.25">
      <c r="A369" s="6" t="s">
        <v>5</v>
      </c>
      <c r="B369" s="12">
        <v>10</v>
      </c>
      <c r="C369" s="12">
        <v>69</v>
      </c>
      <c r="D369" s="7">
        <v>5</v>
      </c>
      <c r="E369" s="6" t="s">
        <v>316</v>
      </c>
      <c r="F369" s="13" t="s">
        <v>317</v>
      </c>
      <c r="G369" s="13">
        <v>0</v>
      </c>
      <c r="H369" s="7">
        <v>0</v>
      </c>
      <c r="I369" s="14" t="s">
        <v>319</v>
      </c>
      <c r="J369" s="7" t="s">
        <v>1673</v>
      </c>
      <c r="K369" s="7" t="s">
        <v>1673</v>
      </c>
      <c r="L369" s="6" t="s">
        <v>1673</v>
      </c>
      <c r="M369" s="15" t="s">
        <v>1673</v>
      </c>
      <c r="N369" s="16" t="s">
        <v>1673</v>
      </c>
      <c r="O369" s="17" t="s">
        <v>1673</v>
      </c>
      <c r="P369" s="16" t="s">
        <v>1673</v>
      </c>
      <c r="Q369" s="17" t="s">
        <v>1673</v>
      </c>
    </row>
    <row r="370" spans="1:17" x14ac:dyDescent="0.25">
      <c r="A370" s="6" t="s">
        <v>5</v>
      </c>
      <c r="B370" s="12">
        <v>10</v>
      </c>
      <c r="C370" s="12">
        <v>69</v>
      </c>
      <c r="D370" s="7">
        <v>5</v>
      </c>
      <c r="E370" s="6" t="s">
        <v>355</v>
      </c>
      <c r="F370" s="13" t="s">
        <v>320</v>
      </c>
      <c r="G370" s="13">
        <v>1</v>
      </c>
      <c r="H370" s="7">
        <v>5</v>
      </c>
      <c r="I370" s="14" t="s">
        <v>318</v>
      </c>
      <c r="J370" s="7">
        <v>0.83799999999999997</v>
      </c>
      <c r="K370" s="7">
        <v>45.783000000000001</v>
      </c>
      <c r="L370" s="6">
        <v>0</v>
      </c>
      <c r="M370" s="15">
        <v>2.5512727272727274E-2</v>
      </c>
      <c r="N370" s="16">
        <v>10.689832727272726</v>
      </c>
      <c r="O370" s="17">
        <v>584.02459636363631</v>
      </c>
      <c r="P370" s="16">
        <v>10.68983272727273</v>
      </c>
      <c r="Q370" s="17">
        <v>584.02459636363642</v>
      </c>
    </row>
    <row r="371" spans="1:17" x14ac:dyDescent="0.25">
      <c r="A371" s="6" t="s">
        <v>5</v>
      </c>
      <c r="B371" s="12">
        <v>10</v>
      </c>
      <c r="C371" s="12">
        <v>69</v>
      </c>
      <c r="D371" s="7">
        <v>5</v>
      </c>
      <c r="E371" s="6" t="s">
        <v>355</v>
      </c>
      <c r="F371" s="13" t="s">
        <v>320</v>
      </c>
      <c r="G371" s="13">
        <v>1</v>
      </c>
      <c r="H371" s="7">
        <v>5</v>
      </c>
      <c r="I371" s="14" t="s">
        <v>319</v>
      </c>
      <c r="J371" s="7" t="s">
        <v>1673</v>
      </c>
      <c r="K371" s="7" t="s">
        <v>1673</v>
      </c>
      <c r="L371" s="6" t="s">
        <v>1673</v>
      </c>
      <c r="M371" s="15" t="s">
        <v>1673</v>
      </c>
      <c r="N371" s="16" t="s">
        <v>1673</v>
      </c>
      <c r="O371" s="17" t="s">
        <v>1673</v>
      </c>
      <c r="P371" s="16" t="s">
        <v>1673</v>
      </c>
      <c r="Q371" s="17" t="s">
        <v>1673</v>
      </c>
    </row>
    <row r="372" spans="1:17" x14ac:dyDescent="0.25">
      <c r="A372" s="6" t="s">
        <v>5</v>
      </c>
      <c r="B372" s="12">
        <v>10</v>
      </c>
      <c r="C372" s="12">
        <v>69</v>
      </c>
      <c r="D372" s="7">
        <v>5</v>
      </c>
      <c r="E372" s="6" t="s">
        <v>355</v>
      </c>
      <c r="F372" s="13" t="s">
        <v>321</v>
      </c>
      <c r="G372" s="13">
        <v>2</v>
      </c>
      <c r="H372" s="7">
        <v>5</v>
      </c>
      <c r="I372" s="14" t="s">
        <v>318</v>
      </c>
      <c r="J372" s="7">
        <v>1.0680000000000001</v>
      </c>
      <c r="K372" s="7">
        <v>44.536000000000001</v>
      </c>
      <c r="L372" s="6">
        <v>0</v>
      </c>
      <c r="M372" s="15">
        <v>1.7155555555555556E-2</v>
      </c>
      <c r="N372" s="16">
        <v>9.1610666666666667</v>
      </c>
      <c r="O372" s="17">
        <v>382.01991111111118</v>
      </c>
      <c r="P372" s="16">
        <v>9.1610666666666685</v>
      </c>
      <c r="Q372" s="17">
        <v>382.01991111111118</v>
      </c>
    </row>
    <row r="373" spans="1:17" x14ac:dyDescent="0.25">
      <c r="A373" s="6" t="s">
        <v>5</v>
      </c>
      <c r="B373" s="12">
        <v>10</v>
      </c>
      <c r="C373" s="12">
        <v>69</v>
      </c>
      <c r="D373" s="7">
        <v>5</v>
      </c>
      <c r="E373" s="6" t="s">
        <v>355</v>
      </c>
      <c r="F373" s="13" t="s">
        <v>321</v>
      </c>
      <c r="G373" s="13">
        <v>2</v>
      </c>
      <c r="H373" s="7">
        <v>5</v>
      </c>
      <c r="I373" s="14" t="s">
        <v>319</v>
      </c>
      <c r="J373" s="7" t="s">
        <v>1673</v>
      </c>
      <c r="K373" s="7" t="s">
        <v>1673</v>
      </c>
      <c r="L373" s="6" t="s">
        <v>1673</v>
      </c>
      <c r="M373" s="15" t="s">
        <v>1673</v>
      </c>
      <c r="N373" s="16" t="s">
        <v>1673</v>
      </c>
      <c r="O373" s="17" t="s">
        <v>1673</v>
      </c>
      <c r="P373" s="16" t="s">
        <v>1673</v>
      </c>
      <c r="Q373" s="17" t="s">
        <v>1673</v>
      </c>
    </row>
    <row r="374" spans="1:17" x14ac:dyDescent="0.25">
      <c r="A374" s="6" t="s">
        <v>5</v>
      </c>
      <c r="B374" s="12">
        <v>10</v>
      </c>
      <c r="C374" s="12">
        <v>69</v>
      </c>
      <c r="D374" s="7">
        <v>5</v>
      </c>
      <c r="E374" s="6" t="s">
        <v>355</v>
      </c>
      <c r="F374" s="13" t="s">
        <v>322</v>
      </c>
      <c r="G374" s="13">
        <v>3</v>
      </c>
      <c r="H374" s="7">
        <v>4</v>
      </c>
      <c r="I374" s="14" t="s">
        <v>318</v>
      </c>
      <c r="J374" s="7">
        <v>1.171</v>
      </c>
      <c r="K374" s="7">
        <v>46.058999999999997</v>
      </c>
      <c r="L374" s="6">
        <v>0</v>
      </c>
      <c r="M374" s="15">
        <v>4.7675000000000002E-2</v>
      </c>
      <c r="N374" s="16">
        <v>22.330970000000001</v>
      </c>
      <c r="O374" s="17">
        <v>878.34513000000004</v>
      </c>
      <c r="P374" s="16">
        <v>27.913712499999999</v>
      </c>
      <c r="Q374" s="17">
        <v>1097.9314125000001</v>
      </c>
    </row>
    <row r="375" spans="1:17" x14ac:dyDescent="0.25">
      <c r="A375" s="6" t="s">
        <v>5</v>
      </c>
      <c r="B375" s="12">
        <v>10</v>
      </c>
      <c r="C375" s="12">
        <v>69</v>
      </c>
      <c r="D375" s="7">
        <v>5</v>
      </c>
      <c r="E375" s="6" t="s">
        <v>355</v>
      </c>
      <c r="F375" s="13" t="s">
        <v>322</v>
      </c>
      <c r="G375" s="13">
        <v>3</v>
      </c>
      <c r="H375" s="7">
        <v>4</v>
      </c>
      <c r="I375" s="14" t="s">
        <v>319</v>
      </c>
      <c r="J375" s="7" t="s">
        <v>1673</v>
      </c>
      <c r="K375" s="7" t="s">
        <v>1673</v>
      </c>
      <c r="L375" s="6" t="s">
        <v>1673</v>
      </c>
      <c r="M375" s="15" t="s">
        <v>1673</v>
      </c>
      <c r="N375" s="16" t="s">
        <v>1673</v>
      </c>
      <c r="O375" s="17" t="s">
        <v>1673</v>
      </c>
      <c r="P375" s="16" t="s">
        <v>1673</v>
      </c>
      <c r="Q375" s="17" t="s">
        <v>1673</v>
      </c>
    </row>
    <row r="376" spans="1:17" x14ac:dyDescent="0.25">
      <c r="A376" s="6" t="s">
        <v>5</v>
      </c>
      <c r="B376" s="12">
        <v>11</v>
      </c>
      <c r="C376" s="7">
        <v>70</v>
      </c>
      <c r="D376" s="7">
        <v>1</v>
      </c>
      <c r="E376" s="6" t="s">
        <v>316</v>
      </c>
      <c r="F376" s="13" t="s">
        <v>317</v>
      </c>
      <c r="G376" s="13">
        <v>0</v>
      </c>
      <c r="H376" s="7">
        <v>0</v>
      </c>
      <c r="I376" s="14" t="s">
        <v>318</v>
      </c>
      <c r="J376" s="7" t="s">
        <v>1673</v>
      </c>
      <c r="K376" s="7" t="s">
        <v>1673</v>
      </c>
      <c r="L376" s="6" t="s">
        <v>1673</v>
      </c>
      <c r="M376" s="15" t="s">
        <v>1673</v>
      </c>
      <c r="N376" s="16" t="s">
        <v>1673</v>
      </c>
      <c r="O376" s="17" t="s">
        <v>1673</v>
      </c>
      <c r="P376" s="16" t="s">
        <v>1673</v>
      </c>
      <c r="Q376" s="17" t="s">
        <v>1673</v>
      </c>
    </row>
    <row r="377" spans="1:17" x14ac:dyDescent="0.25">
      <c r="A377" s="6" t="s">
        <v>5</v>
      </c>
      <c r="B377" s="12">
        <v>11</v>
      </c>
      <c r="C377" s="7">
        <v>70</v>
      </c>
      <c r="D377" s="7">
        <v>1</v>
      </c>
      <c r="E377" s="6" t="s">
        <v>316</v>
      </c>
      <c r="F377" s="13" t="s">
        <v>317</v>
      </c>
      <c r="G377" s="13">
        <v>0</v>
      </c>
      <c r="H377" s="7">
        <v>0</v>
      </c>
      <c r="I377" s="14" t="s">
        <v>319</v>
      </c>
      <c r="J377" s="7" t="s">
        <v>1673</v>
      </c>
      <c r="K377" s="7" t="s">
        <v>1673</v>
      </c>
      <c r="L377" s="6" t="s">
        <v>1673</v>
      </c>
      <c r="M377" s="15" t="s">
        <v>1673</v>
      </c>
      <c r="N377" s="16" t="s">
        <v>1673</v>
      </c>
      <c r="O377" s="17" t="s">
        <v>1673</v>
      </c>
      <c r="P377" s="16" t="s">
        <v>1673</v>
      </c>
      <c r="Q377" s="17" t="s">
        <v>1673</v>
      </c>
    </row>
    <row r="378" spans="1:17" x14ac:dyDescent="0.25">
      <c r="A378" s="6" t="s">
        <v>5</v>
      </c>
      <c r="B378" s="12">
        <v>11</v>
      </c>
      <c r="C378" s="7">
        <v>70</v>
      </c>
      <c r="D378" s="7">
        <v>1</v>
      </c>
      <c r="E378" s="6" t="s">
        <v>355</v>
      </c>
      <c r="F378" s="13" t="s">
        <v>320</v>
      </c>
      <c r="G378" s="13">
        <v>1</v>
      </c>
      <c r="H378" s="7">
        <v>5</v>
      </c>
      <c r="I378" s="14" t="s">
        <v>318</v>
      </c>
      <c r="J378" s="7">
        <v>1.6377999999999999</v>
      </c>
      <c r="K378" s="7">
        <v>44.165799999999997</v>
      </c>
      <c r="L378" s="6">
        <v>0</v>
      </c>
      <c r="M378" s="15">
        <v>4.9806666666666666E-2</v>
      </c>
      <c r="N378" s="16">
        <v>40.786679333333339</v>
      </c>
      <c r="O378" s="17">
        <v>1099.8756393333333</v>
      </c>
      <c r="P378" s="16">
        <v>40.786679333333339</v>
      </c>
      <c r="Q378" s="17">
        <v>1099.8756393333333</v>
      </c>
    </row>
    <row r="379" spans="1:17" x14ac:dyDescent="0.25">
      <c r="A379" s="6" t="s">
        <v>5</v>
      </c>
      <c r="B379" s="12">
        <v>11</v>
      </c>
      <c r="C379" s="7">
        <v>70</v>
      </c>
      <c r="D379" s="7">
        <v>1</v>
      </c>
      <c r="E379" s="6" t="s">
        <v>355</v>
      </c>
      <c r="F379" s="13" t="s">
        <v>320</v>
      </c>
      <c r="G379" s="13">
        <v>1</v>
      </c>
      <c r="H379" s="7">
        <v>5</v>
      </c>
      <c r="I379" s="14" t="s">
        <v>319</v>
      </c>
      <c r="J379" s="7">
        <v>0.61699999999999999</v>
      </c>
      <c r="K379" s="7">
        <v>50.966999999999999</v>
      </c>
      <c r="L379" s="6">
        <v>0</v>
      </c>
      <c r="M379" s="15">
        <v>1.2533333333333333E-3</v>
      </c>
      <c r="N379" s="16">
        <v>0.38665333333333335</v>
      </c>
      <c r="O379" s="17">
        <v>31.939319999999995</v>
      </c>
      <c r="P379" s="16">
        <v>0.38665333333333335</v>
      </c>
      <c r="Q379" s="17">
        <v>31.939319999999995</v>
      </c>
    </row>
    <row r="380" spans="1:17" x14ac:dyDescent="0.25">
      <c r="A380" s="6" t="s">
        <v>5</v>
      </c>
      <c r="B380" s="12">
        <v>11</v>
      </c>
      <c r="C380" s="7">
        <v>70</v>
      </c>
      <c r="D380" s="7">
        <v>1</v>
      </c>
      <c r="E380" s="6" t="s">
        <v>355</v>
      </c>
      <c r="F380" s="13" t="s">
        <v>321</v>
      </c>
      <c r="G380" s="13">
        <v>2</v>
      </c>
      <c r="H380" s="7">
        <v>5</v>
      </c>
      <c r="I380" s="14" t="s">
        <v>318</v>
      </c>
      <c r="J380" s="7">
        <v>0.92200000000000004</v>
      </c>
      <c r="K380" s="7">
        <v>44.043999999999997</v>
      </c>
      <c r="L380" s="6">
        <v>0</v>
      </c>
      <c r="M380" s="15">
        <v>7.8810256410256407E-2</v>
      </c>
      <c r="N380" s="16">
        <v>36.331528205128208</v>
      </c>
      <c r="O380" s="17">
        <v>1735.5594666666664</v>
      </c>
      <c r="P380" s="16">
        <v>36.331528205128208</v>
      </c>
      <c r="Q380" s="17">
        <v>1735.5594666666664</v>
      </c>
    </row>
    <row r="381" spans="1:17" x14ac:dyDescent="0.25">
      <c r="A381" s="6" t="s">
        <v>5</v>
      </c>
      <c r="B381" s="12">
        <v>11</v>
      </c>
      <c r="C381" s="7">
        <v>70</v>
      </c>
      <c r="D381" s="7">
        <v>1</v>
      </c>
      <c r="E381" s="6" t="s">
        <v>355</v>
      </c>
      <c r="F381" s="13" t="s">
        <v>321</v>
      </c>
      <c r="G381" s="13">
        <v>2</v>
      </c>
      <c r="H381" s="7">
        <v>5</v>
      </c>
      <c r="I381" s="14" t="s">
        <v>319</v>
      </c>
      <c r="J381" s="7">
        <v>0.65100000000000002</v>
      </c>
      <c r="K381" s="7">
        <v>51.869</v>
      </c>
      <c r="L381" s="6">
        <v>0</v>
      </c>
      <c r="M381" s="15">
        <v>1.9213675213675216E-3</v>
      </c>
      <c r="N381" s="16">
        <v>0.62540512820512828</v>
      </c>
      <c r="O381" s="17">
        <v>49.829705982905992</v>
      </c>
      <c r="P381" s="16">
        <v>0.62540512820512828</v>
      </c>
      <c r="Q381" s="17">
        <v>49.829705982905985</v>
      </c>
    </row>
    <row r="382" spans="1:17" x14ac:dyDescent="0.25">
      <c r="A382" s="6" t="s">
        <v>5</v>
      </c>
      <c r="B382" s="12">
        <v>11</v>
      </c>
      <c r="C382" s="7">
        <v>70</v>
      </c>
      <c r="D382" s="7">
        <v>1</v>
      </c>
      <c r="E382" s="6" t="s">
        <v>355</v>
      </c>
      <c r="F382" s="13" t="s">
        <v>322</v>
      </c>
      <c r="G382" s="13">
        <v>3</v>
      </c>
      <c r="H382" s="7">
        <v>4</v>
      </c>
      <c r="I382" s="14" t="s">
        <v>318</v>
      </c>
      <c r="J382" s="7">
        <v>0.99</v>
      </c>
      <c r="K382" s="7">
        <v>44.024000000000001</v>
      </c>
      <c r="L382" s="6">
        <v>0</v>
      </c>
      <c r="M382" s="15">
        <v>9.3375E-2</v>
      </c>
      <c r="N382" s="16">
        <v>36.976499999999994</v>
      </c>
      <c r="O382" s="17">
        <v>1644.2964000000002</v>
      </c>
      <c r="P382" s="16">
        <v>46.220624999999991</v>
      </c>
      <c r="Q382" s="17">
        <v>2055.3705</v>
      </c>
    </row>
    <row r="383" spans="1:17" x14ac:dyDescent="0.25">
      <c r="A383" s="6" t="s">
        <v>5</v>
      </c>
      <c r="B383" s="12">
        <v>11</v>
      </c>
      <c r="C383" s="7">
        <v>70</v>
      </c>
      <c r="D383" s="7">
        <v>1</v>
      </c>
      <c r="E383" s="6" t="s">
        <v>355</v>
      </c>
      <c r="F383" s="13" t="s">
        <v>322</v>
      </c>
      <c r="G383" s="13">
        <v>3</v>
      </c>
      <c r="H383" s="7">
        <v>4</v>
      </c>
      <c r="I383" s="14" t="s">
        <v>319</v>
      </c>
      <c r="J383" s="7" t="s">
        <v>1673</v>
      </c>
      <c r="K383" s="7" t="s">
        <v>1673</v>
      </c>
      <c r="L383" s="6" t="s">
        <v>1673</v>
      </c>
      <c r="M383" s="15" t="s">
        <v>1673</v>
      </c>
      <c r="N383" s="16" t="s">
        <v>1673</v>
      </c>
      <c r="O383" s="17" t="s">
        <v>1673</v>
      </c>
      <c r="P383" s="16" t="s">
        <v>1673</v>
      </c>
      <c r="Q383" s="17" t="s">
        <v>1673</v>
      </c>
    </row>
    <row r="384" spans="1:17" x14ac:dyDescent="0.25">
      <c r="A384" s="6" t="s">
        <v>5</v>
      </c>
      <c r="B384" s="12">
        <v>11</v>
      </c>
      <c r="C384" s="7">
        <v>70</v>
      </c>
      <c r="D384" s="7">
        <v>2</v>
      </c>
      <c r="E384" s="6" t="s">
        <v>316</v>
      </c>
      <c r="F384" s="13" t="s">
        <v>317</v>
      </c>
      <c r="G384" s="13">
        <v>0</v>
      </c>
      <c r="H384" s="7">
        <v>0</v>
      </c>
      <c r="I384" s="14" t="s">
        <v>318</v>
      </c>
      <c r="J384" s="7" t="s">
        <v>1673</v>
      </c>
      <c r="K384" s="7" t="s">
        <v>1673</v>
      </c>
      <c r="L384" s="6" t="s">
        <v>1673</v>
      </c>
      <c r="M384" s="15" t="s">
        <v>1673</v>
      </c>
      <c r="N384" s="16" t="s">
        <v>1673</v>
      </c>
      <c r="O384" s="17" t="s">
        <v>1673</v>
      </c>
      <c r="P384" s="16" t="s">
        <v>1673</v>
      </c>
      <c r="Q384" s="17" t="s">
        <v>1673</v>
      </c>
    </row>
    <row r="385" spans="1:17" x14ac:dyDescent="0.25">
      <c r="A385" s="6" t="s">
        <v>5</v>
      </c>
      <c r="B385" s="12">
        <v>11</v>
      </c>
      <c r="C385" s="7">
        <v>70</v>
      </c>
      <c r="D385" s="7">
        <v>2</v>
      </c>
      <c r="E385" s="6" t="s">
        <v>316</v>
      </c>
      <c r="F385" s="13" t="s">
        <v>317</v>
      </c>
      <c r="G385" s="13">
        <v>0</v>
      </c>
      <c r="H385" s="7">
        <v>0</v>
      </c>
      <c r="I385" s="14" t="s">
        <v>319</v>
      </c>
      <c r="J385" s="7" t="s">
        <v>1673</v>
      </c>
      <c r="K385" s="7" t="s">
        <v>1673</v>
      </c>
      <c r="L385" s="6" t="s">
        <v>1673</v>
      </c>
      <c r="M385" s="15" t="s">
        <v>1673</v>
      </c>
      <c r="N385" s="16" t="s">
        <v>1673</v>
      </c>
      <c r="O385" s="17" t="s">
        <v>1673</v>
      </c>
      <c r="P385" s="16" t="s">
        <v>1673</v>
      </c>
      <c r="Q385" s="17" t="s">
        <v>1673</v>
      </c>
    </row>
    <row r="386" spans="1:17" x14ac:dyDescent="0.25">
      <c r="A386" s="6" t="s">
        <v>5</v>
      </c>
      <c r="B386" s="12">
        <v>11</v>
      </c>
      <c r="C386" s="7">
        <v>70</v>
      </c>
      <c r="D386" s="7">
        <v>2</v>
      </c>
      <c r="E386" s="6" t="s">
        <v>355</v>
      </c>
      <c r="F386" s="13" t="s">
        <v>320</v>
      </c>
      <c r="G386" s="13">
        <v>1</v>
      </c>
      <c r="H386" s="7">
        <v>2</v>
      </c>
      <c r="I386" s="14" t="s">
        <v>318</v>
      </c>
      <c r="J386" s="7">
        <v>1.339</v>
      </c>
      <c r="K386" s="7">
        <v>44.232999999999997</v>
      </c>
      <c r="L386" s="6">
        <v>0</v>
      </c>
      <c r="M386" s="15">
        <v>0.18761904761904763</v>
      </c>
      <c r="N386" s="16">
        <v>50.244380952380951</v>
      </c>
      <c r="O386" s="17">
        <v>1659.7906666666665</v>
      </c>
      <c r="P386" s="16">
        <v>125.61095238095237</v>
      </c>
      <c r="Q386" s="17">
        <v>4149.4766666666665</v>
      </c>
    </row>
    <row r="387" spans="1:17" x14ac:dyDescent="0.25">
      <c r="A387" s="6" t="s">
        <v>5</v>
      </c>
      <c r="B387" s="12">
        <v>11</v>
      </c>
      <c r="C387" s="7">
        <v>70</v>
      </c>
      <c r="D387" s="7">
        <v>2</v>
      </c>
      <c r="E387" s="6" t="s">
        <v>355</v>
      </c>
      <c r="F387" s="13" t="s">
        <v>320</v>
      </c>
      <c r="G387" s="13">
        <v>1</v>
      </c>
      <c r="H387" s="7">
        <v>2</v>
      </c>
      <c r="I387" s="14" t="s">
        <v>319</v>
      </c>
      <c r="J387" s="7">
        <v>0.79200000000000004</v>
      </c>
      <c r="K387" s="7">
        <v>51.066000000000003</v>
      </c>
      <c r="L387" s="6">
        <v>0</v>
      </c>
      <c r="M387" s="15">
        <v>7.9047619047619058E-3</v>
      </c>
      <c r="N387" s="16">
        <v>1.2521142857142857</v>
      </c>
      <c r="O387" s="17">
        <v>80.732914285714287</v>
      </c>
      <c r="P387" s="16">
        <v>3.1302857142857148</v>
      </c>
      <c r="Q387" s="17">
        <v>201.83228571428575</v>
      </c>
    </row>
    <row r="388" spans="1:17" x14ac:dyDescent="0.25">
      <c r="A388" s="6" t="s">
        <v>5</v>
      </c>
      <c r="B388" s="12">
        <v>11</v>
      </c>
      <c r="C388" s="7">
        <v>70</v>
      </c>
      <c r="D388" s="7">
        <v>3</v>
      </c>
      <c r="E388" s="6" t="s">
        <v>316</v>
      </c>
      <c r="F388" s="13" t="s">
        <v>317</v>
      </c>
      <c r="G388" s="13">
        <v>0</v>
      </c>
      <c r="H388" s="7">
        <v>0</v>
      </c>
      <c r="I388" s="14" t="s">
        <v>318</v>
      </c>
      <c r="J388" s="7" t="s">
        <v>1673</v>
      </c>
      <c r="K388" s="7" t="s">
        <v>1673</v>
      </c>
      <c r="L388" s="6" t="s">
        <v>1673</v>
      </c>
      <c r="M388" s="15" t="s">
        <v>1673</v>
      </c>
      <c r="N388" s="16" t="s">
        <v>1673</v>
      </c>
      <c r="O388" s="17" t="s">
        <v>1673</v>
      </c>
      <c r="P388" s="16" t="s">
        <v>1673</v>
      </c>
      <c r="Q388" s="17" t="s">
        <v>1673</v>
      </c>
    </row>
    <row r="389" spans="1:17" x14ac:dyDescent="0.25">
      <c r="A389" s="6" t="s">
        <v>5</v>
      </c>
      <c r="B389" s="12">
        <v>11</v>
      </c>
      <c r="C389" s="7">
        <v>70</v>
      </c>
      <c r="D389" s="7">
        <v>3</v>
      </c>
      <c r="E389" s="6" t="s">
        <v>316</v>
      </c>
      <c r="F389" s="13" t="s">
        <v>317</v>
      </c>
      <c r="G389" s="13">
        <v>0</v>
      </c>
      <c r="H389" s="7">
        <v>0</v>
      </c>
      <c r="I389" s="14" t="s">
        <v>319</v>
      </c>
      <c r="J389" s="7" t="s">
        <v>1673</v>
      </c>
      <c r="K389" s="7" t="s">
        <v>1673</v>
      </c>
      <c r="L389" s="6" t="s">
        <v>1673</v>
      </c>
      <c r="M389" s="15" t="s">
        <v>1673</v>
      </c>
      <c r="N389" s="16" t="s">
        <v>1673</v>
      </c>
      <c r="O389" s="17" t="s">
        <v>1673</v>
      </c>
      <c r="P389" s="16" t="s">
        <v>1673</v>
      </c>
      <c r="Q389" s="17" t="s">
        <v>1673</v>
      </c>
    </row>
    <row r="390" spans="1:17" x14ac:dyDescent="0.25">
      <c r="A390" s="6" t="s">
        <v>5</v>
      </c>
      <c r="B390" s="12">
        <v>11</v>
      </c>
      <c r="C390" s="7">
        <v>70</v>
      </c>
      <c r="D390" s="7">
        <v>3</v>
      </c>
      <c r="E390" s="6" t="s">
        <v>355</v>
      </c>
      <c r="F390" s="13" t="s">
        <v>320</v>
      </c>
      <c r="G390" s="13">
        <v>1</v>
      </c>
      <c r="H390" s="7">
        <v>5</v>
      </c>
      <c r="I390" s="14" t="s">
        <v>318</v>
      </c>
      <c r="J390" s="7">
        <v>1.9279999999999999</v>
      </c>
      <c r="K390" s="7">
        <v>41.831000000000003</v>
      </c>
      <c r="L390" s="6">
        <v>0</v>
      </c>
      <c r="M390" s="15">
        <v>0.12066923076923076</v>
      </c>
      <c r="N390" s="16">
        <v>116.32513846153844</v>
      </c>
      <c r="O390" s="17">
        <v>2523.8572961538462</v>
      </c>
      <c r="P390" s="16">
        <v>116.32513846153846</v>
      </c>
      <c r="Q390" s="17">
        <v>2523.8572961538462</v>
      </c>
    </row>
    <row r="391" spans="1:17" x14ac:dyDescent="0.25">
      <c r="A391" s="6" t="s">
        <v>5</v>
      </c>
      <c r="B391" s="12">
        <v>11</v>
      </c>
      <c r="C391" s="7">
        <v>70</v>
      </c>
      <c r="D391" s="7">
        <v>3</v>
      </c>
      <c r="E391" s="6" t="s">
        <v>355</v>
      </c>
      <c r="F391" s="13" t="s">
        <v>320</v>
      </c>
      <c r="G391" s="13">
        <v>1</v>
      </c>
      <c r="H391" s="7">
        <v>5</v>
      </c>
      <c r="I391" s="14" t="s">
        <v>319</v>
      </c>
      <c r="J391" s="7" t="s">
        <v>1673</v>
      </c>
      <c r="K391" s="7" t="s">
        <v>1673</v>
      </c>
      <c r="L391" s="6" t="s">
        <v>1673</v>
      </c>
      <c r="M391" s="15" t="s">
        <v>1673</v>
      </c>
      <c r="N391" s="16" t="s">
        <v>1673</v>
      </c>
      <c r="O391" s="17" t="s">
        <v>1673</v>
      </c>
      <c r="P391" s="16" t="s">
        <v>1673</v>
      </c>
      <c r="Q391" s="17" t="s">
        <v>1673</v>
      </c>
    </row>
    <row r="392" spans="1:17" x14ac:dyDescent="0.25">
      <c r="A392" s="6" t="s">
        <v>5</v>
      </c>
      <c r="B392" s="12">
        <v>11</v>
      </c>
      <c r="C392" s="7">
        <v>70</v>
      </c>
      <c r="D392" s="7">
        <v>3</v>
      </c>
      <c r="E392" s="6" t="s">
        <v>355</v>
      </c>
      <c r="F392" s="13" t="s">
        <v>321</v>
      </c>
      <c r="G392" s="13">
        <v>2</v>
      </c>
      <c r="H392" s="7">
        <v>4</v>
      </c>
      <c r="I392" s="14" t="s">
        <v>318</v>
      </c>
      <c r="J392" s="7">
        <v>2.1230000000000002</v>
      </c>
      <c r="K392" s="7">
        <v>40.125</v>
      </c>
      <c r="L392" s="6">
        <v>0</v>
      </c>
      <c r="M392" s="15">
        <v>0.17536752136752137</v>
      </c>
      <c r="N392" s="16">
        <v>148.92209914529917</v>
      </c>
      <c r="O392" s="17">
        <v>2814.6487179487181</v>
      </c>
      <c r="P392" s="16">
        <v>186.15262393162396</v>
      </c>
      <c r="Q392" s="17">
        <v>3518.3108974358979</v>
      </c>
    </row>
    <row r="393" spans="1:17" x14ac:dyDescent="0.25">
      <c r="A393" s="6" t="s">
        <v>5</v>
      </c>
      <c r="B393" s="12">
        <v>11</v>
      </c>
      <c r="C393" s="7">
        <v>70</v>
      </c>
      <c r="D393" s="7">
        <v>3</v>
      </c>
      <c r="E393" s="6" t="s">
        <v>355</v>
      </c>
      <c r="F393" s="13" t="s">
        <v>321</v>
      </c>
      <c r="G393" s="13">
        <v>2</v>
      </c>
      <c r="H393" s="7">
        <v>4</v>
      </c>
      <c r="I393" s="14" t="s">
        <v>319</v>
      </c>
      <c r="J393" s="7">
        <v>1.274</v>
      </c>
      <c r="K393" s="7">
        <v>51.472000000000001</v>
      </c>
      <c r="L393" s="6">
        <v>0</v>
      </c>
      <c r="M393" s="15">
        <v>1.5384615384615385E-3</v>
      </c>
      <c r="N393" s="16">
        <v>0.78400000000000003</v>
      </c>
      <c r="O393" s="17">
        <v>31.675076923076929</v>
      </c>
      <c r="P393" s="16">
        <v>0.98</v>
      </c>
      <c r="Q393" s="17">
        <v>39.593846153846158</v>
      </c>
    </row>
    <row r="394" spans="1:17" x14ac:dyDescent="0.25">
      <c r="A394" s="6" t="s">
        <v>5</v>
      </c>
      <c r="B394" s="12">
        <v>11</v>
      </c>
      <c r="C394" s="7">
        <v>70</v>
      </c>
      <c r="D394" s="7">
        <v>4</v>
      </c>
      <c r="E394" s="6" t="s">
        <v>316</v>
      </c>
      <c r="F394" s="13" t="s">
        <v>317</v>
      </c>
      <c r="G394" s="13">
        <v>0</v>
      </c>
      <c r="H394" s="7">
        <v>5</v>
      </c>
      <c r="I394" s="14" t="s">
        <v>318</v>
      </c>
      <c r="J394" s="7">
        <v>2.25</v>
      </c>
      <c r="K394" s="7">
        <v>44.530999999999999</v>
      </c>
      <c r="L394" s="6">
        <v>0</v>
      </c>
      <c r="M394" s="15" t="s">
        <v>1673</v>
      </c>
      <c r="N394" s="16" t="s">
        <v>1673</v>
      </c>
      <c r="O394" s="17" t="s">
        <v>1673</v>
      </c>
      <c r="P394" s="16" t="s">
        <v>1673</v>
      </c>
      <c r="Q394" s="17" t="s">
        <v>1673</v>
      </c>
    </row>
    <row r="395" spans="1:17" x14ac:dyDescent="0.25">
      <c r="A395" s="6" t="s">
        <v>5</v>
      </c>
      <c r="B395" s="12">
        <v>11</v>
      </c>
      <c r="C395" s="7">
        <v>70</v>
      </c>
      <c r="D395" s="7">
        <v>4</v>
      </c>
      <c r="E395" s="6" t="s">
        <v>316</v>
      </c>
      <c r="F395" s="13" t="s">
        <v>317</v>
      </c>
      <c r="G395" s="13">
        <v>0</v>
      </c>
      <c r="H395" s="7">
        <v>5</v>
      </c>
      <c r="I395" s="14" t="s">
        <v>319</v>
      </c>
      <c r="J395" s="7" t="s">
        <v>1673</v>
      </c>
      <c r="K395" s="7" t="s">
        <v>1673</v>
      </c>
      <c r="L395" s="6" t="s">
        <v>1673</v>
      </c>
      <c r="M395" s="15" t="s">
        <v>1673</v>
      </c>
      <c r="N395" s="16" t="s">
        <v>1673</v>
      </c>
      <c r="O395" s="17" t="s">
        <v>1673</v>
      </c>
      <c r="P395" s="16" t="s">
        <v>1673</v>
      </c>
      <c r="Q395" s="17" t="s">
        <v>1673</v>
      </c>
    </row>
    <row r="396" spans="1:17" x14ac:dyDescent="0.25">
      <c r="A396" s="6" t="s">
        <v>5</v>
      </c>
      <c r="B396" s="12">
        <v>11</v>
      </c>
      <c r="C396" s="7">
        <v>70</v>
      </c>
      <c r="D396" s="7">
        <v>4</v>
      </c>
      <c r="E396" s="6" t="s">
        <v>355</v>
      </c>
      <c r="F396" s="13" t="s">
        <v>320</v>
      </c>
      <c r="G396" s="13">
        <v>1</v>
      </c>
      <c r="H396" s="7">
        <v>5</v>
      </c>
      <c r="I396" s="14" t="s">
        <v>318</v>
      </c>
      <c r="J396" s="7">
        <v>1.141</v>
      </c>
      <c r="K396" s="7">
        <v>45.387</v>
      </c>
      <c r="L396" s="6">
        <v>0</v>
      </c>
      <c r="M396" s="15">
        <v>4.5872000000000003E-2</v>
      </c>
      <c r="N396" s="16">
        <v>26.169976000000005</v>
      </c>
      <c r="O396" s="17">
        <v>1040.9962320000002</v>
      </c>
      <c r="P396" s="16">
        <v>26.169976000000002</v>
      </c>
      <c r="Q396" s="17">
        <v>1040.9962320000002</v>
      </c>
    </row>
    <row r="397" spans="1:17" x14ac:dyDescent="0.25">
      <c r="A397" s="6" t="s">
        <v>5</v>
      </c>
      <c r="B397" s="12">
        <v>11</v>
      </c>
      <c r="C397" s="7">
        <v>70</v>
      </c>
      <c r="D397" s="7">
        <v>4</v>
      </c>
      <c r="E397" s="6" t="s">
        <v>355</v>
      </c>
      <c r="F397" s="13" t="s">
        <v>320</v>
      </c>
      <c r="G397" s="13">
        <v>1</v>
      </c>
      <c r="H397" s="7">
        <v>5</v>
      </c>
      <c r="I397" s="14" t="s">
        <v>319</v>
      </c>
      <c r="J397" s="7">
        <v>0.46500000000000002</v>
      </c>
      <c r="K397" s="7">
        <v>48.378</v>
      </c>
      <c r="L397" s="6">
        <v>0</v>
      </c>
      <c r="M397" s="15">
        <v>2.9680000000000002E-3</v>
      </c>
      <c r="N397" s="16">
        <v>0.69006000000000012</v>
      </c>
      <c r="O397" s="17">
        <v>71.792952</v>
      </c>
      <c r="P397" s="16">
        <v>0.69006000000000012</v>
      </c>
      <c r="Q397" s="17">
        <v>71.792952</v>
      </c>
    </row>
    <row r="398" spans="1:17" x14ac:dyDescent="0.25">
      <c r="A398" s="6" t="s">
        <v>5</v>
      </c>
      <c r="B398" s="12">
        <v>11</v>
      </c>
      <c r="C398" s="7">
        <v>70</v>
      </c>
      <c r="D398" s="7">
        <v>4</v>
      </c>
      <c r="E398" s="6" t="s">
        <v>355</v>
      </c>
      <c r="F398" s="13" t="s">
        <v>321</v>
      </c>
      <c r="G398" s="13">
        <v>2</v>
      </c>
      <c r="H398" s="7">
        <v>5</v>
      </c>
      <c r="I398" s="14" t="s">
        <v>318</v>
      </c>
      <c r="J398" s="7">
        <v>0.96</v>
      </c>
      <c r="K398" s="7">
        <v>45.433999999999997</v>
      </c>
      <c r="L398" s="6">
        <v>0</v>
      </c>
      <c r="M398" s="15">
        <v>7.0538181818181819E-2</v>
      </c>
      <c r="N398" s="16">
        <v>33.858327272727273</v>
      </c>
      <c r="O398" s="17">
        <v>1602.4158763636362</v>
      </c>
      <c r="P398" s="16">
        <v>33.858327272727273</v>
      </c>
      <c r="Q398" s="17">
        <v>1602.4158763636365</v>
      </c>
    </row>
    <row r="399" spans="1:17" x14ac:dyDescent="0.25">
      <c r="A399" s="6" t="s">
        <v>5</v>
      </c>
      <c r="B399" s="12">
        <v>11</v>
      </c>
      <c r="C399" s="7">
        <v>70</v>
      </c>
      <c r="D399" s="7">
        <v>4</v>
      </c>
      <c r="E399" s="6" t="s">
        <v>355</v>
      </c>
      <c r="F399" s="13" t="s">
        <v>321</v>
      </c>
      <c r="G399" s="13">
        <v>2</v>
      </c>
      <c r="H399" s="7">
        <v>5</v>
      </c>
      <c r="I399" s="14" t="s">
        <v>319</v>
      </c>
      <c r="J399" s="7">
        <v>0.79600000000000004</v>
      </c>
      <c r="K399" s="7">
        <v>48.911000000000001</v>
      </c>
      <c r="L399" s="6">
        <v>0</v>
      </c>
      <c r="M399" s="15">
        <v>6.712727272727273E-3</v>
      </c>
      <c r="N399" s="16">
        <v>2.6716654545454546</v>
      </c>
      <c r="O399" s="17">
        <v>164.16310181818181</v>
      </c>
      <c r="P399" s="16">
        <v>2.6716654545454546</v>
      </c>
      <c r="Q399" s="17">
        <v>164.16310181818181</v>
      </c>
    </row>
    <row r="400" spans="1:17" x14ac:dyDescent="0.25">
      <c r="A400" s="6" t="s">
        <v>5</v>
      </c>
      <c r="B400" s="12">
        <v>11</v>
      </c>
      <c r="C400" s="7">
        <v>70</v>
      </c>
      <c r="D400" s="7">
        <v>4</v>
      </c>
      <c r="E400" s="6" t="s">
        <v>355</v>
      </c>
      <c r="F400" s="13" t="s">
        <v>322</v>
      </c>
      <c r="G400" s="13">
        <v>3</v>
      </c>
      <c r="H400" s="7">
        <v>3</v>
      </c>
      <c r="I400" s="14" t="s">
        <v>318</v>
      </c>
      <c r="J400" s="7">
        <v>1.6</v>
      </c>
      <c r="K400" s="7">
        <v>38.069000000000003</v>
      </c>
      <c r="L400" s="6">
        <v>0</v>
      </c>
      <c r="M400" s="15">
        <v>9.6592592592592591E-2</v>
      </c>
      <c r="N400" s="16">
        <v>46.364444444444437</v>
      </c>
      <c r="O400" s="17">
        <v>1103.1550222222222</v>
      </c>
      <c r="P400" s="16">
        <v>77.274074074074065</v>
      </c>
      <c r="Q400" s="17">
        <v>1838.5917037037038</v>
      </c>
    </row>
    <row r="401" spans="1:17" x14ac:dyDescent="0.25">
      <c r="A401" s="6" t="s">
        <v>5</v>
      </c>
      <c r="B401" s="12">
        <v>11</v>
      </c>
      <c r="C401" s="7">
        <v>70</v>
      </c>
      <c r="D401" s="7">
        <v>4</v>
      </c>
      <c r="E401" s="6" t="s">
        <v>355</v>
      </c>
      <c r="F401" s="13" t="s">
        <v>322</v>
      </c>
      <c r="G401" s="13">
        <v>3</v>
      </c>
      <c r="H401" s="7">
        <v>3</v>
      </c>
      <c r="I401" s="14" t="s">
        <v>319</v>
      </c>
      <c r="J401" s="7" t="s">
        <v>1673</v>
      </c>
      <c r="K401" s="7" t="s">
        <v>1673</v>
      </c>
      <c r="L401" s="6" t="s">
        <v>1673</v>
      </c>
      <c r="M401" s="15" t="s">
        <v>1673</v>
      </c>
      <c r="N401" s="16" t="s">
        <v>1673</v>
      </c>
      <c r="O401" s="17" t="s">
        <v>1673</v>
      </c>
      <c r="P401" s="16" t="s">
        <v>1673</v>
      </c>
      <c r="Q401" s="17" t="s">
        <v>1673</v>
      </c>
    </row>
    <row r="402" spans="1:17" x14ac:dyDescent="0.25">
      <c r="A402" s="6" t="s">
        <v>5</v>
      </c>
      <c r="B402" s="12">
        <v>11</v>
      </c>
      <c r="C402" s="7">
        <v>70</v>
      </c>
      <c r="D402" s="7" t="s">
        <v>347</v>
      </c>
      <c r="E402" s="6" t="s">
        <v>316</v>
      </c>
      <c r="F402" s="13" t="s">
        <v>317</v>
      </c>
      <c r="G402" s="13">
        <v>0</v>
      </c>
      <c r="H402" s="7">
        <v>0</v>
      </c>
      <c r="I402" s="14" t="s">
        <v>318</v>
      </c>
      <c r="J402" s="7" t="s">
        <v>1673</v>
      </c>
      <c r="K402" s="7" t="s">
        <v>1673</v>
      </c>
      <c r="L402" s="6" t="s">
        <v>1673</v>
      </c>
      <c r="M402" s="15" t="s">
        <v>1673</v>
      </c>
      <c r="N402" s="16" t="s">
        <v>1673</v>
      </c>
      <c r="O402" s="17" t="s">
        <v>1673</v>
      </c>
      <c r="P402" s="16" t="s">
        <v>1673</v>
      </c>
      <c r="Q402" s="17" t="s">
        <v>1673</v>
      </c>
    </row>
    <row r="403" spans="1:17" x14ac:dyDescent="0.25">
      <c r="A403" s="6" t="s">
        <v>5</v>
      </c>
      <c r="B403" s="12">
        <v>11</v>
      </c>
      <c r="C403" s="7">
        <v>70</v>
      </c>
      <c r="D403" s="7" t="s">
        <v>347</v>
      </c>
      <c r="E403" s="6" t="s">
        <v>316</v>
      </c>
      <c r="F403" s="13" t="s">
        <v>317</v>
      </c>
      <c r="G403" s="13">
        <v>0</v>
      </c>
      <c r="H403" s="7">
        <v>0</v>
      </c>
      <c r="I403" s="14" t="s">
        <v>319</v>
      </c>
      <c r="J403" s="7" t="s">
        <v>1673</v>
      </c>
      <c r="K403" s="7" t="s">
        <v>1673</v>
      </c>
      <c r="L403" s="6" t="s">
        <v>1673</v>
      </c>
      <c r="M403" s="15" t="s">
        <v>1673</v>
      </c>
      <c r="N403" s="16" t="s">
        <v>1673</v>
      </c>
      <c r="O403" s="17" t="s">
        <v>1673</v>
      </c>
      <c r="P403" s="16" t="s">
        <v>1673</v>
      </c>
      <c r="Q403" s="17" t="s">
        <v>1673</v>
      </c>
    </row>
    <row r="404" spans="1:17" x14ac:dyDescent="0.25">
      <c r="A404" s="6" t="s">
        <v>5</v>
      </c>
      <c r="B404" s="12">
        <v>11</v>
      </c>
      <c r="C404" s="7">
        <v>70</v>
      </c>
      <c r="D404" s="7" t="s">
        <v>347</v>
      </c>
      <c r="E404" s="6" t="s">
        <v>355</v>
      </c>
      <c r="F404" s="13" t="s">
        <v>320</v>
      </c>
      <c r="G404" s="13">
        <v>1</v>
      </c>
      <c r="H404" s="7">
        <v>5</v>
      </c>
      <c r="I404" s="14" t="s">
        <v>318</v>
      </c>
      <c r="J404" s="7">
        <v>1.857</v>
      </c>
      <c r="K404" s="7">
        <v>45.314</v>
      </c>
      <c r="L404" s="6">
        <v>0</v>
      </c>
      <c r="M404" s="15">
        <v>0.15357777777777779</v>
      </c>
      <c r="N404" s="16">
        <v>142.59696666666667</v>
      </c>
      <c r="O404" s="17">
        <v>3479.6117111111107</v>
      </c>
      <c r="P404" s="16">
        <v>142.59696666666667</v>
      </c>
      <c r="Q404" s="17">
        <v>3479.6117111111107</v>
      </c>
    </row>
    <row r="405" spans="1:17" x14ac:dyDescent="0.25">
      <c r="A405" s="6" t="s">
        <v>5</v>
      </c>
      <c r="B405" s="12">
        <v>11</v>
      </c>
      <c r="C405" s="7">
        <v>70</v>
      </c>
      <c r="D405" s="7" t="s">
        <v>347</v>
      </c>
      <c r="E405" s="6" t="s">
        <v>355</v>
      </c>
      <c r="F405" s="13" t="s">
        <v>320</v>
      </c>
      <c r="G405" s="13">
        <v>1</v>
      </c>
      <c r="H405" s="7">
        <v>5</v>
      </c>
      <c r="I405" s="14" t="s">
        <v>319</v>
      </c>
      <c r="J405" s="7">
        <v>0.879</v>
      </c>
      <c r="K405" s="7">
        <v>49.052</v>
      </c>
      <c r="L405" s="6">
        <v>0</v>
      </c>
      <c r="M405" s="15">
        <v>6.5703703703703705E-3</v>
      </c>
      <c r="N405" s="16">
        <v>2.8876777777777778</v>
      </c>
      <c r="O405" s="17">
        <v>161.1449037037037</v>
      </c>
      <c r="P405" s="16">
        <v>2.8876777777777778</v>
      </c>
      <c r="Q405" s="17">
        <v>161.14490370370368</v>
      </c>
    </row>
    <row r="406" spans="1:17" x14ac:dyDescent="0.25">
      <c r="A406" s="6" t="s">
        <v>5</v>
      </c>
      <c r="B406" s="12">
        <v>11</v>
      </c>
      <c r="C406" s="7">
        <v>70</v>
      </c>
      <c r="D406" s="7" t="s">
        <v>348</v>
      </c>
      <c r="E406" s="6" t="s">
        <v>316</v>
      </c>
      <c r="F406" s="13" t="s">
        <v>317</v>
      </c>
      <c r="G406" s="13">
        <v>0</v>
      </c>
      <c r="H406" s="7">
        <v>0</v>
      </c>
      <c r="I406" s="14" t="s">
        <v>318</v>
      </c>
      <c r="J406" s="7" t="s">
        <v>1673</v>
      </c>
      <c r="K406" s="7" t="s">
        <v>1673</v>
      </c>
      <c r="L406" s="6" t="s">
        <v>1673</v>
      </c>
      <c r="M406" s="15" t="s">
        <v>1673</v>
      </c>
      <c r="N406" s="16" t="s">
        <v>1673</v>
      </c>
      <c r="O406" s="17" t="s">
        <v>1673</v>
      </c>
      <c r="P406" s="16" t="s">
        <v>1673</v>
      </c>
      <c r="Q406" s="17" t="s">
        <v>1673</v>
      </c>
    </row>
    <row r="407" spans="1:17" x14ac:dyDescent="0.25">
      <c r="A407" s="6" t="s">
        <v>5</v>
      </c>
      <c r="B407" s="12">
        <v>11</v>
      </c>
      <c r="C407" s="7">
        <v>70</v>
      </c>
      <c r="D407" s="7" t="s">
        <v>348</v>
      </c>
      <c r="E407" s="6" t="s">
        <v>316</v>
      </c>
      <c r="F407" s="13" t="s">
        <v>317</v>
      </c>
      <c r="G407" s="13">
        <v>0</v>
      </c>
      <c r="H407" s="7">
        <v>0</v>
      </c>
      <c r="I407" s="14" t="s">
        <v>319</v>
      </c>
      <c r="J407" s="7" t="s">
        <v>1673</v>
      </c>
      <c r="K407" s="7" t="s">
        <v>1673</v>
      </c>
      <c r="L407" s="6" t="s">
        <v>1673</v>
      </c>
      <c r="M407" s="15" t="s">
        <v>1673</v>
      </c>
      <c r="N407" s="16" t="s">
        <v>1673</v>
      </c>
      <c r="O407" s="17" t="s">
        <v>1673</v>
      </c>
      <c r="P407" s="16" t="s">
        <v>1673</v>
      </c>
      <c r="Q407" s="17" t="s">
        <v>1673</v>
      </c>
    </row>
    <row r="408" spans="1:17" x14ac:dyDescent="0.25">
      <c r="A408" s="6" t="s">
        <v>5</v>
      </c>
      <c r="B408" s="12">
        <v>11</v>
      </c>
      <c r="C408" s="7">
        <v>70</v>
      </c>
      <c r="D408" s="7" t="s">
        <v>348</v>
      </c>
      <c r="E408" s="6" t="s">
        <v>355</v>
      </c>
      <c r="F408" s="13" t="s">
        <v>320</v>
      </c>
      <c r="G408" s="13">
        <v>1</v>
      </c>
      <c r="H408" s="7">
        <v>4</v>
      </c>
      <c r="I408" s="14" t="s">
        <v>318</v>
      </c>
      <c r="J408" s="7">
        <v>1.9239999999999999</v>
      </c>
      <c r="K408" s="7">
        <v>44.064</v>
      </c>
      <c r="L408" s="6">
        <v>0</v>
      </c>
      <c r="M408" s="15">
        <v>0.21246875000000001</v>
      </c>
      <c r="N408" s="16">
        <v>163.51595</v>
      </c>
      <c r="O408" s="17">
        <v>3744.8891999999996</v>
      </c>
      <c r="P408" s="16">
        <v>204.39493750000003</v>
      </c>
      <c r="Q408" s="17">
        <v>4681.1115</v>
      </c>
    </row>
    <row r="409" spans="1:17" x14ac:dyDescent="0.25">
      <c r="A409" s="6" t="s">
        <v>5</v>
      </c>
      <c r="B409" s="12">
        <v>11</v>
      </c>
      <c r="C409" s="7">
        <v>70</v>
      </c>
      <c r="D409" s="7" t="s">
        <v>348</v>
      </c>
      <c r="E409" s="6" t="s">
        <v>355</v>
      </c>
      <c r="F409" s="13" t="s">
        <v>320</v>
      </c>
      <c r="G409" s="13">
        <v>1</v>
      </c>
      <c r="H409" s="7">
        <v>4</v>
      </c>
      <c r="I409" s="14" t="s">
        <v>319</v>
      </c>
      <c r="J409" s="7" t="s">
        <v>1673</v>
      </c>
      <c r="K409" s="7" t="s">
        <v>1673</v>
      </c>
      <c r="L409" s="6" t="s">
        <v>1673</v>
      </c>
      <c r="M409" s="15" t="s">
        <v>1673</v>
      </c>
      <c r="N409" s="16" t="s">
        <v>1673</v>
      </c>
      <c r="O409" s="17" t="s">
        <v>1673</v>
      </c>
      <c r="P409" s="16" t="s">
        <v>1673</v>
      </c>
      <c r="Q409" s="17" t="s">
        <v>1673</v>
      </c>
    </row>
    <row r="410" spans="1:17" x14ac:dyDescent="0.25">
      <c r="A410" s="6" t="s">
        <v>5</v>
      </c>
      <c r="B410" s="7">
        <v>12</v>
      </c>
      <c r="C410" s="13">
        <v>101</v>
      </c>
      <c r="D410" s="13">
        <v>1</v>
      </c>
      <c r="E410" s="6" t="s">
        <v>316</v>
      </c>
      <c r="F410" s="13" t="s">
        <v>317</v>
      </c>
      <c r="G410" s="13">
        <v>0</v>
      </c>
      <c r="H410" s="7">
        <v>0</v>
      </c>
      <c r="I410" s="14" t="s">
        <v>318</v>
      </c>
      <c r="J410" s="7" t="s">
        <v>1673</v>
      </c>
      <c r="K410" s="7" t="s">
        <v>1673</v>
      </c>
      <c r="L410" s="6" t="s">
        <v>1673</v>
      </c>
      <c r="M410" s="15" t="s">
        <v>1673</v>
      </c>
      <c r="N410" s="16" t="s">
        <v>1673</v>
      </c>
      <c r="O410" s="17" t="s">
        <v>1673</v>
      </c>
      <c r="P410" s="16" t="s">
        <v>1673</v>
      </c>
      <c r="Q410" s="17" t="s">
        <v>1673</v>
      </c>
    </row>
    <row r="411" spans="1:17" x14ac:dyDescent="0.25">
      <c r="A411" s="6" t="s">
        <v>5</v>
      </c>
      <c r="B411" s="7">
        <v>12</v>
      </c>
      <c r="C411" s="13">
        <v>101</v>
      </c>
      <c r="D411" s="13">
        <v>1</v>
      </c>
      <c r="E411" s="6" t="s">
        <v>316</v>
      </c>
      <c r="F411" s="13" t="s">
        <v>317</v>
      </c>
      <c r="G411" s="13">
        <v>0</v>
      </c>
      <c r="H411" s="7">
        <v>0</v>
      </c>
      <c r="I411" s="14" t="s">
        <v>319</v>
      </c>
      <c r="J411" s="7" t="s">
        <v>1673</v>
      </c>
      <c r="K411" s="7" t="s">
        <v>1673</v>
      </c>
      <c r="L411" s="6" t="s">
        <v>1673</v>
      </c>
      <c r="M411" s="15" t="s">
        <v>1673</v>
      </c>
      <c r="N411" s="16" t="s">
        <v>1673</v>
      </c>
      <c r="O411" s="17" t="s">
        <v>1673</v>
      </c>
      <c r="P411" s="16" t="s">
        <v>1673</v>
      </c>
      <c r="Q411" s="17" t="s">
        <v>1673</v>
      </c>
    </row>
    <row r="412" spans="1:17" x14ac:dyDescent="0.25">
      <c r="A412" s="6" t="s">
        <v>5</v>
      </c>
      <c r="B412" s="7">
        <v>12</v>
      </c>
      <c r="C412" s="13">
        <v>101</v>
      </c>
      <c r="D412" s="13">
        <v>1</v>
      </c>
      <c r="E412" s="6" t="s">
        <v>355</v>
      </c>
      <c r="F412" s="13" t="s">
        <v>320</v>
      </c>
      <c r="G412" s="13">
        <v>1</v>
      </c>
      <c r="H412" s="7">
        <v>0</v>
      </c>
      <c r="I412" s="14" t="s">
        <v>318</v>
      </c>
      <c r="J412" s="7" t="s">
        <v>1673</v>
      </c>
      <c r="K412" s="7" t="s">
        <v>1673</v>
      </c>
      <c r="L412" s="6" t="s">
        <v>1673</v>
      </c>
      <c r="M412" s="15" t="s">
        <v>1673</v>
      </c>
      <c r="N412" s="16" t="s">
        <v>1673</v>
      </c>
      <c r="O412" s="17" t="s">
        <v>1673</v>
      </c>
      <c r="P412" s="16" t="s">
        <v>1673</v>
      </c>
      <c r="Q412" s="17" t="s">
        <v>1673</v>
      </c>
    </row>
    <row r="413" spans="1:17" x14ac:dyDescent="0.25">
      <c r="A413" s="6" t="s">
        <v>5</v>
      </c>
      <c r="B413" s="7">
        <v>12</v>
      </c>
      <c r="C413" s="13">
        <v>101</v>
      </c>
      <c r="D413" s="13">
        <v>1</v>
      </c>
      <c r="E413" s="6" t="s">
        <v>355</v>
      </c>
      <c r="F413" s="13" t="s">
        <v>320</v>
      </c>
      <c r="G413" s="13">
        <v>1</v>
      </c>
      <c r="H413" s="7">
        <v>0</v>
      </c>
      <c r="I413" s="14" t="s">
        <v>319</v>
      </c>
      <c r="J413" s="7" t="s">
        <v>1673</v>
      </c>
      <c r="K413" s="7" t="s">
        <v>1673</v>
      </c>
      <c r="L413" s="6" t="s">
        <v>1673</v>
      </c>
      <c r="M413" s="15" t="s">
        <v>1673</v>
      </c>
      <c r="N413" s="16" t="s">
        <v>1673</v>
      </c>
      <c r="O413" s="17" t="s">
        <v>1673</v>
      </c>
      <c r="P413" s="16" t="s">
        <v>1673</v>
      </c>
      <c r="Q413" s="17" t="s">
        <v>1673</v>
      </c>
    </row>
    <row r="414" spans="1:17" x14ac:dyDescent="0.25">
      <c r="A414" s="6" t="s">
        <v>5</v>
      </c>
      <c r="B414" s="7">
        <v>12</v>
      </c>
      <c r="C414" s="13">
        <v>101</v>
      </c>
      <c r="D414" s="13">
        <v>2</v>
      </c>
      <c r="E414" s="6" t="s">
        <v>316</v>
      </c>
      <c r="F414" s="13" t="s">
        <v>317</v>
      </c>
      <c r="G414" s="13">
        <v>0</v>
      </c>
      <c r="H414" s="7">
        <v>0</v>
      </c>
      <c r="I414" s="14" t="s">
        <v>318</v>
      </c>
      <c r="J414" s="7" t="s">
        <v>1673</v>
      </c>
      <c r="K414" s="7" t="s">
        <v>1673</v>
      </c>
      <c r="L414" s="6" t="s">
        <v>1673</v>
      </c>
      <c r="M414" s="15" t="s">
        <v>1673</v>
      </c>
      <c r="N414" s="16" t="s">
        <v>1673</v>
      </c>
      <c r="O414" s="17" t="s">
        <v>1673</v>
      </c>
      <c r="P414" s="16" t="s">
        <v>1673</v>
      </c>
      <c r="Q414" s="17" t="s">
        <v>1673</v>
      </c>
    </row>
    <row r="415" spans="1:17" x14ac:dyDescent="0.25">
      <c r="A415" s="6" t="s">
        <v>5</v>
      </c>
      <c r="B415" s="7">
        <v>12</v>
      </c>
      <c r="C415" s="13">
        <v>101</v>
      </c>
      <c r="D415" s="13">
        <v>2</v>
      </c>
      <c r="E415" s="6" t="s">
        <v>316</v>
      </c>
      <c r="F415" s="13" t="s">
        <v>317</v>
      </c>
      <c r="G415" s="13">
        <v>0</v>
      </c>
      <c r="H415" s="7">
        <v>0</v>
      </c>
      <c r="I415" s="14" t="s">
        <v>319</v>
      </c>
      <c r="J415" s="7" t="s">
        <v>1673</v>
      </c>
      <c r="K415" s="7" t="s">
        <v>1673</v>
      </c>
      <c r="L415" s="6" t="s">
        <v>1673</v>
      </c>
      <c r="M415" s="15" t="s">
        <v>1673</v>
      </c>
      <c r="N415" s="16" t="s">
        <v>1673</v>
      </c>
      <c r="O415" s="17" t="s">
        <v>1673</v>
      </c>
      <c r="P415" s="16" t="s">
        <v>1673</v>
      </c>
      <c r="Q415" s="17" t="s">
        <v>1673</v>
      </c>
    </row>
    <row r="416" spans="1:17" x14ac:dyDescent="0.25">
      <c r="A416" s="6" t="s">
        <v>5</v>
      </c>
      <c r="B416" s="7">
        <v>12</v>
      </c>
      <c r="C416" s="13">
        <v>101</v>
      </c>
      <c r="D416" s="13">
        <v>2</v>
      </c>
      <c r="E416" s="6" t="s">
        <v>355</v>
      </c>
      <c r="F416" s="13" t="s">
        <v>320</v>
      </c>
      <c r="G416" s="13">
        <v>1</v>
      </c>
      <c r="H416" s="7">
        <v>5</v>
      </c>
      <c r="I416" s="14" t="s">
        <v>318</v>
      </c>
      <c r="J416" s="7">
        <v>1.2909999999999999</v>
      </c>
      <c r="K416" s="7">
        <v>43.682000000000002</v>
      </c>
      <c r="L416" s="6">
        <v>0</v>
      </c>
      <c r="M416" s="15">
        <v>9.9440000000000001E-2</v>
      </c>
      <c r="N416" s="16">
        <v>64.188519999999997</v>
      </c>
      <c r="O416" s="17">
        <v>2171.86904</v>
      </c>
      <c r="P416" s="16">
        <v>64.188519999999997</v>
      </c>
      <c r="Q416" s="17">
        <v>2171.8690400000005</v>
      </c>
    </row>
    <row r="417" spans="1:17" x14ac:dyDescent="0.25">
      <c r="A417" s="6" t="s">
        <v>5</v>
      </c>
      <c r="B417" s="7">
        <v>12</v>
      </c>
      <c r="C417" s="13">
        <v>101</v>
      </c>
      <c r="D417" s="13">
        <v>2</v>
      </c>
      <c r="E417" s="6" t="s">
        <v>355</v>
      </c>
      <c r="F417" s="13" t="s">
        <v>320</v>
      </c>
      <c r="G417" s="13">
        <v>1</v>
      </c>
      <c r="H417" s="7">
        <v>5</v>
      </c>
      <c r="I417" s="14" t="s">
        <v>319</v>
      </c>
      <c r="J417" s="7" t="s">
        <v>1673</v>
      </c>
      <c r="K417" s="7" t="s">
        <v>1673</v>
      </c>
      <c r="L417" s="6" t="s">
        <v>1673</v>
      </c>
      <c r="M417" s="15" t="s">
        <v>1673</v>
      </c>
      <c r="N417" s="16" t="s">
        <v>1673</v>
      </c>
      <c r="O417" s="17" t="s">
        <v>1673</v>
      </c>
      <c r="P417" s="16" t="s">
        <v>1673</v>
      </c>
      <c r="Q417" s="17" t="s">
        <v>1673</v>
      </c>
    </row>
    <row r="418" spans="1:17" x14ac:dyDescent="0.25">
      <c r="A418" s="6" t="s">
        <v>5</v>
      </c>
      <c r="B418" s="7">
        <v>12</v>
      </c>
      <c r="C418" s="13">
        <v>101</v>
      </c>
      <c r="D418" s="13">
        <v>2</v>
      </c>
      <c r="E418" s="6" t="s">
        <v>355</v>
      </c>
      <c r="F418" s="13" t="s">
        <v>321</v>
      </c>
      <c r="G418" s="13">
        <v>2</v>
      </c>
      <c r="H418" s="7">
        <v>5</v>
      </c>
      <c r="I418" s="14" t="s">
        <v>318</v>
      </c>
      <c r="J418" s="7">
        <v>1.337</v>
      </c>
      <c r="K418" s="7">
        <v>41.999000000000002</v>
      </c>
      <c r="L418" s="6">
        <v>0</v>
      </c>
      <c r="M418" s="15">
        <v>0.11515200000000002</v>
      </c>
      <c r="N418" s="16">
        <v>76.979112000000015</v>
      </c>
      <c r="O418" s="17">
        <v>2418.1344240000008</v>
      </c>
      <c r="P418" s="16">
        <v>76.979112000000015</v>
      </c>
      <c r="Q418" s="17">
        <v>2418.1344240000003</v>
      </c>
    </row>
    <row r="419" spans="1:17" x14ac:dyDescent="0.25">
      <c r="A419" s="6" t="s">
        <v>5</v>
      </c>
      <c r="B419" s="7">
        <v>12</v>
      </c>
      <c r="C419" s="13">
        <v>101</v>
      </c>
      <c r="D419" s="13">
        <v>2</v>
      </c>
      <c r="E419" s="6" t="s">
        <v>355</v>
      </c>
      <c r="F419" s="13" t="s">
        <v>321</v>
      </c>
      <c r="G419" s="13">
        <v>2</v>
      </c>
      <c r="H419" s="7">
        <v>5</v>
      </c>
      <c r="I419" s="14" t="s">
        <v>319</v>
      </c>
      <c r="J419" s="7" t="s">
        <v>1673</v>
      </c>
      <c r="K419" s="7" t="s">
        <v>1673</v>
      </c>
      <c r="L419" s="6" t="s">
        <v>1673</v>
      </c>
      <c r="M419" s="15" t="s">
        <v>1673</v>
      </c>
      <c r="N419" s="16" t="s">
        <v>1673</v>
      </c>
      <c r="O419" s="17" t="s">
        <v>1673</v>
      </c>
      <c r="P419" s="16" t="s">
        <v>1673</v>
      </c>
      <c r="Q419" s="17" t="s">
        <v>1673</v>
      </c>
    </row>
    <row r="420" spans="1:17" x14ac:dyDescent="0.25">
      <c r="A420" s="6" t="s">
        <v>5</v>
      </c>
      <c r="B420" s="7">
        <v>12</v>
      </c>
      <c r="C420" s="13">
        <v>101</v>
      </c>
      <c r="D420" s="13">
        <v>3</v>
      </c>
      <c r="E420" s="6" t="s">
        <v>316</v>
      </c>
      <c r="F420" s="13" t="s">
        <v>317</v>
      </c>
      <c r="G420" s="13">
        <v>0</v>
      </c>
      <c r="H420" s="7">
        <v>7</v>
      </c>
      <c r="I420" s="14" t="s">
        <v>318</v>
      </c>
      <c r="J420" s="7">
        <v>2.2759999999999998</v>
      </c>
      <c r="K420" s="7">
        <v>45.067999999999998</v>
      </c>
      <c r="L420" s="6">
        <v>0</v>
      </c>
      <c r="M420" s="15" t="s">
        <v>1673</v>
      </c>
      <c r="N420" s="16" t="s">
        <v>1673</v>
      </c>
      <c r="O420" s="17" t="s">
        <v>1673</v>
      </c>
      <c r="P420" s="16" t="s">
        <v>1673</v>
      </c>
      <c r="Q420" s="17" t="s">
        <v>1673</v>
      </c>
    </row>
    <row r="421" spans="1:17" x14ac:dyDescent="0.25">
      <c r="A421" s="6" t="s">
        <v>5</v>
      </c>
      <c r="B421" s="7">
        <v>12</v>
      </c>
      <c r="C421" s="13">
        <v>101</v>
      </c>
      <c r="D421" s="13">
        <v>3</v>
      </c>
      <c r="E421" s="6" t="s">
        <v>316</v>
      </c>
      <c r="F421" s="13" t="s">
        <v>317</v>
      </c>
      <c r="G421" s="13">
        <v>0</v>
      </c>
      <c r="H421" s="7">
        <v>7</v>
      </c>
      <c r="I421" s="14" t="s">
        <v>319</v>
      </c>
      <c r="J421" s="7" t="s">
        <v>1673</v>
      </c>
      <c r="K421" s="7" t="s">
        <v>1673</v>
      </c>
      <c r="L421" s="6" t="s">
        <v>1673</v>
      </c>
      <c r="M421" s="15" t="s">
        <v>1673</v>
      </c>
      <c r="N421" s="16" t="s">
        <v>1673</v>
      </c>
      <c r="O421" s="17" t="s">
        <v>1673</v>
      </c>
      <c r="P421" s="16" t="s">
        <v>1673</v>
      </c>
      <c r="Q421" s="17" t="s">
        <v>1673</v>
      </c>
    </row>
    <row r="422" spans="1:17" x14ac:dyDescent="0.25">
      <c r="A422" s="6" t="s">
        <v>5</v>
      </c>
      <c r="B422" s="7">
        <v>12</v>
      </c>
      <c r="C422" s="13">
        <v>101</v>
      </c>
      <c r="D422" s="13">
        <v>3</v>
      </c>
      <c r="E422" s="6" t="s">
        <v>355</v>
      </c>
      <c r="F422" s="13" t="s">
        <v>320</v>
      </c>
      <c r="G422" s="13">
        <v>1</v>
      </c>
      <c r="H422" s="7">
        <v>5</v>
      </c>
      <c r="I422" s="14" t="s">
        <v>318</v>
      </c>
      <c r="J422" s="7">
        <v>1.306</v>
      </c>
      <c r="K422" s="7">
        <v>44.125999999999998</v>
      </c>
      <c r="L422" s="6">
        <v>0</v>
      </c>
      <c r="M422" s="15">
        <v>5.7857777777777779E-2</v>
      </c>
      <c r="N422" s="16">
        <v>37.781128888888887</v>
      </c>
      <c r="O422" s="17">
        <v>1276.516151111111</v>
      </c>
      <c r="P422" s="16">
        <v>37.781128888888887</v>
      </c>
      <c r="Q422" s="17">
        <v>1276.516151111111</v>
      </c>
    </row>
    <row r="423" spans="1:17" x14ac:dyDescent="0.25">
      <c r="A423" s="6" t="s">
        <v>5</v>
      </c>
      <c r="B423" s="7">
        <v>12</v>
      </c>
      <c r="C423" s="13">
        <v>101</v>
      </c>
      <c r="D423" s="13">
        <v>3</v>
      </c>
      <c r="E423" s="6" t="s">
        <v>355</v>
      </c>
      <c r="F423" s="13" t="s">
        <v>320</v>
      </c>
      <c r="G423" s="13">
        <v>1</v>
      </c>
      <c r="H423" s="7">
        <v>5</v>
      </c>
      <c r="I423" s="14" t="s">
        <v>319</v>
      </c>
      <c r="J423" s="7">
        <v>0.81499999999999995</v>
      </c>
      <c r="K423" s="7">
        <v>51.085000000000001</v>
      </c>
      <c r="L423" s="6">
        <v>0</v>
      </c>
      <c r="M423" s="15">
        <v>6.6666666666666664E-4</v>
      </c>
      <c r="N423" s="16">
        <v>0.27166666666666661</v>
      </c>
      <c r="O423" s="17">
        <v>17.028333333333332</v>
      </c>
      <c r="P423" s="16">
        <v>0.27166666666666661</v>
      </c>
      <c r="Q423" s="17">
        <v>17.028333333333332</v>
      </c>
    </row>
    <row r="424" spans="1:17" x14ac:dyDescent="0.25">
      <c r="A424" s="6" t="s">
        <v>5</v>
      </c>
      <c r="B424" s="7">
        <v>12</v>
      </c>
      <c r="C424" s="13">
        <v>101</v>
      </c>
      <c r="D424" s="13">
        <v>3</v>
      </c>
      <c r="E424" s="6" t="s">
        <v>355</v>
      </c>
      <c r="F424" s="13" t="s">
        <v>321</v>
      </c>
      <c r="G424" s="13">
        <v>2</v>
      </c>
      <c r="H424" s="7">
        <v>5</v>
      </c>
      <c r="I424" s="14" t="s">
        <v>318</v>
      </c>
      <c r="J424" s="7">
        <v>1.0680000000000001</v>
      </c>
      <c r="K424" s="7">
        <v>42.445999999999998</v>
      </c>
      <c r="L424" s="6">
        <v>0</v>
      </c>
      <c r="M424" s="15">
        <v>9.8720000000000016E-2</v>
      </c>
      <c r="N424" s="16">
        <v>52.716480000000011</v>
      </c>
      <c r="O424" s="17">
        <v>2095.1345600000004</v>
      </c>
      <c r="P424" s="16">
        <v>52.716480000000011</v>
      </c>
      <c r="Q424" s="17">
        <v>2095.1345600000004</v>
      </c>
    </row>
    <row r="425" spans="1:17" x14ac:dyDescent="0.25">
      <c r="A425" s="6" t="s">
        <v>5</v>
      </c>
      <c r="B425" s="7">
        <v>12</v>
      </c>
      <c r="C425" s="13">
        <v>101</v>
      </c>
      <c r="D425" s="13">
        <v>3</v>
      </c>
      <c r="E425" s="6" t="s">
        <v>355</v>
      </c>
      <c r="F425" s="13" t="s">
        <v>321</v>
      </c>
      <c r="G425" s="13">
        <v>2</v>
      </c>
      <c r="H425" s="7">
        <v>5</v>
      </c>
      <c r="I425" s="14" t="s">
        <v>319</v>
      </c>
      <c r="J425" s="7" t="s">
        <v>1673</v>
      </c>
      <c r="K425" s="7" t="s">
        <v>1673</v>
      </c>
      <c r="L425" s="6" t="s">
        <v>1673</v>
      </c>
      <c r="M425" s="15" t="s">
        <v>1673</v>
      </c>
      <c r="N425" s="16" t="s">
        <v>1673</v>
      </c>
      <c r="O425" s="17" t="s">
        <v>1673</v>
      </c>
      <c r="P425" s="16" t="s">
        <v>1673</v>
      </c>
      <c r="Q425" s="17" t="s">
        <v>1673</v>
      </c>
    </row>
    <row r="426" spans="1:17" x14ac:dyDescent="0.25">
      <c r="A426" s="6" t="s">
        <v>5</v>
      </c>
      <c r="B426" s="7">
        <v>12</v>
      </c>
      <c r="C426" s="13">
        <v>101</v>
      </c>
      <c r="D426" s="13">
        <v>3</v>
      </c>
      <c r="E426" s="6" t="s">
        <v>355</v>
      </c>
      <c r="F426" s="13" t="s">
        <v>322</v>
      </c>
      <c r="G426" s="13">
        <v>3</v>
      </c>
      <c r="H426" s="7">
        <v>5</v>
      </c>
      <c r="I426" s="14" t="s">
        <v>318</v>
      </c>
      <c r="J426" s="7">
        <v>1.448</v>
      </c>
      <c r="K426" s="7">
        <v>42.235999999999997</v>
      </c>
      <c r="L426" s="6">
        <v>0</v>
      </c>
      <c r="M426" s="15">
        <v>0.17519999999999999</v>
      </c>
      <c r="N426" s="16">
        <v>126.84479999999999</v>
      </c>
      <c r="O426" s="17">
        <v>3699.8735999999994</v>
      </c>
      <c r="P426" s="16">
        <v>126.84479999999999</v>
      </c>
      <c r="Q426" s="17">
        <v>3699.8735999999994</v>
      </c>
    </row>
    <row r="427" spans="1:17" x14ac:dyDescent="0.25">
      <c r="A427" s="6" t="s">
        <v>5</v>
      </c>
      <c r="B427" s="7">
        <v>12</v>
      </c>
      <c r="C427" s="13">
        <v>101</v>
      </c>
      <c r="D427" s="13">
        <v>3</v>
      </c>
      <c r="E427" s="6" t="s">
        <v>355</v>
      </c>
      <c r="F427" s="13" t="s">
        <v>322</v>
      </c>
      <c r="G427" s="13">
        <v>3</v>
      </c>
      <c r="H427" s="7">
        <v>5</v>
      </c>
      <c r="I427" s="14" t="s">
        <v>319</v>
      </c>
      <c r="J427" s="7" t="s">
        <v>1673</v>
      </c>
      <c r="K427" s="7" t="s">
        <v>1673</v>
      </c>
      <c r="L427" s="6" t="s">
        <v>1673</v>
      </c>
      <c r="M427" s="15" t="s">
        <v>1673</v>
      </c>
      <c r="N427" s="16" t="s">
        <v>1673</v>
      </c>
      <c r="O427" s="17" t="s">
        <v>1673</v>
      </c>
      <c r="P427" s="16" t="s">
        <v>1673</v>
      </c>
      <c r="Q427" s="17" t="s">
        <v>1673</v>
      </c>
    </row>
    <row r="428" spans="1:17" x14ac:dyDescent="0.25">
      <c r="A428" s="6" t="s">
        <v>5</v>
      </c>
      <c r="B428" s="7">
        <v>12</v>
      </c>
      <c r="C428" s="13">
        <v>101</v>
      </c>
      <c r="D428" s="13">
        <v>3</v>
      </c>
      <c r="E428" s="6" t="s">
        <v>355</v>
      </c>
      <c r="F428" s="13" t="s">
        <v>324</v>
      </c>
      <c r="G428" s="18">
        <v>4</v>
      </c>
      <c r="H428" s="7">
        <v>2</v>
      </c>
      <c r="I428" s="14" t="s">
        <v>318</v>
      </c>
      <c r="J428" s="7">
        <v>1.5760000000000001</v>
      </c>
      <c r="K428" s="7">
        <v>40.716000000000001</v>
      </c>
      <c r="L428" s="6">
        <v>0</v>
      </c>
      <c r="M428" s="15">
        <v>0.12713580246913581</v>
      </c>
      <c r="N428" s="16">
        <v>40.073204938271601</v>
      </c>
      <c r="O428" s="17">
        <v>1035.2922666666666</v>
      </c>
      <c r="P428" s="16">
        <v>100.18301234567902</v>
      </c>
      <c r="Q428" s="17">
        <v>2588.2306666666664</v>
      </c>
    </row>
    <row r="429" spans="1:17" x14ac:dyDescent="0.25">
      <c r="A429" s="6" t="s">
        <v>5</v>
      </c>
      <c r="B429" s="7">
        <v>12</v>
      </c>
      <c r="C429" s="13">
        <v>101</v>
      </c>
      <c r="D429" s="13">
        <v>3</v>
      </c>
      <c r="E429" s="6" t="s">
        <v>355</v>
      </c>
      <c r="F429" s="13" t="s">
        <v>324</v>
      </c>
      <c r="G429" s="18">
        <v>4</v>
      </c>
      <c r="H429" s="7">
        <v>2</v>
      </c>
      <c r="I429" s="14" t="s">
        <v>319</v>
      </c>
      <c r="J429" s="7" t="s">
        <v>1673</v>
      </c>
      <c r="K429" s="7" t="s">
        <v>1673</v>
      </c>
      <c r="L429" s="6" t="s">
        <v>1673</v>
      </c>
      <c r="M429" s="15" t="s">
        <v>1673</v>
      </c>
      <c r="N429" s="16" t="s">
        <v>1673</v>
      </c>
      <c r="O429" s="17" t="s">
        <v>1673</v>
      </c>
      <c r="P429" s="16" t="s">
        <v>1673</v>
      </c>
      <c r="Q429" s="17" t="s">
        <v>1673</v>
      </c>
    </row>
    <row r="430" spans="1:17" x14ac:dyDescent="0.25">
      <c r="A430" s="6" t="s">
        <v>5</v>
      </c>
      <c r="B430" s="7">
        <v>12</v>
      </c>
      <c r="C430" s="13">
        <v>101</v>
      </c>
      <c r="D430" s="13">
        <v>4</v>
      </c>
      <c r="E430" s="6" t="s">
        <v>316</v>
      </c>
      <c r="F430" s="13" t="s">
        <v>317</v>
      </c>
      <c r="G430" s="13">
        <v>0</v>
      </c>
      <c r="H430" s="7">
        <v>0</v>
      </c>
      <c r="I430" s="14" t="s">
        <v>318</v>
      </c>
      <c r="J430" s="7" t="s">
        <v>1673</v>
      </c>
      <c r="K430" s="7" t="s">
        <v>1673</v>
      </c>
      <c r="L430" s="6" t="s">
        <v>1673</v>
      </c>
      <c r="M430" s="15" t="s">
        <v>1673</v>
      </c>
      <c r="N430" s="16" t="s">
        <v>1673</v>
      </c>
      <c r="O430" s="17" t="s">
        <v>1673</v>
      </c>
      <c r="P430" s="16" t="s">
        <v>1673</v>
      </c>
      <c r="Q430" s="17" t="s">
        <v>1673</v>
      </c>
    </row>
    <row r="431" spans="1:17" x14ac:dyDescent="0.25">
      <c r="A431" s="6" t="s">
        <v>5</v>
      </c>
      <c r="B431" s="7">
        <v>12</v>
      </c>
      <c r="C431" s="13">
        <v>101</v>
      </c>
      <c r="D431" s="13">
        <v>4</v>
      </c>
      <c r="E431" s="6" t="s">
        <v>316</v>
      </c>
      <c r="F431" s="13" t="s">
        <v>317</v>
      </c>
      <c r="G431" s="13">
        <v>0</v>
      </c>
      <c r="H431" s="7">
        <v>0</v>
      </c>
      <c r="I431" s="14" t="s">
        <v>319</v>
      </c>
      <c r="J431" s="7" t="s">
        <v>1673</v>
      </c>
      <c r="K431" s="7" t="s">
        <v>1673</v>
      </c>
      <c r="L431" s="6" t="s">
        <v>1673</v>
      </c>
      <c r="M431" s="15" t="s">
        <v>1673</v>
      </c>
      <c r="N431" s="16" t="s">
        <v>1673</v>
      </c>
      <c r="O431" s="17" t="s">
        <v>1673</v>
      </c>
      <c r="P431" s="16" t="s">
        <v>1673</v>
      </c>
      <c r="Q431" s="17" t="s">
        <v>1673</v>
      </c>
    </row>
    <row r="432" spans="1:17" x14ac:dyDescent="0.25">
      <c r="A432" s="6" t="s">
        <v>5</v>
      </c>
      <c r="B432" s="7">
        <v>12</v>
      </c>
      <c r="C432" s="13">
        <v>101</v>
      </c>
      <c r="D432" s="13">
        <v>4</v>
      </c>
      <c r="E432" s="6" t="s">
        <v>355</v>
      </c>
      <c r="F432" s="13" t="s">
        <v>320</v>
      </c>
      <c r="G432" s="13">
        <v>1</v>
      </c>
      <c r="H432" s="7">
        <v>5</v>
      </c>
      <c r="I432" s="14" t="s">
        <v>318</v>
      </c>
      <c r="J432" s="7">
        <v>1.089</v>
      </c>
      <c r="K432" s="7">
        <v>46.287999999999997</v>
      </c>
      <c r="L432" s="6">
        <v>0</v>
      </c>
      <c r="M432" s="15">
        <v>9.2916923076923078E-2</v>
      </c>
      <c r="N432" s="16">
        <v>50.593264615384619</v>
      </c>
      <c r="O432" s="17">
        <v>2150.4692676923078</v>
      </c>
      <c r="P432" s="16">
        <v>50.593264615384612</v>
      </c>
      <c r="Q432" s="17">
        <v>2150.4692676923078</v>
      </c>
    </row>
    <row r="433" spans="1:17" x14ac:dyDescent="0.25">
      <c r="A433" s="6" t="s">
        <v>5</v>
      </c>
      <c r="B433" s="7">
        <v>12</v>
      </c>
      <c r="C433" s="13">
        <v>101</v>
      </c>
      <c r="D433" s="13">
        <v>4</v>
      </c>
      <c r="E433" s="6" t="s">
        <v>355</v>
      </c>
      <c r="F433" s="13" t="s">
        <v>320</v>
      </c>
      <c r="G433" s="13">
        <v>1</v>
      </c>
      <c r="H433" s="7">
        <v>5</v>
      </c>
      <c r="I433" s="14" t="s">
        <v>319</v>
      </c>
      <c r="J433" s="7" t="s">
        <v>1673</v>
      </c>
      <c r="K433" s="7" t="s">
        <v>1673</v>
      </c>
      <c r="L433" s="6" t="s">
        <v>1673</v>
      </c>
      <c r="M433" s="15" t="s">
        <v>1673</v>
      </c>
      <c r="N433" s="16" t="s">
        <v>1673</v>
      </c>
      <c r="O433" s="17" t="s">
        <v>1673</v>
      </c>
      <c r="P433" s="16" t="s">
        <v>1673</v>
      </c>
      <c r="Q433" s="17" t="s">
        <v>1673</v>
      </c>
    </row>
    <row r="434" spans="1:17" x14ac:dyDescent="0.25">
      <c r="A434" s="6" t="s">
        <v>5</v>
      </c>
      <c r="B434" s="7">
        <v>12</v>
      </c>
      <c r="C434" s="13">
        <v>101</v>
      </c>
      <c r="D434" s="13">
        <v>4</v>
      </c>
      <c r="E434" s="6" t="s">
        <v>355</v>
      </c>
      <c r="F434" s="13" t="s">
        <v>321</v>
      </c>
      <c r="G434" s="13">
        <v>2</v>
      </c>
      <c r="H434" s="7">
        <v>2</v>
      </c>
      <c r="I434" s="14" t="s">
        <v>318</v>
      </c>
      <c r="J434" s="7">
        <v>1.292</v>
      </c>
      <c r="K434" s="7">
        <v>44.491</v>
      </c>
      <c r="L434" s="6">
        <v>0</v>
      </c>
      <c r="M434" s="15">
        <v>0.10718461538461538</v>
      </c>
      <c r="N434" s="16">
        <v>27.696504615384615</v>
      </c>
      <c r="O434" s="17">
        <v>953.75014461538456</v>
      </c>
      <c r="P434" s="16">
        <v>69.241261538461544</v>
      </c>
      <c r="Q434" s="17">
        <v>2384.3753615384612</v>
      </c>
    </row>
    <row r="435" spans="1:17" x14ac:dyDescent="0.25">
      <c r="A435" s="6" t="s">
        <v>5</v>
      </c>
      <c r="B435" s="7">
        <v>12</v>
      </c>
      <c r="C435" s="13">
        <v>101</v>
      </c>
      <c r="D435" s="13">
        <v>4</v>
      </c>
      <c r="E435" s="6" t="s">
        <v>355</v>
      </c>
      <c r="F435" s="13" t="s">
        <v>321</v>
      </c>
      <c r="G435" s="13">
        <v>2</v>
      </c>
      <c r="H435" s="7">
        <v>2</v>
      </c>
      <c r="I435" s="14" t="s">
        <v>319</v>
      </c>
      <c r="J435" s="7" t="s">
        <v>1673</v>
      </c>
      <c r="K435" s="7" t="s">
        <v>1673</v>
      </c>
      <c r="L435" s="6" t="s">
        <v>1673</v>
      </c>
      <c r="M435" s="15" t="s">
        <v>1673</v>
      </c>
      <c r="N435" s="16" t="s">
        <v>1673</v>
      </c>
      <c r="O435" s="17" t="s">
        <v>1673</v>
      </c>
      <c r="P435" s="16" t="s">
        <v>1673</v>
      </c>
      <c r="Q435" s="17" t="s">
        <v>1673</v>
      </c>
    </row>
    <row r="436" spans="1:17" x14ac:dyDescent="0.25">
      <c r="A436" s="6" t="s">
        <v>5</v>
      </c>
      <c r="B436" s="7">
        <v>12</v>
      </c>
      <c r="C436" s="13">
        <v>101</v>
      </c>
      <c r="D436" s="13">
        <v>5</v>
      </c>
      <c r="E436" s="6" t="s">
        <v>316</v>
      </c>
      <c r="F436" s="13" t="s">
        <v>317</v>
      </c>
      <c r="G436" s="13">
        <v>0</v>
      </c>
      <c r="H436" s="7">
        <v>0</v>
      </c>
      <c r="I436" s="14" t="s">
        <v>318</v>
      </c>
      <c r="J436" s="7" t="s">
        <v>1673</v>
      </c>
      <c r="K436" s="7" t="s">
        <v>1673</v>
      </c>
      <c r="L436" s="6" t="s">
        <v>1673</v>
      </c>
      <c r="M436" s="15" t="s">
        <v>1673</v>
      </c>
      <c r="N436" s="16" t="s">
        <v>1673</v>
      </c>
      <c r="O436" s="17" t="s">
        <v>1673</v>
      </c>
      <c r="P436" s="16" t="s">
        <v>1673</v>
      </c>
      <c r="Q436" s="17" t="s">
        <v>1673</v>
      </c>
    </row>
    <row r="437" spans="1:17" x14ac:dyDescent="0.25">
      <c r="A437" s="6" t="s">
        <v>5</v>
      </c>
      <c r="B437" s="7">
        <v>12</v>
      </c>
      <c r="C437" s="13">
        <v>101</v>
      </c>
      <c r="D437" s="13">
        <v>5</v>
      </c>
      <c r="E437" s="6" t="s">
        <v>316</v>
      </c>
      <c r="F437" s="13" t="s">
        <v>317</v>
      </c>
      <c r="G437" s="13">
        <v>0</v>
      </c>
      <c r="H437" s="7">
        <v>0</v>
      </c>
      <c r="I437" s="14" t="s">
        <v>319</v>
      </c>
      <c r="J437" s="7" t="s">
        <v>1673</v>
      </c>
      <c r="K437" s="7" t="s">
        <v>1673</v>
      </c>
      <c r="L437" s="6" t="s">
        <v>1673</v>
      </c>
      <c r="M437" s="15" t="s">
        <v>1673</v>
      </c>
      <c r="N437" s="16" t="s">
        <v>1673</v>
      </c>
      <c r="O437" s="17" t="s">
        <v>1673</v>
      </c>
      <c r="P437" s="16" t="s">
        <v>1673</v>
      </c>
      <c r="Q437" s="17" t="s">
        <v>1673</v>
      </c>
    </row>
    <row r="438" spans="1:17" x14ac:dyDescent="0.25">
      <c r="A438" s="6" t="s">
        <v>5</v>
      </c>
      <c r="B438" s="7">
        <v>12</v>
      </c>
      <c r="C438" s="13">
        <v>101</v>
      </c>
      <c r="D438" s="13">
        <v>5</v>
      </c>
      <c r="E438" s="6" t="s">
        <v>355</v>
      </c>
      <c r="F438" s="13" t="s">
        <v>320</v>
      </c>
      <c r="G438" s="13">
        <v>1</v>
      </c>
      <c r="H438" s="7">
        <v>5</v>
      </c>
      <c r="I438" s="14" t="s">
        <v>318</v>
      </c>
      <c r="J438" s="7">
        <v>0.61</v>
      </c>
      <c r="K438" s="7">
        <v>43.426000000000002</v>
      </c>
      <c r="L438" s="6">
        <v>0</v>
      </c>
      <c r="M438" s="15">
        <v>9.6317460317460316E-2</v>
      </c>
      <c r="N438" s="16">
        <v>29.376825396825396</v>
      </c>
      <c r="O438" s="17">
        <v>2091.3410158730162</v>
      </c>
      <c r="P438" s="16">
        <v>29.376825396825392</v>
      </c>
      <c r="Q438" s="17">
        <v>2091.3410158730157</v>
      </c>
    </row>
    <row r="439" spans="1:17" x14ac:dyDescent="0.25">
      <c r="A439" s="6" t="s">
        <v>5</v>
      </c>
      <c r="B439" s="7">
        <v>12</v>
      </c>
      <c r="C439" s="13">
        <v>101</v>
      </c>
      <c r="D439" s="13">
        <v>5</v>
      </c>
      <c r="E439" s="6" t="s">
        <v>355</v>
      </c>
      <c r="F439" s="13" t="s">
        <v>320</v>
      </c>
      <c r="G439" s="13">
        <v>1</v>
      </c>
      <c r="H439" s="7">
        <v>5</v>
      </c>
      <c r="I439" s="14" t="s">
        <v>319</v>
      </c>
      <c r="J439" s="7">
        <v>0.70499999999999996</v>
      </c>
      <c r="K439" s="7">
        <v>52.636000000000003</v>
      </c>
      <c r="L439" s="6">
        <v>0</v>
      </c>
      <c r="M439" s="15">
        <v>5.7777777777777775E-4</v>
      </c>
      <c r="N439" s="16">
        <v>0.20366666666666666</v>
      </c>
      <c r="O439" s="17">
        <v>15.205955555555557</v>
      </c>
      <c r="P439" s="16">
        <v>0.20366666666666666</v>
      </c>
      <c r="Q439" s="17">
        <v>15.205955555555557</v>
      </c>
    </row>
    <row r="440" spans="1:17" x14ac:dyDescent="0.25">
      <c r="A440" s="6" t="s">
        <v>5</v>
      </c>
      <c r="B440" s="7">
        <v>12</v>
      </c>
      <c r="C440" s="13">
        <v>101</v>
      </c>
      <c r="D440" s="13">
        <v>5</v>
      </c>
      <c r="E440" s="6" t="s">
        <v>355</v>
      </c>
      <c r="F440" s="13" t="s">
        <v>321</v>
      </c>
      <c r="G440" s="13">
        <v>2</v>
      </c>
      <c r="H440" s="7">
        <v>5</v>
      </c>
      <c r="I440" s="14" t="s">
        <v>318</v>
      </c>
      <c r="J440" s="7">
        <v>0.92200000000000004</v>
      </c>
      <c r="K440" s="7">
        <v>44.235999999999997</v>
      </c>
      <c r="L440" s="6">
        <v>0</v>
      </c>
      <c r="M440" s="15">
        <v>8.4907936507936502E-2</v>
      </c>
      <c r="N440" s="16">
        <v>39.142558730158733</v>
      </c>
      <c r="O440" s="17">
        <v>1877.9937396825394</v>
      </c>
      <c r="P440" s="16">
        <v>39.142558730158733</v>
      </c>
      <c r="Q440" s="17">
        <v>1877.9937396825394</v>
      </c>
    </row>
    <row r="441" spans="1:17" x14ac:dyDescent="0.25">
      <c r="A441" s="6" t="s">
        <v>5</v>
      </c>
      <c r="B441" s="7">
        <v>12</v>
      </c>
      <c r="C441" s="13">
        <v>101</v>
      </c>
      <c r="D441" s="13">
        <v>5</v>
      </c>
      <c r="E441" s="6" t="s">
        <v>355</v>
      </c>
      <c r="F441" s="13" t="s">
        <v>321</v>
      </c>
      <c r="G441" s="13">
        <v>2</v>
      </c>
      <c r="H441" s="7">
        <v>5</v>
      </c>
      <c r="I441" s="14" t="s">
        <v>319</v>
      </c>
      <c r="J441" s="7">
        <v>0.76200000000000001</v>
      </c>
      <c r="K441" s="7">
        <v>52.164999999999999</v>
      </c>
      <c r="L441" s="6">
        <v>0</v>
      </c>
      <c r="M441" s="15">
        <v>5.0095238095238101E-3</v>
      </c>
      <c r="N441" s="16">
        <v>1.9086285714285718</v>
      </c>
      <c r="O441" s="17">
        <v>130.66090476190476</v>
      </c>
      <c r="P441" s="16">
        <v>1.9086285714285718</v>
      </c>
      <c r="Q441" s="17">
        <v>130.66090476190476</v>
      </c>
    </row>
    <row r="442" spans="1:17" x14ac:dyDescent="0.25">
      <c r="A442" s="6" t="s">
        <v>5</v>
      </c>
      <c r="B442" s="7">
        <v>12</v>
      </c>
      <c r="C442" s="13">
        <v>101</v>
      </c>
      <c r="D442" s="13">
        <v>5</v>
      </c>
      <c r="E442" s="6" t="s">
        <v>355</v>
      </c>
      <c r="F442" s="13" t="s">
        <v>322</v>
      </c>
      <c r="G442" s="13">
        <v>3</v>
      </c>
      <c r="H442" s="7">
        <v>4</v>
      </c>
      <c r="I442" s="14" t="s">
        <v>318</v>
      </c>
      <c r="J442" s="7">
        <v>1.0429999999999999</v>
      </c>
      <c r="K442" s="7">
        <v>43.176000000000002</v>
      </c>
      <c r="L442" s="6">
        <v>0</v>
      </c>
      <c r="M442" s="15">
        <v>0.10175000000000001</v>
      </c>
      <c r="N442" s="16">
        <v>42.450100000000006</v>
      </c>
      <c r="O442" s="17">
        <v>1757.2632000000003</v>
      </c>
      <c r="P442" s="16">
        <v>53.062625000000004</v>
      </c>
      <c r="Q442" s="17">
        <v>2196.5790000000006</v>
      </c>
    </row>
    <row r="443" spans="1:17" x14ac:dyDescent="0.25">
      <c r="A443" s="6" t="s">
        <v>5</v>
      </c>
      <c r="B443" s="7">
        <v>12</v>
      </c>
      <c r="C443" s="13">
        <v>101</v>
      </c>
      <c r="D443" s="13">
        <v>5</v>
      </c>
      <c r="E443" s="6" t="s">
        <v>355</v>
      </c>
      <c r="F443" s="13" t="s">
        <v>322</v>
      </c>
      <c r="G443" s="13">
        <v>3</v>
      </c>
      <c r="H443" s="7">
        <v>4</v>
      </c>
      <c r="I443" s="14" t="s">
        <v>319</v>
      </c>
      <c r="J443" s="7" t="s">
        <v>1673</v>
      </c>
      <c r="K443" s="7" t="s">
        <v>1673</v>
      </c>
      <c r="L443" s="6" t="s">
        <v>1673</v>
      </c>
      <c r="M443" s="15" t="s">
        <v>1673</v>
      </c>
      <c r="N443" s="16" t="s">
        <v>1673</v>
      </c>
      <c r="O443" s="17" t="s">
        <v>1673</v>
      </c>
      <c r="P443" s="16" t="s">
        <v>1673</v>
      </c>
      <c r="Q443" s="17" t="s">
        <v>1673</v>
      </c>
    </row>
    <row r="444" spans="1:17" x14ac:dyDescent="0.25">
      <c r="A444" s="6" t="s">
        <v>5</v>
      </c>
      <c r="B444" s="7">
        <v>13</v>
      </c>
      <c r="C444" s="13">
        <v>102</v>
      </c>
      <c r="D444" s="13">
        <v>1</v>
      </c>
      <c r="E444" s="6" t="s">
        <v>316</v>
      </c>
      <c r="F444" s="13" t="s">
        <v>317</v>
      </c>
      <c r="G444" s="13">
        <v>0</v>
      </c>
      <c r="H444" s="7">
        <v>0</v>
      </c>
      <c r="I444" s="14" t="s">
        <v>318</v>
      </c>
      <c r="J444" s="7" t="s">
        <v>1673</v>
      </c>
      <c r="K444" s="7" t="s">
        <v>1673</v>
      </c>
      <c r="L444" s="6" t="s">
        <v>1673</v>
      </c>
      <c r="M444" s="15" t="s">
        <v>1673</v>
      </c>
      <c r="N444" s="16" t="s">
        <v>1673</v>
      </c>
      <c r="O444" s="17" t="s">
        <v>1673</v>
      </c>
      <c r="P444" s="16" t="s">
        <v>1673</v>
      </c>
      <c r="Q444" s="17" t="s">
        <v>1673</v>
      </c>
    </row>
    <row r="445" spans="1:17" x14ac:dyDescent="0.25">
      <c r="A445" s="6" t="s">
        <v>5</v>
      </c>
      <c r="B445" s="7">
        <v>13</v>
      </c>
      <c r="C445" s="13">
        <v>102</v>
      </c>
      <c r="D445" s="13">
        <v>1</v>
      </c>
      <c r="E445" s="6" t="s">
        <v>316</v>
      </c>
      <c r="F445" s="13" t="s">
        <v>317</v>
      </c>
      <c r="G445" s="13">
        <v>0</v>
      </c>
      <c r="H445" s="7">
        <v>0</v>
      </c>
      <c r="I445" s="14" t="s">
        <v>319</v>
      </c>
      <c r="J445" s="7" t="s">
        <v>1673</v>
      </c>
      <c r="K445" s="7" t="s">
        <v>1673</v>
      </c>
      <c r="L445" s="6" t="s">
        <v>1673</v>
      </c>
      <c r="M445" s="15" t="s">
        <v>1673</v>
      </c>
      <c r="N445" s="16" t="s">
        <v>1673</v>
      </c>
      <c r="O445" s="17" t="s">
        <v>1673</v>
      </c>
      <c r="P445" s="16" t="s">
        <v>1673</v>
      </c>
      <c r="Q445" s="17" t="s">
        <v>1673</v>
      </c>
    </row>
    <row r="446" spans="1:17" x14ac:dyDescent="0.25">
      <c r="A446" s="6" t="s">
        <v>5</v>
      </c>
      <c r="B446" s="7">
        <v>13</v>
      </c>
      <c r="C446" s="13">
        <v>102</v>
      </c>
      <c r="D446" s="13">
        <v>1</v>
      </c>
      <c r="E446" s="6" t="s">
        <v>355</v>
      </c>
      <c r="F446" s="13" t="s">
        <v>320</v>
      </c>
      <c r="G446" s="13">
        <v>1</v>
      </c>
      <c r="H446" s="7">
        <v>5</v>
      </c>
      <c r="I446" s="14" t="s">
        <v>318</v>
      </c>
      <c r="J446" s="7">
        <v>1.347</v>
      </c>
      <c r="K446" s="7">
        <v>42.63</v>
      </c>
      <c r="L446" s="6">
        <v>0</v>
      </c>
      <c r="M446" s="15">
        <v>6.6923076923076918E-2</v>
      </c>
      <c r="N446" s="16">
        <v>45.0726923076923</v>
      </c>
      <c r="O446" s="17">
        <v>1426.4653846153844</v>
      </c>
      <c r="P446" s="16">
        <v>45.072692307692307</v>
      </c>
      <c r="Q446" s="17">
        <v>1426.4653846153844</v>
      </c>
    </row>
    <row r="447" spans="1:17" x14ac:dyDescent="0.25">
      <c r="A447" s="6" t="s">
        <v>5</v>
      </c>
      <c r="B447" s="7">
        <v>13</v>
      </c>
      <c r="C447" s="13">
        <v>102</v>
      </c>
      <c r="D447" s="13">
        <v>1</v>
      </c>
      <c r="E447" s="6" t="s">
        <v>355</v>
      </c>
      <c r="F447" s="13" t="s">
        <v>320</v>
      </c>
      <c r="G447" s="13">
        <v>1</v>
      </c>
      <c r="H447" s="7">
        <v>5</v>
      </c>
      <c r="I447" s="14" t="s">
        <v>319</v>
      </c>
      <c r="J447" s="7">
        <v>0.623</v>
      </c>
      <c r="K447" s="7">
        <v>50.603999999999999</v>
      </c>
      <c r="L447" s="6">
        <v>0</v>
      </c>
      <c r="M447" s="15">
        <v>1.8830769230769231E-3</v>
      </c>
      <c r="N447" s="16">
        <v>0.5865784615384616</v>
      </c>
      <c r="O447" s="17">
        <v>47.645612307692318</v>
      </c>
      <c r="P447" s="16">
        <v>0.5865784615384616</v>
      </c>
      <c r="Q447" s="17">
        <v>47.645612307692318</v>
      </c>
    </row>
    <row r="448" spans="1:17" x14ac:dyDescent="0.25">
      <c r="A448" s="6" t="s">
        <v>5</v>
      </c>
      <c r="B448" s="7">
        <v>13</v>
      </c>
      <c r="C448" s="13">
        <v>102</v>
      </c>
      <c r="D448" s="13">
        <v>1</v>
      </c>
      <c r="E448" s="6" t="s">
        <v>355</v>
      </c>
      <c r="F448" s="13" t="s">
        <v>321</v>
      </c>
      <c r="G448" s="13">
        <v>2</v>
      </c>
      <c r="H448" s="7">
        <v>5</v>
      </c>
      <c r="I448" s="14" t="s">
        <v>318</v>
      </c>
      <c r="J448" s="7">
        <v>1.5449999999999999</v>
      </c>
      <c r="K448" s="7">
        <v>41.743000000000002</v>
      </c>
      <c r="L448" s="6">
        <v>0</v>
      </c>
      <c r="M448" s="15">
        <v>9.3323076923076911E-2</v>
      </c>
      <c r="N448" s="16">
        <v>72.092076923076903</v>
      </c>
      <c r="O448" s="17">
        <v>1947.7926</v>
      </c>
      <c r="P448" s="16">
        <v>72.092076923076903</v>
      </c>
      <c r="Q448" s="17">
        <v>1947.7926</v>
      </c>
    </row>
    <row r="449" spans="1:17" x14ac:dyDescent="0.25">
      <c r="A449" s="6" t="s">
        <v>5</v>
      </c>
      <c r="B449" s="7">
        <v>13</v>
      </c>
      <c r="C449" s="13">
        <v>102</v>
      </c>
      <c r="D449" s="13">
        <v>1</v>
      </c>
      <c r="E449" s="6" t="s">
        <v>355</v>
      </c>
      <c r="F449" s="13" t="s">
        <v>321</v>
      </c>
      <c r="G449" s="13">
        <v>2</v>
      </c>
      <c r="H449" s="7">
        <v>5</v>
      </c>
      <c r="I449" s="14" t="s">
        <v>319</v>
      </c>
      <c r="J449" s="7">
        <v>0.71499999999999997</v>
      </c>
      <c r="K449" s="7">
        <v>49.48</v>
      </c>
      <c r="L449" s="6">
        <v>0</v>
      </c>
      <c r="M449" s="15">
        <v>2.0184615384615384E-3</v>
      </c>
      <c r="N449" s="16">
        <v>0.72160000000000002</v>
      </c>
      <c r="O449" s="17">
        <v>49.936738461538454</v>
      </c>
      <c r="P449" s="16">
        <v>0.72160000000000002</v>
      </c>
      <c r="Q449" s="17">
        <v>49.936738461538454</v>
      </c>
    </row>
    <row r="450" spans="1:17" x14ac:dyDescent="0.25">
      <c r="A450" s="6" t="s">
        <v>5</v>
      </c>
      <c r="B450" s="7">
        <v>13</v>
      </c>
      <c r="C450" s="13">
        <v>102</v>
      </c>
      <c r="D450" s="13">
        <v>1</v>
      </c>
      <c r="E450" s="6" t="s">
        <v>355</v>
      </c>
      <c r="F450" s="13" t="s">
        <v>322</v>
      </c>
      <c r="G450" s="13">
        <v>3</v>
      </c>
      <c r="H450" s="7">
        <v>5</v>
      </c>
      <c r="I450" s="14" t="s">
        <v>318</v>
      </c>
      <c r="J450" s="7">
        <v>1.6850000000000001</v>
      </c>
      <c r="K450" s="7">
        <v>41.716999999999999</v>
      </c>
      <c r="L450" s="6">
        <v>0</v>
      </c>
      <c r="M450" s="15">
        <v>0.10015384615384615</v>
      </c>
      <c r="N450" s="16">
        <v>84.379615384615377</v>
      </c>
      <c r="O450" s="17">
        <v>2089.0589999999997</v>
      </c>
      <c r="P450" s="16">
        <v>84.379615384615377</v>
      </c>
      <c r="Q450" s="17">
        <v>2089.0589999999997</v>
      </c>
    </row>
    <row r="451" spans="1:17" x14ac:dyDescent="0.25">
      <c r="A451" s="6" t="s">
        <v>5</v>
      </c>
      <c r="B451" s="7">
        <v>13</v>
      </c>
      <c r="C451" s="13">
        <v>102</v>
      </c>
      <c r="D451" s="13">
        <v>1</v>
      </c>
      <c r="E451" s="6" t="s">
        <v>355</v>
      </c>
      <c r="F451" s="13" t="s">
        <v>322</v>
      </c>
      <c r="G451" s="13">
        <v>3</v>
      </c>
      <c r="H451" s="7">
        <v>5</v>
      </c>
      <c r="I451" s="14" t="s">
        <v>319</v>
      </c>
      <c r="J451" s="7">
        <v>0.65900000000000003</v>
      </c>
      <c r="K451" s="7">
        <v>49.819000000000003</v>
      </c>
      <c r="L451" s="6">
        <v>0</v>
      </c>
      <c r="M451" s="15">
        <v>6.8307692307692308E-4</v>
      </c>
      <c r="N451" s="16">
        <v>0.22507384615384615</v>
      </c>
      <c r="O451" s="17">
        <v>17.015104615384615</v>
      </c>
      <c r="P451" s="16">
        <v>0.22507384615384615</v>
      </c>
      <c r="Q451" s="17">
        <v>17.015104615384619</v>
      </c>
    </row>
    <row r="452" spans="1:17" x14ac:dyDescent="0.25">
      <c r="A452" s="6" t="s">
        <v>5</v>
      </c>
      <c r="B452" s="7">
        <v>13</v>
      </c>
      <c r="C452" s="13">
        <v>102</v>
      </c>
      <c r="D452" s="13">
        <v>1</v>
      </c>
      <c r="E452" s="6" t="s">
        <v>355</v>
      </c>
      <c r="F452" s="13" t="s">
        <v>324</v>
      </c>
      <c r="G452" s="18">
        <v>4</v>
      </c>
      <c r="H452" s="7">
        <v>5</v>
      </c>
      <c r="I452" s="14" t="s">
        <v>318</v>
      </c>
      <c r="J452" s="7">
        <v>2.0880000000000001</v>
      </c>
      <c r="K452" s="7">
        <v>45.069000000000003</v>
      </c>
      <c r="L452" s="6">
        <v>0</v>
      </c>
      <c r="M452" s="15">
        <v>0.17669142857142855</v>
      </c>
      <c r="N452" s="16">
        <v>184.4658514285714</v>
      </c>
      <c r="O452" s="17">
        <v>3981.6529971428572</v>
      </c>
      <c r="P452" s="16">
        <v>184.4658514285714</v>
      </c>
      <c r="Q452" s="17">
        <v>3981.6529971428567</v>
      </c>
    </row>
    <row r="453" spans="1:17" x14ac:dyDescent="0.25">
      <c r="A453" s="6" t="s">
        <v>5</v>
      </c>
      <c r="B453" s="7">
        <v>13</v>
      </c>
      <c r="C453" s="13">
        <v>102</v>
      </c>
      <c r="D453" s="13">
        <v>1</v>
      </c>
      <c r="E453" s="6" t="s">
        <v>355</v>
      </c>
      <c r="F453" s="13" t="s">
        <v>324</v>
      </c>
      <c r="G453" s="18">
        <v>4</v>
      </c>
      <c r="H453" s="7">
        <v>5</v>
      </c>
      <c r="I453" s="14" t="s">
        <v>319</v>
      </c>
      <c r="J453" s="7" t="s">
        <v>1673</v>
      </c>
      <c r="K453" s="7" t="s">
        <v>1673</v>
      </c>
      <c r="L453" s="6" t="s">
        <v>1673</v>
      </c>
      <c r="M453" s="15" t="s">
        <v>1673</v>
      </c>
      <c r="N453" s="16" t="s">
        <v>1673</v>
      </c>
      <c r="O453" s="17" t="s">
        <v>1673</v>
      </c>
      <c r="P453" s="16" t="s">
        <v>1673</v>
      </c>
      <c r="Q453" s="17" t="s">
        <v>1673</v>
      </c>
    </row>
    <row r="454" spans="1:17" x14ac:dyDescent="0.25">
      <c r="A454" s="6" t="s">
        <v>5</v>
      </c>
      <c r="B454" s="7">
        <v>13</v>
      </c>
      <c r="C454" s="13">
        <v>102</v>
      </c>
      <c r="D454" s="13">
        <v>1</v>
      </c>
      <c r="E454" s="6" t="s">
        <v>355</v>
      </c>
      <c r="F454" s="13" t="s">
        <v>325</v>
      </c>
      <c r="G454" s="18">
        <v>5</v>
      </c>
      <c r="H454" s="7">
        <v>5</v>
      </c>
      <c r="I454" s="14" t="s">
        <v>318</v>
      </c>
      <c r="J454" s="7">
        <v>2.2450000000000001</v>
      </c>
      <c r="K454" s="7">
        <v>43.045000000000002</v>
      </c>
      <c r="L454" s="6">
        <v>0</v>
      </c>
      <c r="M454" s="15">
        <v>0.15840634920634922</v>
      </c>
      <c r="N454" s="16">
        <v>177.81112698412701</v>
      </c>
      <c r="O454" s="17">
        <v>3409.3006507936511</v>
      </c>
      <c r="P454" s="16">
        <v>177.81112698412701</v>
      </c>
      <c r="Q454" s="17">
        <v>3409.3006507936511</v>
      </c>
    </row>
    <row r="455" spans="1:17" x14ac:dyDescent="0.25">
      <c r="A455" s="6" t="s">
        <v>5</v>
      </c>
      <c r="B455" s="7">
        <v>13</v>
      </c>
      <c r="C455" s="13">
        <v>102</v>
      </c>
      <c r="D455" s="13">
        <v>1</v>
      </c>
      <c r="E455" s="6" t="s">
        <v>355</v>
      </c>
      <c r="F455" s="13" t="s">
        <v>325</v>
      </c>
      <c r="G455" s="18">
        <v>5</v>
      </c>
      <c r="H455" s="7">
        <v>5</v>
      </c>
      <c r="I455" s="14" t="s">
        <v>319</v>
      </c>
      <c r="J455" s="7" t="s">
        <v>1673</v>
      </c>
      <c r="K455" s="7" t="s">
        <v>1673</v>
      </c>
      <c r="L455" s="6" t="s">
        <v>1673</v>
      </c>
      <c r="M455" s="15" t="s">
        <v>1673</v>
      </c>
      <c r="N455" s="16" t="s">
        <v>1673</v>
      </c>
      <c r="O455" s="17" t="s">
        <v>1673</v>
      </c>
      <c r="P455" s="16" t="s">
        <v>1673</v>
      </c>
      <c r="Q455" s="17" t="s">
        <v>1673</v>
      </c>
    </row>
    <row r="456" spans="1:17" x14ac:dyDescent="0.25">
      <c r="A456" s="6" t="s">
        <v>5</v>
      </c>
      <c r="B456" s="7">
        <v>13</v>
      </c>
      <c r="C456" s="13">
        <v>102</v>
      </c>
      <c r="D456" s="13">
        <v>1</v>
      </c>
      <c r="E456" s="6" t="s">
        <v>355</v>
      </c>
      <c r="F456" s="13" t="s">
        <v>326</v>
      </c>
      <c r="G456" s="18">
        <v>6</v>
      </c>
      <c r="H456" s="7">
        <v>5</v>
      </c>
      <c r="I456" s="14" t="s">
        <v>318</v>
      </c>
      <c r="J456" s="7">
        <v>1.8720000000000001</v>
      </c>
      <c r="K456" s="7">
        <v>36.268000000000001</v>
      </c>
      <c r="L456" s="6">
        <v>0</v>
      </c>
      <c r="M456" s="15">
        <v>0.27551818181818183</v>
      </c>
      <c r="N456" s="16">
        <v>257.88501818181823</v>
      </c>
      <c r="O456" s="17">
        <v>4996.2467090909095</v>
      </c>
      <c r="P456" s="16">
        <v>257.88501818181817</v>
      </c>
      <c r="Q456" s="17">
        <v>4996.2467090909095</v>
      </c>
    </row>
    <row r="457" spans="1:17" x14ac:dyDescent="0.25">
      <c r="A457" s="6" t="s">
        <v>5</v>
      </c>
      <c r="B457" s="7">
        <v>13</v>
      </c>
      <c r="C457" s="13">
        <v>102</v>
      </c>
      <c r="D457" s="13">
        <v>1</v>
      </c>
      <c r="E457" s="6" t="s">
        <v>355</v>
      </c>
      <c r="F457" s="13" t="s">
        <v>326</v>
      </c>
      <c r="G457" s="18">
        <v>6</v>
      </c>
      <c r="H457" s="7">
        <v>5</v>
      </c>
      <c r="I457" s="14" t="s">
        <v>319</v>
      </c>
      <c r="J457" s="7" t="s">
        <v>1673</v>
      </c>
      <c r="K457" s="7" t="s">
        <v>1673</v>
      </c>
      <c r="L457" s="6" t="s">
        <v>1673</v>
      </c>
      <c r="M457" s="15" t="s">
        <v>1673</v>
      </c>
      <c r="N457" s="16" t="s">
        <v>1673</v>
      </c>
      <c r="O457" s="17" t="s">
        <v>1673</v>
      </c>
      <c r="P457" s="16" t="s">
        <v>1673</v>
      </c>
      <c r="Q457" s="17" t="s">
        <v>1673</v>
      </c>
    </row>
    <row r="458" spans="1:17" x14ac:dyDescent="0.25">
      <c r="A458" s="6" t="s">
        <v>5</v>
      </c>
      <c r="B458" s="7">
        <v>13</v>
      </c>
      <c r="C458" s="13">
        <v>102</v>
      </c>
      <c r="D458" s="13">
        <v>1</v>
      </c>
      <c r="E458" s="6" t="s">
        <v>355</v>
      </c>
      <c r="F458" s="13" t="s">
        <v>327</v>
      </c>
      <c r="G458" s="19">
        <v>7</v>
      </c>
      <c r="H458" s="7">
        <v>0</v>
      </c>
      <c r="I458" s="14" t="s">
        <v>318</v>
      </c>
      <c r="J458" s="7" t="s">
        <v>1673</v>
      </c>
      <c r="K458" s="7" t="s">
        <v>1673</v>
      </c>
      <c r="L458" s="6" t="s">
        <v>1673</v>
      </c>
      <c r="M458" s="15" t="s">
        <v>1673</v>
      </c>
      <c r="N458" s="16" t="s">
        <v>1673</v>
      </c>
      <c r="O458" s="17" t="s">
        <v>1673</v>
      </c>
      <c r="P458" s="16" t="s">
        <v>1673</v>
      </c>
      <c r="Q458" s="17" t="s">
        <v>1673</v>
      </c>
    </row>
    <row r="459" spans="1:17" x14ac:dyDescent="0.25">
      <c r="A459" s="6" t="s">
        <v>5</v>
      </c>
      <c r="B459" s="7">
        <v>13</v>
      </c>
      <c r="C459" s="13">
        <v>102</v>
      </c>
      <c r="D459" s="13">
        <v>1</v>
      </c>
      <c r="E459" s="6" t="s">
        <v>355</v>
      </c>
      <c r="F459" s="13" t="s">
        <v>327</v>
      </c>
      <c r="G459" s="19">
        <v>7</v>
      </c>
      <c r="H459" s="7">
        <v>0</v>
      </c>
      <c r="I459" s="14" t="s">
        <v>319</v>
      </c>
      <c r="J459" s="7" t="s">
        <v>1673</v>
      </c>
      <c r="K459" s="7" t="s">
        <v>1673</v>
      </c>
      <c r="L459" s="6" t="s">
        <v>1673</v>
      </c>
      <c r="M459" s="15" t="s">
        <v>1673</v>
      </c>
      <c r="N459" s="16" t="s">
        <v>1673</v>
      </c>
      <c r="O459" s="17" t="s">
        <v>1673</v>
      </c>
      <c r="P459" s="16" t="s">
        <v>1673</v>
      </c>
      <c r="Q459" s="17" t="s">
        <v>1673</v>
      </c>
    </row>
    <row r="460" spans="1:17" x14ac:dyDescent="0.25">
      <c r="A460" s="6" t="s">
        <v>5</v>
      </c>
      <c r="B460" s="7">
        <v>13</v>
      </c>
      <c r="C460" s="13">
        <v>102</v>
      </c>
      <c r="D460" s="13">
        <v>2</v>
      </c>
      <c r="E460" s="6" t="s">
        <v>316</v>
      </c>
      <c r="F460" s="13" t="s">
        <v>317</v>
      </c>
      <c r="G460" s="13">
        <v>0</v>
      </c>
      <c r="H460" s="7">
        <v>0</v>
      </c>
      <c r="I460" s="14" t="s">
        <v>318</v>
      </c>
      <c r="J460" s="7" t="s">
        <v>1673</v>
      </c>
      <c r="K460" s="7" t="s">
        <v>1673</v>
      </c>
      <c r="L460" s="6" t="s">
        <v>1673</v>
      </c>
      <c r="M460" s="15" t="s">
        <v>1673</v>
      </c>
      <c r="N460" s="16" t="s">
        <v>1673</v>
      </c>
      <c r="O460" s="17" t="s">
        <v>1673</v>
      </c>
      <c r="P460" s="16" t="s">
        <v>1673</v>
      </c>
      <c r="Q460" s="17" t="s">
        <v>1673</v>
      </c>
    </row>
    <row r="461" spans="1:17" x14ac:dyDescent="0.25">
      <c r="A461" s="6" t="s">
        <v>5</v>
      </c>
      <c r="B461" s="7">
        <v>13</v>
      </c>
      <c r="C461" s="13">
        <v>102</v>
      </c>
      <c r="D461" s="13">
        <v>2</v>
      </c>
      <c r="E461" s="6" t="s">
        <v>316</v>
      </c>
      <c r="F461" s="13" t="s">
        <v>317</v>
      </c>
      <c r="G461" s="13">
        <v>0</v>
      </c>
      <c r="H461" s="7">
        <v>0</v>
      </c>
      <c r="I461" s="14" t="s">
        <v>319</v>
      </c>
      <c r="J461" s="7" t="s">
        <v>1673</v>
      </c>
      <c r="K461" s="7" t="s">
        <v>1673</v>
      </c>
      <c r="L461" s="6" t="s">
        <v>1673</v>
      </c>
      <c r="M461" s="15" t="s">
        <v>1673</v>
      </c>
      <c r="N461" s="16" t="s">
        <v>1673</v>
      </c>
      <c r="O461" s="17" t="s">
        <v>1673</v>
      </c>
      <c r="P461" s="16" t="s">
        <v>1673</v>
      </c>
      <c r="Q461" s="17" t="s">
        <v>1673</v>
      </c>
    </row>
    <row r="462" spans="1:17" x14ac:dyDescent="0.25">
      <c r="A462" s="6" t="s">
        <v>5</v>
      </c>
      <c r="B462" s="7">
        <v>13</v>
      </c>
      <c r="C462" s="13">
        <v>102</v>
      </c>
      <c r="D462" s="13">
        <v>2</v>
      </c>
      <c r="E462" s="6" t="s">
        <v>355</v>
      </c>
      <c r="F462" s="13" t="s">
        <v>320</v>
      </c>
      <c r="G462" s="13">
        <v>1</v>
      </c>
      <c r="H462" s="7">
        <v>5</v>
      </c>
      <c r="I462" s="14" t="s">
        <v>318</v>
      </c>
      <c r="J462" s="7">
        <v>1.097</v>
      </c>
      <c r="K462" s="7">
        <v>43.171999999999997</v>
      </c>
      <c r="L462" s="6">
        <v>0</v>
      </c>
      <c r="M462" s="15">
        <v>9.1014285714285714E-2</v>
      </c>
      <c r="N462" s="16">
        <v>49.921335714285711</v>
      </c>
      <c r="O462" s="17">
        <v>1964.6343714285713</v>
      </c>
      <c r="P462" s="16">
        <v>49.921335714285711</v>
      </c>
      <c r="Q462" s="17">
        <v>1964.6343714285713</v>
      </c>
    </row>
    <row r="463" spans="1:17" x14ac:dyDescent="0.25">
      <c r="A463" s="6" t="s">
        <v>5</v>
      </c>
      <c r="B463" s="7">
        <v>13</v>
      </c>
      <c r="C463" s="13">
        <v>102</v>
      </c>
      <c r="D463" s="13">
        <v>2</v>
      </c>
      <c r="E463" s="6" t="s">
        <v>355</v>
      </c>
      <c r="F463" s="13" t="s">
        <v>320</v>
      </c>
      <c r="G463" s="13">
        <v>1</v>
      </c>
      <c r="H463" s="7">
        <v>5</v>
      </c>
      <c r="I463" s="14" t="s">
        <v>319</v>
      </c>
      <c r="J463" s="7">
        <v>0.91300000000000003</v>
      </c>
      <c r="K463" s="7">
        <v>50.095999999999997</v>
      </c>
      <c r="L463" s="6">
        <v>0</v>
      </c>
      <c r="M463" s="15">
        <v>5.3357142857142856E-3</v>
      </c>
      <c r="N463" s="16">
        <v>2.4357535714285716</v>
      </c>
      <c r="O463" s="17">
        <v>133.6489714285714</v>
      </c>
      <c r="P463" s="16">
        <v>2.4357535714285716</v>
      </c>
      <c r="Q463" s="17">
        <v>133.64897142857143</v>
      </c>
    </row>
    <row r="464" spans="1:17" x14ac:dyDescent="0.25">
      <c r="A464" s="6" t="s">
        <v>5</v>
      </c>
      <c r="B464" s="7">
        <v>13</v>
      </c>
      <c r="C464" s="13">
        <v>102</v>
      </c>
      <c r="D464" s="13">
        <v>2</v>
      </c>
      <c r="E464" s="6" t="s">
        <v>355</v>
      </c>
      <c r="F464" s="13" t="s">
        <v>321</v>
      </c>
      <c r="G464" s="13">
        <v>2</v>
      </c>
      <c r="H464" s="7">
        <v>5</v>
      </c>
      <c r="I464" s="14" t="s">
        <v>318</v>
      </c>
      <c r="J464" s="7">
        <v>1.0860000000000001</v>
      </c>
      <c r="K464" s="7">
        <v>37.765999999999998</v>
      </c>
      <c r="L464" s="6">
        <v>0</v>
      </c>
      <c r="M464" s="15">
        <v>0.1022</v>
      </c>
      <c r="N464" s="16">
        <v>55.494600000000005</v>
      </c>
      <c r="O464" s="17">
        <v>1929.8425999999999</v>
      </c>
      <c r="P464" s="16">
        <v>55.494600000000005</v>
      </c>
      <c r="Q464" s="17">
        <v>1929.8426000000002</v>
      </c>
    </row>
    <row r="465" spans="1:17" x14ac:dyDescent="0.25">
      <c r="A465" s="6" t="s">
        <v>5</v>
      </c>
      <c r="B465" s="7">
        <v>13</v>
      </c>
      <c r="C465" s="13">
        <v>102</v>
      </c>
      <c r="D465" s="13">
        <v>2</v>
      </c>
      <c r="E465" s="6" t="s">
        <v>355</v>
      </c>
      <c r="F465" s="13" t="s">
        <v>321</v>
      </c>
      <c r="G465" s="13">
        <v>2</v>
      </c>
      <c r="H465" s="7">
        <v>5</v>
      </c>
      <c r="I465" s="14" t="s">
        <v>319</v>
      </c>
      <c r="J465" s="7">
        <v>1.052</v>
      </c>
      <c r="K465" s="7">
        <v>47.587000000000003</v>
      </c>
      <c r="L465" s="6">
        <v>0</v>
      </c>
      <c r="M465" s="15">
        <v>9.3666666666666672E-3</v>
      </c>
      <c r="N465" s="16">
        <v>4.9268666666666672</v>
      </c>
      <c r="O465" s="17">
        <v>222.86578333333335</v>
      </c>
      <c r="P465" s="16">
        <v>4.9268666666666672</v>
      </c>
      <c r="Q465" s="17">
        <v>222.86578333333335</v>
      </c>
    </row>
    <row r="466" spans="1:17" x14ac:dyDescent="0.25">
      <c r="A466" s="6" t="s">
        <v>5</v>
      </c>
      <c r="B466" s="7">
        <v>13</v>
      </c>
      <c r="C466" s="13">
        <v>102</v>
      </c>
      <c r="D466" s="13">
        <v>2</v>
      </c>
      <c r="E466" s="6" t="s">
        <v>355</v>
      </c>
      <c r="F466" s="13" t="s">
        <v>322</v>
      </c>
      <c r="G466" s="13">
        <v>3</v>
      </c>
      <c r="H466" s="7">
        <v>5</v>
      </c>
      <c r="I466" s="14" t="s">
        <v>318</v>
      </c>
      <c r="J466" s="7">
        <v>1.431</v>
      </c>
      <c r="K466" s="7">
        <v>35.673999999999999</v>
      </c>
      <c r="L466" s="6">
        <v>0</v>
      </c>
      <c r="M466" s="15">
        <v>0.12882857142857143</v>
      </c>
      <c r="N466" s="16">
        <v>92.176842857142844</v>
      </c>
      <c r="O466" s="17">
        <v>2297.9152285714281</v>
      </c>
      <c r="P466" s="16">
        <v>92.176842857142859</v>
      </c>
      <c r="Q466" s="17">
        <v>2297.915228571429</v>
      </c>
    </row>
    <row r="467" spans="1:17" x14ac:dyDescent="0.25">
      <c r="A467" s="6" t="s">
        <v>5</v>
      </c>
      <c r="B467" s="7">
        <v>13</v>
      </c>
      <c r="C467" s="13">
        <v>102</v>
      </c>
      <c r="D467" s="13">
        <v>2</v>
      </c>
      <c r="E467" s="6" t="s">
        <v>355</v>
      </c>
      <c r="F467" s="13" t="s">
        <v>322</v>
      </c>
      <c r="G467" s="13">
        <v>3</v>
      </c>
      <c r="H467" s="7">
        <v>5</v>
      </c>
      <c r="I467" s="14" t="s">
        <v>319</v>
      </c>
      <c r="J467" s="7" t="s">
        <v>1673</v>
      </c>
      <c r="K467" s="7" t="s">
        <v>1673</v>
      </c>
      <c r="L467" s="6" t="s">
        <v>1673</v>
      </c>
      <c r="M467" s="15" t="s">
        <v>1673</v>
      </c>
      <c r="N467" s="16" t="s">
        <v>1673</v>
      </c>
      <c r="O467" s="17" t="s">
        <v>1673</v>
      </c>
      <c r="P467" s="16" t="s">
        <v>1673</v>
      </c>
      <c r="Q467" s="17" t="s">
        <v>1673</v>
      </c>
    </row>
    <row r="468" spans="1:17" x14ac:dyDescent="0.25">
      <c r="A468" s="6" t="s">
        <v>5</v>
      </c>
      <c r="B468" s="7">
        <v>13</v>
      </c>
      <c r="C468" s="13">
        <v>102</v>
      </c>
      <c r="D468" s="13">
        <v>2</v>
      </c>
      <c r="E468" s="6" t="s">
        <v>355</v>
      </c>
      <c r="F468" s="13" t="s">
        <v>324</v>
      </c>
      <c r="G468" s="18">
        <v>4</v>
      </c>
      <c r="H468" s="7">
        <v>2</v>
      </c>
      <c r="I468" s="14" t="s">
        <v>318</v>
      </c>
      <c r="J468" s="7">
        <v>1.49</v>
      </c>
      <c r="K468" s="7">
        <v>33.119</v>
      </c>
      <c r="L468" s="6">
        <v>0</v>
      </c>
      <c r="M468" s="15">
        <v>0.18632692307692308</v>
      </c>
      <c r="N468" s="16">
        <v>55.525423076923083</v>
      </c>
      <c r="O468" s="17">
        <v>1234.1922730769231</v>
      </c>
      <c r="P468" s="16">
        <v>138.81355769230771</v>
      </c>
      <c r="Q468" s="17">
        <v>3085.4806826923077</v>
      </c>
    </row>
    <row r="469" spans="1:17" x14ac:dyDescent="0.25">
      <c r="A469" s="6" t="s">
        <v>5</v>
      </c>
      <c r="B469" s="7">
        <v>13</v>
      </c>
      <c r="C469" s="13">
        <v>102</v>
      </c>
      <c r="D469" s="13">
        <v>2</v>
      </c>
      <c r="E469" s="6" t="s">
        <v>355</v>
      </c>
      <c r="F469" s="13" t="s">
        <v>324</v>
      </c>
      <c r="G469" s="18">
        <v>4</v>
      </c>
      <c r="H469" s="7">
        <v>2</v>
      </c>
      <c r="I469" s="14" t="s">
        <v>319</v>
      </c>
      <c r="J469" s="7" t="s">
        <v>1673</v>
      </c>
      <c r="K469" s="7" t="s">
        <v>1673</v>
      </c>
      <c r="L469" s="6" t="s">
        <v>1673</v>
      </c>
      <c r="M469" s="15" t="s">
        <v>1673</v>
      </c>
      <c r="N469" s="16" t="s">
        <v>1673</v>
      </c>
      <c r="O469" s="17" t="s">
        <v>1673</v>
      </c>
      <c r="P469" s="16" t="s">
        <v>1673</v>
      </c>
      <c r="Q469" s="17" t="s">
        <v>1673</v>
      </c>
    </row>
    <row r="470" spans="1:17" x14ac:dyDescent="0.25">
      <c r="A470" s="6" t="s">
        <v>5</v>
      </c>
      <c r="B470" s="7">
        <v>13</v>
      </c>
      <c r="C470" s="13">
        <v>102</v>
      </c>
      <c r="D470" s="13">
        <v>3</v>
      </c>
      <c r="E470" s="6" t="s">
        <v>316</v>
      </c>
      <c r="F470" s="13" t="s">
        <v>317</v>
      </c>
      <c r="G470" s="13">
        <v>0</v>
      </c>
      <c r="H470" s="7">
        <v>0</v>
      </c>
      <c r="I470" s="14" t="s">
        <v>318</v>
      </c>
      <c r="J470" s="7" t="s">
        <v>1673</v>
      </c>
      <c r="K470" s="7" t="s">
        <v>1673</v>
      </c>
      <c r="L470" s="6" t="s">
        <v>1673</v>
      </c>
      <c r="M470" s="15" t="s">
        <v>1673</v>
      </c>
      <c r="N470" s="16" t="s">
        <v>1673</v>
      </c>
      <c r="O470" s="17" t="s">
        <v>1673</v>
      </c>
      <c r="P470" s="16" t="s">
        <v>1673</v>
      </c>
      <c r="Q470" s="17" t="s">
        <v>1673</v>
      </c>
    </row>
    <row r="471" spans="1:17" x14ac:dyDescent="0.25">
      <c r="A471" s="6" t="s">
        <v>5</v>
      </c>
      <c r="B471" s="7">
        <v>13</v>
      </c>
      <c r="C471" s="13">
        <v>102</v>
      </c>
      <c r="D471" s="13">
        <v>3</v>
      </c>
      <c r="E471" s="6" t="s">
        <v>316</v>
      </c>
      <c r="F471" s="13" t="s">
        <v>317</v>
      </c>
      <c r="G471" s="13">
        <v>0</v>
      </c>
      <c r="H471" s="7">
        <v>0</v>
      </c>
      <c r="I471" s="14" t="s">
        <v>319</v>
      </c>
      <c r="J471" s="7" t="s">
        <v>1673</v>
      </c>
      <c r="K471" s="7" t="s">
        <v>1673</v>
      </c>
      <c r="L471" s="6" t="s">
        <v>1673</v>
      </c>
      <c r="M471" s="15" t="s">
        <v>1673</v>
      </c>
      <c r="N471" s="16" t="s">
        <v>1673</v>
      </c>
      <c r="O471" s="17" t="s">
        <v>1673</v>
      </c>
      <c r="P471" s="16" t="s">
        <v>1673</v>
      </c>
      <c r="Q471" s="17" t="s">
        <v>1673</v>
      </c>
    </row>
    <row r="472" spans="1:17" x14ac:dyDescent="0.25">
      <c r="A472" s="6" t="s">
        <v>5</v>
      </c>
      <c r="B472" s="7">
        <v>13</v>
      </c>
      <c r="C472" s="13">
        <v>102</v>
      </c>
      <c r="D472" s="13">
        <v>3</v>
      </c>
      <c r="E472" s="6" t="s">
        <v>355</v>
      </c>
      <c r="F472" s="13" t="s">
        <v>320</v>
      </c>
      <c r="G472" s="13">
        <v>1</v>
      </c>
      <c r="H472" s="7">
        <v>5</v>
      </c>
      <c r="I472" s="14" t="s">
        <v>318</v>
      </c>
      <c r="J472" s="7">
        <v>0.91500000000000004</v>
      </c>
      <c r="K472" s="7">
        <v>43.168999999999997</v>
      </c>
      <c r="L472" s="6">
        <v>0</v>
      </c>
      <c r="M472" s="15">
        <v>4.7919999999999997E-2</v>
      </c>
      <c r="N472" s="16">
        <v>21.923400000000001</v>
      </c>
      <c r="O472" s="17">
        <v>1034.3292399999998</v>
      </c>
      <c r="P472" s="16">
        <v>21.923399999999997</v>
      </c>
      <c r="Q472" s="17">
        <v>1034.3292399999998</v>
      </c>
    </row>
    <row r="473" spans="1:17" x14ac:dyDescent="0.25">
      <c r="A473" s="6" t="s">
        <v>5</v>
      </c>
      <c r="B473" s="7">
        <v>13</v>
      </c>
      <c r="C473" s="13">
        <v>102</v>
      </c>
      <c r="D473" s="13">
        <v>3</v>
      </c>
      <c r="E473" s="6" t="s">
        <v>355</v>
      </c>
      <c r="F473" s="13" t="s">
        <v>320</v>
      </c>
      <c r="G473" s="13">
        <v>1</v>
      </c>
      <c r="H473" s="7">
        <v>5</v>
      </c>
      <c r="I473" s="14" t="s">
        <v>319</v>
      </c>
      <c r="J473" s="7">
        <v>0.52900000000000003</v>
      </c>
      <c r="K473" s="7">
        <v>50.929000000000002</v>
      </c>
      <c r="L473" s="6">
        <v>0</v>
      </c>
      <c r="M473" s="15">
        <v>3.7499999999999999E-3</v>
      </c>
      <c r="N473" s="16">
        <v>0.99187500000000006</v>
      </c>
      <c r="O473" s="17">
        <v>95.491875000000007</v>
      </c>
      <c r="P473" s="16">
        <v>0.99187500000000006</v>
      </c>
      <c r="Q473" s="17">
        <v>95.491875000000007</v>
      </c>
    </row>
    <row r="474" spans="1:17" x14ac:dyDescent="0.25">
      <c r="A474" s="6" t="s">
        <v>5</v>
      </c>
      <c r="B474" s="7">
        <v>13</v>
      </c>
      <c r="C474" s="13">
        <v>102</v>
      </c>
      <c r="D474" s="13">
        <v>3</v>
      </c>
      <c r="E474" s="6" t="s">
        <v>355</v>
      </c>
      <c r="F474" s="13" t="s">
        <v>321</v>
      </c>
      <c r="G474" s="13">
        <v>2</v>
      </c>
      <c r="H474" s="7">
        <v>5</v>
      </c>
      <c r="I474" s="14" t="s">
        <v>318</v>
      </c>
      <c r="J474" s="7">
        <v>1.0980000000000001</v>
      </c>
      <c r="K474" s="7">
        <v>40.04</v>
      </c>
      <c r="L474" s="6">
        <v>0</v>
      </c>
      <c r="M474" s="15">
        <v>6.9040000000000004E-2</v>
      </c>
      <c r="N474" s="16">
        <v>37.902960000000007</v>
      </c>
      <c r="O474" s="17">
        <v>1382.1808000000001</v>
      </c>
      <c r="P474" s="16">
        <v>37.90296</v>
      </c>
      <c r="Q474" s="17">
        <v>1382.1807999999999</v>
      </c>
    </row>
    <row r="475" spans="1:17" x14ac:dyDescent="0.25">
      <c r="A475" s="6" t="s">
        <v>5</v>
      </c>
      <c r="B475" s="7">
        <v>13</v>
      </c>
      <c r="C475" s="13">
        <v>102</v>
      </c>
      <c r="D475" s="13">
        <v>3</v>
      </c>
      <c r="E475" s="6" t="s">
        <v>355</v>
      </c>
      <c r="F475" s="13" t="s">
        <v>321</v>
      </c>
      <c r="G475" s="13">
        <v>2</v>
      </c>
      <c r="H475" s="7">
        <v>5</v>
      </c>
      <c r="I475" s="14" t="s">
        <v>319</v>
      </c>
      <c r="J475" s="7">
        <v>0.64300000000000002</v>
      </c>
      <c r="K475" s="7">
        <v>51.225000000000001</v>
      </c>
      <c r="L475" s="6">
        <v>0</v>
      </c>
      <c r="M475" s="15">
        <v>3.4100000000000003E-3</v>
      </c>
      <c r="N475" s="16">
        <v>1.0963149999999999</v>
      </c>
      <c r="O475" s="17">
        <v>87.338624999999993</v>
      </c>
      <c r="P475" s="16">
        <v>1.0963150000000002</v>
      </c>
      <c r="Q475" s="17">
        <v>87.338624999999993</v>
      </c>
    </row>
    <row r="476" spans="1:17" x14ac:dyDescent="0.25">
      <c r="A476" s="6" t="s">
        <v>5</v>
      </c>
      <c r="B476" s="7">
        <v>13</v>
      </c>
      <c r="C476" s="13">
        <v>102</v>
      </c>
      <c r="D476" s="13">
        <v>3</v>
      </c>
      <c r="E476" s="6" t="s">
        <v>355</v>
      </c>
      <c r="F476" s="13" t="s">
        <v>322</v>
      </c>
      <c r="G476" s="13">
        <v>3</v>
      </c>
      <c r="H476" s="7">
        <v>5</v>
      </c>
      <c r="I476" s="14" t="s">
        <v>318</v>
      </c>
      <c r="J476" s="7">
        <v>1.391</v>
      </c>
      <c r="K476" s="7">
        <v>40.545999999999999</v>
      </c>
      <c r="L476" s="6">
        <v>0</v>
      </c>
      <c r="M476" s="15">
        <v>0.13609142857142856</v>
      </c>
      <c r="N476" s="16">
        <v>94.651588571428562</v>
      </c>
      <c r="O476" s="17">
        <v>2758.9815314285711</v>
      </c>
      <c r="P476" s="16">
        <v>94.651588571428562</v>
      </c>
      <c r="Q476" s="17">
        <v>2758.9815314285711</v>
      </c>
    </row>
    <row r="477" spans="1:17" x14ac:dyDescent="0.25">
      <c r="A477" s="6" t="s">
        <v>5</v>
      </c>
      <c r="B477" s="7">
        <v>13</v>
      </c>
      <c r="C477" s="13">
        <v>102</v>
      </c>
      <c r="D477" s="13">
        <v>3</v>
      </c>
      <c r="E477" s="6" t="s">
        <v>355</v>
      </c>
      <c r="F477" s="13" t="s">
        <v>322</v>
      </c>
      <c r="G477" s="13">
        <v>3</v>
      </c>
      <c r="H477" s="7">
        <v>5</v>
      </c>
      <c r="I477" s="14" t="s">
        <v>319</v>
      </c>
      <c r="J477" s="7" t="s">
        <v>1673</v>
      </c>
      <c r="K477" s="7" t="s">
        <v>1673</v>
      </c>
      <c r="L477" s="6" t="s">
        <v>1673</v>
      </c>
      <c r="M477" s="15" t="s">
        <v>1673</v>
      </c>
      <c r="N477" s="16" t="s">
        <v>1673</v>
      </c>
      <c r="O477" s="17" t="s">
        <v>1673</v>
      </c>
      <c r="P477" s="16" t="s">
        <v>1673</v>
      </c>
      <c r="Q477" s="17" t="s">
        <v>1673</v>
      </c>
    </row>
    <row r="478" spans="1:17" x14ac:dyDescent="0.25">
      <c r="A478" s="6" t="s">
        <v>5</v>
      </c>
      <c r="B478" s="7">
        <v>13</v>
      </c>
      <c r="C478" s="13">
        <v>102</v>
      </c>
      <c r="D478" s="13">
        <v>3</v>
      </c>
      <c r="E478" s="6" t="s">
        <v>355</v>
      </c>
      <c r="F478" s="13" t="s">
        <v>324</v>
      </c>
      <c r="G478" s="18">
        <v>4</v>
      </c>
      <c r="H478" s="7">
        <v>5</v>
      </c>
      <c r="I478" s="14" t="s">
        <v>318</v>
      </c>
      <c r="J478" s="7">
        <v>1.7260000000000002</v>
      </c>
      <c r="K478" s="7">
        <v>39.735999999999997</v>
      </c>
      <c r="L478" s="6">
        <v>0</v>
      </c>
      <c r="M478" s="15">
        <v>0.22246666666666665</v>
      </c>
      <c r="N478" s="16">
        <v>191.98873333333333</v>
      </c>
      <c r="O478" s="17">
        <v>4419.9677333333329</v>
      </c>
      <c r="P478" s="16">
        <v>191.9887333333333</v>
      </c>
      <c r="Q478" s="17">
        <v>4419.9677333333329</v>
      </c>
    </row>
    <row r="479" spans="1:17" x14ac:dyDescent="0.25">
      <c r="A479" s="6" t="s">
        <v>5</v>
      </c>
      <c r="B479" s="7">
        <v>13</v>
      </c>
      <c r="C479" s="13">
        <v>102</v>
      </c>
      <c r="D479" s="13">
        <v>3</v>
      </c>
      <c r="E479" s="6" t="s">
        <v>355</v>
      </c>
      <c r="F479" s="13" t="s">
        <v>324</v>
      </c>
      <c r="G479" s="18">
        <v>4</v>
      </c>
      <c r="H479" s="7">
        <v>5</v>
      </c>
      <c r="I479" s="14" t="s">
        <v>319</v>
      </c>
      <c r="J479" s="7" t="s">
        <v>1673</v>
      </c>
      <c r="K479" s="7" t="s">
        <v>1673</v>
      </c>
      <c r="L479" s="6" t="s">
        <v>1673</v>
      </c>
      <c r="M479" s="15" t="s">
        <v>1673</v>
      </c>
      <c r="N479" s="16" t="s">
        <v>1673</v>
      </c>
      <c r="O479" s="17" t="s">
        <v>1673</v>
      </c>
      <c r="P479" s="16" t="s">
        <v>1673</v>
      </c>
      <c r="Q479" s="17" t="s">
        <v>1673</v>
      </c>
    </row>
    <row r="480" spans="1:17" x14ac:dyDescent="0.25">
      <c r="A480" s="6" t="s">
        <v>5</v>
      </c>
      <c r="B480" s="7">
        <v>13</v>
      </c>
      <c r="C480" s="13">
        <v>102</v>
      </c>
      <c r="D480" s="13">
        <v>3</v>
      </c>
      <c r="E480" s="6" t="s">
        <v>355</v>
      </c>
      <c r="F480" s="13" t="s">
        <v>325</v>
      </c>
      <c r="G480" s="18">
        <v>5</v>
      </c>
      <c r="H480" s="7">
        <v>0</v>
      </c>
      <c r="I480" s="14" t="s">
        <v>318</v>
      </c>
      <c r="J480" s="7" t="s">
        <v>1673</v>
      </c>
      <c r="K480" s="7" t="s">
        <v>1673</v>
      </c>
      <c r="L480" s="6" t="s">
        <v>1673</v>
      </c>
      <c r="M480" s="15" t="s">
        <v>1673</v>
      </c>
      <c r="N480" s="16" t="s">
        <v>1673</v>
      </c>
      <c r="O480" s="17" t="s">
        <v>1673</v>
      </c>
      <c r="P480" s="16" t="s">
        <v>1673</v>
      </c>
      <c r="Q480" s="17" t="s">
        <v>1673</v>
      </c>
    </row>
    <row r="481" spans="1:17" x14ac:dyDescent="0.25">
      <c r="A481" s="6" t="s">
        <v>5</v>
      </c>
      <c r="B481" s="7">
        <v>13</v>
      </c>
      <c r="C481" s="13">
        <v>102</v>
      </c>
      <c r="D481" s="13">
        <v>3</v>
      </c>
      <c r="E481" s="6" t="s">
        <v>355</v>
      </c>
      <c r="F481" s="13" t="s">
        <v>325</v>
      </c>
      <c r="G481" s="18">
        <v>5</v>
      </c>
      <c r="H481" s="7">
        <v>0</v>
      </c>
      <c r="I481" s="14" t="s">
        <v>319</v>
      </c>
      <c r="J481" s="7" t="s">
        <v>1673</v>
      </c>
      <c r="K481" s="7" t="s">
        <v>1673</v>
      </c>
      <c r="L481" s="6" t="s">
        <v>1673</v>
      </c>
      <c r="M481" s="15" t="s">
        <v>1673</v>
      </c>
      <c r="N481" s="16" t="s">
        <v>1673</v>
      </c>
      <c r="O481" s="17" t="s">
        <v>1673</v>
      </c>
      <c r="P481" s="16" t="s">
        <v>1673</v>
      </c>
      <c r="Q481" s="17" t="s">
        <v>1673</v>
      </c>
    </row>
    <row r="482" spans="1:17" x14ac:dyDescent="0.25">
      <c r="A482" s="6" t="s">
        <v>5</v>
      </c>
      <c r="B482" s="7">
        <v>13</v>
      </c>
      <c r="C482" s="13">
        <v>102</v>
      </c>
      <c r="D482" s="13">
        <v>4</v>
      </c>
      <c r="E482" s="6" t="s">
        <v>316</v>
      </c>
      <c r="F482" s="13" t="s">
        <v>317</v>
      </c>
      <c r="G482" s="13">
        <v>0</v>
      </c>
      <c r="H482" s="7">
        <v>0</v>
      </c>
      <c r="I482" s="14" t="s">
        <v>318</v>
      </c>
      <c r="J482" s="7" t="s">
        <v>1673</v>
      </c>
      <c r="K482" s="7" t="s">
        <v>1673</v>
      </c>
      <c r="L482" s="6" t="s">
        <v>1673</v>
      </c>
      <c r="M482" s="15" t="s">
        <v>1673</v>
      </c>
      <c r="N482" s="16" t="s">
        <v>1673</v>
      </c>
      <c r="O482" s="17" t="s">
        <v>1673</v>
      </c>
      <c r="P482" s="16" t="s">
        <v>1673</v>
      </c>
      <c r="Q482" s="17" t="s">
        <v>1673</v>
      </c>
    </row>
    <row r="483" spans="1:17" x14ac:dyDescent="0.25">
      <c r="A483" s="6" t="s">
        <v>5</v>
      </c>
      <c r="B483" s="7">
        <v>13</v>
      </c>
      <c r="C483" s="13">
        <v>102</v>
      </c>
      <c r="D483" s="13">
        <v>4</v>
      </c>
      <c r="E483" s="6" t="s">
        <v>316</v>
      </c>
      <c r="F483" s="13" t="s">
        <v>317</v>
      </c>
      <c r="G483" s="13">
        <v>0</v>
      </c>
      <c r="H483" s="7">
        <v>0</v>
      </c>
      <c r="I483" s="14" t="s">
        <v>319</v>
      </c>
      <c r="J483" s="7" t="s">
        <v>1673</v>
      </c>
      <c r="K483" s="7" t="s">
        <v>1673</v>
      </c>
      <c r="L483" s="6" t="s">
        <v>1673</v>
      </c>
      <c r="M483" s="15" t="s">
        <v>1673</v>
      </c>
      <c r="N483" s="16" t="s">
        <v>1673</v>
      </c>
      <c r="O483" s="17" t="s">
        <v>1673</v>
      </c>
      <c r="P483" s="16" t="s">
        <v>1673</v>
      </c>
      <c r="Q483" s="17" t="s">
        <v>1673</v>
      </c>
    </row>
    <row r="484" spans="1:17" x14ac:dyDescent="0.25">
      <c r="A484" s="6" t="s">
        <v>5</v>
      </c>
      <c r="B484" s="7">
        <v>13</v>
      </c>
      <c r="C484" s="13">
        <v>102</v>
      </c>
      <c r="D484" s="13">
        <v>4</v>
      </c>
      <c r="E484" s="6" t="s">
        <v>355</v>
      </c>
      <c r="F484" s="13" t="s">
        <v>320</v>
      </c>
      <c r="G484" s="13">
        <v>1</v>
      </c>
      <c r="H484" s="7">
        <v>5</v>
      </c>
      <c r="I484" s="14" t="s">
        <v>318</v>
      </c>
      <c r="J484" s="7">
        <v>1.0840000000000001</v>
      </c>
      <c r="K484" s="7">
        <v>43.685000000000002</v>
      </c>
      <c r="L484" s="6">
        <v>0</v>
      </c>
      <c r="M484" s="15">
        <v>5.8387692307692307E-2</v>
      </c>
      <c r="N484" s="16">
        <v>31.64612923076923</v>
      </c>
      <c r="O484" s="17">
        <v>1275.3331692307693</v>
      </c>
      <c r="P484" s="16">
        <v>31.646129230769233</v>
      </c>
      <c r="Q484" s="17">
        <v>1275.3331692307693</v>
      </c>
    </row>
    <row r="485" spans="1:17" x14ac:dyDescent="0.25">
      <c r="A485" s="6" t="s">
        <v>5</v>
      </c>
      <c r="B485" s="7">
        <v>13</v>
      </c>
      <c r="C485" s="13">
        <v>102</v>
      </c>
      <c r="D485" s="13">
        <v>4</v>
      </c>
      <c r="E485" s="6" t="s">
        <v>355</v>
      </c>
      <c r="F485" s="13" t="s">
        <v>320</v>
      </c>
      <c r="G485" s="13">
        <v>1</v>
      </c>
      <c r="H485" s="7">
        <v>5</v>
      </c>
      <c r="I485" s="14" t="s">
        <v>319</v>
      </c>
      <c r="J485" s="7" t="s">
        <v>1673</v>
      </c>
      <c r="K485" s="7" t="s">
        <v>1673</v>
      </c>
      <c r="L485" s="6" t="s">
        <v>1673</v>
      </c>
      <c r="M485" s="15" t="s">
        <v>1673</v>
      </c>
      <c r="N485" s="16" t="s">
        <v>1673</v>
      </c>
      <c r="O485" s="17" t="s">
        <v>1673</v>
      </c>
      <c r="P485" s="16" t="s">
        <v>1673</v>
      </c>
      <c r="Q485" s="17" t="s">
        <v>1673</v>
      </c>
    </row>
    <row r="486" spans="1:17" x14ac:dyDescent="0.25">
      <c r="A486" s="6" t="s">
        <v>5</v>
      </c>
      <c r="B486" s="7">
        <v>13</v>
      </c>
      <c r="C486" s="13">
        <v>102</v>
      </c>
      <c r="D486" s="13">
        <v>4</v>
      </c>
      <c r="E486" s="6" t="s">
        <v>355</v>
      </c>
      <c r="F486" s="13" t="s">
        <v>321</v>
      </c>
      <c r="G486" s="13">
        <v>2</v>
      </c>
      <c r="H486" s="7">
        <v>5</v>
      </c>
      <c r="I486" s="14" t="s">
        <v>318</v>
      </c>
      <c r="J486" s="7">
        <v>1.0049999999999999</v>
      </c>
      <c r="K486" s="7">
        <v>44.253999999999998</v>
      </c>
      <c r="L486" s="6">
        <v>0</v>
      </c>
      <c r="M486" s="15">
        <v>8.3797333333333335E-2</v>
      </c>
      <c r="N486" s="16">
        <v>42.108159999999991</v>
      </c>
      <c r="O486" s="17">
        <v>1854.1835946666667</v>
      </c>
      <c r="P486" s="16">
        <v>42.108159999999991</v>
      </c>
      <c r="Q486" s="17">
        <v>1854.1835946666665</v>
      </c>
    </row>
    <row r="487" spans="1:17" x14ac:dyDescent="0.25">
      <c r="A487" s="6" t="s">
        <v>5</v>
      </c>
      <c r="B487" s="7">
        <v>13</v>
      </c>
      <c r="C487" s="13">
        <v>102</v>
      </c>
      <c r="D487" s="13">
        <v>4</v>
      </c>
      <c r="E487" s="6" t="s">
        <v>355</v>
      </c>
      <c r="F487" s="13" t="s">
        <v>321</v>
      </c>
      <c r="G487" s="13">
        <v>2</v>
      </c>
      <c r="H487" s="7">
        <v>5</v>
      </c>
      <c r="I487" s="14" t="s">
        <v>319</v>
      </c>
      <c r="J487" s="7">
        <v>0.67100000000000004</v>
      </c>
      <c r="K487" s="7">
        <v>51.058</v>
      </c>
      <c r="L487" s="6">
        <v>0</v>
      </c>
      <c r="M487" s="15">
        <v>1.024E-3</v>
      </c>
      <c r="N487" s="16">
        <v>0.34355200000000008</v>
      </c>
      <c r="O487" s="17">
        <v>26.141696000000003</v>
      </c>
      <c r="P487" s="16">
        <v>0.34355199999999997</v>
      </c>
      <c r="Q487" s="17">
        <v>26.141696000000003</v>
      </c>
    </row>
    <row r="488" spans="1:17" x14ac:dyDescent="0.25">
      <c r="A488" s="6" t="s">
        <v>5</v>
      </c>
      <c r="B488" s="7">
        <v>13</v>
      </c>
      <c r="C488" s="13">
        <v>102</v>
      </c>
      <c r="D488" s="13">
        <v>4</v>
      </c>
      <c r="E488" s="6" t="s">
        <v>355</v>
      </c>
      <c r="F488" s="13" t="s">
        <v>322</v>
      </c>
      <c r="G488" s="13">
        <v>3</v>
      </c>
      <c r="H488" s="7">
        <v>5</v>
      </c>
      <c r="I488" s="14" t="s">
        <v>318</v>
      </c>
      <c r="J488" s="7">
        <v>1.409</v>
      </c>
      <c r="K488" s="7">
        <v>43.933</v>
      </c>
      <c r="L488" s="6">
        <v>0</v>
      </c>
      <c r="M488" s="15">
        <v>0.11406933333333334</v>
      </c>
      <c r="N488" s="16">
        <v>80.361845333333335</v>
      </c>
      <c r="O488" s="17">
        <v>2505.7040106666668</v>
      </c>
      <c r="P488" s="16">
        <v>80.361845333333335</v>
      </c>
      <c r="Q488" s="17">
        <v>2505.7040106666668</v>
      </c>
    </row>
    <row r="489" spans="1:17" x14ac:dyDescent="0.25">
      <c r="A489" s="6" t="s">
        <v>5</v>
      </c>
      <c r="B489" s="7">
        <v>13</v>
      </c>
      <c r="C489" s="13">
        <v>102</v>
      </c>
      <c r="D489" s="13">
        <v>4</v>
      </c>
      <c r="E489" s="6" t="s">
        <v>355</v>
      </c>
      <c r="F489" s="13" t="s">
        <v>322</v>
      </c>
      <c r="G489" s="13">
        <v>3</v>
      </c>
      <c r="H489" s="7">
        <v>5</v>
      </c>
      <c r="I489" s="14" t="s">
        <v>319</v>
      </c>
      <c r="J489" s="7">
        <v>0.96099999999999997</v>
      </c>
      <c r="K489" s="7">
        <v>48.69</v>
      </c>
      <c r="L489" s="6">
        <v>0</v>
      </c>
      <c r="M489" s="15">
        <v>4.1173333333333331E-3</v>
      </c>
      <c r="N489" s="16">
        <v>1.9783786666666667</v>
      </c>
      <c r="O489" s="17">
        <v>100.23648</v>
      </c>
      <c r="P489" s="16">
        <v>1.9783786666666667</v>
      </c>
      <c r="Q489" s="17">
        <v>100.23648</v>
      </c>
    </row>
    <row r="490" spans="1:17" x14ac:dyDescent="0.25">
      <c r="A490" s="6" t="s">
        <v>5</v>
      </c>
      <c r="B490" s="7">
        <v>13</v>
      </c>
      <c r="C490" s="13">
        <v>102</v>
      </c>
      <c r="D490" s="13">
        <v>4</v>
      </c>
      <c r="E490" s="6" t="s">
        <v>355</v>
      </c>
      <c r="F490" s="13" t="s">
        <v>324</v>
      </c>
      <c r="G490" s="18">
        <v>4</v>
      </c>
      <c r="H490" s="7">
        <v>5</v>
      </c>
      <c r="I490" s="14" t="s">
        <v>318</v>
      </c>
      <c r="J490" s="7">
        <v>1.6</v>
      </c>
      <c r="K490" s="7">
        <v>41.02</v>
      </c>
      <c r="L490" s="6">
        <v>0</v>
      </c>
      <c r="M490" s="15">
        <v>0.13542857142857143</v>
      </c>
      <c r="N490" s="16">
        <v>108.34285714285713</v>
      </c>
      <c r="O490" s="17">
        <v>2777.64</v>
      </c>
      <c r="P490" s="16">
        <v>108.34285714285714</v>
      </c>
      <c r="Q490" s="17">
        <v>2777.6400000000003</v>
      </c>
    </row>
    <row r="491" spans="1:17" x14ac:dyDescent="0.25">
      <c r="A491" s="6" t="s">
        <v>5</v>
      </c>
      <c r="B491" s="7">
        <v>13</v>
      </c>
      <c r="C491" s="13">
        <v>102</v>
      </c>
      <c r="D491" s="13">
        <v>4</v>
      </c>
      <c r="E491" s="6" t="s">
        <v>355</v>
      </c>
      <c r="F491" s="13" t="s">
        <v>324</v>
      </c>
      <c r="G491" s="18">
        <v>4</v>
      </c>
      <c r="H491" s="7">
        <v>5</v>
      </c>
      <c r="I491" s="14" t="s">
        <v>319</v>
      </c>
      <c r="J491" s="7">
        <v>0.83499999999999996</v>
      </c>
      <c r="K491" s="7">
        <v>50.353000000000002</v>
      </c>
      <c r="L491" s="6">
        <v>0</v>
      </c>
      <c r="M491" s="15">
        <v>2.2342857142857143E-3</v>
      </c>
      <c r="N491" s="16">
        <v>0.9328142857142856</v>
      </c>
      <c r="O491" s="17">
        <v>56.251494285714287</v>
      </c>
      <c r="P491" s="16">
        <v>0.93281428571428571</v>
      </c>
      <c r="Q491" s="17">
        <v>56.251494285714287</v>
      </c>
    </row>
    <row r="492" spans="1:17" x14ac:dyDescent="0.25">
      <c r="A492" s="6" t="s">
        <v>5</v>
      </c>
      <c r="B492" s="7">
        <v>13</v>
      </c>
      <c r="C492" s="13">
        <v>102</v>
      </c>
      <c r="D492" s="13">
        <v>4</v>
      </c>
      <c r="E492" s="6" t="s">
        <v>355</v>
      </c>
      <c r="F492" s="13" t="s">
        <v>325</v>
      </c>
      <c r="G492" s="18">
        <v>5</v>
      </c>
      <c r="H492" s="7">
        <v>2</v>
      </c>
      <c r="I492" s="14" t="s">
        <v>318</v>
      </c>
      <c r="J492" s="7">
        <v>2.0760000000000001</v>
      </c>
      <c r="K492" s="7">
        <v>42.225999999999999</v>
      </c>
      <c r="L492" s="6">
        <v>0</v>
      </c>
      <c r="M492" s="15">
        <v>0.16942307692307693</v>
      </c>
      <c r="N492" s="16">
        <v>70.344461538461545</v>
      </c>
      <c r="O492" s="17">
        <v>1430.8117692307692</v>
      </c>
      <c r="P492" s="16">
        <v>175.86115384615385</v>
      </c>
      <c r="Q492" s="17">
        <v>3577.0294230769227</v>
      </c>
    </row>
    <row r="493" spans="1:17" x14ac:dyDescent="0.25">
      <c r="A493" s="6" t="s">
        <v>5</v>
      </c>
      <c r="B493" s="7">
        <v>13</v>
      </c>
      <c r="C493" s="13">
        <v>102</v>
      </c>
      <c r="D493" s="13">
        <v>4</v>
      </c>
      <c r="E493" s="6" t="s">
        <v>355</v>
      </c>
      <c r="F493" s="13" t="s">
        <v>325</v>
      </c>
      <c r="G493" s="18">
        <v>5</v>
      </c>
      <c r="H493" s="7">
        <v>2</v>
      </c>
      <c r="I493" s="14" t="s">
        <v>319</v>
      </c>
      <c r="J493" s="7" t="s">
        <v>1673</v>
      </c>
      <c r="K493" s="7" t="s">
        <v>1673</v>
      </c>
      <c r="L493" s="6" t="s">
        <v>1673</v>
      </c>
      <c r="M493" s="15" t="s">
        <v>1673</v>
      </c>
      <c r="N493" s="16" t="s">
        <v>1673</v>
      </c>
      <c r="O493" s="17" t="s">
        <v>1673</v>
      </c>
      <c r="P493" s="16" t="s">
        <v>1673</v>
      </c>
      <c r="Q493" s="17" t="s">
        <v>1673</v>
      </c>
    </row>
    <row r="494" spans="1:17" x14ac:dyDescent="0.25">
      <c r="A494" s="6" t="s">
        <v>5</v>
      </c>
      <c r="B494" s="7">
        <v>13</v>
      </c>
      <c r="C494" s="13">
        <v>102</v>
      </c>
      <c r="D494" s="13">
        <v>5</v>
      </c>
      <c r="E494" s="6" t="s">
        <v>316</v>
      </c>
      <c r="F494" s="13" t="s">
        <v>317</v>
      </c>
      <c r="G494" s="13">
        <v>0</v>
      </c>
      <c r="H494" s="7">
        <v>0</v>
      </c>
      <c r="I494" s="14" t="s">
        <v>318</v>
      </c>
      <c r="J494" s="7" t="s">
        <v>1673</v>
      </c>
      <c r="K494" s="7" t="s">
        <v>1673</v>
      </c>
      <c r="L494" s="6" t="s">
        <v>1673</v>
      </c>
      <c r="M494" s="15" t="s">
        <v>1673</v>
      </c>
      <c r="N494" s="16" t="s">
        <v>1673</v>
      </c>
      <c r="O494" s="17" t="s">
        <v>1673</v>
      </c>
      <c r="P494" s="16" t="s">
        <v>1673</v>
      </c>
      <c r="Q494" s="17" t="s">
        <v>1673</v>
      </c>
    </row>
    <row r="495" spans="1:17" x14ac:dyDescent="0.25">
      <c r="A495" s="6" t="s">
        <v>5</v>
      </c>
      <c r="B495" s="7">
        <v>13</v>
      </c>
      <c r="C495" s="13">
        <v>102</v>
      </c>
      <c r="D495" s="13">
        <v>5</v>
      </c>
      <c r="E495" s="6" t="s">
        <v>316</v>
      </c>
      <c r="F495" s="13" t="s">
        <v>317</v>
      </c>
      <c r="G495" s="13">
        <v>0</v>
      </c>
      <c r="H495" s="7">
        <v>0</v>
      </c>
      <c r="I495" s="14" t="s">
        <v>319</v>
      </c>
      <c r="J495" s="7" t="s">
        <v>1673</v>
      </c>
      <c r="K495" s="7" t="s">
        <v>1673</v>
      </c>
      <c r="L495" s="6" t="s">
        <v>1673</v>
      </c>
      <c r="M495" s="15" t="s">
        <v>1673</v>
      </c>
      <c r="N495" s="16" t="s">
        <v>1673</v>
      </c>
      <c r="O495" s="17" t="s">
        <v>1673</v>
      </c>
      <c r="P495" s="16" t="s">
        <v>1673</v>
      </c>
      <c r="Q495" s="17" t="s">
        <v>1673</v>
      </c>
    </row>
    <row r="496" spans="1:17" x14ac:dyDescent="0.25">
      <c r="A496" s="6" t="s">
        <v>5</v>
      </c>
      <c r="B496" s="7">
        <v>13</v>
      </c>
      <c r="C496" s="13">
        <v>102</v>
      </c>
      <c r="D496" s="13">
        <v>5</v>
      </c>
      <c r="E496" s="6" t="s">
        <v>355</v>
      </c>
      <c r="F496" s="13" t="s">
        <v>320</v>
      </c>
      <c r="G496" s="13">
        <v>1</v>
      </c>
      <c r="H496" s="7">
        <v>5</v>
      </c>
      <c r="I496" s="14" t="s">
        <v>318</v>
      </c>
      <c r="J496" s="7">
        <v>0.80600000000000005</v>
      </c>
      <c r="K496" s="7">
        <v>43.774999999999999</v>
      </c>
      <c r="L496" s="6">
        <v>0</v>
      </c>
      <c r="M496" s="15">
        <v>0.10139230769230768</v>
      </c>
      <c r="N496" s="16">
        <v>40.8611</v>
      </c>
      <c r="O496" s="17">
        <v>2219.2241346153842</v>
      </c>
      <c r="P496" s="16">
        <v>40.861100000000008</v>
      </c>
      <c r="Q496" s="17">
        <v>2219.2241346153842</v>
      </c>
    </row>
    <row r="497" spans="1:17" x14ac:dyDescent="0.25">
      <c r="A497" s="6" t="s">
        <v>5</v>
      </c>
      <c r="B497" s="7">
        <v>13</v>
      </c>
      <c r="C497" s="13">
        <v>102</v>
      </c>
      <c r="D497" s="13">
        <v>5</v>
      </c>
      <c r="E497" s="6" t="s">
        <v>355</v>
      </c>
      <c r="F497" s="13" t="s">
        <v>320</v>
      </c>
      <c r="G497" s="13">
        <v>1</v>
      </c>
      <c r="H497" s="7">
        <v>5</v>
      </c>
      <c r="I497" s="14" t="s">
        <v>319</v>
      </c>
      <c r="J497" s="7">
        <v>0.60599999999999998</v>
      </c>
      <c r="K497" s="7">
        <v>50.253</v>
      </c>
      <c r="L497" s="6">
        <v>0</v>
      </c>
      <c r="M497" s="15">
        <v>1.0776923076923076E-2</v>
      </c>
      <c r="N497" s="16">
        <v>3.2654076923076918</v>
      </c>
      <c r="O497" s="17">
        <v>270.78635769230772</v>
      </c>
      <c r="P497" s="16">
        <v>3.2654076923076913</v>
      </c>
      <c r="Q497" s="17">
        <v>270.78635769230772</v>
      </c>
    </row>
    <row r="498" spans="1:17" x14ac:dyDescent="0.25">
      <c r="A498" s="6" t="s">
        <v>5</v>
      </c>
      <c r="B498" s="7">
        <v>13</v>
      </c>
      <c r="C498" s="13">
        <v>102</v>
      </c>
      <c r="D498" s="13">
        <v>5</v>
      </c>
      <c r="E498" s="6" t="s">
        <v>355</v>
      </c>
      <c r="F498" s="13" t="s">
        <v>321</v>
      </c>
      <c r="G498" s="13">
        <v>2</v>
      </c>
      <c r="H498" s="7">
        <v>4.5</v>
      </c>
      <c r="I498" s="14" t="s">
        <v>318</v>
      </c>
      <c r="J498" s="7">
        <v>1.248</v>
      </c>
      <c r="K498" s="7">
        <v>39.168999999999997</v>
      </c>
      <c r="L498" s="6">
        <v>0</v>
      </c>
      <c r="M498" s="15">
        <v>0.15806837606837607</v>
      </c>
      <c r="N498" s="16">
        <v>88.771200000000007</v>
      </c>
      <c r="O498" s="17">
        <v>2786.1211000000003</v>
      </c>
      <c r="P498" s="16">
        <v>98.634666666666661</v>
      </c>
      <c r="Q498" s="17">
        <v>3095.690111111111</v>
      </c>
    </row>
    <row r="499" spans="1:17" x14ac:dyDescent="0.25">
      <c r="A499" s="6" t="s">
        <v>5</v>
      </c>
      <c r="B499" s="7">
        <v>13</v>
      </c>
      <c r="C499" s="13">
        <v>102</v>
      </c>
      <c r="D499" s="13">
        <v>5</v>
      </c>
      <c r="E499" s="6" t="s">
        <v>355</v>
      </c>
      <c r="F499" s="13" t="s">
        <v>321</v>
      </c>
      <c r="G499" s="13">
        <v>2</v>
      </c>
      <c r="H499" s="7">
        <v>4.5</v>
      </c>
      <c r="I499" s="14" t="s">
        <v>319</v>
      </c>
      <c r="J499" s="7">
        <v>0.69799999999999995</v>
      </c>
      <c r="K499" s="7">
        <v>51.161000000000001</v>
      </c>
      <c r="L499" s="6">
        <v>0</v>
      </c>
      <c r="M499" s="15">
        <v>1.6752136752136754E-3</v>
      </c>
      <c r="N499" s="16">
        <v>0.52618461538461536</v>
      </c>
      <c r="O499" s="17">
        <v>38.567523076923081</v>
      </c>
      <c r="P499" s="16">
        <v>0.58464957264957262</v>
      </c>
      <c r="Q499" s="17">
        <v>42.852803418803425</v>
      </c>
    </row>
    <row r="500" spans="1:17" x14ac:dyDescent="0.25">
      <c r="A500" s="6" t="s">
        <v>5</v>
      </c>
      <c r="B500" s="7">
        <v>14</v>
      </c>
      <c r="C500" s="13">
        <v>103</v>
      </c>
      <c r="D500" s="13">
        <v>1</v>
      </c>
      <c r="E500" s="6" t="s">
        <v>316</v>
      </c>
      <c r="F500" s="13" t="s">
        <v>317</v>
      </c>
      <c r="G500" s="13">
        <v>0</v>
      </c>
      <c r="H500" s="7">
        <v>0</v>
      </c>
      <c r="I500" s="14" t="s">
        <v>318</v>
      </c>
      <c r="J500" s="7" t="s">
        <v>1673</v>
      </c>
      <c r="K500" s="7" t="s">
        <v>1673</v>
      </c>
      <c r="L500" s="6" t="s">
        <v>1673</v>
      </c>
      <c r="M500" s="15" t="s">
        <v>1673</v>
      </c>
      <c r="N500" s="16" t="s">
        <v>1673</v>
      </c>
      <c r="O500" s="17" t="s">
        <v>1673</v>
      </c>
      <c r="P500" s="16" t="s">
        <v>1673</v>
      </c>
      <c r="Q500" s="17" t="s">
        <v>1673</v>
      </c>
    </row>
    <row r="501" spans="1:17" x14ac:dyDescent="0.25">
      <c r="A501" s="6" t="s">
        <v>5</v>
      </c>
      <c r="B501" s="7">
        <v>14</v>
      </c>
      <c r="C501" s="13">
        <v>103</v>
      </c>
      <c r="D501" s="13">
        <v>1</v>
      </c>
      <c r="E501" s="6" t="s">
        <v>316</v>
      </c>
      <c r="F501" s="13" t="s">
        <v>317</v>
      </c>
      <c r="G501" s="13">
        <v>0</v>
      </c>
      <c r="H501" s="7">
        <v>0</v>
      </c>
      <c r="I501" s="14" t="s">
        <v>319</v>
      </c>
      <c r="J501" s="7" t="s">
        <v>1673</v>
      </c>
      <c r="K501" s="7" t="s">
        <v>1673</v>
      </c>
      <c r="L501" s="6" t="s">
        <v>1673</v>
      </c>
      <c r="M501" s="15" t="s">
        <v>1673</v>
      </c>
      <c r="N501" s="16" t="s">
        <v>1673</v>
      </c>
      <c r="O501" s="17" t="s">
        <v>1673</v>
      </c>
      <c r="P501" s="16" t="s">
        <v>1673</v>
      </c>
      <c r="Q501" s="17" t="s">
        <v>1673</v>
      </c>
    </row>
    <row r="502" spans="1:17" x14ac:dyDescent="0.25">
      <c r="A502" s="6" t="s">
        <v>5</v>
      </c>
      <c r="B502" s="7">
        <v>14</v>
      </c>
      <c r="C502" s="13">
        <v>103</v>
      </c>
      <c r="D502" s="13">
        <v>1</v>
      </c>
      <c r="E502" s="6" t="s">
        <v>355</v>
      </c>
      <c r="F502" s="13" t="s">
        <v>320</v>
      </c>
      <c r="G502" s="13">
        <v>1</v>
      </c>
      <c r="H502" s="7">
        <v>0.5</v>
      </c>
      <c r="I502" s="14" t="s">
        <v>318</v>
      </c>
      <c r="J502" s="7">
        <v>0.65500000000000003</v>
      </c>
      <c r="K502" s="7">
        <v>15.77</v>
      </c>
      <c r="L502" s="6">
        <v>1</v>
      </c>
      <c r="M502" s="15">
        <v>0.53521428571428575</v>
      </c>
      <c r="N502" s="16">
        <v>17.528267857142861</v>
      </c>
      <c r="O502" s="17">
        <v>422.01646428571433</v>
      </c>
      <c r="P502" s="16">
        <v>175.28267857142859</v>
      </c>
      <c r="Q502" s="17">
        <v>4220.164642857143</v>
      </c>
    </row>
    <row r="503" spans="1:17" x14ac:dyDescent="0.25">
      <c r="A503" s="6" t="s">
        <v>5</v>
      </c>
      <c r="B503" s="7">
        <v>14</v>
      </c>
      <c r="C503" s="13">
        <v>103</v>
      </c>
      <c r="D503" s="13">
        <v>1</v>
      </c>
      <c r="E503" s="6" t="s">
        <v>355</v>
      </c>
      <c r="F503" s="13" t="s">
        <v>320</v>
      </c>
      <c r="G503" s="13">
        <v>1</v>
      </c>
      <c r="H503" s="7">
        <v>0.5</v>
      </c>
      <c r="I503" s="14" t="s">
        <v>319</v>
      </c>
      <c r="J503" s="7" t="s">
        <v>1673</v>
      </c>
      <c r="K503" s="7" t="s">
        <v>1673</v>
      </c>
      <c r="L503" s="6" t="s">
        <v>1673</v>
      </c>
      <c r="M503" s="15" t="s">
        <v>1673</v>
      </c>
      <c r="N503" s="16" t="s">
        <v>1673</v>
      </c>
      <c r="O503" s="17" t="s">
        <v>1673</v>
      </c>
      <c r="P503" s="16" t="s">
        <v>1673</v>
      </c>
      <c r="Q503" s="17" t="s">
        <v>1673</v>
      </c>
    </row>
    <row r="504" spans="1:17" x14ac:dyDescent="0.25">
      <c r="A504" s="6" t="s">
        <v>5</v>
      </c>
      <c r="B504" s="7">
        <v>14</v>
      </c>
      <c r="C504" s="13">
        <v>103</v>
      </c>
      <c r="D504" s="13">
        <v>2</v>
      </c>
      <c r="E504" s="6" t="s">
        <v>316</v>
      </c>
      <c r="F504" s="13" t="s">
        <v>317</v>
      </c>
      <c r="G504" s="13">
        <v>0</v>
      </c>
      <c r="H504" s="7">
        <v>0</v>
      </c>
      <c r="I504" s="14" t="s">
        <v>318</v>
      </c>
      <c r="J504" s="7" t="s">
        <v>1673</v>
      </c>
      <c r="K504" s="7" t="s">
        <v>1673</v>
      </c>
      <c r="L504" s="6" t="s">
        <v>1673</v>
      </c>
      <c r="M504" s="15" t="s">
        <v>1673</v>
      </c>
      <c r="N504" s="16" t="s">
        <v>1673</v>
      </c>
      <c r="O504" s="17" t="s">
        <v>1673</v>
      </c>
      <c r="P504" s="16" t="s">
        <v>1673</v>
      </c>
      <c r="Q504" s="17" t="s">
        <v>1673</v>
      </c>
    </row>
    <row r="505" spans="1:17" x14ac:dyDescent="0.25">
      <c r="A505" s="6" t="s">
        <v>5</v>
      </c>
      <c r="B505" s="7">
        <v>14</v>
      </c>
      <c r="C505" s="13">
        <v>103</v>
      </c>
      <c r="D505" s="13">
        <v>2</v>
      </c>
      <c r="E505" s="6" t="s">
        <v>316</v>
      </c>
      <c r="F505" s="13" t="s">
        <v>317</v>
      </c>
      <c r="G505" s="13">
        <v>0</v>
      </c>
      <c r="H505" s="7">
        <v>0</v>
      </c>
      <c r="I505" s="14" t="s">
        <v>319</v>
      </c>
      <c r="J505" s="7" t="s">
        <v>1673</v>
      </c>
      <c r="K505" s="7" t="s">
        <v>1673</v>
      </c>
      <c r="L505" s="6" t="s">
        <v>1673</v>
      </c>
      <c r="M505" s="15" t="s">
        <v>1673</v>
      </c>
      <c r="N505" s="16" t="s">
        <v>1673</v>
      </c>
      <c r="O505" s="17" t="s">
        <v>1673</v>
      </c>
      <c r="P505" s="16" t="s">
        <v>1673</v>
      </c>
      <c r="Q505" s="17" t="s">
        <v>1673</v>
      </c>
    </row>
    <row r="506" spans="1:17" x14ac:dyDescent="0.25">
      <c r="A506" s="6" t="s">
        <v>5</v>
      </c>
      <c r="B506" s="7">
        <v>14</v>
      </c>
      <c r="C506" s="13">
        <v>103</v>
      </c>
      <c r="D506" s="13">
        <v>2</v>
      </c>
      <c r="E506" s="6" t="s">
        <v>355</v>
      </c>
      <c r="F506" s="13" t="s">
        <v>320</v>
      </c>
      <c r="G506" s="13">
        <v>1</v>
      </c>
      <c r="H506" s="7">
        <v>5</v>
      </c>
      <c r="I506" s="14" t="s">
        <v>318</v>
      </c>
      <c r="J506" s="7">
        <v>1.3089999999999999</v>
      </c>
      <c r="K506" s="7">
        <v>45.15</v>
      </c>
      <c r="L506" s="6">
        <v>0</v>
      </c>
      <c r="M506" s="15">
        <v>7.0499999999999993E-2</v>
      </c>
      <c r="N506" s="16">
        <v>46.14224999999999</v>
      </c>
      <c r="O506" s="17">
        <v>1591.5374999999999</v>
      </c>
      <c r="P506" s="16">
        <v>46.142249999999997</v>
      </c>
      <c r="Q506" s="17">
        <v>1591.5375000000001</v>
      </c>
    </row>
    <row r="507" spans="1:17" x14ac:dyDescent="0.25">
      <c r="A507" s="6" t="s">
        <v>5</v>
      </c>
      <c r="B507" s="7">
        <v>14</v>
      </c>
      <c r="C507" s="13">
        <v>103</v>
      </c>
      <c r="D507" s="13">
        <v>2</v>
      </c>
      <c r="E507" s="6" t="s">
        <v>355</v>
      </c>
      <c r="F507" s="13" t="s">
        <v>320</v>
      </c>
      <c r="G507" s="13">
        <v>1</v>
      </c>
      <c r="H507" s="7">
        <v>5</v>
      </c>
      <c r="I507" s="14" t="s">
        <v>319</v>
      </c>
      <c r="J507" s="7">
        <v>0.70799999999999996</v>
      </c>
      <c r="K507" s="7">
        <v>50.691000000000003</v>
      </c>
      <c r="L507" s="6">
        <v>0</v>
      </c>
      <c r="M507" s="15">
        <v>2.6533333333333335E-3</v>
      </c>
      <c r="N507" s="16">
        <v>0.93928000000000011</v>
      </c>
      <c r="O507" s="17">
        <v>67.250060000000005</v>
      </c>
      <c r="P507" s="16">
        <v>0.93928</v>
      </c>
      <c r="Q507" s="17">
        <v>67.250060000000005</v>
      </c>
    </row>
    <row r="508" spans="1:17" x14ac:dyDescent="0.25">
      <c r="A508" s="6" t="s">
        <v>5</v>
      </c>
      <c r="B508" s="7">
        <v>14</v>
      </c>
      <c r="C508" s="13">
        <v>103</v>
      </c>
      <c r="D508" s="13">
        <v>2</v>
      </c>
      <c r="E508" s="6" t="s">
        <v>355</v>
      </c>
      <c r="F508" s="13" t="s">
        <v>321</v>
      </c>
      <c r="G508" s="13">
        <v>2</v>
      </c>
      <c r="H508" s="7">
        <v>5</v>
      </c>
      <c r="I508" s="14" t="s">
        <v>318</v>
      </c>
      <c r="J508" s="7">
        <v>1.736</v>
      </c>
      <c r="K508" s="7">
        <v>39.917000000000002</v>
      </c>
      <c r="L508" s="6">
        <v>0</v>
      </c>
      <c r="M508" s="15">
        <v>0.13270095238095239</v>
      </c>
      <c r="N508" s="16">
        <v>115.18442666666667</v>
      </c>
      <c r="O508" s="17">
        <v>2648.5119580952382</v>
      </c>
      <c r="P508" s="16">
        <v>115.18442666666667</v>
      </c>
      <c r="Q508" s="17">
        <v>2648.5119580952382</v>
      </c>
    </row>
    <row r="509" spans="1:17" x14ac:dyDescent="0.25">
      <c r="A509" s="6" t="s">
        <v>5</v>
      </c>
      <c r="B509" s="7">
        <v>14</v>
      </c>
      <c r="C509" s="13">
        <v>103</v>
      </c>
      <c r="D509" s="13">
        <v>2</v>
      </c>
      <c r="E509" s="6" t="s">
        <v>355</v>
      </c>
      <c r="F509" s="13" t="s">
        <v>321</v>
      </c>
      <c r="G509" s="13">
        <v>2</v>
      </c>
      <c r="H509" s="7">
        <v>5</v>
      </c>
      <c r="I509" s="14" t="s">
        <v>319</v>
      </c>
      <c r="J509" s="7">
        <v>0.72</v>
      </c>
      <c r="K509" s="7">
        <v>50.412999999999997</v>
      </c>
      <c r="L509" s="6">
        <v>0</v>
      </c>
      <c r="M509" s="15">
        <v>2.2552380952380953E-3</v>
      </c>
      <c r="N509" s="16">
        <v>0.81188571428571432</v>
      </c>
      <c r="O509" s="17">
        <v>56.846659047619049</v>
      </c>
      <c r="P509" s="16">
        <v>0.81188571428571421</v>
      </c>
      <c r="Q509" s="17">
        <v>56.846659047619042</v>
      </c>
    </row>
    <row r="510" spans="1:17" x14ac:dyDescent="0.25">
      <c r="A510" s="6" t="s">
        <v>5</v>
      </c>
      <c r="B510" s="7">
        <v>14</v>
      </c>
      <c r="C510" s="13">
        <v>103</v>
      </c>
      <c r="D510" s="13">
        <v>2</v>
      </c>
      <c r="E510" s="6" t="s">
        <v>355</v>
      </c>
      <c r="F510" s="13" t="s">
        <v>322</v>
      </c>
      <c r="G510" s="13">
        <v>3</v>
      </c>
      <c r="H510" s="7">
        <v>5</v>
      </c>
      <c r="I510" s="14" t="s">
        <v>318</v>
      </c>
      <c r="J510" s="7">
        <v>1.9570000000000001</v>
      </c>
      <c r="K510" s="7">
        <v>36.247</v>
      </c>
      <c r="L510" s="6">
        <v>0</v>
      </c>
      <c r="M510" s="15">
        <v>0.19409999999999999</v>
      </c>
      <c r="N510" s="16">
        <v>189.92685</v>
      </c>
      <c r="O510" s="17">
        <v>3517.77135</v>
      </c>
      <c r="P510" s="16">
        <v>189.92684999999997</v>
      </c>
      <c r="Q510" s="17">
        <v>3517.77135</v>
      </c>
    </row>
    <row r="511" spans="1:17" x14ac:dyDescent="0.25">
      <c r="A511" s="6" t="s">
        <v>5</v>
      </c>
      <c r="B511" s="7">
        <v>14</v>
      </c>
      <c r="C511" s="13">
        <v>103</v>
      </c>
      <c r="D511" s="13">
        <v>2</v>
      </c>
      <c r="E511" s="6" t="s">
        <v>355</v>
      </c>
      <c r="F511" s="13" t="s">
        <v>322</v>
      </c>
      <c r="G511" s="13">
        <v>3</v>
      </c>
      <c r="H511" s="7">
        <v>5</v>
      </c>
      <c r="I511" s="14" t="s">
        <v>319</v>
      </c>
      <c r="J511" s="7" t="s">
        <v>1673</v>
      </c>
      <c r="K511" s="7" t="s">
        <v>1673</v>
      </c>
      <c r="L511" s="6" t="s">
        <v>1673</v>
      </c>
      <c r="M511" s="15" t="s">
        <v>1673</v>
      </c>
      <c r="N511" s="16" t="s">
        <v>1673</v>
      </c>
      <c r="O511" s="17" t="s">
        <v>1673</v>
      </c>
      <c r="P511" s="16" t="s">
        <v>1673</v>
      </c>
      <c r="Q511" s="17" t="s">
        <v>1673</v>
      </c>
    </row>
    <row r="512" spans="1:17" x14ac:dyDescent="0.25">
      <c r="A512" s="6" t="s">
        <v>5</v>
      </c>
      <c r="B512" s="7">
        <v>14</v>
      </c>
      <c r="C512" s="13">
        <v>103</v>
      </c>
      <c r="D512" s="13">
        <v>2</v>
      </c>
      <c r="E512" s="6" t="s">
        <v>355</v>
      </c>
      <c r="F512" s="13" t="s">
        <v>324</v>
      </c>
      <c r="G512" s="18">
        <v>4</v>
      </c>
      <c r="H512" s="7">
        <v>3</v>
      </c>
      <c r="I512" s="14" t="s">
        <v>318</v>
      </c>
      <c r="J512" s="7">
        <v>1.679</v>
      </c>
      <c r="K512" s="7">
        <v>30.309000000000001</v>
      </c>
      <c r="L512" s="6">
        <v>0</v>
      </c>
      <c r="M512" s="15">
        <v>0.25811538461538458</v>
      </c>
      <c r="N512" s="16">
        <v>130.01271923076919</v>
      </c>
      <c r="O512" s="17">
        <v>2346.9657576923073</v>
      </c>
      <c r="P512" s="16">
        <v>216.68786538461535</v>
      </c>
      <c r="Q512" s="17">
        <v>3911.6095961538463</v>
      </c>
    </row>
    <row r="513" spans="1:17" x14ac:dyDescent="0.25">
      <c r="A513" s="6" t="s">
        <v>5</v>
      </c>
      <c r="B513" s="7">
        <v>14</v>
      </c>
      <c r="C513" s="13">
        <v>103</v>
      </c>
      <c r="D513" s="13">
        <v>2</v>
      </c>
      <c r="E513" s="6" t="s">
        <v>355</v>
      </c>
      <c r="F513" s="13" t="s">
        <v>324</v>
      </c>
      <c r="G513" s="18">
        <v>4</v>
      </c>
      <c r="H513" s="7">
        <v>3</v>
      </c>
      <c r="I513" s="14" t="s">
        <v>319</v>
      </c>
      <c r="J513" s="7" t="s">
        <v>1673</v>
      </c>
      <c r="K513" s="7" t="s">
        <v>1673</v>
      </c>
      <c r="L513" s="6" t="s">
        <v>1673</v>
      </c>
      <c r="M513" s="15" t="s">
        <v>1673</v>
      </c>
      <c r="N513" s="16" t="s">
        <v>1673</v>
      </c>
      <c r="O513" s="17" t="s">
        <v>1673</v>
      </c>
      <c r="P513" s="16" t="s">
        <v>1673</v>
      </c>
      <c r="Q513" s="17" t="s">
        <v>1673</v>
      </c>
    </row>
    <row r="514" spans="1:17" x14ac:dyDescent="0.25">
      <c r="A514" s="6" t="s">
        <v>5</v>
      </c>
      <c r="B514" s="7">
        <v>14</v>
      </c>
      <c r="C514" s="13">
        <v>103</v>
      </c>
      <c r="D514" s="13">
        <v>3</v>
      </c>
      <c r="E514" s="6" t="s">
        <v>316</v>
      </c>
      <c r="F514" s="13" t="s">
        <v>317</v>
      </c>
      <c r="G514" s="13">
        <v>0</v>
      </c>
      <c r="H514" s="7">
        <v>0</v>
      </c>
      <c r="I514" s="14" t="s">
        <v>318</v>
      </c>
      <c r="J514" s="7" t="s">
        <v>1673</v>
      </c>
      <c r="K514" s="7" t="s">
        <v>1673</v>
      </c>
      <c r="L514" s="6" t="s">
        <v>1673</v>
      </c>
      <c r="M514" s="15" t="s">
        <v>1673</v>
      </c>
      <c r="N514" s="16" t="s">
        <v>1673</v>
      </c>
      <c r="O514" s="17" t="s">
        <v>1673</v>
      </c>
      <c r="P514" s="16" t="s">
        <v>1673</v>
      </c>
      <c r="Q514" s="17" t="s">
        <v>1673</v>
      </c>
    </row>
    <row r="515" spans="1:17" x14ac:dyDescent="0.25">
      <c r="A515" s="6" t="s">
        <v>5</v>
      </c>
      <c r="B515" s="7">
        <v>14</v>
      </c>
      <c r="C515" s="13">
        <v>103</v>
      </c>
      <c r="D515" s="13">
        <v>3</v>
      </c>
      <c r="E515" s="6" t="s">
        <v>316</v>
      </c>
      <c r="F515" s="13" t="s">
        <v>317</v>
      </c>
      <c r="G515" s="13">
        <v>0</v>
      </c>
      <c r="H515" s="7">
        <v>0</v>
      </c>
      <c r="I515" s="14" t="s">
        <v>319</v>
      </c>
      <c r="J515" s="7" t="s">
        <v>1673</v>
      </c>
      <c r="K515" s="7" t="s">
        <v>1673</v>
      </c>
      <c r="L515" s="6" t="s">
        <v>1673</v>
      </c>
      <c r="M515" s="15" t="s">
        <v>1673</v>
      </c>
      <c r="N515" s="16" t="s">
        <v>1673</v>
      </c>
      <c r="O515" s="17" t="s">
        <v>1673</v>
      </c>
      <c r="P515" s="16" t="s">
        <v>1673</v>
      </c>
      <c r="Q515" s="17" t="s">
        <v>1673</v>
      </c>
    </row>
    <row r="516" spans="1:17" x14ac:dyDescent="0.25">
      <c r="A516" s="6" t="s">
        <v>5</v>
      </c>
      <c r="B516" s="7">
        <v>14</v>
      </c>
      <c r="C516" s="13">
        <v>103</v>
      </c>
      <c r="D516" s="13">
        <v>3</v>
      </c>
      <c r="E516" s="6" t="s">
        <v>355</v>
      </c>
      <c r="F516" s="13" t="s">
        <v>320</v>
      </c>
      <c r="G516" s="13">
        <v>1</v>
      </c>
      <c r="H516" s="7">
        <v>5</v>
      </c>
      <c r="I516" s="14" t="s">
        <v>318</v>
      </c>
      <c r="J516" s="7">
        <v>0.877</v>
      </c>
      <c r="K516" s="7">
        <v>44.371000000000002</v>
      </c>
      <c r="L516" s="6">
        <v>0</v>
      </c>
      <c r="M516" s="15">
        <v>5.7540000000000001E-2</v>
      </c>
      <c r="N516" s="16">
        <v>25.231290000000001</v>
      </c>
      <c r="O516" s="17">
        <v>1276.5536700000002</v>
      </c>
      <c r="P516" s="16">
        <v>25.231290000000001</v>
      </c>
      <c r="Q516" s="17">
        <v>1276.5536700000002</v>
      </c>
    </row>
    <row r="517" spans="1:17" x14ac:dyDescent="0.25">
      <c r="A517" s="6" t="s">
        <v>5</v>
      </c>
      <c r="B517" s="7">
        <v>14</v>
      </c>
      <c r="C517" s="13">
        <v>103</v>
      </c>
      <c r="D517" s="13">
        <v>3</v>
      </c>
      <c r="E517" s="6" t="s">
        <v>355</v>
      </c>
      <c r="F517" s="13" t="s">
        <v>320</v>
      </c>
      <c r="G517" s="13">
        <v>1</v>
      </c>
      <c r="H517" s="7">
        <v>5</v>
      </c>
      <c r="I517" s="14" t="s">
        <v>319</v>
      </c>
      <c r="J517" s="7" t="s">
        <v>1673</v>
      </c>
      <c r="K517" s="7" t="s">
        <v>1673</v>
      </c>
      <c r="L517" s="6" t="s">
        <v>1673</v>
      </c>
      <c r="M517" s="15" t="s">
        <v>1673</v>
      </c>
      <c r="N517" s="16" t="s">
        <v>1673</v>
      </c>
      <c r="O517" s="17" t="s">
        <v>1673</v>
      </c>
      <c r="P517" s="16" t="s">
        <v>1673</v>
      </c>
      <c r="Q517" s="17" t="s">
        <v>1673</v>
      </c>
    </row>
    <row r="518" spans="1:17" x14ac:dyDescent="0.25">
      <c r="A518" s="6" t="s">
        <v>5</v>
      </c>
      <c r="B518" s="7">
        <v>14</v>
      </c>
      <c r="C518" s="13">
        <v>103</v>
      </c>
      <c r="D518" s="13">
        <v>3</v>
      </c>
      <c r="E518" s="6" t="s">
        <v>355</v>
      </c>
      <c r="F518" s="13" t="s">
        <v>321</v>
      </c>
      <c r="G518" s="13">
        <v>2</v>
      </c>
      <c r="H518" s="7">
        <v>5</v>
      </c>
      <c r="I518" s="14" t="s">
        <v>318</v>
      </c>
      <c r="J518" s="7">
        <v>0.73899999999999999</v>
      </c>
      <c r="K518" s="7">
        <v>41.82</v>
      </c>
      <c r="L518" s="6">
        <v>0</v>
      </c>
      <c r="M518" s="15">
        <v>7.2147692307692315E-2</v>
      </c>
      <c r="N518" s="16">
        <v>26.658572307692314</v>
      </c>
      <c r="O518" s="17">
        <v>1508.6082461538465</v>
      </c>
      <c r="P518" s="16">
        <v>26.658572307692307</v>
      </c>
      <c r="Q518" s="17">
        <v>1508.6082461538463</v>
      </c>
    </row>
    <row r="519" spans="1:17" x14ac:dyDescent="0.25">
      <c r="A519" s="6" t="s">
        <v>5</v>
      </c>
      <c r="B519" s="7">
        <v>14</v>
      </c>
      <c r="C519" s="13">
        <v>103</v>
      </c>
      <c r="D519" s="13">
        <v>3</v>
      </c>
      <c r="E519" s="6" t="s">
        <v>355</v>
      </c>
      <c r="F519" s="13" t="s">
        <v>321</v>
      </c>
      <c r="G519" s="13">
        <v>2</v>
      </c>
      <c r="H519" s="7">
        <v>5</v>
      </c>
      <c r="I519" s="14" t="s">
        <v>319</v>
      </c>
      <c r="J519" s="7">
        <v>0.871</v>
      </c>
      <c r="K519" s="7">
        <v>50.665999999999997</v>
      </c>
      <c r="L519" s="6">
        <v>0</v>
      </c>
      <c r="M519" s="15">
        <v>1.956923076923077E-3</v>
      </c>
      <c r="N519" s="16">
        <v>0.85224000000000011</v>
      </c>
      <c r="O519" s="17">
        <v>49.574732307692308</v>
      </c>
      <c r="P519" s="16">
        <v>0.85224000000000011</v>
      </c>
      <c r="Q519" s="17">
        <v>49.574732307692315</v>
      </c>
    </row>
    <row r="520" spans="1:17" x14ac:dyDescent="0.25">
      <c r="A520" s="6" t="s">
        <v>5</v>
      </c>
      <c r="B520" s="7">
        <v>14</v>
      </c>
      <c r="C520" s="13">
        <v>103</v>
      </c>
      <c r="D520" s="13">
        <v>3</v>
      </c>
      <c r="E520" s="6" t="s">
        <v>355</v>
      </c>
      <c r="F520" s="13" t="s">
        <v>322</v>
      </c>
      <c r="G520" s="13">
        <v>3</v>
      </c>
      <c r="H520" s="7">
        <v>5</v>
      </c>
      <c r="I520" s="14" t="s">
        <v>318</v>
      </c>
      <c r="J520" s="7">
        <v>1.002</v>
      </c>
      <c r="K520" s="7">
        <v>40.972999999999999</v>
      </c>
      <c r="L520" s="6">
        <v>0</v>
      </c>
      <c r="M520" s="15">
        <v>7.3969230769230773E-2</v>
      </c>
      <c r="N520" s="16">
        <v>37.058584615384618</v>
      </c>
      <c r="O520" s="17">
        <v>1515.3706461538461</v>
      </c>
      <c r="P520" s="16">
        <v>37.058584615384618</v>
      </c>
      <c r="Q520" s="17">
        <v>1515.3706461538461</v>
      </c>
    </row>
    <row r="521" spans="1:17" x14ac:dyDescent="0.25">
      <c r="A521" s="6" t="s">
        <v>5</v>
      </c>
      <c r="B521" s="7">
        <v>14</v>
      </c>
      <c r="C521" s="13">
        <v>103</v>
      </c>
      <c r="D521" s="13">
        <v>3</v>
      </c>
      <c r="E521" s="6" t="s">
        <v>355</v>
      </c>
      <c r="F521" s="13" t="s">
        <v>322</v>
      </c>
      <c r="G521" s="13">
        <v>3</v>
      </c>
      <c r="H521" s="7">
        <v>5</v>
      </c>
      <c r="I521" s="14" t="s">
        <v>319</v>
      </c>
      <c r="J521" s="7" t="s">
        <v>1673</v>
      </c>
      <c r="K521" s="7" t="s">
        <v>1673</v>
      </c>
      <c r="L521" s="6" t="s">
        <v>1673</v>
      </c>
      <c r="M521" s="15" t="s">
        <v>1673</v>
      </c>
      <c r="N521" s="16" t="s">
        <v>1673</v>
      </c>
      <c r="O521" s="17" t="s">
        <v>1673</v>
      </c>
      <c r="P521" s="16" t="s">
        <v>1673</v>
      </c>
      <c r="Q521" s="17" t="s">
        <v>1673</v>
      </c>
    </row>
    <row r="522" spans="1:17" x14ac:dyDescent="0.25">
      <c r="A522" s="6" t="s">
        <v>5</v>
      </c>
      <c r="B522" s="7">
        <v>14</v>
      </c>
      <c r="C522" s="13">
        <v>103</v>
      </c>
      <c r="D522" s="13">
        <v>3</v>
      </c>
      <c r="E522" s="6" t="s">
        <v>355</v>
      </c>
      <c r="F522" s="13" t="s">
        <v>324</v>
      </c>
      <c r="G522" s="18">
        <v>4</v>
      </c>
      <c r="H522" s="7">
        <v>5</v>
      </c>
      <c r="I522" s="14" t="s">
        <v>318</v>
      </c>
      <c r="J522" s="7">
        <v>1.35</v>
      </c>
      <c r="K522" s="7">
        <v>41.034999999999997</v>
      </c>
      <c r="L522" s="6">
        <v>0</v>
      </c>
      <c r="M522" s="15">
        <v>0.13241333333333333</v>
      </c>
      <c r="N522" s="16">
        <v>89.379000000000005</v>
      </c>
      <c r="O522" s="17">
        <v>2716.7905666666666</v>
      </c>
      <c r="P522" s="16">
        <v>89.379000000000005</v>
      </c>
      <c r="Q522" s="17">
        <v>2716.790566666667</v>
      </c>
    </row>
    <row r="523" spans="1:17" x14ac:dyDescent="0.25">
      <c r="A523" s="6" t="s">
        <v>5</v>
      </c>
      <c r="B523" s="7">
        <v>14</v>
      </c>
      <c r="C523" s="13">
        <v>103</v>
      </c>
      <c r="D523" s="13">
        <v>3</v>
      </c>
      <c r="E523" s="6" t="s">
        <v>355</v>
      </c>
      <c r="F523" s="13" t="s">
        <v>324</v>
      </c>
      <c r="G523" s="18">
        <v>4</v>
      </c>
      <c r="H523" s="7">
        <v>5</v>
      </c>
      <c r="I523" s="14" t="s">
        <v>319</v>
      </c>
      <c r="J523" s="7" t="s">
        <v>1673</v>
      </c>
      <c r="K523" s="7" t="s">
        <v>1673</v>
      </c>
      <c r="L523" s="6" t="s">
        <v>1673</v>
      </c>
      <c r="M523" s="15" t="s">
        <v>1673</v>
      </c>
      <c r="N523" s="16" t="s">
        <v>1673</v>
      </c>
      <c r="O523" s="17" t="s">
        <v>1673</v>
      </c>
      <c r="P523" s="16" t="s">
        <v>1673</v>
      </c>
      <c r="Q523" s="17" t="s">
        <v>1673</v>
      </c>
    </row>
    <row r="524" spans="1:17" x14ac:dyDescent="0.25">
      <c r="A524" s="6" t="s">
        <v>5</v>
      </c>
      <c r="B524" s="7">
        <v>14</v>
      </c>
      <c r="C524" s="13">
        <v>103</v>
      </c>
      <c r="D524" s="13">
        <v>3</v>
      </c>
      <c r="E524" s="6" t="s">
        <v>355</v>
      </c>
      <c r="F524" s="13" t="s">
        <v>325</v>
      </c>
      <c r="G524" s="18">
        <v>5</v>
      </c>
      <c r="H524" s="7">
        <v>1</v>
      </c>
      <c r="I524" s="14" t="s">
        <v>318</v>
      </c>
      <c r="J524" s="7">
        <v>1.851</v>
      </c>
      <c r="K524" s="7">
        <v>38.576999999999998</v>
      </c>
      <c r="L524" s="6">
        <v>0</v>
      </c>
      <c r="M524" s="15">
        <v>0.28421818181818181</v>
      </c>
      <c r="N524" s="16">
        <v>52.608785454545448</v>
      </c>
      <c r="O524" s="17">
        <v>1096.42848</v>
      </c>
      <c r="P524" s="16">
        <v>263.04392727272727</v>
      </c>
      <c r="Q524" s="17">
        <v>5482.1423999999997</v>
      </c>
    </row>
    <row r="525" spans="1:17" x14ac:dyDescent="0.25">
      <c r="A525" s="6" t="s">
        <v>5</v>
      </c>
      <c r="B525" s="7">
        <v>14</v>
      </c>
      <c r="C525" s="13">
        <v>103</v>
      </c>
      <c r="D525" s="13">
        <v>3</v>
      </c>
      <c r="E525" s="6" t="s">
        <v>355</v>
      </c>
      <c r="F525" s="13" t="s">
        <v>325</v>
      </c>
      <c r="G525" s="18">
        <v>5</v>
      </c>
      <c r="H525" s="7">
        <v>1</v>
      </c>
      <c r="I525" s="14" t="s">
        <v>319</v>
      </c>
      <c r="J525" s="7" t="s">
        <v>1673</v>
      </c>
      <c r="K525" s="7" t="s">
        <v>1673</v>
      </c>
      <c r="L525" s="6" t="s">
        <v>1673</v>
      </c>
      <c r="M525" s="15" t="s">
        <v>1673</v>
      </c>
      <c r="N525" s="16" t="s">
        <v>1673</v>
      </c>
      <c r="O525" s="17" t="s">
        <v>1673</v>
      </c>
      <c r="P525" s="16" t="s">
        <v>1673</v>
      </c>
      <c r="Q525" s="17" t="s">
        <v>1673</v>
      </c>
    </row>
    <row r="526" spans="1:17" x14ac:dyDescent="0.25">
      <c r="A526" s="6" t="s">
        <v>5</v>
      </c>
      <c r="B526" s="7">
        <v>14</v>
      </c>
      <c r="C526" s="13">
        <v>103</v>
      </c>
      <c r="D526" s="13">
        <v>4</v>
      </c>
      <c r="E526" s="6" t="s">
        <v>316</v>
      </c>
      <c r="F526" s="13" t="s">
        <v>317</v>
      </c>
      <c r="G526" s="13">
        <v>0</v>
      </c>
      <c r="H526" s="7">
        <v>0</v>
      </c>
      <c r="I526" s="14" t="s">
        <v>318</v>
      </c>
      <c r="J526" s="7" t="s">
        <v>1673</v>
      </c>
      <c r="K526" s="7" t="s">
        <v>1673</v>
      </c>
      <c r="L526" s="6" t="s">
        <v>1673</v>
      </c>
      <c r="M526" s="15" t="s">
        <v>1673</v>
      </c>
      <c r="N526" s="16" t="s">
        <v>1673</v>
      </c>
      <c r="O526" s="17" t="s">
        <v>1673</v>
      </c>
      <c r="P526" s="16" t="s">
        <v>1673</v>
      </c>
      <c r="Q526" s="17" t="s">
        <v>1673</v>
      </c>
    </row>
    <row r="527" spans="1:17" x14ac:dyDescent="0.25">
      <c r="A527" s="6" t="s">
        <v>5</v>
      </c>
      <c r="B527" s="7">
        <v>14</v>
      </c>
      <c r="C527" s="13">
        <v>103</v>
      </c>
      <c r="D527" s="13">
        <v>4</v>
      </c>
      <c r="E527" s="6" t="s">
        <v>316</v>
      </c>
      <c r="F527" s="13" t="s">
        <v>317</v>
      </c>
      <c r="G527" s="13">
        <v>0</v>
      </c>
      <c r="H527" s="7">
        <v>0</v>
      </c>
      <c r="I527" s="14" t="s">
        <v>319</v>
      </c>
      <c r="J527" s="7" t="s">
        <v>1673</v>
      </c>
      <c r="K527" s="7" t="s">
        <v>1673</v>
      </c>
      <c r="L527" s="6" t="s">
        <v>1673</v>
      </c>
      <c r="M527" s="15" t="s">
        <v>1673</v>
      </c>
      <c r="N527" s="16" t="s">
        <v>1673</v>
      </c>
      <c r="O527" s="17" t="s">
        <v>1673</v>
      </c>
      <c r="P527" s="16" t="s">
        <v>1673</v>
      </c>
      <c r="Q527" s="17" t="s">
        <v>1673</v>
      </c>
    </row>
    <row r="528" spans="1:17" x14ac:dyDescent="0.25">
      <c r="A528" s="6" t="s">
        <v>5</v>
      </c>
      <c r="B528" s="7">
        <v>14</v>
      </c>
      <c r="C528" s="13">
        <v>103</v>
      </c>
      <c r="D528" s="13">
        <v>4</v>
      </c>
      <c r="E528" s="6" t="s">
        <v>355</v>
      </c>
      <c r="F528" s="13" t="s">
        <v>320</v>
      </c>
      <c r="G528" s="13">
        <v>1</v>
      </c>
      <c r="H528" s="7">
        <v>5</v>
      </c>
      <c r="I528" s="14" t="s">
        <v>318</v>
      </c>
      <c r="J528" s="7">
        <v>1.02</v>
      </c>
      <c r="K528" s="7">
        <v>44.817</v>
      </c>
      <c r="L528" s="6">
        <v>0</v>
      </c>
      <c r="M528" s="15">
        <v>6.6509090909090907E-2</v>
      </c>
      <c r="N528" s="16">
        <v>33.919636363636364</v>
      </c>
      <c r="O528" s="17">
        <v>1490.3689636363638</v>
      </c>
      <c r="P528" s="16">
        <v>33.919636363636364</v>
      </c>
      <c r="Q528" s="17">
        <v>1490.3689636363636</v>
      </c>
    </row>
    <row r="529" spans="1:17" x14ac:dyDescent="0.25">
      <c r="A529" s="6" t="s">
        <v>5</v>
      </c>
      <c r="B529" s="7">
        <v>14</v>
      </c>
      <c r="C529" s="13">
        <v>103</v>
      </c>
      <c r="D529" s="13">
        <v>4</v>
      </c>
      <c r="E529" s="6" t="s">
        <v>355</v>
      </c>
      <c r="F529" s="13" t="s">
        <v>320</v>
      </c>
      <c r="G529" s="13">
        <v>1</v>
      </c>
      <c r="H529" s="7">
        <v>5</v>
      </c>
      <c r="I529" s="14" t="s">
        <v>319</v>
      </c>
      <c r="J529" s="7">
        <v>0.66100000000000003</v>
      </c>
      <c r="K529" s="7">
        <v>50.234999999999999</v>
      </c>
      <c r="L529" s="6">
        <v>0</v>
      </c>
      <c r="M529" s="15">
        <v>1.1636363636363637E-3</v>
      </c>
      <c r="N529" s="16">
        <v>0.38458181818181825</v>
      </c>
      <c r="O529" s="17">
        <v>29.227636363636364</v>
      </c>
      <c r="P529" s="16">
        <v>0.38458181818181819</v>
      </c>
      <c r="Q529" s="17">
        <v>29.227636363636361</v>
      </c>
    </row>
    <row r="530" spans="1:17" x14ac:dyDescent="0.25">
      <c r="A530" s="6" t="s">
        <v>5</v>
      </c>
      <c r="B530" s="7">
        <v>14</v>
      </c>
      <c r="C530" s="13">
        <v>103</v>
      </c>
      <c r="D530" s="13">
        <v>4</v>
      </c>
      <c r="E530" s="6" t="s">
        <v>355</v>
      </c>
      <c r="F530" s="13" t="s">
        <v>321</v>
      </c>
      <c r="G530" s="13">
        <v>2</v>
      </c>
      <c r="H530" s="7">
        <v>5</v>
      </c>
      <c r="I530" s="14" t="s">
        <v>318</v>
      </c>
      <c r="J530" s="7">
        <v>0.95399999999999996</v>
      </c>
      <c r="K530" s="7">
        <v>42.38</v>
      </c>
      <c r="L530" s="6">
        <v>0</v>
      </c>
      <c r="M530" s="15">
        <v>7.3754545454545448E-2</v>
      </c>
      <c r="N530" s="16">
        <v>35.180918181818178</v>
      </c>
      <c r="O530" s="17">
        <v>1562.8588181818182</v>
      </c>
      <c r="P530" s="16">
        <v>35.180918181818178</v>
      </c>
      <c r="Q530" s="17">
        <v>1562.8588181818182</v>
      </c>
    </row>
    <row r="531" spans="1:17" x14ac:dyDescent="0.25">
      <c r="A531" s="6" t="s">
        <v>5</v>
      </c>
      <c r="B531" s="7">
        <v>14</v>
      </c>
      <c r="C531" s="13">
        <v>103</v>
      </c>
      <c r="D531" s="13">
        <v>4</v>
      </c>
      <c r="E531" s="6" t="s">
        <v>355</v>
      </c>
      <c r="F531" s="13" t="s">
        <v>321</v>
      </c>
      <c r="G531" s="13">
        <v>2</v>
      </c>
      <c r="H531" s="7">
        <v>5</v>
      </c>
      <c r="I531" s="14" t="s">
        <v>319</v>
      </c>
      <c r="J531" s="7" t="s">
        <v>1673</v>
      </c>
      <c r="K531" s="7" t="s">
        <v>1673</v>
      </c>
      <c r="L531" s="6" t="s">
        <v>1673</v>
      </c>
      <c r="M531" s="15" t="s">
        <v>1673</v>
      </c>
      <c r="N531" s="16" t="s">
        <v>1673</v>
      </c>
      <c r="O531" s="17" t="s">
        <v>1673</v>
      </c>
      <c r="P531" s="16" t="s">
        <v>1673</v>
      </c>
      <c r="Q531" s="17" t="s">
        <v>1673</v>
      </c>
    </row>
    <row r="532" spans="1:17" x14ac:dyDescent="0.25">
      <c r="A532" s="6" t="s">
        <v>5</v>
      </c>
      <c r="B532" s="7">
        <v>14</v>
      </c>
      <c r="C532" s="13">
        <v>103</v>
      </c>
      <c r="D532" s="13">
        <v>4</v>
      </c>
      <c r="E532" s="6" t="s">
        <v>355</v>
      </c>
      <c r="F532" s="13" t="s">
        <v>322</v>
      </c>
      <c r="G532" s="13">
        <v>3</v>
      </c>
      <c r="H532" s="7">
        <v>5</v>
      </c>
      <c r="I532" s="14" t="s">
        <v>318</v>
      </c>
      <c r="J532" s="7">
        <v>1.409</v>
      </c>
      <c r="K532" s="7">
        <v>42.328000000000003</v>
      </c>
      <c r="L532" s="6">
        <v>0</v>
      </c>
      <c r="M532" s="15">
        <v>0.10696</v>
      </c>
      <c r="N532" s="16">
        <v>75.353319999999997</v>
      </c>
      <c r="O532" s="17">
        <v>2263.7014400000003</v>
      </c>
      <c r="P532" s="16">
        <v>75.353319999999997</v>
      </c>
      <c r="Q532" s="17">
        <v>2263.7014399999998</v>
      </c>
    </row>
    <row r="533" spans="1:17" x14ac:dyDescent="0.25">
      <c r="A533" s="6" t="s">
        <v>5</v>
      </c>
      <c r="B533" s="7">
        <v>14</v>
      </c>
      <c r="C533" s="13">
        <v>103</v>
      </c>
      <c r="D533" s="13">
        <v>4</v>
      </c>
      <c r="E533" s="6" t="s">
        <v>355</v>
      </c>
      <c r="F533" s="13" t="s">
        <v>322</v>
      </c>
      <c r="G533" s="13">
        <v>3</v>
      </c>
      <c r="H533" s="7">
        <v>5</v>
      </c>
      <c r="I533" s="14" t="s">
        <v>319</v>
      </c>
      <c r="J533" s="7" t="s">
        <v>1673</v>
      </c>
      <c r="K533" s="7" t="s">
        <v>1673</v>
      </c>
      <c r="L533" s="6" t="s">
        <v>1673</v>
      </c>
      <c r="M533" s="15" t="s">
        <v>1673</v>
      </c>
      <c r="N533" s="16" t="s">
        <v>1673</v>
      </c>
      <c r="O533" s="17" t="s">
        <v>1673</v>
      </c>
      <c r="P533" s="16" t="s">
        <v>1673</v>
      </c>
      <c r="Q533" s="17" t="s">
        <v>1673</v>
      </c>
    </row>
    <row r="534" spans="1:17" x14ac:dyDescent="0.25">
      <c r="A534" s="6" t="s">
        <v>5</v>
      </c>
      <c r="B534" s="7">
        <v>14</v>
      </c>
      <c r="C534" s="13">
        <v>103</v>
      </c>
      <c r="D534" s="13">
        <v>4</v>
      </c>
      <c r="E534" s="6" t="s">
        <v>355</v>
      </c>
      <c r="F534" s="13" t="s">
        <v>324</v>
      </c>
      <c r="G534" s="18">
        <v>4</v>
      </c>
      <c r="H534" s="7">
        <v>5</v>
      </c>
      <c r="I534" s="14" t="s">
        <v>318</v>
      </c>
      <c r="J534" s="7">
        <v>1.8280000000000001</v>
      </c>
      <c r="K534" s="7">
        <v>41.78</v>
      </c>
      <c r="L534" s="6">
        <v>0</v>
      </c>
      <c r="M534" s="15">
        <v>0.16241111111111112</v>
      </c>
      <c r="N534" s="16">
        <v>148.44375555555555</v>
      </c>
      <c r="O534" s="17">
        <v>3392.768111111111</v>
      </c>
      <c r="P534" s="16">
        <v>148.44375555555555</v>
      </c>
      <c r="Q534" s="17">
        <v>3392.7681111111115</v>
      </c>
    </row>
    <row r="535" spans="1:17" x14ac:dyDescent="0.25">
      <c r="A535" s="6" t="s">
        <v>5</v>
      </c>
      <c r="B535" s="7">
        <v>14</v>
      </c>
      <c r="C535" s="13">
        <v>103</v>
      </c>
      <c r="D535" s="13">
        <v>4</v>
      </c>
      <c r="E535" s="6" t="s">
        <v>355</v>
      </c>
      <c r="F535" s="13" t="s">
        <v>324</v>
      </c>
      <c r="G535" s="18">
        <v>4</v>
      </c>
      <c r="H535" s="7">
        <v>5</v>
      </c>
      <c r="I535" s="14" t="s">
        <v>319</v>
      </c>
      <c r="J535" s="7" t="s">
        <v>1673</v>
      </c>
      <c r="K535" s="7" t="s">
        <v>1673</v>
      </c>
      <c r="L535" s="6" t="s">
        <v>1673</v>
      </c>
      <c r="M535" s="15" t="s">
        <v>1673</v>
      </c>
      <c r="N535" s="16" t="s">
        <v>1673</v>
      </c>
      <c r="O535" s="17" t="s">
        <v>1673</v>
      </c>
      <c r="P535" s="16" t="s">
        <v>1673</v>
      </c>
      <c r="Q535" s="17" t="s">
        <v>1673</v>
      </c>
    </row>
    <row r="536" spans="1:17" x14ac:dyDescent="0.25">
      <c r="A536" s="6" t="s">
        <v>5</v>
      </c>
      <c r="B536" s="7">
        <v>14</v>
      </c>
      <c r="C536" s="13">
        <v>103</v>
      </c>
      <c r="D536" s="13">
        <v>4</v>
      </c>
      <c r="E536" s="6" t="s">
        <v>355</v>
      </c>
      <c r="F536" s="13" t="s">
        <v>325</v>
      </c>
      <c r="G536" s="18">
        <v>5</v>
      </c>
      <c r="H536" s="7">
        <v>0</v>
      </c>
      <c r="I536" s="14" t="s">
        <v>318</v>
      </c>
      <c r="J536" s="7" t="s">
        <v>1673</v>
      </c>
      <c r="K536" s="7" t="s">
        <v>1673</v>
      </c>
      <c r="L536" s="6" t="s">
        <v>1673</v>
      </c>
      <c r="M536" s="15" t="s">
        <v>1673</v>
      </c>
      <c r="N536" s="16" t="s">
        <v>1673</v>
      </c>
      <c r="O536" s="17" t="s">
        <v>1673</v>
      </c>
      <c r="P536" s="16" t="s">
        <v>1673</v>
      </c>
      <c r="Q536" s="17" t="s">
        <v>1673</v>
      </c>
    </row>
    <row r="537" spans="1:17" x14ac:dyDescent="0.25">
      <c r="A537" s="6" t="s">
        <v>5</v>
      </c>
      <c r="B537" s="7">
        <v>14</v>
      </c>
      <c r="C537" s="13">
        <v>103</v>
      </c>
      <c r="D537" s="13">
        <v>4</v>
      </c>
      <c r="E537" s="6" t="s">
        <v>355</v>
      </c>
      <c r="F537" s="13" t="s">
        <v>325</v>
      </c>
      <c r="G537" s="18">
        <v>5</v>
      </c>
      <c r="H537" s="7">
        <v>0</v>
      </c>
      <c r="I537" s="14" t="s">
        <v>319</v>
      </c>
      <c r="J537" s="7" t="s">
        <v>1673</v>
      </c>
      <c r="K537" s="7" t="s">
        <v>1673</v>
      </c>
      <c r="L537" s="6" t="s">
        <v>1673</v>
      </c>
      <c r="M537" s="15" t="s">
        <v>1673</v>
      </c>
      <c r="N537" s="16" t="s">
        <v>1673</v>
      </c>
      <c r="O537" s="17" t="s">
        <v>1673</v>
      </c>
      <c r="P537" s="16" t="s">
        <v>1673</v>
      </c>
      <c r="Q537" s="17" t="s">
        <v>1673</v>
      </c>
    </row>
    <row r="538" spans="1:17" x14ac:dyDescent="0.25">
      <c r="A538" s="6" t="s">
        <v>5</v>
      </c>
      <c r="B538" s="7">
        <v>14</v>
      </c>
      <c r="C538" s="13">
        <v>103</v>
      </c>
      <c r="D538" s="13">
        <v>5</v>
      </c>
      <c r="E538" s="6" t="s">
        <v>316</v>
      </c>
      <c r="F538" s="13" t="s">
        <v>317</v>
      </c>
      <c r="G538" s="13">
        <v>0</v>
      </c>
      <c r="H538" s="7">
        <v>0</v>
      </c>
      <c r="I538" s="14" t="s">
        <v>318</v>
      </c>
      <c r="J538" s="7" t="s">
        <v>1673</v>
      </c>
      <c r="K538" s="7" t="s">
        <v>1673</v>
      </c>
      <c r="L538" s="6" t="s">
        <v>1673</v>
      </c>
      <c r="M538" s="15" t="s">
        <v>1673</v>
      </c>
      <c r="N538" s="16" t="s">
        <v>1673</v>
      </c>
      <c r="O538" s="17" t="s">
        <v>1673</v>
      </c>
      <c r="P538" s="16" t="s">
        <v>1673</v>
      </c>
      <c r="Q538" s="17" t="s">
        <v>1673</v>
      </c>
    </row>
    <row r="539" spans="1:17" x14ac:dyDescent="0.25">
      <c r="A539" s="6" t="s">
        <v>5</v>
      </c>
      <c r="B539" s="7">
        <v>14</v>
      </c>
      <c r="C539" s="13">
        <v>103</v>
      </c>
      <c r="D539" s="13">
        <v>5</v>
      </c>
      <c r="E539" s="6" t="s">
        <v>316</v>
      </c>
      <c r="F539" s="13" t="s">
        <v>317</v>
      </c>
      <c r="G539" s="13">
        <v>0</v>
      </c>
      <c r="H539" s="7">
        <v>0</v>
      </c>
      <c r="I539" s="14" t="s">
        <v>319</v>
      </c>
      <c r="J539" s="7" t="s">
        <v>1673</v>
      </c>
      <c r="K539" s="7" t="s">
        <v>1673</v>
      </c>
      <c r="L539" s="6" t="s">
        <v>1673</v>
      </c>
      <c r="M539" s="15" t="s">
        <v>1673</v>
      </c>
      <c r="N539" s="16" t="s">
        <v>1673</v>
      </c>
      <c r="O539" s="17" t="s">
        <v>1673</v>
      </c>
      <c r="P539" s="16" t="s">
        <v>1673</v>
      </c>
      <c r="Q539" s="17" t="s">
        <v>1673</v>
      </c>
    </row>
    <row r="540" spans="1:17" x14ac:dyDescent="0.25">
      <c r="A540" s="6" t="s">
        <v>5</v>
      </c>
      <c r="B540" s="7">
        <v>14</v>
      </c>
      <c r="C540" s="13">
        <v>103</v>
      </c>
      <c r="D540" s="13">
        <v>5</v>
      </c>
      <c r="E540" s="6" t="s">
        <v>355</v>
      </c>
      <c r="F540" s="13" t="s">
        <v>320</v>
      </c>
      <c r="G540" s="13">
        <v>1</v>
      </c>
      <c r="H540" s="7">
        <v>5</v>
      </c>
      <c r="I540" s="14" t="s">
        <v>318</v>
      </c>
      <c r="J540" s="7">
        <v>0.85499999999999998</v>
      </c>
      <c r="K540" s="7">
        <v>45.698</v>
      </c>
      <c r="L540" s="6">
        <v>0</v>
      </c>
      <c r="M540" s="15">
        <v>6.4442857142857149E-2</v>
      </c>
      <c r="N540" s="16">
        <v>27.549321428571432</v>
      </c>
      <c r="O540" s="17">
        <v>1472.4548428571429</v>
      </c>
      <c r="P540" s="16">
        <v>27.549321428571432</v>
      </c>
      <c r="Q540" s="17">
        <v>1472.4548428571429</v>
      </c>
    </row>
    <row r="541" spans="1:17" x14ac:dyDescent="0.25">
      <c r="A541" s="6" t="s">
        <v>5</v>
      </c>
      <c r="B541" s="7">
        <v>14</v>
      </c>
      <c r="C541" s="13">
        <v>103</v>
      </c>
      <c r="D541" s="13">
        <v>5</v>
      </c>
      <c r="E541" s="6" t="s">
        <v>355</v>
      </c>
      <c r="F541" s="13" t="s">
        <v>320</v>
      </c>
      <c r="G541" s="13">
        <v>1</v>
      </c>
      <c r="H541" s="7">
        <v>5</v>
      </c>
      <c r="I541" s="14" t="s">
        <v>319</v>
      </c>
      <c r="J541" s="7" t="s">
        <v>1673</v>
      </c>
      <c r="K541" s="7" t="s">
        <v>1673</v>
      </c>
      <c r="L541" s="6" t="s">
        <v>1673</v>
      </c>
      <c r="M541" s="15" t="s">
        <v>1673</v>
      </c>
      <c r="N541" s="16" t="s">
        <v>1673</v>
      </c>
      <c r="O541" s="17" t="s">
        <v>1673</v>
      </c>
      <c r="P541" s="16" t="s">
        <v>1673</v>
      </c>
      <c r="Q541" s="17" t="s">
        <v>1673</v>
      </c>
    </row>
    <row r="542" spans="1:17" x14ac:dyDescent="0.25">
      <c r="A542" s="6" t="s">
        <v>5</v>
      </c>
      <c r="B542" s="7">
        <v>14</v>
      </c>
      <c r="C542" s="13">
        <v>103</v>
      </c>
      <c r="D542" s="13">
        <v>5</v>
      </c>
      <c r="E542" s="6" t="s">
        <v>355</v>
      </c>
      <c r="F542" s="13" t="s">
        <v>321</v>
      </c>
      <c r="G542" s="13">
        <v>2</v>
      </c>
      <c r="H542" s="7">
        <v>5</v>
      </c>
      <c r="I542" s="14" t="s">
        <v>318</v>
      </c>
      <c r="J542" s="7">
        <v>1.002</v>
      </c>
      <c r="K542" s="7">
        <v>43.694000000000003</v>
      </c>
      <c r="L542" s="6">
        <v>0</v>
      </c>
      <c r="M542" s="15">
        <v>7.7130000000000004E-2</v>
      </c>
      <c r="N542" s="16">
        <v>38.642130000000002</v>
      </c>
      <c r="O542" s="17">
        <v>1685.0591100000004</v>
      </c>
      <c r="P542" s="16">
        <v>38.642130000000002</v>
      </c>
      <c r="Q542" s="17">
        <v>1685.0591100000004</v>
      </c>
    </row>
    <row r="543" spans="1:17" x14ac:dyDescent="0.25">
      <c r="A543" s="6" t="s">
        <v>5</v>
      </c>
      <c r="B543" s="7">
        <v>14</v>
      </c>
      <c r="C543" s="13">
        <v>103</v>
      </c>
      <c r="D543" s="13">
        <v>5</v>
      </c>
      <c r="E543" s="6" t="s">
        <v>355</v>
      </c>
      <c r="F543" s="13" t="s">
        <v>321</v>
      </c>
      <c r="G543" s="13">
        <v>2</v>
      </c>
      <c r="H543" s="7">
        <v>5</v>
      </c>
      <c r="I543" s="14" t="s">
        <v>319</v>
      </c>
      <c r="J543" s="7" t="s">
        <v>1673</v>
      </c>
      <c r="K543" s="7" t="s">
        <v>1673</v>
      </c>
      <c r="L543" s="6" t="s">
        <v>1673</v>
      </c>
      <c r="M543" s="15" t="s">
        <v>1673</v>
      </c>
      <c r="N543" s="16" t="s">
        <v>1673</v>
      </c>
      <c r="O543" s="17" t="s">
        <v>1673</v>
      </c>
      <c r="P543" s="16" t="s">
        <v>1673</v>
      </c>
      <c r="Q543" s="17" t="s">
        <v>1673</v>
      </c>
    </row>
    <row r="544" spans="1:17" x14ac:dyDescent="0.25">
      <c r="A544" s="6" t="s">
        <v>5</v>
      </c>
      <c r="B544" s="7">
        <v>14</v>
      </c>
      <c r="C544" s="13">
        <v>103</v>
      </c>
      <c r="D544" s="13">
        <v>5</v>
      </c>
      <c r="E544" s="6" t="s">
        <v>355</v>
      </c>
      <c r="F544" s="13" t="s">
        <v>322</v>
      </c>
      <c r="G544" s="13">
        <v>3</v>
      </c>
      <c r="H544" s="7">
        <v>5</v>
      </c>
      <c r="I544" s="14" t="s">
        <v>318</v>
      </c>
      <c r="J544" s="7">
        <v>1.56</v>
      </c>
      <c r="K544" s="7">
        <v>42.491999999999997</v>
      </c>
      <c r="L544" s="6">
        <v>0</v>
      </c>
      <c r="M544" s="15">
        <v>0.10471818181818182</v>
      </c>
      <c r="N544" s="16">
        <v>81.680181818181822</v>
      </c>
      <c r="O544" s="17">
        <v>2224.8424909090909</v>
      </c>
      <c r="P544" s="16">
        <v>81.680181818181822</v>
      </c>
      <c r="Q544" s="17">
        <v>2224.8424909090909</v>
      </c>
    </row>
    <row r="545" spans="1:17" x14ac:dyDescent="0.25">
      <c r="A545" s="6" t="s">
        <v>5</v>
      </c>
      <c r="B545" s="7">
        <v>14</v>
      </c>
      <c r="C545" s="13">
        <v>103</v>
      </c>
      <c r="D545" s="13">
        <v>5</v>
      </c>
      <c r="E545" s="6" t="s">
        <v>355</v>
      </c>
      <c r="F545" s="13" t="s">
        <v>322</v>
      </c>
      <c r="G545" s="13">
        <v>3</v>
      </c>
      <c r="H545" s="7">
        <v>5</v>
      </c>
      <c r="I545" s="14" t="s">
        <v>319</v>
      </c>
      <c r="J545" s="7">
        <v>1.004</v>
      </c>
      <c r="K545" s="7">
        <v>50.018999999999998</v>
      </c>
      <c r="L545" s="6">
        <v>0</v>
      </c>
      <c r="M545" s="15">
        <v>1.4545454545454547E-3</v>
      </c>
      <c r="N545" s="16">
        <v>0.73018181818181827</v>
      </c>
      <c r="O545" s="17">
        <v>36.377454545454547</v>
      </c>
      <c r="P545" s="16">
        <v>0.73018181818181838</v>
      </c>
      <c r="Q545" s="17">
        <v>36.377454545454547</v>
      </c>
    </row>
    <row r="546" spans="1:17" x14ac:dyDescent="0.25">
      <c r="A546" s="6" t="s">
        <v>5</v>
      </c>
      <c r="B546" s="7">
        <v>14</v>
      </c>
      <c r="C546" s="13">
        <v>103</v>
      </c>
      <c r="D546" s="13">
        <v>5</v>
      </c>
      <c r="E546" s="6" t="s">
        <v>355</v>
      </c>
      <c r="F546" s="13" t="s">
        <v>324</v>
      </c>
      <c r="G546" s="18">
        <v>4</v>
      </c>
      <c r="H546" s="7">
        <v>5</v>
      </c>
      <c r="I546" s="14" t="s">
        <v>318</v>
      </c>
      <c r="J546" s="7">
        <v>2.569</v>
      </c>
      <c r="K546" s="7">
        <v>43.526000000000003</v>
      </c>
      <c r="L546" s="6">
        <v>0</v>
      </c>
      <c r="M546" s="15">
        <v>0.1771047619047619</v>
      </c>
      <c r="N546" s="16">
        <v>227.49106666666668</v>
      </c>
      <c r="O546" s="17">
        <v>3854.3309333333336</v>
      </c>
      <c r="P546" s="16">
        <v>227.49106666666668</v>
      </c>
      <c r="Q546" s="17">
        <v>3854.3309333333336</v>
      </c>
    </row>
    <row r="547" spans="1:17" x14ac:dyDescent="0.25">
      <c r="A547" s="6" t="s">
        <v>5</v>
      </c>
      <c r="B547" s="7">
        <v>14</v>
      </c>
      <c r="C547" s="13">
        <v>103</v>
      </c>
      <c r="D547" s="13">
        <v>5</v>
      </c>
      <c r="E547" s="6" t="s">
        <v>355</v>
      </c>
      <c r="F547" s="13" t="s">
        <v>324</v>
      </c>
      <c r="G547" s="18">
        <v>4</v>
      </c>
      <c r="H547" s="7">
        <v>5</v>
      </c>
      <c r="I547" s="14" t="s">
        <v>319</v>
      </c>
      <c r="J547" s="7" t="s">
        <v>1673</v>
      </c>
      <c r="K547" s="7" t="s">
        <v>1673</v>
      </c>
      <c r="L547" s="6" t="s">
        <v>1673</v>
      </c>
      <c r="M547" s="15" t="s">
        <v>1673</v>
      </c>
      <c r="N547" s="16" t="s">
        <v>1673</v>
      </c>
      <c r="O547" s="17" t="s">
        <v>1673</v>
      </c>
      <c r="P547" s="16" t="s">
        <v>1673</v>
      </c>
      <c r="Q547" s="17" t="s">
        <v>1673</v>
      </c>
    </row>
    <row r="548" spans="1:17" x14ac:dyDescent="0.25">
      <c r="A548" s="6" t="s">
        <v>5</v>
      </c>
      <c r="B548" s="7">
        <v>14</v>
      </c>
      <c r="C548" s="13">
        <v>103</v>
      </c>
      <c r="D548" s="13">
        <v>5</v>
      </c>
      <c r="E548" s="6" t="s">
        <v>355</v>
      </c>
      <c r="F548" s="13" t="s">
        <v>325</v>
      </c>
      <c r="G548" s="18">
        <v>5</v>
      </c>
      <c r="H548" s="7">
        <v>3</v>
      </c>
      <c r="I548" s="14" t="s">
        <v>318</v>
      </c>
      <c r="J548" s="7">
        <v>2.4809999999999999</v>
      </c>
      <c r="K548" s="7">
        <v>41.856999999999999</v>
      </c>
      <c r="L548" s="6">
        <v>0</v>
      </c>
      <c r="M548" s="15">
        <v>0.31770000000000004</v>
      </c>
      <c r="N548" s="16">
        <v>236.46411000000003</v>
      </c>
      <c r="O548" s="17">
        <v>3989.3906700000007</v>
      </c>
      <c r="P548" s="16">
        <v>394.10685000000001</v>
      </c>
      <c r="Q548" s="17">
        <v>6648.9844500000008</v>
      </c>
    </row>
    <row r="549" spans="1:17" x14ac:dyDescent="0.25">
      <c r="A549" s="6" t="s">
        <v>5</v>
      </c>
      <c r="B549" s="7">
        <v>14</v>
      </c>
      <c r="C549" s="13">
        <v>103</v>
      </c>
      <c r="D549" s="13">
        <v>5</v>
      </c>
      <c r="E549" s="6" t="s">
        <v>355</v>
      </c>
      <c r="F549" s="13" t="s">
        <v>325</v>
      </c>
      <c r="G549" s="18">
        <v>5</v>
      </c>
      <c r="H549" s="7">
        <v>3</v>
      </c>
      <c r="I549" s="14" t="s">
        <v>319</v>
      </c>
      <c r="J549" s="7" t="s">
        <v>1673</v>
      </c>
      <c r="K549" s="7" t="s">
        <v>1673</v>
      </c>
      <c r="L549" s="6" t="s">
        <v>1673</v>
      </c>
      <c r="M549" s="15" t="s">
        <v>1673</v>
      </c>
      <c r="N549" s="16" t="s">
        <v>1673</v>
      </c>
      <c r="O549" s="17" t="s">
        <v>1673</v>
      </c>
      <c r="P549" s="16" t="s">
        <v>1673</v>
      </c>
      <c r="Q549" s="17" t="s">
        <v>1673</v>
      </c>
    </row>
    <row r="550" spans="1:17" x14ac:dyDescent="0.25">
      <c r="A550" s="6" t="s">
        <v>5</v>
      </c>
      <c r="B550" s="7">
        <v>15</v>
      </c>
      <c r="C550" s="13">
        <v>104</v>
      </c>
      <c r="D550" s="13">
        <v>1</v>
      </c>
      <c r="E550" s="6" t="s">
        <v>355</v>
      </c>
      <c r="F550" s="13" t="s">
        <v>327</v>
      </c>
      <c r="G550" s="19">
        <v>7</v>
      </c>
      <c r="H550" s="7">
        <v>0</v>
      </c>
      <c r="I550" s="13" t="s">
        <v>349</v>
      </c>
      <c r="J550" s="7" t="s">
        <v>1673</v>
      </c>
      <c r="K550" s="7" t="s">
        <v>1673</v>
      </c>
      <c r="L550" s="6" t="s">
        <v>1673</v>
      </c>
      <c r="M550" s="15" t="s">
        <v>1673</v>
      </c>
      <c r="N550" s="16" t="s">
        <v>1673</v>
      </c>
      <c r="O550" s="17" t="s">
        <v>1673</v>
      </c>
      <c r="P550" s="16" t="s">
        <v>1673</v>
      </c>
      <c r="Q550" s="17" t="s">
        <v>1673</v>
      </c>
    </row>
    <row r="551" spans="1:17" x14ac:dyDescent="0.25">
      <c r="A551" s="6" t="s">
        <v>5</v>
      </c>
      <c r="B551" s="7">
        <v>15</v>
      </c>
      <c r="C551" s="13">
        <v>104</v>
      </c>
      <c r="D551" s="13">
        <v>1</v>
      </c>
      <c r="E551" s="6" t="s">
        <v>316</v>
      </c>
      <c r="F551" s="13" t="s">
        <v>317</v>
      </c>
      <c r="G551" s="13">
        <v>0</v>
      </c>
      <c r="H551" s="7">
        <v>0</v>
      </c>
      <c r="I551" s="14" t="s">
        <v>318</v>
      </c>
      <c r="J551" s="7" t="s">
        <v>1673</v>
      </c>
      <c r="K551" s="7" t="s">
        <v>1673</v>
      </c>
      <c r="L551" s="6" t="s">
        <v>1673</v>
      </c>
      <c r="M551" s="15" t="s">
        <v>1673</v>
      </c>
      <c r="N551" s="16" t="s">
        <v>1673</v>
      </c>
      <c r="O551" s="17" t="s">
        <v>1673</v>
      </c>
      <c r="P551" s="16" t="s">
        <v>1673</v>
      </c>
      <c r="Q551" s="17" t="s">
        <v>1673</v>
      </c>
    </row>
    <row r="552" spans="1:17" x14ac:dyDescent="0.25">
      <c r="A552" s="6" t="s">
        <v>5</v>
      </c>
      <c r="B552" s="7">
        <v>15</v>
      </c>
      <c r="C552" s="13">
        <v>104</v>
      </c>
      <c r="D552" s="13">
        <v>1</v>
      </c>
      <c r="E552" s="6" t="s">
        <v>316</v>
      </c>
      <c r="F552" s="13" t="s">
        <v>317</v>
      </c>
      <c r="G552" s="13">
        <v>0</v>
      </c>
      <c r="H552" s="7">
        <v>0</v>
      </c>
      <c r="I552" s="14" t="s">
        <v>319</v>
      </c>
      <c r="J552" s="7" t="s">
        <v>1673</v>
      </c>
      <c r="K552" s="7" t="s">
        <v>1673</v>
      </c>
      <c r="L552" s="6" t="s">
        <v>1673</v>
      </c>
      <c r="M552" s="15" t="s">
        <v>1673</v>
      </c>
      <c r="N552" s="16" t="s">
        <v>1673</v>
      </c>
      <c r="O552" s="17" t="s">
        <v>1673</v>
      </c>
      <c r="P552" s="16" t="s">
        <v>1673</v>
      </c>
      <c r="Q552" s="17" t="s">
        <v>1673</v>
      </c>
    </row>
    <row r="553" spans="1:17" x14ac:dyDescent="0.25">
      <c r="A553" s="6" t="s">
        <v>5</v>
      </c>
      <c r="B553" s="7">
        <v>15</v>
      </c>
      <c r="C553" s="13">
        <v>104</v>
      </c>
      <c r="D553" s="13">
        <v>1</v>
      </c>
      <c r="E553" s="6" t="s">
        <v>355</v>
      </c>
      <c r="F553" s="13" t="s">
        <v>320</v>
      </c>
      <c r="G553" s="13">
        <v>1</v>
      </c>
      <c r="H553" s="7">
        <v>5</v>
      </c>
      <c r="I553" s="14" t="s">
        <v>318</v>
      </c>
      <c r="J553" s="7">
        <v>1.1259999999999999</v>
      </c>
      <c r="K553" s="7">
        <v>45.819000000000003</v>
      </c>
      <c r="L553" s="6">
        <v>0</v>
      </c>
      <c r="M553" s="15">
        <v>4.1709401709401704E-2</v>
      </c>
      <c r="N553" s="16">
        <v>23.482393162393155</v>
      </c>
      <c r="O553" s="17">
        <v>955.54153846153838</v>
      </c>
      <c r="P553" s="16">
        <v>23.482393162393159</v>
      </c>
      <c r="Q553" s="17">
        <v>955.54153846153827</v>
      </c>
    </row>
    <row r="554" spans="1:17" x14ac:dyDescent="0.25">
      <c r="A554" s="6" t="s">
        <v>5</v>
      </c>
      <c r="B554" s="7">
        <v>15</v>
      </c>
      <c r="C554" s="13">
        <v>104</v>
      </c>
      <c r="D554" s="13">
        <v>1</v>
      </c>
      <c r="E554" s="6" t="s">
        <v>355</v>
      </c>
      <c r="F554" s="13" t="s">
        <v>320</v>
      </c>
      <c r="G554" s="13">
        <v>1</v>
      </c>
      <c r="H554" s="7">
        <v>5</v>
      </c>
      <c r="I554" s="14" t="s">
        <v>319</v>
      </c>
      <c r="J554" s="7" t="s">
        <v>1673</v>
      </c>
      <c r="K554" s="7" t="s">
        <v>1673</v>
      </c>
      <c r="L554" s="6" t="s">
        <v>1673</v>
      </c>
      <c r="M554" s="15" t="s">
        <v>1673</v>
      </c>
      <c r="N554" s="16" t="s">
        <v>1673</v>
      </c>
      <c r="O554" s="17" t="s">
        <v>1673</v>
      </c>
      <c r="P554" s="16" t="s">
        <v>1673</v>
      </c>
      <c r="Q554" s="17" t="s">
        <v>1673</v>
      </c>
    </row>
    <row r="555" spans="1:17" x14ac:dyDescent="0.25">
      <c r="A555" s="6" t="s">
        <v>5</v>
      </c>
      <c r="B555" s="7">
        <v>15</v>
      </c>
      <c r="C555" s="13">
        <v>104</v>
      </c>
      <c r="D555" s="13">
        <v>1</v>
      </c>
      <c r="E555" s="6" t="s">
        <v>355</v>
      </c>
      <c r="F555" s="13" t="s">
        <v>321</v>
      </c>
      <c r="G555" s="13">
        <v>2</v>
      </c>
      <c r="H555" s="7">
        <v>5</v>
      </c>
      <c r="I555" s="14" t="s">
        <v>318</v>
      </c>
      <c r="J555" s="7">
        <v>1.0609999999999999</v>
      </c>
      <c r="K555" s="7">
        <v>45.063000000000002</v>
      </c>
      <c r="L555" s="6">
        <v>0</v>
      </c>
      <c r="M555" s="15">
        <v>5.7454545454545453E-2</v>
      </c>
      <c r="N555" s="16">
        <v>30.479636363636359</v>
      </c>
      <c r="O555" s="17">
        <v>1294.5370909090909</v>
      </c>
      <c r="P555" s="16">
        <v>30.479636363636356</v>
      </c>
      <c r="Q555" s="17">
        <v>1294.5370909090909</v>
      </c>
    </row>
    <row r="556" spans="1:17" x14ac:dyDescent="0.25">
      <c r="A556" s="6" t="s">
        <v>5</v>
      </c>
      <c r="B556" s="7">
        <v>15</v>
      </c>
      <c r="C556" s="13">
        <v>104</v>
      </c>
      <c r="D556" s="13">
        <v>1</v>
      </c>
      <c r="E556" s="6" t="s">
        <v>355</v>
      </c>
      <c r="F556" s="13" t="s">
        <v>321</v>
      </c>
      <c r="G556" s="13">
        <v>2</v>
      </c>
      <c r="H556" s="7">
        <v>5</v>
      </c>
      <c r="I556" s="14" t="s">
        <v>319</v>
      </c>
      <c r="J556" s="7">
        <v>0.61399999999999999</v>
      </c>
      <c r="K556" s="7">
        <v>42.75</v>
      </c>
      <c r="L556" s="6">
        <v>0</v>
      </c>
      <c r="M556" s="15">
        <v>1.9393939393939396E-3</v>
      </c>
      <c r="N556" s="16">
        <v>0.59539393939393936</v>
      </c>
      <c r="O556" s="17">
        <v>41.454545454545453</v>
      </c>
      <c r="P556" s="16">
        <v>0.59539393939393936</v>
      </c>
      <c r="Q556" s="17">
        <v>41.45454545454546</v>
      </c>
    </row>
    <row r="557" spans="1:17" x14ac:dyDescent="0.25">
      <c r="A557" s="6" t="s">
        <v>5</v>
      </c>
      <c r="B557" s="7">
        <v>15</v>
      </c>
      <c r="C557" s="13">
        <v>104</v>
      </c>
      <c r="D557" s="13">
        <v>1</v>
      </c>
      <c r="E557" s="6" t="s">
        <v>355</v>
      </c>
      <c r="F557" s="13" t="s">
        <v>322</v>
      </c>
      <c r="G557" s="13">
        <v>3</v>
      </c>
      <c r="H557" s="7">
        <v>5</v>
      </c>
      <c r="I557" s="14" t="s">
        <v>318</v>
      </c>
      <c r="J557" s="7">
        <v>1.1359999999999999</v>
      </c>
      <c r="K557" s="7">
        <v>41.665999999999997</v>
      </c>
      <c r="L557" s="6">
        <v>0</v>
      </c>
      <c r="M557" s="15">
        <v>9.7866666666666671E-2</v>
      </c>
      <c r="N557" s="16">
        <v>55.588266666666669</v>
      </c>
      <c r="O557" s="17">
        <v>2038.8562666666669</v>
      </c>
      <c r="P557" s="16">
        <v>55.588266666666655</v>
      </c>
      <c r="Q557" s="17">
        <v>2038.8562666666669</v>
      </c>
    </row>
    <row r="558" spans="1:17" x14ac:dyDescent="0.25">
      <c r="A558" s="6" t="s">
        <v>5</v>
      </c>
      <c r="B558" s="7">
        <v>15</v>
      </c>
      <c r="C558" s="13">
        <v>104</v>
      </c>
      <c r="D558" s="13">
        <v>1</v>
      </c>
      <c r="E558" s="6" t="s">
        <v>355</v>
      </c>
      <c r="F558" s="13" t="s">
        <v>322</v>
      </c>
      <c r="G558" s="13">
        <v>3</v>
      </c>
      <c r="H558" s="7">
        <v>5</v>
      </c>
      <c r="I558" s="14" t="s">
        <v>319</v>
      </c>
      <c r="J558" s="7">
        <v>0.90400000000000003</v>
      </c>
      <c r="K558" s="7">
        <v>49.091000000000001</v>
      </c>
      <c r="L558" s="6">
        <v>0</v>
      </c>
      <c r="M558" s="15">
        <v>7.3333333333333334E-4</v>
      </c>
      <c r="N558" s="16">
        <v>0.33146666666666663</v>
      </c>
      <c r="O558" s="17">
        <v>18.000033333333331</v>
      </c>
      <c r="P558" s="16">
        <v>0.33146666666666663</v>
      </c>
      <c r="Q558" s="17">
        <v>18.000033333333334</v>
      </c>
    </row>
    <row r="559" spans="1:17" x14ac:dyDescent="0.25">
      <c r="A559" s="6" t="s">
        <v>5</v>
      </c>
      <c r="B559" s="7">
        <v>15</v>
      </c>
      <c r="C559" s="13">
        <v>104</v>
      </c>
      <c r="D559" s="13">
        <v>1</v>
      </c>
      <c r="E559" s="6" t="s">
        <v>355</v>
      </c>
      <c r="F559" s="13" t="s">
        <v>324</v>
      </c>
      <c r="G559" s="18">
        <v>4</v>
      </c>
      <c r="H559" s="7">
        <v>5</v>
      </c>
      <c r="I559" s="14" t="s">
        <v>318</v>
      </c>
      <c r="J559" s="7">
        <v>1.5880000000000001</v>
      </c>
      <c r="K559" s="7">
        <v>38.892000000000003</v>
      </c>
      <c r="L559" s="6">
        <v>0</v>
      </c>
      <c r="M559" s="15">
        <v>0.11333333333333334</v>
      </c>
      <c r="N559" s="16">
        <v>89.986666666666693</v>
      </c>
      <c r="O559" s="17">
        <v>2203.8800000000006</v>
      </c>
      <c r="P559" s="16">
        <v>89.986666666666665</v>
      </c>
      <c r="Q559" s="17">
        <v>2203.8800000000006</v>
      </c>
    </row>
    <row r="560" spans="1:17" x14ac:dyDescent="0.25">
      <c r="A560" s="6" t="s">
        <v>5</v>
      </c>
      <c r="B560" s="7">
        <v>15</v>
      </c>
      <c r="C560" s="13">
        <v>104</v>
      </c>
      <c r="D560" s="13">
        <v>1</v>
      </c>
      <c r="E560" s="6" t="s">
        <v>355</v>
      </c>
      <c r="F560" s="13" t="s">
        <v>324</v>
      </c>
      <c r="G560" s="18">
        <v>4</v>
      </c>
      <c r="H560" s="7">
        <v>5</v>
      </c>
      <c r="I560" s="14" t="s">
        <v>319</v>
      </c>
      <c r="J560" s="7">
        <v>0.78500000000000003</v>
      </c>
      <c r="K560" s="7">
        <v>52.148000000000003</v>
      </c>
      <c r="L560" s="6">
        <v>0</v>
      </c>
      <c r="M560" s="15">
        <v>1.2962962962962963E-3</v>
      </c>
      <c r="N560" s="16">
        <v>0.5087962962962963</v>
      </c>
      <c r="O560" s="17">
        <v>33.799629629629628</v>
      </c>
      <c r="P560" s="16">
        <v>0.5087962962962963</v>
      </c>
      <c r="Q560" s="17">
        <v>33.799629629629628</v>
      </c>
    </row>
    <row r="561" spans="1:17" x14ac:dyDescent="0.25">
      <c r="A561" s="6" t="s">
        <v>5</v>
      </c>
      <c r="B561" s="7">
        <v>15</v>
      </c>
      <c r="C561" s="13">
        <v>104</v>
      </c>
      <c r="D561" s="13">
        <v>1</v>
      </c>
      <c r="E561" s="6" t="s">
        <v>355</v>
      </c>
      <c r="F561" s="13" t="s">
        <v>325</v>
      </c>
      <c r="G561" s="18">
        <v>5</v>
      </c>
      <c r="H561" s="7">
        <v>5</v>
      </c>
      <c r="I561" s="14" t="s">
        <v>318</v>
      </c>
      <c r="J561" s="7">
        <v>1.93</v>
      </c>
      <c r="K561" s="7">
        <v>45.457999999999998</v>
      </c>
      <c r="L561" s="6">
        <v>0</v>
      </c>
      <c r="M561" s="15">
        <v>0.1393006993006993</v>
      </c>
      <c r="N561" s="16">
        <v>134.42517482517482</v>
      </c>
      <c r="O561" s="17">
        <v>3166.1655944055942</v>
      </c>
      <c r="P561" s="16">
        <v>134.42517482517482</v>
      </c>
      <c r="Q561" s="17">
        <v>3166.1655944055942</v>
      </c>
    </row>
    <row r="562" spans="1:17" x14ac:dyDescent="0.25">
      <c r="A562" s="6" t="s">
        <v>5</v>
      </c>
      <c r="B562" s="7">
        <v>15</v>
      </c>
      <c r="C562" s="13">
        <v>104</v>
      </c>
      <c r="D562" s="13">
        <v>1</v>
      </c>
      <c r="E562" s="6" t="s">
        <v>355</v>
      </c>
      <c r="F562" s="13" t="s">
        <v>325</v>
      </c>
      <c r="G562" s="18">
        <v>5</v>
      </c>
      <c r="H562" s="7">
        <v>5</v>
      </c>
      <c r="I562" s="14" t="s">
        <v>319</v>
      </c>
      <c r="J562" s="7" t="s">
        <v>1673</v>
      </c>
      <c r="K562" s="7" t="s">
        <v>1673</v>
      </c>
      <c r="L562" s="6" t="s">
        <v>1673</v>
      </c>
      <c r="M562" s="15" t="s">
        <v>1673</v>
      </c>
      <c r="N562" s="16" t="s">
        <v>1673</v>
      </c>
      <c r="O562" s="17" t="s">
        <v>1673</v>
      </c>
      <c r="P562" s="16" t="s">
        <v>1673</v>
      </c>
      <c r="Q562" s="17" t="s">
        <v>1673</v>
      </c>
    </row>
    <row r="563" spans="1:17" x14ac:dyDescent="0.25">
      <c r="A563" s="6" t="s">
        <v>5</v>
      </c>
      <c r="B563" s="7">
        <v>15</v>
      </c>
      <c r="C563" s="13">
        <v>104</v>
      </c>
      <c r="D563" s="13">
        <v>1</v>
      </c>
      <c r="E563" s="6" t="s">
        <v>355</v>
      </c>
      <c r="F563" s="13" t="s">
        <v>326</v>
      </c>
      <c r="G563" s="18">
        <v>6</v>
      </c>
      <c r="H563" s="7">
        <v>4.5</v>
      </c>
      <c r="I563" s="14" t="s">
        <v>318</v>
      </c>
      <c r="J563" s="7">
        <v>1.8720000000000001</v>
      </c>
      <c r="K563" s="7">
        <v>40.216000000000001</v>
      </c>
      <c r="L563" s="6">
        <v>0</v>
      </c>
      <c r="M563" s="15">
        <v>0.13202020202020201</v>
      </c>
      <c r="N563" s="16">
        <v>111.21381818181817</v>
      </c>
      <c r="O563" s="17">
        <v>2389.1959999999999</v>
      </c>
      <c r="P563" s="16">
        <v>123.5709090909091</v>
      </c>
      <c r="Q563" s="17">
        <v>2654.6622222222222</v>
      </c>
    </row>
    <row r="564" spans="1:17" x14ac:dyDescent="0.25">
      <c r="A564" s="6" t="s">
        <v>5</v>
      </c>
      <c r="B564" s="7">
        <v>15</v>
      </c>
      <c r="C564" s="13">
        <v>104</v>
      </c>
      <c r="D564" s="13">
        <v>1</v>
      </c>
      <c r="E564" s="6" t="s">
        <v>355</v>
      </c>
      <c r="F564" s="13" t="s">
        <v>326</v>
      </c>
      <c r="G564" s="18">
        <v>6</v>
      </c>
      <c r="H564" s="7">
        <v>4.5</v>
      </c>
      <c r="I564" s="14" t="s">
        <v>319</v>
      </c>
      <c r="J564" s="7" t="s">
        <v>1673</v>
      </c>
      <c r="K564" s="7" t="s">
        <v>1673</v>
      </c>
      <c r="L564" s="6" t="s">
        <v>1673</v>
      </c>
      <c r="M564" s="15" t="s">
        <v>1673</v>
      </c>
      <c r="N564" s="16" t="s">
        <v>1673</v>
      </c>
      <c r="O564" s="17" t="s">
        <v>1673</v>
      </c>
      <c r="P564" s="16" t="s">
        <v>1673</v>
      </c>
      <c r="Q564" s="17" t="s">
        <v>1673</v>
      </c>
    </row>
    <row r="565" spans="1:17" x14ac:dyDescent="0.25">
      <c r="A565" s="6" t="s">
        <v>5</v>
      </c>
      <c r="B565" s="7">
        <v>15</v>
      </c>
      <c r="C565" s="13">
        <v>104</v>
      </c>
      <c r="D565" s="13">
        <v>1</v>
      </c>
      <c r="E565" s="6" t="s">
        <v>355</v>
      </c>
      <c r="F565" s="13" t="s">
        <v>327</v>
      </c>
      <c r="G565" s="19">
        <v>7</v>
      </c>
      <c r="H565" s="7">
        <v>0</v>
      </c>
      <c r="I565" s="14" t="s">
        <v>318</v>
      </c>
      <c r="J565" s="7" t="s">
        <v>1673</v>
      </c>
      <c r="K565" s="7" t="s">
        <v>1673</v>
      </c>
      <c r="L565" s="6" t="s">
        <v>1673</v>
      </c>
      <c r="M565" s="15" t="s">
        <v>1673</v>
      </c>
      <c r="N565" s="16" t="s">
        <v>1673</v>
      </c>
      <c r="O565" s="17" t="s">
        <v>1673</v>
      </c>
      <c r="P565" s="16" t="s">
        <v>1673</v>
      </c>
      <c r="Q565" s="17" t="s">
        <v>1673</v>
      </c>
    </row>
    <row r="566" spans="1:17" x14ac:dyDescent="0.25">
      <c r="A566" s="6" t="s">
        <v>5</v>
      </c>
      <c r="B566" s="7">
        <v>15</v>
      </c>
      <c r="C566" s="13">
        <v>104</v>
      </c>
      <c r="D566" s="13">
        <v>1</v>
      </c>
      <c r="E566" s="6" t="s">
        <v>355</v>
      </c>
      <c r="F566" s="13" t="s">
        <v>327</v>
      </c>
      <c r="G566" s="19">
        <v>7</v>
      </c>
      <c r="H566" s="7">
        <v>0</v>
      </c>
      <c r="I566" s="14" t="s">
        <v>319</v>
      </c>
      <c r="J566" s="7" t="s">
        <v>1673</v>
      </c>
      <c r="K566" s="7" t="s">
        <v>1673</v>
      </c>
      <c r="L566" s="6" t="s">
        <v>1673</v>
      </c>
      <c r="M566" s="15" t="s">
        <v>1673</v>
      </c>
      <c r="N566" s="16" t="s">
        <v>1673</v>
      </c>
      <c r="O566" s="17" t="s">
        <v>1673</v>
      </c>
      <c r="P566" s="16" t="s">
        <v>1673</v>
      </c>
      <c r="Q566" s="17" t="s">
        <v>1673</v>
      </c>
    </row>
    <row r="567" spans="1:17" x14ac:dyDescent="0.25">
      <c r="A567" s="6" t="s">
        <v>5</v>
      </c>
      <c r="B567" s="7">
        <v>15</v>
      </c>
      <c r="C567" s="13">
        <v>104</v>
      </c>
      <c r="D567" s="13">
        <v>2</v>
      </c>
      <c r="E567" s="6" t="s">
        <v>316</v>
      </c>
      <c r="F567" s="13" t="s">
        <v>317</v>
      </c>
      <c r="G567" s="13">
        <v>0</v>
      </c>
      <c r="H567" s="7">
        <v>0</v>
      </c>
      <c r="I567" s="14" t="s">
        <v>318</v>
      </c>
      <c r="J567" s="7" t="s">
        <v>1673</v>
      </c>
      <c r="K567" s="7" t="s">
        <v>1673</v>
      </c>
      <c r="L567" s="6" t="s">
        <v>1673</v>
      </c>
      <c r="M567" s="15" t="s">
        <v>1673</v>
      </c>
      <c r="N567" s="16" t="s">
        <v>1673</v>
      </c>
      <c r="O567" s="17" t="s">
        <v>1673</v>
      </c>
      <c r="P567" s="16" t="s">
        <v>1673</v>
      </c>
      <c r="Q567" s="17" t="s">
        <v>1673</v>
      </c>
    </row>
    <row r="568" spans="1:17" x14ac:dyDescent="0.25">
      <c r="A568" s="6" t="s">
        <v>5</v>
      </c>
      <c r="B568" s="7">
        <v>15</v>
      </c>
      <c r="C568" s="13">
        <v>104</v>
      </c>
      <c r="D568" s="13">
        <v>2</v>
      </c>
      <c r="E568" s="6" t="s">
        <v>316</v>
      </c>
      <c r="F568" s="13" t="s">
        <v>317</v>
      </c>
      <c r="G568" s="13">
        <v>0</v>
      </c>
      <c r="H568" s="7">
        <v>0</v>
      </c>
      <c r="I568" s="14" t="s">
        <v>319</v>
      </c>
      <c r="J568" s="7" t="s">
        <v>1673</v>
      </c>
      <c r="K568" s="7" t="s">
        <v>1673</v>
      </c>
      <c r="L568" s="6" t="s">
        <v>1673</v>
      </c>
      <c r="M568" s="15" t="s">
        <v>1673</v>
      </c>
      <c r="N568" s="16" t="s">
        <v>1673</v>
      </c>
      <c r="O568" s="17" t="s">
        <v>1673</v>
      </c>
      <c r="P568" s="16" t="s">
        <v>1673</v>
      </c>
      <c r="Q568" s="17" t="s">
        <v>1673</v>
      </c>
    </row>
    <row r="569" spans="1:17" x14ac:dyDescent="0.25">
      <c r="A569" s="6" t="s">
        <v>5</v>
      </c>
      <c r="B569" s="7">
        <v>15</v>
      </c>
      <c r="C569" s="13">
        <v>104</v>
      </c>
      <c r="D569" s="13">
        <v>2</v>
      </c>
      <c r="E569" s="6" t="s">
        <v>355</v>
      </c>
      <c r="F569" s="13" t="s">
        <v>320</v>
      </c>
      <c r="G569" s="13">
        <v>1</v>
      </c>
      <c r="H569" s="7">
        <v>1.5</v>
      </c>
      <c r="I569" s="14" t="s">
        <v>318</v>
      </c>
      <c r="J569" s="7">
        <v>1.056</v>
      </c>
      <c r="K569" s="7">
        <v>31.384</v>
      </c>
      <c r="L569" s="6">
        <v>0</v>
      </c>
      <c r="M569" s="15">
        <v>9.7316017316017314E-2</v>
      </c>
      <c r="N569" s="16">
        <v>15.414857142857143</v>
      </c>
      <c r="O569" s="17">
        <v>458.1248831168831</v>
      </c>
      <c r="P569" s="16">
        <v>51.382857142857141</v>
      </c>
      <c r="Q569" s="17">
        <v>1527.0829437229436</v>
      </c>
    </row>
    <row r="570" spans="1:17" x14ac:dyDescent="0.25">
      <c r="A570" s="6" t="s">
        <v>5</v>
      </c>
      <c r="B570" s="7">
        <v>15</v>
      </c>
      <c r="C570" s="13">
        <v>104</v>
      </c>
      <c r="D570" s="13">
        <v>2</v>
      </c>
      <c r="E570" s="6" t="s">
        <v>355</v>
      </c>
      <c r="F570" s="13" t="s">
        <v>320</v>
      </c>
      <c r="G570" s="13">
        <v>1</v>
      </c>
      <c r="H570" s="7">
        <v>1.5</v>
      </c>
      <c r="I570" s="14" t="s">
        <v>319</v>
      </c>
      <c r="J570" s="7">
        <v>0.88800000000000001</v>
      </c>
      <c r="K570" s="7">
        <v>53.305999999999997</v>
      </c>
      <c r="L570" s="6">
        <v>0</v>
      </c>
      <c r="M570" s="15">
        <v>1.038961038961039E-3</v>
      </c>
      <c r="N570" s="16">
        <v>0.1383896103896104</v>
      </c>
      <c r="O570" s="17">
        <v>8.3074285714285718</v>
      </c>
      <c r="P570" s="16">
        <v>0.46129870129870132</v>
      </c>
      <c r="Q570" s="17">
        <v>27.691428571428567</v>
      </c>
    </row>
    <row r="571" spans="1:17" x14ac:dyDescent="0.25">
      <c r="A571" s="6" t="s">
        <v>5</v>
      </c>
      <c r="B571" s="7">
        <v>15</v>
      </c>
      <c r="C571" s="13">
        <v>104</v>
      </c>
      <c r="D571" s="13">
        <v>3</v>
      </c>
      <c r="E571" s="6" t="s">
        <v>316</v>
      </c>
      <c r="F571" s="13" t="s">
        <v>317</v>
      </c>
      <c r="G571" s="13">
        <v>0</v>
      </c>
      <c r="H571" s="7">
        <v>5</v>
      </c>
      <c r="I571" s="14" t="s">
        <v>318</v>
      </c>
      <c r="J571" s="7">
        <v>1.605</v>
      </c>
      <c r="K571" s="7">
        <v>44.837000000000003</v>
      </c>
      <c r="L571" s="6">
        <v>0</v>
      </c>
      <c r="M571" s="15" t="s">
        <v>1673</v>
      </c>
      <c r="N571" s="16" t="s">
        <v>1673</v>
      </c>
      <c r="O571" s="17" t="s">
        <v>1673</v>
      </c>
      <c r="P571" s="16" t="s">
        <v>1673</v>
      </c>
      <c r="Q571" s="17" t="s">
        <v>1673</v>
      </c>
    </row>
    <row r="572" spans="1:17" x14ac:dyDescent="0.25">
      <c r="A572" s="6" t="s">
        <v>5</v>
      </c>
      <c r="B572" s="7">
        <v>15</v>
      </c>
      <c r="C572" s="13">
        <v>104</v>
      </c>
      <c r="D572" s="13">
        <v>3</v>
      </c>
      <c r="E572" s="6" t="s">
        <v>316</v>
      </c>
      <c r="F572" s="13" t="s">
        <v>317</v>
      </c>
      <c r="G572" s="13">
        <v>0</v>
      </c>
      <c r="H572" s="7">
        <v>5</v>
      </c>
      <c r="I572" s="14" t="s">
        <v>319</v>
      </c>
      <c r="J572" s="7" t="s">
        <v>1673</v>
      </c>
      <c r="K572" s="7" t="s">
        <v>1673</v>
      </c>
      <c r="L572" s="6" t="s">
        <v>1673</v>
      </c>
      <c r="M572" s="15" t="s">
        <v>1673</v>
      </c>
      <c r="N572" s="16" t="s">
        <v>1673</v>
      </c>
      <c r="O572" s="17" t="s">
        <v>1673</v>
      </c>
      <c r="P572" s="16" t="s">
        <v>1673</v>
      </c>
      <c r="Q572" s="17" t="s">
        <v>1673</v>
      </c>
    </row>
    <row r="573" spans="1:17" x14ac:dyDescent="0.25">
      <c r="A573" s="6" t="s">
        <v>5</v>
      </c>
      <c r="B573" s="7">
        <v>15</v>
      </c>
      <c r="C573" s="13">
        <v>104</v>
      </c>
      <c r="D573" s="13">
        <v>3</v>
      </c>
      <c r="E573" s="6" t="s">
        <v>355</v>
      </c>
      <c r="F573" s="13" t="s">
        <v>320</v>
      </c>
      <c r="G573" s="13">
        <v>1</v>
      </c>
      <c r="H573" s="7">
        <v>5</v>
      </c>
      <c r="I573" s="14" t="s">
        <v>318</v>
      </c>
      <c r="J573" s="7">
        <v>0.77800000000000002</v>
      </c>
      <c r="K573" s="7">
        <v>43.994999999999997</v>
      </c>
      <c r="L573" s="6">
        <v>0</v>
      </c>
      <c r="M573" s="15">
        <v>5.2106666666666662E-2</v>
      </c>
      <c r="N573" s="16">
        <v>20.269493333333333</v>
      </c>
      <c r="O573" s="17">
        <v>1146.2163999999998</v>
      </c>
      <c r="P573" s="16">
        <v>20.269493333333333</v>
      </c>
      <c r="Q573" s="17">
        <v>1146.2163999999998</v>
      </c>
    </row>
    <row r="574" spans="1:17" x14ac:dyDescent="0.25">
      <c r="A574" s="6" t="s">
        <v>5</v>
      </c>
      <c r="B574" s="7">
        <v>15</v>
      </c>
      <c r="C574" s="13">
        <v>104</v>
      </c>
      <c r="D574" s="13">
        <v>3</v>
      </c>
      <c r="E574" s="6" t="s">
        <v>355</v>
      </c>
      <c r="F574" s="13" t="s">
        <v>320</v>
      </c>
      <c r="G574" s="13">
        <v>1</v>
      </c>
      <c r="H574" s="7">
        <v>5</v>
      </c>
      <c r="I574" s="14" t="s">
        <v>319</v>
      </c>
      <c r="J574" s="7">
        <v>0.52100000000000002</v>
      </c>
      <c r="K574" s="7">
        <v>48.77</v>
      </c>
      <c r="L574" s="6">
        <v>0</v>
      </c>
      <c r="M574" s="15">
        <v>5.4666666666666665E-4</v>
      </c>
      <c r="N574" s="16">
        <v>0.14240666666666668</v>
      </c>
      <c r="O574" s="17">
        <v>13.330466666666668</v>
      </c>
      <c r="P574" s="16">
        <v>0.14240666666666668</v>
      </c>
      <c r="Q574" s="17">
        <v>13.330466666666668</v>
      </c>
    </row>
    <row r="575" spans="1:17" x14ac:dyDescent="0.25">
      <c r="A575" s="6" t="s">
        <v>5</v>
      </c>
      <c r="B575" s="7">
        <v>15</v>
      </c>
      <c r="C575" s="13">
        <v>104</v>
      </c>
      <c r="D575" s="13">
        <v>3</v>
      </c>
      <c r="E575" s="6" t="s">
        <v>355</v>
      </c>
      <c r="F575" s="13" t="s">
        <v>321</v>
      </c>
      <c r="G575" s="13">
        <v>2</v>
      </c>
      <c r="H575" s="7">
        <v>5</v>
      </c>
      <c r="I575" s="14" t="s">
        <v>318</v>
      </c>
      <c r="J575" s="7">
        <v>0.92100000000000004</v>
      </c>
      <c r="K575" s="7">
        <v>42.439</v>
      </c>
      <c r="L575" s="6">
        <v>0</v>
      </c>
      <c r="M575" s="15">
        <v>5.38969696969697E-2</v>
      </c>
      <c r="N575" s="16">
        <v>24.819554545454551</v>
      </c>
      <c r="O575" s="17">
        <v>1143.6667484848485</v>
      </c>
      <c r="P575" s="16">
        <v>24.819554545454547</v>
      </c>
      <c r="Q575" s="17">
        <v>1143.6667484848485</v>
      </c>
    </row>
    <row r="576" spans="1:17" x14ac:dyDescent="0.25">
      <c r="A576" s="6" t="s">
        <v>5</v>
      </c>
      <c r="B576" s="7">
        <v>15</v>
      </c>
      <c r="C576" s="13">
        <v>104</v>
      </c>
      <c r="D576" s="13">
        <v>3</v>
      </c>
      <c r="E576" s="6" t="s">
        <v>355</v>
      </c>
      <c r="F576" s="13" t="s">
        <v>321</v>
      </c>
      <c r="G576" s="13">
        <v>2</v>
      </c>
      <c r="H576" s="7">
        <v>5</v>
      </c>
      <c r="I576" s="14" t="s">
        <v>319</v>
      </c>
      <c r="J576" s="7">
        <v>0.48299999999999998</v>
      </c>
      <c r="K576" s="7">
        <v>50.484000000000002</v>
      </c>
      <c r="L576" s="6">
        <v>0</v>
      </c>
      <c r="M576" s="15">
        <v>1.3151515151515151E-3</v>
      </c>
      <c r="N576" s="16">
        <v>0.3176090909090909</v>
      </c>
      <c r="O576" s="17">
        <v>33.197054545454549</v>
      </c>
      <c r="P576" s="16">
        <v>0.31760909090909084</v>
      </c>
      <c r="Q576" s="17">
        <v>33.197054545454549</v>
      </c>
    </row>
    <row r="577" spans="1:17" x14ac:dyDescent="0.25">
      <c r="A577" s="6" t="s">
        <v>5</v>
      </c>
      <c r="B577" s="7">
        <v>15</v>
      </c>
      <c r="C577" s="13">
        <v>104</v>
      </c>
      <c r="D577" s="13">
        <v>3</v>
      </c>
      <c r="E577" s="6" t="s">
        <v>355</v>
      </c>
      <c r="F577" s="13" t="s">
        <v>322</v>
      </c>
      <c r="G577" s="13">
        <v>3</v>
      </c>
      <c r="H577" s="7">
        <v>5</v>
      </c>
      <c r="I577" s="14" t="s">
        <v>318</v>
      </c>
      <c r="J577" s="7">
        <v>0.995</v>
      </c>
      <c r="K577" s="7">
        <v>41.460999999999999</v>
      </c>
      <c r="L577" s="6">
        <v>0</v>
      </c>
      <c r="M577" s="15">
        <v>6.9941258741258741E-2</v>
      </c>
      <c r="N577" s="16">
        <v>34.79577622377623</v>
      </c>
      <c r="O577" s="17">
        <v>1449.9172643356644</v>
      </c>
      <c r="P577" s="16">
        <v>34.795776223776222</v>
      </c>
      <c r="Q577" s="17">
        <v>1449.9172643356642</v>
      </c>
    </row>
    <row r="578" spans="1:17" x14ac:dyDescent="0.25">
      <c r="A578" s="6" t="s">
        <v>5</v>
      </c>
      <c r="B578" s="7">
        <v>15</v>
      </c>
      <c r="C578" s="13">
        <v>104</v>
      </c>
      <c r="D578" s="13">
        <v>3</v>
      </c>
      <c r="E578" s="6" t="s">
        <v>355</v>
      </c>
      <c r="F578" s="13" t="s">
        <v>322</v>
      </c>
      <c r="G578" s="13">
        <v>3</v>
      </c>
      <c r="H578" s="7">
        <v>5</v>
      </c>
      <c r="I578" s="14" t="s">
        <v>319</v>
      </c>
      <c r="J578" s="7" t="s">
        <v>1673</v>
      </c>
      <c r="K578" s="7" t="s">
        <v>1673</v>
      </c>
      <c r="L578" s="6" t="s">
        <v>1673</v>
      </c>
      <c r="M578" s="15" t="s">
        <v>1673</v>
      </c>
      <c r="N578" s="16" t="s">
        <v>1673</v>
      </c>
      <c r="O578" s="17" t="s">
        <v>1673</v>
      </c>
      <c r="P578" s="16" t="s">
        <v>1673</v>
      </c>
      <c r="Q578" s="17" t="s">
        <v>1673</v>
      </c>
    </row>
    <row r="579" spans="1:17" x14ac:dyDescent="0.25">
      <c r="A579" s="6" t="s">
        <v>5</v>
      </c>
      <c r="B579" s="7">
        <v>15</v>
      </c>
      <c r="C579" s="13">
        <v>104</v>
      </c>
      <c r="D579" s="13">
        <v>3</v>
      </c>
      <c r="E579" s="6" t="s">
        <v>355</v>
      </c>
      <c r="F579" s="13" t="s">
        <v>324</v>
      </c>
      <c r="G579" s="18">
        <v>4</v>
      </c>
      <c r="H579" s="7">
        <v>5</v>
      </c>
      <c r="I579" s="14" t="s">
        <v>318</v>
      </c>
      <c r="J579" s="7">
        <v>0.999</v>
      </c>
      <c r="K579" s="7">
        <v>39.880000000000003</v>
      </c>
      <c r="L579" s="6">
        <v>0</v>
      </c>
      <c r="M579" s="15">
        <v>9.2179999999999998E-2</v>
      </c>
      <c r="N579" s="16">
        <v>46.043910000000004</v>
      </c>
      <c r="O579" s="17">
        <v>1838.0692000000001</v>
      </c>
      <c r="P579" s="16">
        <v>46.043910000000004</v>
      </c>
      <c r="Q579" s="17">
        <v>1838.0692000000001</v>
      </c>
    </row>
    <row r="580" spans="1:17" x14ac:dyDescent="0.25">
      <c r="A580" s="6" t="s">
        <v>5</v>
      </c>
      <c r="B580" s="7">
        <v>15</v>
      </c>
      <c r="C580" s="13">
        <v>104</v>
      </c>
      <c r="D580" s="13">
        <v>3</v>
      </c>
      <c r="E580" s="6" t="s">
        <v>355</v>
      </c>
      <c r="F580" s="13" t="s">
        <v>324</v>
      </c>
      <c r="G580" s="18">
        <v>4</v>
      </c>
      <c r="H580" s="7">
        <v>5</v>
      </c>
      <c r="I580" s="14" t="s">
        <v>319</v>
      </c>
      <c r="J580" s="7" t="s">
        <v>1673</v>
      </c>
      <c r="K580" s="7" t="s">
        <v>1673</v>
      </c>
      <c r="L580" s="6" t="s">
        <v>1673</v>
      </c>
      <c r="M580" s="15" t="s">
        <v>1673</v>
      </c>
      <c r="N580" s="16" t="s">
        <v>1673</v>
      </c>
      <c r="O580" s="17" t="s">
        <v>1673</v>
      </c>
      <c r="P580" s="16" t="s">
        <v>1673</v>
      </c>
      <c r="Q580" s="17" t="s">
        <v>1673</v>
      </c>
    </row>
    <row r="581" spans="1:17" x14ac:dyDescent="0.25">
      <c r="A581" s="6" t="s">
        <v>5</v>
      </c>
      <c r="B581" s="7">
        <v>15</v>
      </c>
      <c r="C581" s="13">
        <v>104</v>
      </c>
      <c r="D581" s="13">
        <v>3</v>
      </c>
      <c r="E581" s="6" t="s">
        <v>355</v>
      </c>
      <c r="F581" s="13" t="s">
        <v>325</v>
      </c>
      <c r="G581" s="18">
        <v>5</v>
      </c>
      <c r="H581" s="7">
        <v>5</v>
      </c>
      <c r="I581" s="14" t="s">
        <v>318</v>
      </c>
      <c r="J581" s="7">
        <v>1.111</v>
      </c>
      <c r="K581" s="7">
        <v>37.29</v>
      </c>
      <c r="L581" s="6">
        <v>0</v>
      </c>
      <c r="M581" s="15">
        <v>0.12420307692307692</v>
      </c>
      <c r="N581" s="16">
        <v>68.994809230769221</v>
      </c>
      <c r="O581" s="17">
        <v>2315.7663692307692</v>
      </c>
      <c r="P581" s="16">
        <v>68.994809230769221</v>
      </c>
      <c r="Q581" s="17">
        <v>2315.7663692307692</v>
      </c>
    </row>
    <row r="582" spans="1:17" x14ac:dyDescent="0.25">
      <c r="A582" s="6" t="s">
        <v>5</v>
      </c>
      <c r="B582" s="7">
        <v>15</v>
      </c>
      <c r="C582" s="13">
        <v>104</v>
      </c>
      <c r="D582" s="13">
        <v>3</v>
      </c>
      <c r="E582" s="6" t="s">
        <v>355</v>
      </c>
      <c r="F582" s="13" t="s">
        <v>325</v>
      </c>
      <c r="G582" s="18">
        <v>5</v>
      </c>
      <c r="H582" s="7">
        <v>5</v>
      </c>
      <c r="I582" s="14" t="s">
        <v>319</v>
      </c>
      <c r="J582" s="7" t="s">
        <v>1673</v>
      </c>
      <c r="K582" s="7" t="s">
        <v>1673</v>
      </c>
      <c r="L582" s="6" t="s">
        <v>1673</v>
      </c>
      <c r="M582" s="15" t="s">
        <v>1673</v>
      </c>
      <c r="N582" s="16" t="s">
        <v>1673</v>
      </c>
      <c r="O582" s="17" t="s">
        <v>1673</v>
      </c>
      <c r="P582" s="16" t="s">
        <v>1673</v>
      </c>
      <c r="Q582" s="17" t="s">
        <v>1673</v>
      </c>
    </row>
    <row r="583" spans="1:17" x14ac:dyDescent="0.25">
      <c r="A583" s="6" t="s">
        <v>5</v>
      </c>
      <c r="B583" s="7">
        <v>15</v>
      </c>
      <c r="C583" s="13">
        <v>104</v>
      </c>
      <c r="D583" s="13">
        <v>3</v>
      </c>
      <c r="E583" s="6" t="s">
        <v>355</v>
      </c>
      <c r="F583" s="13" t="s">
        <v>326</v>
      </c>
      <c r="G583" s="18">
        <v>6</v>
      </c>
      <c r="H583" s="7">
        <v>5</v>
      </c>
      <c r="I583" s="14" t="s">
        <v>318</v>
      </c>
      <c r="J583" s="7">
        <v>1.1419999999999999</v>
      </c>
      <c r="K583" s="7">
        <v>37.997999999999998</v>
      </c>
      <c r="L583" s="6">
        <v>0</v>
      </c>
      <c r="M583" s="15">
        <v>0.12334666666666666</v>
      </c>
      <c r="N583" s="16">
        <v>70.430946666666671</v>
      </c>
      <c r="O583" s="17">
        <v>2343.4633200000003</v>
      </c>
      <c r="P583" s="16">
        <v>70.430946666666671</v>
      </c>
      <c r="Q583" s="17">
        <v>2343.4633199999998</v>
      </c>
    </row>
    <row r="584" spans="1:17" x14ac:dyDescent="0.25">
      <c r="A584" s="6" t="s">
        <v>5</v>
      </c>
      <c r="B584" s="7">
        <v>15</v>
      </c>
      <c r="C584" s="13">
        <v>104</v>
      </c>
      <c r="D584" s="13">
        <v>3</v>
      </c>
      <c r="E584" s="6" t="s">
        <v>355</v>
      </c>
      <c r="F584" s="13" t="s">
        <v>326</v>
      </c>
      <c r="G584" s="18">
        <v>6</v>
      </c>
      <c r="H584" s="7">
        <v>5</v>
      </c>
      <c r="I584" s="14" t="s">
        <v>319</v>
      </c>
      <c r="J584" s="7" t="s">
        <v>1673</v>
      </c>
      <c r="K584" s="7" t="s">
        <v>1673</v>
      </c>
      <c r="L584" s="6" t="s">
        <v>1673</v>
      </c>
      <c r="M584" s="15" t="s">
        <v>1673</v>
      </c>
      <c r="N584" s="16" t="s">
        <v>1673</v>
      </c>
      <c r="O584" s="17" t="s">
        <v>1673</v>
      </c>
      <c r="P584" s="16" t="s">
        <v>1673</v>
      </c>
      <c r="Q584" s="17" t="s">
        <v>1673</v>
      </c>
    </row>
    <row r="585" spans="1:17" x14ac:dyDescent="0.25">
      <c r="A585" s="6" t="s">
        <v>5</v>
      </c>
      <c r="B585" s="7">
        <v>15</v>
      </c>
      <c r="C585" s="13">
        <v>104</v>
      </c>
      <c r="D585" s="13">
        <v>3</v>
      </c>
      <c r="E585" s="6" t="s">
        <v>355</v>
      </c>
      <c r="F585" s="13" t="s">
        <v>327</v>
      </c>
      <c r="G585" s="19">
        <v>7</v>
      </c>
      <c r="H585" s="7">
        <v>0</v>
      </c>
      <c r="I585" s="14" t="s">
        <v>318</v>
      </c>
      <c r="J585" s="7" t="s">
        <v>1673</v>
      </c>
      <c r="K585" s="7" t="s">
        <v>1673</v>
      </c>
      <c r="L585" s="6" t="s">
        <v>1673</v>
      </c>
      <c r="M585" s="15" t="s">
        <v>1673</v>
      </c>
      <c r="N585" s="16" t="s">
        <v>1673</v>
      </c>
      <c r="O585" s="17" t="s">
        <v>1673</v>
      </c>
      <c r="P585" s="16" t="s">
        <v>1673</v>
      </c>
      <c r="Q585" s="17" t="s">
        <v>1673</v>
      </c>
    </row>
    <row r="586" spans="1:17" x14ac:dyDescent="0.25">
      <c r="A586" s="6" t="s">
        <v>5</v>
      </c>
      <c r="B586" s="7">
        <v>15</v>
      </c>
      <c r="C586" s="13">
        <v>104</v>
      </c>
      <c r="D586" s="13">
        <v>3</v>
      </c>
      <c r="E586" s="6" t="s">
        <v>355</v>
      </c>
      <c r="F586" s="13" t="s">
        <v>327</v>
      </c>
      <c r="G586" s="19">
        <v>7</v>
      </c>
      <c r="H586" s="7">
        <v>0</v>
      </c>
      <c r="I586" s="14" t="s">
        <v>319</v>
      </c>
      <c r="J586" s="7" t="s">
        <v>1673</v>
      </c>
      <c r="K586" s="7" t="s">
        <v>1673</v>
      </c>
      <c r="L586" s="6" t="s">
        <v>1673</v>
      </c>
      <c r="M586" s="15" t="s">
        <v>1673</v>
      </c>
      <c r="N586" s="16" t="s">
        <v>1673</v>
      </c>
      <c r="O586" s="17" t="s">
        <v>1673</v>
      </c>
      <c r="P586" s="16" t="s">
        <v>1673</v>
      </c>
      <c r="Q586" s="17" t="s">
        <v>1673</v>
      </c>
    </row>
    <row r="587" spans="1:17" x14ac:dyDescent="0.25">
      <c r="A587" s="6" t="s">
        <v>5</v>
      </c>
      <c r="B587" s="7">
        <v>15</v>
      </c>
      <c r="C587" s="13">
        <v>104</v>
      </c>
      <c r="D587" s="13">
        <v>3</v>
      </c>
      <c r="E587" s="6" t="s">
        <v>355</v>
      </c>
      <c r="F587" s="13" t="s">
        <v>345</v>
      </c>
      <c r="G587" s="13">
        <v>8</v>
      </c>
      <c r="H587" s="7">
        <v>0</v>
      </c>
      <c r="I587" s="14" t="s">
        <v>318</v>
      </c>
      <c r="J587" s="7" t="s">
        <v>1673</v>
      </c>
      <c r="K587" s="7" t="s">
        <v>1673</v>
      </c>
      <c r="L587" s="6" t="s">
        <v>1673</v>
      </c>
      <c r="M587" s="15" t="s">
        <v>1673</v>
      </c>
      <c r="N587" s="16" t="s">
        <v>1673</v>
      </c>
      <c r="O587" s="17" t="s">
        <v>1673</v>
      </c>
      <c r="P587" s="16" t="s">
        <v>1673</v>
      </c>
      <c r="Q587" s="17" t="s">
        <v>1673</v>
      </c>
    </row>
    <row r="588" spans="1:17" x14ac:dyDescent="0.25">
      <c r="A588" s="6" t="s">
        <v>5</v>
      </c>
      <c r="B588" s="7">
        <v>15</v>
      </c>
      <c r="C588" s="13">
        <v>104</v>
      </c>
      <c r="D588" s="13">
        <v>3</v>
      </c>
      <c r="E588" s="6" t="s">
        <v>355</v>
      </c>
      <c r="F588" s="13" t="s">
        <v>345</v>
      </c>
      <c r="G588" s="13">
        <v>8</v>
      </c>
      <c r="H588" s="7">
        <v>0</v>
      </c>
      <c r="I588" s="14" t="s">
        <v>319</v>
      </c>
      <c r="J588" s="7" t="s">
        <v>1673</v>
      </c>
      <c r="K588" s="7" t="s">
        <v>1673</v>
      </c>
      <c r="L588" s="6" t="s">
        <v>1673</v>
      </c>
      <c r="M588" s="15" t="s">
        <v>1673</v>
      </c>
      <c r="N588" s="16" t="s">
        <v>1673</v>
      </c>
      <c r="O588" s="17" t="s">
        <v>1673</v>
      </c>
      <c r="P588" s="16" t="s">
        <v>1673</v>
      </c>
      <c r="Q588" s="17" t="s">
        <v>1673</v>
      </c>
    </row>
    <row r="589" spans="1:17" x14ac:dyDescent="0.25">
      <c r="A589" s="6" t="s">
        <v>5</v>
      </c>
      <c r="B589" s="7">
        <v>15</v>
      </c>
      <c r="C589" s="13">
        <v>104</v>
      </c>
      <c r="D589" s="13">
        <v>4</v>
      </c>
      <c r="E589" s="6" t="s">
        <v>355</v>
      </c>
      <c r="F589" s="7"/>
      <c r="G589" s="7"/>
      <c r="H589" s="7">
        <v>0</v>
      </c>
      <c r="I589" s="7"/>
      <c r="J589" s="7" t="s">
        <v>1673</v>
      </c>
      <c r="K589" s="7" t="s">
        <v>1673</v>
      </c>
      <c r="L589" s="6" t="s">
        <v>1673</v>
      </c>
      <c r="M589" s="15" t="s">
        <v>1673</v>
      </c>
      <c r="N589" s="16" t="s">
        <v>1673</v>
      </c>
      <c r="O589" s="17" t="s">
        <v>1673</v>
      </c>
      <c r="P589" s="16" t="s">
        <v>1673</v>
      </c>
      <c r="Q589" s="17" t="s">
        <v>1673</v>
      </c>
    </row>
    <row r="590" spans="1:17" x14ac:dyDescent="0.25">
      <c r="A590" s="6" t="s">
        <v>5</v>
      </c>
      <c r="B590" s="7">
        <v>15</v>
      </c>
      <c r="C590" s="13">
        <v>104</v>
      </c>
      <c r="D590" s="13">
        <v>5</v>
      </c>
      <c r="E590" s="6" t="s">
        <v>316</v>
      </c>
      <c r="F590" s="13" t="s">
        <v>317</v>
      </c>
      <c r="G590" s="13">
        <v>0</v>
      </c>
      <c r="H590" s="7">
        <v>0</v>
      </c>
      <c r="I590" s="14" t="s">
        <v>318</v>
      </c>
      <c r="J590" s="7" t="s">
        <v>1673</v>
      </c>
      <c r="K590" s="7" t="s">
        <v>1673</v>
      </c>
      <c r="L590" s="6" t="s">
        <v>1673</v>
      </c>
      <c r="M590" s="15" t="s">
        <v>1673</v>
      </c>
      <c r="N590" s="16" t="s">
        <v>1673</v>
      </c>
      <c r="O590" s="17" t="s">
        <v>1673</v>
      </c>
      <c r="P590" s="16" t="s">
        <v>1673</v>
      </c>
      <c r="Q590" s="17" t="s">
        <v>1673</v>
      </c>
    </row>
    <row r="591" spans="1:17" x14ac:dyDescent="0.25">
      <c r="A591" s="6" t="s">
        <v>5</v>
      </c>
      <c r="B591" s="7">
        <v>15</v>
      </c>
      <c r="C591" s="13">
        <v>104</v>
      </c>
      <c r="D591" s="13">
        <v>5</v>
      </c>
      <c r="E591" s="6" t="s">
        <v>316</v>
      </c>
      <c r="F591" s="13" t="s">
        <v>317</v>
      </c>
      <c r="G591" s="13">
        <v>0</v>
      </c>
      <c r="H591" s="7">
        <v>0</v>
      </c>
      <c r="I591" s="14" t="s">
        <v>319</v>
      </c>
      <c r="J591" s="7" t="s">
        <v>1673</v>
      </c>
      <c r="K591" s="7" t="s">
        <v>1673</v>
      </c>
      <c r="L591" s="6" t="s">
        <v>1673</v>
      </c>
      <c r="M591" s="15" t="s">
        <v>1673</v>
      </c>
      <c r="N591" s="16" t="s">
        <v>1673</v>
      </c>
      <c r="O591" s="17" t="s">
        <v>1673</v>
      </c>
      <c r="P591" s="16" t="s">
        <v>1673</v>
      </c>
      <c r="Q591" s="17" t="s">
        <v>1673</v>
      </c>
    </row>
    <row r="592" spans="1:17" x14ac:dyDescent="0.25">
      <c r="A592" s="6" t="s">
        <v>5</v>
      </c>
      <c r="B592" s="7">
        <v>15</v>
      </c>
      <c r="C592" s="13">
        <v>104</v>
      </c>
      <c r="D592" s="13">
        <v>5</v>
      </c>
      <c r="E592" s="6" t="s">
        <v>355</v>
      </c>
      <c r="F592" s="13" t="s">
        <v>320</v>
      </c>
      <c r="G592" s="13">
        <v>1</v>
      </c>
      <c r="H592" s="7">
        <v>5</v>
      </c>
      <c r="I592" s="14" t="s">
        <v>318</v>
      </c>
      <c r="J592" s="7">
        <v>0.78800000000000003</v>
      </c>
      <c r="K592" s="7">
        <v>44.67</v>
      </c>
      <c r="L592" s="6">
        <v>0</v>
      </c>
      <c r="M592" s="15">
        <v>4.1549090909090911E-2</v>
      </c>
      <c r="N592" s="16">
        <v>16.370341818181817</v>
      </c>
      <c r="O592" s="17">
        <v>927.99894545454561</v>
      </c>
      <c r="P592" s="16">
        <v>16.370341818181821</v>
      </c>
      <c r="Q592" s="17">
        <v>927.99894545454561</v>
      </c>
    </row>
    <row r="593" spans="1:17" x14ac:dyDescent="0.25">
      <c r="A593" s="6" t="s">
        <v>5</v>
      </c>
      <c r="B593" s="7">
        <v>15</v>
      </c>
      <c r="C593" s="13">
        <v>104</v>
      </c>
      <c r="D593" s="13">
        <v>5</v>
      </c>
      <c r="E593" s="6" t="s">
        <v>355</v>
      </c>
      <c r="F593" s="13" t="s">
        <v>320</v>
      </c>
      <c r="G593" s="13">
        <v>1</v>
      </c>
      <c r="H593" s="7">
        <v>5</v>
      </c>
      <c r="I593" s="14" t="s">
        <v>319</v>
      </c>
      <c r="J593" s="7" t="s">
        <v>1673</v>
      </c>
      <c r="K593" s="7" t="s">
        <v>1673</v>
      </c>
      <c r="L593" s="6" t="s">
        <v>1673</v>
      </c>
      <c r="M593" s="15" t="s">
        <v>1673</v>
      </c>
      <c r="N593" s="16" t="s">
        <v>1673</v>
      </c>
      <c r="O593" s="17" t="s">
        <v>1673</v>
      </c>
      <c r="P593" s="16" t="s">
        <v>1673</v>
      </c>
      <c r="Q593" s="17" t="s">
        <v>1673</v>
      </c>
    </row>
    <row r="594" spans="1:17" x14ac:dyDescent="0.25">
      <c r="A594" s="6" t="s">
        <v>5</v>
      </c>
      <c r="B594" s="7">
        <v>15</v>
      </c>
      <c r="C594" s="13">
        <v>104</v>
      </c>
      <c r="D594" s="13">
        <v>5</v>
      </c>
      <c r="E594" s="6" t="s">
        <v>355</v>
      </c>
      <c r="F594" s="13" t="s">
        <v>321</v>
      </c>
      <c r="G594" s="13">
        <v>2</v>
      </c>
      <c r="H594" s="7">
        <v>5</v>
      </c>
      <c r="I594" s="14" t="s">
        <v>318</v>
      </c>
      <c r="J594" s="7">
        <v>0.877</v>
      </c>
      <c r="K594" s="7">
        <v>40.518000000000001</v>
      </c>
      <c r="L594" s="6">
        <v>0</v>
      </c>
      <c r="M594" s="15">
        <v>9.145600000000001E-2</v>
      </c>
      <c r="N594" s="16">
        <v>40.103456000000001</v>
      </c>
      <c r="O594" s="17">
        <v>1852.807104</v>
      </c>
      <c r="P594" s="16">
        <v>40.103456000000001</v>
      </c>
      <c r="Q594" s="17">
        <v>1852.8071040000002</v>
      </c>
    </row>
    <row r="595" spans="1:17" x14ac:dyDescent="0.25">
      <c r="A595" s="6" t="s">
        <v>5</v>
      </c>
      <c r="B595" s="7">
        <v>15</v>
      </c>
      <c r="C595" s="13">
        <v>104</v>
      </c>
      <c r="D595" s="13">
        <v>5</v>
      </c>
      <c r="E595" s="6" t="s">
        <v>355</v>
      </c>
      <c r="F595" s="13" t="s">
        <v>321</v>
      </c>
      <c r="G595" s="13">
        <v>2</v>
      </c>
      <c r="H595" s="7">
        <v>5</v>
      </c>
      <c r="I595" s="14" t="s">
        <v>319</v>
      </c>
      <c r="J595" s="7">
        <v>0.76600000000000001</v>
      </c>
      <c r="K595" s="7">
        <v>51.576000000000001</v>
      </c>
      <c r="L595" s="6">
        <v>0</v>
      </c>
      <c r="M595" s="15">
        <v>1.792E-3</v>
      </c>
      <c r="N595" s="16">
        <v>0.68633599999999995</v>
      </c>
      <c r="O595" s="17">
        <v>46.212095999999995</v>
      </c>
      <c r="P595" s="16">
        <v>0.68633599999999995</v>
      </c>
      <c r="Q595" s="17">
        <v>46.212096000000003</v>
      </c>
    </row>
    <row r="596" spans="1:17" x14ac:dyDescent="0.25">
      <c r="A596" s="6" t="s">
        <v>5</v>
      </c>
      <c r="B596" s="7">
        <v>15</v>
      </c>
      <c r="C596" s="13">
        <v>104</v>
      </c>
      <c r="D596" s="13">
        <v>5</v>
      </c>
      <c r="E596" s="6" t="s">
        <v>355</v>
      </c>
      <c r="F596" s="13" t="s">
        <v>322</v>
      </c>
      <c r="G596" s="13">
        <v>3</v>
      </c>
      <c r="H596" s="7">
        <v>1</v>
      </c>
      <c r="I596" s="14" t="s">
        <v>318</v>
      </c>
      <c r="J596" s="7">
        <v>0.64</v>
      </c>
      <c r="K596" s="7">
        <v>16.954999999999998</v>
      </c>
      <c r="L596" s="6">
        <v>1</v>
      </c>
      <c r="M596" s="15">
        <v>0.48577777777777775</v>
      </c>
      <c r="N596" s="16">
        <v>31.089777777777776</v>
      </c>
      <c r="O596" s="17">
        <v>823.63622222222205</v>
      </c>
      <c r="P596" s="16">
        <v>155.44888888888889</v>
      </c>
      <c r="Q596" s="17">
        <v>4118.1811111111101</v>
      </c>
    </row>
    <row r="597" spans="1:17" x14ac:dyDescent="0.25">
      <c r="A597" s="6" t="s">
        <v>5</v>
      </c>
      <c r="B597" s="7">
        <v>15</v>
      </c>
      <c r="C597" s="13">
        <v>104</v>
      </c>
      <c r="D597" s="13">
        <v>5</v>
      </c>
      <c r="E597" s="6" t="s">
        <v>355</v>
      </c>
      <c r="F597" s="13" t="s">
        <v>322</v>
      </c>
      <c r="G597" s="13">
        <v>3</v>
      </c>
      <c r="H597" s="7">
        <v>1</v>
      </c>
      <c r="I597" s="14" t="s">
        <v>319</v>
      </c>
      <c r="J597" s="7" t="s">
        <v>1673</v>
      </c>
      <c r="K597" s="7" t="s">
        <v>1673</v>
      </c>
      <c r="L597" s="6" t="s">
        <v>1673</v>
      </c>
      <c r="M597" s="15" t="s">
        <v>1673</v>
      </c>
      <c r="N597" s="16" t="s">
        <v>1673</v>
      </c>
      <c r="O597" s="17" t="s">
        <v>1673</v>
      </c>
      <c r="P597" s="16" t="s">
        <v>1673</v>
      </c>
      <c r="Q597" s="17" t="s">
        <v>1673</v>
      </c>
    </row>
    <row r="598" spans="1:17" x14ac:dyDescent="0.25">
      <c r="A598" s="6" t="s">
        <v>5</v>
      </c>
      <c r="B598" s="7">
        <v>16</v>
      </c>
      <c r="C598" s="13">
        <v>105</v>
      </c>
      <c r="D598" s="13">
        <v>1</v>
      </c>
      <c r="E598" s="6" t="s">
        <v>316</v>
      </c>
      <c r="F598" s="13" t="s">
        <v>317</v>
      </c>
      <c r="G598" s="13">
        <v>0</v>
      </c>
      <c r="H598" s="7">
        <v>0</v>
      </c>
      <c r="I598" s="14" t="s">
        <v>318</v>
      </c>
      <c r="J598" s="7" t="s">
        <v>1673</v>
      </c>
      <c r="K598" s="7" t="s">
        <v>1673</v>
      </c>
      <c r="L598" s="6" t="s">
        <v>1673</v>
      </c>
      <c r="M598" s="15" t="s">
        <v>1673</v>
      </c>
      <c r="N598" s="16" t="s">
        <v>1673</v>
      </c>
      <c r="O598" s="17" t="s">
        <v>1673</v>
      </c>
      <c r="P598" s="16" t="s">
        <v>1673</v>
      </c>
      <c r="Q598" s="17" t="s">
        <v>1673</v>
      </c>
    </row>
    <row r="599" spans="1:17" x14ac:dyDescent="0.25">
      <c r="A599" s="6" t="s">
        <v>5</v>
      </c>
      <c r="B599" s="7">
        <v>16</v>
      </c>
      <c r="C599" s="13">
        <v>105</v>
      </c>
      <c r="D599" s="13">
        <v>1</v>
      </c>
      <c r="E599" s="6" t="s">
        <v>316</v>
      </c>
      <c r="F599" s="13" t="s">
        <v>317</v>
      </c>
      <c r="G599" s="13">
        <v>0</v>
      </c>
      <c r="H599" s="7">
        <v>0</v>
      </c>
      <c r="I599" s="14" t="s">
        <v>319</v>
      </c>
      <c r="J599" s="7" t="s">
        <v>1673</v>
      </c>
      <c r="K599" s="7" t="s">
        <v>1673</v>
      </c>
      <c r="L599" s="6" t="s">
        <v>1673</v>
      </c>
      <c r="M599" s="15" t="s">
        <v>1673</v>
      </c>
      <c r="N599" s="16" t="s">
        <v>1673</v>
      </c>
      <c r="O599" s="17" t="s">
        <v>1673</v>
      </c>
      <c r="P599" s="16" t="s">
        <v>1673</v>
      </c>
      <c r="Q599" s="17" t="s">
        <v>1673</v>
      </c>
    </row>
    <row r="600" spans="1:17" x14ac:dyDescent="0.25">
      <c r="A600" s="6" t="s">
        <v>5</v>
      </c>
      <c r="B600" s="7">
        <v>16</v>
      </c>
      <c r="C600" s="13">
        <v>105</v>
      </c>
      <c r="D600" s="13">
        <v>1</v>
      </c>
      <c r="E600" s="6" t="s">
        <v>355</v>
      </c>
      <c r="F600" s="13" t="s">
        <v>320</v>
      </c>
      <c r="G600" s="13">
        <v>1</v>
      </c>
      <c r="H600" s="7">
        <v>5</v>
      </c>
      <c r="I600" s="14" t="s">
        <v>318</v>
      </c>
      <c r="J600" s="7">
        <v>1.595</v>
      </c>
      <c r="K600" s="7">
        <v>46.887</v>
      </c>
      <c r="L600" s="6">
        <v>0</v>
      </c>
      <c r="M600" s="15">
        <v>4.4562962962962964E-2</v>
      </c>
      <c r="N600" s="16">
        <v>35.538962962962962</v>
      </c>
      <c r="O600" s="17">
        <v>1044.7118222222223</v>
      </c>
      <c r="P600" s="16">
        <v>35.538962962962962</v>
      </c>
      <c r="Q600" s="17">
        <v>1044.7118222222223</v>
      </c>
    </row>
    <row r="601" spans="1:17" x14ac:dyDescent="0.25">
      <c r="A601" s="6" t="s">
        <v>5</v>
      </c>
      <c r="B601" s="7">
        <v>16</v>
      </c>
      <c r="C601" s="13">
        <v>105</v>
      </c>
      <c r="D601" s="13">
        <v>1</v>
      </c>
      <c r="E601" s="6" t="s">
        <v>355</v>
      </c>
      <c r="F601" s="13" t="s">
        <v>320</v>
      </c>
      <c r="G601" s="13">
        <v>1</v>
      </c>
      <c r="H601" s="7">
        <v>5</v>
      </c>
      <c r="I601" s="14" t="s">
        <v>319</v>
      </c>
      <c r="J601" s="7">
        <v>1.073</v>
      </c>
      <c r="K601" s="7">
        <v>51.628</v>
      </c>
      <c r="L601" s="6">
        <v>0</v>
      </c>
      <c r="M601" s="15">
        <v>7.6148148148148147E-4</v>
      </c>
      <c r="N601" s="16">
        <v>0.40853481481481485</v>
      </c>
      <c r="O601" s="17">
        <v>19.656882962962964</v>
      </c>
      <c r="P601" s="16">
        <v>0.4085348148148148</v>
      </c>
      <c r="Q601" s="17">
        <v>19.656882962962964</v>
      </c>
    </row>
    <row r="602" spans="1:17" x14ac:dyDescent="0.25">
      <c r="A602" s="6" t="s">
        <v>5</v>
      </c>
      <c r="B602" s="7">
        <v>16</v>
      </c>
      <c r="C602" s="13">
        <v>105</v>
      </c>
      <c r="D602" s="13">
        <v>1</v>
      </c>
      <c r="E602" s="6" t="s">
        <v>355</v>
      </c>
      <c r="F602" s="13" t="s">
        <v>321</v>
      </c>
      <c r="G602" s="13">
        <v>2</v>
      </c>
      <c r="H602" s="7">
        <v>5</v>
      </c>
      <c r="I602" s="14" t="s">
        <v>318</v>
      </c>
      <c r="J602" s="7">
        <v>1.635</v>
      </c>
      <c r="K602" s="7">
        <v>42.151000000000003</v>
      </c>
      <c r="L602" s="6">
        <v>0</v>
      </c>
      <c r="M602" s="15">
        <v>5.7904761904761903E-2</v>
      </c>
      <c r="N602" s="16">
        <v>47.337142857142858</v>
      </c>
      <c r="O602" s="17">
        <v>1220.3718095238098</v>
      </c>
      <c r="P602" s="16">
        <v>47.337142857142858</v>
      </c>
      <c r="Q602" s="17">
        <v>1220.3718095238096</v>
      </c>
    </row>
    <row r="603" spans="1:17" x14ac:dyDescent="0.25">
      <c r="A603" s="6" t="s">
        <v>5</v>
      </c>
      <c r="B603" s="7">
        <v>16</v>
      </c>
      <c r="C603" s="13">
        <v>105</v>
      </c>
      <c r="D603" s="13">
        <v>1</v>
      </c>
      <c r="E603" s="6" t="s">
        <v>355</v>
      </c>
      <c r="F603" s="13" t="s">
        <v>321</v>
      </c>
      <c r="G603" s="13">
        <v>2</v>
      </c>
      <c r="H603" s="7">
        <v>5</v>
      </c>
      <c r="I603" s="14" t="s">
        <v>319</v>
      </c>
      <c r="J603" s="7">
        <v>0.82699999999999996</v>
      </c>
      <c r="K603" s="7">
        <v>40.279000000000003</v>
      </c>
      <c r="L603" s="6">
        <v>0</v>
      </c>
      <c r="M603" s="15">
        <v>3.9047619047619044E-3</v>
      </c>
      <c r="N603" s="16">
        <v>1.6146190476190474</v>
      </c>
      <c r="O603" s="17">
        <v>78.63995238095238</v>
      </c>
      <c r="P603" s="16">
        <v>1.6146190476190476</v>
      </c>
      <c r="Q603" s="17">
        <v>78.63995238095238</v>
      </c>
    </row>
    <row r="604" spans="1:17" x14ac:dyDescent="0.25">
      <c r="A604" s="6" t="s">
        <v>5</v>
      </c>
      <c r="B604" s="7">
        <v>16</v>
      </c>
      <c r="C604" s="13">
        <v>105</v>
      </c>
      <c r="D604" s="13">
        <v>1</v>
      </c>
      <c r="E604" s="6" t="s">
        <v>355</v>
      </c>
      <c r="F604" s="13" t="s">
        <v>322</v>
      </c>
      <c r="G604" s="13">
        <v>3</v>
      </c>
      <c r="H604" s="7">
        <v>4.5</v>
      </c>
      <c r="I604" s="14" t="s">
        <v>318</v>
      </c>
      <c r="J604" s="7">
        <v>0.69</v>
      </c>
      <c r="K604" s="7">
        <v>12.839</v>
      </c>
      <c r="L604" s="6">
        <v>1</v>
      </c>
      <c r="M604" s="15">
        <v>0.15905723905723906</v>
      </c>
      <c r="N604" s="16">
        <v>49.387272727272723</v>
      </c>
      <c r="O604" s="17">
        <v>918.96115151515153</v>
      </c>
      <c r="P604" s="16">
        <v>54.87474747474748</v>
      </c>
      <c r="Q604" s="17">
        <v>1021.0679461279462</v>
      </c>
    </row>
    <row r="605" spans="1:17" x14ac:dyDescent="0.25">
      <c r="A605" s="6" t="s">
        <v>5</v>
      </c>
      <c r="B605" s="7">
        <v>16</v>
      </c>
      <c r="C605" s="13">
        <v>105</v>
      </c>
      <c r="D605" s="13">
        <v>1</v>
      </c>
      <c r="E605" s="6" t="s">
        <v>355</v>
      </c>
      <c r="F605" s="13" t="s">
        <v>322</v>
      </c>
      <c r="G605" s="13">
        <v>3</v>
      </c>
      <c r="H605" s="7">
        <v>4.5</v>
      </c>
      <c r="I605" s="14" t="s">
        <v>319</v>
      </c>
      <c r="J605" s="7" t="s">
        <v>1673</v>
      </c>
      <c r="K605" s="7" t="s">
        <v>1673</v>
      </c>
      <c r="L605" s="6" t="s">
        <v>1673</v>
      </c>
      <c r="M605" s="15" t="s">
        <v>1673</v>
      </c>
      <c r="N605" s="16" t="s">
        <v>1673</v>
      </c>
      <c r="O605" s="17" t="s">
        <v>1673</v>
      </c>
      <c r="P605" s="16" t="s">
        <v>1673</v>
      </c>
      <c r="Q605" s="17" t="s">
        <v>1673</v>
      </c>
    </row>
    <row r="606" spans="1:17" x14ac:dyDescent="0.25">
      <c r="A606" s="6" t="s">
        <v>5</v>
      </c>
      <c r="B606" s="7">
        <v>16</v>
      </c>
      <c r="C606" s="13">
        <v>105</v>
      </c>
      <c r="D606" s="13">
        <v>1</v>
      </c>
      <c r="E606" s="6" t="s">
        <v>355</v>
      </c>
      <c r="F606" s="13" t="s">
        <v>324</v>
      </c>
      <c r="G606" s="18">
        <v>4</v>
      </c>
      <c r="H606" s="7">
        <v>0</v>
      </c>
      <c r="I606" s="14" t="s">
        <v>318</v>
      </c>
      <c r="J606" s="7" t="s">
        <v>1673</v>
      </c>
      <c r="K606" s="7" t="s">
        <v>1673</v>
      </c>
      <c r="L606" s="6" t="s">
        <v>1673</v>
      </c>
      <c r="M606" s="15" t="s">
        <v>1673</v>
      </c>
      <c r="N606" s="16" t="s">
        <v>1673</v>
      </c>
      <c r="O606" s="17" t="s">
        <v>1673</v>
      </c>
      <c r="P606" s="16" t="s">
        <v>1673</v>
      </c>
      <c r="Q606" s="17" t="s">
        <v>1673</v>
      </c>
    </row>
    <row r="607" spans="1:17" x14ac:dyDescent="0.25">
      <c r="A607" s="6" t="s">
        <v>5</v>
      </c>
      <c r="B607" s="7">
        <v>16</v>
      </c>
      <c r="C607" s="13">
        <v>105</v>
      </c>
      <c r="D607" s="13">
        <v>1</v>
      </c>
      <c r="E607" s="6" t="s">
        <v>355</v>
      </c>
      <c r="F607" s="13" t="s">
        <v>324</v>
      </c>
      <c r="G607" s="18">
        <v>4</v>
      </c>
      <c r="H607" s="7">
        <v>0</v>
      </c>
      <c r="I607" s="14" t="s">
        <v>319</v>
      </c>
      <c r="J607" s="7" t="s">
        <v>1673</v>
      </c>
      <c r="K607" s="7" t="s">
        <v>1673</v>
      </c>
      <c r="L607" s="6" t="s">
        <v>1673</v>
      </c>
      <c r="M607" s="15" t="s">
        <v>1673</v>
      </c>
      <c r="N607" s="16" t="s">
        <v>1673</v>
      </c>
      <c r="O607" s="17" t="s">
        <v>1673</v>
      </c>
      <c r="P607" s="16" t="s">
        <v>1673</v>
      </c>
      <c r="Q607" s="17" t="s">
        <v>1673</v>
      </c>
    </row>
    <row r="608" spans="1:17" x14ac:dyDescent="0.25">
      <c r="A608" s="6" t="s">
        <v>5</v>
      </c>
      <c r="B608" s="7">
        <v>16</v>
      </c>
      <c r="C608" s="13">
        <v>105</v>
      </c>
      <c r="D608" s="13">
        <v>1</v>
      </c>
      <c r="E608" s="6" t="s">
        <v>355</v>
      </c>
      <c r="F608" s="13" t="s">
        <v>325</v>
      </c>
      <c r="G608" s="18">
        <v>5</v>
      </c>
      <c r="H608" s="7">
        <v>0</v>
      </c>
      <c r="I608" s="14" t="s">
        <v>318</v>
      </c>
      <c r="J608" s="7" t="s">
        <v>1673</v>
      </c>
      <c r="K608" s="7" t="s">
        <v>1673</v>
      </c>
      <c r="L608" s="6" t="s">
        <v>1673</v>
      </c>
      <c r="M608" s="15" t="s">
        <v>1673</v>
      </c>
      <c r="N608" s="16" t="s">
        <v>1673</v>
      </c>
      <c r="O608" s="17" t="s">
        <v>1673</v>
      </c>
      <c r="P608" s="16" t="s">
        <v>1673</v>
      </c>
      <c r="Q608" s="17" t="s">
        <v>1673</v>
      </c>
    </row>
    <row r="609" spans="1:17" x14ac:dyDescent="0.25">
      <c r="A609" s="6" t="s">
        <v>5</v>
      </c>
      <c r="B609" s="7">
        <v>16</v>
      </c>
      <c r="C609" s="13">
        <v>105</v>
      </c>
      <c r="D609" s="13">
        <v>1</v>
      </c>
      <c r="E609" s="6" t="s">
        <v>355</v>
      </c>
      <c r="F609" s="13" t="s">
        <v>325</v>
      </c>
      <c r="G609" s="18">
        <v>5</v>
      </c>
      <c r="H609" s="7">
        <v>0</v>
      </c>
      <c r="I609" s="14" t="s">
        <v>319</v>
      </c>
      <c r="J609" s="7" t="s">
        <v>1673</v>
      </c>
      <c r="K609" s="7" t="s">
        <v>1673</v>
      </c>
      <c r="L609" s="6" t="s">
        <v>1673</v>
      </c>
      <c r="M609" s="15" t="s">
        <v>1673</v>
      </c>
      <c r="N609" s="16" t="s">
        <v>1673</v>
      </c>
      <c r="O609" s="17" t="s">
        <v>1673</v>
      </c>
      <c r="P609" s="16" t="s">
        <v>1673</v>
      </c>
      <c r="Q609" s="17" t="s">
        <v>1673</v>
      </c>
    </row>
    <row r="610" spans="1:17" x14ac:dyDescent="0.25">
      <c r="A610" s="6" t="s">
        <v>5</v>
      </c>
      <c r="B610" s="7">
        <v>16</v>
      </c>
      <c r="C610" s="13">
        <v>105</v>
      </c>
      <c r="D610" s="13">
        <v>2</v>
      </c>
      <c r="E610" s="6" t="s">
        <v>316</v>
      </c>
      <c r="F610" s="13" t="s">
        <v>317</v>
      </c>
      <c r="G610" s="13">
        <v>0</v>
      </c>
      <c r="H610" s="7">
        <v>0</v>
      </c>
      <c r="I610" s="14" t="s">
        <v>318</v>
      </c>
      <c r="J610" s="7" t="s">
        <v>1673</v>
      </c>
      <c r="K610" s="7" t="s">
        <v>1673</v>
      </c>
      <c r="L610" s="6" t="s">
        <v>1673</v>
      </c>
      <c r="M610" s="15" t="s">
        <v>1673</v>
      </c>
      <c r="N610" s="16" t="s">
        <v>1673</v>
      </c>
      <c r="O610" s="17" t="s">
        <v>1673</v>
      </c>
      <c r="P610" s="16" t="s">
        <v>1673</v>
      </c>
      <c r="Q610" s="17" t="s">
        <v>1673</v>
      </c>
    </row>
    <row r="611" spans="1:17" x14ac:dyDescent="0.25">
      <c r="A611" s="6" t="s">
        <v>5</v>
      </c>
      <c r="B611" s="7">
        <v>16</v>
      </c>
      <c r="C611" s="13">
        <v>105</v>
      </c>
      <c r="D611" s="13">
        <v>2</v>
      </c>
      <c r="E611" s="6" t="s">
        <v>316</v>
      </c>
      <c r="F611" s="13" t="s">
        <v>317</v>
      </c>
      <c r="G611" s="13">
        <v>0</v>
      </c>
      <c r="H611" s="7">
        <v>0</v>
      </c>
      <c r="I611" s="14" t="s">
        <v>319</v>
      </c>
      <c r="J611" s="7" t="s">
        <v>1673</v>
      </c>
      <c r="K611" s="7" t="s">
        <v>1673</v>
      </c>
      <c r="L611" s="6" t="s">
        <v>1673</v>
      </c>
      <c r="M611" s="15" t="s">
        <v>1673</v>
      </c>
      <c r="N611" s="16" t="s">
        <v>1673</v>
      </c>
      <c r="O611" s="17" t="s">
        <v>1673</v>
      </c>
      <c r="P611" s="16" t="s">
        <v>1673</v>
      </c>
      <c r="Q611" s="17" t="s">
        <v>1673</v>
      </c>
    </row>
    <row r="612" spans="1:17" x14ac:dyDescent="0.25">
      <c r="A612" s="6" t="s">
        <v>5</v>
      </c>
      <c r="B612" s="7">
        <v>16</v>
      </c>
      <c r="C612" s="13">
        <v>105</v>
      </c>
      <c r="D612" s="13">
        <v>2</v>
      </c>
      <c r="E612" s="6" t="s">
        <v>355</v>
      </c>
      <c r="F612" s="13" t="s">
        <v>320</v>
      </c>
      <c r="G612" s="13">
        <v>1</v>
      </c>
      <c r="H612" s="7">
        <v>5</v>
      </c>
      <c r="I612" s="14" t="s">
        <v>318</v>
      </c>
      <c r="J612" s="7">
        <v>1.6619999999999999</v>
      </c>
      <c r="K612" s="7">
        <v>47.386000000000003</v>
      </c>
      <c r="L612" s="6">
        <v>0</v>
      </c>
      <c r="M612" s="15">
        <v>8.5824999999999999E-2</v>
      </c>
      <c r="N612" s="16">
        <v>71.320574999999991</v>
      </c>
      <c r="O612" s="17">
        <v>2033.4517250000001</v>
      </c>
      <c r="P612" s="16">
        <v>71.320574999999991</v>
      </c>
      <c r="Q612" s="17">
        <v>2033.4517250000001</v>
      </c>
    </row>
    <row r="613" spans="1:17" x14ac:dyDescent="0.25">
      <c r="A613" s="6" t="s">
        <v>5</v>
      </c>
      <c r="B613" s="7">
        <v>16</v>
      </c>
      <c r="C613" s="13">
        <v>105</v>
      </c>
      <c r="D613" s="13">
        <v>2</v>
      </c>
      <c r="E613" s="6" t="s">
        <v>355</v>
      </c>
      <c r="F613" s="13" t="s">
        <v>320</v>
      </c>
      <c r="G613" s="13">
        <v>1</v>
      </c>
      <c r="H613" s="7">
        <v>5</v>
      </c>
      <c r="I613" s="14" t="s">
        <v>319</v>
      </c>
      <c r="J613" s="7">
        <v>0.86599999999999999</v>
      </c>
      <c r="K613" s="7">
        <v>51.691000000000003</v>
      </c>
      <c r="L613" s="6">
        <v>0</v>
      </c>
      <c r="M613" s="15">
        <v>4.6125000000000003E-3</v>
      </c>
      <c r="N613" s="16">
        <v>1.9972124999999998</v>
      </c>
      <c r="O613" s="17">
        <v>119.21236875</v>
      </c>
      <c r="P613" s="16">
        <v>1.9972124999999998</v>
      </c>
      <c r="Q613" s="17">
        <v>119.21236875000001</v>
      </c>
    </row>
    <row r="614" spans="1:17" x14ac:dyDescent="0.25">
      <c r="A614" s="6" t="s">
        <v>5</v>
      </c>
      <c r="B614" s="7">
        <v>16</v>
      </c>
      <c r="C614" s="13">
        <v>105</v>
      </c>
      <c r="D614" s="13">
        <v>2</v>
      </c>
      <c r="E614" s="6" t="s">
        <v>355</v>
      </c>
      <c r="F614" s="13" t="s">
        <v>321</v>
      </c>
      <c r="G614" s="13">
        <v>2</v>
      </c>
      <c r="H614" s="7">
        <v>3.5</v>
      </c>
      <c r="I614" s="14" t="s">
        <v>318</v>
      </c>
      <c r="J614" s="7">
        <v>1.0860000000000001</v>
      </c>
      <c r="K614" s="7">
        <v>17.18</v>
      </c>
      <c r="L614" s="6">
        <v>1</v>
      </c>
      <c r="M614" s="15">
        <v>0.28032142857142855</v>
      </c>
      <c r="N614" s="16">
        <v>106.550175</v>
      </c>
      <c r="O614" s="17">
        <v>1685.5727499999998</v>
      </c>
      <c r="P614" s="16">
        <v>152.21453571428574</v>
      </c>
      <c r="Q614" s="17">
        <v>2407.9610714285714</v>
      </c>
    </row>
    <row r="615" spans="1:17" x14ac:dyDescent="0.25">
      <c r="A615" s="6" t="s">
        <v>5</v>
      </c>
      <c r="B615" s="7">
        <v>16</v>
      </c>
      <c r="C615" s="13">
        <v>105</v>
      </c>
      <c r="D615" s="13">
        <v>2</v>
      </c>
      <c r="E615" s="6" t="s">
        <v>355</v>
      </c>
      <c r="F615" s="13" t="s">
        <v>321</v>
      </c>
      <c r="G615" s="13">
        <v>2</v>
      </c>
      <c r="H615" s="7">
        <v>3.5</v>
      </c>
      <c r="I615" s="14" t="s">
        <v>319</v>
      </c>
      <c r="J615" s="7">
        <v>1.1100000000000001</v>
      </c>
      <c r="K615" s="7">
        <v>49.113999999999997</v>
      </c>
      <c r="L615" s="6">
        <v>0</v>
      </c>
      <c r="M615" s="15">
        <v>1.4642857142857141E-2</v>
      </c>
      <c r="N615" s="16">
        <v>5.6887500000000006</v>
      </c>
      <c r="O615" s="17">
        <v>251.70924999999997</v>
      </c>
      <c r="P615" s="16">
        <v>8.1267857142857132</v>
      </c>
      <c r="Q615" s="17">
        <v>359.5846428571428</v>
      </c>
    </row>
    <row r="616" spans="1:17" x14ac:dyDescent="0.25">
      <c r="A616" s="6" t="s">
        <v>5</v>
      </c>
      <c r="B616" s="7">
        <v>16</v>
      </c>
      <c r="C616" s="13">
        <v>105</v>
      </c>
      <c r="D616" s="13">
        <v>3</v>
      </c>
      <c r="E616" s="6" t="s">
        <v>316</v>
      </c>
      <c r="F616" s="13" t="s">
        <v>317</v>
      </c>
      <c r="G616" s="13">
        <v>0</v>
      </c>
      <c r="H616" s="7">
        <v>0</v>
      </c>
      <c r="I616" s="14" t="s">
        <v>318</v>
      </c>
      <c r="J616" s="7" t="s">
        <v>1673</v>
      </c>
      <c r="K616" s="7" t="s">
        <v>1673</v>
      </c>
      <c r="L616" s="6" t="s">
        <v>1673</v>
      </c>
      <c r="M616" s="15" t="s">
        <v>1673</v>
      </c>
      <c r="N616" s="16" t="s">
        <v>1673</v>
      </c>
      <c r="O616" s="17" t="s">
        <v>1673</v>
      </c>
      <c r="P616" s="16" t="s">
        <v>1673</v>
      </c>
      <c r="Q616" s="17" t="s">
        <v>1673</v>
      </c>
    </row>
    <row r="617" spans="1:17" x14ac:dyDescent="0.25">
      <c r="A617" s="6" t="s">
        <v>5</v>
      </c>
      <c r="B617" s="7">
        <v>16</v>
      </c>
      <c r="C617" s="13">
        <v>105</v>
      </c>
      <c r="D617" s="13">
        <v>3</v>
      </c>
      <c r="E617" s="6" t="s">
        <v>316</v>
      </c>
      <c r="F617" s="13" t="s">
        <v>317</v>
      </c>
      <c r="G617" s="13">
        <v>0</v>
      </c>
      <c r="H617" s="7">
        <v>0</v>
      </c>
      <c r="I617" s="14" t="s">
        <v>319</v>
      </c>
      <c r="J617" s="7" t="s">
        <v>1673</v>
      </c>
      <c r="K617" s="7" t="s">
        <v>1673</v>
      </c>
      <c r="L617" s="6" t="s">
        <v>1673</v>
      </c>
      <c r="M617" s="15" t="s">
        <v>1673</v>
      </c>
      <c r="N617" s="16" t="s">
        <v>1673</v>
      </c>
      <c r="O617" s="17" t="s">
        <v>1673</v>
      </c>
      <c r="P617" s="16" t="s">
        <v>1673</v>
      </c>
      <c r="Q617" s="17" t="s">
        <v>1673</v>
      </c>
    </row>
    <row r="618" spans="1:17" x14ac:dyDescent="0.25">
      <c r="A618" s="6" t="s">
        <v>5</v>
      </c>
      <c r="B618" s="7">
        <v>16</v>
      </c>
      <c r="C618" s="13">
        <v>105</v>
      </c>
      <c r="D618" s="13">
        <v>3</v>
      </c>
      <c r="E618" s="6" t="s">
        <v>355</v>
      </c>
      <c r="F618" s="13" t="s">
        <v>320</v>
      </c>
      <c r="G618" s="13">
        <v>1</v>
      </c>
      <c r="H618" s="7">
        <v>5</v>
      </c>
      <c r="I618" s="14" t="s">
        <v>318</v>
      </c>
      <c r="J618" s="7">
        <v>0.92800000000000005</v>
      </c>
      <c r="K618" s="7">
        <v>41.673000000000002</v>
      </c>
      <c r="L618" s="6">
        <v>0</v>
      </c>
      <c r="M618" s="15">
        <v>3.32E-2</v>
      </c>
      <c r="N618" s="16">
        <v>15.4048</v>
      </c>
      <c r="O618" s="17">
        <v>691.7718000000001</v>
      </c>
      <c r="P618" s="16">
        <v>15.404800000000002</v>
      </c>
      <c r="Q618" s="17">
        <v>691.77180000000021</v>
      </c>
    </row>
    <row r="619" spans="1:17" x14ac:dyDescent="0.25">
      <c r="A619" s="6" t="s">
        <v>5</v>
      </c>
      <c r="B619" s="7">
        <v>16</v>
      </c>
      <c r="C619" s="13">
        <v>105</v>
      </c>
      <c r="D619" s="13">
        <v>3</v>
      </c>
      <c r="E619" s="6" t="s">
        <v>355</v>
      </c>
      <c r="F619" s="13" t="s">
        <v>320</v>
      </c>
      <c r="G619" s="13">
        <v>1</v>
      </c>
      <c r="H619" s="7">
        <v>5</v>
      </c>
      <c r="I619" s="14" t="s">
        <v>319</v>
      </c>
      <c r="J619" s="7" t="s">
        <v>1673</v>
      </c>
      <c r="K619" s="7" t="s">
        <v>1673</v>
      </c>
      <c r="L619" s="6" t="s">
        <v>1673</v>
      </c>
      <c r="M619" s="15" t="s">
        <v>1673</v>
      </c>
      <c r="N619" s="16" t="s">
        <v>1673</v>
      </c>
      <c r="O619" s="17" t="s">
        <v>1673</v>
      </c>
      <c r="P619" s="16" t="s">
        <v>1673</v>
      </c>
      <c r="Q619" s="17" t="s">
        <v>1673</v>
      </c>
    </row>
    <row r="620" spans="1:17" x14ac:dyDescent="0.25">
      <c r="A620" s="6" t="s">
        <v>5</v>
      </c>
      <c r="B620" s="7">
        <v>16</v>
      </c>
      <c r="C620" s="13">
        <v>105</v>
      </c>
      <c r="D620" s="13">
        <v>3</v>
      </c>
      <c r="E620" s="6" t="s">
        <v>355</v>
      </c>
      <c r="F620" s="13" t="s">
        <v>321</v>
      </c>
      <c r="G620" s="13">
        <v>2</v>
      </c>
      <c r="H620" s="7">
        <v>5</v>
      </c>
      <c r="I620" s="14" t="s">
        <v>318</v>
      </c>
      <c r="J620" s="7">
        <v>1.008</v>
      </c>
      <c r="K620" s="7">
        <v>43.113</v>
      </c>
      <c r="L620" s="6">
        <v>0</v>
      </c>
      <c r="M620" s="15">
        <v>4.0873333333333338E-2</v>
      </c>
      <c r="N620" s="16">
        <v>20.600160000000002</v>
      </c>
      <c r="O620" s="17">
        <v>881.0860100000001</v>
      </c>
      <c r="P620" s="16">
        <v>20.600160000000006</v>
      </c>
      <c r="Q620" s="17">
        <v>881.0860100000001</v>
      </c>
    </row>
    <row r="621" spans="1:17" x14ac:dyDescent="0.25">
      <c r="A621" s="6" t="s">
        <v>5</v>
      </c>
      <c r="B621" s="7">
        <v>16</v>
      </c>
      <c r="C621" s="13">
        <v>105</v>
      </c>
      <c r="D621" s="13">
        <v>3</v>
      </c>
      <c r="E621" s="6" t="s">
        <v>355</v>
      </c>
      <c r="F621" s="13" t="s">
        <v>321</v>
      </c>
      <c r="G621" s="13">
        <v>2</v>
      </c>
      <c r="H621" s="7">
        <v>5</v>
      </c>
      <c r="I621" s="14" t="s">
        <v>319</v>
      </c>
      <c r="J621" s="7">
        <v>0.59899999999999998</v>
      </c>
      <c r="K621" s="7">
        <v>50.619</v>
      </c>
      <c r="L621" s="6">
        <v>0</v>
      </c>
      <c r="M621" s="15">
        <v>2.8600000000000001E-3</v>
      </c>
      <c r="N621" s="16">
        <v>0.85656999999999994</v>
      </c>
      <c r="O621" s="17">
        <v>72.385170000000002</v>
      </c>
      <c r="P621" s="16">
        <v>0.85656999999999994</v>
      </c>
      <c r="Q621" s="17">
        <v>72.385170000000002</v>
      </c>
    </row>
    <row r="622" spans="1:17" x14ac:dyDescent="0.25">
      <c r="A622" s="6" t="s">
        <v>5</v>
      </c>
      <c r="B622" s="7">
        <v>16</v>
      </c>
      <c r="C622" s="13">
        <v>105</v>
      </c>
      <c r="D622" s="13">
        <v>3</v>
      </c>
      <c r="E622" s="6" t="s">
        <v>355</v>
      </c>
      <c r="F622" s="13" t="s">
        <v>322</v>
      </c>
      <c r="G622" s="13">
        <v>3</v>
      </c>
      <c r="H622" s="7">
        <v>5</v>
      </c>
      <c r="I622" s="14" t="s">
        <v>318</v>
      </c>
      <c r="J622" s="7">
        <v>0.95099999999999996</v>
      </c>
      <c r="K622" s="7">
        <v>41.581000000000003</v>
      </c>
      <c r="L622" s="6">
        <v>0</v>
      </c>
      <c r="M622" s="15">
        <v>4.7311111111111109E-2</v>
      </c>
      <c r="N622" s="16">
        <v>22.496433333333332</v>
      </c>
      <c r="O622" s="17">
        <v>983.62165555555566</v>
      </c>
      <c r="P622" s="16">
        <v>22.496433333333332</v>
      </c>
      <c r="Q622" s="17">
        <v>983.62165555555566</v>
      </c>
    </row>
    <row r="623" spans="1:17" x14ac:dyDescent="0.25">
      <c r="A623" s="6" t="s">
        <v>5</v>
      </c>
      <c r="B623" s="7">
        <v>16</v>
      </c>
      <c r="C623" s="13">
        <v>105</v>
      </c>
      <c r="D623" s="13">
        <v>3</v>
      </c>
      <c r="E623" s="6" t="s">
        <v>355</v>
      </c>
      <c r="F623" s="13" t="s">
        <v>322</v>
      </c>
      <c r="G623" s="13">
        <v>3</v>
      </c>
      <c r="H623" s="7">
        <v>5</v>
      </c>
      <c r="I623" s="14" t="s">
        <v>319</v>
      </c>
      <c r="J623" s="7" t="s">
        <v>1673</v>
      </c>
      <c r="K623" s="7" t="s">
        <v>1673</v>
      </c>
      <c r="L623" s="6" t="s">
        <v>1673</v>
      </c>
      <c r="M623" s="15" t="s">
        <v>1673</v>
      </c>
      <c r="N623" s="16" t="s">
        <v>1673</v>
      </c>
      <c r="O623" s="17" t="s">
        <v>1673</v>
      </c>
      <c r="P623" s="16" t="s">
        <v>1673</v>
      </c>
      <c r="Q623" s="17" t="s">
        <v>1673</v>
      </c>
    </row>
    <row r="624" spans="1:17" x14ac:dyDescent="0.25">
      <c r="A624" s="6" t="s">
        <v>5</v>
      </c>
      <c r="B624" s="7">
        <v>16</v>
      </c>
      <c r="C624" s="13">
        <v>105</v>
      </c>
      <c r="D624" s="13">
        <v>3</v>
      </c>
      <c r="E624" s="6" t="s">
        <v>355</v>
      </c>
      <c r="F624" s="13" t="s">
        <v>324</v>
      </c>
      <c r="G624" s="18">
        <v>4</v>
      </c>
      <c r="H624" s="7">
        <v>4</v>
      </c>
      <c r="I624" s="14" t="s">
        <v>318</v>
      </c>
      <c r="J624" s="7">
        <v>1.3220000000000001</v>
      </c>
      <c r="K624" s="7">
        <v>34.713000000000001</v>
      </c>
      <c r="L624" s="6">
        <v>0</v>
      </c>
      <c r="M624" s="15">
        <v>9.2070707070707067E-2</v>
      </c>
      <c r="N624" s="16">
        <v>48.6869898989899</v>
      </c>
      <c r="O624" s="17">
        <v>1278.4201818181818</v>
      </c>
      <c r="P624" s="16">
        <v>60.858737373737377</v>
      </c>
      <c r="Q624" s="17">
        <v>1598.0252272727271</v>
      </c>
    </row>
    <row r="625" spans="1:17" x14ac:dyDescent="0.25">
      <c r="A625" s="6" t="s">
        <v>5</v>
      </c>
      <c r="B625" s="7">
        <v>16</v>
      </c>
      <c r="C625" s="13">
        <v>105</v>
      </c>
      <c r="D625" s="13">
        <v>3</v>
      </c>
      <c r="E625" s="6" t="s">
        <v>355</v>
      </c>
      <c r="F625" s="13" t="s">
        <v>324</v>
      </c>
      <c r="G625" s="18">
        <v>4</v>
      </c>
      <c r="H625" s="7">
        <v>4</v>
      </c>
      <c r="I625" s="14" t="s">
        <v>319</v>
      </c>
      <c r="J625" s="7">
        <v>1.0760000000000001</v>
      </c>
      <c r="K625" s="7">
        <v>47.237000000000002</v>
      </c>
      <c r="L625" s="6">
        <v>0</v>
      </c>
      <c r="M625" s="15">
        <v>1.0202020202020202E-3</v>
      </c>
      <c r="N625" s="16">
        <v>0.43909494949494954</v>
      </c>
      <c r="O625" s="17">
        <v>19.276513131313134</v>
      </c>
      <c r="P625" s="16">
        <v>0.54886868686868695</v>
      </c>
      <c r="Q625" s="17">
        <v>24.095641414141415</v>
      </c>
    </row>
    <row r="626" spans="1:17" x14ac:dyDescent="0.25">
      <c r="A626" s="6" t="s">
        <v>5</v>
      </c>
      <c r="B626" s="7">
        <v>16</v>
      </c>
      <c r="C626" s="13">
        <v>105</v>
      </c>
      <c r="D626" s="13">
        <v>4</v>
      </c>
      <c r="E626" s="6" t="s">
        <v>316</v>
      </c>
      <c r="F626" s="13" t="s">
        <v>317</v>
      </c>
      <c r="G626" s="13">
        <v>0</v>
      </c>
      <c r="H626" s="7">
        <v>0</v>
      </c>
      <c r="I626" s="14" t="s">
        <v>318</v>
      </c>
      <c r="J626" s="7" t="s">
        <v>1673</v>
      </c>
      <c r="K626" s="7" t="s">
        <v>1673</v>
      </c>
      <c r="L626" s="6" t="s">
        <v>1673</v>
      </c>
      <c r="M626" s="15" t="s">
        <v>1673</v>
      </c>
      <c r="N626" s="16" t="s">
        <v>1673</v>
      </c>
      <c r="O626" s="17" t="s">
        <v>1673</v>
      </c>
      <c r="P626" s="16" t="s">
        <v>1673</v>
      </c>
      <c r="Q626" s="17" t="s">
        <v>1673</v>
      </c>
    </row>
    <row r="627" spans="1:17" x14ac:dyDescent="0.25">
      <c r="A627" s="6" t="s">
        <v>5</v>
      </c>
      <c r="B627" s="7">
        <v>16</v>
      </c>
      <c r="C627" s="13">
        <v>105</v>
      </c>
      <c r="D627" s="13">
        <v>4</v>
      </c>
      <c r="E627" s="6" t="s">
        <v>316</v>
      </c>
      <c r="F627" s="13" t="s">
        <v>317</v>
      </c>
      <c r="G627" s="13">
        <v>0</v>
      </c>
      <c r="H627" s="7">
        <v>0</v>
      </c>
      <c r="I627" s="14" t="s">
        <v>319</v>
      </c>
      <c r="J627" s="7" t="s">
        <v>1673</v>
      </c>
      <c r="K627" s="7" t="s">
        <v>1673</v>
      </c>
      <c r="L627" s="6" t="s">
        <v>1673</v>
      </c>
      <c r="M627" s="15" t="s">
        <v>1673</v>
      </c>
      <c r="N627" s="16" t="s">
        <v>1673</v>
      </c>
      <c r="O627" s="17" t="s">
        <v>1673</v>
      </c>
      <c r="P627" s="16" t="s">
        <v>1673</v>
      </c>
      <c r="Q627" s="17" t="s">
        <v>1673</v>
      </c>
    </row>
    <row r="628" spans="1:17" x14ac:dyDescent="0.25">
      <c r="A628" s="6" t="s">
        <v>5</v>
      </c>
      <c r="B628" s="7">
        <v>16</v>
      </c>
      <c r="C628" s="13">
        <v>105</v>
      </c>
      <c r="D628" s="13">
        <v>4</v>
      </c>
      <c r="E628" s="6" t="s">
        <v>355</v>
      </c>
      <c r="F628" s="13" t="s">
        <v>320</v>
      </c>
      <c r="G628" s="13">
        <v>1</v>
      </c>
      <c r="H628" s="7">
        <v>5</v>
      </c>
      <c r="I628" s="14" t="s">
        <v>318</v>
      </c>
      <c r="J628" s="7">
        <v>1.4550000000000001</v>
      </c>
      <c r="K628" s="7">
        <v>46.34</v>
      </c>
      <c r="L628" s="6">
        <v>0</v>
      </c>
      <c r="M628" s="15">
        <v>8.2579393939393939E-2</v>
      </c>
      <c r="N628" s="16">
        <v>60.076509090909092</v>
      </c>
      <c r="O628" s="17">
        <v>1913.3645575757578</v>
      </c>
      <c r="P628" s="16">
        <v>60.076509090909092</v>
      </c>
      <c r="Q628" s="17">
        <v>1913.3645575757578</v>
      </c>
    </row>
    <row r="629" spans="1:17" x14ac:dyDescent="0.25">
      <c r="A629" s="6" t="s">
        <v>5</v>
      </c>
      <c r="B629" s="7">
        <v>16</v>
      </c>
      <c r="C629" s="13">
        <v>105</v>
      </c>
      <c r="D629" s="13">
        <v>4</v>
      </c>
      <c r="E629" s="6" t="s">
        <v>355</v>
      </c>
      <c r="F629" s="13" t="s">
        <v>320</v>
      </c>
      <c r="G629" s="13">
        <v>1</v>
      </c>
      <c r="H629" s="7">
        <v>5</v>
      </c>
      <c r="I629" s="14" t="s">
        <v>319</v>
      </c>
      <c r="J629" s="7">
        <v>0.77800000000000002</v>
      </c>
      <c r="K629" s="7">
        <v>50.322000000000003</v>
      </c>
      <c r="L629" s="6">
        <v>0</v>
      </c>
      <c r="M629" s="15">
        <v>7.1030303030303037E-3</v>
      </c>
      <c r="N629" s="16">
        <v>2.7630787878787877</v>
      </c>
      <c r="O629" s="17">
        <v>178.71934545454545</v>
      </c>
      <c r="P629" s="16">
        <v>2.7630787878787881</v>
      </c>
      <c r="Q629" s="17">
        <v>178.71934545454545</v>
      </c>
    </row>
    <row r="630" spans="1:17" x14ac:dyDescent="0.25">
      <c r="A630" s="6" t="s">
        <v>5</v>
      </c>
      <c r="B630" s="7">
        <v>16</v>
      </c>
      <c r="C630" s="13">
        <v>105</v>
      </c>
      <c r="D630" s="13">
        <v>4</v>
      </c>
      <c r="E630" s="6" t="s">
        <v>355</v>
      </c>
      <c r="F630" s="13" t="s">
        <v>321</v>
      </c>
      <c r="G630" s="13">
        <v>2</v>
      </c>
      <c r="H630" s="7">
        <v>5</v>
      </c>
      <c r="I630" s="14" t="s">
        <v>318</v>
      </c>
      <c r="J630" s="7">
        <v>1.7350000000000001</v>
      </c>
      <c r="K630" s="7">
        <v>50.665999999999997</v>
      </c>
      <c r="L630" s="6">
        <v>0</v>
      </c>
      <c r="M630" s="15">
        <v>6.7873939393939403E-2</v>
      </c>
      <c r="N630" s="16">
        <v>58.880642424242438</v>
      </c>
      <c r="O630" s="17">
        <v>1719.450506666667</v>
      </c>
      <c r="P630" s="16">
        <v>58.880642424242431</v>
      </c>
      <c r="Q630" s="17">
        <v>1719.450506666667</v>
      </c>
    </row>
    <row r="631" spans="1:17" x14ac:dyDescent="0.25">
      <c r="A631" s="6" t="s">
        <v>5</v>
      </c>
      <c r="B631" s="7">
        <v>16</v>
      </c>
      <c r="C631" s="13">
        <v>105</v>
      </c>
      <c r="D631" s="13">
        <v>4</v>
      </c>
      <c r="E631" s="6" t="s">
        <v>355</v>
      </c>
      <c r="F631" s="13" t="s">
        <v>321</v>
      </c>
      <c r="G631" s="13">
        <v>2</v>
      </c>
      <c r="H631" s="7">
        <v>5</v>
      </c>
      <c r="I631" s="14" t="s">
        <v>319</v>
      </c>
      <c r="J631" s="7" t="s">
        <v>1673</v>
      </c>
      <c r="K631" s="7" t="s">
        <v>1673</v>
      </c>
      <c r="L631" s="6" t="s">
        <v>1673</v>
      </c>
      <c r="M631" s="15" t="s">
        <v>1673</v>
      </c>
      <c r="N631" s="16" t="s">
        <v>1673</v>
      </c>
      <c r="O631" s="17" t="s">
        <v>1673</v>
      </c>
      <c r="P631" s="16" t="s">
        <v>1673</v>
      </c>
      <c r="Q631" s="17" t="s">
        <v>1673</v>
      </c>
    </row>
    <row r="632" spans="1:17" x14ac:dyDescent="0.25">
      <c r="A632" s="6" t="s">
        <v>5</v>
      </c>
      <c r="B632" s="7">
        <v>16</v>
      </c>
      <c r="C632" s="13">
        <v>105</v>
      </c>
      <c r="D632" s="13">
        <v>4</v>
      </c>
      <c r="E632" s="6" t="s">
        <v>355</v>
      </c>
      <c r="F632" s="13" t="s">
        <v>322</v>
      </c>
      <c r="G632" s="13">
        <v>3</v>
      </c>
      <c r="H632" s="7">
        <v>5</v>
      </c>
      <c r="I632" s="14" t="s">
        <v>318</v>
      </c>
      <c r="J632" s="7">
        <v>0.94499999999999995</v>
      </c>
      <c r="K632" s="7">
        <v>17.702000000000002</v>
      </c>
      <c r="L632" s="6">
        <v>1</v>
      </c>
      <c r="M632" s="15">
        <v>0.35771428571428571</v>
      </c>
      <c r="N632" s="16">
        <v>169.01999999999998</v>
      </c>
      <c r="O632" s="17">
        <v>3166.1291428571426</v>
      </c>
      <c r="P632" s="16">
        <v>169.02</v>
      </c>
      <c r="Q632" s="17">
        <v>3166.1291428571426</v>
      </c>
    </row>
    <row r="633" spans="1:17" x14ac:dyDescent="0.25">
      <c r="A633" s="6" t="s">
        <v>5</v>
      </c>
      <c r="B633" s="7">
        <v>16</v>
      </c>
      <c r="C633" s="13">
        <v>105</v>
      </c>
      <c r="D633" s="13">
        <v>4</v>
      </c>
      <c r="E633" s="6" t="s">
        <v>355</v>
      </c>
      <c r="F633" s="13" t="s">
        <v>322</v>
      </c>
      <c r="G633" s="13">
        <v>3</v>
      </c>
      <c r="H633" s="7">
        <v>5</v>
      </c>
      <c r="I633" s="14" t="s">
        <v>319</v>
      </c>
      <c r="J633" s="7" t="s">
        <v>1673</v>
      </c>
      <c r="K633" s="7" t="s">
        <v>1673</v>
      </c>
      <c r="L633" s="6" t="s">
        <v>1673</v>
      </c>
      <c r="M633" s="15" t="s">
        <v>1673</v>
      </c>
      <c r="N633" s="16" t="s">
        <v>1673</v>
      </c>
      <c r="O633" s="17" t="s">
        <v>1673</v>
      </c>
      <c r="P633" s="16" t="s">
        <v>1673</v>
      </c>
      <c r="Q633" s="17" t="s">
        <v>1673</v>
      </c>
    </row>
    <row r="634" spans="1:17" x14ac:dyDescent="0.25">
      <c r="A634" s="6" t="s">
        <v>5</v>
      </c>
      <c r="B634" s="7">
        <v>16</v>
      </c>
      <c r="C634" s="13">
        <v>105</v>
      </c>
      <c r="D634" s="13">
        <v>4</v>
      </c>
      <c r="E634" s="6" t="s">
        <v>355</v>
      </c>
      <c r="F634" s="13" t="s">
        <v>324</v>
      </c>
      <c r="G634" s="18">
        <v>4</v>
      </c>
      <c r="H634" s="7">
        <v>5</v>
      </c>
      <c r="I634" s="14" t="s">
        <v>318</v>
      </c>
      <c r="J634" s="7">
        <v>0.878</v>
      </c>
      <c r="K634" s="7">
        <v>17.036999999999999</v>
      </c>
      <c r="L634" s="6">
        <v>1</v>
      </c>
      <c r="M634" s="15">
        <v>0.4705662337662338</v>
      </c>
      <c r="N634" s="16">
        <v>206.57857662337665</v>
      </c>
      <c r="O634" s="17">
        <v>4008.5184623376631</v>
      </c>
      <c r="P634" s="16">
        <v>206.57857662337665</v>
      </c>
      <c r="Q634" s="17">
        <v>4008.5184623376622</v>
      </c>
    </row>
    <row r="635" spans="1:17" x14ac:dyDescent="0.25">
      <c r="A635" s="6" t="s">
        <v>5</v>
      </c>
      <c r="B635" s="7">
        <v>16</v>
      </c>
      <c r="C635" s="13">
        <v>105</v>
      </c>
      <c r="D635" s="13">
        <v>4</v>
      </c>
      <c r="E635" s="6" t="s">
        <v>355</v>
      </c>
      <c r="F635" s="13" t="s">
        <v>324</v>
      </c>
      <c r="G635" s="18">
        <v>4</v>
      </c>
      <c r="H635" s="7">
        <v>5</v>
      </c>
      <c r="I635" s="14" t="s">
        <v>319</v>
      </c>
      <c r="J635" s="7" t="s">
        <v>1673</v>
      </c>
      <c r="K635" s="7" t="s">
        <v>1673</v>
      </c>
      <c r="L635" s="6" t="s">
        <v>1673</v>
      </c>
      <c r="M635" s="15" t="s">
        <v>1673</v>
      </c>
      <c r="N635" s="16" t="s">
        <v>1673</v>
      </c>
      <c r="O635" s="17" t="s">
        <v>1673</v>
      </c>
      <c r="P635" s="16" t="s">
        <v>1673</v>
      </c>
      <c r="Q635" s="17" t="s">
        <v>1673</v>
      </c>
    </row>
    <row r="636" spans="1:17" x14ac:dyDescent="0.25">
      <c r="A636" s="6" t="s">
        <v>5</v>
      </c>
      <c r="B636" s="7">
        <v>16</v>
      </c>
      <c r="C636" s="13">
        <v>105</v>
      </c>
      <c r="D636" s="13">
        <v>4</v>
      </c>
      <c r="E636" s="6" t="s">
        <v>355</v>
      </c>
      <c r="F636" s="13" t="s">
        <v>325</v>
      </c>
      <c r="G636" s="18">
        <v>5</v>
      </c>
      <c r="H636" s="7">
        <v>5</v>
      </c>
      <c r="I636" s="14" t="s">
        <v>318</v>
      </c>
      <c r="J636" s="7">
        <v>1.0389999999999999</v>
      </c>
      <c r="K636" s="7">
        <v>18.454000000000001</v>
      </c>
      <c r="L636" s="6">
        <v>1</v>
      </c>
      <c r="M636" s="15">
        <v>0.38897454545454546</v>
      </c>
      <c r="N636" s="16">
        <v>202.07227636363635</v>
      </c>
      <c r="O636" s="17">
        <v>3589.068130909091</v>
      </c>
      <c r="P636" s="16">
        <v>202.07227636363638</v>
      </c>
      <c r="Q636" s="17">
        <v>3589.068130909091</v>
      </c>
    </row>
    <row r="637" spans="1:17" x14ac:dyDescent="0.25">
      <c r="A637" s="6" t="s">
        <v>5</v>
      </c>
      <c r="B637" s="7">
        <v>16</v>
      </c>
      <c r="C637" s="13">
        <v>105</v>
      </c>
      <c r="D637" s="13">
        <v>4</v>
      </c>
      <c r="E637" s="6" t="s">
        <v>355</v>
      </c>
      <c r="F637" s="13" t="s">
        <v>325</v>
      </c>
      <c r="G637" s="18">
        <v>5</v>
      </c>
      <c r="H637" s="7">
        <v>5</v>
      </c>
      <c r="I637" s="14" t="s">
        <v>319</v>
      </c>
      <c r="J637" s="7" t="s">
        <v>1673</v>
      </c>
      <c r="K637" s="7" t="s">
        <v>1673</v>
      </c>
      <c r="L637" s="6" t="s">
        <v>1673</v>
      </c>
      <c r="M637" s="15" t="s">
        <v>1673</v>
      </c>
      <c r="N637" s="16" t="s">
        <v>1673</v>
      </c>
      <c r="O637" s="17" t="s">
        <v>1673</v>
      </c>
      <c r="P637" s="16" t="s">
        <v>1673</v>
      </c>
      <c r="Q637" s="17" t="s">
        <v>1673</v>
      </c>
    </row>
    <row r="638" spans="1:17" x14ac:dyDescent="0.25">
      <c r="A638" s="6" t="s">
        <v>5</v>
      </c>
      <c r="B638" s="7">
        <v>16</v>
      </c>
      <c r="C638" s="13">
        <v>105</v>
      </c>
      <c r="D638" s="13">
        <v>4</v>
      </c>
      <c r="E638" s="6" t="s">
        <v>355</v>
      </c>
      <c r="F638" s="13" t="s">
        <v>326</v>
      </c>
      <c r="G638" s="18">
        <v>6</v>
      </c>
      <c r="H638" s="7">
        <v>0</v>
      </c>
      <c r="I638" s="14" t="s">
        <v>318</v>
      </c>
      <c r="J638" s="7" t="s">
        <v>1673</v>
      </c>
      <c r="K638" s="7" t="s">
        <v>1673</v>
      </c>
      <c r="L638" s="6" t="s">
        <v>1673</v>
      </c>
      <c r="M638" s="15" t="s">
        <v>1673</v>
      </c>
      <c r="N638" s="16" t="s">
        <v>1673</v>
      </c>
      <c r="O638" s="17" t="s">
        <v>1673</v>
      </c>
      <c r="P638" s="16" t="s">
        <v>1673</v>
      </c>
      <c r="Q638" s="17" t="s">
        <v>1673</v>
      </c>
    </row>
    <row r="639" spans="1:17" x14ac:dyDescent="0.25">
      <c r="A639" s="6" t="s">
        <v>5</v>
      </c>
      <c r="B639" s="7">
        <v>16</v>
      </c>
      <c r="C639" s="13">
        <v>105</v>
      </c>
      <c r="D639" s="13">
        <v>4</v>
      </c>
      <c r="E639" s="6" t="s">
        <v>355</v>
      </c>
      <c r="F639" s="13" t="s">
        <v>326</v>
      </c>
      <c r="G639" s="18">
        <v>6</v>
      </c>
      <c r="H639" s="7">
        <v>0</v>
      </c>
      <c r="I639" s="14" t="s">
        <v>319</v>
      </c>
      <c r="J639" s="7" t="s">
        <v>1673</v>
      </c>
      <c r="K639" s="7" t="s">
        <v>1673</v>
      </c>
      <c r="L639" s="6" t="s">
        <v>1673</v>
      </c>
      <c r="M639" s="15" t="s">
        <v>1673</v>
      </c>
      <c r="N639" s="16" t="s">
        <v>1673</v>
      </c>
      <c r="O639" s="17" t="s">
        <v>1673</v>
      </c>
      <c r="P639" s="16" t="s">
        <v>1673</v>
      </c>
      <c r="Q639" s="17" t="s">
        <v>1673</v>
      </c>
    </row>
    <row r="640" spans="1:17" x14ac:dyDescent="0.25">
      <c r="A640" s="6" t="s">
        <v>5</v>
      </c>
      <c r="B640" s="7">
        <v>16</v>
      </c>
      <c r="C640" s="13">
        <v>105</v>
      </c>
      <c r="D640" s="13">
        <v>5</v>
      </c>
      <c r="E640" s="6" t="s">
        <v>316</v>
      </c>
      <c r="F640" s="13" t="s">
        <v>317</v>
      </c>
      <c r="G640" s="13">
        <v>0</v>
      </c>
      <c r="H640" s="7">
        <v>0</v>
      </c>
      <c r="I640" s="14" t="s">
        <v>318</v>
      </c>
      <c r="J640" s="7" t="s">
        <v>1673</v>
      </c>
      <c r="K640" s="7" t="s">
        <v>1673</v>
      </c>
      <c r="L640" s="6" t="s">
        <v>1673</v>
      </c>
      <c r="M640" s="15" t="s">
        <v>1673</v>
      </c>
      <c r="N640" s="16" t="s">
        <v>1673</v>
      </c>
      <c r="O640" s="17" t="s">
        <v>1673</v>
      </c>
      <c r="P640" s="16" t="s">
        <v>1673</v>
      </c>
      <c r="Q640" s="17" t="s">
        <v>1673</v>
      </c>
    </row>
    <row r="641" spans="1:17" x14ac:dyDescent="0.25">
      <c r="A641" s="6" t="s">
        <v>5</v>
      </c>
      <c r="B641" s="7">
        <v>16</v>
      </c>
      <c r="C641" s="13">
        <v>105</v>
      </c>
      <c r="D641" s="13">
        <v>5</v>
      </c>
      <c r="E641" s="6" t="s">
        <v>316</v>
      </c>
      <c r="F641" s="13" t="s">
        <v>317</v>
      </c>
      <c r="G641" s="13">
        <v>0</v>
      </c>
      <c r="H641" s="7">
        <v>0</v>
      </c>
      <c r="I641" s="14" t="s">
        <v>319</v>
      </c>
      <c r="J641" s="7" t="s">
        <v>1673</v>
      </c>
      <c r="K641" s="7" t="s">
        <v>1673</v>
      </c>
      <c r="L641" s="6" t="s">
        <v>1673</v>
      </c>
      <c r="M641" s="15" t="s">
        <v>1673</v>
      </c>
      <c r="N641" s="16" t="s">
        <v>1673</v>
      </c>
      <c r="O641" s="17" t="s">
        <v>1673</v>
      </c>
      <c r="P641" s="16" t="s">
        <v>1673</v>
      </c>
      <c r="Q641" s="17" t="s">
        <v>1673</v>
      </c>
    </row>
    <row r="642" spans="1:17" x14ac:dyDescent="0.25">
      <c r="A642" s="6" t="s">
        <v>5</v>
      </c>
      <c r="B642" s="7">
        <v>16</v>
      </c>
      <c r="C642" s="13">
        <v>105</v>
      </c>
      <c r="D642" s="13">
        <v>5</v>
      </c>
      <c r="E642" s="6" t="s">
        <v>355</v>
      </c>
      <c r="F642" s="13" t="s">
        <v>320</v>
      </c>
      <c r="G642" s="13">
        <v>1</v>
      </c>
      <c r="H642" s="7">
        <v>5</v>
      </c>
      <c r="I642" s="14" t="s">
        <v>318</v>
      </c>
      <c r="J642" s="7">
        <v>0.83299999999999996</v>
      </c>
      <c r="K642" s="7">
        <v>45.561</v>
      </c>
      <c r="L642" s="6">
        <v>0</v>
      </c>
      <c r="M642" s="15">
        <v>3.133037037037037E-2</v>
      </c>
      <c r="N642" s="16">
        <v>13.049099259259259</v>
      </c>
      <c r="O642" s="17">
        <v>713.72150222222228</v>
      </c>
      <c r="P642" s="16">
        <v>13.049099259259258</v>
      </c>
      <c r="Q642" s="17">
        <v>713.72150222222217</v>
      </c>
    </row>
    <row r="643" spans="1:17" x14ac:dyDescent="0.25">
      <c r="A643" s="6" t="s">
        <v>5</v>
      </c>
      <c r="B643" s="7">
        <v>16</v>
      </c>
      <c r="C643" s="13">
        <v>105</v>
      </c>
      <c r="D643" s="13">
        <v>5</v>
      </c>
      <c r="E643" s="6" t="s">
        <v>355</v>
      </c>
      <c r="F643" s="13" t="s">
        <v>320</v>
      </c>
      <c r="G643" s="13">
        <v>1</v>
      </c>
      <c r="H643" s="7">
        <v>5</v>
      </c>
      <c r="I643" s="14" t="s">
        <v>319</v>
      </c>
      <c r="J643" s="7">
        <v>0.94299999999999995</v>
      </c>
      <c r="K643" s="7">
        <v>49.329000000000001</v>
      </c>
      <c r="L643" s="6">
        <v>0</v>
      </c>
      <c r="M643" s="15">
        <v>8.0000000000000004E-4</v>
      </c>
      <c r="N643" s="16">
        <v>0.37719999999999998</v>
      </c>
      <c r="O643" s="17">
        <v>19.7316</v>
      </c>
      <c r="P643" s="16">
        <v>0.37719999999999998</v>
      </c>
      <c r="Q643" s="17">
        <v>19.731600000000004</v>
      </c>
    </row>
    <row r="644" spans="1:17" x14ac:dyDescent="0.25">
      <c r="A644" s="6" t="s">
        <v>5</v>
      </c>
      <c r="B644" s="7">
        <v>16</v>
      </c>
      <c r="C644" s="13">
        <v>105</v>
      </c>
      <c r="D644" s="13">
        <v>5</v>
      </c>
      <c r="E644" s="6" t="s">
        <v>355</v>
      </c>
      <c r="F644" s="13" t="s">
        <v>321</v>
      </c>
      <c r="G644" s="13">
        <v>2</v>
      </c>
      <c r="H644" s="7">
        <v>5</v>
      </c>
      <c r="I644" s="14" t="s">
        <v>318</v>
      </c>
      <c r="J644" s="7">
        <v>0.91400000000000003</v>
      </c>
      <c r="K644" s="7">
        <v>45.122</v>
      </c>
      <c r="L644" s="6">
        <v>0</v>
      </c>
      <c r="M644" s="15">
        <v>3.9055555555555559E-2</v>
      </c>
      <c r="N644" s="16">
        <v>17.848388888888891</v>
      </c>
      <c r="O644" s="17">
        <v>881.13238888888907</v>
      </c>
      <c r="P644" s="16">
        <v>17.848388888888891</v>
      </c>
      <c r="Q644" s="17">
        <v>881.13238888888884</v>
      </c>
    </row>
    <row r="645" spans="1:17" x14ac:dyDescent="0.25">
      <c r="A645" s="6" t="s">
        <v>5</v>
      </c>
      <c r="B645" s="7">
        <v>16</v>
      </c>
      <c r="C645" s="13">
        <v>105</v>
      </c>
      <c r="D645" s="13">
        <v>5</v>
      </c>
      <c r="E645" s="6" t="s">
        <v>355</v>
      </c>
      <c r="F645" s="13" t="s">
        <v>321</v>
      </c>
      <c r="G645" s="13">
        <v>2</v>
      </c>
      <c r="H645" s="7">
        <v>5</v>
      </c>
      <c r="I645" s="14" t="s">
        <v>319</v>
      </c>
      <c r="J645" s="7">
        <v>0.72899999999999998</v>
      </c>
      <c r="K645" s="7">
        <v>51.424999999999997</v>
      </c>
      <c r="L645" s="6">
        <v>0</v>
      </c>
      <c r="M645" s="15">
        <v>1.8722222222222224E-3</v>
      </c>
      <c r="N645" s="16">
        <v>0.68242500000000006</v>
      </c>
      <c r="O645" s="17">
        <v>48.139513888888899</v>
      </c>
      <c r="P645" s="16">
        <v>0.68242499999999995</v>
      </c>
      <c r="Q645" s="17">
        <v>48.139513888888892</v>
      </c>
    </row>
    <row r="646" spans="1:17" x14ac:dyDescent="0.25">
      <c r="A646" s="6" t="s">
        <v>5</v>
      </c>
      <c r="B646" s="7">
        <v>16</v>
      </c>
      <c r="C646" s="13">
        <v>105</v>
      </c>
      <c r="D646" s="13">
        <v>5</v>
      </c>
      <c r="E646" s="6" t="s">
        <v>355</v>
      </c>
      <c r="F646" s="13" t="s">
        <v>322</v>
      </c>
      <c r="G646" s="13">
        <v>3</v>
      </c>
      <c r="H646" s="7">
        <v>5</v>
      </c>
      <c r="I646" s="14" t="s">
        <v>318</v>
      </c>
      <c r="J646" s="7">
        <v>1.379</v>
      </c>
      <c r="K646" s="7">
        <v>45.414000000000001</v>
      </c>
      <c r="L646" s="6">
        <v>0</v>
      </c>
      <c r="M646" s="15">
        <v>5.3880000000000004E-2</v>
      </c>
      <c r="N646" s="16">
        <v>37.15026000000001</v>
      </c>
      <c r="O646" s="17">
        <v>1223.4531600000003</v>
      </c>
      <c r="P646" s="16">
        <v>37.150260000000003</v>
      </c>
      <c r="Q646" s="17">
        <v>1223.45316</v>
      </c>
    </row>
    <row r="647" spans="1:17" x14ac:dyDescent="0.25">
      <c r="A647" s="6" t="s">
        <v>5</v>
      </c>
      <c r="B647" s="7">
        <v>16</v>
      </c>
      <c r="C647" s="13">
        <v>105</v>
      </c>
      <c r="D647" s="13">
        <v>5</v>
      </c>
      <c r="E647" s="6" t="s">
        <v>355</v>
      </c>
      <c r="F647" s="13" t="s">
        <v>322</v>
      </c>
      <c r="G647" s="13">
        <v>3</v>
      </c>
      <c r="H647" s="7">
        <v>5</v>
      </c>
      <c r="I647" s="14" t="s">
        <v>319</v>
      </c>
      <c r="J647" s="7">
        <v>0.47099999999999997</v>
      </c>
      <c r="K647" s="7">
        <v>48.731999999999999</v>
      </c>
      <c r="L647" s="6">
        <v>0</v>
      </c>
      <c r="M647" s="15">
        <v>5.0666666666666666E-4</v>
      </c>
      <c r="N647" s="16">
        <v>0.11932</v>
      </c>
      <c r="O647" s="17">
        <v>12.345439999999998</v>
      </c>
      <c r="P647" s="16">
        <v>0.11931999999999998</v>
      </c>
      <c r="Q647" s="17">
        <v>12.34544</v>
      </c>
    </row>
    <row r="648" spans="1:17" x14ac:dyDescent="0.25">
      <c r="A648" s="6" t="s">
        <v>5</v>
      </c>
      <c r="B648" s="7">
        <v>16</v>
      </c>
      <c r="C648" s="13">
        <v>105</v>
      </c>
      <c r="D648" s="13">
        <v>5</v>
      </c>
      <c r="E648" s="6" t="s">
        <v>355</v>
      </c>
      <c r="F648" s="13" t="s">
        <v>324</v>
      </c>
      <c r="G648" s="18">
        <v>4</v>
      </c>
      <c r="H648" s="7">
        <v>5</v>
      </c>
      <c r="I648" s="14" t="s">
        <v>318</v>
      </c>
      <c r="J648" s="7">
        <v>1.5509999999999999</v>
      </c>
      <c r="K648" s="7">
        <v>34.929000000000002</v>
      </c>
      <c r="L648" s="6">
        <v>0</v>
      </c>
      <c r="M648" s="15">
        <v>0.14994285714285716</v>
      </c>
      <c r="N648" s="16">
        <v>116.28068571428572</v>
      </c>
      <c r="O648" s="17">
        <v>2618.6770285714292</v>
      </c>
      <c r="P648" s="16">
        <v>116.28068571428571</v>
      </c>
      <c r="Q648" s="17">
        <v>2618.6770285714297</v>
      </c>
    </row>
    <row r="649" spans="1:17" x14ac:dyDescent="0.25">
      <c r="A649" s="6" t="s">
        <v>5</v>
      </c>
      <c r="B649" s="7">
        <v>16</v>
      </c>
      <c r="C649" s="13">
        <v>105</v>
      </c>
      <c r="D649" s="13">
        <v>5</v>
      </c>
      <c r="E649" s="6" t="s">
        <v>355</v>
      </c>
      <c r="F649" s="13" t="s">
        <v>324</v>
      </c>
      <c r="G649" s="18">
        <v>4</v>
      </c>
      <c r="H649" s="7">
        <v>5</v>
      </c>
      <c r="I649" s="14" t="s">
        <v>319</v>
      </c>
      <c r="J649" s="7">
        <v>1.7290000000000001</v>
      </c>
      <c r="K649" s="7">
        <v>49.134999999999998</v>
      </c>
      <c r="L649" s="6">
        <v>0</v>
      </c>
      <c r="M649" s="15">
        <v>2.8285714285714286E-3</v>
      </c>
      <c r="N649" s="16">
        <v>2.4452999999999996</v>
      </c>
      <c r="O649" s="17">
        <v>69.490928571428555</v>
      </c>
      <c r="P649" s="16">
        <v>2.4453</v>
      </c>
      <c r="Q649" s="17">
        <v>69.490928571428555</v>
      </c>
    </row>
    <row r="650" spans="1:17" x14ac:dyDescent="0.25">
      <c r="A650" s="6" t="s">
        <v>5</v>
      </c>
      <c r="B650" s="7">
        <v>16</v>
      </c>
      <c r="C650" s="13">
        <v>105</v>
      </c>
      <c r="D650" s="13">
        <v>5</v>
      </c>
      <c r="E650" s="6" t="s">
        <v>355</v>
      </c>
      <c r="F650" s="13" t="s">
        <v>325</v>
      </c>
      <c r="G650" s="18">
        <v>5</v>
      </c>
      <c r="H650" s="7">
        <v>2</v>
      </c>
      <c r="I650" s="14" t="s">
        <v>318</v>
      </c>
      <c r="J650" s="7">
        <v>0.93700000000000006</v>
      </c>
      <c r="K650" s="7">
        <v>14.263</v>
      </c>
      <c r="L650" s="6">
        <v>1</v>
      </c>
      <c r="M650" s="15">
        <v>0.33386813186813186</v>
      </c>
      <c r="N650" s="16">
        <v>62.566887912087914</v>
      </c>
      <c r="O650" s="17">
        <v>952.39223296703301</v>
      </c>
      <c r="P650" s="16">
        <v>156.41721978021977</v>
      </c>
      <c r="Q650" s="17">
        <v>2380.9805824175824</v>
      </c>
    </row>
    <row r="651" spans="1:17" x14ac:dyDescent="0.25">
      <c r="A651" s="6" t="s">
        <v>5</v>
      </c>
      <c r="B651" s="7">
        <v>16</v>
      </c>
      <c r="C651" s="13">
        <v>105</v>
      </c>
      <c r="D651" s="13">
        <v>5</v>
      </c>
      <c r="E651" s="6" t="s">
        <v>355</v>
      </c>
      <c r="F651" s="13" t="s">
        <v>325</v>
      </c>
      <c r="G651" s="18">
        <v>5</v>
      </c>
      <c r="H651" s="7">
        <v>2</v>
      </c>
      <c r="I651" s="14" t="s">
        <v>319</v>
      </c>
      <c r="J651" s="7" t="s">
        <v>1673</v>
      </c>
      <c r="K651" s="7" t="s">
        <v>1673</v>
      </c>
      <c r="L651" s="6" t="s">
        <v>1673</v>
      </c>
      <c r="M651" s="15" t="s">
        <v>1673</v>
      </c>
      <c r="N651" s="16" t="s">
        <v>1673</v>
      </c>
      <c r="O651" s="17" t="s">
        <v>1673</v>
      </c>
      <c r="P651" s="16" t="s">
        <v>1673</v>
      </c>
      <c r="Q651" s="17" t="s">
        <v>1673</v>
      </c>
    </row>
    <row r="652" spans="1:17" x14ac:dyDescent="0.25">
      <c r="A652" s="6" t="s">
        <v>5</v>
      </c>
      <c r="B652" s="7">
        <v>17</v>
      </c>
      <c r="C652" s="13">
        <v>106</v>
      </c>
      <c r="D652" s="13">
        <v>1</v>
      </c>
      <c r="E652" s="6" t="s">
        <v>316</v>
      </c>
      <c r="F652" s="13" t="s">
        <v>317</v>
      </c>
      <c r="G652" s="13">
        <v>0</v>
      </c>
      <c r="H652" s="7">
        <v>0</v>
      </c>
      <c r="I652" s="14" t="s">
        <v>318</v>
      </c>
      <c r="J652" s="7" t="s">
        <v>1673</v>
      </c>
      <c r="K652" s="7" t="s">
        <v>1673</v>
      </c>
      <c r="L652" s="6" t="s">
        <v>1673</v>
      </c>
      <c r="M652" s="15" t="s">
        <v>1673</v>
      </c>
      <c r="N652" s="16" t="s">
        <v>1673</v>
      </c>
      <c r="O652" s="17" t="s">
        <v>1673</v>
      </c>
      <c r="P652" s="16" t="s">
        <v>1673</v>
      </c>
      <c r="Q652" s="17" t="s">
        <v>1673</v>
      </c>
    </row>
    <row r="653" spans="1:17" x14ac:dyDescent="0.25">
      <c r="A653" s="6" t="s">
        <v>5</v>
      </c>
      <c r="B653" s="7">
        <v>17</v>
      </c>
      <c r="C653" s="13">
        <v>106</v>
      </c>
      <c r="D653" s="13">
        <v>1</v>
      </c>
      <c r="E653" s="6" t="s">
        <v>316</v>
      </c>
      <c r="F653" s="13" t="s">
        <v>317</v>
      </c>
      <c r="G653" s="13">
        <v>0</v>
      </c>
      <c r="H653" s="7">
        <v>0</v>
      </c>
      <c r="I653" s="14" t="s">
        <v>319</v>
      </c>
      <c r="J653" s="7" t="s">
        <v>1673</v>
      </c>
      <c r="K653" s="7" t="s">
        <v>1673</v>
      </c>
      <c r="L653" s="6" t="s">
        <v>1673</v>
      </c>
      <c r="M653" s="15" t="s">
        <v>1673</v>
      </c>
      <c r="N653" s="16" t="s">
        <v>1673</v>
      </c>
      <c r="O653" s="17" t="s">
        <v>1673</v>
      </c>
      <c r="P653" s="16" t="s">
        <v>1673</v>
      </c>
      <c r="Q653" s="17" t="s">
        <v>1673</v>
      </c>
    </row>
    <row r="654" spans="1:17" x14ac:dyDescent="0.25">
      <c r="A654" s="6" t="s">
        <v>5</v>
      </c>
      <c r="B654" s="7">
        <v>17</v>
      </c>
      <c r="C654" s="13">
        <v>106</v>
      </c>
      <c r="D654" s="13">
        <v>1</v>
      </c>
      <c r="E654" s="6" t="s">
        <v>355</v>
      </c>
      <c r="F654" s="13" t="s">
        <v>320</v>
      </c>
      <c r="G654" s="13">
        <v>1</v>
      </c>
      <c r="H654" s="7">
        <v>5</v>
      </c>
      <c r="I654" s="14" t="s">
        <v>318</v>
      </c>
      <c r="J654" s="7">
        <v>1.27</v>
      </c>
      <c r="K654" s="7">
        <v>47.168999999999997</v>
      </c>
      <c r="L654" s="6">
        <v>0</v>
      </c>
      <c r="M654" s="15">
        <v>5.0516666666666668E-2</v>
      </c>
      <c r="N654" s="16">
        <v>32.078083333333332</v>
      </c>
      <c r="O654" s="17">
        <v>1191.4103249999998</v>
      </c>
      <c r="P654" s="16">
        <v>32.078083333333332</v>
      </c>
      <c r="Q654" s="17">
        <v>1191.4103249999998</v>
      </c>
    </row>
    <row r="655" spans="1:17" x14ac:dyDescent="0.25">
      <c r="A655" s="6" t="s">
        <v>5</v>
      </c>
      <c r="B655" s="7">
        <v>17</v>
      </c>
      <c r="C655" s="13">
        <v>106</v>
      </c>
      <c r="D655" s="13">
        <v>1</v>
      </c>
      <c r="E655" s="6" t="s">
        <v>355</v>
      </c>
      <c r="F655" s="13" t="s">
        <v>320</v>
      </c>
      <c r="G655" s="13">
        <v>1</v>
      </c>
      <c r="H655" s="7">
        <v>5</v>
      </c>
      <c r="I655" s="14" t="s">
        <v>319</v>
      </c>
      <c r="J655" s="7">
        <v>0.48499999999999999</v>
      </c>
      <c r="K655" s="7">
        <v>51.792999999999999</v>
      </c>
      <c r="L655" s="6">
        <v>0</v>
      </c>
      <c r="M655" s="15">
        <v>7.1666666666666656E-4</v>
      </c>
      <c r="N655" s="16">
        <v>0.17379166666666665</v>
      </c>
      <c r="O655" s="17">
        <v>18.559158333333333</v>
      </c>
      <c r="P655" s="16">
        <v>0.17379166666666665</v>
      </c>
      <c r="Q655" s="17">
        <v>18.559158333333329</v>
      </c>
    </row>
    <row r="656" spans="1:17" x14ac:dyDescent="0.25">
      <c r="A656" s="6" t="s">
        <v>5</v>
      </c>
      <c r="B656" s="7">
        <v>17</v>
      </c>
      <c r="C656" s="13">
        <v>106</v>
      </c>
      <c r="D656" s="13">
        <v>1</v>
      </c>
      <c r="E656" s="6" t="s">
        <v>355</v>
      </c>
      <c r="F656" s="13" t="s">
        <v>321</v>
      </c>
      <c r="G656" s="13">
        <v>2</v>
      </c>
      <c r="H656" s="7">
        <v>5</v>
      </c>
      <c r="I656" s="14" t="s">
        <v>318</v>
      </c>
      <c r="J656" s="7">
        <v>1.0609999999999999</v>
      </c>
      <c r="K656" s="7">
        <v>45.631999999999998</v>
      </c>
      <c r="L656" s="6">
        <v>0</v>
      </c>
      <c r="M656" s="15">
        <v>6.4449999999999993E-2</v>
      </c>
      <c r="N656" s="16">
        <v>34.190724999999993</v>
      </c>
      <c r="O656" s="17">
        <v>1470.4911999999997</v>
      </c>
      <c r="P656" s="16">
        <v>34.190725</v>
      </c>
      <c r="Q656" s="17">
        <v>1470.4911999999997</v>
      </c>
    </row>
    <row r="657" spans="1:17" x14ac:dyDescent="0.25">
      <c r="A657" s="6" t="s">
        <v>5</v>
      </c>
      <c r="B657" s="7">
        <v>17</v>
      </c>
      <c r="C657" s="13">
        <v>106</v>
      </c>
      <c r="D657" s="13">
        <v>1</v>
      </c>
      <c r="E657" s="6" t="s">
        <v>355</v>
      </c>
      <c r="F657" s="13" t="s">
        <v>321</v>
      </c>
      <c r="G657" s="13">
        <v>2</v>
      </c>
      <c r="H657" s="7">
        <v>5</v>
      </c>
      <c r="I657" s="14" t="s">
        <v>319</v>
      </c>
      <c r="J657" s="7">
        <v>0.61599999999999999</v>
      </c>
      <c r="K657" s="7">
        <v>51.734000000000002</v>
      </c>
      <c r="L657" s="6">
        <v>0</v>
      </c>
      <c r="M657" s="15">
        <v>3.9249999999999997E-3</v>
      </c>
      <c r="N657" s="16">
        <v>1.2088999999999999</v>
      </c>
      <c r="O657" s="17">
        <v>101.527975</v>
      </c>
      <c r="P657" s="16">
        <v>1.2088999999999999</v>
      </c>
      <c r="Q657" s="17">
        <v>101.527975</v>
      </c>
    </row>
    <row r="658" spans="1:17" x14ac:dyDescent="0.25">
      <c r="A658" s="6" t="s">
        <v>5</v>
      </c>
      <c r="B658" s="7">
        <v>17</v>
      </c>
      <c r="C658" s="13">
        <v>106</v>
      </c>
      <c r="D658" s="13">
        <v>1</v>
      </c>
      <c r="E658" s="6" t="s">
        <v>355</v>
      </c>
      <c r="F658" s="13" t="s">
        <v>322</v>
      </c>
      <c r="G658" s="13">
        <v>3</v>
      </c>
      <c r="H658" s="7">
        <v>5</v>
      </c>
      <c r="I658" s="14" t="s">
        <v>318</v>
      </c>
      <c r="J658" s="7">
        <v>1.1279999999999999</v>
      </c>
      <c r="K658" s="7">
        <v>43.939</v>
      </c>
      <c r="L658" s="6">
        <v>0</v>
      </c>
      <c r="M658" s="15">
        <v>0.10355454545454545</v>
      </c>
      <c r="N658" s="16">
        <v>58.404763636363619</v>
      </c>
      <c r="O658" s="17">
        <v>2275.0415863636363</v>
      </c>
      <c r="P658" s="16">
        <v>58.404763636363633</v>
      </c>
      <c r="Q658" s="17">
        <v>2275.0415863636367</v>
      </c>
    </row>
    <row r="659" spans="1:17" x14ac:dyDescent="0.25">
      <c r="A659" s="6" t="s">
        <v>5</v>
      </c>
      <c r="B659" s="7">
        <v>17</v>
      </c>
      <c r="C659" s="13">
        <v>106</v>
      </c>
      <c r="D659" s="13">
        <v>1</v>
      </c>
      <c r="E659" s="6" t="s">
        <v>355</v>
      </c>
      <c r="F659" s="13" t="s">
        <v>322</v>
      </c>
      <c r="G659" s="13">
        <v>3</v>
      </c>
      <c r="H659" s="7">
        <v>5</v>
      </c>
      <c r="I659" s="14" t="s">
        <v>319</v>
      </c>
      <c r="J659" s="7">
        <v>0.66600000000000004</v>
      </c>
      <c r="K659" s="7">
        <v>51.334000000000003</v>
      </c>
      <c r="L659" s="6">
        <v>0</v>
      </c>
      <c r="M659" s="15">
        <v>3.2090909090909088E-3</v>
      </c>
      <c r="N659" s="16">
        <v>1.0686272727272725</v>
      </c>
      <c r="O659" s="17">
        <v>82.367736363636354</v>
      </c>
      <c r="P659" s="16">
        <v>1.0686272727272728</v>
      </c>
      <c r="Q659" s="17">
        <v>82.367736363636368</v>
      </c>
    </row>
    <row r="660" spans="1:17" x14ac:dyDescent="0.25">
      <c r="A660" s="6" t="s">
        <v>5</v>
      </c>
      <c r="B660" s="7">
        <v>17</v>
      </c>
      <c r="C660" s="13">
        <v>106</v>
      </c>
      <c r="D660" s="13">
        <v>1</v>
      </c>
      <c r="E660" s="6" t="s">
        <v>355</v>
      </c>
      <c r="F660" s="13" t="s">
        <v>324</v>
      </c>
      <c r="G660" s="18">
        <v>4</v>
      </c>
      <c r="H660" s="7">
        <v>5</v>
      </c>
      <c r="I660" s="14" t="s">
        <v>318</v>
      </c>
      <c r="J660" s="7">
        <v>1.879</v>
      </c>
      <c r="K660" s="7">
        <v>39.267000000000003</v>
      </c>
      <c r="L660" s="6">
        <v>0</v>
      </c>
      <c r="M660" s="15">
        <v>0.10569000000000001</v>
      </c>
      <c r="N660" s="16">
        <v>99.295755</v>
      </c>
      <c r="O660" s="17">
        <v>2075.0646150000002</v>
      </c>
      <c r="P660" s="16">
        <v>99.295755000000028</v>
      </c>
      <c r="Q660" s="17">
        <v>2075.0646150000002</v>
      </c>
    </row>
    <row r="661" spans="1:17" x14ac:dyDescent="0.25">
      <c r="A661" s="6" t="s">
        <v>5</v>
      </c>
      <c r="B661" s="7">
        <v>17</v>
      </c>
      <c r="C661" s="13">
        <v>106</v>
      </c>
      <c r="D661" s="13">
        <v>1</v>
      </c>
      <c r="E661" s="6" t="s">
        <v>355</v>
      </c>
      <c r="F661" s="13" t="s">
        <v>324</v>
      </c>
      <c r="G661" s="18">
        <v>4</v>
      </c>
      <c r="H661" s="7">
        <v>5</v>
      </c>
      <c r="I661" s="14" t="s">
        <v>319</v>
      </c>
      <c r="J661" s="7" t="s">
        <v>1673</v>
      </c>
      <c r="K661" s="7" t="s">
        <v>1673</v>
      </c>
      <c r="L661" s="6" t="s">
        <v>1673</v>
      </c>
      <c r="M661" s="15" t="s">
        <v>1673</v>
      </c>
      <c r="N661" s="16" t="s">
        <v>1673</v>
      </c>
      <c r="O661" s="17" t="s">
        <v>1673</v>
      </c>
      <c r="P661" s="16" t="s">
        <v>1673</v>
      </c>
      <c r="Q661" s="17" t="s">
        <v>1673</v>
      </c>
    </row>
    <row r="662" spans="1:17" x14ac:dyDescent="0.25">
      <c r="A662" s="6" t="s">
        <v>5</v>
      </c>
      <c r="B662" s="7">
        <v>17</v>
      </c>
      <c r="C662" s="13">
        <v>106</v>
      </c>
      <c r="D662" s="13">
        <v>2</v>
      </c>
      <c r="E662" s="6" t="s">
        <v>316</v>
      </c>
      <c r="F662" s="13" t="s">
        <v>317</v>
      </c>
      <c r="G662" s="13">
        <v>0</v>
      </c>
      <c r="H662" s="7">
        <v>0</v>
      </c>
      <c r="I662" s="14" t="s">
        <v>318</v>
      </c>
      <c r="J662" s="7" t="s">
        <v>1673</v>
      </c>
      <c r="K662" s="7" t="s">
        <v>1673</v>
      </c>
      <c r="L662" s="6" t="s">
        <v>1673</v>
      </c>
      <c r="M662" s="15" t="s">
        <v>1673</v>
      </c>
      <c r="N662" s="16" t="s">
        <v>1673</v>
      </c>
      <c r="O662" s="17" t="s">
        <v>1673</v>
      </c>
      <c r="P662" s="16" t="s">
        <v>1673</v>
      </c>
      <c r="Q662" s="17" t="s">
        <v>1673</v>
      </c>
    </row>
    <row r="663" spans="1:17" x14ac:dyDescent="0.25">
      <c r="A663" s="6" t="s">
        <v>5</v>
      </c>
      <c r="B663" s="7">
        <v>17</v>
      </c>
      <c r="C663" s="13">
        <v>106</v>
      </c>
      <c r="D663" s="13">
        <v>2</v>
      </c>
      <c r="E663" s="6" t="s">
        <v>316</v>
      </c>
      <c r="F663" s="13" t="s">
        <v>317</v>
      </c>
      <c r="G663" s="13">
        <v>0</v>
      </c>
      <c r="H663" s="7">
        <v>0</v>
      </c>
      <c r="I663" s="14" t="s">
        <v>319</v>
      </c>
      <c r="J663" s="7" t="s">
        <v>1673</v>
      </c>
      <c r="K663" s="7" t="s">
        <v>1673</v>
      </c>
      <c r="L663" s="6" t="s">
        <v>1673</v>
      </c>
      <c r="M663" s="15" t="s">
        <v>1673</v>
      </c>
      <c r="N663" s="16" t="s">
        <v>1673</v>
      </c>
      <c r="O663" s="17" t="s">
        <v>1673</v>
      </c>
      <c r="P663" s="16" t="s">
        <v>1673</v>
      </c>
      <c r="Q663" s="17" t="s">
        <v>1673</v>
      </c>
    </row>
    <row r="664" spans="1:17" x14ac:dyDescent="0.25">
      <c r="A664" s="6" t="s">
        <v>5</v>
      </c>
      <c r="B664" s="7">
        <v>17</v>
      </c>
      <c r="C664" s="13">
        <v>106</v>
      </c>
      <c r="D664" s="13">
        <v>2</v>
      </c>
      <c r="E664" s="6" t="s">
        <v>355</v>
      </c>
      <c r="F664" s="13" t="s">
        <v>320</v>
      </c>
      <c r="G664" s="13">
        <v>1</v>
      </c>
      <c r="H664" s="7">
        <v>5</v>
      </c>
      <c r="I664" s="14" t="s">
        <v>318</v>
      </c>
      <c r="J664" s="7">
        <v>0.77800000000000002</v>
      </c>
      <c r="K664" s="7">
        <v>46.031999999999996</v>
      </c>
      <c r="L664" s="6">
        <v>0</v>
      </c>
      <c r="M664" s="15">
        <v>4.8793939393939396E-2</v>
      </c>
      <c r="N664" s="16">
        <v>18.980842424242425</v>
      </c>
      <c r="O664" s="17">
        <v>1123.041309090909</v>
      </c>
      <c r="P664" s="16">
        <v>18.980842424242425</v>
      </c>
      <c r="Q664" s="17">
        <v>1123.041309090909</v>
      </c>
    </row>
    <row r="665" spans="1:17" x14ac:dyDescent="0.25">
      <c r="A665" s="6" t="s">
        <v>5</v>
      </c>
      <c r="B665" s="7">
        <v>17</v>
      </c>
      <c r="C665" s="13">
        <v>106</v>
      </c>
      <c r="D665" s="13">
        <v>2</v>
      </c>
      <c r="E665" s="6" t="s">
        <v>355</v>
      </c>
      <c r="F665" s="13" t="s">
        <v>320</v>
      </c>
      <c r="G665" s="13">
        <v>1</v>
      </c>
      <c r="H665" s="7">
        <v>5</v>
      </c>
      <c r="I665" s="14" t="s">
        <v>319</v>
      </c>
      <c r="J665" s="7">
        <v>0.48299999999999998</v>
      </c>
      <c r="K665" s="7">
        <v>51.493000000000002</v>
      </c>
      <c r="L665" s="6">
        <v>0</v>
      </c>
      <c r="M665" s="15">
        <v>7.6969696969696969E-4</v>
      </c>
      <c r="N665" s="16">
        <v>0.18588181818181818</v>
      </c>
      <c r="O665" s="17">
        <v>19.817003030303031</v>
      </c>
      <c r="P665" s="16">
        <v>0.1858818181818182</v>
      </c>
      <c r="Q665" s="17">
        <v>19.817003030303031</v>
      </c>
    </row>
    <row r="666" spans="1:17" x14ac:dyDescent="0.25">
      <c r="A666" s="6" t="s">
        <v>5</v>
      </c>
      <c r="B666" s="7">
        <v>17</v>
      </c>
      <c r="C666" s="13">
        <v>106</v>
      </c>
      <c r="D666" s="13">
        <v>2</v>
      </c>
      <c r="E666" s="6" t="s">
        <v>355</v>
      </c>
      <c r="F666" s="13" t="s">
        <v>321</v>
      </c>
      <c r="G666" s="13">
        <v>2</v>
      </c>
      <c r="H666" s="7">
        <v>5</v>
      </c>
      <c r="I666" s="14" t="s">
        <v>318</v>
      </c>
      <c r="J666" s="7">
        <v>0.877</v>
      </c>
      <c r="K666" s="7">
        <v>43.726999999999997</v>
      </c>
      <c r="L666" s="6">
        <v>0</v>
      </c>
      <c r="M666" s="15">
        <v>5.2383471074380163E-2</v>
      </c>
      <c r="N666" s="16">
        <v>22.970152066115702</v>
      </c>
      <c r="O666" s="17">
        <v>1145.2860198347107</v>
      </c>
      <c r="P666" s="16">
        <v>22.970152066115702</v>
      </c>
      <c r="Q666" s="17">
        <v>1145.2860198347107</v>
      </c>
    </row>
    <row r="667" spans="1:17" x14ac:dyDescent="0.25">
      <c r="A667" s="6" t="s">
        <v>5</v>
      </c>
      <c r="B667" s="7">
        <v>17</v>
      </c>
      <c r="C667" s="13">
        <v>106</v>
      </c>
      <c r="D667" s="13">
        <v>2</v>
      </c>
      <c r="E667" s="6" t="s">
        <v>355</v>
      </c>
      <c r="F667" s="13" t="s">
        <v>321</v>
      </c>
      <c r="G667" s="13">
        <v>2</v>
      </c>
      <c r="H667" s="7">
        <v>5</v>
      </c>
      <c r="I667" s="14" t="s">
        <v>319</v>
      </c>
      <c r="J667" s="7">
        <v>0.64500000000000002</v>
      </c>
      <c r="K667" s="7">
        <v>51.78</v>
      </c>
      <c r="L667" s="6">
        <v>0</v>
      </c>
      <c r="M667" s="15">
        <v>1.5999999999999999E-3</v>
      </c>
      <c r="N667" s="16">
        <v>0.5159999999999999</v>
      </c>
      <c r="O667" s="17">
        <v>41.423999999999992</v>
      </c>
      <c r="P667" s="16">
        <v>0.51600000000000001</v>
      </c>
      <c r="Q667" s="17">
        <v>41.423999999999999</v>
      </c>
    </row>
    <row r="668" spans="1:17" x14ac:dyDescent="0.25">
      <c r="A668" s="6" t="s">
        <v>5</v>
      </c>
      <c r="B668" s="7">
        <v>17</v>
      </c>
      <c r="C668" s="13">
        <v>106</v>
      </c>
      <c r="D668" s="13">
        <v>2</v>
      </c>
      <c r="E668" s="6" t="s">
        <v>355</v>
      </c>
      <c r="F668" s="13" t="s">
        <v>322</v>
      </c>
      <c r="G668" s="13">
        <v>3</v>
      </c>
      <c r="H668" s="7">
        <v>5</v>
      </c>
      <c r="I668" s="14" t="s">
        <v>318</v>
      </c>
      <c r="J668" s="7">
        <v>1.298</v>
      </c>
      <c r="K668" s="7">
        <v>41.627000000000002</v>
      </c>
      <c r="L668" s="6">
        <v>0</v>
      </c>
      <c r="M668" s="15">
        <v>0.29689599999999999</v>
      </c>
      <c r="N668" s="16">
        <v>192.68550399999998</v>
      </c>
      <c r="O668" s="17">
        <v>6179.444896</v>
      </c>
      <c r="P668" s="16">
        <v>192.68550400000001</v>
      </c>
      <c r="Q668" s="17">
        <v>6179.444896</v>
      </c>
    </row>
    <row r="669" spans="1:17" x14ac:dyDescent="0.25">
      <c r="A669" s="6" t="s">
        <v>5</v>
      </c>
      <c r="B669" s="7">
        <v>17</v>
      </c>
      <c r="C669" s="13">
        <v>106</v>
      </c>
      <c r="D669" s="13">
        <v>2</v>
      </c>
      <c r="E669" s="6" t="s">
        <v>355</v>
      </c>
      <c r="F669" s="13" t="s">
        <v>322</v>
      </c>
      <c r="G669" s="13">
        <v>3</v>
      </c>
      <c r="H669" s="7">
        <v>5</v>
      </c>
      <c r="I669" s="14" t="s">
        <v>319</v>
      </c>
      <c r="J669" s="7">
        <v>0.65</v>
      </c>
      <c r="K669" s="7">
        <v>49.948</v>
      </c>
      <c r="L669" s="6">
        <v>0</v>
      </c>
      <c r="M669" s="15">
        <v>7.0399999999999998E-4</v>
      </c>
      <c r="N669" s="16">
        <v>0.22880000000000003</v>
      </c>
      <c r="O669" s="17">
        <v>17.581696000000001</v>
      </c>
      <c r="P669" s="16">
        <v>0.2288</v>
      </c>
      <c r="Q669" s="17">
        <v>17.581695999999997</v>
      </c>
    </row>
    <row r="670" spans="1:17" x14ac:dyDescent="0.25">
      <c r="A670" s="6" t="s">
        <v>5</v>
      </c>
      <c r="B670" s="7">
        <v>17</v>
      </c>
      <c r="C670" s="13">
        <v>106</v>
      </c>
      <c r="D670" s="13">
        <v>3</v>
      </c>
      <c r="E670" s="6" t="s">
        <v>316</v>
      </c>
      <c r="F670" s="13" t="s">
        <v>317</v>
      </c>
      <c r="G670" s="13">
        <v>0</v>
      </c>
      <c r="H670" s="7">
        <v>0</v>
      </c>
      <c r="I670" s="14" t="s">
        <v>318</v>
      </c>
      <c r="J670" s="7" t="s">
        <v>1673</v>
      </c>
      <c r="K670" s="7" t="s">
        <v>1673</v>
      </c>
      <c r="L670" s="6" t="s">
        <v>1673</v>
      </c>
      <c r="M670" s="15" t="s">
        <v>1673</v>
      </c>
      <c r="N670" s="16" t="s">
        <v>1673</v>
      </c>
      <c r="O670" s="17" t="s">
        <v>1673</v>
      </c>
      <c r="P670" s="16" t="s">
        <v>1673</v>
      </c>
      <c r="Q670" s="17" t="s">
        <v>1673</v>
      </c>
    </row>
    <row r="671" spans="1:17" x14ac:dyDescent="0.25">
      <c r="A671" s="6" t="s">
        <v>5</v>
      </c>
      <c r="B671" s="7">
        <v>17</v>
      </c>
      <c r="C671" s="13">
        <v>106</v>
      </c>
      <c r="D671" s="13">
        <v>3</v>
      </c>
      <c r="E671" s="6" t="s">
        <v>316</v>
      </c>
      <c r="F671" s="13" t="s">
        <v>317</v>
      </c>
      <c r="G671" s="13">
        <v>0</v>
      </c>
      <c r="H671" s="7">
        <v>0</v>
      </c>
      <c r="I671" s="14" t="s">
        <v>319</v>
      </c>
      <c r="J671" s="7" t="s">
        <v>1673</v>
      </c>
      <c r="K671" s="7" t="s">
        <v>1673</v>
      </c>
      <c r="L671" s="6" t="s">
        <v>1673</v>
      </c>
      <c r="M671" s="15" t="s">
        <v>1673</v>
      </c>
      <c r="N671" s="16" t="s">
        <v>1673</v>
      </c>
      <c r="O671" s="17" t="s">
        <v>1673</v>
      </c>
      <c r="P671" s="16" t="s">
        <v>1673</v>
      </c>
      <c r="Q671" s="17" t="s">
        <v>1673</v>
      </c>
    </row>
    <row r="672" spans="1:17" x14ac:dyDescent="0.25">
      <c r="A672" s="6" t="s">
        <v>5</v>
      </c>
      <c r="B672" s="7">
        <v>17</v>
      </c>
      <c r="C672" s="13">
        <v>106</v>
      </c>
      <c r="D672" s="13">
        <v>3</v>
      </c>
      <c r="E672" s="6" t="s">
        <v>355</v>
      </c>
      <c r="F672" s="13" t="s">
        <v>320</v>
      </c>
      <c r="G672" s="13">
        <v>1</v>
      </c>
      <c r="H672" s="7">
        <v>5</v>
      </c>
      <c r="I672" s="14" t="s">
        <v>318</v>
      </c>
      <c r="J672" s="7">
        <v>1.2290000000000001</v>
      </c>
      <c r="K672" s="7">
        <v>45.822000000000003</v>
      </c>
      <c r="L672" s="6">
        <v>0</v>
      </c>
      <c r="M672" s="15">
        <v>8.548E-2</v>
      </c>
      <c r="N672" s="16">
        <v>52.527460000000005</v>
      </c>
      <c r="O672" s="17">
        <v>1958.43228</v>
      </c>
      <c r="P672" s="16">
        <v>52.527459999999998</v>
      </c>
      <c r="Q672" s="17">
        <v>1958.43228</v>
      </c>
    </row>
    <row r="673" spans="1:17" x14ac:dyDescent="0.25">
      <c r="A673" s="6" t="s">
        <v>5</v>
      </c>
      <c r="B673" s="7">
        <v>17</v>
      </c>
      <c r="C673" s="13">
        <v>106</v>
      </c>
      <c r="D673" s="13">
        <v>3</v>
      </c>
      <c r="E673" s="6" t="s">
        <v>355</v>
      </c>
      <c r="F673" s="13" t="s">
        <v>320</v>
      </c>
      <c r="G673" s="13">
        <v>1</v>
      </c>
      <c r="H673" s="7">
        <v>5</v>
      </c>
      <c r="I673" s="14" t="s">
        <v>319</v>
      </c>
      <c r="J673" s="7">
        <v>0.66900000000000004</v>
      </c>
      <c r="K673" s="7">
        <v>49.015000000000001</v>
      </c>
      <c r="L673" s="6">
        <v>0</v>
      </c>
      <c r="M673" s="15">
        <v>1.9199999999999998E-3</v>
      </c>
      <c r="N673" s="16">
        <v>0.64224000000000003</v>
      </c>
      <c r="O673" s="17">
        <v>47.054400000000001</v>
      </c>
      <c r="P673" s="16">
        <v>0.64224000000000003</v>
      </c>
      <c r="Q673" s="17">
        <v>47.054400000000001</v>
      </c>
    </row>
    <row r="674" spans="1:17" x14ac:dyDescent="0.25">
      <c r="A674" s="6" t="s">
        <v>5</v>
      </c>
      <c r="B674" s="7">
        <v>17</v>
      </c>
      <c r="C674" s="13">
        <v>106</v>
      </c>
      <c r="D674" s="13">
        <v>3</v>
      </c>
      <c r="E674" s="6" t="s">
        <v>355</v>
      </c>
      <c r="F674" s="13" t="s">
        <v>321</v>
      </c>
      <c r="G674" s="13">
        <v>2</v>
      </c>
      <c r="H674" s="7">
        <v>5</v>
      </c>
      <c r="I674" s="14" t="s">
        <v>318</v>
      </c>
      <c r="J674" s="7">
        <v>1.3049999999999999</v>
      </c>
      <c r="K674" s="7">
        <v>31.693000000000001</v>
      </c>
      <c r="L674" s="6">
        <v>0</v>
      </c>
      <c r="M674" s="15">
        <v>0.13084000000000001</v>
      </c>
      <c r="N674" s="16">
        <v>85.373099999999994</v>
      </c>
      <c r="O674" s="17">
        <v>2073.3560600000001</v>
      </c>
      <c r="P674" s="16">
        <v>85.373100000000008</v>
      </c>
      <c r="Q674" s="17">
        <v>2073.3560600000001</v>
      </c>
    </row>
    <row r="675" spans="1:17" x14ac:dyDescent="0.25">
      <c r="A675" s="6" t="s">
        <v>5</v>
      </c>
      <c r="B675" s="7">
        <v>17</v>
      </c>
      <c r="C675" s="13">
        <v>106</v>
      </c>
      <c r="D675" s="13">
        <v>3</v>
      </c>
      <c r="E675" s="6" t="s">
        <v>355</v>
      </c>
      <c r="F675" s="13" t="s">
        <v>321</v>
      </c>
      <c r="G675" s="13">
        <v>2</v>
      </c>
      <c r="H675" s="7">
        <v>5</v>
      </c>
      <c r="I675" s="14" t="s">
        <v>319</v>
      </c>
      <c r="J675" s="7">
        <v>1.1000000000000001</v>
      </c>
      <c r="K675" s="7">
        <v>45.066000000000003</v>
      </c>
      <c r="L675" s="6">
        <v>0</v>
      </c>
      <c r="M675" s="15">
        <v>2.4666666666666665E-3</v>
      </c>
      <c r="N675" s="16">
        <v>1.3566666666666667</v>
      </c>
      <c r="O675" s="17">
        <v>55.581399999999995</v>
      </c>
      <c r="P675" s="16">
        <v>1.3566666666666667</v>
      </c>
      <c r="Q675" s="17">
        <v>55.581399999999995</v>
      </c>
    </row>
    <row r="676" spans="1:17" x14ac:dyDescent="0.25">
      <c r="A676" s="6" t="s">
        <v>5</v>
      </c>
      <c r="B676" s="7">
        <v>17</v>
      </c>
      <c r="C676" s="13">
        <v>106</v>
      </c>
      <c r="D676" s="13">
        <v>3</v>
      </c>
      <c r="E676" s="6" t="s">
        <v>355</v>
      </c>
      <c r="F676" s="13" t="s">
        <v>322</v>
      </c>
      <c r="G676" s="13">
        <v>3</v>
      </c>
      <c r="H676" s="7">
        <v>1</v>
      </c>
      <c r="I676" s="14" t="s">
        <v>318</v>
      </c>
      <c r="J676" s="7">
        <v>0.68200000000000005</v>
      </c>
      <c r="K676" s="7">
        <v>12.307</v>
      </c>
      <c r="L676" s="6">
        <v>1</v>
      </c>
      <c r="M676" s="15">
        <v>0.6848163265306122</v>
      </c>
      <c r="N676" s="16">
        <v>46.704473469387757</v>
      </c>
      <c r="O676" s="17">
        <v>842.80345306122445</v>
      </c>
      <c r="P676" s="16">
        <v>233.52236734693878</v>
      </c>
      <c r="Q676" s="17">
        <v>4214.0172653061218</v>
      </c>
    </row>
    <row r="677" spans="1:17" x14ac:dyDescent="0.25">
      <c r="A677" s="6" t="s">
        <v>5</v>
      </c>
      <c r="B677" s="7">
        <v>17</v>
      </c>
      <c r="C677" s="13">
        <v>106</v>
      </c>
      <c r="D677" s="13">
        <v>3</v>
      </c>
      <c r="E677" s="6" t="s">
        <v>355</v>
      </c>
      <c r="F677" s="13" t="s">
        <v>322</v>
      </c>
      <c r="G677" s="13">
        <v>3</v>
      </c>
      <c r="H677" s="7">
        <v>1</v>
      </c>
      <c r="I677" s="14" t="s">
        <v>319</v>
      </c>
      <c r="J677" s="7" t="s">
        <v>1673</v>
      </c>
      <c r="K677" s="7" t="s">
        <v>1673</v>
      </c>
      <c r="L677" s="6" t="s">
        <v>1673</v>
      </c>
      <c r="M677" s="15" t="s">
        <v>1673</v>
      </c>
      <c r="N677" s="16" t="s">
        <v>1673</v>
      </c>
      <c r="O677" s="17" t="s">
        <v>1673</v>
      </c>
      <c r="P677" s="16" t="s">
        <v>1673</v>
      </c>
      <c r="Q677" s="17" t="s">
        <v>1673</v>
      </c>
    </row>
    <row r="678" spans="1:17" x14ac:dyDescent="0.25">
      <c r="A678" s="6" t="s">
        <v>5</v>
      </c>
      <c r="B678" s="7">
        <v>17</v>
      </c>
      <c r="C678" s="13">
        <v>106</v>
      </c>
      <c r="D678" s="13">
        <v>4</v>
      </c>
      <c r="E678" s="6" t="s">
        <v>316</v>
      </c>
      <c r="F678" s="13" t="s">
        <v>317</v>
      </c>
      <c r="G678" s="13">
        <v>0</v>
      </c>
      <c r="H678" s="7">
        <v>0</v>
      </c>
      <c r="I678" s="14" t="s">
        <v>318</v>
      </c>
      <c r="J678" s="7" t="s">
        <v>1673</v>
      </c>
      <c r="K678" s="7" t="s">
        <v>1673</v>
      </c>
      <c r="L678" s="6" t="s">
        <v>1673</v>
      </c>
      <c r="M678" s="15" t="s">
        <v>1673</v>
      </c>
      <c r="N678" s="16" t="s">
        <v>1673</v>
      </c>
      <c r="O678" s="17" t="s">
        <v>1673</v>
      </c>
      <c r="P678" s="16" t="s">
        <v>1673</v>
      </c>
      <c r="Q678" s="17" t="s">
        <v>1673</v>
      </c>
    </row>
    <row r="679" spans="1:17" x14ac:dyDescent="0.25">
      <c r="A679" s="6" t="s">
        <v>5</v>
      </c>
      <c r="B679" s="7">
        <v>17</v>
      </c>
      <c r="C679" s="13">
        <v>106</v>
      </c>
      <c r="D679" s="13">
        <v>4</v>
      </c>
      <c r="E679" s="6" t="s">
        <v>316</v>
      </c>
      <c r="F679" s="13" t="s">
        <v>317</v>
      </c>
      <c r="G679" s="13">
        <v>0</v>
      </c>
      <c r="H679" s="7">
        <v>0</v>
      </c>
      <c r="I679" s="14" t="s">
        <v>319</v>
      </c>
      <c r="J679" s="7" t="s">
        <v>1673</v>
      </c>
      <c r="K679" s="7" t="s">
        <v>1673</v>
      </c>
      <c r="L679" s="6" t="s">
        <v>1673</v>
      </c>
      <c r="M679" s="15" t="s">
        <v>1673</v>
      </c>
      <c r="N679" s="16" t="s">
        <v>1673</v>
      </c>
      <c r="O679" s="17" t="s">
        <v>1673</v>
      </c>
      <c r="P679" s="16" t="s">
        <v>1673</v>
      </c>
      <c r="Q679" s="17" t="s">
        <v>1673</v>
      </c>
    </row>
    <row r="680" spans="1:17" x14ac:dyDescent="0.25">
      <c r="A680" s="6" t="s">
        <v>5</v>
      </c>
      <c r="B680" s="7">
        <v>17</v>
      </c>
      <c r="C680" s="13">
        <v>106</v>
      </c>
      <c r="D680" s="13">
        <v>4</v>
      </c>
      <c r="E680" s="6" t="s">
        <v>355</v>
      </c>
      <c r="F680" s="13" t="s">
        <v>320</v>
      </c>
      <c r="G680" s="13">
        <v>1</v>
      </c>
      <c r="H680" s="7">
        <v>5</v>
      </c>
      <c r="I680" s="14" t="s">
        <v>318</v>
      </c>
      <c r="J680" s="7">
        <v>1.1359999999999999</v>
      </c>
      <c r="K680" s="7">
        <v>45.545999999999999</v>
      </c>
      <c r="L680" s="6">
        <v>0</v>
      </c>
      <c r="M680" s="15">
        <v>5.0324705882352945E-2</v>
      </c>
      <c r="N680" s="16">
        <v>28.58443294117647</v>
      </c>
      <c r="O680" s="17">
        <v>1146.0445270588236</v>
      </c>
      <c r="P680" s="16">
        <v>28.584432941176473</v>
      </c>
      <c r="Q680" s="17">
        <v>1146.0445270588236</v>
      </c>
    </row>
    <row r="681" spans="1:17" x14ac:dyDescent="0.25">
      <c r="A681" s="6" t="s">
        <v>5</v>
      </c>
      <c r="B681" s="7">
        <v>17</v>
      </c>
      <c r="C681" s="13">
        <v>106</v>
      </c>
      <c r="D681" s="13">
        <v>4</v>
      </c>
      <c r="E681" s="6" t="s">
        <v>355</v>
      </c>
      <c r="F681" s="13" t="s">
        <v>320</v>
      </c>
      <c r="G681" s="13">
        <v>1</v>
      </c>
      <c r="H681" s="7">
        <v>5</v>
      </c>
      <c r="I681" s="14" t="s">
        <v>319</v>
      </c>
      <c r="J681" s="7">
        <v>0.58899999999999997</v>
      </c>
      <c r="K681" s="7">
        <v>52.945</v>
      </c>
      <c r="L681" s="6">
        <v>0</v>
      </c>
      <c r="M681" s="15">
        <v>2.5458823529411765E-3</v>
      </c>
      <c r="N681" s="16">
        <v>0.74976235294117632</v>
      </c>
      <c r="O681" s="17">
        <v>67.395870588235283</v>
      </c>
      <c r="P681" s="16">
        <v>0.74976235294117644</v>
      </c>
      <c r="Q681" s="17">
        <v>67.395870588235283</v>
      </c>
    </row>
    <row r="682" spans="1:17" x14ac:dyDescent="0.25">
      <c r="A682" s="6" t="s">
        <v>5</v>
      </c>
      <c r="B682" s="7">
        <v>17</v>
      </c>
      <c r="C682" s="13">
        <v>106</v>
      </c>
      <c r="D682" s="13">
        <v>4</v>
      </c>
      <c r="E682" s="6" t="s">
        <v>355</v>
      </c>
      <c r="F682" s="13" t="s">
        <v>321</v>
      </c>
      <c r="G682" s="13">
        <v>2</v>
      </c>
      <c r="H682" s="7">
        <v>5</v>
      </c>
      <c r="I682" s="14" t="s">
        <v>318</v>
      </c>
      <c r="J682" s="7">
        <v>1.635</v>
      </c>
      <c r="K682" s="7">
        <v>39.271000000000001</v>
      </c>
      <c r="L682" s="6">
        <v>0</v>
      </c>
      <c r="M682" s="15">
        <v>0.12675764705882353</v>
      </c>
      <c r="N682" s="16">
        <v>103.62437647058823</v>
      </c>
      <c r="O682" s="17">
        <v>2488.9497788235294</v>
      </c>
      <c r="P682" s="16">
        <v>103.62437647058823</v>
      </c>
      <c r="Q682" s="17">
        <v>2488.9497788235294</v>
      </c>
    </row>
    <row r="683" spans="1:17" x14ac:dyDescent="0.25">
      <c r="A683" s="6" t="s">
        <v>5</v>
      </c>
      <c r="B683" s="7">
        <v>17</v>
      </c>
      <c r="C683" s="13">
        <v>106</v>
      </c>
      <c r="D683" s="13">
        <v>4</v>
      </c>
      <c r="E683" s="6" t="s">
        <v>355</v>
      </c>
      <c r="F683" s="13" t="s">
        <v>321</v>
      </c>
      <c r="G683" s="13">
        <v>2</v>
      </c>
      <c r="H683" s="7">
        <v>5</v>
      </c>
      <c r="I683" s="14" t="s">
        <v>319</v>
      </c>
      <c r="J683" s="7">
        <v>0.626</v>
      </c>
      <c r="K683" s="7">
        <v>49.802999999999997</v>
      </c>
      <c r="L683" s="6">
        <v>0</v>
      </c>
      <c r="M683" s="15">
        <v>2.8188235294117647E-3</v>
      </c>
      <c r="N683" s="16">
        <v>0.88229176470588233</v>
      </c>
      <c r="O683" s="17">
        <v>70.192934117647056</v>
      </c>
      <c r="P683" s="16">
        <v>0.88229176470588233</v>
      </c>
      <c r="Q683" s="17">
        <v>70.192934117647056</v>
      </c>
    </row>
    <row r="684" spans="1:17" x14ac:dyDescent="0.25">
      <c r="A684" s="6" t="s">
        <v>5</v>
      </c>
      <c r="B684" s="7">
        <v>17</v>
      </c>
      <c r="C684" s="13">
        <v>106</v>
      </c>
      <c r="D684" s="13">
        <v>5</v>
      </c>
      <c r="E684" s="6" t="s">
        <v>316</v>
      </c>
      <c r="F684" s="13" t="s">
        <v>317</v>
      </c>
      <c r="G684" s="13">
        <v>0</v>
      </c>
      <c r="H684" s="7">
        <v>0</v>
      </c>
      <c r="I684" s="14" t="s">
        <v>318</v>
      </c>
      <c r="J684" s="7" t="s">
        <v>1673</v>
      </c>
      <c r="K684" s="7" t="s">
        <v>1673</v>
      </c>
      <c r="L684" s="6" t="s">
        <v>1673</v>
      </c>
      <c r="M684" s="15" t="s">
        <v>1673</v>
      </c>
      <c r="N684" s="16" t="s">
        <v>1673</v>
      </c>
      <c r="O684" s="17" t="s">
        <v>1673</v>
      </c>
      <c r="P684" s="16" t="s">
        <v>1673</v>
      </c>
      <c r="Q684" s="17" t="s">
        <v>1673</v>
      </c>
    </row>
    <row r="685" spans="1:17" x14ac:dyDescent="0.25">
      <c r="A685" s="6" t="s">
        <v>5</v>
      </c>
      <c r="B685" s="7">
        <v>17</v>
      </c>
      <c r="C685" s="13">
        <v>106</v>
      </c>
      <c r="D685" s="13">
        <v>5</v>
      </c>
      <c r="E685" s="6" t="s">
        <v>316</v>
      </c>
      <c r="F685" s="13" t="s">
        <v>317</v>
      </c>
      <c r="G685" s="13">
        <v>0</v>
      </c>
      <c r="H685" s="7">
        <v>0</v>
      </c>
      <c r="I685" s="14" t="s">
        <v>319</v>
      </c>
      <c r="J685" s="7" t="s">
        <v>1673</v>
      </c>
      <c r="K685" s="7" t="s">
        <v>1673</v>
      </c>
      <c r="L685" s="6" t="s">
        <v>1673</v>
      </c>
      <c r="M685" s="15" t="s">
        <v>1673</v>
      </c>
      <c r="N685" s="16" t="s">
        <v>1673</v>
      </c>
      <c r="O685" s="17" t="s">
        <v>1673</v>
      </c>
      <c r="P685" s="16" t="s">
        <v>1673</v>
      </c>
      <c r="Q685" s="17" t="s">
        <v>1673</v>
      </c>
    </row>
    <row r="686" spans="1:17" x14ac:dyDescent="0.25">
      <c r="A686" s="6" t="s">
        <v>5</v>
      </c>
      <c r="B686" s="7">
        <v>17</v>
      </c>
      <c r="C686" s="13">
        <v>106</v>
      </c>
      <c r="D686" s="13">
        <v>5</v>
      </c>
      <c r="E686" s="6" t="s">
        <v>355</v>
      </c>
      <c r="F686" s="13" t="s">
        <v>320</v>
      </c>
      <c r="G686" s="13">
        <v>1</v>
      </c>
      <c r="H686" s="7">
        <v>5</v>
      </c>
      <c r="I686" s="14" t="s">
        <v>318</v>
      </c>
      <c r="J686" s="7">
        <v>1.0960000000000001</v>
      </c>
      <c r="K686" s="7">
        <v>42.252000000000002</v>
      </c>
      <c r="L686" s="6">
        <v>0</v>
      </c>
      <c r="M686" s="15">
        <v>4.2269230769230767E-2</v>
      </c>
      <c r="N686" s="16">
        <v>23.163538461538465</v>
      </c>
      <c r="O686" s="17">
        <v>892.97976923076931</v>
      </c>
      <c r="P686" s="16">
        <v>23.163538461538465</v>
      </c>
      <c r="Q686" s="17">
        <v>892.97976923076919</v>
      </c>
    </row>
    <row r="687" spans="1:17" x14ac:dyDescent="0.25">
      <c r="A687" s="6" t="s">
        <v>5</v>
      </c>
      <c r="B687" s="7">
        <v>17</v>
      </c>
      <c r="C687" s="13">
        <v>106</v>
      </c>
      <c r="D687" s="13">
        <v>5</v>
      </c>
      <c r="E687" s="6" t="s">
        <v>355</v>
      </c>
      <c r="F687" s="13" t="s">
        <v>320</v>
      </c>
      <c r="G687" s="13">
        <v>1</v>
      </c>
      <c r="H687" s="7">
        <v>5</v>
      </c>
      <c r="I687" s="14" t="s">
        <v>319</v>
      </c>
      <c r="J687" s="7" t="s">
        <v>1673</v>
      </c>
      <c r="K687" s="7" t="s">
        <v>1673</v>
      </c>
      <c r="L687" s="6" t="s">
        <v>1673</v>
      </c>
      <c r="M687" s="15" t="s">
        <v>1673</v>
      </c>
      <c r="N687" s="16" t="s">
        <v>1673</v>
      </c>
      <c r="O687" s="17" t="s">
        <v>1673</v>
      </c>
      <c r="P687" s="16" t="s">
        <v>1673</v>
      </c>
      <c r="Q687" s="17" t="s">
        <v>1673</v>
      </c>
    </row>
    <row r="688" spans="1:17" x14ac:dyDescent="0.25">
      <c r="A688" s="6" t="s">
        <v>5</v>
      </c>
      <c r="B688" s="7">
        <v>17</v>
      </c>
      <c r="C688" s="13">
        <v>106</v>
      </c>
      <c r="D688" s="13">
        <v>5</v>
      </c>
      <c r="E688" s="6" t="s">
        <v>355</v>
      </c>
      <c r="F688" s="13" t="s">
        <v>321</v>
      </c>
      <c r="G688" s="13">
        <v>2</v>
      </c>
      <c r="H688" s="7">
        <v>5</v>
      </c>
      <c r="I688" s="14" t="s">
        <v>318</v>
      </c>
      <c r="J688" s="7">
        <v>0.91100000000000003</v>
      </c>
      <c r="K688" s="7">
        <v>41.731000000000002</v>
      </c>
      <c r="L688" s="6">
        <v>0</v>
      </c>
      <c r="M688" s="15">
        <v>4.8878571428571431E-2</v>
      </c>
      <c r="N688" s="16">
        <v>22.264189285714288</v>
      </c>
      <c r="O688" s="17">
        <v>1019.8758321428572</v>
      </c>
      <c r="P688" s="16">
        <v>22.264189285714288</v>
      </c>
      <c r="Q688" s="17">
        <v>1019.8758321428572</v>
      </c>
    </row>
    <row r="689" spans="1:17" x14ac:dyDescent="0.25">
      <c r="A689" s="6" t="s">
        <v>5</v>
      </c>
      <c r="B689" s="7">
        <v>17</v>
      </c>
      <c r="C689" s="13">
        <v>106</v>
      </c>
      <c r="D689" s="13">
        <v>5</v>
      </c>
      <c r="E689" s="6" t="s">
        <v>355</v>
      </c>
      <c r="F689" s="13" t="s">
        <v>321</v>
      </c>
      <c r="G689" s="13">
        <v>2</v>
      </c>
      <c r="H689" s="7">
        <v>5</v>
      </c>
      <c r="I689" s="14" t="s">
        <v>319</v>
      </c>
      <c r="J689" s="7">
        <v>0.52600000000000002</v>
      </c>
      <c r="K689" s="7">
        <v>52.119</v>
      </c>
      <c r="L689" s="6">
        <v>0</v>
      </c>
      <c r="M689" s="15">
        <v>5.3571428571428574E-4</v>
      </c>
      <c r="N689" s="16">
        <v>0.14089285714285715</v>
      </c>
      <c r="O689" s="17">
        <v>13.960446428571432</v>
      </c>
      <c r="P689" s="16">
        <v>0.14089285714285715</v>
      </c>
      <c r="Q689" s="17">
        <v>13.960446428571428</v>
      </c>
    </row>
    <row r="690" spans="1:17" x14ac:dyDescent="0.25">
      <c r="A690" s="6" t="s">
        <v>5</v>
      </c>
      <c r="B690" s="7">
        <v>17</v>
      </c>
      <c r="C690" s="13">
        <v>106</v>
      </c>
      <c r="D690" s="13">
        <v>5</v>
      </c>
      <c r="E690" s="6" t="s">
        <v>355</v>
      </c>
      <c r="F690" s="13" t="s">
        <v>322</v>
      </c>
      <c r="G690" s="13">
        <v>3</v>
      </c>
      <c r="H690" s="7">
        <v>5</v>
      </c>
      <c r="I690" s="14" t="s">
        <v>318</v>
      </c>
      <c r="J690" s="7">
        <v>1.1200000000000001</v>
      </c>
      <c r="K690" s="7">
        <v>38.667999999999999</v>
      </c>
      <c r="L690" s="6">
        <v>0</v>
      </c>
      <c r="M690" s="15">
        <v>6.5242857142857144E-2</v>
      </c>
      <c r="N690" s="16">
        <v>36.536000000000008</v>
      </c>
      <c r="O690" s="17">
        <v>1261.4053999999999</v>
      </c>
      <c r="P690" s="16">
        <v>36.536000000000008</v>
      </c>
      <c r="Q690" s="17">
        <v>1261.4053999999999</v>
      </c>
    </row>
    <row r="691" spans="1:17" x14ac:dyDescent="0.25">
      <c r="A691" s="6" t="s">
        <v>5</v>
      </c>
      <c r="B691" s="7">
        <v>17</v>
      </c>
      <c r="C691" s="13">
        <v>106</v>
      </c>
      <c r="D691" s="13">
        <v>5</v>
      </c>
      <c r="E691" s="6" t="s">
        <v>355</v>
      </c>
      <c r="F691" s="13" t="s">
        <v>322</v>
      </c>
      <c r="G691" s="13">
        <v>3</v>
      </c>
      <c r="H691" s="7">
        <v>5</v>
      </c>
      <c r="I691" s="14" t="s">
        <v>319</v>
      </c>
      <c r="J691" s="7">
        <v>0.72699999999999998</v>
      </c>
      <c r="K691" s="7">
        <v>49.831000000000003</v>
      </c>
      <c r="L691" s="6">
        <v>0</v>
      </c>
      <c r="M691" s="15">
        <v>2.1857142857142856E-3</v>
      </c>
      <c r="N691" s="16">
        <v>0.79450714285714286</v>
      </c>
      <c r="O691" s="17">
        <v>54.45816428571429</v>
      </c>
      <c r="P691" s="16">
        <v>0.79450714285714286</v>
      </c>
      <c r="Q691" s="17">
        <v>54.458164285714282</v>
      </c>
    </row>
    <row r="692" spans="1:17" x14ac:dyDescent="0.25">
      <c r="A692" s="6" t="s">
        <v>5</v>
      </c>
      <c r="B692" s="7">
        <v>17</v>
      </c>
      <c r="C692" s="13">
        <v>106</v>
      </c>
      <c r="D692" s="13">
        <v>5</v>
      </c>
      <c r="E692" s="6" t="s">
        <v>355</v>
      </c>
      <c r="F692" s="13" t="s">
        <v>324</v>
      </c>
      <c r="G692" s="18">
        <v>4</v>
      </c>
      <c r="H692" s="7">
        <v>3</v>
      </c>
      <c r="I692" s="14" t="s">
        <v>318</v>
      </c>
      <c r="J692" s="7">
        <v>1.3109999999999999</v>
      </c>
      <c r="K692" s="7">
        <v>35.546999999999997</v>
      </c>
      <c r="L692" s="6">
        <v>0</v>
      </c>
      <c r="M692" s="15">
        <v>0.10473015873015873</v>
      </c>
      <c r="N692" s="16">
        <v>41.190371428571424</v>
      </c>
      <c r="O692" s="17">
        <v>1116.8528857142853</v>
      </c>
      <c r="P692" s="16">
        <v>68.65061904761906</v>
      </c>
      <c r="Q692" s="17">
        <v>1861.4214761904759</v>
      </c>
    </row>
    <row r="693" spans="1:17" x14ac:dyDescent="0.25">
      <c r="A693" s="6" t="s">
        <v>5</v>
      </c>
      <c r="B693" s="7">
        <v>17</v>
      </c>
      <c r="C693" s="13">
        <v>106</v>
      </c>
      <c r="D693" s="13">
        <v>5</v>
      </c>
      <c r="E693" s="6" t="s">
        <v>355</v>
      </c>
      <c r="F693" s="13" t="s">
        <v>324</v>
      </c>
      <c r="G693" s="18">
        <v>4</v>
      </c>
      <c r="H693" s="7">
        <v>3</v>
      </c>
      <c r="I693" s="14" t="s">
        <v>319</v>
      </c>
      <c r="J693" s="7">
        <v>1.218</v>
      </c>
      <c r="K693" s="7">
        <v>47.622</v>
      </c>
      <c r="L693" s="6">
        <v>0</v>
      </c>
      <c r="M693" s="15">
        <v>1.0095238095238095E-2</v>
      </c>
      <c r="N693" s="16">
        <v>3.6887999999999996</v>
      </c>
      <c r="O693" s="17">
        <v>144.22662857142856</v>
      </c>
      <c r="P693" s="16">
        <v>6.1479999999999997</v>
      </c>
      <c r="Q693" s="17">
        <v>240.37771428571429</v>
      </c>
    </row>
    <row r="694" spans="1:17" x14ac:dyDescent="0.25">
      <c r="A694" s="6" t="s">
        <v>5</v>
      </c>
      <c r="B694" s="7">
        <v>18</v>
      </c>
      <c r="C694" s="13">
        <v>107</v>
      </c>
      <c r="D694" s="13">
        <v>2</v>
      </c>
      <c r="E694" s="6" t="s">
        <v>316</v>
      </c>
      <c r="F694" s="13" t="s">
        <v>317</v>
      </c>
      <c r="G694" s="13">
        <v>0</v>
      </c>
      <c r="H694" s="7">
        <v>0</v>
      </c>
      <c r="I694" s="14" t="s">
        <v>318</v>
      </c>
      <c r="J694" s="7" t="s">
        <v>1673</v>
      </c>
      <c r="K694" s="7" t="s">
        <v>1673</v>
      </c>
      <c r="L694" s="6" t="s">
        <v>1673</v>
      </c>
      <c r="M694" s="15" t="s">
        <v>1673</v>
      </c>
      <c r="N694" s="16" t="s">
        <v>1673</v>
      </c>
      <c r="O694" s="17" t="s">
        <v>1673</v>
      </c>
      <c r="P694" s="16" t="s">
        <v>1673</v>
      </c>
      <c r="Q694" s="17" t="s">
        <v>1673</v>
      </c>
    </row>
    <row r="695" spans="1:17" x14ac:dyDescent="0.25">
      <c r="A695" s="6" t="s">
        <v>5</v>
      </c>
      <c r="B695" s="7">
        <v>18</v>
      </c>
      <c r="C695" s="13">
        <v>107</v>
      </c>
      <c r="D695" s="13">
        <v>2</v>
      </c>
      <c r="E695" s="6" t="s">
        <v>316</v>
      </c>
      <c r="F695" s="13" t="s">
        <v>317</v>
      </c>
      <c r="G695" s="13">
        <v>0</v>
      </c>
      <c r="H695" s="7">
        <v>0</v>
      </c>
      <c r="I695" s="14" t="s">
        <v>319</v>
      </c>
      <c r="J695" s="7" t="s">
        <v>1673</v>
      </c>
      <c r="K695" s="7" t="s">
        <v>1673</v>
      </c>
      <c r="L695" s="6" t="s">
        <v>1673</v>
      </c>
      <c r="M695" s="15" t="s">
        <v>1673</v>
      </c>
      <c r="N695" s="16" t="s">
        <v>1673</v>
      </c>
      <c r="O695" s="17" t="s">
        <v>1673</v>
      </c>
      <c r="P695" s="16" t="s">
        <v>1673</v>
      </c>
      <c r="Q695" s="17" t="s">
        <v>1673</v>
      </c>
    </row>
    <row r="696" spans="1:17" x14ac:dyDescent="0.25">
      <c r="A696" s="6" t="s">
        <v>5</v>
      </c>
      <c r="B696" s="7">
        <v>18</v>
      </c>
      <c r="C696" s="13">
        <v>107</v>
      </c>
      <c r="D696" s="13">
        <v>2</v>
      </c>
      <c r="E696" s="6" t="s">
        <v>355</v>
      </c>
      <c r="F696" s="13" t="s">
        <v>320</v>
      </c>
      <c r="G696" s="13">
        <v>1</v>
      </c>
      <c r="H696" s="7">
        <v>5</v>
      </c>
      <c r="I696" s="14" t="s">
        <v>318</v>
      </c>
      <c r="J696" s="7">
        <v>1.4890000000000001</v>
      </c>
      <c r="K696" s="7">
        <v>46.276000000000003</v>
      </c>
      <c r="L696" s="6">
        <v>0</v>
      </c>
      <c r="M696" s="15">
        <v>8.8033333333333338E-2</v>
      </c>
      <c r="N696" s="16">
        <v>65.540816666666672</v>
      </c>
      <c r="O696" s="17">
        <v>2036.9152666666671</v>
      </c>
      <c r="P696" s="16">
        <v>65.540816666666672</v>
      </c>
      <c r="Q696" s="17">
        <v>2036.9152666666673</v>
      </c>
    </row>
    <row r="697" spans="1:17" x14ac:dyDescent="0.25">
      <c r="A697" s="6" t="s">
        <v>5</v>
      </c>
      <c r="B697" s="7">
        <v>18</v>
      </c>
      <c r="C697" s="13">
        <v>107</v>
      </c>
      <c r="D697" s="13">
        <v>2</v>
      </c>
      <c r="E697" s="6" t="s">
        <v>355</v>
      </c>
      <c r="F697" s="13" t="s">
        <v>320</v>
      </c>
      <c r="G697" s="13">
        <v>1</v>
      </c>
      <c r="H697" s="7">
        <v>5</v>
      </c>
      <c r="I697" s="14" t="s">
        <v>319</v>
      </c>
      <c r="J697" s="7">
        <v>0.71</v>
      </c>
      <c r="K697" s="7">
        <v>49.177999999999997</v>
      </c>
      <c r="L697" s="6">
        <v>0</v>
      </c>
      <c r="M697" s="15">
        <v>5.2399999999999999E-3</v>
      </c>
      <c r="N697" s="16">
        <v>1.8601999999999999</v>
      </c>
      <c r="O697" s="17">
        <v>128.84636</v>
      </c>
      <c r="P697" s="16">
        <v>1.8601999999999999</v>
      </c>
      <c r="Q697" s="17">
        <v>128.84636</v>
      </c>
    </row>
    <row r="698" spans="1:17" x14ac:dyDescent="0.25">
      <c r="A698" s="6" t="s">
        <v>5</v>
      </c>
      <c r="B698" s="7">
        <v>18</v>
      </c>
      <c r="C698" s="13">
        <v>107</v>
      </c>
      <c r="D698" s="13">
        <v>2</v>
      </c>
      <c r="E698" s="6" t="s">
        <v>355</v>
      </c>
      <c r="F698" s="13" t="s">
        <v>321</v>
      </c>
      <c r="G698" s="13">
        <v>2</v>
      </c>
      <c r="H698" s="7">
        <v>5</v>
      </c>
      <c r="I698" s="14" t="s">
        <v>318</v>
      </c>
      <c r="J698" s="7">
        <v>1.994</v>
      </c>
      <c r="K698" s="7">
        <v>43.305</v>
      </c>
      <c r="L698" s="6">
        <v>0</v>
      </c>
      <c r="M698" s="15">
        <v>0.12286666666666667</v>
      </c>
      <c r="N698" s="16">
        <v>122.49806666666667</v>
      </c>
      <c r="O698" s="17">
        <v>2660.3705</v>
      </c>
      <c r="P698" s="16">
        <v>122.49806666666665</v>
      </c>
      <c r="Q698" s="17">
        <v>2660.3705</v>
      </c>
    </row>
    <row r="699" spans="1:17" x14ac:dyDescent="0.25">
      <c r="A699" s="6" t="s">
        <v>5</v>
      </c>
      <c r="B699" s="7">
        <v>18</v>
      </c>
      <c r="C699" s="13">
        <v>107</v>
      </c>
      <c r="D699" s="13">
        <v>2</v>
      </c>
      <c r="E699" s="6" t="s">
        <v>355</v>
      </c>
      <c r="F699" s="13" t="s">
        <v>321</v>
      </c>
      <c r="G699" s="13">
        <v>2</v>
      </c>
      <c r="H699" s="7">
        <v>5</v>
      </c>
      <c r="I699" s="14" t="s">
        <v>319</v>
      </c>
      <c r="J699" s="7">
        <v>1.079</v>
      </c>
      <c r="K699" s="7">
        <v>50.326999999999998</v>
      </c>
      <c r="L699" s="6">
        <v>0</v>
      </c>
      <c r="M699" s="15">
        <v>3.3666666666666667E-3</v>
      </c>
      <c r="N699" s="16">
        <v>1.8163166666666664</v>
      </c>
      <c r="O699" s="17">
        <v>84.717116666666655</v>
      </c>
      <c r="P699" s="16">
        <v>1.8163166666666664</v>
      </c>
      <c r="Q699" s="17">
        <v>84.717116666666655</v>
      </c>
    </row>
    <row r="700" spans="1:17" x14ac:dyDescent="0.25">
      <c r="A700" s="6" t="s">
        <v>5</v>
      </c>
      <c r="B700" s="7">
        <v>18</v>
      </c>
      <c r="C700" s="13">
        <v>107</v>
      </c>
      <c r="D700" s="13">
        <v>2</v>
      </c>
      <c r="E700" s="6" t="s">
        <v>355</v>
      </c>
      <c r="F700" s="13" t="s">
        <v>322</v>
      </c>
      <c r="G700" s="13">
        <v>3</v>
      </c>
      <c r="H700" s="7">
        <v>5</v>
      </c>
      <c r="I700" s="14" t="s">
        <v>318</v>
      </c>
      <c r="J700" s="7">
        <v>1.601</v>
      </c>
      <c r="K700" s="7">
        <v>29.161999999999999</v>
      </c>
      <c r="L700" s="6">
        <v>0</v>
      </c>
      <c r="M700" s="15">
        <v>0.21657454545454546</v>
      </c>
      <c r="N700" s="16">
        <v>173.36792363636366</v>
      </c>
      <c r="O700" s="17">
        <v>3157.8734472727274</v>
      </c>
      <c r="P700" s="16">
        <v>173.36792363636368</v>
      </c>
      <c r="Q700" s="17">
        <v>3157.8734472727269</v>
      </c>
    </row>
    <row r="701" spans="1:17" x14ac:dyDescent="0.25">
      <c r="A701" s="6" t="s">
        <v>5</v>
      </c>
      <c r="B701" s="7">
        <v>18</v>
      </c>
      <c r="C701" s="13">
        <v>107</v>
      </c>
      <c r="D701" s="13">
        <v>2</v>
      </c>
      <c r="E701" s="6" t="s">
        <v>355</v>
      </c>
      <c r="F701" s="13" t="s">
        <v>322</v>
      </c>
      <c r="G701" s="13">
        <v>3</v>
      </c>
      <c r="H701" s="7">
        <v>5</v>
      </c>
      <c r="I701" s="14" t="s">
        <v>319</v>
      </c>
      <c r="J701" s="7" t="s">
        <v>1673</v>
      </c>
      <c r="K701" s="7" t="s">
        <v>1673</v>
      </c>
      <c r="L701" s="6" t="s">
        <v>1673</v>
      </c>
      <c r="M701" s="15" t="s">
        <v>1673</v>
      </c>
      <c r="N701" s="16" t="s">
        <v>1673</v>
      </c>
      <c r="O701" s="17" t="s">
        <v>1673</v>
      </c>
      <c r="P701" s="16" t="s">
        <v>1673</v>
      </c>
      <c r="Q701" s="17" t="s">
        <v>1673</v>
      </c>
    </row>
    <row r="702" spans="1:17" x14ac:dyDescent="0.25">
      <c r="A702" s="6" t="s">
        <v>5</v>
      </c>
      <c r="B702" s="7">
        <v>18</v>
      </c>
      <c r="C702" s="13">
        <v>107</v>
      </c>
      <c r="D702" s="13">
        <v>2</v>
      </c>
      <c r="E702" s="6" t="s">
        <v>355</v>
      </c>
      <c r="F702" s="13" t="s">
        <v>324</v>
      </c>
      <c r="G702" s="18">
        <v>4</v>
      </c>
      <c r="H702" s="7">
        <v>5</v>
      </c>
      <c r="I702" s="14" t="s">
        <v>318</v>
      </c>
      <c r="J702" s="7">
        <v>1.4570000000000001</v>
      </c>
      <c r="K702" s="7">
        <v>27.881</v>
      </c>
      <c r="L702" s="6">
        <v>0</v>
      </c>
      <c r="M702" s="15">
        <v>0.34725</v>
      </c>
      <c r="N702" s="16">
        <v>252.97162500000002</v>
      </c>
      <c r="O702" s="17">
        <v>4840.8386250000003</v>
      </c>
      <c r="P702" s="16">
        <v>252.97162500000005</v>
      </c>
      <c r="Q702" s="17">
        <v>4840.8386250000003</v>
      </c>
    </row>
    <row r="703" spans="1:17" x14ac:dyDescent="0.25">
      <c r="A703" s="6" t="s">
        <v>5</v>
      </c>
      <c r="B703" s="7">
        <v>18</v>
      </c>
      <c r="C703" s="13">
        <v>107</v>
      </c>
      <c r="D703" s="13">
        <v>2</v>
      </c>
      <c r="E703" s="6" t="s">
        <v>355</v>
      </c>
      <c r="F703" s="13" t="s">
        <v>324</v>
      </c>
      <c r="G703" s="18">
        <v>4</v>
      </c>
      <c r="H703" s="7">
        <v>5</v>
      </c>
      <c r="I703" s="14" t="s">
        <v>319</v>
      </c>
      <c r="J703" s="7" t="s">
        <v>1673</v>
      </c>
      <c r="K703" s="7" t="s">
        <v>1673</v>
      </c>
      <c r="L703" s="6" t="s">
        <v>1673</v>
      </c>
      <c r="M703" s="15" t="s">
        <v>1673</v>
      </c>
      <c r="N703" s="16" t="s">
        <v>1673</v>
      </c>
      <c r="O703" s="17" t="s">
        <v>1673</v>
      </c>
      <c r="P703" s="16" t="s">
        <v>1673</v>
      </c>
      <c r="Q703" s="17" t="s">
        <v>1673</v>
      </c>
    </row>
    <row r="704" spans="1:17" x14ac:dyDescent="0.25">
      <c r="A704" s="6" t="s">
        <v>5</v>
      </c>
      <c r="B704" s="7">
        <v>18</v>
      </c>
      <c r="C704" s="13">
        <v>107</v>
      </c>
      <c r="D704" s="13">
        <v>2</v>
      </c>
      <c r="E704" s="6" t="s">
        <v>355</v>
      </c>
      <c r="F704" s="13" t="s">
        <v>325</v>
      </c>
      <c r="G704" s="18">
        <v>5</v>
      </c>
      <c r="H704" s="7">
        <v>0</v>
      </c>
      <c r="I704" s="14" t="s">
        <v>318</v>
      </c>
      <c r="J704" s="7" t="s">
        <v>1673</v>
      </c>
      <c r="K704" s="7" t="s">
        <v>1673</v>
      </c>
      <c r="L704" s="6" t="s">
        <v>1673</v>
      </c>
      <c r="M704" s="15" t="s">
        <v>1673</v>
      </c>
      <c r="N704" s="16" t="s">
        <v>1673</v>
      </c>
      <c r="O704" s="17" t="s">
        <v>1673</v>
      </c>
      <c r="P704" s="16" t="s">
        <v>1673</v>
      </c>
      <c r="Q704" s="17" t="s">
        <v>1673</v>
      </c>
    </row>
    <row r="705" spans="1:17" x14ac:dyDescent="0.25">
      <c r="A705" s="6" t="s">
        <v>5</v>
      </c>
      <c r="B705" s="7">
        <v>18</v>
      </c>
      <c r="C705" s="13">
        <v>107</v>
      </c>
      <c r="D705" s="13">
        <v>2</v>
      </c>
      <c r="E705" s="6" t="s">
        <v>355</v>
      </c>
      <c r="F705" s="13" t="s">
        <v>325</v>
      </c>
      <c r="G705" s="18">
        <v>5</v>
      </c>
      <c r="H705" s="7">
        <v>0</v>
      </c>
      <c r="I705" s="14" t="s">
        <v>319</v>
      </c>
      <c r="J705" s="7" t="s">
        <v>1673</v>
      </c>
      <c r="K705" s="7" t="s">
        <v>1673</v>
      </c>
      <c r="L705" s="6" t="s">
        <v>1673</v>
      </c>
      <c r="M705" s="15" t="s">
        <v>1673</v>
      </c>
      <c r="N705" s="16" t="s">
        <v>1673</v>
      </c>
      <c r="O705" s="17" t="s">
        <v>1673</v>
      </c>
      <c r="P705" s="16" t="s">
        <v>1673</v>
      </c>
      <c r="Q705" s="17" t="s">
        <v>1673</v>
      </c>
    </row>
    <row r="706" spans="1:17" x14ac:dyDescent="0.25">
      <c r="A706" s="6" t="s">
        <v>5</v>
      </c>
      <c r="B706" s="7">
        <v>18</v>
      </c>
      <c r="C706" s="13">
        <v>107</v>
      </c>
      <c r="D706" s="13">
        <v>3</v>
      </c>
      <c r="E706" s="6" t="s">
        <v>316</v>
      </c>
      <c r="F706" s="13" t="s">
        <v>317</v>
      </c>
      <c r="G706" s="13">
        <v>0</v>
      </c>
      <c r="H706" s="7">
        <v>0</v>
      </c>
      <c r="I706" s="14" t="s">
        <v>318</v>
      </c>
      <c r="J706" s="7" t="s">
        <v>1673</v>
      </c>
      <c r="K706" s="7" t="s">
        <v>1673</v>
      </c>
      <c r="L706" s="6" t="s">
        <v>1673</v>
      </c>
      <c r="M706" s="15" t="s">
        <v>1673</v>
      </c>
      <c r="N706" s="16" t="s">
        <v>1673</v>
      </c>
      <c r="O706" s="17" t="s">
        <v>1673</v>
      </c>
      <c r="P706" s="16" t="s">
        <v>1673</v>
      </c>
      <c r="Q706" s="17" t="s">
        <v>1673</v>
      </c>
    </row>
    <row r="707" spans="1:17" x14ac:dyDescent="0.25">
      <c r="A707" s="6" t="s">
        <v>5</v>
      </c>
      <c r="B707" s="7">
        <v>18</v>
      </c>
      <c r="C707" s="13">
        <v>107</v>
      </c>
      <c r="D707" s="13">
        <v>3</v>
      </c>
      <c r="E707" s="6" t="s">
        <v>316</v>
      </c>
      <c r="F707" s="13" t="s">
        <v>317</v>
      </c>
      <c r="G707" s="13">
        <v>0</v>
      </c>
      <c r="H707" s="7">
        <v>0</v>
      </c>
      <c r="I707" s="14" t="s">
        <v>319</v>
      </c>
      <c r="J707" s="7" t="s">
        <v>1673</v>
      </c>
      <c r="K707" s="7" t="s">
        <v>1673</v>
      </c>
      <c r="L707" s="6" t="s">
        <v>1673</v>
      </c>
      <c r="M707" s="15" t="s">
        <v>1673</v>
      </c>
      <c r="N707" s="16" t="s">
        <v>1673</v>
      </c>
      <c r="O707" s="17" t="s">
        <v>1673</v>
      </c>
      <c r="P707" s="16" t="s">
        <v>1673</v>
      </c>
      <c r="Q707" s="17" t="s">
        <v>1673</v>
      </c>
    </row>
    <row r="708" spans="1:17" x14ac:dyDescent="0.25">
      <c r="A708" s="6" t="s">
        <v>5</v>
      </c>
      <c r="B708" s="7">
        <v>18</v>
      </c>
      <c r="C708" s="13">
        <v>107</v>
      </c>
      <c r="D708" s="13">
        <v>3</v>
      </c>
      <c r="E708" s="6" t="s">
        <v>355</v>
      </c>
      <c r="F708" s="13" t="s">
        <v>320</v>
      </c>
      <c r="G708" s="13">
        <v>1</v>
      </c>
      <c r="H708" s="7">
        <v>3</v>
      </c>
      <c r="I708" s="14" t="s">
        <v>318</v>
      </c>
      <c r="J708" s="7">
        <v>0.74099999999999999</v>
      </c>
      <c r="K708" s="7">
        <v>18.628</v>
      </c>
      <c r="L708" s="6">
        <v>1</v>
      </c>
      <c r="M708" s="15">
        <v>0.22217805383022773</v>
      </c>
      <c r="N708" s="16">
        <v>49.390181366459629</v>
      </c>
      <c r="O708" s="17">
        <v>1241.6198360248447</v>
      </c>
      <c r="P708" s="16">
        <v>82.316968944099372</v>
      </c>
      <c r="Q708" s="17">
        <v>2069.3663933747412</v>
      </c>
    </row>
    <row r="709" spans="1:17" x14ac:dyDescent="0.25">
      <c r="A709" s="6" t="s">
        <v>5</v>
      </c>
      <c r="B709" s="7">
        <v>18</v>
      </c>
      <c r="C709" s="13">
        <v>107</v>
      </c>
      <c r="D709" s="13">
        <v>3</v>
      </c>
      <c r="E709" s="6" t="s">
        <v>355</v>
      </c>
      <c r="F709" s="13" t="s">
        <v>320</v>
      </c>
      <c r="G709" s="13">
        <v>1</v>
      </c>
      <c r="H709" s="7">
        <v>3</v>
      </c>
      <c r="I709" s="14" t="s">
        <v>319</v>
      </c>
      <c r="J709" s="7" t="s">
        <v>1673</v>
      </c>
      <c r="K709" s="7" t="s">
        <v>1673</v>
      </c>
      <c r="L709" s="6" t="s">
        <v>1673</v>
      </c>
      <c r="M709" s="15" t="s">
        <v>1673</v>
      </c>
      <c r="N709" s="16" t="s">
        <v>1673</v>
      </c>
      <c r="O709" s="17" t="s">
        <v>1673</v>
      </c>
      <c r="P709" s="16" t="s">
        <v>1673</v>
      </c>
      <c r="Q709" s="17" t="s">
        <v>1673</v>
      </c>
    </row>
    <row r="710" spans="1:17" x14ac:dyDescent="0.25">
      <c r="A710" s="6" t="s">
        <v>5</v>
      </c>
      <c r="B710" s="7">
        <v>18</v>
      </c>
      <c r="C710" s="13">
        <v>107</v>
      </c>
      <c r="D710" s="13">
        <v>4</v>
      </c>
      <c r="E710" s="6" t="s">
        <v>316</v>
      </c>
      <c r="F710" s="13" t="s">
        <v>317</v>
      </c>
      <c r="G710" s="13">
        <v>0</v>
      </c>
      <c r="H710" s="7">
        <v>0</v>
      </c>
      <c r="I710" s="14" t="s">
        <v>318</v>
      </c>
      <c r="J710" s="7" t="s">
        <v>1673</v>
      </c>
      <c r="K710" s="7" t="s">
        <v>1673</v>
      </c>
      <c r="L710" s="6" t="s">
        <v>1673</v>
      </c>
      <c r="M710" s="15" t="s">
        <v>1673</v>
      </c>
      <c r="N710" s="16" t="s">
        <v>1673</v>
      </c>
      <c r="O710" s="17" t="s">
        <v>1673</v>
      </c>
      <c r="P710" s="16" t="s">
        <v>1673</v>
      </c>
      <c r="Q710" s="17" t="s">
        <v>1673</v>
      </c>
    </row>
    <row r="711" spans="1:17" x14ac:dyDescent="0.25">
      <c r="A711" s="6" t="s">
        <v>5</v>
      </c>
      <c r="B711" s="7">
        <v>18</v>
      </c>
      <c r="C711" s="13">
        <v>107</v>
      </c>
      <c r="D711" s="13">
        <v>4</v>
      </c>
      <c r="E711" s="6" t="s">
        <v>316</v>
      </c>
      <c r="F711" s="13" t="s">
        <v>317</v>
      </c>
      <c r="G711" s="13">
        <v>0</v>
      </c>
      <c r="H711" s="7">
        <v>0</v>
      </c>
      <c r="I711" s="14" t="s">
        <v>319</v>
      </c>
      <c r="J711" s="7" t="s">
        <v>1673</v>
      </c>
      <c r="K711" s="7" t="s">
        <v>1673</v>
      </c>
      <c r="L711" s="6" t="s">
        <v>1673</v>
      </c>
      <c r="M711" s="15" t="s">
        <v>1673</v>
      </c>
      <c r="N711" s="16" t="s">
        <v>1673</v>
      </c>
      <c r="O711" s="17" t="s">
        <v>1673</v>
      </c>
      <c r="P711" s="16" t="s">
        <v>1673</v>
      </c>
      <c r="Q711" s="17" t="s">
        <v>1673</v>
      </c>
    </row>
    <row r="712" spans="1:17" x14ac:dyDescent="0.25">
      <c r="A712" s="6" t="s">
        <v>5</v>
      </c>
      <c r="B712" s="7">
        <v>18</v>
      </c>
      <c r="C712" s="13">
        <v>107</v>
      </c>
      <c r="D712" s="13">
        <v>4</v>
      </c>
      <c r="E712" s="6" t="s">
        <v>355</v>
      </c>
      <c r="F712" s="13" t="s">
        <v>320</v>
      </c>
      <c r="G712" s="13">
        <v>1</v>
      </c>
      <c r="H712" s="7">
        <v>5</v>
      </c>
      <c r="I712" s="14" t="s">
        <v>318</v>
      </c>
      <c r="J712" s="7">
        <v>1.2509999999999999</v>
      </c>
      <c r="K712" s="7">
        <v>44.762999999999998</v>
      </c>
      <c r="L712" s="6">
        <v>0</v>
      </c>
      <c r="M712" s="15">
        <v>4.9475000000000005E-2</v>
      </c>
      <c r="N712" s="16">
        <v>30.946612500000001</v>
      </c>
      <c r="O712" s="17">
        <v>1107.3247125</v>
      </c>
      <c r="P712" s="16">
        <v>30.946612499999997</v>
      </c>
      <c r="Q712" s="17">
        <v>1107.3247125000003</v>
      </c>
    </row>
    <row r="713" spans="1:17" x14ac:dyDescent="0.25">
      <c r="A713" s="6" t="s">
        <v>5</v>
      </c>
      <c r="B713" s="7">
        <v>18</v>
      </c>
      <c r="C713" s="13">
        <v>107</v>
      </c>
      <c r="D713" s="13">
        <v>4</v>
      </c>
      <c r="E713" s="6" t="s">
        <v>355</v>
      </c>
      <c r="F713" s="13" t="s">
        <v>320</v>
      </c>
      <c r="G713" s="13">
        <v>1</v>
      </c>
      <c r="H713" s="7">
        <v>5</v>
      </c>
      <c r="I713" s="14" t="s">
        <v>319</v>
      </c>
      <c r="J713" s="7" t="s">
        <v>1673</v>
      </c>
      <c r="K713" s="7" t="s">
        <v>1673</v>
      </c>
      <c r="L713" s="6" t="s">
        <v>1673</v>
      </c>
      <c r="M713" s="15" t="s">
        <v>1673</v>
      </c>
      <c r="N713" s="16" t="s">
        <v>1673</v>
      </c>
      <c r="O713" s="17" t="s">
        <v>1673</v>
      </c>
      <c r="P713" s="16" t="s">
        <v>1673</v>
      </c>
      <c r="Q713" s="17" t="s">
        <v>1673</v>
      </c>
    </row>
    <row r="714" spans="1:17" x14ac:dyDescent="0.25">
      <c r="A714" s="6" t="s">
        <v>5</v>
      </c>
      <c r="B714" s="7">
        <v>18</v>
      </c>
      <c r="C714" s="13">
        <v>107</v>
      </c>
      <c r="D714" s="13">
        <v>4</v>
      </c>
      <c r="E714" s="6" t="s">
        <v>355</v>
      </c>
      <c r="F714" s="13" t="s">
        <v>321</v>
      </c>
      <c r="G714" s="13">
        <v>2</v>
      </c>
      <c r="H714" s="7">
        <v>5</v>
      </c>
      <c r="I714" s="14" t="s">
        <v>318</v>
      </c>
      <c r="J714" s="7">
        <v>0.96199999999999997</v>
      </c>
      <c r="K714" s="7">
        <v>44.283999999999999</v>
      </c>
      <c r="L714" s="6">
        <v>0</v>
      </c>
      <c r="M714" s="15">
        <v>0.10059428571428571</v>
      </c>
      <c r="N714" s="16">
        <v>48.385851428571428</v>
      </c>
      <c r="O714" s="17">
        <v>2227.3586742857142</v>
      </c>
      <c r="P714" s="16">
        <v>48.385851428571421</v>
      </c>
      <c r="Q714" s="17">
        <v>2227.3586742857142</v>
      </c>
    </row>
    <row r="715" spans="1:17" x14ac:dyDescent="0.25">
      <c r="A715" s="6" t="s">
        <v>5</v>
      </c>
      <c r="B715" s="7">
        <v>18</v>
      </c>
      <c r="C715" s="13">
        <v>107</v>
      </c>
      <c r="D715" s="13">
        <v>4</v>
      </c>
      <c r="E715" s="6" t="s">
        <v>355</v>
      </c>
      <c r="F715" s="13" t="s">
        <v>321</v>
      </c>
      <c r="G715" s="13">
        <v>2</v>
      </c>
      <c r="H715" s="7">
        <v>5</v>
      </c>
      <c r="I715" s="14" t="s">
        <v>319</v>
      </c>
      <c r="J715" s="7" t="s">
        <v>1673</v>
      </c>
      <c r="K715" s="7" t="s">
        <v>1673</v>
      </c>
      <c r="L715" s="6" t="s">
        <v>1673</v>
      </c>
      <c r="M715" s="15" t="s">
        <v>1673</v>
      </c>
      <c r="N715" s="16" t="s">
        <v>1673</v>
      </c>
      <c r="O715" s="17" t="s">
        <v>1673</v>
      </c>
      <c r="P715" s="16" t="s">
        <v>1673</v>
      </c>
      <c r="Q715" s="17" t="s">
        <v>1673</v>
      </c>
    </row>
    <row r="716" spans="1:17" x14ac:dyDescent="0.25">
      <c r="A716" s="6" t="s">
        <v>5</v>
      </c>
      <c r="B716" s="7">
        <v>18</v>
      </c>
      <c r="C716" s="13">
        <v>107</v>
      </c>
      <c r="D716" s="13">
        <v>4</v>
      </c>
      <c r="E716" s="6" t="s">
        <v>355</v>
      </c>
      <c r="F716" s="13" t="s">
        <v>322</v>
      </c>
      <c r="G716" s="13">
        <v>3</v>
      </c>
      <c r="H716" s="7">
        <v>5</v>
      </c>
      <c r="I716" s="14" t="s">
        <v>318</v>
      </c>
      <c r="J716" s="7">
        <v>0.81599999999999995</v>
      </c>
      <c r="K716" s="7">
        <v>43.526000000000003</v>
      </c>
      <c r="L716" s="6">
        <v>0</v>
      </c>
      <c r="M716" s="15">
        <v>0.10286857142857142</v>
      </c>
      <c r="N716" s="16">
        <v>41.970377142857139</v>
      </c>
      <c r="O716" s="17">
        <v>2238.7287200000001</v>
      </c>
      <c r="P716" s="16">
        <v>41.970377142857139</v>
      </c>
      <c r="Q716" s="17">
        <v>2238.7287200000001</v>
      </c>
    </row>
    <row r="717" spans="1:17" x14ac:dyDescent="0.25">
      <c r="A717" s="6" t="s">
        <v>5</v>
      </c>
      <c r="B717" s="7">
        <v>18</v>
      </c>
      <c r="C717" s="13">
        <v>107</v>
      </c>
      <c r="D717" s="13">
        <v>4</v>
      </c>
      <c r="E717" s="6" t="s">
        <v>355</v>
      </c>
      <c r="F717" s="13" t="s">
        <v>322</v>
      </c>
      <c r="G717" s="13">
        <v>3</v>
      </c>
      <c r="H717" s="7">
        <v>5</v>
      </c>
      <c r="I717" s="14" t="s">
        <v>319</v>
      </c>
      <c r="J717" s="7" t="s">
        <v>1673</v>
      </c>
      <c r="K717" s="7" t="s">
        <v>1673</v>
      </c>
      <c r="L717" s="6" t="s">
        <v>1673</v>
      </c>
      <c r="M717" s="15" t="s">
        <v>1673</v>
      </c>
      <c r="N717" s="16" t="s">
        <v>1673</v>
      </c>
      <c r="O717" s="17" t="s">
        <v>1673</v>
      </c>
      <c r="P717" s="16" t="s">
        <v>1673</v>
      </c>
      <c r="Q717" s="17" t="s">
        <v>1673</v>
      </c>
    </row>
    <row r="718" spans="1:17" x14ac:dyDescent="0.25">
      <c r="A718" s="6" t="s">
        <v>5</v>
      </c>
      <c r="B718" s="7">
        <v>18</v>
      </c>
      <c r="C718" s="13">
        <v>107</v>
      </c>
      <c r="D718" s="13">
        <v>4</v>
      </c>
      <c r="E718" s="6" t="s">
        <v>355</v>
      </c>
      <c r="F718" s="13" t="s">
        <v>324</v>
      </c>
      <c r="G718" s="18">
        <v>4</v>
      </c>
      <c r="H718" s="7">
        <v>2</v>
      </c>
      <c r="I718" s="14" t="s">
        <v>318</v>
      </c>
      <c r="J718" s="7">
        <v>1.3420000000000001</v>
      </c>
      <c r="K718" s="7">
        <v>40.238</v>
      </c>
      <c r="L718" s="6">
        <v>0</v>
      </c>
      <c r="M718" s="15">
        <v>0.11645714285714284</v>
      </c>
      <c r="N718" s="16">
        <v>31.257097142857141</v>
      </c>
      <c r="O718" s="17">
        <v>937.20050285714274</v>
      </c>
      <c r="P718" s="16">
        <v>78.142742857142849</v>
      </c>
      <c r="Q718" s="17">
        <v>2343.001257142857</v>
      </c>
    </row>
    <row r="719" spans="1:17" x14ac:dyDescent="0.25">
      <c r="A719" s="6" t="s">
        <v>5</v>
      </c>
      <c r="B719" s="7">
        <v>18</v>
      </c>
      <c r="C719" s="13">
        <v>107</v>
      </c>
      <c r="D719" s="13">
        <v>4</v>
      </c>
      <c r="E719" s="6" t="s">
        <v>355</v>
      </c>
      <c r="F719" s="13" t="s">
        <v>324</v>
      </c>
      <c r="G719" s="18">
        <v>4</v>
      </c>
      <c r="H719" s="7">
        <v>2</v>
      </c>
      <c r="I719" s="14" t="s">
        <v>319</v>
      </c>
      <c r="J719" s="7" t="s">
        <v>1673</v>
      </c>
      <c r="K719" s="7" t="s">
        <v>1673</v>
      </c>
      <c r="L719" s="6" t="s">
        <v>1673</v>
      </c>
      <c r="M719" s="15" t="s">
        <v>1673</v>
      </c>
      <c r="N719" s="16" t="s">
        <v>1673</v>
      </c>
      <c r="O719" s="17" t="s">
        <v>1673</v>
      </c>
      <c r="P719" s="16" t="s">
        <v>1673</v>
      </c>
      <c r="Q719" s="17" t="s">
        <v>1673</v>
      </c>
    </row>
    <row r="720" spans="1:17" x14ac:dyDescent="0.25">
      <c r="A720" s="6" t="s">
        <v>5</v>
      </c>
      <c r="B720" s="7">
        <v>18</v>
      </c>
      <c r="C720" s="13">
        <v>107</v>
      </c>
      <c r="D720" s="13">
        <v>5</v>
      </c>
      <c r="E720" s="6" t="s">
        <v>316</v>
      </c>
      <c r="F720" s="13" t="s">
        <v>317</v>
      </c>
      <c r="G720" s="13">
        <v>0</v>
      </c>
      <c r="H720" s="7">
        <v>0</v>
      </c>
      <c r="I720" s="14" t="s">
        <v>318</v>
      </c>
      <c r="J720" s="7" t="s">
        <v>1673</v>
      </c>
      <c r="K720" s="7" t="s">
        <v>1673</v>
      </c>
      <c r="L720" s="6" t="s">
        <v>1673</v>
      </c>
      <c r="M720" s="15" t="s">
        <v>1673</v>
      </c>
      <c r="N720" s="16" t="s">
        <v>1673</v>
      </c>
      <c r="O720" s="17" t="s">
        <v>1673</v>
      </c>
      <c r="P720" s="16" t="s">
        <v>1673</v>
      </c>
      <c r="Q720" s="17" t="s">
        <v>1673</v>
      </c>
    </row>
    <row r="721" spans="1:17" x14ac:dyDescent="0.25">
      <c r="A721" s="6" t="s">
        <v>5</v>
      </c>
      <c r="B721" s="7">
        <v>18</v>
      </c>
      <c r="C721" s="13">
        <v>107</v>
      </c>
      <c r="D721" s="13">
        <v>5</v>
      </c>
      <c r="E721" s="6" t="s">
        <v>316</v>
      </c>
      <c r="F721" s="13" t="s">
        <v>317</v>
      </c>
      <c r="G721" s="13">
        <v>0</v>
      </c>
      <c r="H721" s="7">
        <v>0</v>
      </c>
      <c r="I721" s="14" t="s">
        <v>319</v>
      </c>
      <c r="J721" s="7" t="s">
        <v>1673</v>
      </c>
      <c r="K721" s="7" t="s">
        <v>1673</v>
      </c>
      <c r="L721" s="6" t="s">
        <v>1673</v>
      </c>
      <c r="M721" s="15" t="s">
        <v>1673</v>
      </c>
      <c r="N721" s="16" t="s">
        <v>1673</v>
      </c>
      <c r="O721" s="17" t="s">
        <v>1673</v>
      </c>
      <c r="P721" s="16" t="s">
        <v>1673</v>
      </c>
      <c r="Q721" s="17" t="s">
        <v>1673</v>
      </c>
    </row>
    <row r="722" spans="1:17" x14ac:dyDescent="0.25">
      <c r="A722" s="6" t="s">
        <v>5</v>
      </c>
      <c r="B722" s="7">
        <v>18</v>
      </c>
      <c r="C722" s="13">
        <v>107</v>
      </c>
      <c r="D722" s="13">
        <v>5</v>
      </c>
      <c r="E722" s="6" t="s">
        <v>355</v>
      </c>
      <c r="F722" s="13" t="s">
        <v>320</v>
      </c>
      <c r="G722" s="13">
        <v>1</v>
      </c>
      <c r="H722" s="7">
        <v>3</v>
      </c>
      <c r="I722" s="14" t="s">
        <v>318</v>
      </c>
      <c r="J722" s="7">
        <v>0.88500000000000001</v>
      </c>
      <c r="K722" s="7">
        <v>21.154</v>
      </c>
      <c r="L722" s="6">
        <v>0</v>
      </c>
      <c r="M722" s="15">
        <v>0.15039999999999998</v>
      </c>
      <c r="N722" s="16">
        <v>39.93119999999999</v>
      </c>
      <c r="O722" s="17">
        <v>954.46847999999989</v>
      </c>
      <c r="P722" s="16">
        <v>66.551999999999992</v>
      </c>
      <c r="Q722" s="17">
        <v>1590.7807999999998</v>
      </c>
    </row>
    <row r="723" spans="1:17" x14ac:dyDescent="0.25">
      <c r="A723" s="6" t="s">
        <v>5</v>
      </c>
      <c r="B723" s="7">
        <v>18</v>
      </c>
      <c r="C723" s="13">
        <v>107</v>
      </c>
      <c r="D723" s="13">
        <v>5</v>
      </c>
      <c r="E723" s="6" t="s">
        <v>355</v>
      </c>
      <c r="F723" s="13" t="s">
        <v>320</v>
      </c>
      <c r="G723" s="13">
        <v>1</v>
      </c>
      <c r="H723" s="7">
        <v>3</v>
      </c>
      <c r="I723" s="14" t="s">
        <v>319</v>
      </c>
      <c r="J723" s="7" t="s">
        <v>1673</v>
      </c>
      <c r="K723" s="7" t="s">
        <v>1673</v>
      </c>
      <c r="L723" s="6" t="s">
        <v>1673</v>
      </c>
      <c r="M723" s="15" t="s">
        <v>1673</v>
      </c>
      <c r="N723" s="16" t="s">
        <v>1673</v>
      </c>
      <c r="O723" s="17" t="s">
        <v>1673</v>
      </c>
      <c r="P723" s="16" t="s">
        <v>1673</v>
      </c>
      <c r="Q723" s="17" t="s">
        <v>1673</v>
      </c>
    </row>
    <row r="724" spans="1:17" x14ac:dyDescent="0.25">
      <c r="A724" s="6" t="s">
        <v>5</v>
      </c>
      <c r="B724" s="7">
        <v>18</v>
      </c>
      <c r="C724" s="13">
        <v>107</v>
      </c>
      <c r="D724" s="13">
        <v>5</v>
      </c>
      <c r="E724" s="6" t="s">
        <v>355</v>
      </c>
      <c r="F724" s="13" t="s">
        <v>321</v>
      </c>
      <c r="G724" s="13">
        <v>2</v>
      </c>
      <c r="H724" s="7">
        <v>0</v>
      </c>
      <c r="I724" s="14" t="s">
        <v>318</v>
      </c>
      <c r="J724" s="7" t="s">
        <v>1673</v>
      </c>
      <c r="K724" s="7" t="s">
        <v>1673</v>
      </c>
      <c r="L724" s="6" t="s">
        <v>1673</v>
      </c>
      <c r="M724" s="15" t="s">
        <v>1673</v>
      </c>
      <c r="N724" s="16" t="s">
        <v>1673</v>
      </c>
      <c r="O724" s="17" t="s">
        <v>1673</v>
      </c>
      <c r="P724" s="16" t="s">
        <v>1673</v>
      </c>
      <c r="Q724" s="17" t="s">
        <v>1673</v>
      </c>
    </row>
    <row r="725" spans="1:17" x14ac:dyDescent="0.25">
      <c r="A725" s="6" t="s">
        <v>5</v>
      </c>
      <c r="B725" s="7">
        <v>18</v>
      </c>
      <c r="C725" s="13">
        <v>107</v>
      </c>
      <c r="D725" s="13">
        <v>5</v>
      </c>
      <c r="E725" s="6" t="s">
        <v>355</v>
      </c>
      <c r="F725" s="13" t="s">
        <v>321</v>
      </c>
      <c r="G725" s="13">
        <v>2</v>
      </c>
      <c r="H725" s="7">
        <v>0</v>
      </c>
      <c r="I725" s="14" t="s">
        <v>319</v>
      </c>
      <c r="J725" s="7" t="s">
        <v>1673</v>
      </c>
      <c r="K725" s="7" t="s">
        <v>1673</v>
      </c>
      <c r="L725" s="6" t="s">
        <v>1673</v>
      </c>
      <c r="M725" s="15" t="s">
        <v>1673</v>
      </c>
      <c r="N725" s="16" t="s">
        <v>1673</v>
      </c>
      <c r="O725" s="17" t="s">
        <v>1673</v>
      </c>
      <c r="P725" s="16" t="s">
        <v>1673</v>
      </c>
      <c r="Q725" s="17" t="s">
        <v>1673</v>
      </c>
    </row>
    <row r="726" spans="1:17" x14ac:dyDescent="0.25">
      <c r="A726" s="6" t="s">
        <v>5</v>
      </c>
      <c r="B726" s="7">
        <v>18</v>
      </c>
      <c r="C726" s="13">
        <v>107</v>
      </c>
      <c r="D726" s="13">
        <v>5</v>
      </c>
      <c r="E726" s="6" t="s">
        <v>355</v>
      </c>
      <c r="F726" s="13" t="s">
        <v>322</v>
      </c>
      <c r="G726" s="13">
        <v>3</v>
      </c>
      <c r="H726" s="7">
        <v>0</v>
      </c>
      <c r="I726" s="14" t="s">
        <v>318</v>
      </c>
      <c r="J726" s="7" t="s">
        <v>1673</v>
      </c>
      <c r="K726" s="7" t="s">
        <v>1673</v>
      </c>
      <c r="L726" s="6" t="s">
        <v>1673</v>
      </c>
      <c r="M726" s="15" t="s">
        <v>1673</v>
      </c>
      <c r="N726" s="16" t="s">
        <v>1673</v>
      </c>
      <c r="O726" s="17" t="s">
        <v>1673</v>
      </c>
      <c r="P726" s="16" t="s">
        <v>1673</v>
      </c>
      <c r="Q726" s="17" t="s">
        <v>1673</v>
      </c>
    </row>
    <row r="727" spans="1:17" x14ac:dyDescent="0.25">
      <c r="A727" s="6" t="s">
        <v>5</v>
      </c>
      <c r="B727" s="7">
        <v>18</v>
      </c>
      <c r="C727" s="13">
        <v>107</v>
      </c>
      <c r="D727" s="13">
        <v>5</v>
      </c>
      <c r="E727" s="6" t="s">
        <v>355</v>
      </c>
      <c r="F727" s="13" t="s">
        <v>322</v>
      </c>
      <c r="G727" s="13">
        <v>3</v>
      </c>
      <c r="H727" s="7">
        <v>0</v>
      </c>
      <c r="I727" s="14" t="s">
        <v>319</v>
      </c>
      <c r="J727" s="7" t="s">
        <v>1673</v>
      </c>
      <c r="K727" s="7" t="s">
        <v>1673</v>
      </c>
      <c r="L727" s="6" t="s">
        <v>1673</v>
      </c>
      <c r="M727" s="15" t="s">
        <v>1673</v>
      </c>
      <c r="N727" s="16" t="s">
        <v>1673</v>
      </c>
      <c r="O727" s="17" t="s">
        <v>1673</v>
      </c>
      <c r="P727" s="16" t="s">
        <v>1673</v>
      </c>
      <c r="Q727" s="17" t="s">
        <v>1673</v>
      </c>
    </row>
    <row r="728" spans="1:17" x14ac:dyDescent="0.25">
      <c r="A728" s="6" t="s">
        <v>5</v>
      </c>
      <c r="B728" s="7">
        <v>19</v>
      </c>
      <c r="C728" s="13">
        <v>113</v>
      </c>
      <c r="D728" s="7">
        <v>1</v>
      </c>
      <c r="E728" s="6" t="s">
        <v>316</v>
      </c>
      <c r="F728" s="13" t="s">
        <v>317</v>
      </c>
      <c r="G728" s="13">
        <v>0</v>
      </c>
      <c r="H728" s="7">
        <v>0</v>
      </c>
      <c r="I728" s="14" t="s">
        <v>318</v>
      </c>
      <c r="J728" s="7" t="s">
        <v>1673</v>
      </c>
      <c r="K728" s="7" t="s">
        <v>1673</v>
      </c>
      <c r="L728" s="6" t="s">
        <v>1673</v>
      </c>
      <c r="M728" s="15" t="s">
        <v>1673</v>
      </c>
      <c r="N728" s="16" t="s">
        <v>1673</v>
      </c>
      <c r="O728" s="17" t="s">
        <v>1673</v>
      </c>
      <c r="P728" s="16" t="s">
        <v>1673</v>
      </c>
      <c r="Q728" s="17" t="s">
        <v>1673</v>
      </c>
    </row>
    <row r="729" spans="1:17" x14ac:dyDescent="0.25">
      <c r="A729" s="6" t="s">
        <v>5</v>
      </c>
      <c r="B729" s="7">
        <v>19</v>
      </c>
      <c r="C729" s="13">
        <v>113</v>
      </c>
      <c r="D729" s="7">
        <v>1</v>
      </c>
      <c r="E729" s="6" t="s">
        <v>316</v>
      </c>
      <c r="F729" s="13" t="s">
        <v>317</v>
      </c>
      <c r="G729" s="13">
        <v>0</v>
      </c>
      <c r="H729" s="7">
        <v>0</v>
      </c>
      <c r="I729" s="14" t="s">
        <v>319</v>
      </c>
      <c r="J729" s="7" t="s">
        <v>1673</v>
      </c>
      <c r="K729" s="7" t="s">
        <v>1673</v>
      </c>
      <c r="L729" s="6" t="s">
        <v>1673</v>
      </c>
      <c r="M729" s="15" t="s">
        <v>1673</v>
      </c>
      <c r="N729" s="16" t="s">
        <v>1673</v>
      </c>
      <c r="O729" s="17" t="s">
        <v>1673</v>
      </c>
      <c r="P729" s="16" t="s">
        <v>1673</v>
      </c>
      <c r="Q729" s="17" t="s">
        <v>1673</v>
      </c>
    </row>
    <row r="730" spans="1:17" x14ac:dyDescent="0.25">
      <c r="A730" s="6" t="s">
        <v>5</v>
      </c>
      <c r="B730" s="7">
        <v>19</v>
      </c>
      <c r="C730" s="13">
        <v>113</v>
      </c>
      <c r="D730" s="7">
        <v>1</v>
      </c>
      <c r="E730" s="6" t="s">
        <v>355</v>
      </c>
      <c r="F730" s="13" t="s">
        <v>320</v>
      </c>
      <c r="G730" s="13">
        <v>1</v>
      </c>
      <c r="H730" s="7">
        <v>5</v>
      </c>
      <c r="I730" s="14" t="s">
        <v>318</v>
      </c>
      <c r="J730" s="7">
        <v>1.167</v>
      </c>
      <c r="K730" s="7">
        <v>44.633000000000003</v>
      </c>
      <c r="L730" s="6">
        <v>0</v>
      </c>
      <c r="M730" s="15">
        <v>5.6231111111111107E-2</v>
      </c>
      <c r="N730" s="16">
        <v>32.810853333333327</v>
      </c>
      <c r="O730" s="17">
        <v>1254.881591111111</v>
      </c>
      <c r="P730" s="16">
        <v>32.810853333333334</v>
      </c>
      <c r="Q730" s="17">
        <v>1254.881591111111</v>
      </c>
    </row>
    <row r="731" spans="1:17" x14ac:dyDescent="0.25">
      <c r="A731" s="6" t="s">
        <v>5</v>
      </c>
      <c r="B731" s="7">
        <v>19</v>
      </c>
      <c r="C731" s="13">
        <v>113</v>
      </c>
      <c r="D731" s="7">
        <v>1</v>
      </c>
      <c r="E731" s="6" t="s">
        <v>355</v>
      </c>
      <c r="F731" s="13" t="s">
        <v>320</v>
      </c>
      <c r="G731" s="13">
        <v>1</v>
      </c>
      <c r="H731" s="7">
        <v>5</v>
      </c>
      <c r="I731" s="14" t="s">
        <v>319</v>
      </c>
      <c r="J731" s="7">
        <v>0.70399999999999996</v>
      </c>
      <c r="K731" s="7">
        <v>51.167000000000002</v>
      </c>
      <c r="L731" s="6">
        <v>0</v>
      </c>
      <c r="M731" s="15">
        <v>2.0355555555555556E-3</v>
      </c>
      <c r="N731" s="16">
        <v>0.71651555555555557</v>
      </c>
      <c r="O731" s="17">
        <v>52.076635555555569</v>
      </c>
      <c r="P731" s="16">
        <v>0.71651555555555557</v>
      </c>
      <c r="Q731" s="17">
        <v>52.076635555555569</v>
      </c>
    </row>
    <row r="732" spans="1:17" x14ac:dyDescent="0.25">
      <c r="A732" s="6" t="s">
        <v>5</v>
      </c>
      <c r="B732" s="7">
        <v>19</v>
      </c>
      <c r="C732" s="13">
        <v>113</v>
      </c>
      <c r="D732" s="7">
        <v>1</v>
      </c>
      <c r="E732" s="6" t="s">
        <v>355</v>
      </c>
      <c r="F732" s="13" t="s">
        <v>321</v>
      </c>
      <c r="G732" s="13">
        <v>2</v>
      </c>
      <c r="H732" s="7">
        <v>5</v>
      </c>
      <c r="I732" s="14" t="s">
        <v>318</v>
      </c>
      <c r="J732" s="7">
        <v>1.819</v>
      </c>
      <c r="K732" s="7">
        <v>43.168999999999997</v>
      </c>
      <c r="L732" s="6">
        <v>0</v>
      </c>
      <c r="M732" s="15">
        <v>0.14328727272727274</v>
      </c>
      <c r="N732" s="16">
        <v>130.31977454545455</v>
      </c>
      <c r="O732" s="17">
        <v>3092.784138181818</v>
      </c>
      <c r="P732" s="16">
        <v>130.31977454545452</v>
      </c>
      <c r="Q732" s="17">
        <v>3092.7841381818175</v>
      </c>
    </row>
    <row r="733" spans="1:17" x14ac:dyDescent="0.25">
      <c r="A733" s="6" t="s">
        <v>5</v>
      </c>
      <c r="B733" s="7">
        <v>19</v>
      </c>
      <c r="C733" s="13">
        <v>113</v>
      </c>
      <c r="D733" s="7">
        <v>1</v>
      </c>
      <c r="E733" s="6" t="s">
        <v>355</v>
      </c>
      <c r="F733" s="13" t="s">
        <v>321</v>
      </c>
      <c r="G733" s="13">
        <v>2</v>
      </c>
      <c r="H733" s="7">
        <v>5</v>
      </c>
      <c r="I733" s="14" t="s">
        <v>319</v>
      </c>
      <c r="J733" s="7">
        <v>0.92</v>
      </c>
      <c r="K733" s="7">
        <v>50.009</v>
      </c>
      <c r="L733" s="6">
        <v>0</v>
      </c>
      <c r="M733" s="15">
        <v>2.1454545454545454E-3</v>
      </c>
      <c r="N733" s="16">
        <v>0.98690909090909085</v>
      </c>
      <c r="O733" s="17">
        <v>53.646018181818185</v>
      </c>
      <c r="P733" s="16">
        <v>0.98690909090909096</v>
      </c>
      <c r="Q733" s="17">
        <v>53.646018181818185</v>
      </c>
    </row>
    <row r="734" spans="1:17" x14ac:dyDescent="0.25">
      <c r="A734" s="6" t="s">
        <v>5</v>
      </c>
      <c r="B734" s="7">
        <v>19</v>
      </c>
      <c r="C734" s="13">
        <v>113</v>
      </c>
      <c r="D734" s="7">
        <v>1</v>
      </c>
      <c r="E734" s="6" t="s">
        <v>355</v>
      </c>
      <c r="F734" s="13" t="s">
        <v>322</v>
      </c>
      <c r="G734" s="13">
        <v>3</v>
      </c>
      <c r="H734" s="7">
        <v>5</v>
      </c>
      <c r="I734" s="14" t="s">
        <v>318</v>
      </c>
      <c r="J734" s="7">
        <v>2.2109999999999999</v>
      </c>
      <c r="K734" s="7">
        <v>41.088000000000001</v>
      </c>
      <c r="L734" s="6">
        <v>0</v>
      </c>
      <c r="M734" s="15">
        <v>0.13695111111111111</v>
      </c>
      <c r="N734" s="16">
        <v>151.39945333333333</v>
      </c>
      <c r="O734" s="17">
        <v>2813.523626666667</v>
      </c>
      <c r="P734" s="16">
        <v>151.39945333333333</v>
      </c>
      <c r="Q734" s="17">
        <v>2813.523626666667</v>
      </c>
    </row>
    <row r="735" spans="1:17" x14ac:dyDescent="0.25">
      <c r="A735" s="6" t="s">
        <v>5</v>
      </c>
      <c r="B735" s="7">
        <v>19</v>
      </c>
      <c r="C735" s="13">
        <v>113</v>
      </c>
      <c r="D735" s="7">
        <v>1</v>
      </c>
      <c r="E735" s="6" t="s">
        <v>355</v>
      </c>
      <c r="F735" s="13" t="s">
        <v>322</v>
      </c>
      <c r="G735" s="13">
        <v>3</v>
      </c>
      <c r="H735" s="7">
        <v>5</v>
      </c>
      <c r="I735" s="14" t="s">
        <v>319</v>
      </c>
      <c r="J735" s="7" t="s">
        <v>1673</v>
      </c>
      <c r="K735" s="7" t="s">
        <v>1673</v>
      </c>
      <c r="L735" s="6" t="s">
        <v>1673</v>
      </c>
      <c r="M735" s="15" t="s">
        <v>1673</v>
      </c>
      <c r="N735" s="16" t="s">
        <v>1673</v>
      </c>
      <c r="O735" s="17" t="s">
        <v>1673</v>
      </c>
      <c r="P735" s="16" t="s">
        <v>1673</v>
      </c>
      <c r="Q735" s="17" t="s">
        <v>1673</v>
      </c>
    </row>
    <row r="736" spans="1:17" x14ac:dyDescent="0.25">
      <c r="A736" s="6" t="s">
        <v>5</v>
      </c>
      <c r="B736" s="7">
        <v>19</v>
      </c>
      <c r="C736" s="13">
        <v>113</v>
      </c>
      <c r="D736" s="7">
        <v>2</v>
      </c>
      <c r="E736" s="6" t="s">
        <v>316</v>
      </c>
      <c r="F736" s="13" t="s">
        <v>317</v>
      </c>
      <c r="G736" s="13">
        <v>0</v>
      </c>
      <c r="H736" s="7">
        <v>0.5</v>
      </c>
      <c r="I736" s="14" t="s">
        <v>318</v>
      </c>
      <c r="J736" s="7">
        <v>0.92500000000000004</v>
      </c>
      <c r="K736" s="7">
        <v>32.923999999999999</v>
      </c>
      <c r="L736" s="6">
        <v>0</v>
      </c>
      <c r="M736" s="15">
        <v>4.0285714285714279E-2</v>
      </c>
      <c r="N736" s="16">
        <v>1.8632142857142855</v>
      </c>
      <c r="O736" s="17">
        <v>66.318342857142838</v>
      </c>
      <c r="P736" s="16">
        <v>18.632142857142856</v>
      </c>
      <c r="Q736" s="17">
        <v>663.18342857142841</v>
      </c>
    </row>
    <row r="737" spans="1:17" x14ac:dyDescent="0.25">
      <c r="A737" s="6" t="s">
        <v>5</v>
      </c>
      <c r="B737" s="7">
        <v>19</v>
      </c>
      <c r="C737" s="13">
        <v>113</v>
      </c>
      <c r="D737" s="7">
        <v>2</v>
      </c>
      <c r="E737" s="6" t="s">
        <v>316</v>
      </c>
      <c r="F737" s="13" t="s">
        <v>317</v>
      </c>
      <c r="G737" s="13">
        <v>0</v>
      </c>
      <c r="H737" s="7">
        <v>0.5</v>
      </c>
      <c r="I737" s="14" t="s">
        <v>319</v>
      </c>
      <c r="J737" s="7" t="s">
        <v>1673</v>
      </c>
      <c r="K737" s="7" t="s">
        <v>1673</v>
      </c>
      <c r="L737" s="6" t="s">
        <v>1673</v>
      </c>
      <c r="M737" s="15" t="s">
        <v>1673</v>
      </c>
      <c r="N737" s="16" t="s">
        <v>1673</v>
      </c>
      <c r="O737" s="17" t="s">
        <v>1673</v>
      </c>
      <c r="P737" s="16" t="s">
        <v>1673</v>
      </c>
      <c r="Q737" s="17" t="s">
        <v>1673</v>
      </c>
    </row>
    <row r="738" spans="1:17" x14ac:dyDescent="0.25">
      <c r="A738" s="6" t="s">
        <v>5</v>
      </c>
      <c r="B738" s="7">
        <v>19</v>
      </c>
      <c r="C738" s="13">
        <v>113</v>
      </c>
      <c r="D738" s="7">
        <v>2</v>
      </c>
      <c r="E738" s="6" t="s">
        <v>355</v>
      </c>
      <c r="F738" s="13" t="s">
        <v>320</v>
      </c>
      <c r="G738" s="13">
        <v>1</v>
      </c>
      <c r="H738" s="7">
        <v>5</v>
      </c>
      <c r="I738" s="14" t="s">
        <v>318</v>
      </c>
      <c r="J738" s="7">
        <v>1.4379999999999999</v>
      </c>
      <c r="K738" s="7">
        <v>44.786000000000001</v>
      </c>
      <c r="L738" s="6">
        <v>0</v>
      </c>
      <c r="M738" s="15">
        <v>8.3384E-2</v>
      </c>
      <c r="N738" s="16">
        <v>59.953095999999995</v>
      </c>
      <c r="O738" s="17">
        <v>1867.2179120000001</v>
      </c>
      <c r="P738" s="16">
        <v>59.953095999999995</v>
      </c>
      <c r="Q738" s="17">
        <v>1867.2179120000001</v>
      </c>
    </row>
    <row r="739" spans="1:17" x14ac:dyDescent="0.25">
      <c r="A739" s="6" t="s">
        <v>5</v>
      </c>
      <c r="B739" s="7">
        <v>19</v>
      </c>
      <c r="C739" s="13">
        <v>113</v>
      </c>
      <c r="D739" s="7">
        <v>2</v>
      </c>
      <c r="E739" s="6" t="s">
        <v>355</v>
      </c>
      <c r="F739" s="13" t="s">
        <v>320</v>
      </c>
      <c r="G739" s="13">
        <v>1</v>
      </c>
      <c r="H739" s="7">
        <v>5</v>
      </c>
      <c r="I739" s="14" t="s">
        <v>319</v>
      </c>
      <c r="J739" s="7">
        <v>0.96</v>
      </c>
      <c r="K739" s="7">
        <v>51.850999999999999</v>
      </c>
      <c r="L739" s="6">
        <v>0</v>
      </c>
      <c r="M739" s="15">
        <v>1.248E-3</v>
      </c>
      <c r="N739" s="16">
        <v>0.59904000000000002</v>
      </c>
      <c r="O739" s="17">
        <v>32.355024000000007</v>
      </c>
      <c r="P739" s="16">
        <v>0.59903999999999991</v>
      </c>
      <c r="Q739" s="17">
        <v>32.355024</v>
      </c>
    </row>
    <row r="740" spans="1:17" x14ac:dyDescent="0.25">
      <c r="A740" s="6" t="s">
        <v>5</v>
      </c>
      <c r="B740" s="7">
        <v>19</v>
      </c>
      <c r="C740" s="13">
        <v>113</v>
      </c>
      <c r="D740" s="7">
        <v>2</v>
      </c>
      <c r="E740" s="6" t="s">
        <v>355</v>
      </c>
      <c r="F740" s="13" t="s">
        <v>321</v>
      </c>
      <c r="G740" s="13">
        <v>2</v>
      </c>
      <c r="H740" s="7">
        <v>5</v>
      </c>
      <c r="I740" s="14" t="s">
        <v>318</v>
      </c>
      <c r="J740" s="7">
        <v>2.161</v>
      </c>
      <c r="K740" s="7">
        <v>44.215000000000003</v>
      </c>
      <c r="L740" s="6">
        <v>0</v>
      </c>
      <c r="M740" s="15">
        <v>0.17535999999999999</v>
      </c>
      <c r="N740" s="16">
        <v>189.47648000000001</v>
      </c>
      <c r="O740" s="17">
        <v>3876.7712000000006</v>
      </c>
      <c r="P740" s="16">
        <v>189.47647999999998</v>
      </c>
      <c r="Q740" s="17">
        <v>3876.7711999999997</v>
      </c>
    </row>
    <row r="741" spans="1:17" x14ac:dyDescent="0.25">
      <c r="A741" s="6" t="s">
        <v>5</v>
      </c>
      <c r="B741" s="7">
        <v>19</v>
      </c>
      <c r="C741" s="13">
        <v>113</v>
      </c>
      <c r="D741" s="7">
        <v>2</v>
      </c>
      <c r="E741" s="6" t="s">
        <v>355</v>
      </c>
      <c r="F741" s="13" t="s">
        <v>321</v>
      </c>
      <c r="G741" s="13">
        <v>2</v>
      </c>
      <c r="H741" s="7">
        <v>5</v>
      </c>
      <c r="I741" s="14" t="s">
        <v>319</v>
      </c>
      <c r="J741" s="7" t="s">
        <v>1673</v>
      </c>
      <c r="K741" s="7" t="s">
        <v>1673</v>
      </c>
      <c r="L741" s="6" t="s">
        <v>1673</v>
      </c>
      <c r="M741" s="15" t="s">
        <v>1673</v>
      </c>
      <c r="N741" s="16" t="s">
        <v>1673</v>
      </c>
      <c r="O741" s="17" t="s">
        <v>1673</v>
      </c>
      <c r="P741" s="16" t="s">
        <v>1673</v>
      </c>
      <c r="Q741" s="17" t="s">
        <v>1673</v>
      </c>
    </row>
    <row r="742" spans="1:17" x14ac:dyDescent="0.25">
      <c r="A742" s="6" t="s">
        <v>5</v>
      </c>
      <c r="B742" s="7">
        <v>19</v>
      </c>
      <c r="C742" s="13">
        <v>113</v>
      </c>
      <c r="D742" s="7">
        <v>2</v>
      </c>
      <c r="E742" s="6" t="s">
        <v>355</v>
      </c>
      <c r="F742" s="13" t="s">
        <v>322</v>
      </c>
      <c r="G742" s="13">
        <v>3</v>
      </c>
      <c r="H742" s="7">
        <v>5</v>
      </c>
      <c r="I742" s="14" t="s">
        <v>318</v>
      </c>
      <c r="J742" s="7">
        <v>2.6890000000000001</v>
      </c>
      <c r="K742" s="7">
        <v>44.03</v>
      </c>
      <c r="L742" s="6">
        <v>0</v>
      </c>
      <c r="M742" s="15">
        <v>0.26591333333333333</v>
      </c>
      <c r="N742" s="16">
        <v>357.52047666666664</v>
      </c>
      <c r="O742" s="17">
        <v>5854.0820333333331</v>
      </c>
      <c r="P742" s="16">
        <v>357.52047666666664</v>
      </c>
      <c r="Q742" s="17">
        <v>5854.082033333334</v>
      </c>
    </row>
    <row r="743" spans="1:17" x14ac:dyDescent="0.25">
      <c r="A743" s="6" t="s">
        <v>5</v>
      </c>
      <c r="B743" s="7">
        <v>19</v>
      </c>
      <c r="C743" s="13">
        <v>113</v>
      </c>
      <c r="D743" s="7">
        <v>2</v>
      </c>
      <c r="E743" s="6" t="s">
        <v>355</v>
      </c>
      <c r="F743" s="13" t="s">
        <v>322</v>
      </c>
      <c r="G743" s="13">
        <v>3</v>
      </c>
      <c r="H743" s="7">
        <v>5</v>
      </c>
      <c r="I743" s="14" t="s">
        <v>319</v>
      </c>
      <c r="J743" s="7" t="s">
        <v>1673</v>
      </c>
      <c r="K743" s="7" t="s">
        <v>1673</v>
      </c>
      <c r="L743" s="6" t="s">
        <v>1673</v>
      </c>
      <c r="M743" s="15" t="s">
        <v>1673</v>
      </c>
      <c r="N743" s="16" t="s">
        <v>1673</v>
      </c>
      <c r="O743" s="17" t="s">
        <v>1673</v>
      </c>
      <c r="P743" s="16" t="s">
        <v>1673</v>
      </c>
      <c r="Q743" s="17" t="s">
        <v>1673</v>
      </c>
    </row>
    <row r="744" spans="1:17" x14ac:dyDescent="0.25">
      <c r="A744" s="6" t="s">
        <v>5</v>
      </c>
      <c r="B744" s="7">
        <v>19</v>
      </c>
      <c r="C744" s="13">
        <v>113</v>
      </c>
      <c r="D744" s="7">
        <v>2</v>
      </c>
      <c r="E744" s="6" t="s">
        <v>355</v>
      </c>
      <c r="F744" s="13" t="s">
        <v>324</v>
      </c>
      <c r="G744" s="18">
        <v>4</v>
      </c>
      <c r="H744" s="7">
        <v>5</v>
      </c>
      <c r="I744" s="14" t="s">
        <v>318</v>
      </c>
      <c r="J744" s="7">
        <v>2.79</v>
      </c>
      <c r="K744" s="7">
        <v>41.988999999999997</v>
      </c>
      <c r="L744" s="6">
        <v>0</v>
      </c>
      <c r="M744" s="15">
        <v>0.25069999999999998</v>
      </c>
      <c r="N744" s="16">
        <v>349.72649999999999</v>
      </c>
      <c r="O744" s="17">
        <v>5263.3211499999998</v>
      </c>
      <c r="P744" s="16">
        <v>349.72649999999993</v>
      </c>
      <c r="Q744" s="17">
        <v>5263.3211499999998</v>
      </c>
    </row>
    <row r="745" spans="1:17" x14ac:dyDescent="0.25">
      <c r="A745" s="6" t="s">
        <v>5</v>
      </c>
      <c r="B745" s="7">
        <v>19</v>
      </c>
      <c r="C745" s="13">
        <v>113</v>
      </c>
      <c r="D745" s="7">
        <v>2</v>
      </c>
      <c r="E745" s="6" t="s">
        <v>355</v>
      </c>
      <c r="F745" s="13" t="s">
        <v>324</v>
      </c>
      <c r="G745" s="18">
        <v>4</v>
      </c>
      <c r="H745" s="7">
        <v>5</v>
      </c>
      <c r="I745" s="14" t="s">
        <v>319</v>
      </c>
      <c r="J745" s="7" t="s">
        <v>1673</v>
      </c>
      <c r="K745" s="7" t="s">
        <v>1673</v>
      </c>
      <c r="L745" s="6" t="s">
        <v>1673</v>
      </c>
      <c r="M745" s="15" t="s">
        <v>1673</v>
      </c>
      <c r="N745" s="16" t="s">
        <v>1673</v>
      </c>
      <c r="O745" s="17" t="s">
        <v>1673</v>
      </c>
      <c r="P745" s="16" t="s">
        <v>1673</v>
      </c>
      <c r="Q745" s="17" t="s">
        <v>1673</v>
      </c>
    </row>
    <row r="746" spans="1:17" x14ac:dyDescent="0.25">
      <c r="A746" s="6" t="s">
        <v>5</v>
      </c>
      <c r="B746" s="7">
        <v>19</v>
      </c>
      <c r="C746" s="7">
        <v>113</v>
      </c>
      <c r="D746" s="7">
        <v>3</v>
      </c>
      <c r="E746" s="6" t="s">
        <v>316</v>
      </c>
      <c r="F746" s="13" t="s">
        <v>317</v>
      </c>
      <c r="G746" s="13">
        <v>0</v>
      </c>
      <c r="H746" s="7">
        <v>0</v>
      </c>
      <c r="I746" s="14" t="s">
        <v>318</v>
      </c>
      <c r="J746" s="7" t="s">
        <v>1673</v>
      </c>
      <c r="K746" s="7" t="s">
        <v>1673</v>
      </c>
      <c r="L746" s="6" t="s">
        <v>1673</v>
      </c>
      <c r="M746" s="15" t="s">
        <v>1673</v>
      </c>
      <c r="N746" s="16" t="s">
        <v>1673</v>
      </c>
      <c r="O746" s="17" t="s">
        <v>1673</v>
      </c>
      <c r="P746" s="16" t="s">
        <v>1673</v>
      </c>
      <c r="Q746" s="17" t="s">
        <v>1673</v>
      </c>
    </row>
    <row r="747" spans="1:17" x14ac:dyDescent="0.25">
      <c r="A747" s="6" t="s">
        <v>5</v>
      </c>
      <c r="B747" s="7">
        <v>19</v>
      </c>
      <c r="C747" s="7">
        <v>113</v>
      </c>
      <c r="D747" s="7">
        <v>3</v>
      </c>
      <c r="E747" s="6" t="s">
        <v>316</v>
      </c>
      <c r="F747" s="13" t="s">
        <v>317</v>
      </c>
      <c r="G747" s="13">
        <v>0</v>
      </c>
      <c r="H747" s="7">
        <v>0</v>
      </c>
      <c r="I747" s="14" t="s">
        <v>319</v>
      </c>
      <c r="J747" s="7" t="s">
        <v>1673</v>
      </c>
      <c r="K747" s="7" t="s">
        <v>1673</v>
      </c>
      <c r="L747" s="6" t="s">
        <v>1673</v>
      </c>
      <c r="M747" s="15" t="s">
        <v>1673</v>
      </c>
      <c r="N747" s="16" t="s">
        <v>1673</v>
      </c>
      <c r="O747" s="17" t="s">
        <v>1673</v>
      </c>
      <c r="P747" s="16" t="s">
        <v>1673</v>
      </c>
      <c r="Q747" s="17" t="s">
        <v>1673</v>
      </c>
    </row>
    <row r="748" spans="1:17" x14ac:dyDescent="0.25">
      <c r="A748" s="6" t="s">
        <v>5</v>
      </c>
      <c r="B748" s="7">
        <v>19</v>
      </c>
      <c r="C748" s="7">
        <v>113</v>
      </c>
      <c r="D748" s="7">
        <v>3</v>
      </c>
      <c r="E748" s="6" t="s">
        <v>355</v>
      </c>
      <c r="F748" s="13" t="s">
        <v>320</v>
      </c>
      <c r="G748" s="13">
        <v>1</v>
      </c>
      <c r="H748" s="7">
        <v>5</v>
      </c>
      <c r="I748" s="14" t="s">
        <v>318</v>
      </c>
      <c r="J748" s="7">
        <v>1.1890000000000001</v>
      </c>
      <c r="K748" s="7">
        <v>45.960999999999999</v>
      </c>
      <c r="L748" s="6">
        <v>0</v>
      </c>
      <c r="M748" s="15">
        <v>7.853333333333333E-2</v>
      </c>
      <c r="N748" s="16">
        <v>46.688066666666664</v>
      </c>
      <c r="O748" s="17">
        <v>1804.7352666666663</v>
      </c>
      <c r="P748" s="16">
        <v>46.688066666666671</v>
      </c>
      <c r="Q748" s="17">
        <v>1804.7352666666666</v>
      </c>
    </row>
    <row r="749" spans="1:17" x14ac:dyDescent="0.25">
      <c r="A749" s="6" t="s">
        <v>5</v>
      </c>
      <c r="B749" s="7">
        <v>19</v>
      </c>
      <c r="C749" s="7">
        <v>113</v>
      </c>
      <c r="D749" s="7">
        <v>3</v>
      </c>
      <c r="E749" s="6" t="s">
        <v>355</v>
      </c>
      <c r="F749" s="13" t="s">
        <v>320</v>
      </c>
      <c r="G749" s="13">
        <v>1</v>
      </c>
      <c r="H749" s="7">
        <v>5</v>
      </c>
      <c r="I749" s="14" t="s">
        <v>319</v>
      </c>
      <c r="J749" s="7">
        <v>0.85799999999999998</v>
      </c>
      <c r="K749" s="7">
        <v>51.584000000000003</v>
      </c>
      <c r="L749" s="6">
        <v>0</v>
      </c>
      <c r="M749" s="15">
        <v>8.2222222222222228E-3</v>
      </c>
      <c r="N749" s="16">
        <v>3.5273333333333334</v>
      </c>
      <c r="O749" s="17">
        <v>212.0675555555556</v>
      </c>
      <c r="P749" s="16">
        <v>3.527333333333333</v>
      </c>
      <c r="Q749" s="17">
        <v>212.06755555555557</v>
      </c>
    </row>
    <row r="750" spans="1:17" x14ac:dyDescent="0.25">
      <c r="A750" s="6" t="s">
        <v>5</v>
      </c>
      <c r="B750" s="7">
        <v>19</v>
      </c>
      <c r="C750" s="7">
        <v>113</v>
      </c>
      <c r="D750" s="7">
        <v>3</v>
      </c>
      <c r="E750" s="6" t="s">
        <v>355</v>
      </c>
      <c r="F750" s="13" t="s">
        <v>321</v>
      </c>
      <c r="G750" s="13">
        <v>2</v>
      </c>
      <c r="H750" s="7">
        <v>5</v>
      </c>
      <c r="I750" s="14" t="s">
        <v>318</v>
      </c>
      <c r="J750" s="7">
        <v>2.2360000000000002</v>
      </c>
      <c r="K750" s="7">
        <v>44.845999999999997</v>
      </c>
      <c r="L750" s="6">
        <v>0</v>
      </c>
      <c r="M750" s="15">
        <v>0.193679012345679</v>
      </c>
      <c r="N750" s="16">
        <v>216.53313580246913</v>
      </c>
      <c r="O750" s="17">
        <v>4342.86449382716</v>
      </c>
      <c r="P750" s="16">
        <v>216.53313580246913</v>
      </c>
      <c r="Q750" s="17">
        <v>4342.86449382716</v>
      </c>
    </row>
    <row r="751" spans="1:17" x14ac:dyDescent="0.25">
      <c r="A751" s="6" t="s">
        <v>5</v>
      </c>
      <c r="B751" s="7">
        <v>19</v>
      </c>
      <c r="C751" s="7">
        <v>113</v>
      </c>
      <c r="D751" s="7">
        <v>3</v>
      </c>
      <c r="E751" s="6" t="s">
        <v>355</v>
      </c>
      <c r="F751" s="13" t="s">
        <v>321</v>
      </c>
      <c r="G751" s="13">
        <v>2</v>
      </c>
      <c r="H751" s="7">
        <v>5</v>
      </c>
      <c r="I751" s="14" t="s">
        <v>319</v>
      </c>
      <c r="J751" s="7" t="s">
        <v>1673</v>
      </c>
      <c r="K751" s="7" t="s">
        <v>1673</v>
      </c>
      <c r="L751" s="6" t="s">
        <v>1673</v>
      </c>
      <c r="M751" s="15" t="s">
        <v>1673</v>
      </c>
      <c r="N751" s="16" t="s">
        <v>1673</v>
      </c>
      <c r="O751" s="17" t="s">
        <v>1673</v>
      </c>
      <c r="P751" s="16" t="s">
        <v>1673</v>
      </c>
      <c r="Q751" s="17" t="s">
        <v>1673</v>
      </c>
    </row>
    <row r="752" spans="1:17" x14ac:dyDescent="0.25">
      <c r="A752" s="6" t="s">
        <v>5</v>
      </c>
      <c r="B752" s="7">
        <v>19</v>
      </c>
      <c r="C752" s="7">
        <v>113</v>
      </c>
      <c r="D752" s="7">
        <v>3</v>
      </c>
      <c r="E752" s="6" t="s">
        <v>355</v>
      </c>
      <c r="F752" s="13" t="s">
        <v>322</v>
      </c>
      <c r="G752" s="13">
        <v>3</v>
      </c>
      <c r="H752" s="7">
        <v>5</v>
      </c>
      <c r="I752" s="14" t="s">
        <v>318</v>
      </c>
      <c r="J752" s="7">
        <v>2.6110000000000002</v>
      </c>
      <c r="K752" s="7">
        <v>40.162999999999997</v>
      </c>
      <c r="L752" s="6">
        <v>0</v>
      </c>
      <c r="M752" s="15">
        <v>0.28861000000000003</v>
      </c>
      <c r="N752" s="16">
        <v>376.78035500000004</v>
      </c>
      <c r="O752" s="17">
        <v>5795.7217150000006</v>
      </c>
      <c r="P752" s="16">
        <v>376.78035500000004</v>
      </c>
      <c r="Q752" s="17">
        <v>5795.7217150000006</v>
      </c>
    </row>
    <row r="753" spans="1:17" x14ac:dyDescent="0.25">
      <c r="A753" s="6" t="s">
        <v>5</v>
      </c>
      <c r="B753" s="7">
        <v>19</v>
      </c>
      <c r="C753" s="7">
        <v>113</v>
      </c>
      <c r="D753" s="7">
        <v>3</v>
      </c>
      <c r="E753" s="6" t="s">
        <v>355</v>
      </c>
      <c r="F753" s="13" t="s">
        <v>322</v>
      </c>
      <c r="G753" s="13">
        <v>3</v>
      </c>
      <c r="H753" s="7">
        <v>5</v>
      </c>
      <c r="I753" s="14" t="s">
        <v>319</v>
      </c>
      <c r="J753" s="7" t="s">
        <v>1673</v>
      </c>
      <c r="K753" s="7" t="s">
        <v>1673</v>
      </c>
      <c r="L753" s="6" t="s">
        <v>1673</v>
      </c>
      <c r="M753" s="15" t="s">
        <v>1673</v>
      </c>
      <c r="N753" s="16" t="s">
        <v>1673</v>
      </c>
      <c r="O753" s="17" t="s">
        <v>1673</v>
      </c>
      <c r="P753" s="16" t="s">
        <v>1673</v>
      </c>
      <c r="Q753" s="17" t="s">
        <v>1673</v>
      </c>
    </row>
    <row r="754" spans="1:17" x14ac:dyDescent="0.25">
      <c r="A754" s="6" t="s">
        <v>5</v>
      </c>
      <c r="B754" s="7">
        <v>19</v>
      </c>
      <c r="C754" s="7">
        <v>113</v>
      </c>
      <c r="D754" s="7">
        <v>3</v>
      </c>
      <c r="E754" s="6" t="s">
        <v>355</v>
      </c>
      <c r="F754" s="13" t="s">
        <v>324</v>
      </c>
      <c r="G754" s="18">
        <v>4</v>
      </c>
      <c r="H754" s="7">
        <v>3</v>
      </c>
      <c r="I754" s="14" t="s">
        <v>318</v>
      </c>
      <c r="J754" s="7">
        <v>1.671</v>
      </c>
      <c r="K754" s="7">
        <v>24.704999999999998</v>
      </c>
      <c r="L754" s="6">
        <v>0</v>
      </c>
      <c r="M754" s="15">
        <v>0.48646666666666666</v>
      </c>
      <c r="N754" s="16">
        <v>243.86573999999999</v>
      </c>
      <c r="O754" s="17">
        <v>3605.4476999999997</v>
      </c>
      <c r="P754" s="16">
        <v>406.44290000000001</v>
      </c>
      <c r="Q754" s="17">
        <v>6009.0794999999998</v>
      </c>
    </row>
    <row r="755" spans="1:17" x14ac:dyDescent="0.25">
      <c r="A755" s="6" t="s">
        <v>5</v>
      </c>
      <c r="B755" s="7">
        <v>19</v>
      </c>
      <c r="C755" s="7">
        <v>113</v>
      </c>
      <c r="D755" s="7">
        <v>3</v>
      </c>
      <c r="E755" s="6" t="s">
        <v>355</v>
      </c>
      <c r="F755" s="13" t="s">
        <v>324</v>
      </c>
      <c r="G755" s="18">
        <v>4</v>
      </c>
      <c r="H755" s="7">
        <v>3</v>
      </c>
      <c r="I755" s="14" t="s">
        <v>319</v>
      </c>
      <c r="J755" s="7" t="s">
        <v>1673</v>
      </c>
      <c r="K755" s="7" t="s">
        <v>1673</v>
      </c>
      <c r="L755" s="6" t="s">
        <v>1673</v>
      </c>
      <c r="M755" s="15" t="s">
        <v>1673</v>
      </c>
      <c r="N755" s="16" t="s">
        <v>1673</v>
      </c>
      <c r="O755" s="17" t="s">
        <v>1673</v>
      </c>
      <c r="P755" s="16" t="s">
        <v>1673</v>
      </c>
      <c r="Q755" s="17" t="s">
        <v>1673</v>
      </c>
    </row>
    <row r="756" spans="1:17" x14ac:dyDescent="0.25">
      <c r="A756" s="6" t="s">
        <v>5</v>
      </c>
      <c r="B756" s="7">
        <v>19</v>
      </c>
      <c r="C756" s="7">
        <v>113</v>
      </c>
      <c r="D756" s="7">
        <v>4</v>
      </c>
      <c r="E756" s="6" t="s">
        <v>316</v>
      </c>
      <c r="F756" s="13" t="s">
        <v>317</v>
      </c>
      <c r="G756" s="13">
        <v>0</v>
      </c>
      <c r="H756" s="7">
        <v>0</v>
      </c>
      <c r="I756" s="14" t="s">
        <v>318</v>
      </c>
      <c r="J756" s="7" t="s">
        <v>1673</v>
      </c>
      <c r="K756" s="7" t="s">
        <v>1673</v>
      </c>
      <c r="L756" s="6" t="s">
        <v>1673</v>
      </c>
      <c r="M756" s="15" t="s">
        <v>1673</v>
      </c>
      <c r="N756" s="16" t="s">
        <v>1673</v>
      </c>
      <c r="O756" s="17" t="s">
        <v>1673</v>
      </c>
      <c r="P756" s="16" t="s">
        <v>1673</v>
      </c>
      <c r="Q756" s="17" t="s">
        <v>1673</v>
      </c>
    </row>
    <row r="757" spans="1:17" x14ac:dyDescent="0.25">
      <c r="A757" s="6" t="s">
        <v>5</v>
      </c>
      <c r="B757" s="7">
        <v>19</v>
      </c>
      <c r="C757" s="7">
        <v>113</v>
      </c>
      <c r="D757" s="7">
        <v>4</v>
      </c>
      <c r="E757" s="6" t="s">
        <v>316</v>
      </c>
      <c r="F757" s="13" t="s">
        <v>317</v>
      </c>
      <c r="G757" s="13">
        <v>0</v>
      </c>
      <c r="H757" s="7">
        <v>0</v>
      </c>
      <c r="I757" s="14" t="s">
        <v>319</v>
      </c>
      <c r="J757" s="7" t="s">
        <v>1673</v>
      </c>
      <c r="K757" s="7" t="s">
        <v>1673</v>
      </c>
      <c r="L757" s="6" t="s">
        <v>1673</v>
      </c>
      <c r="M757" s="15" t="s">
        <v>1673</v>
      </c>
      <c r="N757" s="16" t="s">
        <v>1673</v>
      </c>
      <c r="O757" s="17" t="s">
        <v>1673</v>
      </c>
      <c r="P757" s="16" t="s">
        <v>1673</v>
      </c>
      <c r="Q757" s="17" t="s">
        <v>1673</v>
      </c>
    </row>
    <row r="758" spans="1:17" x14ac:dyDescent="0.25">
      <c r="A758" s="6" t="s">
        <v>5</v>
      </c>
      <c r="B758" s="7">
        <v>19</v>
      </c>
      <c r="C758" s="7">
        <v>113</v>
      </c>
      <c r="D758" s="7">
        <v>4</v>
      </c>
      <c r="E758" s="6" t="s">
        <v>355</v>
      </c>
      <c r="F758" s="13" t="s">
        <v>320</v>
      </c>
      <c r="G758" s="13">
        <v>1</v>
      </c>
      <c r="H758" s="7">
        <v>5</v>
      </c>
      <c r="I758" s="14" t="s">
        <v>318</v>
      </c>
      <c r="J758" s="7">
        <v>1.6439999999999999</v>
      </c>
      <c r="K758" s="7">
        <v>47.56</v>
      </c>
      <c r="L758" s="6">
        <v>0</v>
      </c>
      <c r="M758" s="15">
        <v>8.276E-2</v>
      </c>
      <c r="N758" s="16">
        <v>68.028719999999993</v>
      </c>
      <c r="O758" s="17">
        <v>1968.0328000000002</v>
      </c>
      <c r="P758" s="16">
        <v>68.028719999999993</v>
      </c>
      <c r="Q758" s="17">
        <v>1968.0328</v>
      </c>
    </row>
    <row r="759" spans="1:17" x14ac:dyDescent="0.25">
      <c r="A759" s="6" t="s">
        <v>5</v>
      </c>
      <c r="B759" s="7">
        <v>19</v>
      </c>
      <c r="C759" s="7">
        <v>113</v>
      </c>
      <c r="D759" s="7">
        <v>4</v>
      </c>
      <c r="E759" s="6" t="s">
        <v>355</v>
      </c>
      <c r="F759" s="13" t="s">
        <v>320</v>
      </c>
      <c r="G759" s="13">
        <v>1</v>
      </c>
      <c r="H759" s="7">
        <v>5</v>
      </c>
      <c r="I759" s="14" t="s">
        <v>319</v>
      </c>
      <c r="J759" s="7" t="s">
        <v>1673</v>
      </c>
      <c r="K759" s="7" t="s">
        <v>1673</v>
      </c>
      <c r="L759" s="6" t="s">
        <v>1673</v>
      </c>
      <c r="M759" s="15" t="s">
        <v>1673</v>
      </c>
      <c r="N759" s="16" t="s">
        <v>1673</v>
      </c>
      <c r="O759" s="17" t="s">
        <v>1673</v>
      </c>
      <c r="P759" s="16" t="s">
        <v>1673</v>
      </c>
      <c r="Q759" s="17" t="s">
        <v>1673</v>
      </c>
    </row>
    <row r="760" spans="1:17" x14ac:dyDescent="0.25">
      <c r="A760" s="6" t="s">
        <v>5</v>
      </c>
      <c r="B760" s="7">
        <v>19</v>
      </c>
      <c r="C760" s="7">
        <v>113</v>
      </c>
      <c r="D760" s="7">
        <v>4</v>
      </c>
      <c r="E760" s="6" t="s">
        <v>355</v>
      </c>
      <c r="F760" s="13" t="s">
        <v>321</v>
      </c>
      <c r="G760" s="13">
        <v>2</v>
      </c>
      <c r="H760" s="7">
        <v>5</v>
      </c>
      <c r="I760" s="14" t="s">
        <v>318</v>
      </c>
      <c r="J760" s="7">
        <v>2.0030000000000001</v>
      </c>
      <c r="K760" s="7">
        <v>44.905000000000001</v>
      </c>
      <c r="L760" s="6">
        <v>0</v>
      </c>
      <c r="M760" s="15">
        <v>0.145264</v>
      </c>
      <c r="N760" s="16">
        <v>145.48189600000003</v>
      </c>
      <c r="O760" s="17">
        <v>3261.5399600000005</v>
      </c>
      <c r="P760" s="16">
        <v>145.48189600000003</v>
      </c>
      <c r="Q760" s="17">
        <v>3261.5399600000001</v>
      </c>
    </row>
    <row r="761" spans="1:17" x14ac:dyDescent="0.25">
      <c r="A761" s="6" t="s">
        <v>5</v>
      </c>
      <c r="B761" s="7">
        <v>19</v>
      </c>
      <c r="C761" s="7">
        <v>113</v>
      </c>
      <c r="D761" s="7">
        <v>4</v>
      </c>
      <c r="E761" s="6" t="s">
        <v>355</v>
      </c>
      <c r="F761" s="13" t="s">
        <v>321</v>
      </c>
      <c r="G761" s="13">
        <v>2</v>
      </c>
      <c r="H761" s="7">
        <v>5</v>
      </c>
      <c r="I761" s="14" t="s">
        <v>319</v>
      </c>
      <c r="J761" s="7" t="s">
        <v>1673</v>
      </c>
      <c r="K761" s="7" t="s">
        <v>1673</v>
      </c>
      <c r="L761" s="6" t="s">
        <v>1673</v>
      </c>
      <c r="M761" s="15" t="s">
        <v>1673</v>
      </c>
      <c r="N761" s="16" t="s">
        <v>1673</v>
      </c>
      <c r="O761" s="17" t="s">
        <v>1673</v>
      </c>
      <c r="P761" s="16" t="s">
        <v>1673</v>
      </c>
      <c r="Q761" s="17" t="s">
        <v>1673</v>
      </c>
    </row>
    <row r="762" spans="1:17" x14ac:dyDescent="0.25">
      <c r="A762" s="6" t="s">
        <v>5</v>
      </c>
      <c r="B762" s="7">
        <v>19</v>
      </c>
      <c r="C762" s="7">
        <v>113</v>
      </c>
      <c r="D762" s="7">
        <v>4</v>
      </c>
      <c r="E762" s="6" t="s">
        <v>355</v>
      </c>
      <c r="F762" s="13" t="s">
        <v>322</v>
      </c>
      <c r="G762" s="13">
        <v>3</v>
      </c>
      <c r="H762" s="7">
        <v>2</v>
      </c>
      <c r="I762" s="14" t="s">
        <v>318</v>
      </c>
      <c r="J762" s="7">
        <v>2.1360000000000001</v>
      </c>
      <c r="K762" s="7">
        <v>43.523000000000003</v>
      </c>
      <c r="L762" s="6">
        <v>0</v>
      </c>
      <c r="M762" s="15">
        <v>0.15426666666666666</v>
      </c>
      <c r="N762" s="16">
        <v>65.902720000000002</v>
      </c>
      <c r="O762" s="17">
        <v>1342.8296266666669</v>
      </c>
      <c r="P762" s="16">
        <v>164.7568</v>
      </c>
      <c r="Q762" s="17">
        <v>3357.0740666666666</v>
      </c>
    </row>
    <row r="763" spans="1:17" x14ac:dyDescent="0.25">
      <c r="A763" s="6" t="s">
        <v>5</v>
      </c>
      <c r="B763" s="7">
        <v>19</v>
      </c>
      <c r="C763" s="7">
        <v>113</v>
      </c>
      <c r="D763" s="7">
        <v>4</v>
      </c>
      <c r="E763" s="6" t="s">
        <v>355</v>
      </c>
      <c r="F763" s="13" t="s">
        <v>322</v>
      </c>
      <c r="G763" s="13">
        <v>3</v>
      </c>
      <c r="H763" s="7">
        <v>2</v>
      </c>
      <c r="I763" s="14" t="s">
        <v>319</v>
      </c>
      <c r="J763" s="7" t="s">
        <v>1673</v>
      </c>
      <c r="K763" s="7" t="s">
        <v>1673</v>
      </c>
      <c r="L763" s="6" t="s">
        <v>1673</v>
      </c>
      <c r="M763" s="15" t="s">
        <v>1673</v>
      </c>
      <c r="N763" s="16" t="s">
        <v>1673</v>
      </c>
      <c r="O763" s="17" t="s">
        <v>1673</v>
      </c>
      <c r="P763" s="16" t="s">
        <v>1673</v>
      </c>
      <c r="Q763" s="17" t="s">
        <v>1673</v>
      </c>
    </row>
    <row r="764" spans="1:17" x14ac:dyDescent="0.25">
      <c r="A764" s="6" t="s">
        <v>5</v>
      </c>
      <c r="B764" s="7">
        <v>19</v>
      </c>
      <c r="C764" s="7">
        <v>113</v>
      </c>
      <c r="D764" s="7">
        <v>5</v>
      </c>
      <c r="E764" s="6" t="s">
        <v>316</v>
      </c>
      <c r="F764" s="13" t="s">
        <v>317</v>
      </c>
      <c r="G764" s="13">
        <v>0</v>
      </c>
      <c r="H764" s="7">
        <v>0</v>
      </c>
      <c r="I764" s="14" t="s">
        <v>318</v>
      </c>
      <c r="J764" s="7" t="s">
        <v>1673</v>
      </c>
      <c r="K764" s="7" t="s">
        <v>1673</v>
      </c>
      <c r="L764" s="6" t="s">
        <v>1673</v>
      </c>
      <c r="M764" s="15" t="s">
        <v>1673</v>
      </c>
      <c r="N764" s="16" t="s">
        <v>1673</v>
      </c>
      <c r="O764" s="17" t="s">
        <v>1673</v>
      </c>
      <c r="P764" s="16" t="s">
        <v>1673</v>
      </c>
      <c r="Q764" s="17" t="s">
        <v>1673</v>
      </c>
    </row>
    <row r="765" spans="1:17" x14ac:dyDescent="0.25">
      <c r="A765" s="6" t="s">
        <v>5</v>
      </c>
      <c r="B765" s="7">
        <v>19</v>
      </c>
      <c r="C765" s="7">
        <v>113</v>
      </c>
      <c r="D765" s="7">
        <v>5</v>
      </c>
      <c r="E765" s="6" t="s">
        <v>316</v>
      </c>
      <c r="F765" s="13" t="s">
        <v>317</v>
      </c>
      <c r="G765" s="13">
        <v>0</v>
      </c>
      <c r="H765" s="7">
        <v>0</v>
      </c>
      <c r="I765" s="14" t="s">
        <v>319</v>
      </c>
      <c r="J765" s="7" t="s">
        <v>1673</v>
      </c>
      <c r="K765" s="7" t="s">
        <v>1673</v>
      </c>
      <c r="L765" s="6" t="s">
        <v>1673</v>
      </c>
      <c r="M765" s="15" t="s">
        <v>1673</v>
      </c>
      <c r="N765" s="16" t="s">
        <v>1673</v>
      </c>
      <c r="O765" s="17" t="s">
        <v>1673</v>
      </c>
      <c r="P765" s="16" t="s">
        <v>1673</v>
      </c>
      <c r="Q765" s="17" t="s">
        <v>1673</v>
      </c>
    </row>
    <row r="766" spans="1:17" x14ac:dyDescent="0.25">
      <c r="A766" s="6" t="s">
        <v>5</v>
      </c>
      <c r="B766" s="7">
        <v>19</v>
      </c>
      <c r="C766" s="7">
        <v>113</v>
      </c>
      <c r="D766" s="7">
        <v>5</v>
      </c>
      <c r="E766" s="6" t="s">
        <v>355</v>
      </c>
      <c r="F766" s="13" t="s">
        <v>320</v>
      </c>
      <c r="G766" s="13">
        <v>1</v>
      </c>
      <c r="H766" s="7">
        <v>5</v>
      </c>
      <c r="I766" s="14" t="s">
        <v>318</v>
      </c>
      <c r="J766" s="7">
        <v>1.0349999999999999</v>
      </c>
      <c r="K766" s="7">
        <v>44.140999999999998</v>
      </c>
      <c r="L766" s="6">
        <v>0</v>
      </c>
      <c r="M766" s="15">
        <v>5.1368000000000004E-2</v>
      </c>
      <c r="N766" s="16">
        <v>26.582940000000004</v>
      </c>
      <c r="O766" s="17">
        <v>1133.7174440000001</v>
      </c>
      <c r="P766" s="16">
        <v>26.582940000000004</v>
      </c>
      <c r="Q766" s="17">
        <v>1133.7174440000001</v>
      </c>
    </row>
    <row r="767" spans="1:17" x14ac:dyDescent="0.25">
      <c r="A767" s="6" t="s">
        <v>5</v>
      </c>
      <c r="B767" s="7">
        <v>19</v>
      </c>
      <c r="C767" s="7">
        <v>113</v>
      </c>
      <c r="D767" s="7">
        <v>5</v>
      </c>
      <c r="E767" s="6" t="s">
        <v>355</v>
      </c>
      <c r="F767" s="13" t="s">
        <v>320</v>
      </c>
      <c r="G767" s="13">
        <v>1</v>
      </c>
      <c r="H767" s="7">
        <v>5</v>
      </c>
      <c r="I767" s="14" t="s">
        <v>319</v>
      </c>
      <c r="J767" s="7">
        <v>0.58499999999999996</v>
      </c>
      <c r="K767" s="7">
        <v>50.414000000000001</v>
      </c>
      <c r="L767" s="6">
        <v>0</v>
      </c>
      <c r="M767" s="15">
        <v>4.8640000000000003E-3</v>
      </c>
      <c r="N767" s="16">
        <v>1.4227199999999998</v>
      </c>
      <c r="O767" s="17">
        <v>122.606848</v>
      </c>
      <c r="P767" s="16">
        <v>1.4227199999999998</v>
      </c>
      <c r="Q767" s="17">
        <v>122.60684800000001</v>
      </c>
    </row>
    <row r="768" spans="1:17" x14ac:dyDescent="0.25">
      <c r="A768" s="6" t="s">
        <v>5</v>
      </c>
      <c r="B768" s="7">
        <v>19</v>
      </c>
      <c r="C768" s="7">
        <v>113</v>
      </c>
      <c r="D768" s="7">
        <v>5</v>
      </c>
      <c r="E768" s="6" t="s">
        <v>355</v>
      </c>
      <c r="F768" s="13" t="s">
        <v>321</v>
      </c>
      <c r="G768" s="13">
        <v>2</v>
      </c>
      <c r="H768" s="7">
        <v>5</v>
      </c>
      <c r="I768" s="14" t="s">
        <v>318</v>
      </c>
      <c r="J768" s="7">
        <v>1.5740000000000001</v>
      </c>
      <c r="K768" s="7">
        <v>41.829000000000001</v>
      </c>
      <c r="L768" s="6">
        <v>0</v>
      </c>
      <c r="M768" s="15">
        <v>0.10892363636363636</v>
      </c>
      <c r="N768" s="16">
        <v>85.722901818181825</v>
      </c>
      <c r="O768" s="17">
        <v>2278.0833927272724</v>
      </c>
      <c r="P768" s="16">
        <v>85.722901818181825</v>
      </c>
      <c r="Q768" s="17">
        <v>2278.0833927272729</v>
      </c>
    </row>
    <row r="769" spans="1:17" x14ac:dyDescent="0.25">
      <c r="A769" s="6" t="s">
        <v>5</v>
      </c>
      <c r="B769" s="7">
        <v>19</v>
      </c>
      <c r="C769" s="7">
        <v>113</v>
      </c>
      <c r="D769" s="7">
        <v>5</v>
      </c>
      <c r="E769" s="6" t="s">
        <v>355</v>
      </c>
      <c r="F769" s="13" t="s">
        <v>321</v>
      </c>
      <c r="G769" s="13">
        <v>2</v>
      </c>
      <c r="H769" s="7">
        <v>5</v>
      </c>
      <c r="I769" s="14" t="s">
        <v>319</v>
      </c>
      <c r="J769" s="7">
        <v>0.64900000000000002</v>
      </c>
      <c r="K769" s="7">
        <v>50.127000000000002</v>
      </c>
      <c r="L769" s="6">
        <v>0</v>
      </c>
      <c r="M769" s="15">
        <v>1.0618181818181818E-3</v>
      </c>
      <c r="N769" s="16">
        <v>0.34455999999999998</v>
      </c>
      <c r="O769" s="17">
        <v>26.612879999999997</v>
      </c>
      <c r="P769" s="16">
        <v>0.34456000000000003</v>
      </c>
      <c r="Q769" s="17">
        <v>26.612880000000001</v>
      </c>
    </row>
    <row r="770" spans="1:17" x14ac:dyDescent="0.25">
      <c r="A770" s="6" t="s">
        <v>5</v>
      </c>
      <c r="B770" s="7">
        <v>19</v>
      </c>
      <c r="C770" s="7">
        <v>113</v>
      </c>
      <c r="D770" s="7">
        <v>5</v>
      </c>
      <c r="E770" s="6" t="s">
        <v>355</v>
      </c>
      <c r="F770" s="13" t="s">
        <v>322</v>
      </c>
      <c r="G770" s="13">
        <v>3</v>
      </c>
      <c r="H770" s="7">
        <v>5</v>
      </c>
      <c r="I770" s="14" t="s">
        <v>318</v>
      </c>
      <c r="J770" s="7">
        <v>2.0859999999999999</v>
      </c>
      <c r="K770" s="7">
        <v>43.902000000000001</v>
      </c>
      <c r="L770" s="6">
        <v>0</v>
      </c>
      <c r="M770" s="15">
        <v>0.17674909090909091</v>
      </c>
      <c r="N770" s="16">
        <v>184.34930181818183</v>
      </c>
      <c r="O770" s="17">
        <v>3879.8192945454548</v>
      </c>
      <c r="P770" s="16">
        <v>184.34930181818183</v>
      </c>
      <c r="Q770" s="17">
        <v>3879.8192945454548</v>
      </c>
    </row>
    <row r="771" spans="1:17" x14ac:dyDescent="0.25">
      <c r="A771" s="6" t="s">
        <v>5</v>
      </c>
      <c r="B771" s="7">
        <v>19</v>
      </c>
      <c r="C771" s="7">
        <v>113</v>
      </c>
      <c r="D771" s="7">
        <v>5</v>
      </c>
      <c r="E771" s="6" t="s">
        <v>355</v>
      </c>
      <c r="F771" s="13" t="s">
        <v>322</v>
      </c>
      <c r="G771" s="13">
        <v>3</v>
      </c>
      <c r="H771" s="7">
        <v>5</v>
      </c>
      <c r="I771" s="14" t="s">
        <v>319</v>
      </c>
      <c r="J771" s="7" t="s">
        <v>1673</v>
      </c>
      <c r="K771" s="7" t="s">
        <v>1673</v>
      </c>
      <c r="L771" s="6" t="s">
        <v>1673</v>
      </c>
      <c r="M771" s="15" t="s">
        <v>1673</v>
      </c>
      <c r="N771" s="16" t="s">
        <v>1673</v>
      </c>
      <c r="O771" s="17" t="s">
        <v>1673</v>
      </c>
      <c r="P771" s="16" t="s">
        <v>1673</v>
      </c>
      <c r="Q771" s="17" t="s">
        <v>1673</v>
      </c>
    </row>
    <row r="772" spans="1:17" x14ac:dyDescent="0.25">
      <c r="A772" s="6" t="s">
        <v>5</v>
      </c>
      <c r="B772" s="7">
        <v>19</v>
      </c>
      <c r="C772" s="7">
        <v>113</v>
      </c>
      <c r="D772" s="7">
        <v>5</v>
      </c>
      <c r="E772" s="6" t="s">
        <v>355</v>
      </c>
      <c r="F772" s="13" t="s">
        <v>324</v>
      </c>
      <c r="G772" s="18">
        <v>4</v>
      </c>
      <c r="H772" s="7">
        <v>5</v>
      </c>
      <c r="I772" s="14" t="s">
        <v>318</v>
      </c>
      <c r="J772" s="7">
        <v>2.7229999999999999</v>
      </c>
      <c r="K772" s="7">
        <v>43.636000000000003</v>
      </c>
      <c r="L772" s="6">
        <v>0</v>
      </c>
      <c r="M772" s="15">
        <v>0.20885289256198347</v>
      </c>
      <c r="N772" s="16">
        <v>284.35321322314047</v>
      </c>
      <c r="O772" s="17">
        <v>4556.7524099173552</v>
      </c>
      <c r="P772" s="16">
        <v>284.35321322314047</v>
      </c>
      <c r="Q772" s="17">
        <v>4556.7524099173552</v>
      </c>
    </row>
    <row r="773" spans="1:17" x14ac:dyDescent="0.25">
      <c r="A773" s="6" t="s">
        <v>5</v>
      </c>
      <c r="B773" s="7">
        <v>19</v>
      </c>
      <c r="C773" s="7">
        <v>113</v>
      </c>
      <c r="D773" s="7">
        <v>5</v>
      </c>
      <c r="E773" s="6" t="s">
        <v>355</v>
      </c>
      <c r="F773" s="13" t="s">
        <v>324</v>
      </c>
      <c r="G773" s="18">
        <v>4</v>
      </c>
      <c r="H773" s="7">
        <v>5</v>
      </c>
      <c r="I773" s="14" t="s">
        <v>319</v>
      </c>
      <c r="J773" s="7" t="s">
        <v>1673</v>
      </c>
      <c r="K773" s="7" t="s">
        <v>1673</v>
      </c>
      <c r="L773" s="6" t="s">
        <v>1673</v>
      </c>
      <c r="M773" s="15" t="s">
        <v>1673</v>
      </c>
      <c r="N773" s="16" t="s">
        <v>1673</v>
      </c>
      <c r="O773" s="17" t="s">
        <v>1673</v>
      </c>
      <c r="P773" s="16" t="s">
        <v>1673</v>
      </c>
      <c r="Q773" s="17" t="s">
        <v>1673</v>
      </c>
    </row>
    <row r="774" spans="1:17" x14ac:dyDescent="0.25">
      <c r="A774" s="6" t="s">
        <v>5</v>
      </c>
      <c r="B774" s="7">
        <v>19</v>
      </c>
      <c r="C774" s="7">
        <v>113</v>
      </c>
      <c r="D774" s="7">
        <v>5</v>
      </c>
      <c r="E774" s="6" t="s">
        <v>355</v>
      </c>
      <c r="F774" s="13" t="s">
        <v>325</v>
      </c>
      <c r="G774" s="18">
        <v>5</v>
      </c>
      <c r="H774" s="7">
        <v>2</v>
      </c>
      <c r="I774" s="14" t="s">
        <v>318</v>
      </c>
      <c r="J774" s="7">
        <v>2.6320000000000001</v>
      </c>
      <c r="K774" s="7">
        <v>42.771999999999998</v>
      </c>
      <c r="L774" s="6">
        <v>0</v>
      </c>
      <c r="M774" s="15">
        <v>0.1802</v>
      </c>
      <c r="N774" s="16">
        <v>94.857280000000003</v>
      </c>
      <c r="O774" s="17">
        <v>1541.50288</v>
      </c>
      <c r="P774" s="16">
        <v>237.14320000000001</v>
      </c>
      <c r="Q774" s="17">
        <v>3853.7571999999996</v>
      </c>
    </row>
    <row r="775" spans="1:17" x14ac:dyDescent="0.25">
      <c r="A775" s="6" t="s">
        <v>5</v>
      </c>
      <c r="B775" s="7">
        <v>19</v>
      </c>
      <c r="C775" s="7">
        <v>113</v>
      </c>
      <c r="D775" s="7">
        <v>5</v>
      </c>
      <c r="E775" s="6" t="s">
        <v>355</v>
      </c>
      <c r="F775" s="13" t="s">
        <v>325</v>
      </c>
      <c r="G775" s="18">
        <v>5</v>
      </c>
      <c r="H775" s="7">
        <v>2</v>
      </c>
      <c r="I775" s="14" t="s">
        <v>319</v>
      </c>
      <c r="J775" s="7" t="s">
        <v>1673</v>
      </c>
      <c r="K775" s="7" t="s">
        <v>1673</v>
      </c>
      <c r="L775" s="6" t="s">
        <v>1673</v>
      </c>
      <c r="M775" s="15" t="s">
        <v>1673</v>
      </c>
      <c r="N775" s="16" t="s">
        <v>1673</v>
      </c>
      <c r="O775" s="17" t="s">
        <v>1673</v>
      </c>
      <c r="P775" s="16" t="s">
        <v>1673</v>
      </c>
      <c r="Q775" s="17" t="s">
        <v>1673</v>
      </c>
    </row>
    <row r="776" spans="1:17" x14ac:dyDescent="0.25">
      <c r="A776" s="6" t="s">
        <v>5</v>
      </c>
      <c r="B776" s="7">
        <v>20</v>
      </c>
      <c r="C776" s="20" t="s">
        <v>354</v>
      </c>
      <c r="D776" s="7">
        <v>1</v>
      </c>
      <c r="E776" s="6" t="s">
        <v>316</v>
      </c>
      <c r="F776" s="13" t="s">
        <v>317</v>
      </c>
      <c r="G776" s="13">
        <v>0</v>
      </c>
      <c r="H776" s="7">
        <v>0</v>
      </c>
      <c r="I776" s="14" t="s">
        <v>318</v>
      </c>
      <c r="J776" s="7" t="s">
        <v>1673</v>
      </c>
      <c r="K776" s="7" t="s">
        <v>1673</v>
      </c>
      <c r="L776" s="6" t="s">
        <v>1673</v>
      </c>
      <c r="M776" s="15" t="s">
        <v>1673</v>
      </c>
      <c r="N776" s="16" t="s">
        <v>1673</v>
      </c>
      <c r="O776" s="17" t="s">
        <v>1673</v>
      </c>
      <c r="P776" s="16" t="s">
        <v>1673</v>
      </c>
      <c r="Q776" s="17" t="s">
        <v>1673</v>
      </c>
    </row>
    <row r="777" spans="1:17" x14ac:dyDescent="0.25">
      <c r="A777" s="6" t="s">
        <v>5</v>
      </c>
      <c r="B777" s="7">
        <v>20</v>
      </c>
      <c r="C777" s="20" t="s">
        <v>354</v>
      </c>
      <c r="D777" s="7">
        <v>1</v>
      </c>
      <c r="E777" s="6" t="s">
        <v>316</v>
      </c>
      <c r="F777" s="13" t="s">
        <v>317</v>
      </c>
      <c r="G777" s="13">
        <v>0</v>
      </c>
      <c r="H777" s="7">
        <v>0</v>
      </c>
      <c r="I777" s="14" t="s">
        <v>319</v>
      </c>
      <c r="J777" s="7" t="s">
        <v>1673</v>
      </c>
      <c r="K777" s="7" t="s">
        <v>1673</v>
      </c>
      <c r="L777" s="6" t="s">
        <v>1673</v>
      </c>
      <c r="M777" s="15" t="s">
        <v>1673</v>
      </c>
      <c r="N777" s="16" t="s">
        <v>1673</v>
      </c>
      <c r="O777" s="17" t="s">
        <v>1673</v>
      </c>
      <c r="P777" s="16" t="s">
        <v>1673</v>
      </c>
      <c r="Q777" s="17" t="s">
        <v>1673</v>
      </c>
    </row>
    <row r="778" spans="1:17" x14ac:dyDescent="0.25">
      <c r="A778" s="6" t="s">
        <v>5</v>
      </c>
      <c r="B778" s="7">
        <v>20</v>
      </c>
      <c r="C778" s="20" t="s">
        <v>354</v>
      </c>
      <c r="D778" s="7">
        <v>1</v>
      </c>
      <c r="E778" s="6" t="s">
        <v>355</v>
      </c>
      <c r="F778" s="13" t="s">
        <v>320</v>
      </c>
      <c r="G778" s="13">
        <v>1</v>
      </c>
      <c r="H778" s="7">
        <v>5</v>
      </c>
      <c r="I778" s="14" t="s">
        <v>318</v>
      </c>
      <c r="J778" s="7">
        <v>1.0740000000000001</v>
      </c>
      <c r="K778" s="7">
        <v>44.204999999999998</v>
      </c>
      <c r="L778" s="6">
        <v>0</v>
      </c>
      <c r="M778" s="15">
        <v>3.4411111111111108E-2</v>
      </c>
      <c r="N778" s="16">
        <v>18.478766666666669</v>
      </c>
      <c r="O778" s="17">
        <v>760.57158333333325</v>
      </c>
      <c r="P778" s="16">
        <v>18.478766666666669</v>
      </c>
      <c r="Q778" s="17">
        <v>760.57158333333314</v>
      </c>
    </row>
    <row r="779" spans="1:17" x14ac:dyDescent="0.25">
      <c r="A779" s="6" t="s">
        <v>5</v>
      </c>
      <c r="B779" s="7">
        <v>20</v>
      </c>
      <c r="C779" s="20" t="s">
        <v>354</v>
      </c>
      <c r="D779" s="7">
        <v>1</v>
      </c>
      <c r="E779" s="6" t="s">
        <v>355</v>
      </c>
      <c r="F779" s="13" t="s">
        <v>320</v>
      </c>
      <c r="G779" s="13">
        <v>1</v>
      </c>
      <c r="H779" s="7">
        <v>5</v>
      </c>
      <c r="I779" s="14" t="s">
        <v>319</v>
      </c>
      <c r="J779" s="7" t="s">
        <v>1673</v>
      </c>
      <c r="K779" s="7" t="s">
        <v>1673</v>
      </c>
      <c r="L779" s="6" t="s">
        <v>1673</v>
      </c>
      <c r="M779" s="15" t="s">
        <v>1673</v>
      </c>
      <c r="N779" s="16" t="s">
        <v>1673</v>
      </c>
      <c r="O779" s="17" t="s">
        <v>1673</v>
      </c>
      <c r="P779" s="16" t="s">
        <v>1673</v>
      </c>
      <c r="Q779" s="17" t="s">
        <v>1673</v>
      </c>
    </row>
    <row r="780" spans="1:17" x14ac:dyDescent="0.25">
      <c r="A780" s="6" t="s">
        <v>5</v>
      </c>
      <c r="B780" s="7">
        <v>20</v>
      </c>
      <c r="C780" s="20" t="s">
        <v>354</v>
      </c>
      <c r="D780" s="7">
        <v>1</v>
      </c>
      <c r="E780" s="6" t="s">
        <v>355</v>
      </c>
      <c r="F780" s="13" t="s">
        <v>321</v>
      </c>
      <c r="G780" s="13">
        <v>2</v>
      </c>
      <c r="H780" s="7">
        <v>5</v>
      </c>
      <c r="I780" s="14" t="s">
        <v>318</v>
      </c>
      <c r="J780" s="7">
        <v>0.92</v>
      </c>
      <c r="K780" s="7">
        <v>44.061</v>
      </c>
      <c r="L780" s="6">
        <v>0</v>
      </c>
      <c r="M780" s="15">
        <v>4.9409999999999996E-2</v>
      </c>
      <c r="N780" s="16">
        <v>22.7286</v>
      </c>
      <c r="O780" s="17">
        <v>1088.5270049999999</v>
      </c>
      <c r="P780" s="16">
        <v>22.728599999999997</v>
      </c>
      <c r="Q780" s="17">
        <v>1088.5270049999999</v>
      </c>
    </row>
    <row r="781" spans="1:17" x14ac:dyDescent="0.25">
      <c r="A781" s="6" t="s">
        <v>5</v>
      </c>
      <c r="B781" s="7">
        <v>20</v>
      </c>
      <c r="C781" s="20" t="s">
        <v>354</v>
      </c>
      <c r="D781" s="7">
        <v>1</v>
      </c>
      <c r="E781" s="6" t="s">
        <v>355</v>
      </c>
      <c r="F781" s="13" t="s">
        <v>321</v>
      </c>
      <c r="G781" s="13">
        <v>2</v>
      </c>
      <c r="H781" s="7">
        <v>5</v>
      </c>
      <c r="I781" s="14" t="s">
        <v>319</v>
      </c>
      <c r="J781" s="7" t="s">
        <v>1673</v>
      </c>
      <c r="K781" s="7" t="s">
        <v>1673</v>
      </c>
      <c r="L781" s="6" t="s">
        <v>1673</v>
      </c>
      <c r="M781" s="15" t="s">
        <v>1673</v>
      </c>
      <c r="N781" s="16" t="s">
        <v>1673</v>
      </c>
      <c r="O781" s="17" t="s">
        <v>1673</v>
      </c>
      <c r="P781" s="16" t="s">
        <v>1673</v>
      </c>
      <c r="Q781" s="17" t="s">
        <v>1673</v>
      </c>
    </row>
    <row r="782" spans="1:17" x14ac:dyDescent="0.25">
      <c r="A782" s="6" t="s">
        <v>5</v>
      </c>
      <c r="B782" s="7">
        <v>20</v>
      </c>
      <c r="C782" s="20" t="s">
        <v>354</v>
      </c>
      <c r="D782" s="7">
        <v>1</v>
      </c>
      <c r="E782" s="6" t="s">
        <v>355</v>
      </c>
      <c r="F782" s="13" t="s">
        <v>322</v>
      </c>
      <c r="G782" s="13">
        <v>3</v>
      </c>
      <c r="H782" s="7">
        <v>5</v>
      </c>
      <c r="I782" s="14" t="s">
        <v>318</v>
      </c>
      <c r="J782" s="7">
        <v>1.4339999999999999</v>
      </c>
      <c r="K782" s="7">
        <v>44.604999999999997</v>
      </c>
      <c r="L782" s="6">
        <v>0</v>
      </c>
      <c r="M782" s="15">
        <v>9.4244444444444436E-2</v>
      </c>
      <c r="N782" s="16">
        <v>67.573266666666655</v>
      </c>
      <c r="O782" s="17">
        <v>2101.8867222222216</v>
      </c>
      <c r="P782" s="16">
        <v>67.573266666666655</v>
      </c>
      <c r="Q782" s="17">
        <v>2101.8867222222216</v>
      </c>
    </row>
    <row r="783" spans="1:17" x14ac:dyDescent="0.25">
      <c r="A783" s="6" t="s">
        <v>5</v>
      </c>
      <c r="B783" s="7">
        <v>20</v>
      </c>
      <c r="C783" s="20" t="s">
        <v>354</v>
      </c>
      <c r="D783" s="7">
        <v>1</v>
      </c>
      <c r="E783" s="6" t="s">
        <v>355</v>
      </c>
      <c r="F783" s="13" t="s">
        <v>322</v>
      </c>
      <c r="G783" s="13">
        <v>3</v>
      </c>
      <c r="H783" s="7">
        <v>5</v>
      </c>
      <c r="I783" s="14" t="s">
        <v>319</v>
      </c>
      <c r="J783" s="7" t="s">
        <v>1673</v>
      </c>
      <c r="K783" s="7" t="s">
        <v>1673</v>
      </c>
      <c r="L783" s="6" t="s">
        <v>1673</v>
      </c>
      <c r="M783" s="15" t="s">
        <v>1673</v>
      </c>
      <c r="N783" s="16" t="s">
        <v>1673</v>
      </c>
      <c r="O783" s="17" t="s">
        <v>1673</v>
      </c>
      <c r="P783" s="16" t="s">
        <v>1673</v>
      </c>
      <c r="Q783" s="17" t="s">
        <v>1673</v>
      </c>
    </row>
    <row r="784" spans="1:17" x14ac:dyDescent="0.25">
      <c r="A784" s="6" t="s">
        <v>5</v>
      </c>
      <c r="B784" s="7">
        <v>20</v>
      </c>
      <c r="C784" s="20" t="s">
        <v>354</v>
      </c>
      <c r="D784" s="7">
        <v>2</v>
      </c>
      <c r="E784" s="6" t="s">
        <v>316</v>
      </c>
      <c r="F784" s="13" t="s">
        <v>317</v>
      </c>
      <c r="G784" s="13">
        <v>0</v>
      </c>
      <c r="H784" s="7">
        <v>0</v>
      </c>
      <c r="I784" s="14" t="s">
        <v>318</v>
      </c>
      <c r="J784" s="7" t="s">
        <v>1673</v>
      </c>
      <c r="K784" s="7" t="s">
        <v>1673</v>
      </c>
      <c r="L784" s="6" t="s">
        <v>1673</v>
      </c>
      <c r="M784" s="15" t="s">
        <v>1673</v>
      </c>
      <c r="N784" s="16" t="s">
        <v>1673</v>
      </c>
      <c r="O784" s="17" t="s">
        <v>1673</v>
      </c>
      <c r="P784" s="16" t="s">
        <v>1673</v>
      </c>
      <c r="Q784" s="17" t="s">
        <v>1673</v>
      </c>
    </row>
    <row r="785" spans="1:17" x14ac:dyDescent="0.25">
      <c r="A785" s="6" t="s">
        <v>5</v>
      </c>
      <c r="B785" s="7">
        <v>20</v>
      </c>
      <c r="C785" s="20" t="s">
        <v>354</v>
      </c>
      <c r="D785" s="7">
        <v>2</v>
      </c>
      <c r="E785" s="6" t="s">
        <v>316</v>
      </c>
      <c r="F785" s="13" t="s">
        <v>317</v>
      </c>
      <c r="G785" s="13">
        <v>0</v>
      </c>
      <c r="H785" s="7">
        <v>0</v>
      </c>
      <c r="I785" s="14" t="s">
        <v>319</v>
      </c>
      <c r="J785" s="7" t="s">
        <v>1673</v>
      </c>
      <c r="K785" s="7" t="s">
        <v>1673</v>
      </c>
      <c r="L785" s="6" t="s">
        <v>1673</v>
      </c>
      <c r="M785" s="15" t="s">
        <v>1673</v>
      </c>
      <c r="N785" s="16" t="s">
        <v>1673</v>
      </c>
      <c r="O785" s="17" t="s">
        <v>1673</v>
      </c>
      <c r="P785" s="16" t="s">
        <v>1673</v>
      </c>
      <c r="Q785" s="17" t="s">
        <v>1673</v>
      </c>
    </row>
    <row r="786" spans="1:17" x14ac:dyDescent="0.25">
      <c r="A786" s="6" t="s">
        <v>5</v>
      </c>
      <c r="B786" s="7">
        <v>20</v>
      </c>
      <c r="C786" s="20" t="s">
        <v>354</v>
      </c>
      <c r="D786" s="7">
        <v>2</v>
      </c>
      <c r="E786" s="6" t="s">
        <v>355</v>
      </c>
      <c r="F786" s="13" t="s">
        <v>320</v>
      </c>
      <c r="G786" s="13">
        <v>1</v>
      </c>
      <c r="H786" s="7">
        <v>0</v>
      </c>
      <c r="I786" s="14" t="s">
        <v>318</v>
      </c>
      <c r="J786" s="7" t="s">
        <v>1673</v>
      </c>
      <c r="K786" s="7" t="s">
        <v>1673</v>
      </c>
      <c r="L786" s="6" t="s">
        <v>1673</v>
      </c>
      <c r="M786" s="15" t="s">
        <v>1673</v>
      </c>
      <c r="N786" s="16" t="s">
        <v>1673</v>
      </c>
      <c r="O786" s="17" t="s">
        <v>1673</v>
      </c>
      <c r="P786" s="16" t="s">
        <v>1673</v>
      </c>
      <c r="Q786" s="17" t="s">
        <v>1673</v>
      </c>
    </row>
    <row r="787" spans="1:17" x14ac:dyDescent="0.25">
      <c r="A787" s="6" t="s">
        <v>5</v>
      </c>
      <c r="B787" s="7">
        <v>20</v>
      </c>
      <c r="C787" s="20" t="s">
        <v>354</v>
      </c>
      <c r="D787" s="7">
        <v>2</v>
      </c>
      <c r="E787" s="6" t="s">
        <v>355</v>
      </c>
      <c r="F787" s="13" t="s">
        <v>320</v>
      </c>
      <c r="G787" s="13">
        <v>1</v>
      </c>
      <c r="H787" s="7">
        <v>0</v>
      </c>
      <c r="I787" s="14" t="s">
        <v>319</v>
      </c>
      <c r="J787" s="7" t="s">
        <v>1673</v>
      </c>
      <c r="K787" s="7" t="s">
        <v>1673</v>
      </c>
      <c r="L787" s="6" t="s">
        <v>1673</v>
      </c>
      <c r="M787" s="15" t="s">
        <v>1673</v>
      </c>
      <c r="N787" s="16" t="s">
        <v>1673</v>
      </c>
      <c r="O787" s="17" t="s">
        <v>1673</v>
      </c>
      <c r="P787" s="16" t="s">
        <v>1673</v>
      </c>
      <c r="Q787" s="17" t="s">
        <v>1673</v>
      </c>
    </row>
    <row r="788" spans="1:17" x14ac:dyDescent="0.25">
      <c r="A788" s="6" t="s">
        <v>5</v>
      </c>
      <c r="B788" s="7">
        <v>20</v>
      </c>
      <c r="C788" s="20" t="s">
        <v>354</v>
      </c>
      <c r="D788" s="7">
        <v>3</v>
      </c>
      <c r="E788" s="6" t="s">
        <v>316</v>
      </c>
      <c r="F788" s="13" t="s">
        <v>317</v>
      </c>
      <c r="G788" s="13">
        <v>0</v>
      </c>
      <c r="H788" s="7">
        <v>0</v>
      </c>
      <c r="I788" s="14" t="s">
        <v>318</v>
      </c>
      <c r="J788" s="7" t="s">
        <v>1673</v>
      </c>
      <c r="K788" s="7" t="s">
        <v>1673</v>
      </c>
      <c r="L788" s="6" t="s">
        <v>1673</v>
      </c>
      <c r="M788" s="15" t="s">
        <v>1673</v>
      </c>
      <c r="N788" s="16" t="s">
        <v>1673</v>
      </c>
      <c r="O788" s="17" t="s">
        <v>1673</v>
      </c>
      <c r="P788" s="16" t="s">
        <v>1673</v>
      </c>
      <c r="Q788" s="17" t="s">
        <v>1673</v>
      </c>
    </row>
    <row r="789" spans="1:17" x14ac:dyDescent="0.25">
      <c r="A789" s="6" t="s">
        <v>5</v>
      </c>
      <c r="B789" s="7">
        <v>20</v>
      </c>
      <c r="C789" s="20" t="s">
        <v>354</v>
      </c>
      <c r="D789" s="7">
        <v>3</v>
      </c>
      <c r="E789" s="6" t="s">
        <v>316</v>
      </c>
      <c r="F789" s="13" t="s">
        <v>317</v>
      </c>
      <c r="G789" s="13">
        <v>0</v>
      </c>
      <c r="H789" s="7">
        <v>0</v>
      </c>
      <c r="I789" s="14" t="s">
        <v>319</v>
      </c>
      <c r="J789" s="7" t="s">
        <v>1673</v>
      </c>
      <c r="K789" s="7" t="s">
        <v>1673</v>
      </c>
      <c r="L789" s="6" t="s">
        <v>1673</v>
      </c>
      <c r="M789" s="15" t="s">
        <v>1673</v>
      </c>
      <c r="N789" s="16" t="s">
        <v>1673</v>
      </c>
      <c r="O789" s="17" t="s">
        <v>1673</v>
      </c>
      <c r="P789" s="16" t="s">
        <v>1673</v>
      </c>
      <c r="Q789" s="17" t="s">
        <v>1673</v>
      </c>
    </row>
    <row r="790" spans="1:17" x14ac:dyDescent="0.25">
      <c r="A790" s="6" t="s">
        <v>5</v>
      </c>
      <c r="B790" s="7">
        <v>20</v>
      </c>
      <c r="C790" s="20" t="s">
        <v>354</v>
      </c>
      <c r="D790" s="7">
        <v>3</v>
      </c>
      <c r="E790" s="6" t="s">
        <v>355</v>
      </c>
      <c r="F790" s="13" t="s">
        <v>320</v>
      </c>
      <c r="G790" s="13">
        <v>1</v>
      </c>
      <c r="H790" s="7">
        <v>2.5</v>
      </c>
      <c r="I790" s="14" t="s">
        <v>318</v>
      </c>
      <c r="J790" s="7">
        <v>1.5760000000000001</v>
      </c>
      <c r="K790" s="7">
        <v>49.296999999999997</v>
      </c>
      <c r="L790" s="6">
        <v>0</v>
      </c>
      <c r="M790" s="15">
        <v>5.3415384615384615E-2</v>
      </c>
      <c r="N790" s="16">
        <v>21.045661538461541</v>
      </c>
      <c r="O790" s="17">
        <v>658.30455384615379</v>
      </c>
      <c r="P790" s="16">
        <v>42.091323076923082</v>
      </c>
      <c r="Q790" s="17">
        <v>1316.6091076923076</v>
      </c>
    </row>
    <row r="791" spans="1:17" x14ac:dyDescent="0.25">
      <c r="A791" s="6" t="s">
        <v>5</v>
      </c>
      <c r="B791" s="7">
        <v>20</v>
      </c>
      <c r="C791" s="20" t="s">
        <v>354</v>
      </c>
      <c r="D791" s="7">
        <v>3</v>
      </c>
      <c r="E791" s="6" t="s">
        <v>355</v>
      </c>
      <c r="F791" s="13" t="s">
        <v>320</v>
      </c>
      <c r="G791" s="13">
        <v>1</v>
      </c>
      <c r="H791" s="7">
        <v>2.5</v>
      </c>
      <c r="I791" s="14" t="s">
        <v>319</v>
      </c>
      <c r="J791" s="7">
        <v>1.141</v>
      </c>
      <c r="K791" s="7">
        <v>53.411000000000001</v>
      </c>
      <c r="L791" s="6">
        <v>0</v>
      </c>
      <c r="M791" s="15">
        <v>1.5960000000000002E-2</v>
      </c>
      <c r="N791" s="16">
        <v>4.5525900000000004</v>
      </c>
      <c r="O791" s="17">
        <v>213.10989000000001</v>
      </c>
      <c r="P791" s="16">
        <v>9.1051800000000007</v>
      </c>
      <c r="Q791" s="17">
        <v>426.21978000000007</v>
      </c>
    </row>
    <row r="792" spans="1:17" x14ac:dyDescent="0.25">
      <c r="A792" s="6" t="s">
        <v>5</v>
      </c>
      <c r="B792" s="7">
        <v>20</v>
      </c>
      <c r="C792" s="20" t="s">
        <v>354</v>
      </c>
      <c r="D792" s="13" t="s">
        <v>350</v>
      </c>
      <c r="E792" s="6" t="s">
        <v>316</v>
      </c>
      <c r="F792" s="13" t="s">
        <v>317</v>
      </c>
      <c r="G792" s="13">
        <v>0</v>
      </c>
      <c r="H792" s="7">
        <v>4</v>
      </c>
      <c r="I792" s="14" t="s">
        <v>318</v>
      </c>
      <c r="J792" s="7">
        <v>1.4279999999999999</v>
      </c>
      <c r="K792" s="7">
        <v>44.896000000000001</v>
      </c>
      <c r="L792" s="6">
        <v>0</v>
      </c>
      <c r="M792" s="15" t="s">
        <v>1673</v>
      </c>
      <c r="N792" s="16" t="s">
        <v>1673</v>
      </c>
      <c r="O792" s="17" t="s">
        <v>1673</v>
      </c>
      <c r="P792" s="16" t="s">
        <v>1673</v>
      </c>
      <c r="Q792" s="17" t="s">
        <v>1673</v>
      </c>
    </row>
    <row r="793" spans="1:17" x14ac:dyDescent="0.25">
      <c r="A793" s="6" t="s">
        <v>5</v>
      </c>
      <c r="B793" s="7">
        <v>20</v>
      </c>
      <c r="C793" s="20" t="s">
        <v>354</v>
      </c>
      <c r="D793" s="13" t="s">
        <v>350</v>
      </c>
      <c r="E793" s="6" t="s">
        <v>316</v>
      </c>
      <c r="F793" s="13" t="s">
        <v>317</v>
      </c>
      <c r="G793" s="13">
        <v>0</v>
      </c>
      <c r="H793" s="7">
        <v>4</v>
      </c>
      <c r="I793" s="14" t="s">
        <v>319</v>
      </c>
      <c r="J793" s="7" t="s">
        <v>1673</v>
      </c>
      <c r="K793" s="7" t="s">
        <v>1673</v>
      </c>
      <c r="L793" s="6" t="s">
        <v>1673</v>
      </c>
      <c r="M793" s="15" t="s">
        <v>1673</v>
      </c>
      <c r="N793" s="16" t="s">
        <v>1673</v>
      </c>
      <c r="O793" s="17" t="s">
        <v>1673</v>
      </c>
      <c r="P793" s="16" t="s">
        <v>1673</v>
      </c>
      <c r="Q793" s="17" t="s">
        <v>1673</v>
      </c>
    </row>
    <row r="794" spans="1:17" x14ac:dyDescent="0.25">
      <c r="A794" s="6" t="s">
        <v>5</v>
      </c>
      <c r="B794" s="7">
        <v>20</v>
      </c>
      <c r="C794" s="20" t="s">
        <v>354</v>
      </c>
      <c r="D794" s="13" t="s">
        <v>350</v>
      </c>
      <c r="E794" s="6" t="s">
        <v>355</v>
      </c>
      <c r="F794" s="13" t="s">
        <v>320</v>
      </c>
      <c r="G794" s="13">
        <v>1</v>
      </c>
      <c r="H794" s="7">
        <v>5</v>
      </c>
      <c r="I794" s="14" t="s">
        <v>318</v>
      </c>
      <c r="J794" s="7">
        <v>1.0980000000000001</v>
      </c>
      <c r="K794" s="7">
        <v>59.832999999999998</v>
      </c>
      <c r="L794" s="6">
        <v>0</v>
      </c>
      <c r="M794" s="15">
        <v>4.293818181818182E-2</v>
      </c>
      <c r="N794" s="16">
        <v>23.57306181818182</v>
      </c>
      <c r="O794" s="17">
        <v>1284.5601163636366</v>
      </c>
      <c r="P794" s="16">
        <v>23.57306181818182</v>
      </c>
      <c r="Q794" s="17">
        <v>1284.5601163636363</v>
      </c>
    </row>
    <row r="795" spans="1:17" x14ac:dyDescent="0.25">
      <c r="A795" s="6" t="s">
        <v>5</v>
      </c>
      <c r="B795" s="7">
        <v>20</v>
      </c>
      <c r="C795" s="20" t="s">
        <v>354</v>
      </c>
      <c r="D795" s="13" t="s">
        <v>350</v>
      </c>
      <c r="E795" s="6" t="s">
        <v>355</v>
      </c>
      <c r="F795" s="13" t="s">
        <v>320</v>
      </c>
      <c r="G795" s="13">
        <v>1</v>
      </c>
      <c r="H795" s="7">
        <v>5</v>
      </c>
      <c r="I795" s="14" t="s">
        <v>319</v>
      </c>
      <c r="J795" s="7" t="s">
        <v>1673</v>
      </c>
      <c r="K795" s="7" t="s">
        <v>1673</v>
      </c>
      <c r="L795" s="6" t="s">
        <v>1673</v>
      </c>
      <c r="M795" s="15" t="s">
        <v>1673</v>
      </c>
      <c r="N795" s="16" t="s">
        <v>1673</v>
      </c>
      <c r="O795" s="17" t="s">
        <v>1673</v>
      </c>
      <c r="P795" s="16" t="s">
        <v>1673</v>
      </c>
      <c r="Q795" s="17" t="s">
        <v>1673</v>
      </c>
    </row>
    <row r="796" spans="1:17" x14ac:dyDescent="0.25">
      <c r="A796" s="6" t="s">
        <v>5</v>
      </c>
      <c r="B796" s="7">
        <v>20</v>
      </c>
      <c r="C796" s="20" t="s">
        <v>354</v>
      </c>
      <c r="D796" s="13" t="s">
        <v>350</v>
      </c>
      <c r="E796" s="6" t="s">
        <v>355</v>
      </c>
      <c r="F796" s="13" t="s">
        <v>321</v>
      </c>
      <c r="G796" s="13">
        <v>2</v>
      </c>
      <c r="H796" s="7">
        <v>5</v>
      </c>
      <c r="I796" s="14" t="s">
        <v>318</v>
      </c>
      <c r="J796" s="7">
        <v>0.80700000000000005</v>
      </c>
      <c r="K796" s="7">
        <v>44.88</v>
      </c>
      <c r="L796" s="6">
        <v>0</v>
      </c>
      <c r="M796" s="15">
        <v>5.2406666666666664E-2</v>
      </c>
      <c r="N796" s="16">
        <v>21.146090000000001</v>
      </c>
      <c r="O796" s="17">
        <v>1176.0056</v>
      </c>
      <c r="P796" s="16">
        <v>21.146090000000004</v>
      </c>
      <c r="Q796" s="17">
        <v>1176.0056</v>
      </c>
    </row>
    <row r="797" spans="1:17" x14ac:dyDescent="0.25">
      <c r="A797" s="6" t="s">
        <v>5</v>
      </c>
      <c r="B797" s="7">
        <v>20</v>
      </c>
      <c r="C797" s="20" t="s">
        <v>354</v>
      </c>
      <c r="D797" s="13" t="s">
        <v>350</v>
      </c>
      <c r="E797" s="6" t="s">
        <v>355</v>
      </c>
      <c r="F797" s="13" t="s">
        <v>321</v>
      </c>
      <c r="G797" s="13">
        <v>2</v>
      </c>
      <c r="H797" s="7">
        <v>5</v>
      </c>
      <c r="I797" s="14" t="s">
        <v>319</v>
      </c>
      <c r="J797" s="7">
        <v>0.64700000000000002</v>
      </c>
      <c r="K797" s="7">
        <v>51.462000000000003</v>
      </c>
      <c r="L797" s="6">
        <v>0</v>
      </c>
      <c r="M797" s="15">
        <v>2.2133333333333336E-3</v>
      </c>
      <c r="N797" s="16">
        <v>0.7160133333333335</v>
      </c>
      <c r="O797" s="17">
        <v>56.951280000000018</v>
      </c>
      <c r="P797" s="16">
        <v>0.7160133333333335</v>
      </c>
      <c r="Q797" s="17">
        <v>56.951280000000018</v>
      </c>
    </row>
    <row r="798" spans="1:17" x14ac:dyDescent="0.25">
      <c r="A798" s="6" t="s">
        <v>5</v>
      </c>
      <c r="B798" s="7">
        <v>20</v>
      </c>
      <c r="C798" s="20" t="s">
        <v>354</v>
      </c>
      <c r="D798" s="13" t="s">
        <v>350</v>
      </c>
      <c r="E798" s="6" t="s">
        <v>355</v>
      </c>
      <c r="F798" s="13" t="s">
        <v>322</v>
      </c>
      <c r="G798" s="13">
        <v>3</v>
      </c>
      <c r="H798" s="7">
        <v>5</v>
      </c>
      <c r="I798" s="14" t="s">
        <v>318</v>
      </c>
      <c r="J798" s="7">
        <v>1.2170000000000001</v>
      </c>
      <c r="K798" s="7">
        <v>42.442</v>
      </c>
      <c r="L798" s="6">
        <v>0</v>
      </c>
      <c r="M798" s="15">
        <v>7.7472727272727276E-2</v>
      </c>
      <c r="N798" s="16">
        <v>47.142154545454552</v>
      </c>
      <c r="O798" s="17">
        <v>1644.0487454545457</v>
      </c>
      <c r="P798" s="16">
        <v>47.142154545454538</v>
      </c>
      <c r="Q798" s="17">
        <v>1644.0487454545455</v>
      </c>
    </row>
    <row r="799" spans="1:17" x14ac:dyDescent="0.25">
      <c r="A799" s="6" t="s">
        <v>5</v>
      </c>
      <c r="B799" s="7">
        <v>20</v>
      </c>
      <c r="C799" s="20" t="s">
        <v>354</v>
      </c>
      <c r="D799" s="13" t="s">
        <v>350</v>
      </c>
      <c r="E799" s="6" t="s">
        <v>355</v>
      </c>
      <c r="F799" s="13" t="s">
        <v>322</v>
      </c>
      <c r="G799" s="13">
        <v>3</v>
      </c>
      <c r="H799" s="7">
        <v>5</v>
      </c>
      <c r="I799" s="14" t="s">
        <v>319</v>
      </c>
      <c r="J799" s="7">
        <v>0.73</v>
      </c>
      <c r="K799" s="7">
        <v>50.621000000000002</v>
      </c>
      <c r="L799" s="6">
        <v>0</v>
      </c>
      <c r="M799" s="15">
        <v>1.690909090909091E-3</v>
      </c>
      <c r="N799" s="16">
        <v>0.61718181818181816</v>
      </c>
      <c r="O799" s="17">
        <v>42.797754545454552</v>
      </c>
      <c r="P799" s="16">
        <v>0.61718181818181816</v>
      </c>
      <c r="Q799" s="17">
        <v>42.797754545454552</v>
      </c>
    </row>
    <row r="800" spans="1:17" x14ac:dyDescent="0.25">
      <c r="A800" s="6" t="s">
        <v>5</v>
      </c>
      <c r="B800" s="7">
        <v>20</v>
      </c>
      <c r="C800" s="20" t="s">
        <v>354</v>
      </c>
      <c r="D800" s="13" t="s">
        <v>350</v>
      </c>
      <c r="E800" s="6" t="s">
        <v>355</v>
      </c>
      <c r="F800" s="13" t="s">
        <v>324</v>
      </c>
      <c r="G800" s="18">
        <v>4</v>
      </c>
      <c r="H800" s="7">
        <v>5</v>
      </c>
      <c r="I800" s="14" t="s">
        <v>318</v>
      </c>
      <c r="J800" s="7">
        <v>0.73699999999999999</v>
      </c>
      <c r="K800" s="7">
        <v>47.42</v>
      </c>
      <c r="L800" s="6">
        <v>0</v>
      </c>
      <c r="M800" s="15">
        <v>0.10904000000000001</v>
      </c>
      <c r="N800" s="16">
        <v>40.181240000000003</v>
      </c>
      <c r="O800" s="17">
        <v>2585.3384000000001</v>
      </c>
      <c r="P800" s="16">
        <v>40.181239999999995</v>
      </c>
      <c r="Q800" s="17">
        <v>2585.3384000000001</v>
      </c>
    </row>
    <row r="801" spans="1:17" x14ac:dyDescent="0.25">
      <c r="A801" s="6" t="s">
        <v>5</v>
      </c>
      <c r="B801" s="7">
        <v>20</v>
      </c>
      <c r="C801" s="20" t="s">
        <v>354</v>
      </c>
      <c r="D801" s="13" t="s">
        <v>350</v>
      </c>
      <c r="E801" s="6" t="s">
        <v>355</v>
      </c>
      <c r="F801" s="13" t="s">
        <v>324</v>
      </c>
      <c r="G801" s="18">
        <v>4</v>
      </c>
      <c r="H801" s="7">
        <v>5</v>
      </c>
      <c r="I801" s="14" t="s">
        <v>319</v>
      </c>
      <c r="J801" s="7" t="s">
        <v>1673</v>
      </c>
      <c r="K801" s="7" t="s">
        <v>1673</v>
      </c>
      <c r="L801" s="6" t="s">
        <v>1673</v>
      </c>
      <c r="M801" s="15" t="s">
        <v>1673</v>
      </c>
      <c r="N801" s="16" t="s">
        <v>1673</v>
      </c>
      <c r="O801" s="17" t="s">
        <v>1673</v>
      </c>
      <c r="P801" s="16" t="s">
        <v>1673</v>
      </c>
      <c r="Q801" s="17" t="s">
        <v>1673</v>
      </c>
    </row>
    <row r="802" spans="1:17" x14ac:dyDescent="0.25">
      <c r="A802" s="6" t="s">
        <v>5</v>
      </c>
      <c r="B802" s="7">
        <v>20</v>
      </c>
      <c r="C802" s="20" t="s">
        <v>354</v>
      </c>
      <c r="D802" s="7">
        <v>5</v>
      </c>
      <c r="E802" s="6" t="s">
        <v>316</v>
      </c>
      <c r="F802" s="13" t="s">
        <v>317</v>
      </c>
      <c r="G802" s="13">
        <v>0</v>
      </c>
      <c r="H802" s="7">
        <v>0</v>
      </c>
      <c r="I802" s="14" t="s">
        <v>318</v>
      </c>
      <c r="J802" s="7" t="s">
        <v>1673</v>
      </c>
      <c r="K802" s="7" t="s">
        <v>1673</v>
      </c>
      <c r="L802" s="6" t="s">
        <v>1673</v>
      </c>
      <c r="M802" s="15" t="s">
        <v>1673</v>
      </c>
      <c r="N802" s="16" t="s">
        <v>1673</v>
      </c>
      <c r="O802" s="17" t="s">
        <v>1673</v>
      </c>
      <c r="P802" s="16" t="s">
        <v>1673</v>
      </c>
      <c r="Q802" s="17" t="s">
        <v>1673</v>
      </c>
    </row>
    <row r="803" spans="1:17" x14ac:dyDescent="0.25">
      <c r="A803" s="6" t="s">
        <v>5</v>
      </c>
      <c r="B803" s="7">
        <v>20</v>
      </c>
      <c r="C803" s="20" t="s">
        <v>354</v>
      </c>
      <c r="D803" s="7">
        <v>5</v>
      </c>
      <c r="E803" s="6" t="s">
        <v>316</v>
      </c>
      <c r="F803" s="13" t="s">
        <v>317</v>
      </c>
      <c r="G803" s="13">
        <v>0</v>
      </c>
      <c r="H803" s="7">
        <v>0</v>
      </c>
      <c r="I803" s="14" t="s">
        <v>319</v>
      </c>
      <c r="J803" s="7" t="s">
        <v>1673</v>
      </c>
      <c r="K803" s="7" t="s">
        <v>1673</v>
      </c>
      <c r="L803" s="6" t="s">
        <v>1673</v>
      </c>
      <c r="M803" s="15" t="s">
        <v>1673</v>
      </c>
      <c r="N803" s="16" t="s">
        <v>1673</v>
      </c>
      <c r="O803" s="17" t="s">
        <v>1673</v>
      </c>
      <c r="P803" s="16" t="s">
        <v>1673</v>
      </c>
      <c r="Q803" s="17" t="s">
        <v>1673</v>
      </c>
    </row>
    <row r="804" spans="1:17" x14ac:dyDescent="0.25">
      <c r="A804" s="6" t="s">
        <v>5</v>
      </c>
      <c r="B804" s="7">
        <v>20</v>
      </c>
      <c r="C804" s="20" t="s">
        <v>354</v>
      </c>
      <c r="D804" s="7">
        <v>5</v>
      </c>
      <c r="E804" s="6" t="s">
        <v>355</v>
      </c>
      <c r="F804" s="13" t="s">
        <v>320</v>
      </c>
      <c r="G804" s="13">
        <v>1</v>
      </c>
      <c r="H804" s="7">
        <v>4</v>
      </c>
      <c r="I804" s="14" t="s">
        <v>318</v>
      </c>
      <c r="J804" s="7">
        <v>1.6559999999999999</v>
      </c>
      <c r="K804" s="7">
        <v>46.176000000000002</v>
      </c>
      <c r="L804" s="6">
        <v>0</v>
      </c>
      <c r="M804" s="15">
        <v>9.2270833333333344E-2</v>
      </c>
      <c r="N804" s="16">
        <v>61.120200000000004</v>
      </c>
      <c r="O804" s="17">
        <v>1704.2792000000004</v>
      </c>
      <c r="P804" s="16">
        <v>76.40025</v>
      </c>
      <c r="Q804" s="17">
        <v>2130.3490000000002</v>
      </c>
    </row>
    <row r="805" spans="1:17" x14ac:dyDescent="0.25">
      <c r="A805" s="6" t="s">
        <v>5</v>
      </c>
      <c r="B805" s="7">
        <v>20</v>
      </c>
      <c r="C805" s="20" t="s">
        <v>354</v>
      </c>
      <c r="D805" s="7">
        <v>5</v>
      </c>
      <c r="E805" s="6" t="s">
        <v>355</v>
      </c>
      <c r="F805" s="13" t="s">
        <v>320</v>
      </c>
      <c r="G805" s="13">
        <v>1</v>
      </c>
      <c r="H805" s="7">
        <v>4</v>
      </c>
      <c r="I805" s="14" t="s">
        <v>319</v>
      </c>
      <c r="J805" s="7">
        <v>0.81699999999999995</v>
      </c>
      <c r="K805" s="7">
        <v>50.982999999999997</v>
      </c>
      <c r="L805" s="6">
        <v>0</v>
      </c>
      <c r="M805" s="15">
        <v>2.5312500000000001E-3</v>
      </c>
      <c r="N805" s="16">
        <v>0.82721250000000002</v>
      </c>
      <c r="O805" s="17">
        <v>51.620287500000003</v>
      </c>
      <c r="P805" s="16">
        <v>1.0340156250000001</v>
      </c>
      <c r="Q805" s="17">
        <v>64.525359374999994</v>
      </c>
    </row>
    <row r="806" spans="1:17" x14ac:dyDescent="0.25">
      <c r="A806" s="20" t="s">
        <v>353</v>
      </c>
      <c r="B806" s="6">
        <v>1</v>
      </c>
      <c r="C806" s="6">
        <v>1</v>
      </c>
      <c r="D806" s="6">
        <v>1</v>
      </c>
      <c r="E806" s="6" t="s">
        <v>316</v>
      </c>
      <c r="F806" s="21" t="s">
        <v>317</v>
      </c>
      <c r="G806" s="18">
        <v>0</v>
      </c>
      <c r="H806" s="6">
        <v>2</v>
      </c>
      <c r="I806" s="6" t="s">
        <v>318</v>
      </c>
      <c r="J806" s="22">
        <v>1.1595</v>
      </c>
      <c r="K806" s="22">
        <v>45.036500000000004</v>
      </c>
      <c r="L806" s="6">
        <v>0</v>
      </c>
      <c r="M806" s="15">
        <v>4.3777777777777777E-2</v>
      </c>
      <c r="N806" s="16">
        <v>10.152066666666666</v>
      </c>
      <c r="O806" s="17">
        <v>394.31957777777779</v>
      </c>
      <c r="P806" s="16">
        <v>10.152066666666666</v>
      </c>
      <c r="Q806" s="17">
        <v>394.31957777777779</v>
      </c>
    </row>
    <row r="807" spans="1:17" x14ac:dyDescent="0.25">
      <c r="A807" s="20" t="s">
        <v>353</v>
      </c>
      <c r="B807" s="6">
        <v>1</v>
      </c>
      <c r="C807" s="6">
        <v>1</v>
      </c>
      <c r="D807" s="6">
        <v>1</v>
      </c>
      <c r="E807" s="6" t="s">
        <v>316</v>
      </c>
      <c r="F807" s="21" t="s">
        <v>317</v>
      </c>
      <c r="G807" s="18">
        <v>0</v>
      </c>
      <c r="H807" s="6">
        <v>2</v>
      </c>
      <c r="I807" s="6" t="s">
        <v>319</v>
      </c>
      <c r="J807" s="20">
        <v>0.72399999999999998</v>
      </c>
      <c r="K807" s="20">
        <v>52.076999999999998</v>
      </c>
      <c r="L807" s="6">
        <v>0</v>
      </c>
      <c r="M807" s="15">
        <v>8.1111111111111106E-3</v>
      </c>
      <c r="N807" s="16">
        <v>1.1744888888888887</v>
      </c>
      <c r="O807" s="17">
        <v>84.480466666666644</v>
      </c>
      <c r="P807" s="16">
        <v>1.1744888888888887</v>
      </c>
      <c r="Q807" s="17">
        <v>84.480466666666644</v>
      </c>
    </row>
    <row r="808" spans="1:17" x14ac:dyDescent="0.25">
      <c r="A808" s="20" t="s">
        <v>353</v>
      </c>
      <c r="B808" s="6">
        <v>1</v>
      </c>
      <c r="C808" s="6">
        <v>1</v>
      </c>
      <c r="D808" s="6">
        <v>1</v>
      </c>
      <c r="E808" s="6" t="s">
        <v>355</v>
      </c>
      <c r="F808" s="14" t="s">
        <v>320</v>
      </c>
      <c r="G808" s="18">
        <v>1</v>
      </c>
      <c r="H808" s="6">
        <v>5</v>
      </c>
      <c r="I808" s="6" t="s">
        <v>318</v>
      </c>
      <c r="J808" s="20">
        <v>1.024</v>
      </c>
      <c r="K808" s="20">
        <v>44.616</v>
      </c>
      <c r="L808" s="6">
        <v>0</v>
      </c>
      <c r="M808" s="15">
        <v>4.6933333333333334E-2</v>
      </c>
      <c r="N808" s="16">
        <v>24.029866666666667</v>
      </c>
      <c r="O808" s="17">
        <v>1046.9887999999999</v>
      </c>
      <c r="P808" s="16">
        <v>24.02986666666667</v>
      </c>
      <c r="Q808" s="17">
        <v>1046.9887999999999</v>
      </c>
    </row>
    <row r="809" spans="1:17" x14ac:dyDescent="0.25">
      <c r="A809" s="20" t="s">
        <v>353</v>
      </c>
      <c r="B809" s="6">
        <v>1</v>
      </c>
      <c r="C809" s="6">
        <v>1</v>
      </c>
      <c r="D809" s="6">
        <v>1</v>
      </c>
      <c r="E809" s="6" t="s">
        <v>355</v>
      </c>
      <c r="F809" s="14" t="s">
        <v>320</v>
      </c>
      <c r="G809" s="18">
        <v>1</v>
      </c>
      <c r="H809" s="6">
        <v>5</v>
      </c>
      <c r="I809" s="6" t="s">
        <v>319</v>
      </c>
      <c r="J809" s="20">
        <v>0.76</v>
      </c>
      <c r="K809" s="20">
        <v>47.515000000000001</v>
      </c>
      <c r="L809" s="6">
        <v>0</v>
      </c>
      <c r="M809" s="15">
        <v>8.3333333333333332E-3</v>
      </c>
      <c r="N809" s="16">
        <v>3.1666666666666665</v>
      </c>
      <c r="O809" s="17">
        <v>197.97916666666666</v>
      </c>
      <c r="P809" s="16">
        <v>3.1666666666666665</v>
      </c>
      <c r="Q809" s="17">
        <v>197.97916666666666</v>
      </c>
    </row>
    <row r="810" spans="1:17" x14ac:dyDescent="0.25">
      <c r="A810" s="20" t="s">
        <v>353</v>
      </c>
      <c r="B810" s="6">
        <v>1</v>
      </c>
      <c r="C810" s="6">
        <v>1</v>
      </c>
      <c r="D810" s="6">
        <v>1</v>
      </c>
      <c r="E810" s="6" t="s">
        <v>355</v>
      </c>
      <c r="F810" s="14" t="s">
        <v>321</v>
      </c>
      <c r="G810" s="18">
        <v>2</v>
      </c>
      <c r="H810" s="6">
        <v>5</v>
      </c>
      <c r="I810" s="6" t="s">
        <v>318</v>
      </c>
      <c r="J810" s="20">
        <v>1.137</v>
      </c>
      <c r="K810" s="20">
        <v>43.935000000000002</v>
      </c>
      <c r="L810" s="6">
        <v>0</v>
      </c>
      <c r="M810" s="15">
        <v>9.0079999999999993E-2</v>
      </c>
      <c r="N810" s="16">
        <v>51.210479999999997</v>
      </c>
      <c r="O810" s="17">
        <v>1978.8324</v>
      </c>
      <c r="P810" s="16">
        <v>51.210479999999997</v>
      </c>
      <c r="Q810" s="17">
        <v>1978.8324000000002</v>
      </c>
    </row>
    <row r="811" spans="1:17" x14ac:dyDescent="0.25">
      <c r="A811" s="20" t="s">
        <v>353</v>
      </c>
      <c r="B811" s="6">
        <v>1</v>
      </c>
      <c r="C811" s="6">
        <v>1</v>
      </c>
      <c r="D811" s="6">
        <v>1</v>
      </c>
      <c r="E811" s="6" t="s">
        <v>355</v>
      </c>
      <c r="F811" s="14" t="s">
        <v>321</v>
      </c>
      <c r="G811" s="18">
        <v>2</v>
      </c>
      <c r="H811" s="6">
        <v>5</v>
      </c>
      <c r="I811" s="6" t="s">
        <v>319</v>
      </c>
      <c r="J811" s="20">
        <v>0.65300000000000002</v>
      </c>
      <c r="K811" s="20">
        <v>50.747</v>
      </c>
      <c r="L811" s="6">
        <v>0</v>
      </c>
      <c r="M811" s="15">
        <v>1.392E-2</v>
      </c>
      <c r="N811" s="16">
        <v>4.54488</v>
      </c>
      <c r="O811" s="17">
        <v>353.19911999999999</v>
      </c>
      <c r="P811" s="16">
        <v>4.54488</v>
      </c>
      <c r="Q811" s="17">
        <v>353.19911999999999</v>
      </c>
    </row>
    <row r="812" spans="1:17" x14ac:dyDescent="0.25">
      <c r="A812" s="20" t="s">
        <v>353</v>
      </c>
      <c r="B812" s="6">
        <v>1</v>
      </c>
      <c r="C812" s="6">
        <v>1</v>
      </c>
      <c r="D812" s="6">
        <v>1</v>
      </c>
      <c r="E812" s="6" t="s">
        <v>355</v>
      </c>
      <c r="F812" s="14" t="s">
        <v>322</v>
      </c>
      <c r="G812" s="18">
        <v>3</v>
      </c>
      <c r="H812" s="6">
        <v>5</v>
      </c>
      <c r="I812" s="6" t="s">
        <v>318</v>
      </c>
      <c r="J812" s="20">
        <v>1.3330000000000002</v>
      </c>
      <c r="K812" s="20">
        <v>40.645000000000003</v>
      </c>
      <c r="L812" s="6">
        <v>0</v>
      </c>
      <c r="M812" s="15">
        <v>9.9333333333333329E-2</v>
      </c>
      <c r="N812" s="16">
        <v>66.205666666666673</v>
      </c>
      <c r="O812" s="17">
        <v>2018.7016666666666</v>
      </c>
      <c r="P812" s="16">
        <v>66.205666666666673</v>
      </c>
      <c r="Q812" s="17">
        <v>2018.7016666666668</v>
      </c>
    </row>
    <row r="813" spans="1:17" x14ac:dyDescent="0.25">
      <c r="A813" s="20" t="s">
        <v>353</v>
      </c>
      <c r="B813" s="6">
        <v>1</v>
      </c>
      <c r="C813" s="6">
        <v>1</v>
      </c>
      <c r="D813" s="6">
        <v>1</v>
      </c>
      <c r="E813" s="6" t="s">
        <v>355</v>
      </c>
      <c r="F813" s="14" t="s">
        <v>322</v>
      </c>
      <c r="G813" s="18">
        <v>3</v>
      </c>
      <c r="H813" s="6">
        <v>5</v>
      </c>
      <c r="I813" s="6" t="s">
        <v>319</v>
      </c>
      <c r="J813" s="20">
        <v>0.87</v>
      </c>
      <c r="K813" s="20">
        <v>48.845999999999997</v>
      </c>
      <c r="L813" s="6">
        <v>0</v>
      </c>
      <c r="M813" s="15">
        <v>2.0500000000000001E-2</v>
      </c>
      <c r="N813" s="16">
        <v>8.9174999999999986</v>
      </c>
      <c r="O813" s="17">
        <v>500.67149999999992</v>
      </c>
      <c r="P813" s="16">
        <v>8.9175000000000004</v>
      </c>
      <c r="Q813" s="17">
        <v>500.67149999999998</v>
      </c>
    </row>
    <row r="814" spans="1:17" x14ac:dyDescent="0.25">
      <c r="A814" s="20" t="s">
        <v>353</v>
      </c>
      <c r="B814" s="6">
        <v>1</v>
      </c>
      <c r="C814" s="6">
        <v>1</v>
      </c>
      <c r="D814" s="6">
        <v>2</v>
      </c>
      <c r="E814" s="6" t="s">
        <v>316</v>
      </c>
      <c r="F814" s="21" t="s">
        <v>317</v>
      </c>
      <c r="G814" s="18">
        <v>0</v>
      </c>
      <c r="H814" s="6">
        <v>1.5</v>
      </c>
      <c r="I814" s="6" t="s">
        <v>318</v>
      </c>
      <c r="J814" s="20">
        <v>0.84099999999999997</v>
      </c>
      <c r="K814" s="20">
        <v>45.948999999999998</v>
      </c>
      <c r="L814" s="6">
        <v>0</v>
      </c>
      <c r="M814" s="15">
        <v>3.3333333333333333E-2</v>
      </c>
      <c r="N814" s="16">
        <v>4.2049999999999992</v>
      </c>
      <c r="O814" s="17">
        <v>229.74499999999998</v>
      </c>
      <c r="P814" s="16">
        <v>4.2049999999999992</v>
      </c>
      <c r="Q814" s="17">
        <v>229.74499999999998</v>
      </c>
    </row>
    <row r="815" spans="1:17" x14ac:dyDescent="0.25">
      <c r="A815" s="20" t="s">
        <v>353</v>
      </c>
      <c r="B815" s="6">
        <v>1</v>
      </c>
      <c r="C815" s="6">
        <v>1</v>
      </c>
      <c r="D815" s="6">
        <v>2</v>
      </c>
      <c r="E815" s="6" t="s">
        <v>316</v>
      </c>
      <c r="F815" s="21" t="s">
        <v>317</v>
      </c>
      <c r="G815" s="18">
        <v>0</v>
      </c>
      <c r="H815" s="6">
        <v>1.5</v>
      </c>
      <c r="I815" s="6" t="s">
        <v>319</v>
      </c>
      <c r="J815" s="6" t="s">
        <v>1673</v>
      </c>
      <c r="K815" s="6" t="s">
        <v>1673</v>
      </c>
      <c r="L815" s="6" t="s">
        <v>1673</v>
      </c>
      <c r="M815" s="15" t="s">
        <v>1673</v>
      </c>
      <c r="N815" s="16" t="s">
        <v>1673</v>
      </c>
      <c r="O815" s="17" t="s">
        <v>1673</v>
      </c>
      <c r="P815" s="16" t="s">
        <v>1673</v>
      </c>
      <c r="Q815" s="17" t="s">
        <v>1673</v>
      </c>
    </row>
    <row r="816" spans="1:17" x14ac:dyDescent="0.25">
      <c r="A816" s="20" t="s">
        <v>353</v>
      </c>
      <c r="B816" s="6">
        <v>1</v>
      </c>
      <c r="C816" s="6">
        <v>1</v>
      </c>
      <c r="D816" s="6">
        <v>2</v>
      </c>
      <c r="E816" s="6" t="s">
        <v>355</v>
      </c>
      <c r="F816" s="14" t="s">
        <v>320</v>
      </c>
      <c r="G816" s="18">
        <v>1</v>
      </c>
      <c r="H816" s="6">
        <v>5</v>
      </c>
      <c r="I816" s="6" t="s">
        <v>318</v>
      </c>
      <c r="J816" s="20">
        <v>1.1970000000000001</v>
      </c>
      <c r="K816" s="20">
        <v>44.837000000000003</v>
      </c>
      <c r="L816" s="6">
        <v>0</v>
      </c>
      <c r="M816" s="15">
        <v>5.1377777777777779E-2</v>
      </c>
      <c r="N816" s="16">
        <v>30.749600000000008</v>
      </c>
      <c r="O816" s="17">
        <v>1151.8127111111114</v>
      </c>
      <c r="P816" s="16">
        <v>30.749600000000004</v>
      </c>
      <c r="Q816" s="17">
        <v>1151.8127111111114</v>
      </c>
    </row>
    <row r="817" spans="1:17" x14ac:dyDescent="0.25">
      <c r="A817" s="20" t="s">
        <v>353</v>
      </c>
      <c r="B817" s="6">
        <v>1</v>
      </c>
      <c r="C817" s="6">
        <v>1</v>
      </c>
      <c r="D817" s="6">
        <v>2</v>
      </c>
      <c r="E817" s="6" t="s">
        <v>355</v>
      </c>
      <c r="F817" s="14" t="s">
        <v>320</v>
      </c>
      <c r="G817" s="18">
        <v>1</v>
      </c>
      <c r="H817" s="6">
        <v>5</v>
      </c>
      <c r="I817" s="6" t="s">
        <v>319</v>
      </c>
      <c r="J817" s="20">
        <v>0.748</v>
      </c>
      <c r="K817" s="20">
        <v>52.018000000000001</v>
      </c>
      <c r="L817" s="6">
        <v>0</v>
      </c>
      <c r="M817" s="15">
        <v>2.311111111111111E-3</v>
      </c>
      <c r="N817" s="16">
        <v>0.86435555555555554</v>
      </c>
      <c r="O817" s="17">
        <v>60.10968888888889</v>
      </c>
      <c r="P817" s="16">
        <v>0.86435555555555543</v>
      </c>
      <c r="Q817" s="17">
        <v>60.109688888888883</v>
      </c>
    </row>
    <row r="818" spans="1:17" x14ac:dyDescent="0.25">
      <c r="A818" s="20" t="s">
        <v>353</v>
      </c>
      <c r="B818" s="6">
        <v>1</v>
      </c>
      <c r="C818" s="6">
        <v>1</v>
      </c>
      <c r="D818" s="6">
        <v>2</v>
      </c>
      <c r="E818" s="6" t="s">
        <v>355</v>
      </c>
      <c r="F818" s="14" t="s">
        <v>321</v>
      </c>
      <c r="G818" s="18">
        <v>2</v>
      </c>
      <c r="H818" s="6">
        <v>5</v>
      </c>
      <c r="I818" s="6" t="s">
        <v>318</v>
      </c>
      <c r="J818" s="20">
        <v>1.33</v>
      </c>
      <c r="K818" s="20">
        <v>43.222000000000001</v>
      </c>
      <c r="L818" s="6">
        <v>0</v>
      </c>
      <c r="M818" s="15">
        <v>7.8044444444444444E-2</v>
      </c>
      <c r="N818" s="16">
        <v>51.899555555555558</v>
      </c>
      <c r="O818" s="17">
        <v>1686.6184888888888</v>
      </c>
      <c r="P818" s="16">
        <v>51.899555555555558</v>
      </c>
      <c r="Q818" s="17">
        <v>1686.6184888888888</v>
      </c>
    </row>
    <row r="819" spans="1:17" x14ac:dyDescent="0.25">
      <c r="A819" s="20" t="s">
        <v>353</v>
      </c>
      <c r="B819" s="6">
        <v>1</v>
      </c>
      <c r="C819" s="6">
        <v>1</v>
      </c>
      <c r="D819" s="6">
        <v>2</v>
      </c>
      <c r="E819" s="6" t="s">
        <v>355</v>
      </c>
      <c r="F819" s="14" t="s">
        <v>321</v>
      </c>
      <c r="G819" s="18">
        <v>2</v>
      </c>
      <c r="H819" s="6">
        <v>5</v>
      </c>
      <c r="I819" s="6" t="s">
        <v>319</v>
      </c>
      <c r="J819" s="20">
        <v>1.145</v>
      </c>
      <c r="K819" s="20">
        <v>44.631999999999998</v>
      </c>
      <c r="L819" s="6">
        <v>0</v>
      </c>
      <c r="M819" s="15">
        <v>5.6888888888888892E-3</v>
      </c>
      <c r="N819" s="16">
        <v>3.2568888888888892</v>
      </c>
      <c r="O819" s="17">
        <v>126.95324444444445</v>
      </c>
      <c r="P819" s="16">
        <v>3.2568888888888892</v>
      </c>
      <c r="Q819" s="17">
        <v>126.95324444444444</v>
      </c>
    </row>
    <row r="820" spans="1:17" x14ac:dyDescent="0.25">
      <c r="A820" s="20" t="s">
        <v>353</v>
      </c>
      <c r="B820" s="6">
        <v>1</v>
      </c>
      <c r="C820" s="6">
        <v>1</v>
      </c>
      <c r="D820" s="6">
        <v>2</v>
      </c>
      <c r="E820" s="6" t="s">
        <v>355</v>
      </c>
      <c r="F820" s="14" t="s">
        <v>323</v>
      </c>
      <c r="G820" s="18">
        <v>3</v>
      </c>
      <c r="H820" s="6">
        <v>5</v>
      </c>
      <c r="I820" s="6" t="s">
        <v>318</v>
      </c>
      <c r="J820" s="20">
        <v>1.5249999999999999</v>
      </c>
      <c r="K820" s="20">
        <v>38.591000000000001</v>
      </c>
      <c r="L820" s="6">
        <v>0</v>
      </c>
      <c r="M820" s="15">
        <v>0.13056790123456791</v>
      </c>
      <c r="N820" s="16">
        <v>99.558024691358028</v>
      </c>
      <c r="O820" s="17">
        <v>2519.3729382716051</v>
      </c>
      <c r="P820" s="16">
        <v>99.558024691358028</v>
      </c>
      <c r="Q820" s="17">
        <v>2519.3729382716051</v>
      </c>
    </row>
    <row r="821" spans="1:17" x14ac:dyDescent="0.25">
      <c r="A821" s="20" t="s">
        <v>353</v>
      </c>
      <c r="B821" s="6">
        <v>1</v>
      </c>
      <c r="C821" s="6">
        <v>1</v>
      </c>
      <c r="D821" s="6">
        <v>2</v>
      </c>
      <c r="E821" s="6" t="s">
        <v>355</v>
      </c>
      <c r="F821" s="14" t="s">
        <v>323</v>
      </c>
      <c r="G821" s="18">
        <v>3</v>
      </c>
      <c r="H821" s="6">
        <v>5</v>
      </c>
      <c r="I821" s="6" t="s">
        <v>319</v>
      </c>
      <c r="J821" s="6" t="s">
        <v>1673</v>
      </c>
      <c r="K821" s="6" t="s">
        <v>1673</v>
      </c>
      <c r="L821" s="6" t="s">
        <v>1673</v>
      </c>
      <c r="M821" s="15" t="s">
        <v>1673</v>
      </c>
      <c r="N821" s="16" t="s">
        <v>1673</v>
      </c>
      <c r="O821" s="17" t="s">
        <v>1673</v>
      </c>
      <c r="P821" s="16" t="s">
        <v>1673</v>
      </c>
      <c r="Q821" s="17" t="s">
        <v>1673</v>
      </c>
    </row>
    <row r="822" spans="1:17" x14ac:dyDescent="0.25">
      <c r="A822" s="20" t="s">
        <v>353</v>
      </c>
      <c r="B822" s="6">
        <v>1</v>
      </c>
      <c r="C822" s="6">
        <v>1</v>
      </c>
      <c r="D822" s="6">
        <v>2</v>
      </c>
      <c r="E822" s="6" t="s">
        <v>355</v>
      </c>
      <c r="F822" s="14" t="s">
        <v>324</v>
      </c>
      <c r="G822" s="18">
        <v>4</v>
      </c>
      <c r="H822" s="6">
        <v>5</v>
      </c>
      <c r="I822" s="6" t="s">
        <v>318</v>
      </c>
      <c r="J822" s="20">
        <v>1.2829999999999999</v>
      </c>
      <c r="K822" s="20">
        <v>30.512</v>
      </c>
      <c r="L822" s="6">
        <v>0</v>
      </c>
      <c r="M822" s="15">
        <v>0.18487499999999998</v>
      </c>
      <c r="N822" s="16">
        <v>118.59731249999997</v>
      </c>
      <c r="O822" s="17">
        <v>2820.4529999999995</v>
      </c>
      <c r="P822" s="16">
        <v>118.59731249999999</v>
      </c>
      <c r="Q822" s="17">
        <v>2820.453</v>
      </c>
    </row>
    <row r="823" spans="1:17" x14ac:dyDescent="0.25">
      <c r="A823" s="20" t="s">
        <v>353</v>
      </c>
      <c r="B823" s="6">
        <v>1</v>
      </c>
      <c r="C823" s="6">
        <v>1</v>
      </c>
      <c r="D823" s="6">
        <v>2</v>
      </c>
      <c r="E823" s="6" t="s">
        <v>355</v>
      </c>
      <c r="F823" s="14" t="s">
        <v>324</v>
      </c>
      <c r="G823" s="18">
        <v>4</v>
      </c>
      <c r="H823" s="6">
        <v>5</v>
      </c>
      <c r="I823" s="6" t="s">
        <v>319</v>
      </c>
      <c r="J823" s="6" t="s">
        <v>1673</v>
      </c>
      <c r="K823" s="6" t="s">
        <v>1673</v>
      </c>
      <c r="L823" s="6" t="s">
        <v>1673</v>
      </c>
      <c r="M823" s="15" t="s">
        <v>1673</v>
      </c>
      <c r="N823" s="16" t="s">
        <v>1673</v>
      </c>
      <c r="O823" s="17" t="s">
        <v>1673</v>
      </c>
      <c r="P823" s="16" t="s">
        <v>1673</v>
      </c>
      <c r="Q823" s="17" t="s">
        <v>1673</v>
      </c>
    </row>
    <row r="824" spans="1:17" x14ac:dyDescent="0.25">
      <c r="A824" s="20" t="s">
        <v>353</v>
      </c>
      <c r="B824" s="6">
        <v>1</v>
      </c>
      <c r="C824" s="6">
        <v>1</v>
      </c>
      <c r="D824" s="6">
        <v>2</v>
      </c>
      <c r="E824" s="6" t="s">
        <v>355</v>
      </c>
      <c r="F824" s="14" t="s">
        <v>325</v>
      </c>
      <c r="G824" s="18">
        <v>5</v>
      </c>
      <c r="H824" s="6">
        <v>3.1666666666666665</v>
      </c>
      <c r="I824" s="6" t="s">
        <v>318</v>
      </c>
      <c r="J824" s="20">
        <v>0.995</v>
      </c>
      <c r="K824" s="20">
        <v>22.015999999999998</v>
      </c>
      <c r="L824" s="6">
        <v>0</v>
      </c>
      <c r="M824" s="15">
        <v>0.10596491228070176</v>
      </c>
      <c r="N824" s="16">
        <v>33.387777777777778</v>
      </c>
      <c r="O824" s="17">
        <v>738.75911111111111</v>
      </c>
      <c r="P824" s="16">
        <v>52.71754385964914</v>
      </c>
      <c r="Q824" s="17">
        <v>1166.4617543859649</v>
      </c>
    </row>
    <row r="825" spans="1:17" x14ac:dyDescent="0.25">
      <c r="A825" s="20" t="s">
        <v>353</v>
      </c>
      <c r="B825" s="6">
        <v>1</v>
      </c>
      <c r="C825" s="6">
        <v>1</v>
      </c>
      <c r="D825" s="6">
        <v>2</v>
      </c>
      <c r="E825" s="6" t="s">
        <v>355</v>
      </c>
      <c r="F825" s="14" t="s">
        <v>325</v>
      </c>
      <c r="G825" s="18">
        <v>5</v>
      </c>
      <c r="H825" s="6">
        <v>3.1666666666666665</v>
      </c>
      <c r="I825" s="6" t="s">
        <v>319</v>
      </c>
      <c r="J825" s="6" t="s">
        <v>1673</v>
      </c>
      <c r="K825" s="6" t="s">
        <v>1673</v>
      </c>
      <c r="L825" s="6" t="s">
        <v>1673</v>
      </c>
      <c r="M825" s="15" t="s">
        <v>1673</v>
      </c>
      <c r="N825" s="16" t="s">
        <v>1673</v>
      </c>
      <c r="O825" s="17" t="s">
        <v>1673</v>
      </c>
      <c r="P825" s="16" t="s">
        <v>1673</v>
      </c>
      <c r="Q825" s="17" t="s">
        <v>1673</v>
      </c>
    </row>
    <row r="826" spans="1:17" x14ac:dyDescent="0.25">
      <c r="A826" s="20" t="s">
        <v>353</v>
      </c>
      <c r="B826" s="6">
        <v>1</v>
      </c>
      <c r="C826" s="6">
        <v>1</v>
      </c>
      <c r="D826" s="6">
        <v>2</v>
      </c>
      <c r="E826" s="6" t="s">
        <v>355</v>
      </c>
      <c r="F826" s="14" t="s">
        <v>326</v>
      </c>
      <c r="G826" s="18">
        <v>6</v>
      </c>
      <c r="I826" s="6" t="s">
        <v>318</v>
      </c>
      <c r="J826" s="6" t="s">
        <v>1673</v>
      </c>
      <c r="K826" s="6" t="s">
        <v>1673</v>
      </c>
      <c r="L826" s="6" t="s">
        <v>1673</v>
      </c>
      <c r="M826" s="15" t="s">
        <v>1673</v>
      </c>
      <c r="N826" s="16" t="s">
        <v>1673</v>
      </c>
      <c r="O826" s="17" t="s">
        <v>1673</v>
      </c>
      <c r="P826" s="16" t="s">
        <v>1673</v>
      </c>
      <c r="Q826" s="17" t="s">
        <v>1673</v>
      </c>
    </row>
    <row r="827" spans="1:17" x14ac:dyDescent="0.25">
      <c r="A827" s="20" t="s">
        <v>353</v>
      </c>
      <c r="B827" s="6">
        <v>1</v>
      </c>
      <c r="C827" s="6">
        <v>1</v>
      </c>
      <c r="D827" s="6">
        <v>2</v>
      </c>
      <c r="E827" s="6" t="s">
        <v>355</v>
      </c>
      <c r="F827" s="14" t="s">
        <v>326</v>
      </c>
      <c r="G827" s="18">
        <v>6</v>
      </c>
      <c r="I827" s="6" t="s">
        <v>319</v>
      </c>
      <c r="J827" s="6" t="s">
        <v>1673</v>
      </c>
      <c r="K827" s="6" t="s">
        <v>1673</v>
      </c>
      <c r="L827" s="6" t="s">
        <v>1673</v>
      </c>
      <c r="M827" s="15" t="s">
        <v>1673</v>
      </c>
      <c r="N827" s="16" t="s">
        <v>1673</v>
      </c>
      <c r="O827" s="17" t="s">
        <v>1673</v>
      </c>
      <c r="P827" s="16" t="s">
        <v>1673</v>
      </c>
      <c r="Q827" s="17" t="s">
        <v>1673</v>
      </c>
    </row>
    <row r="828" spans="1:17" x14ac:dyDescent="0.25">
      <c r="A828" s="20" t="s">
        <v>353</v>
      </c>
      <c r="B828" s="6">
        <v>1</v>
      </c>
      <c r="C828" s="6">
        <v>1</v>
      </c>
      <c r="D828" s="6">
        <v>5</v>
      </c>
      <c r="E828" s="6" t="s">
        <v>316</v>
      </c>
      <c r="F828" s="21" t="s">
        <v>317</v>
      </c>
      <c r="G828" s="18">
        <v>0</v>
      </c>
      <c r="H828" s="6">
        <v>3.1666666666666665</v>
      </c>
      <c r="I828" s="6" t="s">
        <v>318</v>
      </c>
      <c r="J828" s="20">
        <v>1.0669999999999999</v>
      </c>
      <c r="K828" s="20">
        <v>44.622999999999998</v>
      </c>
      <c r="L828" s="6">
        <v>0</v>
      </c>
      <c r="M828" s="15">
        <v>4.0318979266347699E-2</v>
      </c>
      <c r="N828" s="16">
        <v>13.623111111111111</v>
      </c>
      <c r="O828" s="17">
        <v>569.73204040404039</v>
      </c>
      <c r="P828" s="16">
        <v>13.623111111111111</v>
      </c>
      <c r="Q828" s="17">
        <v>569.73204040404039</v>
      </c>
    </row>
    <row r="829" spans="1:17" x14ac:dyDescent="0.25">
      <c r="A829" s="20" t="s">
        <v>353</v>
      </c>
      <c r="B829" s="6">
        <v>1</v>
      </c>
      <c r="C829" s="6">
        <v>1</v>
      </c>
      <c r="D829" s="6">
        <v>5</v>
      </c>
      <c r="E829" s="6" t="s">
        <v>316</v>
      </c>
      <c r="F829" s="21" t="s">
        <v>317</v>
      </c>
      <c r="G829" s="18">
        <v>0</v>
      </c>
      <c r="H829" s="6">
        <v>3.1666666666666665</v>
      </c>
      <c r="I829" s="6" t="s">
        <v>319</v>
      </c>
      <c r="J829" s="20">
        <v>0.54100000000000004</v>
      </c>
      <c r="K829" s="20">
        <v>49.05</v>
      </c>
      <c r="L829" s="6">
        <v>0</v>
      </c>
      <c r="M829" s="15">
        <v>7.6555023923444989E-4</v>
      </c>
      <c r="N829" s="16">
        <v>0.13115151515151519</v>
      </c>
      <c r="O829" s="17">
        <v>11.890909090909092</v>
      </c>
      <c r="P829" s="16">
        <v>0.13115151515151519</v>
      </c>
      <c r="Q829" s="17">
        <v>11.890909090909092</v>
      </c>
    </row>
    <row r="830" spans="1:17" x14ac:dyDescent="0.25">
      <c r="A830" s="20" t="s">
        <v>353</v>
      </c>
      <c r="B830" s="6">
        <v>1</v>
      </c>
      <c r="C830" s="6">
        <v>1</v>
      </c>
      <c r="D830" s="6">
        <v>5</v>
      </c>
      <c r="E830" s="6" t="s">
        <v>355</v>
      </c>
      <c r="F830" s="14" t="s">
        <v>320</v>
      </c>
      <c r="G830" s="18">
        <v>1</v>
      </c>
      <c r="H830" s="6">
        <v>5</v>
      </c>
      <c r="I830" s="6" t="s">
        <v>318</v>
      </c>
      <c r="J830" s="20">
        <v>0.83599999999999997</v>
      </c>
      <c r="K830" s="22">
        <v>45.362000000000002</v>
      </c>
      <c r="L830" s="6">
        <v>0</v>
      </c>
      <c r="M830" s="15">
        <v>7.3079365079365077E-2</v>
      </c>
      <c r="N830" s="16">
        <v>30.547174603174597</v>
      </c>
      <c r="O830" s="17">
        <v>1657.5130793650792</v>
      </c>
      <c r="P830" s="16">
        <v>30.5471746031746</v>
      </c>
      <c r="Q830" s="17">
        <v>1657.5130793650794</v>
      </c>
    </row>
    <row r="831" spans="1:17" x14ac:dyDescent="0.25">
      <c r="A831" s="20" t="s">
        <v>353</v>
      </c>
      <c r="B831" s="6">
        <v>1</v>
      </c>
      <c r="C831" s="6">
        <v>1</v>
      </c>
      <c r="D831" s="6">
        <v>5</v>
      </c>
      <c r="E831" s="6" t="s">
        <v>355</v>
      </c>
      <c r="F831" s="14" t="s">
        <v>320</v>
      </c>
      <c r="G831" s="18">
        <v>1</v>
      </c>
      <c r="H831" s="6">
        <v>5</v>
      </c>
      <c r="I831" s="6" t="s">
        <v>319</v>
      </c>
      <c r="J831" s="20">
        <v>0.53400000000000003</v>
      </c>
      <c r="K831" s="20">
        <v>51.52</v>
      </c>
      <c r="L831" s="6">
        <v>0</v>
      </c>
      <c r="M831" s="15">
        <v>5.1428571428571435E-3</v>
      </c>
      <c r="N831" s="16">
        <v>1.3731428571428572</v>
      </c>
      <c r="O831" s="17">
        <v>132.48000000000002</v>
      </c>
      <c r="P831" s="16">
        <v>1.3731428571428574</v>
      </c>
      <c r="Q831" s="17">
        <v>132.48000000000002</v>
      </c>
    </row>
    <row r="832" spans="1:17" x14ac:dyDescent="0.25">
      <c r="A832" s="20" t="s">
        <v>353</v>
      </c>
      <c r="B832" s="6">
        <v>1</v>
      </c>
      <c r="C832" s="6">
        <v>1</v>
      </c>
      <c r="D832" s="6">
        <v>5</v>
      </c>
      <c r="E832" s="6" t="s">
        <v>355</v>
      </c>
      <c r="F832" s="14" t="s">
        <v>321</v>
      </c>
      <c r="G832" s="18">
        <v>2</v>
      </c>
      <c r="H832" s="6">
        <v>5</v>
      </c>
      <c r="I832" s="6" t="s">
        <v>318</v>
      </c>
      <c r="J832" s="20">
        <v>0.61799999999999999</v>
      </c>
      <c r="K832" s="20">
        <v>43.244</v>
      </c>
      <c r="L832" s="6">
        <v>0</v>
      </c>
      <c r="M832" s="15">
        <v>7.1999999999999995E-2</v>
      </c>
      <c r="N832" s="16">
        <v>22.247999999999998</v>
      </c>
      <c r="O832" s="17">
        <v>1556.7839999999999</v>
      </c>
      <c r="P832" s="16">
        <v>22.247999999999998</v>
      </c>
      <c r="Q832" s="17">
        <v>1556.7839999999999</v>
      </c>
    </row>
    <row r="833" spans="1:17" x14ac:dyDescent="0.25">
      <c r="A833" s="20" t="s">
        <v>353</v>
      </c>
      <c r="B833" s="6">
        <v>1</v>
      </c>
      <c r="C833" s="6">
        <v>1</v>
      </c>
      <c r="D833" s="6">
        <v>5</v>
      </c>
      <c r="E833" s="6" t="s">
        <v>355</v>
      </c>
      <c r="F833" s="14" t="s">
        <v>321</v>
      </c>
      <c r="G833" s="18">
        <v>2</v>
      </c>
      <c r="H833" s="6">
        <v>5</v>
      </c>
      <c r="I833" s="6" t="s">
        <v>319</v>
      </c>
      <c r="J833" s="6" t="s">
        <v>1673</v>
      </c>
      <c r="K833" s="6" t="s">
        <v>1673</v>
      </c>
      <c r="L833" s="6" t="s">
        <v>1673</v>
      </c>
      <c r="M833" s="15" t="s">
        <v>1673</v>
      </c>
      <c r="N833" s="16" t="s">
        <v>1673</v>
      </c>
      <c r="O833" s="17" t="s">
        <v>1673</v>
      </c>
      <c r="P833" s="16" t="s">
        <v>1673</v>
      </c>
      <c r="Q833" s="17" t="s">
        <v>1673</v>
      </c>
    </row>
    <row r="834" spans="1:17" x14ac:dyDescent="0.25">
      <c r="A834" s="20" t="s">
        <v>353</v>
      </c>
      <c r="B834" s="6">
        <v>1</v>
      </c>
      <c r="C834" s="6">
        <v>1</v>
      </c>
      <c r="D834" s="6">
        <v>5</v>
      </c>
      <c r="E834" s="6" t="s">
        <v>355</v>
      </c>
      <c r="F834" s="14" t="s">
        <v>322</v>
      </c>
      <c r="G834" s="18">
        <v>3</v>
      </c>
      <c r="H834" s="6">
        <v>3</v>
      </c>
      <c r="I834" s="6" t="s">
        <v>318</v>
      </c>
      <c r="J834" s="20">
        <v>0.77300000000000002</v>
      </c>
      <c r="K834" s="20">
        <v>41.023000000000003</v>
      </c>
      <c r="L834" s="6">
        <v>0</v>
      </c>
      <c r="M834" s="15">
        <v>0.10597222222222222</v>
      </c>
      <c r="N834" s="16">
        <v>24.574958333333331</v>
      </c>
      <c r="O834" s="17">
        <v>1304.1895416666666</v>
      </c>
      <c r="P834" s="16">
        <v>40.958263888888894</v>
      </c>
      <c r="Q834" s="17">
        <v>2173.6492361111113</v>
      </c>
    </row>
    <row r="835" spans="1:17" x14ac:dyDescent="0.25">
      <c r="A835" s="20" t="s">
        <v>353</v>
      </c>
      <c r="B835" s="6">
        <v>1</v>
      </c>
      <c r="C835" s="6">
        <v>1</v>
      </c>
      <c r="D835" s="6">
        <v>5</v>
      </c>
      <c r="E835" s="6" t="s">
        <v>355</v>
      </c>
      <c r="F835" s="14" t="s">
        <v>322</v>
      </c>
      <c r="G835" s="18">
        <v>3</v>
      </c>
      <c r="H835" s="6">
        <v>3</v>
      </c>
      <c r="I835" s="6" t="s">
        <v>319</v>
      </c>
      <c r="J835" s="6" t="s">
        <v>1673</v>
      </c>
      <c r="K835" s="6" t="s">
        <v>1673</v>
      </c>
      <c r="L835" s="6" t="s">
        <v>1673</v>
      </c>
      <c r="M835" s="15" t="s">
        <v>1673</v>
      </c>
      <c r="N835" s="16" t="s">
        <v>1673</v>
      </c>
      <c r="O835" s="17" t="s">
        <v>1673</v>
      </c>
      <c r="P835" s="16" t="s">
        <v>1673</v>
      </c>
      <c r="Q835" s="17" t="s">
        <v>1673</v>
      </c>
    </row>
    <row r="836" spans="1:17" x14ac:dyDescent="0.25">
      <c r="A836" s="20" t="s">
        <v>353</v>
      </c>
      <c r="B836" s="6">
        <v>1</v>
      </c>
      <c r="C836" s="6">
        <v>1</v>
      </c>
      <c r="D836" s="6">
        <v>3</v>
      </c>
      <c r="E836" s="6" t="s">
        <v>316</v>
      </c>
      <c r="F836" s="6" t="s">
        <v>317</v>
      </c>
      <c r="G836" s="18">
        <v>0</v>
      </c>
      <c r="H836" s="6">
        <v>0.5</v>
      </c>
      <c r="I836" s="6" t="s">
        <v>318</v>
      </c>
      <c r="J836" s="20">
        <v>0.56699999999999995</v>
      </c>
      <c r="K836" s="20">
        <v>26.690999999999999</v>
      </c>
      <c r="L836" s="6">
        <v>0</v>
      </c>
      <c r="M836" s="15">
        <v>6.6666666666666666E-2</v>
      </c>
      <c r="N836" s="16">
        <v>1.8899999999999997</v>
      </c>
      <c r="O836" s="17">
        <v>88.969999999999985</v>
      </c>
      <c r="P836" s="16">
        <v>1.8899999999999997</v>
      </c>
      <c r="Q836" s="17">
        <v>88.969999999999985</v>
      </c>
    </row>
    <row r="837" spans="1:17" x14ac:dyDescent="0.25">
      <c r="A837" s="20" t="s">
        <v>353</v>
      </c>
      <c r="B837" s="6">
        <v>1</v>
      </c>
      <c r="C837" s="6">
        <v>1</v>
      </c>
      <c r="D837" s="6">
        <v>3</v>
      </c>
      <c r="E837" s="6" t="s">
        <v>316</v>
      </c>
      <c r="F837" s="6" t="s">
        <v>317</v>
      </c>
      <c r="G837" s="18">
        <v>0</v>
      </c>
      <c r="H837" s="6">
        <v>0.5</v>
      </c>
      <c r="I837" s="6" t="s">
        <v>319</v>
      </c>
      <c r="J837" s="6" t="s">
        <v>1673</v>
      </c>
      <c r="K837" s="6" t="s">
        <v>1673</v>
      </c>
      <c r="L837" s="6" t="s">
        <v>1673</v>
      </c>
      <c r="M837" s="15" t="s">
        <v>1673</v>
      </c>
      <c r="N837" s="16" t="s">
        <v>1673</v>
      </c>
      <c r="O837" s="17" t="s">
        <v>1673</v>
      </c>
      <c r="P837" s="16" t="s">
        <v>1673</v>
      </c>
      <c r="Q837" s="17" t="s">
        <v>1673</v>
      </c>
    </row>
    <row r="838" spans="1:17" x14ac:dyDescent="0.25">
      <c r="A838" s="20" t="s">
        <v>353</v>
      </c>
      <c r="B838" s="6">
        <v>1</v>
      </c>
      <c r="C838" s="6">
        <v>1</v>
      </c>
      <c r="D838" s="6">
        <v>3</v>
      </c>
      <c r="E838" s="6" t="s">
        <v>355</v>
      </c>
      <c r="F838" s="6" t="s">
        <v>320</v>
      </c>
      <c r="G838" s="19">
        <v>1</v>
      </c>
      <c r="H838" s="6">
        <v>5</v>
      </c>
      <c r="I838" s="6" t="s">
        <v>318</v>
      </c>
      <c r="J838" s="20">
        <v>0.436</v>
      </c>
      <c r="K838" s="20">
        <v>17.315999999999999</v>
      </c>
      <c r="L838" s="6">
        <v>1</v>
      </c>
      <c r="M838" s="15">
        <v>4.3809523809523805E-2</v>
      </c>
      <c r="N838" s="16">
        <v>9.550476190476191</v>
      </c>
      <c r="O838" s="17">
        <v>379.30285714285708</v>
      </c>
      <c r="P838" s="16">
        <v>9.5504761904761892</v>
      </c>
      <c r="Q838" s="17">
        <v>379.30285714285708</v>
      </c>
    </row>
    <row r="839" spans="1:17" x14ac:dyDescent="0.25">
      <c r="A839" s="20" t="s">
        <v>353</v>
      </c>
      <c r="B839" s="6">
        <v>1</v>
      </c>
      <c r="C839" s="6">
        <v>1</v>
      </c>
      <c r="D839" s="6">
        <v>3</v>
      </c>
      <c r="E839" s="6" t="s">
        <v>355</v>
      </c>
      <c r="F839" s="6" t="s">
        <v>320</v>
      </c>
      <c r="G839" s="19">
        <v>1</v>
      </c>
      <c r="H839" s="6">
        <v>5</v>
      </c>
      <c r="I839" s="6" t="s">
        <v>319</v>
      </c>
      <c r="J839" s="6" t="s">
        <v>1673</v>
      </c>
      <c r="K839" s="6" t="s">
        <v>1673</v>
      </c>
      <c r="L839" s="6" t="s">
        <v>1673</v>
      </c>
      <c r="M839" s="15" t="s">
        <v>1673</v>
      </c>
      <c r="N839" s="16" t="s">
        <v>1673</v>
      </c>
      <c r="O839" s="17" t="s">
        <v>1673</v>
      </c>
      <c r="P839" s="16" t="s">
        <v>1673</v>
      </c>
      <c r="Q839" s="17" t="s">
        <v>1673</v>
      </c>
    </row>
    <row r="840" spans="1:17" x14ac:dyDescent="0.25">
      <c r="A840" s="20" t="s">
        <v>353</v>
      </c>
      <c r="B840" s="6">
        <v>1</v>
      </c>
      <c r="C840" s="6">
        <v>1</v>
      </c>
      <c r="D840" s="6">
        <v>3</v>
      </c>
      <c r="E840" s="6" t="s">
        <v>355</v>
      </c>
      <c r="F840" s="6" t="s">
        <v>321</v>
      </c>
      <c r="G840" s="19">
        <v>2</v>
      </c>
      <c r="H840" s="6">
        <v>2</v>
      </c>
      <c r="I840" s="6" t="s">
        <v>318</v>
      </c>
      <c r="J840" s="20">
        <v>0.54</v>
      </c>
      <c r="K840" s="20">
        <v>17.184000000000001</v>
      </c>
      <c r="L840" s="6">
        <v>1</v>
      </c>
      <c r="M840" s="15">
        <v>8.5714285714285715E-2</v>
      </c>
      <c r="N840" s="16">
        <v>9.257142857142858</v>
      </c>
      <c r="O840" s="17">
        <v>294.58285714285716</v>
      </c>
      <c r="P840" s="16">
        <v>23.142857142857146</v>
      </c>
      <c r="Q840" s="17">
        <v>736.45714285714291</v>
      </c>
    </row>
    <row r="841" spans="1:17" x14ac:dyDescent="0.25">
      <c r="A841" s="20" t="s">
        <v>353</v>
      </c>
      <c r="B841" s="6">
        <v>1</v>
      </c>
      <c r="C841" s="6">
        <v>1</v>
      </c>
      <c r="D841" s="6">
        <v>3</v>
      </c>
      <c r="E841" s="6" t="s">
        <v>355</v>
      </c>
      <c r="F841" s="6" t="s">
        <v>321</v>
      </c>
      <c r="G841" s="19">
        <v>2</v>
      </c>
      <c r="H841" s="6">
        <v>2</v>
      </c>
      <c r="I841" s="6" t="s">
        <v>319</v>
      </c>
      <c r="J841" s="6" t="s">
        <v>1673</v>
      </c>
      <c r="K841" s="6" t="s">
        <v>1673</v>
      </c>
      <c r="L841" s="6" t="s">
        <v>1673</v>
      </c>
      <c r="M841" s="15" t="s">
        <v>1673</v>
      </c>
      <c r="N841" s="16" t="s">
        <v>1673</v>
      </c>
      <c r="O841" s="17" t="s">
        <v>1673</v>
      </c>
      <c r="P841" s="16" t="s">
        <v>1673</v>
      </c>
      <c r="Q841" s="17" t="s">
        <v>1673</v>
      </c>
    </row>
    <row r="842" spans="1:17" x14ac:dyDescent="0.25">
      <c r="A842" s="20" t="s">
        <v>353</v>
      </c>
      <c r="B842" s="6">
        <v>1</v>
      </c>
      <c r="C842" s="6">
        <v>1</v>
      </c>
      <c r="D842" s="6">
        <v>4</v>
      </c>
      <c r="E842" s="6" t="s">
        <v>316</v>
      </c>
      <c r="F842" s="6" t="s">
        <v>317</v>
      </c>
      <c r="G842" s="19">
        <v>0</v>
      </c>
      <c r="H842" s="6">
        <v>2</v>
      </c>
      <c r="I842" s="6" t="s">
        <v>318</v>
      </c>
      <c r="J842" s="20">
        <v>1.123</v>
      </c>
      <c r="K842" s="20">
        <v>44.709000000000003</v>
      </c>
      <c r="L842" s="6">
        <v>0</v>
      </c>
      <c r="M842" s="15">
        <v>3.6538461538461534E-2</v>
      </c>
      <c r="N842" s="16">
        <v>8.2065384615384609</v>
      </c>
      <c r="O842" s="17">
        <v>326.71961538461539</v>
      </c>
      <c r="P842" s="16">
        <v>8.2065384615384609</v>
      </c>
      <c r="Q842" s="17">
        <v>326.71961538461539</v>
      </c>
    </row>
    <row r="843" spans="1:17" x14ac:dyDescent="0.25">
      <c r="A843" s="20" t="s">
        <v>353</v>
      </c>
      <c r="B843" s="6">
        <v>1</v>
      </c>
      <c r="C843" s="6">
        <v>1</v>
      </c>
      <c r="D843" s="6">
        <v>4</v>
      </c>
      <c r="E843" s="6" t="s">
        <v>316</v>
      </c>
      <c r="F843" s="6" t="s">
        <v>317</v>
      </c>
      <c r="G843" s="19">
        <v>0</v>
      </c>
      <c r="H843" s="6">
        <v>2</v>
      </c>
      <c r="I843" s="6" t="s">
        <v>319</v>
      </c>
      <c r="J843" s="6" t="s">
        <v>1673</v>
      </c>
      <c r="K843" s="6" t="s">
        <v>1673</v>
      </c>
      <c r="L843" s="6" t="s">
        <v>1673</v>
      </c>
      <c r="M843" s="15" t="s">
        <v>1673</v>
      </c>
      <c r="N843" s="16" t="s">
        <v>1673</v>
      </c>
      <c r="O843" s="17" t="s">
        <v>1673</v>
      </c>
      <c r="P843" s="16" t="s">
        <v>1673</v>
      </c>
      <c r="Q843" s="17" t="s">
        <v>1673</v>
      </c>
    </row>
    <row r="844" spans="1:17" x14ac:dyDescent="0.25">
      <c r="A844" s="20" t="s">
        <v>353</v>
      </c>
      <c r="B844" s="6">
        <v>1</v>
      </c>
      <c r="C844" s="6">
        <v>1</v>
      </c>
      <c r="D844" s="6">
        <v>4</v>
      </c>
      <c r="E844" s="6" t="s">
        <v>355</v>
      </c>
      <c r="F844" s="6" t="s">
        <v>320</v>
      </c>
      <c r="G844" s="19">
        <v>1</v>
      </c>
      <c r="H844" s="6">
        <v>5</v>
      </c>
      <c r="I844" s="6" t="s">
        <v>318</v>
      </c>
      <c r="J844" s="20">
        <v>0.88500000000000001</v>
      </c>
      <c r="K844" s="20">
        <v>44.378</v>
      </c>
      <c r="L844" s="6">
        <v>0</v>
      </c>
      <c r="M844" s="15">
        <v>6.1538461538461542E-2</v>
      </c>
      <c r="N844" s="16">
        <v>27.230769230769234</v>
      </c>
      <c r="O844" s="17">
        <v>1365.4769230769232</v>
      </c>
      <c r="P844" s="16">
        <v>27.23076923076923</v>
      </c>
      <c r="Q844" s="17">
        <v>1365.4769230769232</v>
      </c>
    </row>
    <row r="845" spans="1:17" x14ac:dyDescent="0.25">
      <c r="A845" s="20" t="s">
        <v>353</v>
      </c>
      <c r="B845" s="6">
        <v>1</v>
      </c>
      <c r="C845" s="6">
        <v>1</v>
      </c>
      <c r="D845" s="6">
        <v>4</v>
      </c>
      <c r="E845" s="6" t="s">
        <v>355</v>
      </c>
      <c r="F845" s="6" t="s">
        <v>320</v>
      </c>
      <c r="G845" s="19">
        <v>1</v>
      </c>
      <c r="H845" s="6">
        <v>5</v>
      </c>
      <c r="I845" s="6" t="s">
        <v>319</v>
      </c>
      <c r="J845" s="20">
        <v>0.48599999999999999</v>
      </c>
      <c r="K845" s="20">
        <v>51.67</v>
      </c>
      <c r="L845" s="6">
        <v>0</v>
      </c>
      <c r="M845" s="15">
        <v>4.6153846153846149E-3</v>
      </c>
      <c r="N845" s="16">
        <v>1.1215384615384612</v>
      </c>
      <c r="O845" s="17">
        <v>119.23846153846152</v>
      </c>
      <c r="P845" s="16">
        <v>1.1215384615384614</v>
      </c>
      <c r="Q845" s="17">
        <v>119.23846153846155</v>
      </c>
    </row>
    <row r="846" spans="1:17" x14ac:dyDescent="0.25">
      <c r="A846" s="20" t="s">
        <v>353</v>
      </c>
      <c r="B846" s="6">
        <v>1</v>
      </c>
      <c r="C846" s="6">
        <v>1</v>
      </c>
      <c r="D846" s="6">
        <v>4</v>
      </c>
      <c r="E846" s="6" t="s">
        <v>355</v>
      </c>
      <c r="F846" s="6" t="s">
        <v>321</v>
      </c>
      <c r="G846" s="19">
        <v>2</v>
      </c>
      <c r="H846" s="6">
        <v>5</v>
      </c>
      <c r="I846" s="6" t="s">
        <v>318</v>
      </c>
      <c r="J846" s="20">
        <v>0.65500000000000003</v>
      </c>
      <c r="K846" s="20">
        <v>44.405999999999999</v>
      </c>
      <c r="L846" s="6">
        <v>0</v>
      </c>
      <c r="M846" s="15">
        <v>7.3846153846153853E-2</v>
      </c>
      <c r="N846" s="16">
        <v>24.184615384615388</v>
      </c>
      <c r="O846" s="17">
        <v>1639.606153846154</v>
      </c>
      <c r="P846" s="16">
        <v>24.184615384615388</v>
      </c>
      <c r="Q846" s="17">
        <v>1639.606153846154</v>
      </c>
    </row>
    <row r="847" spans="1:17" x14ac:dyDescent="0.25">
      <c r="A847" s="20" t="s">
        <v>353</v>
      </c>
      <c r="B847" s="6">
        <v>1</v>
      </c>
      <c r="C847" s="6">
        <v>1</v>
      </c>
      <c r="D847" s="6">
        <v>4</v>
      </c>
      <c r="E847" s="6" t="s">
        <v>355</v>
      </c>
      <c r="F847" s="6" t="s">
        <v>321</v>
      </c>
      <c r="G847" s="19">
        <v>2</v>
      </c>
      <c r="H847" s="6">
        <v>5</v>
      </c>
      <c r="I847" s="6" t="s">
        <v>319</v>
      </c>
      <c r="J847" s="20">
        <v>0.57999999999999996</v>
      </c>
      <c r="K847" s="20">
        <v>50.706000000000003</v>
      </c>
      <c r="L847" s="6">
        <v>0</v>
      </c>
      <c r="M847" s="15">
        <v>3.4188034188034188E-3</v>
      </c>
      <c r="N847" s="16">
        <v>0.99145299145299137</v>
      </c>
      <c r="O847" s="17">
        <v>86.676923076923089</v>
      </c>
      <c r="P847" s="16">
        <v>0.99145299145299148</v>
      </c>
      <c r="Q847" s="17">
        <v>86.676923076923089</v>
      </c>
    </row>
    <row r="848" spans="1:17" x14ac:dyDescent="0.25">
      <c r="A848" s="20" t="s">
        <v>353</v>
      </c>
      <c r="B848" s="6">
        <v>1</v>
      </c>
      <c r="C848" s="6">
        <v>1</v>
      </c>
      <c r="D848" s="6">
        <v>4</v>
      </c>
      <c r="E848" s="6" t="s">
        <v>355</v>
      </c>
      <c r="F848" s="6" t="s">
        <v>334</v>
      </c>
      <c r="G848" s="19">
        <v>3</v>
      </c>
      <c r="H848" s="6">
        <v>5</v>
      </c>
      <c r="I848" s="6" t="s">
        <v>318</v>
      </c>
      <c r="J848" s="20">
        <v>0.76200000000000001</v>
      </c>
      <c r="K848" s="20">
        <v>44.771999999999998</v>
      </c>
      <c r="L848" s="6">
        <v>0</v>
      </c>
      <c r="M848" s="15">
        <v>9.0940170940170942E-2</v>
      </c>
      <c r="N848" s="16">
        <v>34.648205128205127</v>
      </c>
      <c r="O848" s="17">
        <v>2035.7866666666666</v>
      </c>
      <c r="P848" s="16">
        <v>34.648205128205127</v>
      </c>
      <c r="Q848" s="17">
        <v>2035.7866666666666</v>
      </c>
    </row>
    <row r="849" spans="1:17" x14ac:dyDescent="0.25">
      <c r="A849" s="20" t="s">
        <v>353</v>
      </c>
      <c r="B849" s="6">
        <v>1</v>
      </c>
      <c r="C849" s="6">
        <v>1</v>
      </c>
      <c r="D849" s="6">
        <v>4</v>
      </c>
      <c r="E849" s="6" t="s">
        <v>355</v>
      </c>
      <c r="F849" s="6" t="s">
        <v>334</v>
      </c>
      <c r="G849" s="19">
        <v>3</v>
      </c>
      <c r="H849" s="6">
        <v>5</v>
      </c>
      <c r="I849" s="6" t="s">
        <v>319</v>
      </c>
      <c r="J849" s="6" t="s">
        <v>1673</v>
      </c>
      <c r="K849" s="6" t="s">
        <v>1673</v>
      </c>
      <c r="L849" s="6" t="s">
        <v>1673</v>
      </c>
      <c r="M849" s="15" t="s">
        <v>1673</v>
      </c>
      <c r="N849" s="16" t="s">
        <v>1673</v>
      </c>
      <c r="O849" s="17" t="s">
        <v>1673</v>
      </c>
      <c r="P849" s="16" t="s">
        <v>1673</v>
      </c>
      <c r="Q849" s="17" t="s">
        <v>1673</v>
      </c>
    </row>
    <row r="850" spans="1:17" x14ac:dyDescent="0.25">
      <c r="A850" s="20" t="s">
        <v>353</v>
      </c>
      <c r="B850" s="6">
        <v>1</v>
      </c>
      <c r="C850" s="6">
        <v>1</v>
      </c>
      <c r="D850" s="6">
        <v>4</v>
      </c>
      <c r="E850" s="6" t="s">
        <v>355</v>
      </c>
      <c r="F850" s="6" t="s">
        <v>335</v>
      </c>
      <c r="G850" s="19">
        <v>4</v>
      </c>
      <c r="H850" s="6">
        <v>5</v>
      </c>
      <c r="I850" s="6" t="s">
        <v>318</v>
      </c>
      <c r="J850" s="20">
        <v>1.3109999999999999</v>
      </c>
      <c r="K850" s="20">
        <v>41.075000000000003</v>
      </c>
      <c r="L850" s="6">
        <v>0</v>
      </c>
      <c r="M850" s="15">
        <v>9.5664335664335673E-2</v>
      </c>
      <c r="N850" s="16" t="s">
        <v>1673</v>
      </c>
      <c r="O850" s="17" t="s">
        <v>1673</v>
      </c>
      <c r="P850" s="16">
        <v>62.707972027972033</v>
      </c>
      <c r="Q850" s="17">
        <v>1964.706293706294</v>
      </c>
    </row>
    <row r="851" spans="1:17" x14ac:dyDescent="0.25">
      <c r="A851" s="20" t="s">
        <v>353</v>
      </c>
      <c r="B851" s="6">
        <v>1</v>
      </c>
      <c r="C851" s="6">
        <v>1</v>
      </c>
      <c r="D851" s="6">
        <v>4</v>
      </c>
      <c r="E851" s="6" t="s">
        <v>355</v>
      </c>
      <c r="F851" s="6" t="s">
        <v>335</v>
      </c>
      <c r="G851" s="19">
        <v>4</v>
      </c>
      <c r="H851" s="6">
        <v>5</v>
      </c>
      <c r="I851" s="6" t="s">
        <v>319</v>
      </c>
      <c r="J851" s="6" t="s">
        <v>1673</v>
      </c>
      <c r="K851" s="6" t="s">
        <v>1673</v>
      </c>
      <c r="L851" s="6" t="s">
        <v>1673</v>
      </c>
      <c r="M851" s="15" t="s">
        <v>1673</v>
      </c>
      <c r="N851" s="16" t="s">
        <v>1673</v>
      </c>
      <c r="O851" s="17" t="s">
        <v>1673</v>
      </c>
      <c r="P851" s="16" t="s">
        <v>1673</v>
      </c>
      <c r="Q851" s="17" t="s">
        <v>1673</v>
      </c>
    </row>
    <row r="852" spans="1:17" x14ac:dyDescent="0.25">
      <c r="A852" s="20" t="s">
        <v>353</v>
      </c>
      <c r="B852" s="6">
        <v>1</v>
      </c>
      <c r="C852" s="6">
        <v>1</v>
      </c>
      <c r="D852" s="6">
        <v>5</v>
      </c>
      <c r="E852" s="6" t="s">
        <v>316</v>
      </c>
      <c r="F852" s="6" t="s">
        <v>332</v>
      </c>
      <c r="G852" s="19">
        <v>0</v>
      </c>
      <c r="H852" s="6">
        <v>1</v>
      </c>
      <c r="I852" s="6" t="s">
        <v>318</v>
      </c>
      <c r="J852" s="20">
        <v>1.0980000000000001</v>
      </c>
      <c r="K852" s="20">
        <v>44.951000000000001</v>
      </c>
      <c r="L852" s="6">
        <v>0</v>
      </c>
      <c r="M852" s="15">
        <v>8.5714285714285715E-2</v>
      </c>
      <c r="N852" s="16">
        <v>9.411428571428571</v>
      </c>
      <c r="O852" s="17">
        <v>385.29428571428571</v>
      </c>
      <c r="P852" s="16">
        <v>9.411428571428571</v>
      </c>
      <c r="Q852" s="17">
        <v>385.29428571428571</v>
      </c>
    </row>
    <row r="853" spans="1:17" x14ac:dyDescent="0.25">
      <c r="A853" s="20" t="s">
        <v>353</v>
      </c>
      <c r="B853" s="6">
        <v>1</v>
      </c>
      <c r="C853" s="6">
        <v>1</v>
      </c>
      <c r="D853" s="6">
        <v>5</v>
      </c>
      <c r="E853" s="6" t="s">
        <v>316</v>
      </c>
      <c r="F853" s="6" t="s">
        <v>332</v>
      </c>
      <c r="G853" s="19">
        <v>0</v>
      </c>
      <c r="H853" s="6">
        <v>1</v>
      </c>
      <c r="I853" s="6" t="s">
        <v>330</v>
      </c>
      <c r="J853" s="20" t="s">
        <v>1673</v>
      </c>
      <c r="K853" s="20" t="s">
        <v>1673</v>
      </c>
      <c r="L853" s="6" t="s">
        <v>1673</v>
      </c>
      <c r="M853" s="15" t="s">
        <v>1673</v>
      </c>
      <c r="N853" s="16" t="s">
        <v>1673</v>
      </c>
      <c r="O853" s="17" t="s">
        <v>1673</v>
      </c>
      <c r="P853" s="16" t="s">
        <v>1673</v>
      </c>
      <c r="Q853" s="17" t="s">
        <v>1673</v>
      </c>
    </row>
    <row r="854" spans="1:17" x14ac:dyDescent="0.25">
      <c r="A854" s="20" t="s">
        <v>353</v>
      </c>
      <c r="B854" s="6">
        <v>1</v>
      </c>
      <c r="C854" s="6">
        <v>1</v>
      </c>
      <c r="D854" s="6">
        <v>5</v>
      </c>
      <c r="E854" s="6" t="s">
        <v>355</v>
      </c>
      <c r="F854" s="6" t="s">
        <v>333</v>
      </c>
      <c r="G854" s="19">
        <v>1</v>
      </c>
      <c r="H854" s="6">
        <v>5</v>
      </c>
      <c r="I854" s="6" t="s">
        <v>318</v>
      </c>
      <c r="J854" s="20">
        <v>1.0489999999999999</v>
      </c>
      <c r="K854" s="20">
        <v>44.036999999999999</v>
      </c>
      <c r="L854" s="6">
        <v>0</v>
      </c>
      <c r="M854" s="15">
        <v>7.0857142857142855E-2</v>
      </c>
      <c r="N854" s="16">
        <v>37.164571428571421</v>
      </c>
      <c r="O854" s="17">
        <v>1560.1679999999999</v>
      </c>
      <c r="P854" s="16">
        <v>37.164571428571421</v>
      </c>
      <c r="Q854" s="17">
        <v>1560.1679999999999</v>
      </c>
    </row>
    <row r="855" spans="1:17" x14ac:dyDescent="0.25">
      <c r="A855" s="20" t="s">
        <v>353</v>
      </c>
      <c r="B855" s="6">
        <v>1</v>
      </c>
      <c r="C855" s="6">
        <v>1</v>
      </c>
      <c r="D855" s="6">
        <v>5</v>
      </c>
      <c r="E855" s="6" t="s">
        <v>355</v>
      </c>
      <c r="F855" s="6" t="s">
        <v>333</v>
      </c>
      <c r="G855" s="19">
        <v>1</v>
      </c>
      <c r="H855" s="6">
        <v>5</v>
      </c>
      <c r="I855" s="6" t="s">
        <v>330</v>
      </c>
      <c r="J855" s="20">
        <v>0.77</v>
      </c>
      <c r="K855" s="20">
        <v>53.351999999999997</v>
      </c>
      <c r="L855" s="6">
        <v>0</v>
      </c>
      <c r="M855" s="15">
        <v>4.5714285714285718E-3</v>
      </c>
      <c r="N855" s="16">
        <v>1.7600000000000002</v>
      </c>
      <c r="O855" s="17">
        <v>121.94742857142857</v>
      </c>
      <c r="P855" s="16">
        <v>1.7600000000000002</v>
      </c>
      <c r="Q855" s="17">
        <v>121.94742857142859</v>
      </c>
    </row>
    <row r="856" spans="1:17" x14ac:dyDescent="0.25">
      <c r="A856" s="20" t="s">
        <v>353</v>
      </c>
      <c r="B856" s="6">
        <v>1</v>
      </c>
      <c r="C856" s="6">
        <v>1</v>
      </c>
      <c r="D856" s="6">
        <v>5</v>
      </c>
      <c r="E856" s="6" t="s">
        <v>355</v>
      </c>
      <c r="F856" s="6" t="s">
        <v>336</v>
      </c>
      <c r="G856" s="19">
        <v>2</v>
      </c>
      <c r="H856" s="6">
        <v>5</v>
      </c>
      <c r="I856" s="6" t="s">
        <v>318</v>
      </c>
      <c r="J856" s="20">
        <v>0.84199999999999997</v>
      </c>
      <c r="K856" s="20">
        <v>43.999000000000002</v>
      </c>
      <c r="L856" s="6">
        <v>0</v>
      </c>
      <c r="M856" s="15">
        <v>6.6000000000000003E-2</v>
      </c>
      <c r="N856" s="16">
        <v>27.786000000000001</v>
      </c>
      <c r="O856" s="17">
        <v>1451.9670000000001</v>
      </c>
      <c r="P856" s="16">
        <v>27.786000000000005</v>
      </c>
      <c r="Q856" s="17">
        <v>1451.9670000000003</v>
      </c>
    </row>
    <row r="857" spans="1:17" x14ac:dyDescent="0.25">
      <c r="A857" s="20" t="s">
        <v>353</v>
      </c>
      <c r="B857" s="6">
        <v>1</v>
      </c>
      <c r="C857" s="6">
        <v>1</v>
      </c>
      <c r="D857" s="6">
        <v>5</v>
      </c>
      <c r="E857" s="6" t="s">
        <v>355</v>
      </c>
      <c r="F857" s="6" t="s">
        <v>336</v>
      </c>
      <c r="G857" s="19">
        <v>2</v>
      </c>
      <c r="H857" s="6">
        <v>5</v>
      </c>
      <c r="I857" s="6" t="s">
        <v>330</v>
      </c>
      <c r="J857" s="20">
        <v>0.63800000000000001</v>
      </c>
      <c r="K857" s="20">
        <v>50.978000000000002</v>
      </c>
      <c r="L857" s="6">
        <v>0</v>
      </c>
      <c r="M857" s="15">
        <v>4.0000000000000001E-3</v>
      </c>
      <c r="N857" s="16">
        <v>1.276</v>
      </c>
      <c r="O857" s="17">
        <v>101.956</v>
      </c>
      <c r="P857" s="16">
        <v>1.276</v>
      </c>
      <c r="Q857" s="17">
        <v>101.956</v>
      </c>
    </row>
    <row r="858" spans="1:17" x14ac:dyDescent="0.25">
      <c r="A858" s="20" t="s">
        <v>353</v>
      </c>
      <c r="B858" s="6">
        <v>1</v>
      </c>
      <c r="C858" s="6">
        <v>1</v>
      </c>
      <c r="D858" s="6">
        <v>5</v>
      </c>
      <c r="E858" s="6" t="s">
        <v>355</v>
      </c>
      <c r="F858" s="6" t="s">
        <v>334</v>
      </c>
      <c r="G858" s="19">
        <v>3</v>
      </c>
      <c r="H858" s="6">
        <v>5</v>
      </c>
      <c r="I858" s="6" t="s">
        <v>318</v>
      </c>
      <c r="J858" s="20">
        <v>0.71299999999999997</v>
      </c>
      <c r="K858" s="20">
        <v>42.984999999999999</v>
      </c>
      <c r="L858" s="6">
        <v>0</v>
      </c>
      <c r="M858" s="15">
        <v>6.8000000000000005E-2</v>
      </c>
      <c r="N858" s="16">
        <v>24.242000000000001</v>
      </c>
      <c r="O858" s="17">
        <v>1461.49</v>
      </c>
      <c r="P858" s="16">
        <v>24.242000000000001</v>
      </c>
      <c r="Q858" s="17">
        <v>1461.49</v>
      </c>
    </row>
    <row r="859" spans="1:17" x14ac:dyDescent="0.25">
      <c r="A859" s="20" t="s">
        <v>353</v>
      </c>
      <c r="B859" s="6">
        <v>1</v>
      </c>
      <c r="C859" s="6">
        <v>1</v>
      </c>
      <c r="D859" s="6">
        <v>5</v>
      </c>
      <c r="E859" s="6" t="s">
        <v>355</v>
      </c>
      <c r="F859" s="6" t="s">
        <v>334</v>
      </c>
      <c r="G859" s="19">
        <v>3</v>
      </c>
      <c r="H859" s="6">
        <v>5</v>
      </c>
      <c r="I859" s="6" t="s">
        <v>330</v>
      </c>
      <c r="J859" s="20" t="s">
        <v>1673</v>
      </c>
      <c r="K859" s="20" t="s">
        <v>1673</v>
      </c>
      <c r="L859" s="6" t="s">
        <v>1673</v>
      </c>
      <c r="M859" s="15" t="s">
        <v>1673</v>
      </c>
      <c r="N859" s="16" t="s">
        <v>1673</v>
      </c>
      <c r="O859" s="17" t="s">
        <v>1673</v>
      </c>
      <c r="P859" s="16" t="s">
        <v>1673</v>
      </c>
      <c r="Q859" s="17" t="s">
        <v>1673</v>
      </c>
    </row>
    <row r="860" spans="1:17" x14ac:dyDescent="0.25">
      <c r="A860" s="20" t="s">
        <v>353</v>
      </c>
      <c r="B860" s="6">
        <v>1</v>
      </c>
      <c r="C860" s="6">
        <v>1</v>
      </c>
      <c r="D860" s="6">
        <v>5</v>
      </c>
      <c r="E860" s="6" t="s">
        <v>355</v>
      </c>
      <c r="F860" s="6" t="s">
        <v>335</v>
      </c>
      <c r="G860" s="19">
        <v>4</v>
      </c>
      <c r="H860" s="6">
        <v>3</v>
      </c>
      <c r="I860" s="6" t="s">
        <v>318</v>
      </c>
      <c r="J860" s="20">
        <v>0.93899999999999995</v>
      </c>
      <c r="K860" s="20">
        <v>40.680999999999997</v>
      </c>
      <c r="L860" s="6">
        <v>0</v>
      </c>
      <c r="M860" s="15">
        <v>0.11666666666666667</v>
      </c>
      <c r="N860" s="16">
        <v>32.864999999999995</v>
      </c>
      <c r="O860" s="17">
        <v>1423.8349999999998</v>
      </c>
      <c r="P860" s="16">
        <v>54.774999999999999</v>
      </c>
      <c r="Q860" s="17">
        <v>2373.0583333333329</v>
      </c>
    </row>
    <row r="861" spans="1:17" x14ac:dyDescent="0.25">
      <c r="A861" s="20" t="s">
        <v>353</v>
      </c>
      <c r="B861" s="6">
        <v>1</v>
      </c>
      <c r="C861" s="6">
        <v>1</v>
      </c>
      <c r="D861" s="6">
        <v>5</v>
      </c>
      <c r="E861" s="6" t="s">
        <v>355</v>
      </c>
      <c r="F861" s="6" t="s">
        <v>335</v>
      </c>
      <c r="G861" s="19">
        <v>4</v>
      </c>
      <c r="H861" s="6">
        <v>3</v>
      </c>
      <c r="I861" s="6" t="s">
        <v>330</v>
      </c>
      <c r="J861" s="20" t="s">
        <v>1673</v>
      </c>
      <c r="K861" s="20" t="s">
        <v>1673</v>
      </c>
      <c r="L861" s="6" t="s">
        <v>1673</v>
      </c>
      <c r="M861" s="15" t="s">
        <v>1673</v>
      </c>
      <c r="N861" s="16" t="s">
        <v>1673</v>
      </c>
      <c r="O861" s="17" t="s">
        <v>1673</v>
      </c>
      <c r="P861" s="16" t="s">
        <v>1673</v>
      </c>
      <c r="Q861" s="17" t="s">
        <v>1673</v>
      </c>
    </row>
    <row r="862" spans="1:17" x14ac:dyDescent="0.25">
      <c r="A862" s="20" t="s">
        <v>353</v>
      </c>
      <c r="B862" s="6">
        <v>2</v>
      </c>
      <c r="C862" s="6">
        <v>2</v>
      </c>
      <c r="D862" s="6">
        <v>4</v>
      </c>
      <c r="E862" s="6" t="s">
        <v>316</v>
      </c>
      <c r="F862" s="21" t="s">
        <v>317</v>
      </c>
      <c r="G862" s="18">
        <v>0</v>
      </c>
      <c r="H862" s="6">
        <v>2.1666666666666665</v>
      </c>
      <c r="I862" s="6" t="s">
        <v>318</v>
      </c>
      <c r="J862" s="20">
        <v>1.1739999999999999</v>
      </c>
      <c r="K862" s="20">
        <v>42.015999999999998</v>
      </c>
      <c r="L862" s="6">
        <v>0</v>
      </c>
      <c r="M862" s="15">
        <v>1.6223776223776222E-2</v>
      </c>
      <c r="N862" s="16">
        <v>4.1267878787878773</v>
      </c>
      <c r="O862" s="17">
        <v>147.69260606060601</v>
      </c>
      <c r="P862" s="16">
        <v>4.1267878787878773</v>
      </c>
      <c r="Q862" s="17">
        <v>147.69260606060601</v>
      </c>
    </row>
    <row r="863" spans="1:17" x14ac:dyDescent="0.25">
      <c r="A863" s="20" t="s">
        <v>353</v>
      </c>
      <c r="B863" s="6">
        <v>2</v>
      </c>
      <c r="C863" s="6">
        <v>2</v>
      </c>
      <c r="D863" s="6">
        <v>4</v>
      </c>
      <c r="E863" s="6" t="s">
        <v>316</v>
      </c>
      <c r="F863" s="21" t="s">
        <v>317</v>
      </c>
      <c r="G863" s="18">
        <v>0</v>
      </c>
      <c r="H863" s="6">
        <v>2.1666666666666665</v>
      </c>
      <c r="I863" s="6" t="s">
        <v>319</v>
      </c>
      <c r="J863" s="6" t="s">
        <v>1673</v>
      </c>
      <c r="K863" s="6" t="s">
        <v>1673</v>
      </c>
      <c r="L863" s="6" t="s">
        <v>1673</v>
      </c>
      <c r="M863" s="15" t="s">
        <v>1673</v>
      </c>
      <c r="N863" s="16" t="s">
        <v>1673</v>
      </c>
      <c r="O863" s="17" t="s">
        <v>1673</v>
      </c>
      <c r="P863" s="16" t="s">
        <v>1673</v>
      </c>
      <c r="Q863" s="17" t="s">
        <v>1673</v>
      </c>
    </row>
    <row r="864" spans="1:17" x14ac:dyDescent="0.25">
      <c r="A864" s="20" t="s">
        <v>353</v>
      </c>
      <c r="B864" s="6">
        <v>2</v>
      </c>
      <c r="C864" s="6">
        <v>2</v>
      </c>
      <c r="D864" s="6">
        <v>4</v>
      </c>
      <c r="E864" s="6" t="s">
        <v>355</v>
      </c>
      <c r="F864" s="14" t="s">
        <v>320</v>
      </c>
      <c r="G864" s="18">
        <v>1</v>
      </c>
      <c r="H864" s="6">
        <v>4</v>
      </c>
      <c r="I864" s="6" t="s">
        <v>318</v>
      </c>
      <c r="J864" s="20">
        <v>0.87</v>
      </c>
      <c r="K864" s="20">
        <v>34.573</v>
      </c>
      <c r="L864" s="6">
        <v>0</v>
      </c>
      <c r="M864" s="15">
        <v>7.8428571428571431E-2</v>
      </c>
      <c r="N864" s="16">
        <v>27.293142857142858</v>
      </c>
      <c r="O864" s="17">
        <v>1084.6043999999999</v>
      </c>
      <c r="P864" s="16">
        <v>34.116428571428564</v>
      </c>
      <c r="Q864" s="17">
        <v>1355.7555000000002</v>
      </c>
    </row>
    <row r="865" spans="1:17" x14ac:dyDescent="0.25">
      <c r="A865" s="20" t="s">
        <v>353</v>
      </c>
      <c r="B865" s="6">
        <v>2</v>
      </c>
      <c r="C865" s="6">
        <v>2</v>
      </c>
      <c r="D865" s="6">
        <v>4</v>
      </c>
      <c r="E865" s="6" t="s">
        <v>355</v>
      </c>
      <c r="F865" s="14" t="s">
        <v>320</v>
      </c>
      <c r="G865" s="18">
        <v>1</v>
      </c>
      <c r="H865" s="6">
        <v>4</v>
      </c>
      <c r="I865" s="6" t="s">
        <v>319</v>
      </c>
      <c r="J865" s="6" t="s">
        <v>1673</v>
      </c>
      <c r="K865" s="6" t="s">
        <v>1673</v>
      </c>
      <c r="L865" s="6" t="s">
        <v>1673</v>
      </c>
      <c r="M865" s="15" t="s">
        <v>1673</v>
      </c>
      <c r="N865" s="16" t="s">
        <v>1673</v>
      </c>
      <c r="O865" s="17" t="s">
        <v>1673</v>
      </c>
      <c r="P865" s="16" t="s">
        <v>1673</v>
      </c>
      <c r="Q865" s="17" t="s">
        <v>1673</v>
      </c>
    </row>
    <row r="866" spans="1:17" x14ac:dyDescent="0.25">
      <c r="A866" s="20" t="s">
        <v>353</v>
      </c>
      <c r="B866" s="6">
        <v>2</v>
      </c>
      <c r="C866" s="6">
        <v>2</v>
      </c>
      <c r="D866" s="6">
        <v>4</v>
      </c>
      <c r="E866" s="6" t="s">
        <v>355</v>
      </c>
      <c r="F866" s="14" t="s">
        <v>321</v>
      </c>
      <c r="G866" s="18">
        <v>2</v>
      </c>
      <c r="H866" s="6">
        <v>5</v>
      </c>
      <c r="I866" s="6" t="s">
        <v>318</v>
      </c>
      <c r="J866" s="20">
        <v>0.82799999999999996</v>
      </c>
      <c r="K866" s="20">
        <v>41.426000000000002</v>
      </c>
      <c r="L866" s="6">
        <v>0</v>
      </c>
      <c r="M866" s="15">
        <v>5.6123076923076921E-2</v>
      </c>
      <c r="N866" s="16">
        <v>23.234953846153839</v>
      </c>
      <c r="O866" s="17">
        <v>1162.4772923076921</v>
      </c>
      <c r="P866" s="16">
        <v>23.234953846153843</v>
      </c>
      <c r="Q866" s="17">
        <v>1162.4772923076921</v>
      </c>
    </row>
    <row r="867" spans="1:17" x14ac:dyDescent="0.25">
      <c r="A867" s="20" t="s">
        <v>353</v>
      </c>
      <c r="B867" s="6">
        <v>2</v>
      </c>
      <c r="C867" s="6">
        <v>2</v>
      </c>
      <c r="D867" s="6">
        <v>4</v>
      </c>
      <c r="E867" s="6" t="s">
        <v>355</v>
      </c>
      <c r="F867" s="14" t="s">
        <v>321</v>
      </c>
      <c r="G867" s="18">
        <v>2</v>
      </c>
      <c r="H867" s="6">
        <v>5</v>
      </c>
      <c r="I867" s="6" t="s">
        <v>319</v>
      </c>
      <c r="J867" s="20">
        <v>2.4169999999999998</v>
      </c>
      <c r="K867" s="20">
        <v>44.673000000000002</v>
      </c>
      <c r="L867" s="6">
        <v>0</v>
      </c>
      <c r="M867" s="15">
        <v>5.5384615384615379E-4</v>
      </c>
      <c r="N867" s="16">
        <v>0.66932307692307691</v>
      </c>
      <c r="O867" s="17">
        <v>12.370984615384616</v>
      </c>
      <c r="P867" s="16">
        <v>0.6693230769230768</v>
      </c>
      <c r="Q867" s="17">
        <v>12.370984615384614</v>
      </c>
    </row>
    <row r="868" spans="1:17" x14ac:dyDescent="0.25">
      <c r="A868" s="20" t="s">
        <v>353</v>
      </c>
      <c r="B868" s="6">
        <v>2</v>
      </c>
      <c r="C868" s="6">
        <v>2</v>
      </c>
      <c r="D868" s="6">
        <v>4</v>
      </c>
      <c r="E868" s="6" t="s">
        <v>355</v>
      </c>
      <c r="F868" s="14" t="s">
        <v>322</v>
      </c>
      <c r="G868" s="18">
        <v>3</v>
      </c>
      <c r="H868" s="6">
        <v>5</v>
      </c>
      <c r="I868" s="6" t="s">
        <v>318</v>
      </c>
      <c r="J868" s="20">
        <v>0.91100000000000003</v>
      </c>
      <c r="K868" s="20">
        <v>40.829000000000001</v>
      </c>
      <c r="L868" s="6">
        <v>0</v>
      </c>
      <c r="M868" s="15">
        <v>8.1939393939393951E-2</v>
      </c>
      <c r="N868" s="16">
        <v>37.323393939393945</v>
      </c>
      <c r="O868" s="17">
        <v>1672.7517575757579</v>
      </c>
      <c r="P868" s="16">
        <v>37.323393939393952</v>
      </c>
      <c r="Q868" s="17">
        <v>1672.7517575757574</v>
      </c>
    </row>
    <row r="869" spans="1:17" x14ac:dyDescent="0.25">
      <c r="A869" s="20" t="s">
        <v>353</v>
      </c>
      <c r="B869" s="6">
        <v>2</v>
      </c>
      <c r="C869" s="6">
        <v>2</v>
      </c>
      <c r="D869" s="6">
        <v>4</v>
      </c>
      <c r="E869" s="6" t="s">
        <v>355</v>
      </c>
      <c r="F869" s="14" t="s">
        <v>322</v>
      </c>
      <c r="G869" s="18">
        <v>3</v>
      </c>
      <c r="H869" s="6">
        <v>5</v>
      </c>
      <c r="I869" s="6" t="s">
        <v>319</v>
      </c>
      <c r="J869" s="6" t="s">
        <v>1673</v>
      </c>
      <c r="K869" s="6" t="s">
        <v>1673</v>
      </c>
      <c r="L869" s="6" t="s">
        <v>1673</v>
      </c>
      <c r="M869" s="15" t="s">
        <v>1673</v>
      </c>
      <c r="N869" s="16" t="s">
        <v>1673</v>
      </c>
      <c r="O869" s="17" t="s">
        <v>1673</v>
      </c>
      <c r="P869" s="16" t="s">
        <v>1673</v>
      </c>
      <c r="Q869" s="17" t="s">
        <v>1673</v>
      </c>
    </row>
    <row r="870" spans="1:17" x14ac:dyDescent="0.25">
      <c r="A870" s="20" t="s">
        <v>353</v>
      </c>
      <c r="B870" s="6">
        <v>2</v>
      </c>
      <c r="C870" s="6">
        <v>2</v>
      </c>
      <c r="D870" s="6">
        <v>4</v>
      </c>
      <c r="E870" s="6" t="s">
        <v>355</v>
      </c>
      <c r="F870" s="14" t="s">
        <v>324</v>
      </c>
      <c r="G870" s="18">
        <v>4</v>
      </c>
      <c r="H870" s="6">
        <v>5</v>
      </c>
      <c r="I870" s="6" t="s">
        <v>318</v>
      </c>
      <c r="J870" s="20">
        <v>1.65</v>
      </c>
      <c r="K870" s="20">
        <v>40.362000000000002</v>
      </c>
      <c r="L870" s="6">
        <v>0</v>
      </c>
      <c r="M870" s="15">
        <v>0.15033333333333332</v>
      </c>
      <c r="N870" s="16">
        <v>124.02499999999999</v>
      </c>
      <c r="O870" s="17">
        <v>3033.877</v>
      </c>
      <c r="P870" s="16">
        <v>124.02499999999999</v>
      </c>
      <c r="Q870" s="17">
        <v>3033.877</v>
      </c>
    </row>
    <row r="871" spans="1:17" x14ac:dyDescent="0.25">
      <c r="A871" s="20" t="s">
        <v>353</v>
      </c>
      <c r="B871" s="6">
        <v>2</v>
      </c>
      <c r="C871" s="6">
        <v>2</v>
      </c>
      <c r="D871" s="6">
        <v>4</v>
      </c>
      <c r="E871" s="6" t="s">
        <v>355</v>
      </c>
      <c r="F871" s="14" t="s">
        <v>324</v>
      </c>
      <c r="G871" s="18">
        <v>4</v>
      </c>
      <c r="H871" s="6">
        <v>5</v>
      </c>
      <c r="I871" s="6" t="s">
        <v>319</v>
      </c>
      <c r="J871" s="6" t="s">
        <v>1673</v>
      </c>
      <c r="K871" s="6" t="s">
        <v>1673</v>
      </c>
      <c r="L871" s="6" t="s">
        <v>1673</v>
      </c>
      <c r="M871" s="15" t="s">
        <v>1673</v>
      </c>
      <c r="N871" s="16" t="s">
        <v>1673</v>
      </c>
      <c r="O871" s="17" t="s">
        <v>1673</v>
      </c>
      <c r="P871" s="16" t="s">
        <v>1673</v>
      </c>
      <c r="Q871" s="17" t="s">
        <v>1673</v>
      </c>
    </row>
    <row r="872" spans="1:17" x14ac:dyDescent="0.25">
      <c r="A872" s="20" t="s">
        <v>353</v>
      </c>
      <c r="B872" s="6">
        <v>2</v>
      </c>
      <c r="C872" s="6">
        <v>2</v>
      </c>
      <c r="D872" s="6">
        <v>4</v>
      </c>
      <c r="E872" s="6" t="s">
        <v>355</v>
      </c>
      <c r="F872" s="14" t="s">
        <v>325</v>
      </c>
      <c r="G872" s="18">
        <v>5</v>
      </c>
      <c r="H872" s="6">
        <v>5.5</v>
      </c>
      <c r="I872" s="6" t="s">
        <v>318</v>
      </c>
      <c r="J872" s="20">
        <v>1.633</v>
      </c>
      <c r="K872" s="20">
        <v>29.413</v>
      </c>
      <c r="L872" s="6">
        <v>0</v>
      </c>
      <c r="M872" s="15">
        <v>0.29054994388327721</v>
      </c>
      <c r="N872" s="16">
        <v>260.95743209876548</v>
      </c>
      <c r="O872" s="17">
        <v>4700.2700246913582</v>
      </c>
      <c r="P872" s="16">
        <v>237.23402918069587</v>
      </c>
      <c r="Q872" s="17">
        <v>4272.9727497194162</v>
      </c>
    </row>
    <row r="873" spans="1:17" x14ac:dyDescent="0.25">
      <c r="A873" s="20" t="s">
        <v>353</v>
      </c>
      <c r="B873" s="6">
        <v>2</v>
      </c>
      <c r="C873" s="6">
        <v>2</v>
      </c>
      <c r="D873" s="6">
        <v>4</v>
      </c>
      <c r="E873" s="6" t="s">
        <v>355</v>
      </c>
      <c r="F873" s="14" t="s">
        <v>325</v>
      </c>
      <c r="G873" s="18">
        <v>5</v>
      </c>
      <c r="H873" s="6">
        <v>5.5</v>
      </c>
      <c r="I873" s="6" t="s">
        <v>319</v>
      </c>
      <c r="J873" s="20">
        <v>1.5569999999999999</v>
      </c>
      <c r="K873" s="20">
        <v>49.579000000000001</v>
      </c>
      <c r="L873" s="6">
        <v>0</v>
      </c>
      <c r="M873" s="15">
        <v>1.5263748597081931E-3</v>
      </c>
      <c r="N873" s="16">
        <v>1.3071111111111111</v>
      </c>
      <c r="O873" s="17">
        <v>41.621876543209879</v>
      </c>
      <c r="P873" s="16">
        <v>1.1882828282828284</v>
      </c>
      <c r="Q873" s="17">
        <v>37.83806958473626</v>
      </c>
    </row>
    <row r="874" spans="1:17" x14ac:dyDescent="0.25">
      <c r="A874" s="20" t="s">
        <v>353</v>
      </c>
      <c r="B874" s="6">
        <v>2</v>
      </c>
      <c r="C874" s="6">
        <v>2</v>
      </c>
      <c r="D874" s="6">
        <v>5</v>
      </c>
      <c r="E874" s="6" t="s">
        <v>316</v>
      </c>
      <c r="F874" s="21" t="s">
        <v>317</v>
      </c>
      <c r="G874" s="18">
        <v>0</v>
      </c>
      <c r="H874" s="6">
        <v>1.6666666666666667</v>
      </c>
      <c r="I874" s="6" t="s">
        <v>318</v>
      </c>
      <c r="J874" s="20">
        <v>0.56999999999999995</v>
      </c>
      <c r="K874" s="20">
        <v>39.396999999999998</v>
      </c>
      <c r="L874" s="6">
        <v>0</v>
      </c>
      <c r="M874" s="15">
        <v>1.9851851851851853E-2</v>
      </c>
      <c r="N874" s="16">
        <v>1.885925925925926</v>
      </c>
      <c r="O874" s="17">
        <v>130.3505679012346</v>
      </c>
      <c r="P874" s="16">
        <v>1.885925925925926</v>
      </c>
      <c r="Q874" s="17">
        <v>130.3505679012346</v>
      </c>
    </row>
    <row r="875" spans="1:17" x14ac:dyDescent="0.25">
      <c r="A875" s="20" t="s">
        <v>353</v>
      </c>
      <c r="B875" s="6">
        <v>2</v>
      </c>
      <c r="C875" s="6">
        <v>2</v>
      </c>
      <c r="D875" s="6">
        <v>5</v>
      </c>
      <c r="E875" s="6" t="s">
        <v>316</v>
      </c>
      <c r="F875" s="21" t="s">
        <v>317</v>
      </c>
      <c r="G875" s="18">
        <v>0</v>
      </c>
      <c r="H875" s="6">
        <v>1.6666666666666667</v>
      </c>
      <c r="I875" s="6" t="s">
        <v>319</v>
      </c>
      <c r="J875" s="6" t="s">
        <v>1673</v>
      </c>
      <c r="K875" s="6" t="s">
        <v>1673</v>
      </c>
      <c r="L875" s="6" t="s">
        <v>1673</v>
      </c>
      <c r="M875" s="15" t="s">
        <v>1673</v>
      </c>
      <c r="N875" s="16" t="s">
        <v>1673</v>
      </c>
      <c r="O875" s="17" t="s">
        <v>1673</v>
      </c>
      <c r="P875" s="16" t="s">
        <v>1673</v>
      </c>
      <c r="Q875" s="17" t="s">
        <v>1673</v>
      </c>
    </row>
    <row r="876" spans="1:17" x14ac:dyDescent="0.25">
      <c r="A876" s="20" t="s">
        <v>353</v>
      </c>
      <c r="B876" s="6">
        <v>2</v>
      </c>
      <c r="C876" s="6">
        <v>2</v>
      </c>
      <c r="D876" s="6">
        <v>5</v>
      </c>
      <c r="E876" s="6" t="s">
        <v>355</v>
      </c>
      <c r="F876" s="14" t="s">
        <v>320</v>
      </c>
      <c r="G876" s="18">
        <v>1</v>
      </c>
      <c r="H876" s="6">
        <v>5</v>
      </c>
      <c r="I876" s="6" t="s">
        <v>318</v>
      </c>
      <c r="J876" s="20">
        <v>0.57799999999999996</v>
      </c>
      <c r="K876" s="20">
        <v>38.182000000000002</v>
      </c>
      <c r="L876" s="6">
        <v>0</v>
      </c>
      <c r="M876" s="15">
        <v>5.1740259740259746E-2</v>
      </c>
      <c r="N876" s="16">
        <v>14.952935064935067</v>
      </c>
      <c r="O876" s="17">
        <v>987.77329870129904</v>
      </c>
      <c r="P876" s="16">
        <v>14.952935064935064</v>
      </c>
      <c r="Q876" s="17">
        <v>987.77329870129893</v>
      </c>
    </row>
    <row r="877" spans="1:17" x14ac:dyDescent="0.25">
      <c r="A877" s="20" t="s">
        <v>353</v>
      </c>
      <c r="B877" s="6">
        <v>2</v>
      </c>
      <c r="C877" s="6">
        <v>2</v>
      </c>
      <c r="D877" s="6">
        <v>5</v>
      </c>
      <c r="E877" s="6" t="s">
        <v>355</v>
      </c>
      <c r="F877" s="14" t="s">
        <v>320</v>
      </c>
      <c r="G877" s="18">
        <v>1</v>
      </c>
      <c r="H877" s="6">
        <v>5</v>
      </c>
      <c r="I877" s="6" t="s">
        <v>319</v>
      </c>
      <c r="J877" s="20">
        <v>0.46200000000000002</v>
      </c>
      <c r="K877" s="20">
        <v>47.493000000000002</v>
      </c>
      <c r="L877" s="6">
        <v>0</v>
      </c>
      <c r="M877" s="15">
        <v>1.2467532467532467E-3</v>
      </c>
      <c r="N877" s="16">
        <v>0.28799999999999998</v>
      </c>
      <c r="O877" s="17">
        <v>29.606025974025972</v>
      </c>
      <c r="P877" s="16">
        <v>0.28799999999999998</v>
      </c>
      <c r="Q877" s="17">
        <v>29.606025974025972</v>
      </c>
    </row>
    <row r="878" spans="1:17" x14ac:dyDescent="0.25">
      <c r="A878" s="20" t="s">
        <v>353</v>
      </c>
      <c r="B878" s="6">
        <v>2</v>
      </c>
      <c r="C878" s="6">
        <v>2</v>
      </c>
      <c r="D878" s="6">
        <v>5</v>
      </c>
      <c r="E878" s="6" t="s">
        <v>355</v>
      </c>
      <c r="F878" s="14" t="s">
        <v>321</v>
      </c>
      <c r="G878" s="18">
        <v>2</v>
      </c>
      <c r="H878" s="6">
        <v>5</v>
      </c>
      <c r="I878" s="6" t="s">
        <v>318</v>
      </c>
      <c r="J878" s="20">
        <v>1.143</v>
      </c>
      <c r="K878" s="20">
        <v>36.552999999999997</v>
      </c>
      <c r="L878" s="6">
        <v>0</v>
      </c>
      <c r="M878" s="15">
        <v>8.3822222222222215E-2</v>
      </c>
      <c r="N878" s="16">
        <v>47.90440000000001</v>
      </c>
      <c r="O878" s="17">
        <v>1531.9768444444444</v>
      </c>
      <c r="P878" s="16">
        <v>47.904400000000003</v>
      </c>
      <c r="Q878" s="17">
        <v>1531.9768444444439</v>
      </c>
    </row>
    <row r="879" spans="1:17" x14ac:dyDescent="0.25">
      <c r="A879" s="20" t="s">
        <v>353</v>
      </c>
      <c r="B879" s="6">
        <v>2</v>
      </c>
      <c r="C879" s="6">
        <v>2</v>
      </c>
      <c r="D879" s="6">
        <v>5</v>
      </c>
      <c r="E879" s="6" t="s">
        <v>355</v>
      </c>
      <c r="F879" s="14" t="s">
        <v>321</v>
      </c>
      <c r="G879" s="18">
        <v>2</v>
      </c>
      <c r="H879" s="6">
        <v>5</v>
      </c>
      <c r="I879" s="6" t="s">
        <v>319</v>
      </c>
      <c r="J879" s="20">
        <v>0.61499999999999999</v>
      </c>
      <c r="K879" s="20">
        <v>49.317999999999998</v>
      </c>
      <c r="L879" s="6">
        <v>0</v>
      </c>
      <c r="M879" s="15">
        <v>2.6666666666666666E-3</v>
      </c>
      <c r="N879" s="16">
        <v>0.81999999999999984</v>
      </c>
      <c r="O879" s="17">
        <v>65.757333333333321</v>
      </c>
      <c r="P879" s="16">
        <v>0.82000000000000006</v>
      </c>
      <c r="Q879" s="17">
        <v>65.757333333333321</v>
      </c>
    </row>
    <row r="880" spans="1:17" x14ac:dyDescent="0.25">
      <c r="A880" s="20" t="s">
        <v>353</v>
      </c>
      <c r="B880" s="6">
        <v>2</v>
      </c>
      <c r="C880" s="6">
        <v>2</v>
      </c>
      <c r="D880" s="6">
        <v>5</v>
      </c>
      <c r="E880" s="6" t="s">
        <v>355</v>
      </c>
      <c r="F880" s="14" t="s">
        <v>322</v>
      </c>
      <c r="G880" s="18">
        <v>3</v>
      </c>
      <c r="H880" s="6">
        <v>5</v>
      </c>
      <c r="I880" s="6" t="s">
        <v>318</v>
      </c>
      <c r="J880" s="20">
        <v>2.0950000000000002</v>
      </c>
      <c r="K880" s="20">
        <v>40</v>
      </c>
      <c r="L880" s="6">
        <v>0</v>
      </c>
      <c r="M880" s="15">
        <v>0.16533333333333333</v>
      </c>
      <c r="N880" s="16">
        <v>173.18666666666667</v>
      </c>
      <c r="O880" s="17">
        <v>3306.6666666666665</v>
      </c>
      <c r="P880" s="16">
        <v>173.1866666666667</v>
      </c>
      <c r="Q880" s="17">
        <v>3306.6666666666665</v>
      </c>
    </row>
    <row r="881" spans="1:17" x14ac:dyDescent="0.25">
      <c r="A881" s="20" t="s">
        <v>353</v>
      </c>
      <c r="B881" s="6">
        <v>2</v>
      </c>
      <c r="C881" s="6">
        <v>2</v>
      </c>
      <c r="D881" s="6">
        <v>5</v>
      </c>
      <c r="E881" s="6" t="s">
        <v>355</v>
      </c>
      <c r="F881" s="14" t="s">
        <v>322</v>
      </c>
      <c r="G881" s="18">
        <v>3</v>
      </c>
      <c r="H881" s="6">
        <v>5</v>
      </c>
      <c r="I881" s="6" t="s">
        <v>319</v>
      </c>
      <c r="J881" s="6" t="s">
        <v>1673</v>
      </c>
      <c r="K881" s="6" t="s">
        <v>1673</v>
      </c>
      <c r="L881" s="6" t="s">
        <v>1673</v>
      </c>
      <c r="M881" s="15" t="s">
        <v>1673</v>
      </c>
      <c r="N881" s="16" t="s">
        <v>1673</v>
      </c>
      <c r="O881" s="17" t="s">
        <v>1673</v>
      </c>
      <c r="P881" s="16" t="s">
        <v>1673</v>
      </c>
      <c r="Q881" s="17" t="s">
        <v>1673</v>
      </c>
    </row>
    <row r="882" spans="1:17" x14ac:dyDescent="0.25">
      <c r="A882" s="20" t="s">
        <v>353</v>
      </c>
      <c r="B882" s="6">
        <v>2</v>
      </c>
      <c r="C882" s="6">
        <v>2</v>
      </c>
      <c r="D882" s="6">
        <v>5</v>
      </c>
      <c r="E882" s="6" t="s">
        <v>355</v>
      </c>
      <c r="F882" s="14" t="s">
        <v>324</v>
      </c>
      <c r="G882" s="18">
        <v>4</v>
      </c>
      <c r="H882" s="6">
        <v>5</v>
      </c>
      <c r="I882" s="6" t="s">
        <v>318</v>
      </c>
      <c r="J882" s="20">
        <v>2.512</v>
      </c>
      <c r="K882" s="20">
        <v>41.042999999999999</v>
      </c>
      <c r="L882" s="6">
        <v>0</v>
      </c>
      <c r="M882" s="15">
        <v>0.252</v>
      </c>
      <c r="N882" s="16">
        <v>316.512</v>
      </c>
      <c r="O882" s="17">
        <v>5171.4180000000006</v>
      </c>
      <c r="P882" s="16">
        <v>316.512</v>
      </c>
      <c r="Q882" s="17">
        <v>5171.4179999999997</v>
      </c>
    </row>
    <row r="883" spans="1:17" x14ac:dyDescent="0.25">
      <c r="A883" s="20" t="s">
        <v>353</v>
      </c>
      <c r="B883" s="6">
        <v>2</v>
      </c>
      <c r="C883" s="6">
        <v>2</v>
      </c>
      <c r="D883" s="6">
        <v>5</v>
      </c>
      <c r="E883" s="6" t="s">
        <v>355</v>
      </c>
      <c r="F883" s="14" t="s">
        <v>324</v>
      </c>
      <c r="G883" s="18">
        <v>4</v>
      </c>
      <c r="H883" s="6">
        <v>5</v>
      </c>
      <c r="I883" s="6" t="s">
        <v>319</v>
      </c>
      <c r="J883" s="6" t="s">
        <v>1673</v>
      </c>
      <c r="K883" s="6" t="s">
        <v>1673</v>
      </c>
      <c r="L883" s="6" t="s">
        <v>1673</v>
      </c>
      <c r="M883" s="15" t="s">
        <v>1673</v>
      </c>
      <c r="N883" s="16" t="s">
        <v>1673</v>
      </c>
      <c r="O883" s="17" t="s">
        <v>1673</v>
      </c>
      <c r="P883" s="16" t="s">
        <v>1673</v>
      </c>
      <c r="Q883" s="17" t="s">
        <v>1673</v>
      </c>
    </row>
    <row r="884" spans="1:17" x14ac:dyDescent="0.25">
      <c r="A884" s="20" t="s">
        <v>353</v>
      </c>
      <c r="B884" s="6">
        <v>2</v>
      </c>
      <c r="C884" s="6">
        <v>2</v>
      </c>
      <c r="D884" s="6">
        <v>5</v>
      </c>
      <c r="E884" s="6" t="s">
        <v>355</v>
      </c>
      <c r="F884" s="14" t="s">
        <v>325</v>
      </c>
      <c r="G884" s="18">
        <v>5</v>
      </c>
      <c r="H884" s="6">
        <v>0.5</v>
      </c>
      <c r="I884" s="6" t="s">
        <v>318</v>
      </c>
      <c r="J884" s="20">
        <v>1.1499999999999999</v>
      </c>
      <c r="K884" s="20">
        <v>17.385000000000002</v>
      </c>
      <c r="L884" s="6">
        <v>1</v>
      </c>
      <c r="M884" s="15">
        <v>1.0853333333333335</v>
      </c>
      <c r="N884" s="16">
        <v>62.406666666666666</v>
      </c>
      <c r="O884" s="17">
        <v>943.42600000000004</v>
      </c>
      <c r="P884" s="16">
        <v>624.06666666666683</v>
      </c>
      <c r="Q884" s="17">
        <v>9434.260000000002</v>
      </c>
    </row>
    <row r="885" spans="1:17" x14ac:dyDescent="0.25">
      <c r="A885" s="20" t="s">
        <v>353</v>
      </c>
      <c r="B885" s="6">
        <v>2</v>
      </c>
      <c r="C885" s="6">
        <v>2</v>
      </c>
      <c r="D885" s="6">
        <v>5</v>
      </c>
      <c r="E885" s="6" t="s">
        <v>355</v>
      </c>
      <c r="F885" s="14" t="s">
        <v>325</v>
      </c>
      <c r="G885" s="18">
        <v>5</v>
      </c>
      <c r="H885" s="6">
        <v>0.5</v>
      </c>
      <c r="I885" s="6" t="s">
        <v>319</v>
      </c>
      <c r="J885" s="6" t="s">
        <v>1673</v>
      </c>
      <c r="K885" s="6" t="s">
        <v>1673</v>
      </c>
      <c r="L885" s="6" t="s">
        <v>1673</v>
      </c>
      <c r="M885" s="15" t="s">
        <v>1673</v>
      </c>
      <c r="N885" s="16" t="s">
        <v>1673</v>
      </c>
      <c r="O885" s="17" t="s">
        <v>1673</v>
      </c>
      <c r="P885" s="16" t="s">
        <v>1673</v>
      </c>
      <c r="Q885" s="17" t="s">
        <v>1673</v>
      </c>
    </row>
    <row r="886" spans="1:17" x14ac:dyDescent="0.25">
      <c r="A886" s="20" t="s">
        <v>353</v>
      </c>
      <c r="B886" s="6">
        <v>2</v>
      </c>
      <c r="C886" s="6">
        <v>2</v>
      </c>
      <c r="D886" s="6">
        <v>1</v>
      </c>
      <c r="E886" s="6" t="s">
        <v>316</v>
      </c>
      <c r="F886" s="6" t="s">
        <v>317</v>
      </c>
      <c r="G886" s="19">
        <v>0</v>
      </c>
      <c r="H886" s="6">
        <v>1.5</v>
      </c>
      <c r="I886" s="6" t="s">
        <v>318</v>
      </c>
      <c r="J886" s="20">
        <v>0.90600000000000003</v>
      </c>
      <c r="K886" s="20">
        <v>37.466000000000001</v>
      </c>
      <c r="L886" s="6">
        <v>0</v>
      </c>
      <c r="M886" s="15">
        <v>2.7972027972027972E-2</v>
      </c>
      <c r="N886" s="16">
        <v>3.8013986013986019</v>
      </c>
      <c r="O886" s="17">
        <v>157.20000000000002</v>
      </c>
      <c r="P886" s="16">
        <v>3.8013986013986019</v>
      </c>
      <c r="Q886" s="17">
        <v>157.20000000000002</v>
      </c>
    </row>
    <row r="887" spans="1:17" x14ac:dyDescent="0.25">
      <c r="A887" s="20" t="s">
        <v>353</v>
      </c>
      <c r="B887" s="6">
        <v>2</v>
      </c>
      <c r="C887" s="6">
        <v>2</v>
      </c>
      <c r="D887" s="6">
        <v>1</v>
      </c>
      <c r="E887" s="6" t="s">
        <v>316</v>
      </c>
      <c r="F887" s="6" t="s">
        <v>317</v>
      </c>
      <c r="G887" s="19">
        <v>0</v>
      </c>
      <c r="H887" s="6">
        <v>1.5</v>
      </c>
      <c r="I887" s="6" t="s">
        <v>319</v>
      </c>
      <c r="J887" s="6" t="s">
        <v>1673</v>
      </c>
      <c r="K887" s="6" t="s">
        <v>1673</v>
      </c>
      <c r="L887" s="6" t="s">
        <v>1673</v>
      </c>
      <c r="M887" s="15" t="s">
        <v>1673</v>
      </c>
      <c r="N887" s="16" t="s">
        <v>1673</v>
      </c>
      <c r="O887" s="17" t="s">
        <v>1673</v>
      </c>
      <c r="P887" s="16" t="s">
        <v>1673</v>
      </c>
      <c r="Q887" s="17" t="s">
        <v>1673</v>
      </c>
    </row>
    <row r="888" spans="1:17" x14ac:dyDescent="0.25">
      <c r="A888" s="20" t="s">
        <v>353</v>
      </c>
      <c r="B888" s="6">
        <v>2</v>
      </c>
      <c r="C888" s="6">
        <v>2</v>
      </c>
      <c r="D888" s="6">
        <v>1</v>
      </c>
      <c r="E888" s="6" t="s">
        <v>355</v>
      </c>
      <c r="F888" s="6" t="s">
        <v>320</v>
      </c>
      <c r="G888" s="19">
        <v>1</v>
      </c>
      <c r="H888" s="6">
        <v>5</v>
      </c>
      <c r="I888" s="6" t="s">
        <v>318</v>
      </c>
      <c r="J888" s="20">
        <v>0.88400000000000001</v>
      </c>
      <c r="K888" s="20">
        <v>37.076000000000001</v>
      </c>
      <c r="L888" s="6">
        <v>0</v>
      </c>
      <c r="M888" s="15">
        <v>5.4285714285714284E-2</v>
      </c>
      <c r="N888" s="16">
        <v>23.99428571428572</v>
      </c>
      <c r="O888" s="17">
        <v>1006.3485714285715</v>
      </c>
      <c r="P888" s="16">
        <v>23.994285714285713</v>
      </c>
      <c r="Q888" s="17">
        <v>1006.3485714285714</v>
      </c>
    </row>
    <row r="889" spans="1:17" x14ac:dyDescent="0.25">
      <c r="A889" s="20" t="s">
        <v>353</v>
      </c>
      <c r="B889" s="6">
        <v>2</v>
      </c>
      <c r="C889" s="6">
        <v>2</v>
      </c>
      <c r="D889" s="6">
        <v>1</v>
      </c>
      <c r="E889" s="6" t="s">
        <v>355</v>
      </c>
      <c r="F889" s="6" t="s">
        <v>320</v>
      </c>
      <c r="G889" s="19">
        <v>1</v>
      </c>
      <c r="H889" s="6">
        <v>5</v>
      </c>
      <c r="I889" s="6" t="s">
        <v>319</v>
      </c>
      <c r="J889" s="20">
        <v>0.72399999999999998</v>
      </c>
      <c r="K889" s="20">
        <v>47.027000000000001</v>
      </c>
      <c r="L889" s="6">
        <v>0</v>
      </c>
      <c r="M889" s="15">
        <v>2.2857142857142859E-3</v>
      </c>
      <c r="N889" s="16">
        <v>0.82742857142857151</v>
      </c>
      <c r="O889" s="17">
        <v>53.745142857142859</v>
      </c>
      <c r="P889" s="16">
        <v>0.82742857142857151</v>
      </c>
      <c r="Q889" s="17">
        <v>53.745142857142859</v>
      </c>
    </row>
    <row r="890" spans="1:17" x14ac:dyDescent="0.25">
      <c r="A890" s="20" t="s">
        <v>353</v>
      </c>
      <c r="B890" s="6">
        <v>2</v>
      </c>
      <c r="C890" s="6">
        <v>2</v>
      </c>
      <c r="D890" s="6">
        <v>1</v>
      </c>
      <c r="E890" s="6" t="s">
        <v>355</v>
      </c>
      <c r="F890" s="6" t="s">
        <v>321</v>
      </c>
      <c r="G890" s="19">
        <v>2</v>
      </c>
      <c r="H890" s="6">
        <v>5</v>
      </c>
      <c r="I890" s="6" t="s">
        <v>318</v>
      </c>
      <c r="J890" s="20">
        <v>0.878</v>
      </c>
      <c r="K890" s="20">
        <v>41.453000000000003</v>
      </c>
      <c r="L890" s="6">
        <v>0</v>
      </c>
      <c r="M890" s="15">
        <v>5.7692307692307696E-2</v>
      </c>
      <c r="N890" s="16">
        <v>25.326923076923077</v>
      </c>
      <c r="O890" s="17">
        <v>1195.7596153846155</v>
      </c>
      <c r="P890" s="16">
        <v>25.32692307692308</v>
      </c>
      <c r="Q890" s="17">
        <v>1195.7596153846152</v>
      </c>
    </row>
    <row r="891" spans="1:17" x14ac:dyDescent="0.25">
      <c r="A891" s="20" t="s">
        <v>353</v>
      </c>
      <c r="B891" s="6">
        <v>2</v>
      </c>
      <c r="C891" s="6">
        <v>2</v>
      </c>
      <c r="D891" s="6">
        <v>1</v>
      </c>
      <c r="E891" s="6" t="s">
        <v>355</v>
      </c>
      <c r="F891" s="6" t="s">
        <v>321</v>
      </c>
      <c r="G891" s="19">
        <v>2</v>
      </c>
      <c r="H891" s="6">
        <v>5</v>
      </c>
      <c r="I891" s="6" t="s">
        <v>319</v>
      </c>
      <c r="J891" s="20">
        <v>0.77900000000000003</v>
      </c>
      <c r="K891" s="20">
        <v>50.210999999999999</v>
      </c>
      <c r="L891" s="6">
        <v>0</v>
      </c>
      <c r="M891" s="15">
        <v>2.3076923076923075E-3</v>
      </c>
      <c r="N891" s="16">
        <v>0.89884615384615363</v>
      </c>
      <c r="O891" s="17">
        <v>57.93576923076921</v>
      </c>
      <c r="P891" s="16">
        <v>0.89884615384615374</v>
      </c>
      <c r="Q891" s="17">
        <v>57.935769230769225</v>
      </c>
    </row>
    <row r="892" spans="1:17" x14ac:dyDescent="0.25">
      <c r="A892" s="20" t="s">
        <v>353</v>
      </c>
      <c r="B892" s="6">
        <v>2</v>
      </c>
      <c r="C892" s="6">
        <v>2</v>
      </c>
      <c r="D892" s="6">
        <v>1</v>
      </c>
      <c r="E892" s="6" t="s">
        <v>355</v>
      </c>
      <c r="F892" s="6" t="s">
        <v>322</v>
      </c>
      <c r="G892" s="19">
        <v>3</v>
      </c>
      <c r="H892" s="6">
        <v>3</v>
      </c>
      <c r="I892" s="6" t="s">
        <v>318</v>
      </c>
      <c r="J892" s="20">
        <v>1.2270000000000001</v>
      </c>
      <c r="K892" s="20">
        <v>27.268999999999998</v>
      </c>
      <c r="L892" s="6">
        <v>0</v>
      </c>
      <c r="M892" s="15">
        <v>0.18333333333333332</v>
      </c>
      <c r="N892" s="16">
        <v>67.485000000000014</v>
      </c>
      <c r="O892" s="17">
        <v>1499.7949999999998</v>
      </c>
      <c r="P892" s="16">
        <v>112.47500000000001</v>
      </c>
      <c r="Q892" s="17">
        <v>2499.6583333333328</v>
      </c>
    </row>
    <row r="893" spans="1:17" x14ac:dyDescent="0.25">
      <c r="A893" s="20" t="s">
        <v>353</v>
      </c>
      <c r="B893" s="6">
        <v>2</v>
      </c>
      <c r="C893" s="6">
        <v>2</v>
      </c>
      <c r="D893" s="6">
        <v>1</v>
      </c>
      <c r="E893" s="6" t="s">
        <v>355</v>
      </c>
      <c r="F893" s="6" t="s">
        <v>322</v>
      </c>
      <c r="G893" s="19">
        <v>3</v>
      </c>
      <c r="H893" s="6">
        <v>3</v>
      </c>
      <c r="I893" s="6" t="s">
        <v>319</v>
      </c>
      <c r="J893" s="6" t="s">
        <v>1673</v>
      </c>
      <c r="K893" s="6" t="s">
        <v>1673</v>
      </c>
      <c r="L893" s="6" t="s">
        <v>1673</v>
      </c>
      <c r="M893" s="15" t="s">
        <v>1673</v>
      </c>
      <c r="N893" s="16" t="s">
        <v>1673</v>
      </c>
      <c r="O893" s="17" t="s">
        <v>1673</v>
      </c>
      <c r="P893" s="16" t="s">
        <v>1673</v>
      </c>
      <c r="Q893" s="17" t="s">
        <v>1673</v>
      </c>
    </row>
    <row r="894" spans="1:17" x14ac:dyDescent="0.25">
      <c r="A894" s="20" t="s">
        <v>353</v>
      </c>
      <c r="B894" s="6">
        <v>2</v>
      </c>
      <c r="C894" s="6">
        <v>2</v>
      </c>
      <c r="D894" s="6">
        <v>2</v>
      </c>
      <c r="E894" s="6" t="s">
        <v>316</v>
      </c>
      <c r="F894" s="6" t="s">
        <v>317</v>
      </c>
      <c r="G894" s="19">
        <v>0</v>
      </c>
      <c r="H894" s="6">
        <v>1</v>
      </c>
      <c r="I894" s="6" t="s">
        <v>318</v>
      </c>
      <c r="J894" s="20">
        <v>1.069</v>
      </c>
      <c r="K894" s="20">
        <v>27.474</v>
      </c>
      <c r="L894" s="6">
        <v>0</v>
      </c>
      <c r="M894" s="15">
        <v>7.2000000000000008E-2</v>
      </c>
      <c r="N894" s="16">
        <v>7.6968000000000014</v>
      </c>
      <c r="O894" s="17">
        <v>197.81280000000001</v>
      </c>
      <c r="P894" s="16">
        <v>7.6968000000000014</v>
      </c>
      <c r="Q894" s="17">
        <v>197.81280000000001</v>
      </c>
    </row>
    <row r="895" spans="1:17" x14ac:dyDescent="0.25">
      <c r="A895" s="20" t="s">
        <v>353</v>
      </c>
      <c r="B895" s="6">
        <v>2</v>
      </c>
      <c r="C895" s="6">
        <v>2</v>
      </c>
      <c r="D895" s="6">
        <v>2</v>
      </c>
      <c r="E895" s="6" t="s">
        <v>316</v>
      </c>
      <c r="F895" s="6" t="s">
        <v>317</v>
      </c>
      <c r="G895" s="19">
        <v>0</v>
      </c>
      <c r="H895" s="6">
        <v>1</v>
      </c>
      <c r="I895" s="6" t="s">
        <v>319</v>
      </c>
      <c r="J895" s="6" t="s">
        <v>1673</v>
      </c>
      <c r="K895" s="6" t="s">
        <v>1673</v>
      </c>
      <c r="L895" s="6" t="s">
        <v>1673</v>
      </c>
      <c r="M895" s="15" t="s">
        <v>1673</v>
      </c>
      <c r="N895" s="16" t="s">
        <v>1673</v>
      </c>
      <c r="O895" s="17" t="s">
        <v>1673</v>
      </c>
      <c r="P895" s="16" t="s">
        <v>1673</v>
      </c>
      <c r="Q895" s="17" t="s">
        <v>1673</v>
      </c>
    </row>
    <row r="896" spans="1:17" x14ac:dyDescent="0.25">
      <c r="A896" s="20" t="s">
        <v>353</v>
      </c>
      <c r="B896" s="6">
        <v>2</v>
      </c>
      <c r="C896" s="6">
        <v>2</v>
      </c>
      <c r="D896" s="6">
        <v>2</v>
      </c>
      <c r="E896" s="6" t="s">
        <v>355</v>
      </c>
      <c r="F896" s="6" t="s">
        <v>320</v>
      </c>
      <c r="G896" s="19">
        <v>1</v>
      </c>
      <c r="H896" s="6">
        <v>5</v>
      </c>
      <c r="I896" s="6" t="s">
        <v>318</v>
      </c>
      <c r="J896" s="20">
        <v>1.087</v>
      </c>
      <c r="K896" s="20">
        <v>35.549999999999997</v>
      </c>
      <c r="L896" s="6">
        <v>0</v>
      </c>
      <c r="M896" s="15">
        <v>7.7090909090909085E-2</v>
      </c>
      <c r="N896" s="16">
        <v>41.898909090909086</v>
      </c>
      <c r="O896" s="17">
        <v>1370.2909090909091</v>
      </c>
      <c r="P896" s="16">
        <v>41.898909090909086</v>
      </c>
      <c r="Q896" s="17">
        <v>1370.2909090909088</v>
      </c>
    </row>
    <row r="897" spans="1:17" x14ac:dyDescent="0.25">
      <c r="A897" s="20" t="s">
        <v>353</v>
      </c>
      <c r="B897" s="6">
        <v>2</v>
      </c>
      <c r="C897" s="6">
        <v>2</v>
      </c>
      <c r="D897" s="6">
        <v>2</v>
      </c>
      <c r="E897" s="6" t="s">
        <v>355</v>
      </c>
      <c r="F897" s="6" t="s">
        <v>320</v>
      </c>
      <c r="G897" s="19">
        <v>1</v>
      </c>
      <c r="H897" s="6">
        <v>5</v>
      </c>
      <c r="I897" s="6" t="s">
        <v>319</v>
      </c>
      <c r="J897" s="6" t="s">
        <v>1673</v>
      </c>
      <c r="K897" s="6" t="s">
        <v>1673</v>
      </c>
      <c r="L897" s="6" t="s">
        <v>1673</v>
      </c>
      <c r="M897" s="15" t="s">
        <v>1673</v>
      </c>
      <c r="N897" s="16" t="s">
        <v>1673</v>
      </c>
      <c r="O897" s="17" t="s">
        <v>1673</v>
      </c>
      <c r="P897" s="16" t="s">
        <v>1673</v>
      </c>
      <c r="Q897" s="17" t="s">
        <v>1673</v>
      </c>
    </row>
    <row r="898" spans="1:17" x14ac:dyDescent="0.25">
      <c r="A898" s="20" t="s">
        <v>353</v>
      </c>
      <c r="B898" s="6">
        <v>2</v>
      </c>
      <c r="C898" s="6">
        <v>2</v>
      </c>
      <c r="D898" s="6">
        <v>2</v>
      </c>
      <c r="E898" s="6" t="s">
        <v>355</v>
      </c>
      <c r="F898" s="6" t="s">
        <v>321</v>
      </c>
      <c r="G898" s="19">
        <v>2</v>
      </c>
      <c r="H898" s="6">
        <v>5</v>
      </c>
      <c r="I898" s="6" t="s">
        <v>318</v>
      </c>
      <c r="J898" s="20">
        <v>1.611</v>
      </c>
      <c r="K898" s="20">
        <v>40.619999999999997</v>
      </c>
      <c r="L898" s="6">
        <v>0</v>
      </c>
      <c r="M898" s="15">
        <v>0.10618181818181818</v>
      </c>
      <c r="N898" s="16">
        <v>85.529454545454541</v>
      </c>
      <c r="O898" s="17">
        <v>2156.5527272727268</v>
      </c>
      <c r="P898" s="16">
        <v>85.529454545454541</v>
      </c>
      <c r="Q898" s="17">
        <v>2156.5527272727268</v>
      </c>
    </row>
    <row r="899" spans="1:17" x14ac:dyDescent="0.25">
      <c r="A899" s="20" t="s">
        <v>353</v>
      </c>
      <c r="B899" s="6">
        <v>2</v>
      </c>
      <c r="C899" s="6">
        <v>2</v>
      </c>
      <c r="D899" s="6">
        <v>2</v>
      </c>
      <c r="E899" s="6" t="s">
        <v>355</v>
      </c>
      <c r="F899" s="6" t="s">
        <v>321</v>
      </c>
      <c r="G899" s="19">
        <v>2</v>
      </c>
      <c r="H899" s="6">
        <v>5</v>
      </c>
      <c r="I899" s="6" t="s">
        <v>319</v>
      </c>
      <c r="J899" s="6" t="s">
        <v>1673</v>
      </c>
      <c r="K899" s="6" t="s">
        <v>1673</v>
      </c>
      <c r="L899" s="6" t="s">
        <v>1673</v>
      </c>
      <c r="M899" s="15" t="s">
        <v>1673</v>
      </c>
      <c r="N899" s="16" t="s">
        <v>1673</v>
      </c>
      <c r="O899" s="17" t="s">
        <v>1673</v>
      </c>
      <c r="P899" s="16" t="s">
        <v>1673</v>
      </c>
      <c r="Q899" s="17" t="s">
        <v>1673</v>
      </c>
    </row>
    <row r="900" spans="1:17" x14ac:dyDescent="0.25">
      <c r="A900" s="20" t="s">
        <v>353</v>
      </c>
      <c r="B900" s="6">
        <v>2</v>
      </c>
      <c r="C900" s="6">
        <v>2</v>
      </c>
      <c r="D900" s="6">
        <v>2</v>
      </c>
      <c r="E900" s="6" t="s">
        <v>355</v>
      </c>
      <c r="F900" s="6" t="s">
        <v>322</v>
      </c>
      <c r="G900" s="19">
        <v>3</v>
      </c>
      <c r="H900" s="6">
        <v>5</v>
      </c>
      <c r="I900" s="6" t="s">
        <v>318</v>
      </c>
      <c r="J900" s="20">
        <v>2.1280000000000001</v>
      </c>
      <c r="K900" s="20">
        <v>41.546999999999997</v>
      </c>
      <c r="L900" s="6">
        <v>0</v>
      </c>
      <c r="M900" s="15">
        <v>0.16654545454545452</v>
      </c>
      <c r="N900" s="16">
        <v>177.20436363636361</v>
      </c>
      <c r="O900" s="17">
        <v>3459.7319999999991</v>
      </c>
      <c r="P900" s="16">
        <v>177.20436363636364</v>
      </c>
      <c r="Q900" s="17">
        <v>3459.7319999999986</v>
      </c>
    </row>
    <row r="901" spans="1:17" x14ac:dyDescent="0.25">
      <c r="A901" s="20" t="s">
        <v>353</v>
      </c>
      <c r="B901" s="6">
        <v>2</v>
      </c>
      <c r="C901" s="6">
        <v>2</v>
      </c>
      <c r="D901" s="6">
        <v>2</v>
      </c>
      <c r="E901" s="6" t="s">
        <v>355</v>
      </c>
      <c r="F901" s="6" t="s">
        <v>322</v>
      </c>
      <c r="G901" s="19">
        <v>3</v>
      </c>
      <c r="H901" s="6">
        <v>5</v>
      </c>
      <c r="I901" s="6" t="s">
        <v>319</v>
      </c>
      <c r="J901" s="6" t="s">
        <v>1673</v>
      </c>
      <c r="K901" s="6" t="s">
        <v>1673</v>
      </c>
      <c r="L901" s="6" t="s">
        <v>1673</v>
      </c>
      <c r="M901" s="15" t="s">
        <v>1673</v>
      </c>
      <c r="N901" s="16" t="s">
        <v>1673</v>
      </c>
      <c r="O901" s="17" t="s">
        <v>1673</v>
      </c>
      <c r="P901" s="16" t="s">
        <v>1673</v>
      </c>
      <c r="Q901" s="17" t="s">
        <v>1673</v>
      </c>
    </row>
    <row r="902" spans="1:17" x14ac:dyDescent="0.25">
      <c r="A902" s="20" t="s">
        <v>353</v>
      </c>
      <c r="B902" s="6">
        <v>2</v>
      </c>
      <c r="C902" s="6">
        <v>2</v>
      </c>
      <c r="D902" s="6">
        <v>2</v>
      </c>
      <c r="E902" s="6" t="s">
        <v>355</v>
      </c>
      <c r="F902" s="6" t="s">
        <v>324</v>
      </c>
      <c r="G902" s="19">
        <v>4</v>
      </c>
      <c r="H902" s="6">
        <v>5</v>
      </c>
      <c r="I902" s="6" t="s">
        <v>318</v>
      </c>
      <c r="J902" s="20">
        <v>2.3940000000000001</v>
      </c>
      <c r="K902" s="20">
        <v>41.923000000000002</v>
      </c>
      <c r="L902" s="6">
        <v>0</v>
      </c>
      <c r="M902" s="15">
        <v>0.2</v>
      </c>
      <c r="N902" s="16">
        <v>239.40000000000003</v>
      </c>
      <c r="O902" s="17">
        <v>4192.3</v>
      </c>
      <c r="P902" s="16">
        <v>239.40000000000003</v>
      </c>
      <c r="Q902" s="17">
        <v>4192.3</v>
      </c>
    </row>
    <row r="903" spans="1:17" x14ac:dyDescent="0.25">
      <c r="A903" s="20" t="s">
        <v>353</v>
      </c>
      <c r="B903" s="6">
        <v>2</v>
      </c>
      <c r="C903" s="6">
        <v>2</v>
      </c>
      <c r="D903" s="6">
        <v>2</v>
      </c>
      <c r="E903" s="6" t="s">
        <v>355</v>
      </c>
      <c r="F903" s="6" t="s">
        <v>324</v>
      </c>
      <c r="G903" s="19">
        <v>4</v>
      </c>
      <c r="H903" s="6">
        <v>5</v>
      </c>
      <c r="I903" s="6" t="s">
        <v>319</v>
      </c>
      <c r="J903" s="6" t="s">
        <v>1673</v>
      </c>
      <c r="K903" s="6" t="s">
        <v>1673</v>
      </c>
      <c r="L903" s="6" t="s">
        <v>1673</v>
      </c>
      <c r="M903" s="15" t="s">
        <v>1673</v>
      </c>
      <c r="N903" s="16" t="s">
        <v>1673</v>
      </c>
      <c r="O903" s="17" t="s">
        <v>1673</v>
      </c>
      <c r="P903" s="16" t="s">
        <v>1673</v>
      </c>
      <c r="Q903" s="17" t="s">
        <v>1673</v>
      </c>
    </row>
    <row r="904" spans="1:17" x14ac:dyDescent="0.25">
      <c r="A904" s="20" t="s">
        <v>353</v>
      </c>
      <c r="B904" s="6">
        <v>2</v>
      </c>
      <c r="C904" s="6">
        <v>2</v>
      </c>
      <c r="D904" s="6">
        <v>2</v>
      </c>
      <c r="E904" s="6" t="s">
        <v>355</v>
      </c>
      <c r="F904" s="6" t="s">
        <v>325</v>
      </c>
      <c r="G904" s="19">
        <v>5</v>
      </c>
      <c r="H904" s="6">
        <v>3.5</v>
      </c>
      <c r="I904" s="6" t="s">
        <v>318</v>
      </c>
      <c r="J904" s="20">
        <v>2.5339999999999998</v>
      </c>
      <c r="K904" s="20">
        <v>39.768999999999998</v>
      </c>
      <c r="L904" s="6">
        <v>0</v>
      </c>
      <c r="M904" s="15">
        <v>0.2161038961038961</v>
      </c>
      <c r="N904" s="16">
        <v>191.66254545454544</v>
      </c>
      <c r="O904" s="17">
        <v>3007.9825454545453</v>
      </c>
      <c r="P904" s="16">
        <v>273.80363636363631</v>
      </c>
      <c r="Q904" s="17">
        <v>4297.1179220779213</v>
      </c>
    </row>
    <row r="905" spans="1:17" x14ac:dyDescent="0.25">
      <c r="A905" s="20" t="s">
        <v>353</v>
      </c>
      <c r="B905" s="6">
        <v>2</v>
      </c>
      <c r="C905" s="6">
        <v>2</v>
      </c>
      <c r="D905" s="6">
        <v>2</v>
      </c>
      <c r="E905" s="6" t="s">
        <v>355</v>
      </c>
      <c r="F905" s="6" t="s">
        <v>325</v>
      </c>
      <c r="G905" s="19">
        <v>5</v>
      </c>
      <c r="H905" s="6">
        <v>3.5</v>
      </c>
      <c r="I905" s="6" t="s">
        <v>319</v>
      </c>
      <c r="J905" s="6" t="s">
        <v>1673</v>
      </c>
      <c r="K905" s="6" t="s">
        <v>1673</v>
      </c>
      <c r="L905" s="6" t="s">
        <v>1673</v>
      </c>
      <c r="M905" s="15" t="s">
        <v>1673</v>
      </c>
      <c r="N905" s="16" t="s">
        <v>1673</v>
      </c>
      <c r="O905" s="17" t="s">
        <v>1673</v>
      </c>
      <c r="P905" s="16" t="s">
        <v>1673</v>
      </c>
      <c r="Q905" s="17" t="s">
        <v>1673</v>
      </c>
    </row>
    <row r="906" spans="1:17" x14ac:dyDescent="0.25">
      <c r="A906" s="20" t="s">
        <v>353</v>
      </c>
      <c r="B906" s="6">
        <v>2</v>
      </c>
      <c r="C906" s="6">
        <v>2</v>
      </c>
      <c r="D906" s="6">
        <v>3</v>
      </c>
      <c r="E906" s="6" t="s">
        <v>316</v>
      </c>
      <c r="F906" s="6" t="s">
        <v>317</v>
      </c>
      <c r="G906" s="19">
        <v>0</v>
      </c>
      <c r="H906" s="6">
        <v>3.75</v>
      </c>
      <c r="I906" s="6" t="s">
        <v>318</v>
      </c>
      <c r="J906" s="20">
        <v>1.139</v>
      </c>
      <c r="K906" s="20">
        <v>38.601999999999997</v>
      </c>
      <c r="L906" s="6">
        <v>0</v>
      </c>
      <c r="M906" s="15">
        <v>1.2929292929292929E-2</v>
      </c>
      <c r="N906" s="16">
        <v>5.5224242424242433</v>
      </c>
      <c r="O906" s="17">
        <v>187.16121212121212</v>
      </c>
      <c r="P906" s="16">
        <v>5.5224242424242433</v>
      </c>
      <c r="Q906" s="17">
        <v>187.16121212121212</v>
      </c>
    </row>
    <row r="907" spans="1:17" x14ac:dyDescent="0.25">
      <c r="A907" s="20" t="s">
        <v>353</v>
      </c>
      <c r="B907" s="6">
        <v>2</v>
      </c>
      <c r="C907" s="6">
        <v>2</v>
      </c>
      <c r="D907" s="6">
        <v>3</v>
      </c>
      <c r="E907" s="6" t="s">
        <v>316</v>
      </c>
      <c r="F907" s="6" t="s">
        <v>317</v>
      </c>
      <c r="G907" s="19">
        <v>0</v>
      </c>
      <c r="H907" s="6">
        <v>3.75</v>
      </c>
      <c r="I907" s="6" t="s">
        <v>319</v>
      </c>
      <c r="J907" s="6" t="s">
        <v>1673</v>
      </c>
      <c r="K907" s="6" t="s">
        <v>1673</v>
      </c>
      <c r="L907" s="6" t="s">
        <v>1673</v>
      </c>
      <c r="M907" s="15" t="s">
        <v>1673</v>
      </c>
      <c r="N907" s="16" t="s">
        <v>1673</v>
      </c>
      <c r="O907" s="17" t="s">
        <v>1673</v>
      </c>
      <c r="P907" s="16" t="s">
        <v>1673</v>
      </c>
      <c r="Q907" s="17" t="s">
        <v>1673</v>
      </c>
    </row>
    <row r="908" spans="1:17" x14ac:dyDescent="0.25">
      <c r="A908" s="20" t="s">
        <v>353</v>
      </c>
      <c r="B908" s="6">
        <v>2</v>
      </c>
      <c r="C908" s="6">
        <v>2</v>
      </c>
      <c r="D908" s="6">
        <v>3</v>
      </c>
      <c r="E908" s="6" t="s">
        <v>355</v>
      </c>
      <c r="F908" s="6" t="s">
        <v>320</v>
      </c>
      <c r="G908" s="19">
        <v>1</v>
      </c>
      <c r="H908" s="6">
        <v>5</v>
      </c>
      <c r="I908" s="6" t="s">
        <v>318</v>
      </c>
      <c r="J908" s="20">
        <v>0.74199999999999999</v>
      </c>
      <c r="K908" s="20">
        <v>34.500999999999998</v>
      </c>
      <c r="L908" s="6">
        <v>0</v>
      </c>
      <c r="M908" s="15">
        <v>4.6666666666666669E-2</v>
      </c>
      <c r="N908" s="16">
        <v>17.313333333333333</v>
      </c>
      <c r="O908" s="17">
        <v>805.02333333333331</v>
      </c>
      <c r="P908" s="16">
        <v>17.313333333333333</v>
      </c>
      <c r="Q908" s="17">
        <v>805.02333333333343</v>
      </c>
    </row>
    <row r="909" spans="1:17" x14ac:dyDescent="0.25">
      <c r="A909" s="20" t="s">
        <v>353</v>
      </c>
      <c r="B909" s="6">
        <v>2</v>
      </c>
      <c r="C909" s="6">
        <v>2</v>
      </c>
      <c r="D909" s="6">
        <v>3</v>
      </c>
      <c r="E909" s="6" t="s">
        <v>355</v>
      </c>
      <c r="F909" s="6" t="s">
        <v>320</v>
      </c>
      <c r="G909" s="19">
        <v>1</v>
      </c>
      <c r="H909" s="6">
        <v>5</v>
      </c>
      <c r="I909" s="6" t="s">
        <v>319</v>
      </c>
      <c r="J909" s="20">
        <v>0.79</v>
      </c>
      <c r="K909" s="20">
        <v>50.347000000000001</v>
      </c>
      <c r="L909" s="6">
        <v>0</v>
      </c>
      <c r="M909" s="15">
        <v>1.6666666666666666E-3</v>
      </c>
      <c r="N909" s="16">
        <v>0.65833333333333321</v>
      </c>
      <c r="O909" s="17">
        <v>41.955833333333324</v>
      </c>
      <c r="P909" s="16">
        <v>0.65833333333333344</v>
      </c>
      <c r="Q909" s="17">
        <v>41.955833333333331</v>
      </c>
    </row>
    <row r="910" spans="1:17" x14ac:dyDescent="0.25">
      <c r="A910" s="20" t="s">
        <v>353</v>
      </c>
      <c r="B910" s="6">
        <v>2</v>
      </c>
      <c r="C910" s="6">
        <v>2</v>
      </c>
      <c r="D910" s="6">
        <v>3</v>
      </c>
      <c r="E910" s="6" t="s">
        <v>355</v>
      </c>
      <c r="F910" s="6" t="s">
        <v>321</v>
      </c>
      <c r="G910" s="19">
        <v>2</v>
      </c>
      <c r="H910" s="6">
        <v>5</v>
      </c>
      <c r="I910" s="6" t="s">
        <v>318</v>
      </c>
      <c r="J910" s="20">
        <v>1.0960000000000001</v>
      </c>
      <c r="K910" s="20">
        <v>37.268000000000001</v>
      </c>
      <c r="L910" s="6">
        <v>0</v>
      </c>
      <c r="M910" s="15">
        <v>6.2011834319526622E-2</v>
      </c>
      <c r="N910" s="16">
        <v>33.982485207100595</v>
      </c>
      <c r="O910" s="17">
        <v>1155.5285207100592</v>
      </c>
      <c r="P910" s="16">
        <v>33.982485207100595</v>
      </c>
      <c r="Q910" s="17">
        <v>1155.5285207100592</v>
      </c>
    </row>
    <row r="911" spans="1:17" x14ac:dyDescent="0.25">
      <c r="A911" s="20" t="s">
        <v>353</v>
      </c>
      <c r="B911" s="6">
        <v>2</v>
      </c>
      <c r="C911" s="6">
        <v>2</v>
      </c>
      <c r="D911" s="6">
        <v>3</v>
      </c>
      <c r="E911" s="6" t="s">
        <v>355</v>
      </c>
      <c r="F911" s="6" t="s">
        <v>321</v>
      </c>
      <c r="G911" s="19">
        <v>2</v>
      </c>
      <c r="H911" s="6">
        <v>5</v>
      </c>
      <c r="I911" s="6" t="s">
        <v>319</v>
      </c>
      <c r="J911" s="20">
        <v>0.77100000000000002</v>
      </c>
      <c r="K911" s="20">
        <v>49.636000000000003</v>
      </c>
      <c r="L911" s="6">
        <v>0</v>
      </c>
      <c r="M911" s="15">
        <v>1.8934911242603552E-3</v>
      </c>
      <c r="N911" s="16">
        <v>0.72994082840236685</v>
      </c>
      <c r="O911" s="17">
        <v>46.992662721893495</v>
      </c>
      <c r="P911" s="16">
        <v>0.72994082840236707</v>
      </c>
      <c r="Q911" s="17">
        <v>46.992662721893495</v>
      </c>
    </row>
    <row r="912" spans="1:17" x14ac:dyDescent="0.25">
      <c r="A912" s="20" t="s">
        <v>353</v>
      </c>
      <c r="B912" s="6">
        <v>2</v>
      </c>
      <c r="C912" s="6">
        <v>2</v>
      </c>
      <c r="D912" s="6">
        <v>3</v>
      </c>
      <c r="E912" s="6" t="s">
        <v>355</v>
      </c>
      <c r="F912" s="6" t="s">
        <v>322</v>
      </c>
      <c r="G912" s="19">
        <v>3</v>
      </c>
      <c r="H912" s="6">
        <v>5</v>
      </c>
      <c r="I912" s="6" t="s">
        <v>318</v>
      </c>
      <c r="J912" s="20">
        <v>1.696</v>
      </c>
      <c r="K912" s="20">
        <v>41.155000000000001</v>
      </c>
      <c r="L912" s="6">
        <v>0</v>
      </c>
      <c r="M912" s="15">
        <v>0.11468531468531469</v>
      </c>
      <c r="N912" s="16">
        <v>97.253146853146859</v>
      </c>
      <c r="O912" s="17">
        <v>2359.9370629370633</v>
      </c>
      <c r="P912" s="16">
        <v>97.253146853146859</v>
      </c>
      <c r="Q912" s="17">
        <v>2359.9370629370633</v>
      </c>
    </row>
    <row r="913" spans="1:17" x14ac:dyDescent="0.25">
      <c r="A913" s="20" t="s">
        <v>353</v>
      </c>
      <c r="B913" s="6">
        <v>2</v>
      </c>
      <c r="C913" s="6">
        <v>2</v>
      </c>
      <c r="D913" s="6">
        <v>3</v>
      </c>
      <c r="E913" s="6" t="s">
        <v>355</v>
      </c>
      <c r="F913" s="6" t="s">
        <v>322</v>
      </c>
      <c r="G913" s="19">
        <v>3</v>
      </c>
      <c r="H913" s="6">
        <v>5</v>
      </c>
      <c r="I913" s="6" t="s">
        <v>319</v>
      </c>
      <c r="J913" s="20">
        <v>1.022</v>
      </c>
      <c r="K913" s="20">
        <v>48.073999999999998</v>
      </c>
      <c r="L913" s="6">
        <v>0</v>
      </c>
      <c r="M913" s="15">
        <v>2.2377622377622378E-4</v>
      </c>
      <c r="N913" s="16">
        <v>0.11434965034965036</v>
      </c>
      <c r="O913" s="17">
        <v>5.3789090909090911</v>
      </c>
      <c r="P913" s="16">
        <v>0.11434965034965035</v>
      </c>
      <c r="Q913" s="17">
        <v>5.378909090909092</v>
      </c>
    </row>
    <row r="914" spans="1:17" x14ac:dyDescent="0.25">
      <c r="A914" s="20" t="s">
        <v>353</v>
      </c>
      <c r="B914" s="6">
        <v>2</v>
      </c>
      <c r="C914" s="6">
        <v>2</v>
      </c>
      <c r="D914" s="6">
        <v>3</v>
      </c>
      <c r="E914" s="6" t="s">
        <v>355</v>
      </c>
      <c r="F914" s="6" t="s">
        <v>324</v>
      </c>
      <c r="G914" s="19">
        <v>4</v>
      </c>
      <c r="H914" s="6">
        <v>5</v>
      </c>
      <c r="I914" s="6" t="s">
        <v>318</v>
      </c>
      <c r="J914" s="20">
        <v>2.2080000000000002</v>
      </c>
      <c r="K914" s="20">
        <v>39.901000000000003</v>
      </c>
      <c r="L914" s="6">
        <v>0</v>
      </c>
      <c r="M914" s="15">
        <v>0.14615384615384616</v>
      </c>
      <c r="N914" s="16">
        <v>161.35384615384618</v>
      </c>
      <c r="O914" s="17">
        <v>2915.8423076923082</v>
      </c>
      <c r="P914" s="16">
        <v>161.35384615384618</v>
      </c>
      <c r="Q914" s="17">
        <v>2915.8423076923077</v>
      </c>
    </row>
    <row r="915" spans="1:17" x14ac:dyDescent="0.25">
      <c r="A915" s="20" t="s">
        <v>353</v>
      </c>
      <c r="B915" s="6">
        <v>2</v>
      </c>
      <c r="C915" s="6">
        <v>2</v>
      </c>
      <c r="D915" s="6">
        <v>3</v>
      </c>
      <c r="E915" s="6" t="s">
        <v>355</v>
      </c>
      <c r="F915" s="6" t="s">
        <v>324</v>
      </c>
      <c r="G915" s="19">
        <v>4</v>
      </c>
      <c r="H915" s="6">
        <v>5</v>
      </c>
      <c r="I915" s="6" t="s">
        <v>319</v>
      </c>
      <c r="J915" s="20">
        <v>1.224</v>
      </c>
      <c r="K915" s="20">
        <v>38.308999999999997</v>
      </c>
      <c r="L915" s="6">
        <v>0</v>
      </c>
      <c r="M915" s="15">
        <v>1.0256410256410256E-3</v>
      </c>
      <c r="N915" s="16">
        <v>0.62769230769230766</v>
      </c>
      <c r="O915" s="17">
        <v>19.645641025641027</v>
      </c>
      <c r="P915" s="16">
        <v>0.62769230769230755</v>
      </c>
      <c r="Q915" s="17">
        <v>19.645641025641023</v>
      </c>
    </row>
    <row r="916" spans="1:17" x14ac:dyDescent="0.25">
      <c r="A916" s="20" t="s">
        <v>353</v>
      </c>
      <c r="B916" s="6">
        <v>2</v>
      </c>
      <c r="C916" s="6">
        <v>2</v>
      </c>
      <c r="D916" s="6">
        <v>3</v>
      </c>
      <c r="E916" s="6" t="s">
        <v>355</v>
      </c>
      <c r="F916" s="6" t="s">
        <v>325</v>
      </c>
      <c r="G916" s="19">
        <v>5</v>
      </c>
      <c r="H916" s="6">
        <v>3</v>
      </c>
      <c r="I916" s="6" t="s">
        <v>318</v>
      </c>
      <c r="J916" s="20">
        <v>2.1419999999999999</v>
      </c>
      <c r="K916" s="20">
        <v>40.487000000000002</v>
      </c>
      <c r="L916" s="6">
        <v>0</v>
      </c>
      <c r="M916" s="15">
        <v>0.17962962962962961</v>
      </c>
      <c r="N916" s="16">
        <v>115.42999999999998</v>
      </c>
      <c r="O916" s="17">
        <v>2181.7994444444444</v>
      </c>
      <c r="P916" s="16">
        <v>192.3833333333333</v>
      </c>
      <c r="Q916" s="17">
        <v>3636.3324074074071</v>
      </c>
    </row>
    <row r="917" spans="1:17" x14ac:dyDescent="0.25">
      <c r="A917" s="20" t="s">
        <v>353</v>
      </c>
      <c r="B917" s="6">
        <v>2</v>
      </c>
      <c r="C917" s="6">
        <v>2</v>
      </c>
      <c r="D917" s="6">
        <v>3</v>
      </c>
      <c r="E917" s="6" t="s">
        <v>355</v>
      </c>
      <c r="F917" s="6" t="s">
        <v>325</v>
      </c>
      <c r="G917" s="19">
        <v>5</v>
      </c>
      <c r="H917" s="6">
        <v>3</v>
      </c>
      <c r="I917" s="6" t="s">
        <v>330</v>
      </c>
      <c r="J917" s="6" t="s">
        <v>1673</v>
      </c>
      <c r="K917" s="6" t="s">
        <v>1673</v>
      </c>
      <c r="L917" s="6" t="s">
        <v>1673</v>
      </c>
      <c r="M917" s="15" t="s">
        <v>1673</v>
      </c>
      <c r="N917" s="16" t="s">
        <v>1673</v>
      </c>
      <c r="O917" s="17" t="s">
        <v>1673</v>
      </c>
      <c r="P917" s="16" t="s">
        <v>1673</v>
      </c>
      <c r="Q917" s="17" t="s">
        <v>1673</v>
      </c>
    </row>
    <row r="918" spans="1:17" x14ac:dyDescent="0.25">
      <c r="A918" s="20" t="s">
        <v>353</v>
      </c>
      <c r="B918" s="6">
        <v>3</v>
      </c>
      <c r="C918" s="6">
        <v>3</v>
      </c>
      <c r="D918" s="6">
        <v>4</v>
      </c>
      <c r="E918" s="6" t="s">
        <v>316</v>
      </c>
      <c r="F918" s="21" t="s">
        <v>317</v>
      </c>
      <c r="G918" s="18">
        <v>0</v>
      </c>
      <c r="H918" s="6">
        <v>1.1666666666666667</v>
      </c>
      <c r="I918" s="6" t="s">
        <v>318</v>
      </c>
      <c r="J918" s="20">
        <v>1.0620000000000001</v>
      </c>
      <c r="K918" s="20">
        <v>37.493000000000002</v>
      </c>
      <c r="L918" s="6">
        <v>0</v>
      </c>
      <c r="M918" s="15">
        <v>3.4761904761904758E-2</v>
      </c>
      <c r="N918" s="16">
        <v>4.3070000000000004</v>
      </c>
      <c r="O918" s="17">
        <v>152.05494444444446</v>
      </c>
      <c r="P918" s="16">
        <v>4.3070000000000004</v>
      </c>
      <c r="Q918" s="17">
        <v>152.05494444444446</v>
      </c>
    </row>
    <row r="919" spans="1:17" x14ac:dyDescent="0.25">
      <c r="A919" s="20" t="s">
        <v>353</v>
      </c>
      <c r="B919" s="6">
        <v>3</v>
      </c>
      <c r="C919" s="6">
        <v>3</v>
      </c>
      <c r="D919" s="6">
        <v>4</v>
      </c>
      <c r="E919" s="6" t="s">
        <v>316</v>
      </c>
      <c r="F919" s="21" t="s">
        <v>317</v>
      </c>
      <c r="G919" s="18">
        <v>0</v>
      </c>
      <c r="H919" s="6">
        <v>1.1666666666666667</v>
      </c>
      <c r="I919" s="6" t="s">
        <v>319</v>
      </c>
      <c r="J919" s="6" t="s">
        <v>1673</v>
      </c>
      <c r="K919" s="6" t="s">
        <v>1673</v>
      </c>
      <c r="L919" s="6" t="s">
        <v>1673</v>
      </c>
      <c r="M919" s="15" t="s">
        <v>1673</v>
      </c>
      <c r="N919" s="16" t="s">
        <v>1673</v>
      </c>
      <c r="O919" s="17" t="s">
        <v>1673</v>
      </c>
      <c r="P919" s="16" t="s">
        <v>1673</v>
      </c>
      <c r="Q919" s="17" t="s">
        <v>1673</v>
      </c>
    </row>
    <row r="920" spans="1:17" x14ac:dyDescent="0.25">
      <c r="A920" s="20" t="s">
        <v>353</v>
      </c>
      <c r="B920" s="6">
        <v>3</v>
      </c>
      <c r="C920" s="6">
        <v>3</v>
      </c>
      <c r="D920" s="6">
        <v>4</v>
      </c>
      <c r="E920" s="6" t="s">
        <v>355</v>
      </c>
      <c r="F920" s="14" t="s">
        <v>320</v>
      </c>
      <c r="G920" s="18">
        <v>1</v>
      </c>
      <c r="H920" s="6">
        <v>5</v>
      </c>
      <c r="I920" s="6" t="s">
        <v>318</v>
      </c>
      <c r="J920" s="20">
        <v>1.27</v>
      </c>
      <c r="K920" s="20">
        <v>37.841999999999999</v>
      </c>
      <c r="L920" s="6">
        <v>0</v>
      </c>
      <c r="M920" s="15">
        <v>0.13706666666666664</v>
      </c>
      <c r="N920" s="16">
        <v>87.037333333333308</v>
      </c>
      <c r="O920" s="17">
        <v>2593.4383999999995</v>
      </c>
      <c r="P920" s="16">
        <v>87.037333333333308</v>
      </c>
      <c r="Q920" s="17">
        <v>2593.4383999999995</v>
      </c>
    </row>
    <row r="921" spans="1:17" x14ac:dyDescent="0.25">
      <c r="A921" s="20" t="s">
        <v>353</v>
      </c>
      <c r="B921" s="6">
        <v>3</v>
      </c>
      <c r="C921" s="6">
        <v>3</v>
      </c>
      <c r="D921" s="6">
        <v>4</v>
      </c>
      <c r="E921" s="6" t="s">
        <v>355</v>
      </c>
      <c r="F921" s="14" t="s">
        <v>320</v>
      </c>
      <c r="G921" s="18">
        <v>1</v>
      </c>
      <c r="H921" s="6">
        <v>5</v>
      </c>
      <c r="I921" s="6" t="s">
        <v>319</v>
      </c>
      <c r="J921" s="20">
        <v>0.67800000000000005</v>
      </c>
      <c r="K921" s="20">
        <v>51.027000000000001</v>
      </c>
      <c r="L921" s="6">
        <v>0</v>
      </c>
      <c r="M921" s="15">
        <v>5.1809523809523816E-3</v>
      </c>
      <c r="N921" s="16">
        <v>1.7563428571428576</v>
      </c>
      <c r="O921" s="17">
        <v>132.1842285714286</v>
      </c>
      <c r="P921" s="16">
        <v>1.7563428571428576</v>
      </c>
      <c r="Q921" s="17">
        <v>132.1842285714286</v>
      </c>
    </row>
    <row r="922" spans="1:17" x14ac:dyDescent="0.25">
      <c r="A922" s="20" t="s">
        <v>353</v>
      </c>
      <c r="B922" s="6">
        <v>3</v>
      </c>
      <c r="C922" s="6">
        <v>3</v>
      </c>
      <c r="D922" s="6">
        <v>4</v>
      </c>
      <c r="E922" s="6" t="s">
        <v>355</v>
      </c>
      <c r="F922" s="14" t="s">
        <v>321</v>
      </c>
      <c r="G922" s="18">
        <v>2</v>
      </c>
      <c r="H922" s="6">
        <v>5</v>
      </c>
      <c r="I922" s="6" t="s">
        <v>318</v>
      </c>
      <c r="J922" s="20">
        <v>2.258</v>
      </c>
      <c r="K922" s="20">
        <v>41.514000000000003</v>
      </c>
      <c r="L922" s="6">
        <v>0</v>
      </c>
      <c r="M922" s="15">
        <v>0.18512396694214875</v>
      </c>
      <c r="N922" s="16">
        <v>209.00495867768592</v>
      </c>
      <c r="O922" s="17">
        <v>3842.6181818181813</v>
      </c>
      <c r="P922" s="16">
        <v>209.00495867768592</v>
      </c>
      <c r="Q922" s="17">
        <v>3842.6181818181817</v>
      </c>
    </row>
    <row r="923" spans="1:17" x14ac:dyDescent="0.25">
      <c r="A923" s="20" t="s">
        <v>353</v>
      </c>
      <c r="B923" s="6">
        <v>3</v>
      </c>
      <c r="C923" s="6">
        <v>3</v>
      </c>
      <c r="D923" s="6">
        <v>4</v>
      </c>
      <c r="E923" s="6" t="s">
        <v>355</v>
      </c>
      <c r="F923" s="14" t="s">
        <v>321</v>
      </c>
      <c r="G923" s="18">
        <v>2</v>
      </c>
      <c r="H923" s="6">
        <v>5</v>
      </c>
      <c r="I923" s="6" t="s">
        <v>319</v>
      </c>
      <c r="J923" s="20">
        <v>1.419</v>
      </c>
      <c r="K923" s="20">
        <v>48.777000000000001</v>
      </c>
      <c r="L923" s="6">
        <v>0</v>
      </c>
      <c r="M923" s="15">
        <v>5.223140495867769E-3</v>
      </c>
      <c r="N923" s="16">
        <v>3.7058181818181826</v>
      </c>
      <c r="O923" s="17">
        <v>127.3845619834711</v>
      </c>
      <c r="P923" s="16">
        <v>3.7058181818181821</v>
      </c>
      <c r="Q923" s="17">
        <v>127.3845619834711</v>
      </c>
    </row>
    <row r="924" spans="1:17" x14ac:dyDescent="0.25">
      <c r="A924" s="20" t="s">
        <v>353</v>
      </c>
      <c r="B924" s="6">
        <v>3</v>
      </c>
      <c r="C924" s="6">
        <v>3</v>
      </c>
      <c r="D924" s="6">
        <v>4</v>
      </c>
      <c r="E924" s="6" t="s">
        <v>355</v>
      </c>
      <c r="F924" s="14" t="s">
        <v>322</v>
      </c>
      <c r="G924" s="18">
        <v>3</v>
      </c>
      <c r="H924" s="6">
        <v>3</v>
      </c>
      <c r="I924" s="6" t="s">
        <v>318</v>
      </c>
      <c r="J924" s="20">
        <v>2.367</v>
      </c>
      <c r="K924" s="20">
        <v>41.149000000000001</v>
      </c>
      <c r="L924" s="6">
        <v>0</v>
      </c>
      <c r="M924" s="15">
        <v>0.29925925925925928</v>
      </c>
      <c r="N924" s="16">
        <v>212.50399999999999</v>
      </c>
      <c r="O924" s="17">
        <v>3694.2657777777777</v>
      </c>
      <c r="P924" s="16">
        <v>354.17333333333335</v>
      </c>
      <c r="Q924" s="17">
        <v>6157.1096296296309</v>
      </c>
    </row>
    <row r="925" spans="1:17" x14ac:dyDescent="0.25">
      <c r="A925" s="20" t="s">
        <v>353</v>
      </c>
      <c r="B925" s="6">
        <v>3</v>
      </c>
      <c r="C925" s="6">
        <v>3</v>
      </c>
      <c r="D925" s="6">
        <v>4</v>
      </c>
      <c r="E925" s="6" t="s">
        <v>355</v>
      </c>
      <c r="F925" s="14" t="s">
        <v>322</v>
      </c>
      <c r="G925" s="18">
        <v>3</v>
      </c>
      <c r="H925" s="6">
        <v>3</v>
      </c>
      <c r="I925" s="6" t="s">
        <v>319</v>
      </c>
      <c r="J925" s="6" t="s">
        <v>1673</v>
      </c>
      <c r="K925" s="6" t="s">
        <v>1673</v>
      </c>
      <c r="L925" s="6" t="s">
        <v>1673</v>
      </c>
      <c r="M925" s="15" t="s">
        <v>1673</v>
      </c>
      <c r="N925" s="16" t="s">
        <v>1673</v>
      </c>
      <c r="O925" s="17" t="s">
        <v>1673</v>
      </c>
      <c r="P925" s="16" t="s">
        <v>1673</v>
      </c>
      <c r="Q925" s="17" t="s">
        <v>1673</v>
      </c>
    </row>
    <row r="926" spans="1:17" x14ac:dyDescent="0.25">
      <c r="A926" s="20" t="s">
        <v>353</v>
      </c>
      <c r="B926" s="6">
        <v>3</v>
      </c>
      <c r="C926" s="6">
        <v>3</v>
      </c>
      <c r="D926" s="6">
        <v>4</v>
      </c>
      <c r="E926" s="6" t="s">
        <v>355</v>
      </c>
      <c r="F926" s="14" t="s">
        <v>324</v>
      </c>
      <c r="G926" s="18">
        <v>4</v>
      </c>
      <c r="H926" s="6">
        <v>0</v>
      </c>
      <c r="I926" s="6" t="s">
        <v>318</v>
      </c>
      <c r="J926" s="6" t="s">
        <v>1673</v>
      </c>
      <c r="K926" s="6" t="s">
        <v>1673</v>
      </c>
      <c r="L926" s="6" t="s">
        <v>1673</v>
      </c>
      <c r="M926" s="15" t="s">
        <v>1673</v>
      </c>
      <c r="N926" s="16" t="s">
        <v>1673</v>
      </c>
      <c r="O926" s="17" t="s">
        <v>1673</v>
      </c>
      <c r="P926" s="16" t="s">
        <v>1673</v>
      </c>
      <c r="Q926" s="17" t="s">
        <v>1673</v>
      </c>
    </row>
    <row r="927" spans="1:17" x14ac:dyDescent="0.25">
      <c r="A927" s="20" t="s">
        <v>353</v>
      </c>
      <c r="B927" s="6">
        <v>3</v>
      </c>
      <c r="C927" s="6">
        <v>3</v>
      </c>
      <c r="D927" s="6">
        <v>4</v>
      </c>
      <c r="E927" s="6" t="s">
        <v>355</v>
      </c>
      <c r="F927" s="14" t="s">
        <v>324</v>
      </c>
      <c r="G927" s="18">
        <v>4</v>
      </c>
      <c r="H927" s="6">
        <v>0</v>
      </c>
      <c r="I927" s="6" t="s">
        <v>319</v>
      </c>
      <c r="J927" s="6" t="s">
        <v>1673</v>
      </c>
      <c r="K927" s="6" t="s">
        <v>1673</v>
      </c>
      <c r="L927" s="6" t="s">
        <v>1673</v>
      </c>
      <c r="M927" s="15" t="s">
        <v>1673</v>
      </c>
      <c r="N927" s="16" t="s">
        <v>1673</v>
      </c>
      <c r="O927" s="17" t="s">
        <v>1673</v>
      </c>
      <c r="P927" s="16" t="s">
        <v>1673</v>
      </c>
      <c r="Q927" s="17" t="s">
        <v>1673</v>
      </c>
    </row>
    <row r="928" spans="1:17" x14ac:dyDescent="0.25">
      <c r="A928" s="20" t="s">
        <v>353</v>
      </c>
      <c r="B928" s="6">
        <v>3</v>
      </c>
      <c r="C928" s="6">
        <v>3</v>
      </c>
      <c r="D928" s="6">
        <v>5</v>
      </c>
      <c r="E928" s="6" t="s">
        <v>316</v>
      </c>
      <c r="F928" s="21" t="s">
        <v>317</v>
      </c>
      <c r="G928" s="18">
        <v>0</v>
      </c>
      <c r="H928" s="6">
        <v>1.833</v>
      </c>
      <c r="I928" s="6" t="s">
        <v>318</v>
      </c>
      <c r="J928" s="20">
        <v>1.1040000000000001</v>
      </c>
      <c r="K928" s="20">
        <v>41.86</v>
      </c>
      <c r="L928" s="6">
        <v>0</v>
      </c>
      <c r="M928" s="15">
        <v>3.218767048554283E-2</v>
      </c>
      <c r="N928" s="16">
        <v>6.5136000000000003</v>
      </c>
      <c r="O928" s="17">
        <v>246.97399999999999</v>
      </c>
      <c r="P928" s="16">
        <v>6.5136000000000003</v>
      </c>
      <c r="Q928" s="17">
        <v>246.97399999999999</v>
      </c>
    </row>
    <row r="929" spans="1:17" x14ac:dyDescent="0.25">
      <c r="A929" s="20" t="s">
        <v>353</v>
      </c>
      <c r="B929" s="6">
        <v>3</v>
      </c>
      <c r="C929" s="6">
        <v>3</v>
      </c>
      <c r="D929" s="6">
        <v>5</v>
      </c>
      <c r="E929" s="6" t="s">
        <v>316</v>
      </c>
      <c r="F929" s="21" t="s">
        <v>317</v>
      </c>
      <c r="G929" s="18">
        <v>0</v>
      </c>
      <c r="H929" s="6">
        <v>1.833</v>
      </c>
      <c r="I929" s="6" t="s">
        <v>319</v>
      </c>
      <c r="J929" s="6" t="s">
        <v>1673</v>
      </c>
      <c r="K929" s="6" t="s">
        <v>1673</v>
      </c>
      <c r="L929" s="6" t="s">
        <v>1673</v>
      </c>
      <c r="M929" s="15" t="s">
        <v>1673</v>
      </c>
      <c r="N929" s="16" t="s">
        <v>1673</v>
      </c>
      <c r="O929" s="17" t="s">
        <v>1673</v>
      </c>
      <c r="P929" s="16" t="s">
        <v>1673</v>
      </c>
      <c r="Q929" s="17" t="s">
        <v>1673</v>
      </c>
    </row>
    <row r="930" spans="1:17" x14ac:dyDescent="0.25">
      <c r="A930" s="20" t="s">
        <v>353</v>
      </c>
      <c r="B930" s="6">
        <v>3</v>
      </c>
      <c r="C930" s="6">
        <v>3</v>
      </c>
      <c r="D930" s="6">
        <v>5</v>
      </c>
      <c r="E930" s="6" t="s">
        <v>355</v>
      </c>
      <c r="F930" s="14" t="s">
        <v>320</v>
      </c>
      <c r="G930" s="18">
        <v>1</v>
      </c>
      <c r="H930" s="6">
        <v>5</v>
      </c>
      <c r="I930" s="6" t="s">
        <v>318</v>
      </c>
      <c r="J930" s="20">
        <v>1.161</v>
      </c>
      <c r="K930" s="20">
        <v>36.591000000000001</v>
      </c>
      <c r="L930" s="6">
        <v>0</v>
      </c>
      <c r="M930" s="15">
        <v>8.062222222222222E-2</v>
      </c>
      <c r="N930" s="16">
        <v>46.801200000000001</v>
      </c>
      <c r="O930" s="17">
        <v>1475.0238666666667</v>
      </c>
      <c r="P930" s="16">
        <v>46.801200000000001</v>
      </c>
      <c r="Q930" s="17">
        <v>1475.0238666666664</v>
      </c>
    </row>
    <row r="931" spans="1:17" x14ac:dyDescent="0.25">
      <c r="A931" s="20" t="s">
        <v>353</v>
      </c>
      <c r="B931" s="6">
        <v>3</v>
      </c>
      <c r="C931" s="6">
        <v>3</v>
      </c>
      <c r="D931" s="6">
        <v>5</v>
      </c>
      <c r="E931" s="6" t="s">
        <v>355</v>
      </c>
      <c r="F931" s="14" t="s">
        <v>320</v>
      </c>
      <c r="G931" s="18">
        <v>1</v>
      </c>
      <c r="H931" s="6">
        <v>5</v>
      </c>
      <c r="I931" s="6" t="s">
        <v>319</v>
      </c>
      <c r="J931" s="20">
        <v>0.78600000000000003</v>
      </c>
      <c r="K931" s="20">
        <v>49.212000000000003</v>
      </c>
      <c r="L931" s="6">
        <v>0</v>
      </c>
      <c r="M931" s="15">
        <v>7.0222222222222222E-3</v>
      </c>
      <c r="N931" s="16">
        <v>2.759733333333334</v>
      </c>
      <c r="O931" s="17">
        <v>172.78880000000004</v>
      </c>
      <c r="P931" s="16">
        <v>2.7597333333333336</v>
      </c>
      <c r="Q931" s="17">
        <v>172.78880000000004</v>
      </c>
    </row>
    <row r="932" spans="1:17" x14ac:dyDescent="0.25">
      <c r="A932" s="20" t="s">
        <v>353</v>
      </c>
      <c r="B932" s="6">
        <v>3</v>
      </c>
      <c r="C932" s="6">
        <v>3</v>
      </c>
      <c r="D932" s="6">
        <v>5</v>
      </c>
      <c r="E932" s="6" t="s">
        <v>355</v>
      </c>
      <c r="F932" s="14" t="s">
        <v>321</v>
      </c>
      <c r="G932" s="18">
        <v>2</v>
      </c>
      <c r="H932" s="6">
        <v>5</v>
      </c>
      <c r="I932" s="6" t="s">
        <v>318</v>
      </c>
      <c r="J932" s="20">
        <v>1.2889999999999999</v>
      </c>
      <c r="K932" s="20">
        <v>43.904000000000003</v>
      </c>
      <c r="L932" s="6">
        <v>0</v>
      </c>
      <c r="M932" s="15">
        <v>6.7153846153846161E-2</v>
      </c>
      <c r="N932" s="16">
        <v>43.280653846153854</v>
      </c>
      <c r="O932" s="17">
        <v>1474.1612307692312</v>
      </c>
      <c r="P932" s="16">
        <v>43.280653846153847</v>
      </c>
      <c r="Q932" s="17">
        <v>1474.1612307692312</v>
      </c>
    </row>
    <row r="933" spans="1:17" x14ac:dyDescent="0.25">
      <c r="A933" s="20" t="s">
        <v>353</v>
      </c>
      <c r="B933" s="6">
        <v>3</v>
      </c>
      <c r="C933" s="6">
        <v>3</v>
      </c>
      <c r="D933" s="6">
        <v>5</v>
      </c>
      <c r="E933" s="6" t="s">
        <v>355</v>
      </c>
      <c r="F933" s="14" t="s">
        <v>321</v>
      </c>
      <c r="G933" s="18">
        <v>2</v>
      </c>
      <c r="H933" s="6">
        <v>5</v>
      </c>
      <c r="I933" s="6" t="s">
        <v>319</v>
      </c>
      <c r="J933" s="20">
        <v>0.79200000000000004</v>
      </c>
      <c r="K933" s="20">
        <v>51.494999999999997</v>
      </c>
      <c r="L933" s="6">
        <v>0</v>
      </c>
      <c r="M933" s="15">
        <v>1.3615384615384616E-2</v>
      </c>
      <c r="N933" s="16">
        <v>5.391692307692308</v>
      </c>
      <c r="O933" s="17">
        <v>350.56211538461542</v>
      </c>
      <c r="P933" s="16">
        <v>5.391692307692308</v>
      </c>
      <c r="Q933" s="17">
        <v>350.56211538461537</v>
      </c>
    </row>
    <row r="934" spans="1:17" x14ac:dyDescent="0.25">
      <c r="A934" s="20" t="s">
        <v>353</v>
      </c>
      <c r="B934" s="6">
        <v>3</v>
      </c>
      <c r="C934" s="6">
        <v>3</v>
      </c>
      <c r="D934" s="6">
        <v>5</v>
      </c>
      <c r="E934" s="6" t="s">
        <v>355</v>
      </c>
      <c r="F934" s="14" t="s">
        <v>322</v>
      </c>
      <c r="G934" s="18">
        <v>3</v>
      </c>
      <c r="H934" s="6">
        <v>5</v>
      </c>
      <c r="I934" s="6" t="s">
        <v>318</v>
      </c>
      <c r="J934" s="20">
        <v>1.7529999999999999</v>
      </c>
      <c r="K934" s="20">
        <v>43.093000000000004</v>
      </c>
      <c r="L934" s="6">
        <v>0</v>
      </c>
      <c r="M934" s="15">
        <v>0.13010909090909092</v>
      </c>
      <c r="N934" s="16">
        <v>114.04061818181819</v>
      </c>
      <c r="O934" s="17">
        <v>2803.3955272727276</v>
      </c>
      <c r="P934" s="16">
        <v>114.0406181818182</v>
      </c>
      <c r="Q934" s="17">
        <v>2803.395527272728</v>
      </c>
    </row>
    <row r="935" spans="1:17" x14ac:dyDescent="0.25">
      <c r="A935" s="20" t="s">
        <v>353</v>
      </c>
      <c r="B935" s="6">
        <v>3</v>
      </c>
      <c r="C935" s="6">
        <v>3</v>
      </c>
      <c r="D935" s="6">
        <v>5</v>
      </c>
      <c r="E935" s="6" t="s">
        <v>355</v>
      </c>
      <c r="F935" s="14" t="s">
        <v>322</v>
      </c>
      <c r="G935" s="18">
        <v>3</v>
      </c>
      <c r="H935" s="6">
        <v>5</v>
      </c>
      <c r="I935" s="6" t="s">
        <v>319</v>
      </c>
      <c r="J935" s="6" t="s">
        <v>1673</v>
      </c>
      <c r="K935" s="6" t="s">
        <v>1673</v>
      </c>
      <c r="L935" s="6" t="s">
        <v>1673</v>
      </c>
      <c r="M935" s="15" t="s">
        <v>1673</v>
      </c>
      <c r="N935" s="16" t="s">
        <v>1673</v>
      </c>
      <c r="O935" s="17" t="s">
        <v>1673</v>
      </c>
      <c r="P935" s="16" t="s">
        <v>1673</v>
      </c>
      <c r="Q935" s="17" t="s">
        <v>1673</v>
      </c>
    </row>
    <row r="936" spans="1:17" x14ac:dyDescent="0.25">
      <c r="A936" s="20" t="s">
        <v>353</v>
      </c>
      <c r="B936" s="6">
        <v>3</v>
      </c>
      <c r="C936" s="6">
        <v>3</v>
      </c>
      <c r="D936" s="6">
        <v>5</v>
      </c>
      <c r="E936" s="6" t="s">
        <v>355</v>
      </c>
      <c r="F936" s="14" t="s">
        <v>324</v>
      </c>
      <c r="G936" s="18">
        <v>4</v>
      </c>
      <c r="H936" s="6">
        <v>5</v>
      </c>
      <c r="I936" s="6" t="s">
        <v>318</v>
      </c>
      <c r="J936" s="20">
        <v>2.3860000000000001</v>
      </c>
      <c r="K936" s="20">
        <v>44.64</v>
      </c>
      <c r="L936" s="6">
        <v>0</v>
      </c>
      <c r="M936" s="15">
        <v>0.17577622377622379</v>
      </c>
      <c r="N936" s="16">
        <v>209.70103496503498</v>
      </c>
      <c r="O936" s="17">
        <v>3923.3253146853149</v>
      </c>
      <c r="P936" s="16">
        <v>209.70103496503501</v>
      </c>
      <c r="Q936" s="17">
        <v>3923.3253146853153</v>
      </c>
    </row>
    <row r="937" spans="1:17" x14ac:dyDescent="0.25">
      <c r="A937" s="20" t="s">
        <v>353</v>
      </c>
      <c r="B937" s="6">
        <v>3</v>
      </c>
      <c r="C937" s="6">
        <v>3</v>
      </c>
      <c r="D937" s="6">
        <v>5</v>
      </c>
      <c r="E937" s="6" t="s">
        <v>355</v>
      </c>
      <c r="F937" s="14" t="s">
        <v>324</v>
      </c>
      <c r="G937" s="18">
        <v>4</v>
      </c>
      <c r="H937" s="6">
        <v>5</v>
      </c>
      <c r="I937" s="6" t="s">
        <v>319</v>
      </c>
      <c r="J937" s="6" t="s">
        <v>1673</v>
      </c>
      <c r="K937" s="6" t="s">
        <v>1673</v>
      </c>
      <c r="L937" s="6" t="s">
        <v>1673</v>
      </c>
      <c r="M937" s="15" t="s">
        <v>1673</v>
      </c>
      <c r="N937" s="16" t="s">
        <v>1673</v>
      </c>
      <c r="O937" s="17" t="s">
        <v>1673</v>
      </c>
      <c r="P937" s="16" t="s">
        <v>1673</v>
      </c>
      <c r="Q937" s="17" t="s">
        <v>1673</v>
      </c>
    </row>
    <row r="938" spans="1:17" x14ac:dyDescent="0.25">
      <c r="A938" s="20" t="s">
        <v>353</v>
      </c>
      <c r="B938" s="6">
        <v>3</v>
      </c>
      <c r="C938" s="6">
        <v>3</v>
      </c>
      <c r="D938" s="6">
        <v>5</v>
      </c>
      <c r="E938" s="6" t="s">
        <v>355</v>
      </c>
      <c r="F938" s="14" t="s">
        <v>325</v>
      </c>
      <c r="G938" s="18">
        <v>5</v>
      </c>
      <c r="H938" s="6">
        <v>2</v>
      </c>
      <c r="I938" s="6" t="s">
        <v>318</v>
      </c>
      <c r="J938" s="20">
        <v>2.2959999999999998</v>
      </c>
      <c r="K938" s="20">
        <v>42.731000000000002</v>
      </c>
      <c r="L938" s="6">
        <v>0</v>
      </c>
      <c r="M938" s="15">
        <v>0.15321428571428572</v>
      </c>
      <c r="N938" s="16">
        <v>70.355999999999995</v>
      </c>
      <c r="O938" s="17">
        <v>1309.3999285714285</v>
      </c>
      <c r="P938" s="16">
        <v>175.89000000000001</v>
      </c>
      <c r="Q938" s="17">
        <v>3273.4998214285715</v>
      </c>
    </row>
    <row r="939" spans="1:17" x14ac:dyDescent="0.25">
      <c r="A939" s="20" t="s">
        <v>353</v>
      </c>
      <c r="B939" s="6">
        <v>3</v>
      </c>
      <c r="C939" s="6">
        <v>3</v>
      </c>
      <c r="D939" s="6">
        <v>5</v>
      </c>
      <c r="E939" s="6" t="s">
        <v>355</v>
      </c>
      <c r="F939" s="14" t="s">
        <v>325</v>
      </c>
      <c r="G939" s="18">
        <v>5</v>
      </c>
      <c r="H939" s="6">
        <v>2</v>
      </c>
      <c r="I939" s="6" t="s">
        <v>319</v>
      </c>
      <c r="J939" s="6" t="s">
        <v>1673</v>
      </c>
      <c r="K939" s="6" t="s">
        <v>1673</v>
      </c>
      <c r="L939" s="6" t="s">
        <v>1673</v>
      </c>
      <c r="M939" s="15" t="s">
        <v>1673</v>
      </c>
      <c r="N939" s="16" t="s">
        <v>1673</v>
      </c>
      <c r="O939" s="17" t="s">
        <v>1673</v>
      </c>
      <c r="P939" s="16" t="s">
        <v>1673</v>
      </c>
      <c r="Q939" s="17" t="s">
        <v>1673</v>
      </c>
    </row>
    <row r="940" spans="1:17" x14ac:dyDescent="0.25">
      <c r="A940" s="20" t="s">
        <v>353</v>
      </c>
      <c r="B940" s="6">
        <v>3</v>
      </c>
      <c r="C940" s="6">
        <v>3</v>
      </c>
      <c r="D940" s="6">
        <v>1</v>
      </c>
      <c r="E940" s="6" t="s">
        <v>316</v>
      </c>
      <c r="F940" s="6" t="s">
        <v>317</v>
      </c>
      <c r="G940" s="19">
        <v>0</v>
      </c>
      <c r="H940" s="6">
        <v>1</v>
      </c>
      <c r="I940" s="6" t="s">
        <v>318</v>
      </c>
      <c r="J940" s="20">
        <v>1.347</v>
      </c>
      <c r="K940" s="20">
        <v>38.253</v>
      </c>
      <c r="L940" s="6">
        <v>0</v>
      </c>
      <c r="M940" s="15">
        <v>1.1428571428571429E-2</v>
      </c>
      <c r="N940" s="16">
        <v>1.5394285714285714</v>
      </c>
      <c r="O940" s="17">
        <v>43.717714285714287</v>
      </c>
      <c r="P940" s="16">
        <v>1.5394285714285714</v>
      </c>
      <c r="Q940" s="17">
        <v>43.717714285714287</v>
      </c>
    </row>
    <row r="941" spans="1:17" x14ac:dyDescent="0.25">
      <c r="A941" s="20" t="s">
        <v>353</v>
      </c>
      <c r="B941" s="6">
        <v>3</v>
      </c>
      <c r="C941" s="6">
        <v>3</v>
      </c>
      <c r="D941" s="6">
        <v>1</v>
      </c>
      <c r="E941" s="6" t="s">
        <v>316</v>
      </c>
      <c r="F941" s="6" t="s">
        <v>317</v>
      </c>
      <c r="G941" s="19">
        <v>0</v>
      </c>
      <c r="H941" s="6">
        <v>1</v>
      </c>
      <c r="I941" s="6" t="s">
        <v>319</v>
      </c>
      <c r="J941" s="6" t="s">
        <v>1673</v>
      </c>
      <c r="K941" s="6" t="s">
        <v>1673</v>
      </c>
      <c r="L941" s="6" t="s">
        <v>1673</v>
      </c>
      <c r="M941" s="15" t="s">
        <v>1673</v>
      </c>
      <c r="N941" s="16" t="s">
        <v>1673</v>
      </c>
      <c r="O941" s="17" t="s">
        <v>1673</v>
      </c>
      <c r="P941" s="16" t="s">
        <v>1673</v>
      </c>
      <c r="Q941" s="17" t="s">
        <v>1673</v>
      </c>
    </row>
    <row r="942" spans="1:17" x14ac:dyDescent="0.25">
      <c r="A942" s="20" t="s">
        <v>353</v>
      </c>
      <c r="B942" s="6">
        <v>3</v>
      </c>
      <c r="C942" s="6">
        <v>3</v>
      </c>
      <c r="D942" s="6">
        <v>1</v>
      </c>
      <c r="E942" s="6" t="s">
        <v>355</v>
      </c>
      <c r="F942" s="6" t="s">
        <v>320</v>
      </c>
      <c r="G942" s="19">
        <v>1</v>
      </c>
      <c r="H942" s="6">
        <v>5</v>
      </c>
      <c r="I942" s="6" t="s">
        <v>318</v>
      </c>
      <c r="J942" s="20">
        <v>0.86599999999999999</v>
      </c>
      <c r="K942" s="20">
        <v>26.26</v>
      </c>
      <c r="L942" s="6">
        <v>0</v>
      </c>
      <c r="M942" s="15">
        <v>6.1666666666666668E-2</v>
      </c>
      <c r="N942" s="16">
        <v>26.701666666666661</v>
      </c>
      <c r="O942" s="17">
        <v>809.68333333333328</v>
      </c>
      <c r="P942" s="16">
        <v>26.701666666666664</v>
      </c>
      <c r="Q942" s="17">
        <v>809.68333333333339</v>
      </c>
    </row>
    <row r="943" spans="1:17" x14ac:dyDescent="0.25">
      <c r="A943" s="20" t="s">
        <v>353</v>
      </c>
      <c r="B943" s="6">
        <v>3</v>
      </c>
      <c r="C943" s="6">
        <v>3</v>
      </c>
      <c r="D943" s="6">
        <v>1</v>
      </c>
      <c r="E943" s="6" t="s">
        <v>355</v>
      </c>
      <c r="F943" s="6" t="s">
        <v>320</v>
      </c>
      <c r="G943" s="19">
        <v>1</v>
      </c>
      <c r="H943" s="6">
        <v>5</v>
      </c>
      <c r="I943" s="6" t="s">
        <v>319</v>
      </c>
      <c r="J943" s="6" t="s">
        <v>1673</v>
      </c>
      <c r="K943" s="6" t="s">
        <v>1673</v>
      </c>
      <c r="L943" s="6" t="s">
        <v>1673</v>
      </c>
      <c r="M943" s="15" t="s">
        <v>1673</v>
      </c>
      <c r="N943" s="16" t="s">
        <v>1673</v>
      </c>
      <c r="O943" s="17" t="s">
        <v>1673</v>
      </c>
      <c r="P943" s="16" t="s">
        <v>1673</v>
      </c>
      <c r="Q943" s="17" t="s">
        <v>1673</v>
      </c>
    </row>
    <row r="944" spans="1:17" x14ac:dyDescent="0.25">
      <c r="A944" s="20" t="s">
        <v>353</v>
      </c>
      <c r="B944" s="6">
        <v>3</v>
      </c>
      <c r="C944" s="6">
        <v>3</v>
      </c>
      <c r="D944" s="6">
        <v>1</v>
      </c>
      <c r="E944" s="6" t="s">
        <v>355</v>
      </c>
      <c r="F944" s="6" t="s">
        <v>321</v>
      </c>
      <c r="G944" s="19">
        <v>2</v>
      </c>
      <c r="H944" s="6">
        <v>5</v>
      </c>
      <c r="I944" s="6" t="s">
        <v>318</v>
      </c>
      <c r="J944" s="20">
        <v>1.129</v>
      </c>
      <c r="K944" s="20">
        <v>32.677</v>
      </c>
      <c r="L944" s="6">
        <v>0</v>
      </c>
      <c r="M944" s="15">
        <v>8.1666666666666679E-2</v>
      </c>
      <c r="N944" s="16">
        <v>46.100833333333341</v>
      </c>
      <c r="O944" s="17">
        <v>1334.3108333333334</v>
      </c>
      <c r="P944" s="16">
        <v>46.100833333333341</v>
      </c>
      <c r="Q944" s="17">
        <v>1334.3108333333337</v>
      </c>
    </row>
    <row r="945" spans="1:17" x14ac:dyDescent="0.25">
      <c r="A945" s="20" t="s">
        <v>353</v>
      </c>
      <c r="B945" s="6">
        <v>3</v>
      </c>
      <c r="C945" s="6">
        <v>3</v>
      </c>
      <c r="D945" s="6">
        <v>1</v>
      </c>
      <c r="E945" s="6" t="s">
        <v>355</v>
      </c>
      <c r="F945" s="6" t="s">
        <v>321</v>
      </c>
      <c r="G945" s="19">
        <v>2</v>
      </c>
      <c r="H945" s="6">
        <v>5</v>
      </c>
      <c r="I945" s="6" t="s">
        <v>319</v>
      </c>
      <c r="J945" s="20">
        <v>1.2130000000000001</v>
      </c>
      <c r="K945" s="20">
        <v>45.832000000000001</v>
      </c>
      <c r="L945" s="6">
        <v>0</v>
      </c>
      <c r="M945" s="15">
        <v>4.1666666666666666E-3</v>
      </c>
      <c r="N945" s="16">
        <v>2.5270833333333331</v>
      </c>
      <c r="O945" s="17">
        <v>95.48333333333332</v>
      </c>
      <c r="P945" s="16">
        <v>2.5270833333333331</v>
      </c>
      <c r="Q945" s="17">
        <v>95.48333333333332</v>
      </c>
    </row>
    <row r="946" spans="1:17" x14ac:dyDescent="0.25">
      <c r="A946" s="20" t="s">
        <v>353</v>
      </c>
      <c r="B946" s="6">
        <v>3</v>
      </c>
      <c r="C946" s="6">
        <v>3</v>
      </c>
      <c r="D946" s="6">
        <v>1</v>
      </c>
      <c r="E946" s="6" t="s">
        <v>355</v>
      </c>
      <c r="F946" s="6" t="s">
        <v>322</v>
      </c>
      <c r="G946" s="19">
        <v>3</v>
      </c>
      <c r="H946" s="6">
        <v>5</v>
      </c>
      <c r="I946" s="6" t="s">
        <v>318</v>
      </c>
      <c r="J946" s="20">
        <v>1.675</v>
      </c>
      <c r="K946" s="20">
        <v>38.017000000000003</v>
      </c>
      <c r="L946" s="6">
        <v>0</v>
      </c>
      <c r="M946" s="15">
        <v>0.13750000000000001</v>
      </c>
      <c r="N946" s="16">
        <v>115.15625</v>
      </c>
      <c r="O946" s="17">
        <v>2613.6687500000003</v>
      </c>
      <c r="P946" s="16">
        <v>115.15625000000001</v>
      </c>
      <c r="Q946" s="17">
        <v>2613.6687500000007</v>
      </c>
    </row>
    <row r="947" spans="1:17" x14ac:dyDescent="0.25">
      <c r="A947" s="20" t="s">
        <v>353</v>
      </c>
      <c r="B947" s="6">
        <v>3</v>
      </c>
      <c r="C947" s="6">
        <v>3</v>
      </c>
      <c r="D947" s="6">
        <v>1</v>
      </c>
      <c r="E947" s="6" t="s">
        <v>355</v>
      </c>
      <c r="F947" s="6" t="s">
        <v>322</v>
      </c>
      <c r="G947" s="19">
        <v>3</v>
      </c>
      <c r="H947" s="6">
        <v>5</v>
      </c>
      <c r="I947" s="6" t="s">
        <v>319</v>
      </c>
      <c r="J947" s="6" t="s">
        <v>1673</v>
      </c>
      <c r="K947" s="6" t="s">
        <v>1673</v>
      </c>
      <c r="L947" s="6" t="s">
        <v>1673</v>
      </c>
      <c r="M947" s="15" t="s">
        <v>1673</v>
      </c>
      <c r="N947" s="16" t="s">
        <v>1673</v>
      </c>
      <c r="O947" s="17" t="s">
        <v>1673</v>
      </c>
      <c r="P947" s="16" t="s">
        <v>1673</v>
      </c>
      <c r="Q947" s="17" t="s">
        <v>1673</v>
      </c>
    </row>
    <row r="948" spans="1:17" x14ac:dyDescent="0.25">
      <c r="A948" s="20" t="s">
        <v>353</v>
      </c>
      <c r="B948" s="6">
        <v>3</v>
      </c>
      <c r="C948" s="6">
        <v>3</v>
      </c>
      <c r="D948" s="6">
        <v>1</v>
      </c>
      <c r="E948" s="6" t="s">
        <v>355</v>
      </c>
      <c r="F948" s="6" t="s">
        <v>324</v>
      </c>
      <c r="G948" s="19">
        <v>4</v>
      </c>
      <c r="H948" s="6">
        <v>5</v>
      </c>
      <c r="I948" s="6" t="s">
        <v>318</v>
      </c>
      <c r="J948" s="20">
        <v>2.4369999999999998</v>
      </c>
      <c r="K948" s="20">
        <v>42.737000000000002</v>
      </c>
      <c r="L948" s="6">
        <v>0</v>
      </c>
      <c r="M948" s="15">
        <v>0.17333333333333334</v>
      </c>
      <c r="N948" s="16">
        <v>211.20666666666668</v>
      </c>
      <c r="O948" s="17">
        <v>3703.8733333333339</v>
      </c>
      <c r="P948" s="16">
        <v>211.20666666666665</v>
      </c>
      <c r="Q948" s="17">
        <v>3703.8733333333334</v>
      </c>
    </row>
    <row r="949" spans="1:17" x14ac:dyDescent="0.25">
      <c r="A949" s="20" t="s">
        <v>353</v>
      </c>
      <c r="B949" s="6">
        <v>3</v>
      </c>
      <c r="C949" s="6">
        <v>3</v>
      </c>
      <c r="D949" s="6">
        <v>1</v>
      </c>
      <c r="E949" s="6" t="s">
        <v>355</v>
      </c>
      <c r="F949" s="6" t="s">
        <v>324</v>
      </c>
      <c r="G949" s="19">
        <v>4</v>
      </c>
      <c r="H949" s="6">
        <v>5</v>
      </c>
      <c r="I949" s="6" t="s">
        <v>319</v>
      </c>
      <c r="J949" s="6" t="s">
        <v>1673</v>
      </c>
      <c r="K949" s="6" t="s">
        <v>1673</v>
      </c>
      <c r="L949" s="6" t="s">
        <v>1673</v>
      </c>
      <c r="M949" s="15" t="s">
        <v>1673</v>
      </c>
      <c r="N949" s="16" t="s">
        <v>1673</v>
      </c>
      <c r="O949" s="17" t="s">
        <v>1673</v>
      </c>
      <c r="P949" s="16" t="s">
        <v>1673</v>
      </c>
      <c r="Q949" s="17" t="s">
        <v>1673</v>
      </c>
    </row>
    <row r="950" spans="1:17" x14ac:dyDescent="0.25">
      <c r="A950" s="20" t="s">
        <v>353</v>
      </c>
      <c r="B950" s="6">
        <v>3</v>
      </c>
      <c r="C950" s="6">
        <v>3</v>
      </c>
      <c r="D950" s="6">
        <v>1</v>
      </c>
      <c r="E950" s="6" t="s">
        <v>355</v>
      </c>
      <c r="F950" s="6" t="s">
        <v>325</v>
      </c>
      <c r="G950" s="19">
        <v>5</v>
      </c>
      <c r="H950" s="6">
        <v>0.5</v>
      </c>
      <c r="I950" s="6" t="s">
        <v>318</v>
      </c>
      <c r="J950" s="20">
        <v>2.4350000000000001</v>
      </c>
      <c r="K950" s="20">
        <v>43.918999999999997</v>
      </c>
      <c r="L950" s="6">
        <v>0</v>
      </c>
      <c r="M950" s="15">
        <v>0.31515151515151518</v>
      </c>
      <c r="N950" s="16">
        <v>38.369696969696975</v>
      </c>
      <c r="O950" s="17">
        <v>692.05696969696976</v>
      </c>
      <c r="P950" s="16">
        <v>383.69696969696969</v>
      </c>
      <c r="Q950" s="17">
        <v>6920.5696969696974</v>
      </c>
    </row>
    <row r="951" spans="1:17" x14ac:dyDescent="0.25">
      <c r="A951" s="20" t="s">
        <v>353</v>
      </c>
      <c r="B951" s="6">
        <v>3</v>
      </c>
      <c r="C951" s="6">
        <v>3</v>
      </c>
      <c r="D951" s="6">
        <v>1</v>
      </c>
      <c r="E951" s="6" t="s">
        <v>355</v>
      </c>
      <c r="F951" s="6" t="s">
        <v>325</v>
      </c>
      <c r="G951" s="19">
        <v>5</v>
      </c>
      <c r="H951" s="6">
        <v>0.5</v>
      </c>
      <c r="I951" s="6" t="s">
        <v>319</v>
      </c>
      <c r="J951" s="6" t="s">
        <v>1673</v>
      </c>
      <c r="K951" s="6" t="s">
        <v>1673</v>
      </c>
      <c r="L951" s="6" t="s">
        <v>1673</v>
      </c>
      <c r="M951" s="15" t="s">
        <v>1673</v>
      </c>
      <c r="N951" s="16" t="s">
        <v>1673</v>
      </c>
      <c r="O951" s="17" t="s">
        <v>1673</v>
      </c>
      <c r="P951" s="16" t="s">
        <v>1673</v>
      </c>
      <c r="Q951" s="17" t="s">
        <v>1673</v>
      </c>
    </row>
    <row r="952" spans="1:17" x14ac:dyDescent="0.25">
      <c r="A952" s="20" t="s">
        <v>353</v>
      </c>
      <c r="B952" s="6">
        <v>3</v>
      </c>
      <c r="C952" s="6">
        <v>3</v>
      </c>
      <c r="D952" s="6">
        <v>2</v>
      </c>
      <c r="E952" s="6" t="s">
        <v>331</v>
      </c>
      <c r="F952" s="6" t="s">
        <v>317</v>
      </c>
      <c r="G952" s="19">
        <v>0</v>
      </c>
      <c r="H952" s="6">
        <v>1</v>
      </c>
      <c r="I952" s="6" t="s">
        <v>318</v>
      </c>
      <c r="J952" s="20">
        <v>0.79600000000000004</v>
      </c>
      <c r="K952" s="20">
        <v>24.587</v>
      </c>
      <c r="L952" s="6">
        <v>0</v>
      </c>
      <c r="M952" s="15">
        <v>6.5000000000000002E-2</v>
      </c>
      <c r="N952" s="16">
        <v>5.1740000000000004</v>
      </c>
      <c r="O952" s="17">
        <v>159.81550000000001</v>
      </c>
      <c r="P952" s="16">
        <v>5.1740000000000004</v>
      </c>
      <c r="Q952" s="17">
        <v>159.81550000000001</v>
      </c>
    </row>
    <row r="953" spans="1:17" x14ac:dyDescent="0.25">
      <c r="A953" s="20" t="s">
        <v>353</v>
      </c>
      <c r="B953" s="6">
        <v>3</v>
      </c>
      <c r="C953" s="6">
        <v>3</v>
      </c>
      <c r="D953" s="6">
        <v>2</v>
      </c>
      <c r="E953" s="6" t="s">
        <v>331</v>
      </c>
      <c r="F953" s="6" t="s">
        <v>317</v>
      </c>
      <c r="G953" s="19">
        <v>0</v>
      </c>
      <c r="H953" s="6">
        <v>1</v>
      </c>
      <c r="I953" s="6" t="s">
        <v>319</v>
      </c>
      <c r="J953" s="6" t="s">
        <v>1673</v>
      </c>
      <c r="K953" s="6" t="s">
        <v>1673</v>
      </c>
      <c r="L953" s="6" t="s">
        <v>1673</v>
      </c>
      <c r="M953" s="15" t="s">
        <v>1673</v>
      </c>
      <c r="N953" s="16" t="s">
        <v>1673</v>
      </c>
      <c r="O953" s="17" t="s">
        <v>1673</v>
      </c>
      <c r="P953" s="16" t="s">
        <v>1673</v>
      </c>
      <c r="Q953" s="17" t="s">
        <v>1673</v>
      </c>
    </row>
    <row r="954" spans="1:17" x14ac:dyDescent="0.25">
      <c r="A954" s="20" t="s">
        <v>353</v>
      </c>
      <c r="B954" s="6">
        <v>3</v>
      </c>
      <c r="C954" s="6">
        <v>3</v>
      </c>
      <c r="D954" s="6">
        <v>2</v>
      </c>
      <c r="E954" s="6" t="s">
        <v>355</v>
      </c>
      <c r="F954" s="6" t="s">
        <v>320</v>
      </c>
      <c r="G954" s="19">
        <v>1</v>
      </c>
      <c r="H954" s="6">
        <v>5</v>
      </c>
      <c r="I954" s="6" t="s">
        <v>318</v>
      </c>
      <c r="J954" s="20">
        <v>0.64300000000000002</v>
      </c>
      <c r="K954" s="20">
        <v>14.936</v>
      </c>
      <c r="L954" s="6">
        <v>1</v>
      </c>
      <c r="M954" s="15">
        <v>0.18181818181818182</v>
      </c>
      <c r="N954" s="16">
        <v>58.45454545454546</v>
      </c>
      <c r="O954" s="17">
        <v>1357.818181818182</v>
      </c>
      <c r="P954" s="16">
        <v>58.45454545454546</v>
      </c>
      <c r="Q954" s="17">
        <v>1357.8181818181818</v>
      </c>
    </row>
    <row r="955" spans="1:17" x14ac:dyDescent="0.25">
      <c r="A955" s="20" t="s">
        <v>353</v>
      </c>
      <c r="B955" s="6">
        <v>3</v>
      </c>
      <c r="C955" s="6">
        <v>3</v>
      </c>
      <c r="D955" s="6">
        <v>2</v>
      </c>
      <c r="E955" s="6" t="s">
        <v>355</v>
      </c>
      <c r="F955" s="6" t="s">
        <v>320</v>
      </c>
      <c r="G955" s="19">
        <v>1</v>
      </c>
      <c r="H955" s="6">
        <v>5</v>
      </c>
      <c r="I955" s="6" t="s">
        <v>319</v>
      </c>
      <c r="J955" s="20">
        <v>0.78600000000000003</v>
      </c>
      <c r="K955" s="20">
        <v>40.951999999999998</v>
      </c>
      <c r="L955" s="6">
        <v>0</v>
      </c>
      <c r="M955" s="15">
        <v>1.8181818181818181E-2</v>
      </c>
      <c r="N955" s="16">
        <v>7.1454545454545455</v>
      </c>
      <c r="O955" s="17">
        <v>372.29090909090905</v>
      </c>
      <c r="P955" s="16">
        <v>7.1454545454545455</v>
      </c>
      <c r="Q955" s="17">
        <v>372.29090909090905</v>
      </c>
    </row>
    <row r="956" spans="1:17" x14ac:dyDescent="0.25">
      <c r="A956" s="20" t="s">
        <v>353</v>
      </c>
      <c r="B956" s="6">
        <v>3</v>
      </c>
      <c r="C956" s="6">
        <v>3</v>
      </c>
      <c r="D956" s="6">
        <v>3</v>
      </c>
      <c r="E956" s="6" t="s">
        <v>316</v>
      </c>
      <c r="F956" s="6" t="s">
        <v>317</v>
      </c>
      <c r="G956" s="19">
        <v>0</v>
      </c>
      <c r="H956" s="6">
        <v>1.5</v>
      </c>
      <c r="I956" s="6" t="s">
        <v>318</v>
      </c>
      <c r="J956" s="20">
        <v>0.99199999999999999</v>
      </c>
      <c r="K956" s="20">
        <v>25.628</v>
      </c>
      <c r="L956" s="6">
        <v>0</v>
      </c>
      <c r="M956" s="15">
        <v>1.6666666666666666E-2</v>
      </c>
      <c r="N956" s="16">
        <v>2.48</v>
      </c>
      <c r="O956" s="17">
        <v>64.070000000000007</v>
      </c>
      <c r="P956" s="16">
        <v>2.48</v>
      </c>
      <c r="Q956" s="17">
        <v>64.070000000000007</v>
      </c>
    </row>
    <row r="957" spans="1:17" x14ac:dyDescent="0.25">
      <c r="A957" s="20" t="s">
        <v>353</v>
      </c>
      <c r="B957" s="6">
        <v>3</v>
      </c>
      <c r="C957" s="6">
        <v>3</v>
      </c>
      <c r="D957" s="6">
        <v>3</v>
      </c>
      <c r="E957" s="6" t="s">
        <v>316</v>
      </c>
      <c r="F957" s="6" t="s">
        <v>317</v>
      </c>
      <c r="G957" s="19">
        <v>0</v>
      </c>
      <c r="H957" s="6">
        <v>1.5</v>
      </c>
      <c r="I957" s="6" t="s">
        <v>319</v>
      </c>
      <c r="J957" s="6" t="s">
        <v>1673</v>
      </c>
      <c r="K957" s="6" t="s">
        <v>1673</v>
      </c>
      <c r="L957" s="6" t="s">
        <v>1673</v>
      </c>
      <c r="M957" s="15" t="s">
        <v>1673</v>
      </c>
      <c r="N957" s="16" t="s">
        <v>1673</v>
      </c>
      <c r="O957" s="17" t="s">
        <v>1673</v>
      </c>
      <c r="P957" s="16" t="s">
        <v>1673</v>
      </c>
      <c r="Q957" s="17" t="s">
        <v>1673</v>
      </c>
    </row>
    <row r="958" spans="1:17" x14ac:dyDescent="0.25">
      <c r="A958" s="20" t="s">
        <v>353</v>
      </c>
      <c r="B958" s="6">
        <v>3</v>
      </c>
      <c r="C958" s="6">
        <v>3</v>
      </c>
      <c r="D958" s="6">
        <v>3</v>
      </c>
      <c r="E958" s="6" t="s">
        <v>355</v>
      </c>
      <c r="F958" s="6" t="s">
        <v>320</v>
      </c>
      <c r="G958" s="19">
        <v>1</v>
      </c>
      <c r="H958" s="6">
        <v>5</v>
      </c>
      <c r="I958" s="6" t="s">
        <v>318</v>
      </c>
      <c r="J958" s="20">
        <v>0.89500000000000002</v>
      </c>
      <c r="K958" s="20">
        <v>40.366</v>
      </c>
      <c r="L958" s="6">
        <v>0</v>
      </c>
      <c r="M958" s="15">
        <v>0.08</v>
      </c>
      <c r="N958" s="16">
        <v>35.799999999999997</v>
      </c>
      <c r="O958" s="17">
        <v>1614.64</v>
      </c>
      <c r="P958" s="16">
        <v>35.799999999999997</v>
      </c>
      <c r="Q958" s="17">
        <v>1614.6399999999999</v>
      </c>
    </row>
    <row r="959" spans="1:17" x14ac:dyDescent="0.25">
      <c r="A959" s="20" t="s">
        <v>353</v>
      </c>
      <c r="B959" s="6">
        <v>3</v>
      </c>
      <c r="C959" s="6">
        <v>3</v>
      </c>
      <c r="D959" s="6">
        <v>3</v>
      </c>
      <c r="E959" s="6" t="s">
        <v>355</v>
      </c>
      <c r="F959" s="6" t="s">
        <v>320</v>
      </c>
      <c r="G959" s="19">
        <v>1</v>
      </c>
      <c r="H959" s="6">
        <v>5</v>
      </c>
      <c r="I959" s="6" t="s">
        <v>319</v>
      </c>
      <c r="J959" s="20">
        <v>0.75900000000000001</v>
      </c>
      <c r="K959" s="20">
        <v>49.935000000000002</v>
      </c>
      <c r="L959" s="6">
        <v>0</v>
      </c>
      <c r="M959" s="15">
        <v>8.3333333333333339E-4</v>
      </c>
      <c r="N959" s="16">
        <v>0.31625000000000003</v>
      </c>
      <c r="O959" s="17">
        <v>20.806250000000002</v>
      </c>
      <c r="P959" s="16">
        <v>0.31625000000000003</v>
      </c>
      <c r="Q959" s="17">
        <v>20.806249999999999</v>
      </c>
    </row>
    <row r="960" spans="1:17" x14ac:dyDescent="0.25">
      <c r="A960" s="20" t="s">
        <v>353</v>
      </c>
      <c r="B960" s="6">
        <v>3</v>
      </c>
      <c r="C960" s="6">
        <v>3</v>
      </c>
      <c r="D960" s="6">
        <v>3</v>
      </c>
      <c r="E960" s="6" t="s">
        <v>355</v>
      </c>
      <c r="F960" s="6" t="s">
        <v>321</v>
      </c>
      <c r="G960" s="19">
        <v>2</v>
      </c>
      <c r="H960" s="6">
        <v>5</v>
      </c>
      <c r="I960" s="6" t="s">
        <v>318</v>
      </c>
      <c r="J960" s="20">
        <v>0.95699999999999996</v>
      </c>
      <c r="K960" s="20">
        <v>43.027999999999999</v>
      </c>
      <c r="L960" s="6">
        <v>0</v>
      </c>
      <c r="M960" s="15">
        <v>9.818181818181819E-2</v>
      </c>
      <c r="N960" s="16">
        <v>46.980000000000004</v>
      </c>
      <c r="O960" s="17">
        <v>2112.2836363636361</v>
      </c>
      <c r="P960" s="16">
        <v>46.980000000000011</v>
      </c>
      <c r="Q960" s="17">
        <v>2112.2836363636361</v>
      </c>
    </row>
    <row r="961" spans="1:17" x14ac:dyDescent="0.25">
      <c r="A961" s="20" t="s">
        <v>353</v>
      </c>
      <c r="B961" s="6">
        <v>3</v>
      </c>
      <c r="C961" s="6">
        <v>3</v>
      </c>
      <c r="D961" s="6">
        <v>3</v>
      </c>
      <c r="E961" s="6" t="s">
        <v>355</v>
      </c>
      <c r="F961" s="6" t="s">
        <v>321</v>
      </c>
      <c r="G961" s="19">
        <v>2</v>
      </c>
      <c r="H961" s="6">
        <v>5</v>
      </c>
      <c r="I961" s="6" t="s">
        <v>319</v>
      </c>
      <c r="J961" s="6" t="s">
        <v>1673</v>
      </c>
      <c r="K961" s="6" t="s">
        <v>1673</v>
      </c>
      <c r="L961" s="6" t="s">
        <v>1673</v>
      </c>
      <c r="M961" s="15" t="s">
        <v>1673</v>
      </c>
      <c r="N961" s="16" t="s">
        <v>1673</v>
      </c>
      <c r="O961" s="17" t="s">
        <v>1673</v>
      </c>
      <c r="P961" s="16" t="s">
        <v>1673</v>
      </c>
      <c r="Q961" s="17" t="s">
        <v>1673</v>
      </c>
    </row>
    <row r="962" spans="1:17" x14ac:dyDescent="0.25">
      <c r="A962" s="20" t="s">
        <v>353</v>
      </c>
      <c r="B962" s="6">
        <v>3</v>
      </c>
      <c r="C962" s="6">
        <v>3</v>
      </c>
      <c r="D962" s="6">
        <v>3</v>
      </c>
      <c r="E962" s="6" t="s">
        <v>355</v>
      </c>
      <c r="F962" s="6" t="s">
        <v>322</v>
      </c>
      <c r="G962" s="19">
        <v>3</v>
      </c>
      <c r="H962" s="6">
        <v>5</v>
      </c>
      <c r="I962" s="6" t="s">
        <v>318</v>
      </c>
      <c r="J962" s="20">
        <v>1.6459999999999999</v>
      </c>
      <c r="K962" s="20">
        <v>41.326999999999998</v>
      </c>
      <c r="L962" s="6">
        <v>0</v>
      </c>
      <c r="M962" s="15">
        <v>0.17833333333333332</v>
      </c>
      <c r="N962" s="16">
        <v>146.76833333333332</v>
      </c>
      <c r="O962" s="17">
        <v>3684.9908333333328</v>
      </c>
      <c r="P962" s="16">
        <v>146.76833333333332</v>
      </c>
      <c r="Q962" s="17">
        <v>3684.9908333333324</v>
      </c>
    </row>
    <row r="963" spans="1:17" x14ac:dyDescent="0.25">
      <c r="A963" s="20" t="s">
        <v>353</v>
      </c>
      <c r="B963" s="6">
        <v>3</v>
      </c>
      <c r="C963" s="6">
        <v>3</v>
      </c>
      <c r="D963" s="6">
        <v>3</v>
      </c>
      <c r="E963" s="6" t="s">
        <v>355</v>
      </c>
      <c r="F963" s="6" t="s">
        <v>322</v>
      </c>
      <c r="G963" s="19">
        <v>3</v>
      </c>
      <c r="H963" s="6">
        <v>5</v>
      </c>
      <c r="I963" s="6" t="s">
        <v>319</v>
      </c>
      <c r="J963" s="6" t="s">
        <v>1673</v>
      </c>
      <c r="K963" s="6" t="s">
        <v>1673</v>
      </c>
      <c r="L963" s="6" t="s">
        <v>1673</v>
      </c>
      <c r="M963" s="15" t="s">
        <v>1673</v>
      </c>
      <c r="N963" s="16" t="s">
        <v>1673</v>
      </c>
      <c r="O963" s="17" t="s">
        <v>1673</v>
      </c>
      <c r="P963" s="16" t="s">
        <v>1673</v>
      </c>
      <c r="Q963" s="17" t="s">
        <v>1673</v>
      </c>
    </row>
    <row r="964" spans="1:17" x14ac:dyDescent="0.25">
      <c r="A964" s="20" t="s">
        <v>353</v>
      </c>
      <c r="B964" s="6">
        <v>4</v>
      </c>
      <c r="C964" s="6">
        <v>4</v>
      </c>
      <c r="D964" s="6">
        <v>2</v>
      </c>
      <c r="E964" s="6" t="s">
        <v>316</v>
      </c>
      <c r="F964" s="21" t="s">
        <v>317</v>
      </c>
      <c r="G964" s="18">
        <v>0</v>
      </c>
      <c r="H964" s="6">
        <v>1.0666666666666667</v>
      </c>
      <c r="I964" s="6" t="s">
        <v>318</v>
      </c>
      <c r="J964" s="20">
        <v>0.80900000000000005</v>
      </c>
      <c r="K964" s="20">
        <v>43.790999999999997</v>
      </c>
      <c r="L964" s="6">
        <v>0</v>
      </c>
      <c r="M964" s="15">
        <v>2.2716346153846153E-2</v>
      </c>
      <c r="N964" s="16">
        <v>1.9602692307692307</v>
      </c>
      <c r="O964" s="17">
        <v>106.10896153846153</v>
      </c>
      <c r="P964" s="16">
        <v>1.9602692307692307</v>
      </c>
      <c r="Q964" s="17">
        <v>106.10896153846153</v>
      </c>
    </row>
    <row r="965" spans="1:17" x14ac:dyDescent="0.25">
      <c r="A965" s="20" t="s">
        <v>353</v>
      </c>
      <c r="B965" s="6">
        <v>4</v>
      </c>
      <c r="C965" s="6">
        <v>4</v>
      </c>
      <c r="D965" s="6">
        <v>2</v>
      </c>
      <c r="E965" s="6" t="s">
        <v>316</v>
      </c>
      <c r="F965" s="21" t="s">
        <v>317</v>
      </c>
      <c r="G965" s="18">
        <v>0</v>
      </c>
      <c r="H965" s="6">
        <v>1.0666666666666667</v>
      </c>
      <c r="I965" s="6" t="s">
        <v>319</v>
      </c>
      <c r="J965" s="6" t="s">
        <v>1673</v>
      </c>
      <c r="K965" s="6" t="s">
        <v>1673</v>
      </c>
      <c r="L965" s="6" t="s">
        <v>1673</v>
      </c>
      <c r="M965" s="15" t="s">
        <v>1673</v>
      </c>
      <c r="N965" s="16" t="s">
        <v>1673</v>
      </c>
      <c r="O965" s="17" t="s">
        <v>1673</v>
      </c>
      <c r="P965" s="16" t="s">
        <v>1673</v>
      </c>
      <c r="Q965" s="17" t="s">
        <v>1673</v>
      </c>
    </row>
    <row r="966" spans="1:17" x14ac:dyDescent="0.25">
      <c r="A966" s="20" t="s">
        <v>353</v>
      </c>
      <c r="B966" s="6">
        <v>4</v>
      </c>
      <c r="C966" s="6">
        <v>4</v>
      </c>
      <c r="D966" s="6">
        <v>2</v>
      </c>
      <c r="E966" s="6" t="s">
        <v>355</v>
      </c>
      <c r="F966" s="14" t="s">
        <v>320</v>
      </c>
      <c r="G966" s="18">
        <v>1</v>
      </c>
      <c r="H966" s="6">
        <v>5</v>
      </c>
      <c r="I966" s="6" t="s">
        <v>318</v>
      </c>
      <c r="J966" s="20">
        <v>0.61299999999999999</v>
      </c>
      <c r="K966" s="22">
        <v>41.073</v>
      </c>
      <c r="L966" s="6">
        <v>0</v>
      </c>
      <c r="M966" s="15">
        <v>5.8899999999999994E-2</v>
      </c>
      <c r="N966" s="16">
        <v>18.052849999999996</v>
      </c>
      <c r="O966" s="17">
        <v>1209.5998499999998</v>
      </c>
      <c r="P966" s="16">
        <v>18.052849999999999</v>
      </c>
      <c r="Q966" s="17">
        <v>1209.5998499999998</v>
      </c>
    </row>
    <row r="967" spans="1:17" x14ac:dyDescent="0.25">
      <c r="A967" s="20" t="s">
        <v>353</v>
      </c>
      <c r="B967" s="6">
        <v>4</v>
      </c>
      <c r="C967" s="6">
        <v>4</v>
      </c>
      <c r="D967" s="6">
        <v>2</v>
      </c>
      <c r="E967" s="6" t="s">
        <v>355</v>
      </c>
      <c r="F967" s="14" t="s">
        <v>320</v>
      </c>
      <c r="G967" s="18">
        <v>1</v>
      </c>
      <c r="H967" s="6">
        <v>5</v>
      </c>
      <c r="I967" s="6" t="s">
        <v>319</v>
      </c>
      <c r="J967" s="20">
        <v>0.59399999999999997</v>
      </c>
      <c r="K967" s="20">
        <v>46.204000000000001</v>
      </c>
      <c r="L967" s="6">
        <v>0</v>
      </c>
      <c r="M967" s="15">
        <v>2.5000000000000001E-3</v>
      </c>
      <c r="N967" s="16">
        <v>0.74250000000000005</v>
      </c>
      <c r="O967" s="17">
        <v>57.755000000000003</v>
      </c>
      <c r="P967" s="16">
        <v>0.74250000000000005</v>
      </c>
      <c r="Q967" s="17">
        <v>57.755000000000003</v>
      </c>
    </row>
    <row r="968" spans="1:17" x14ac:dyDescent="0.25">
      <c r="A968" s="20" t="s">
        <v>353</v>
      </c>
      <c r="B968" s="6">
        <v>4</v>
      </c>
      <c r="C968" s="6">
        <v>4</v>
      </c>
      <c r="D968" s="6">
        <v>2</v>
      </c>
      <c r="E968" s="6" t="s">
        <v>355</v>
      </c>
      <c r="F968" s="14" t="s">
        <v>321</v>
      </c>
      <c r="G968" s="18">
        <v>2</v>
      </c>
      <c r="H968" s="6">
        <v>5</v>
      </c>
      <c r="I968" s="6" t="s">
        <v>318</v>
      </c>
      <c r="J968" s="20">
        <v>0.52</v>
      </c>
      <c r="K968" s="20">
        <v>40.189</v>
      </c>
      <c r="L968" s="6">
        <v>0</v>
      </c>
      <c r="M968" s="15">
        <v>5.3494949494949498E-2</v>
      </c>
      <c r="N968" s="16">
        <v>13.908686868686871</v>
      </c>
      <c r="O968" s="17">
        <v>1074.954262626263</v>
      </c>
      <c r="P968" s="16">
        <v>13.908686868686869</v>
      </c>
      <c r="Q968" s="17">
        <v>1074.9542626262628</v>
      </c>
    </row>
    <row r="969" spans="1:17" x14ac:dyDescent="0.25">
      <c r="A969" s="20" t="s">
        <v>353</v>
      </c>
      <c r="B969" s="6">
        <v>4</v>
      </c>
      <c r="C969" s="6">
        <v>4</v>
      </c>
      <c r="D969" s="6">
        <v>2</v>
      </c>
      <c r="E969" s="6" t="s">
        <v>355</v>
      </c>
      <c r="F969" s="14" t="s">
        <v>321</v>
      </c>
      <c r="G969" s="18">
        <v>2</v>
      </c>
      <c r="H969" s="6">
        <v>6</v>
      </c>
      <c r="I969" s="6" t="s">
        <v>319</v>
      </c>
      <c r="J969" s="20">
        <v>0.52700000000000002</v>
      </c>
      <c r="K969" s="20">
        <v>47.996000000000002</v>
      </c>
      <c r="L969" s="6">
        <v>0</v>
      </c>
      <c r="M969" s="15">
        <v>7.407407407407407E-4</v>
      </c>
      <c r="N969" s="16">
        <v>0.23422222222222222</v>
      </c>
      <c r="O969" s="17">
        <v>21.331555555555553</v>
      </c>
      <c r="P969" s="16">
        <v>0.19518518518518518</v>
      </c>
      <c r="Q969" s="17">
        <v>17.776296296296294</v>
      </c>
    </row>
    <row r="970" spans="1:17" x14ac:dyDescent="0.25">
      <c r="A970" s="20" t="s">
        <v>353</v>
      </c>
      <c r="B970" s="6">
        <v>4</v>
      </c>
      <c r="C970" s="6">
        <v>4</v>
      </c>
      <c r="D970" s="6">
        <v>2</v>
      </c>
      <c r="E970" s="6" t="s">
        <v>355</v>
      </c>
      <c r="F970" s="14" t="s">
        <v>322</v>
      </c>
      <c r="G970" s="18">
        <v>3</v>
      </c>
      <c r="H970" s="6">
        <v>5</v>
      </c>
      <c r="I970" s="6" t="s">
        <v>318</v>
      </c>
      <c r="J970" s="20">
        <v>0.92600000000000005</v>
      </c>
      <c r="K970" s="20">
        <v>39.795999999999999</v>
      </c>
      <c r="L970" s="6">
        <v>0</v>
      </c>
      <c r="M970" s="15">
        <v>5.0999999999999997E-2</v>
      </c>
      <c r="N970" s="16">
        <v>23.613</v>
      </c>
      <c r="O970" s="17">
        <v>1014.7979999999998</v>
      </c>
      <c r="P970" s="16">
        <v>23.613000000000003</v>
      </c>
      <c r="Q970" s="17">
        <v>1014.7979999999998</v>
      </c>
    </row>
    <row r="971" spans="1:17" x14ac:dyDescent="0.25">
      <c r="A971" s="20" t="s">
        <v>353</v>
      </c>
      <c r="B971" s="6">
        <v>4</v>
      </c>
      <c r="C971" s="6">
        <v>4</v>
      </c>
      <c r="D971" s="6">
        <v>2</v>
      </c>
      <c r="E971" s="6" t="s">
        <v>355</v>
      </c>
      <c r="F971" s="14" t="s">
        <v>322</v>
      </c>
      <c r="G971" s="18">
        <v>3</v>
      </c>
      <c r="H971" s="6">
        <v>6</v>
      </c>
      <c r="I971" s="6" t="s">
        <v>319</v>
      </c>
      <c r="J971" s="20">
        <v>0.61499999999999999</v>
      </c>
      <c r="K971" s="20">
        <v>48.881999999999998</v>
      </c>
      <c r="L971" s="6">
        <v>0</v>
      </c>
      <c r="M971" s="15">
        <v>3.2870370370370367E-3</v>
      </c>
      <c r="N971" s="16">
        <v>1.2129166666666666</v>
      </c>
      <c r="O971" s="17">
        <v>96.40616666666665</v>
      </c>
      <c r="P971" s="16">
        <v>1.0107638888888888</v>
      </c>
      <c r="Q971" s="17">
        <v>80.338472222222194</v>
      </c>
    </row>
    <row r="972" spans="1:17" x14ac:dyDescent="0.25">
      <c r="A972" s="20" t="s">
        <v>353</v>
      </c>
      <c r="B972" s="6">
        <v>4</v>
      </c>
      <c r="C972" s="6">
        <v>4</v>
      </c>
      <c r="D972" s="6">
        <v>2</v>
      </c>
      <c r="E972" s="6" t="s">
        <v>355</v>
      </c>
      <c r="F972" s="14" t="s">
        <v>324</v>
      </c>
      <c r="G972" s="18">
        <v>4</v>
      </c>
      <c r="H972" s="6">
        <v>4.5</v>
      </c>
      <c r="I972" s="6" t="s">
        <v>318</v>
      </c>
      <c r="J972" s="20">
        <v>1.5009999999999999</v>
      </c>
      <c r="K972" s="20">
        <v>42.927999999999997</v>
      </c>
      <c r="L972" s="6">
        <v>0</v>
      </c>
      <c r="M972" s="15">
        <v>0.15481481481481479</v>
      </c>
      <c r="N972" s="16">
        <v>104.56966666666665</v>
      </c>
      <c r="O972" s="17">
        <v>2990.6506666666664</v>
      </c>
      <c r="P972" s="16">
        <v>116.18851851851849</v>
      </c>
      <c r="Q972" s="17">
        <v>3322.9451851851845</v>
      </c>
    </row>
    <row r="973" spans="1:17" x14ac:dyDescent="0.25">
      <c r="A973" s="20" t="s">
        <v>353</v>
      </c>
      <c r="B973" s="6">
        <v>4</v>
      </c>
      <c r="C973" s="6">
        <v>4</v>
      </c>
      <c r="D973" s="6">
        <v>2</v>
      </c>
      <c r="E973" s="6" t="s">
        <v>355</v>
      </c>
      <c r="F973" s="14" t="s">
        <v>324</v>
      </c>
      <c r="G973" s="18">
        <v>4</v>
      </c>
      <c r="H973" s="6">
        <v>4.5</v>
      </c>
      <c r="I973" s="6" t="s">
        <v>319</v>
      </c>
      <c r="J973" s="20">
        <v>1.079</v>
      </c>
      <c r="K973" s="20">
        <v>50.616</v>
      </c>
      <c r="L973" s="6">
        <v>0</v>
      </c>
      <c r="M973" s="15">
        <v>3.1111111111111109E-3</v>
      </c>
      <c r="N973" s="16">
        <v>1.5105999999999999</v>
      </c>
      <c r="O973" s="17">
        <v>70.862399999999994</v>
      </c>
      <c r="P973" s="16">
        <v>1.6784444444444444</v>
      </c>
      <c r="Q973" s="17">
        <v>78.735999999999976</v>
      </c>
    </row>
    <row r="974" spans="1:17" x14ac:dyDescent="0.25">
      <c r="A974" s="20" t="s">
        <v>353</v>
      </c>
      <c r="B974" s="6">
        <v>4</v>
      </c>
      <c r="C974" s="6">
        <v>4</v>
      </c>
      <c r="D974" s="6">
        <v>4</v>
      </c>
      <c r="E974" s="6" t="s">
        <v>316</v>
      </c>
      <c r="F974" s="21" t="s">
        <v>317</v>
      </c>
      <c r="G974" s="18">
        <v>0</v>
      </c>
      <c r="H974" s="6">
        <v>2.3333333333333335</v>
      </c>
      <c r="I974" s="6" t="s">
        <v>318</v>
      </c>
      <c r="J974" s="20">
        <v>1.018</v>
      </c>
      <c r="K974" s="20">
        <v>37.826999999999998</v>
      </c>
      <c r="L974" s="6">
        <v>0</v>
      </c>
      <c r="M974" s="15">
        <v>1.4999999999999999E-2</v>
      </c>
      <c r="N974" s="16">
        <v>3.5629999999999997</v>
      </c>
      <c r="O974" s="17">
        <v>132.39449999999999</v>
      </c>
      <c r="P974" s="16">
        <v>3.5629999999999997</v>
      </c>
      <c r="Q974" s="17">
        <v>132.39449999999999</v>
      </c>
    </row>
    <row r="975" spans="1:17" x14ac:dyDescent="0.25">
      <c r="A975" s="20" t="s">
        <v>353</v>
      </c>
      <c r="B975" s="6">
        <v>4</v>
      </c>
      <c r="C975" s="6">
        <v>4</v>
      </c>
      <c r="D975" s="6">
        <v>4</v>
      </c>
      <c r="E975" s="6" t="s">
        <v>316</v>
      </c>
      <c r="F975" s="21" t="s">
        <v>317</v>
      </c>
      <c r="G975" s="18">
        <v>0</v>
      </c>
      <c r="H975" s="6">
        <v>2.3333333333333335</v>
      </c>
      <c r="I975" s="6" t="s">
        <v>319</v>
      </c>
      <c r="J975" s="6" t="s">
        <v>1673</v>
      </c>
      <c r="K975" s="6" t="s">
        <v>1673</v>
      </c>
      <c r="L975" s="6" t="s">
        <v>1673</v>
      </c>
      <c r="M975" s="15" t="s">
        <v>1673</v>
      </c>
      <c r="N975" s="16" t="s">
        <v>1673</v>
      </c>
      <c r="O975" s="17" t="s">
        <v>1673</v>
      </c>
      <c r="P975" s="16" t="s">
        <v>1673</v>
      </c>
      <c r="Q975" s="17" t="s">
        <v>1673</v>
      </c>
    </row>
    <row r="976" spans="1:17" x14ac:dyDescent="0.25">
      <c r="A976" s="20" t="s">
        <v>353</v>
      </c>
      <c r="B976" s="6">
        <v>4</v>
      </c>
      <c r="C976" s="6">
        <v>4</v>
      </c>
      <c r="D976" s="6">
        <v>4</v>
      </c>
      <c r="E976" s="6" t="s">
        <v>355</v>
      </c>
      <c r="F976" s="14" t="s">
        <v>320</v>
      </c>
      <c r="G976" s="18">
        <v>1</v>
      </c>
      <c r="H976" s="6">
        <v>5</v>
      </c>
      <c r="I976" s="6" t="s">
        <v>318</v>
      </c>
      <c r="J976" s="20">
        <v>1.36</v>
      </c>
      <c r="K976" s="20">
        <v>43.594999999999999</v>
      </c>
      <c r="L976" s="6">
        <v>0</v>
      </c>
      <c r="M976" s="15">
        <v>8.2095238095238082E-2</v>
      </c>
      <c r="N976" s="16">
        <v>55.824761904761907</v>
      </c>
      <c r="O976" s="17">
        <v>1789.4709523809522</v>
      </c>
      <c r="P976" s="16">
        <v>55.824761904761907</v>
      </c>
      <c r="Q976" s="17">
        <v>1789.4709523809522</v>
      </c>
    </row>
    <row r="977" spans="1:17" x14ac:dyDescent="0.25">
      <c r="A977" s="20" t="s">
        <v>353</v>
      </c>
      <c r="B977" s="6">
        <v>4</v>
      </c>
      <c r="C977" s="6">
        <v>4</v>
      </c>
      <c r="D977" s="6">
        <v>4</v>
      </c>
      <c r="E977" s="6" t="s">
        <v>355</v>
      </c>
      <c r="F977" s="14" t="s">
        <v>320</v>
      </c>
      <c r="G977" s="18">
        <v>1</v>
      </c>
      <c r="H977" s="6">
        <v>5</v>
      </c>
      <c r="I977" s="6" t="s">
        <v>319</v>
      </c>
      <c r="J977" s="20">
        <v>0.66600000000000004</v>
      </c>
      <c r="K977" s="20">
        <v>49.344000000000001</v>
      </c>
      <c r="L977" s="6">
        <v>0</v>
      </c>
      <c r="M977" s="15">
        <v>2E-3</v>
      </c>
      <c r="N977" s="16">
        <v>0.66600000000000004</v>
      </c>
      <c r="O977" s="17">
        <v>49.344000000000001</v>
      </c>
      <c r="P977" s="16">
        <v>0.66600000000000004</v>
      </c>
      <c r="Q977" s="17">
        <v>49.344000000000001</v>
      </c>
    </row>
    <row r="978" spans="1:17" x14ac:dyDescent="0.25">
      <c r="A978" s="20" t="s">
        <v>353</v>
      </c>
      <c r="B978" s="6">
        <v>4</v>
      </c>
      <c r="C978" s="6">
        <v>4</v>
      </c>
      <c r="D978" s="6">
        <v>4</v>
      </c>
      <c r="E978" s="6" t="s">
        <v>355</v>
      </c>
      <c r="F978" s="14" t="s">
        <v>321</v>
      </c>
      <c r="G978" s="18">
        <v>2</v>
      </c>
      <c r="H978" s="6">
        <v>5</v>
      </c>
      <c r="I978" s="6" t="s">
        <v>318</v>
      </c>
      <c r="J978" s="20">
        <v>2</v>
      </c>
      <c r="K978" s="20">
        <v>39.350999999999999</v>
      </c>
      <c r="L978" s="6">
        <v>0</v>
      </c>
      <c r="M978" s="15">
        <v>0.18472727272727274</v>
      </c>
      <c r="N978" s="16">
        <v>184.72727272727275</v>
      </c>
      <c r="O978" s="17">
        <v>3634.601454545455</v>
      </c>
      <c r="P978" s="16">
        <v>184.72727272727275</v>
      </c>
      <c r="Q978" s="17">
        <v>3634.6014545454545</v>
      </c>
    </row>
    <row r="979" spans="1:17" x14ac:dyDescent="0.25">
      <c r="A979" s="20" t="s">
        <v>353</v>
      </c>
      <c r="B979" s="6">
        <v>4</v>
      </c>
      <c r="C979" s="6">
        <v>4</v>
      </c>
      <c r="D979" s="6">
        <v>4</v>
      </c>
      <c r="E979" s="6" t="s">
        <v>355</v>
      </c>
      <c r="F979" s="14" t="s">
        <v>321</v>
      </c>
      <c r="G979" s="18">
        <v>2</v>
      </c>
      <c r="H979" s="6">
        <v>6</v>
      </c>
      <c r="I979" s="6" t="s">
        <v>319</v>
      </c>
      <c r="J979" s="6" t="s">
        <v>1673</v>
      </c>
      <c r="K979" s="6" t="s">
        <v>1673</v>
      </c>
      <c r="L979" s="6" t="s">
        <v>1673</v>
      </c>
      <c r="M979" s="15" t="s">
        <v>1673</v>
      </c>
      <c r="N979" s="16" t="s">
        <v>1673</v>
      </c>
      <c r="O979" s="17" t="s">
        <v>1673</v>
      </c>
      <c r="P979" s="16" t="s">
        <v>1673</v>
      </c>
      <c r="Q979" s="17" t="s">
        <v>1673</v>
      </c>
    </row>
    <row r="980" spans="1:17" x14ac:dyDescent="0.25">
      <c r="A980" s="20" t="s">
        <v>353</v>
      </c>
      <c r="B980" s="6">
        <v>4</v>
      </c>
      <c r="C980" s="6">
        <v>4</v>
      </c>
      <c r="D980" s="6">
        <v>4</v>
      </c>
      <c r="E980" s="6" t="s">
        <v>355</v>
      </c>
      <c r="F980" s="14" t="s">
        <v>322</v>
      </c>
      <c r="G980" s="18">
        <v>3</v>
      </c>
      <c r="H980" s="6">
        <v>5</v>
      </c>
      <c r="I980" s="6" t="s">
        <v>318</v>
      </c>
      <c r="J980" s="20">
        <v>1.883</v>
      </c>
      <c r="K980" s="20">
        <v>37.572000000000003</v>
      </c>
      <c r="L980" s="6">
        <v>0</v>
      </c>
      <c r="M980" s="15">
        <v>0.16984615384615387</v>
      </c>
      <c r="N980" s="16">
        <v>159.91015384615386</v>
      </c>
      <c r="O980" s="17">
        <v>3190.7298461538471</v>
      </c>
      <c r="P980" s="16">
        <v>159.91015384615386</v>
      </c>
      <c r="Q980" s="17">
        <v>3190.7298461538471</v>
      </c>
    </row>
    <row r="981" spans="1:17" x14ac:dyDescent="0.25">
      <c r="A981" s="20" t="s">
        <v>353</v>
      </c>
      <c r="B981" s="6">
        <v>4</v>
      </c>
      <c r="C981" s="6">
        <v>4</v>
      </c>
      <c r="D981" s="6">
        <v>4</v>
      </c>
      <c r="E981" s="6" t="s">
        <v>355</v>
      </c>
      <c r="F981" s="14" t="s">
        <v>322</v>
      </c>
      <c r="G981" s="18">
        <v>3</v>
      </c>
      <c r="H981" s="6">
        <v>6</v>
      </c>
      <c r="I981" s="6" t="s">
        <v>319</v>
      </c>
      <c r="J981" s="6" t="s">
        <v>1673</v>
      </c>
      <c r="K981" s="6" t="s">
        <v>1673</v>
      </c>
      <c r="L981" s="6" t="s">
        <v>1673</v>
      </c>
      <c r="M981" s="15" t="s">
        <v>1673</v>
      </c>
      <c r="N981" s="16" t="s">
        <v>1673</v>
      </c>
      <c r="O981" s="17" t="s">
        <v>1673</v>
      </c>
      <c r="P981" s="16" t="s">
        <v>1673</v>
      </c>
      <c r="Q981" s="17" t="s">
        <v>1673</v>
      </c>
    </row>
    <row r="982" spans="1:17" x14ac:dyDescent="0.25">
      <c r="A982" s="20" t="s">
        <v>353</v>
      </c>
      <c r="B982" s="6">
        <v>4</v>
      </c>
      <c r="C982" s="6">
        <v>4</v>
      </c>
      <c r="D982" s="6">
        <v>4</v>
      </c>
      <c r="E982" s="6" t="s">
        <v>355</v>
      </c>
      <c r="F982" s="14" t="s">
        <v>324</v>
      </c>
      <c r="G982" s="18">
        <v>4</v>
      </c>
      <c r="H982" s="6">
        <v>1.75</v>
      </c>
      <c r="I982" s="6" t="s">
        <v>318</v>
      </c>
      <c r="J982" s="20">
        <v>1.5580000000000001</v>
      </c>
      <c r="K982" s="20">
        <v>29.315000000000001</v>
      </c>
      <c r="L982" s="6">
        <v>0</v>
      </c>
      <c r="M982" s="15">
        <v>0.35778040141676509</v>
      </c>
      <c r="N982" s="16">
        <v>97.548826446281012</v>
      </c>
      <c r="O982" s="17">
        <v>1835.4581818181823</v>
      </c>
      <c r="P982" s="16">
        <v>278.71093270366003</v>
      </c>
      <c r="Q982" s="17">
        <v>5244.1662337662347</v>
      </c>
    </row>
    <row r="983" spans="1:17" x14ac:dyDescent="0.25">
      <c r="A983" s="20" t="s">
        <v>353</v>
      </c>
      <c r="B983" s="6">
        <v>4</v>
      </c>
      <c r="C983" s="6">
        <v>4</v>
      </c>
      <c r="D983" s="6">
        <v>4</v>
      </c>
      <c r="E983" s="6" t="s">
        <v>355</v>
      </c>
      <c r="F983" s="14" t="s">
        <v>324</v>
      </c>
      <c r="G983" s="18">
        <v>4</v>
      </c>
      <c r="H983" s="6">
        <v>1.75</v>
      </c>
      <c r="I983" s="6" t="s">
        <v>319</v>
      </c>
      <c r="J983" s="6" t="s">
        <v>1673</v>
      </c>
      <c r="K983" s="6" t="s">
        <v>1673</v>
      </c>
      <c r="L983" s="6" t="s">
        <v>1673</v>
      </c>
      <c r="M983" s="15" t="s">
        <v>1673</v>
      </c>
      <c r="N983" s="16" t="s">
        <v>1673</v>
      </c>
      <c r="O983" s="17" t="s">
        <v>1673</v>
      </c>
      <c r="P983" s="16" t="s">
        <v>1673</v>
      </c>
      <c r="Q983" s="17" t="s">
        <v>1673</v>
      </c>
    </row>
    <row r="984" spans="1:17" x14ac:dyDescent="0.25">
      <c r="A984" s="20" t="s">
        <v>353</v>
      </c>
      <c r="B984" s="6">
        <v>4</v>
      </c>
      <c r="C984" s="6">
        <v>4</v>
      </c>
      <c r="D984" s="6">
        <v>1</v>
      </c>
      <c r="E984" s="6" t="s">
        <v>316</v>
      </c>
      <c r="F984" s="6" t="s">
        <v>317</v>
      </c>
      <c r="G984" s="19">
        <v>0</v>
      </c>
      <c r="H984" s="6">
        <v>1</v>
      </c>
      <c r="I984" s="6" t="s">
        <v>339</v>
      </c>
      <c r="J984" s="20">
        <v>0.68600000000000005</v>
      </c>
      <c r="K984" s="20">
        <v>41.302</v>
      </c>
      <c r="L984" s="6">
        <v>0</v>
      </c>
      <c r="M984" s="15">
        <v>0.05</v>
      </c>
      <c r="N984" s="16">
        <v>3.43</v>
      </c>
      <c r="O984" s="17">
        <v>206.51</v>
      </c>
      <c r="P984" s="16">
        <v>3.43</v>
      </c>
      <c r="Q984" s="17">
        <v>206.51</v>
      </c>
    </row>
    <row r="985" spans="1:17" x14ac:dyDescent="0.25">
      <c r="A985" s="20" t="s">
        <v>353</v>
      </c>
      <c r="B985" s="6">
        <v>4</v>
      </c>
      <c r="C985" s="6">
        <v>4</v>
      </c>
      <c r="D985" s="6">
        <v>1</v>
      </c>
      <c r="E985" s="6" t="s">
        <v>316</v>
      </c>
      <c r="F985" s="6" t="s">
        <v>317</v>
      </c>
      <c r="G985" s="19">
        <v>0</v>
      </c>
      <c r="H985" s="6">
        <v>1</v>
      </c>
      <c r="I985" s="6" t="s">
        <v>330</v>
      </c>
      <c r="J985" s="20" t="s">
        <v>1673</v>
      </c>
      <c r="K985" s="20" t="s">
        <v>1673</v>
      </c>
      <c r="L985" s="6" t="s">
        <v>1673</v>
      </c>
      <c r="M985" s="15" t="s">
        <v>1673</v>
      </c>
      <c r="N985" s="16" t="s">
        <v>1673</v>
      </c>
      <c r="O985" s="17" t="s">
        <v>1673</v>
      </c>
      <c r="P985" s="16" t="s">
        <v>1673</v>
      </c>
      <c r="Q985" s="17" t="s">
        <v>1673</v>
      </c>
    </row>
    <row r="986" spans="1:17" x14ac:dyDescent="0.25">
      <c r="A986" s="20" t="s">
        <v>353</v>
      </c>
      <c r="B986" s="6">
        <v>4</v>
      </c>
      <c r="C986" s="6">
        <v>4</v>
      </c>
      <c r="D986" s="6">
        <v>1</v>
      </c>
      <c r="E986" s="6" t="s">
        <v>355</v>
      </c>
      <c r="F986" s="6" t="s">
        <v>320</v>
      </c>
      <c r="G986" s="19">
        <v>1</v>
      </c>
      <c r="H986" s="6">
        <v>5</v>
      </c>
      <c r="I986" s="6" t="s">
        <v>339</v>
      </c>
      <c r="J986" s="20">
        <v>0.56799999999999995</v>
      </c>
      <c r="K986" s="20">
        <v>40.369999999999997</v>
      </c>
      <c r="L986" s="6">
        <v>0</v>
      </c>
      <c r="M986" s="15">
        <v>0.02</v>
      </c>
      <c r="N986" s="16">
        <v>5.68</v>
      </c>
      <c r="O986" s="17">
        <v>403.69999999999993</v>
      </c>
      <c r="P986" s="16">
        <v>5.68</v>
      </c>
      <c r="Q986" s="17">
        <v>403.69999999999987</v>
      </c>
    </row>
    <row r="987" spans="1:17" x14ac:dyDescent="0.25">
      <c r="A987" s="20" t="s">
        <v>353</v>
      </c>
      <c r="B987" s="6">
        <v>4</v>
      </c>
      <c r="C987" s="6">
        <v>4</v>
      </c>
      <c r="D987" s="6">
        <v>1</v>
      </c>
      <c r="E987" s="6" t="s">
        <v>355</v>
      </c>
      <c r="F987" s="6" t="s">
        <v>320</v>
      </c>
      <c r="G987" s="19">
        <v>1</v>
      </c>
      <c r="H987" s="6">
        <v>5</v>
      </c>
      <c r="I987" s="6" t="s">
        <v>330</v>
      </c>
      <c r="J987" s="20" t="s">
        <v>1673</v>
      </c>
      <c r="K987" s="20" t="s">
        <v>1673</v>
      </c>
      <c r="L987" s="6" t="s">
        <v>1673</v>
      </c>
      <c r="M987" s="15" t="s">
        <v>1673</v>
      </c>
      <c r="N987" s="16" t="s">
        <v>1673</v>
      </c>
      <c r="O987" s="17" t="s">
        <v>1673</v>
      </c>
      <c r="P987" s="16" t="s">
        <v>1673</v>
      </c>
      <c r="Q987" s="17" t="s">
        <v>1673</v>
      </c>
    </row>
    <row r="988" spans="1:17" x14ac:dyDescent="0.25">
      <c r="A988" s="20" t="s">
        <v>353</v>
      </c>
      <c r="B988" s="6">
        <v>4</v>
      </c>
      <c r="C988" s="6">
        <v>4</v>
      </c>
      <c r="D988" s="6">
        <v>1</v>
      </c>
      <c r="E988" s="6" t="s">
        <v>355</v>
      </c>
      <c r="F988" s="6" t="s">
        <v>321</v>
      </c>
      <c r="G988" s="19">
        <v>2</v>
      </c>
      <c r="H988" s="6">
        <v>5</v>
      </c>
      <c r="I988" s="6" t="s">
        <v>339</v>
      </c>
      <c r="J988" s="20">
        <v>0.59</v>
      </c>
      <c r="K988" s="20">
        <v>40.701999999999998</v>
      </c>
      <c r="L988" s="6">
        <v>0</v>
      </c>
      <c r="M988" s="15">
        <v>3.125E-2</v>
      </c>
      <c r="N988" s="16">
        <v>9.21875</v>
      </c>
      <c r="O988" s="17">
        <v>635.96875</v>
      </c>
      <c r="P988" s="16">
        <v>9.21875</v>
      </c>
      <c r="Q988" s="17">
        <v>635.96875</v>
      </c>
    </row>
    <row r="989" spans="1:17" x14ac:dyDescent="0.25">
      <c r="A989" s="20" t="s">
        <v>353</v>
      </c>
      <c r="B989" s="6">
        <v>4</v>
      </c>
      <c r="C989" s="6">
        <v>4</v>
      </c>
      <c r="D989" s="6">
        <v>1</v>
      </c>
      <c r="E989" s="6" t="s">
        <v>355</v>
      </c>
      <c r="F989" s="6" t="s">
        <v>321</v>
      </c>
      <c r="G989" s="19">
        <v>2</v>
      </c>
      <c r="H989" s="6">
        <v>5</v>
      </c>
      <c r="I989" s="6" t="s">
        <v>330</v>
      </c>
      <c r="J989" s="20" t="s">
        <v>1673</v>
      </c>
      <c r="K989" s="20" t="s">
        <v>1673</v>
      </c>
      <c r="L989" s="6" t="s">
        <v>1673</v>
      </c>
      <c r="M989" s="15" t="s">
        <v>1673</v>
      </c>
      <c r="N989" s="16" t="s">
        <v>1673</v>
      </c>
      <c r="O989" s="17" t="s">
        <v>1673</v>
      </c>
      <c r="P989" s="16" t="s">
        <v>1673</v>
      </c>
      <c r="Q989" s="17" t="s">
        <v>1673</v>
      </c>
    </row>
    <row r="990" spans="1:17" x14ac:dyDescent="0.25">
      <c r="A990" s="20" t="s">
        <v>353</v>
      </c>
      <c r="B990" s="6">
        <v>4</v>
      </c>
      <c r="C990" s="6">
        <v>4</v>
      </c>
      <c r="D990" s="6">
        <v>1</v>
      </c>
      <c r="E990" s="6" t="s">
        <v>355</v>
      </c>
      <c r="F990" s="6" t="s">
        <v>322</v>
      </c>
      <c r="G990" s="19">
        <v>3</v>
      </c>
      <c r="H990" s="6">
        <v>5</v>
      </c>
      <c r="I990" s="6" t="s">
        <v>339</v>
      </c>
      <c r="J990" s="20">
        <v>1.0189999999999999</v>
      </c>
      <c r="K990" s="20">
        <v>37.057000000000002</v>
      </c>
      <c r="L990" s="6">
        <v>0</v>
      </c>
      <c r="M990" s="15">
        <v>3.875E-2</v>
      </c>
      <c r="N990" s="16">
        <v>19.743124999999999</v>
      </c>
      <c r="O990" s="17">
        <v>717.979375</v>
      </c>
      <c r="P990" s="16">
        <v>19.743124999999999</v>
      </c>
      <c r="Q990" s="17">
        <v>717.979375</v>
      </c>
    </row>
    <row r="991" spans="1:17" x14ac:dyDescent="0.25">
      <c r="A991" s="20" t="s">
        <v>353</v>
      </c>
      <c r="B991" s="6">
        <v>4</v>
      </c>
      <c r="C991" s="6">
        <v>4</v>
      </c>
      <c r="D991" s="6">
        <v>1</v>
      </c>
      <c r="E991" s="6" t="s">
        <v>355</v>
      </c>
      <c r="F991" s="6" t="s">
        <v>322</v>
      </c>
      <c r="G991" s="19">
        <v>3</v>
      </c>
      <c r="H991" s="6">
        <v>5</v>
      </c>
      <c r="I991" s="6" t="s">
        <v>330</v>
      </c>
      <c r="J991" s="20" t="s">
        <v>1673</v>
      </c>
      <c r="K991" s="20" t="s">
        <v>1673</v>
      </c>
      <c r="L991" s="6" t="s">
        <v>1673</v>
      </c>
      <c r="M991" s="15" t="s">
        <v>1673</v>
      </c>
      <c r="N991" s="16" t="s">
        <v>1673</v>
      </c>
      <c r="O991" s="17" t="s">
        <v>1673</v>
      </c>
      <c r="P991" s="16" t="s">
        <v>1673</v>
      </c>
      <c r="Q991" s="17" t="s">
        <v>1673</v>
      </c>
    </row>
    <row r="992" spans="1:17" x14ac:dyDescent="0.25">
      <c r="A992" s="20" t="s">
        <v>353</v>
      </c>
      <c r="B992" s="6">
        <v>4</v>
      </c>
      <c r="C992" s="6">
        <v>4</v>
      </c>
      <c r="D992" s="6">
        <v>1</v>
      </c>
      <c r="E992" s="6" t="s">
        <v>355</v>
      </c>
      <c r="F992" s="14" t="s">
        <v>324</v>
      </c>
      <c r="G992" s="18">
        <v>4</v>
      </c>
      <c r="H992" s="6">
        <v>4</v>
      </c>
      <c r="I992" s="6" t="s">
        <v>339</v>
      </c>
      <c r="J992" s="20">
        <v>1.4910000000000001</v>
      </c>
      <c r="K992" s="20">
        <v>45.045999999999999</v>
      </c>
      <c r="L992" s="6">
        <v>0</v>
      </c>
      <c r="M992" s="15">
        <v>8.3673469387755092E-2</v>
      </c>
      <c r="N992" s="16">
        <v>49.902857142857144</v>
      </c>
      <c r="O992" s="17">
        <v>1507.6620408163265</v>
      </c>
      <c r="P992" s="16">
        <v>62.378571428571433</v>
      </c>
      <c r="Q992" s="17">
        <v>1884.577551020408</v>
      </c>
    </row>
    <row r="993" spans="1:17" x14ac:dyDescent="0.25">
      <c r="A993" s="20" t="s">
        <v>353</v>
      </c>
      <c r="B993" s="6">
        <v>4</v>
      </c>
      <c r="C993" s="6">
        <v>4</v>
      </c>
      <c r="D993" s="6">
        <v>1</v>
      </c>
      <c r="E993" s="6" t="s">
        <v>355</v>
      </c>
      <c r="F993" s="14" t="s">
        <v>324</v>
      </c>
      <c r="G993" s="18">
        <v>4</v>
      </c>
      <c r="H993" s="6">
        <v>4</v>
      </c>
      <c r="I993" s="6" t="s">
        <v>330</v>
      </c>
      <c r="J993" s="20" t="s">
        <v>1673</v>
      </c>
      <c r="K993" s="20" t="s">
        <v>1673</v>
      </c>
      <c r="L993" s="6" t="s">
        <v>1673</v>
      </c>
      <c r="M993" s="15" t="s">
        <v>1673</v>
      </c>
      <c r="N993" s="16" t="s">
        <v>1673</v>
      </c>
      <c r="O993" s="17" t="s">
        <v>1673</v>
      </c>
      <c r="P993" s="16" t="s">
        <v>1673</v>
      </c>
      <c r="Q993" s="17" t="s">
        <v>1673</v>
      </c>
    </row>
    <row r="994" spans="1:17" x14ac:dyDescent="0.25">
      <c r="A994" s="20" t="s">
        <v>353</v>
      </c>
      <c r="B994" s="6">
        <v>4</v>
      </c>
      <c r="C994" s="6">
        <v>4</v>
      </c>
      <c r="D994" s="6">
        <v>3</v>
      </c>
      <c r="E994" s="6" t="s">
        <v>316</v>
      </c>
      <c r="F994" s="6" t="s">
        <v>317</v>
      </c>
      <c r="G994" s="19">
        <v>0</v>
      </c>
      <c r="H994" s="6">
        <v>1</v>
      </c>
      <c r="I994" s="6" t="s">
        <v>339</v>
      </c>
      <c r="J994" s="20">
        <v>0.98699999999999999</v>
      </c>
      <c r="K994" s="20">
        <v>45.835000000000001</v>
      </c>
      <c r="L994" s="6">
        <v>0</v>
      </c>
      <c r="M994" s="15">
        <v>6.2857142857142861E-2</v>
      </c>
      <c r="N994" s="16">
        <v>6.2040000000000015</v>
      </c>
      <c r="O994" s="17">
        <v>288.10571428571433</v>
      </c>
      <c r="P994" s="16">
        <v>6.2040000000000015</v>
      </c>
      <c r="Q994" s="17">
        <v>288.10571428571433</v>
      </c>
    </row>
    <row r="995" spans="1:17" x14ac:dyDescent="0.25">
      <c r="A995" s="20" t="s">
        <v>353</v>
      </c>
      <c r="B995" s="6">
        <v>4</v>
      </c>
      <c r="C995" s="6">
        <v>4</v>
      </c>
      <c r="D995" s="6">
        <v>3</v>
      </c>
      <c r="E995" s="6" t="s">
        <v>316</v>
      </c>
      <c r="F995" s="6" t="s">
        <v>317</v>
      </c>
      <c r="G995" s="19">
        <v>0</v>
      </c>
      <c r="H995" s="6">
        <v>1</v>
      </c>
      <c r="I995" s="6" t="s">
        <v>330</v>
      </c>
      <c r="J995" s="20" t="s">
        <v>1673</v>
      </c>
      <c r="K995" s="20" t="s">
        <v>1673</v>
      </c>
      <c r="L995" s="6" t="s">
        <v>1673</v>
      </c>
      <c r="M995" s="15" t="s">
        <v>1673</v>
      </c>
      <c r="N995" s="16" t="s">
        <v>1673</v>
      </c>
      <c r="O995" s="17" t="s">
        <v>1673</v>
      </c>
      <c r="P995" s="16" t="s">
        <v>1673</v>
      </c>
      <c r="Q995" s="17" t="s">
        <v>1673</v>
      </c>
    </row>
    <row r="996" spans="1:17" x14ac:dyDescent="0.25">
      <c r="A996" s="20" t="s">
        <v>353</v>
      </c>
      <c r="B996" s="6">
        <v>4</v>
      </c>
      <c r="C996" s="6">
        <v>4</v>
      </c>
      <c r="D996" s="6">
        <v>3</v>
      </c>
      <c r="E996" s="6" t="s">
        <v>355</v>
      </c>
      <c r="F996" s="6" t="s">
        <v>320</v>
      </c>
      <c r="G996" s="19">
        <v>1</v>
      </c>
      <c r="H996" s="6">
        <v>5</v>
      </c>
      <c r="I996" s="6" t="s">
        <v>339</v>
      </c>
      <c r="J996" s="20">
        <v>1.2829999999999999</v>
      </c>
      <c r="K996" s="20">
        <v>41.323</v>
      </c>
      <c r="L996" s="6">
        <v>0</v>
      </c>
      <c r="M996" s="15">
        <v>8.900000000000001E-2</v>
      </c>
      <c r="N996" s="16">
        <v>57.093500000000006</v>
      </c>
      <c r="O996" s="17">
        <v>1838.8735000000004</v>
      </c>
      <c r="P996" s="16">
        <v>57.093499999999999</v>
      </c>
      <c r="Q996" s="17">
        <v>1838.8735000000001</v>
      </c>
    </row>
    <row r="997" spans="1:17" x14ac:dyDescent="0.25">
      <c r="A997" s="20" t="s">
        <v>353</v>
      </c>
      <c r="B997" s="6">
        <v>4</v>
      </c>
      <c r="C997" s="6">
        <v>4</v>
      </c>
      <c r="D997" s="6">
        <v>3</v>
      </c>
      <c r="E997" s="6" t="s">
        <v>355</v>
      </c>
      <c r="F997" s="6" t="s">
        <v>320</v>
      </c>
      <c r="G997" s="19">
        <v>1</v>
      </c>
      <c r="H997" s="6">
        <v>5</v>
      </c>
      <c r="I997" s="6" t="s">
        <v>330</v>
      </c>
      <c r="J997" s="20">
        <v>0.52200000000000002</v>
      </c>
      <c r="K997" s="20">
        <v>49.189</v>
      </c>
      <c r="L997" s="6">
        <v>0</v>
      </c>
      <c r="M997" s="15">
        <v>1E-3</v>
      </c>
      <c r="N997" s="16">
        <v>0.26100000000000001</v>
      </c>
      <c r="O997" s="17">
        <v>24.5945</v>
      </c>
      <c r="P997" s="16">
        <v>0.26100000000000001</v>
      </c>
      <c r="Q997" s="17">
        <v>24.5945</v>
      </c>
    </row>
    <row r="998" spans="1:17" x14ac:dyDescent="0.25">
      <c r="A998" s="20" t="s">
        <v>353</v>
      </c>
      <c r="B998" s="6">
        <v>4</v>
      </c>
      <c r="C998" s="6">
        <v>4</v>
      </c>
      <c r="D998" s="6">
        <v>3</v>
      </c>
      <c r="E998" s="6" t="s">
        <v>355</v>
      </c>
      <c r="F998" s="6" t="s">
        <v>321</v>
      </c>
      <c r="G998" s="19">
        <v>2</v>
      </c>
      <c r="H998" s="6">
        <v>5</v>
      </c>
      <c r="I998" s="6" t="s">
        <v>339</v>
      </c>
      <c r="J998" s="20">
        <v>1.79</v>
      </c>
      <c r="K998" s="20">
        <v>37.826999999999998</v>
      </c>
      <c r="L998" s="6">
        <v>0</v>
      </c>
      <c r="M998" s="15">
        <v>0.14499999999999999</v>
      </c>
      <c r="N998" s="16">
        <v>129.77500000000001</v>
      </c>
      <c r="O998" s="17">
        <v>2742.4575</v>
      </c>
      <c r="P998" s="16">
        <v>129.77500000000001</v>
      </c>
      <c r="Q998" s="17">
        <v>2742.4575</v>
      </c>
    </row>
    <row r="999" spans="1:17" x14ac:dyDescent="0.25">
      <c r="A999" s="20" t="s">
        <v>353</v>
      </c>
      <c r="B999" s="6">
        <v>4</v>
      </c>
      <c r="C999" s="6">
        <v>4</v>
      </c>
      <c r="D999" s="6">
        <v>3</v>
      </c>
      <c r="E999" s="6" t="s">
        <v>355</v>
      </c>
      <c r="F999" s="6" t="s">
        <v>321</v>
      </c>
      <c r="G999" s="19">
        <v>2</v>
      </c>
      <c r="H999" s="6">
        <v>5</v>
      </c>
      <c r="I999" s="6" t="s">
        <v>330</v>
      </c>
      <c r="J999" s="20">
        <v>0.93700000000000006</v>
      </c>
      <c r="K999" s="20">
        <v>48.920999999999999</v>
      </c>
      <c r="L999" s="6">
        <v>0</v>
      </c>
      <c r="M999" s="15">
        <v>1.6666666666666668E-3</v>
      </c>
      <c r="N999" s="16">
        <v>0.78083333333333338</v>
      </c>
      <c r="O999" s="17">
        <v>40.767500000000005</v>
      </c>
      <c r="P999" s="16">
        <v>0.78083333333333327</v>
      </c>
      <c r="Q999" s="17">
        <v>40.767500000000005</v>
      </c>
    </row>
    <row r="1000" spans="1:17" x14ac:dyDescent="0.25">
      <c r="A1000" s="20" t="s">
        <v>353</v>
      </c>
      <c r="B1000" s="6">
        <v>4</v>
      </c>
      <c r="C1000" s="6">
        <v>4</v>
      </c>
      <c r="D1000" s="6">
        <v>3</v>
      </c>
      <c r="E1000" s="6" t="s">
        <v>355</v>
      </c>
      <c r="F1000" s="6" t="s">
        <v>322</v>
      </c>
      <c r="G1000" s="19">
        <v>3</v>
      </c>
      <c r="H1000" s="6">
        <v>5</v>
      </c>
      <c r="I1000" s="6" t="s">
        <v>339</v>
      </c>
      <c r="J1000" s="20">
        <v>1.782</v>
      </c>
      <c r="K1000" s="20">
        <v>35.786999999999999</v>
      </c>
      <c r="L1000" s="6">
        <v>0</v>
      </c>
      <c r="M1000" s="15">
        <v>0.16222222222222221</v>
      </c>
      <c r="N1000" s="16">
        <v>144.54</v>
      </c>
      <c r="O1000" s="17">
        <v>2902.7233333333329</v>
      </c>
      <c r="P1000" s="16">
        <v>144.54</v>
      </c>
      <c r="Q1000" s="17">
        <v>2902.7233333333329</v>
      </c>
    </row>
    <row r="1001" spans="1:17" x14ac:dyDescent="0.25">
      <c r="A1001" s="20" t="s">
        <v>353</v>
      </c>
      <c r="B1001" s="6">
        <v>4</v>
      </c>
      <c r="C1001" s="6">
        <v>4</v>
      </c>
      <c r="D1001" s="6">
        <v>3</v>
      </c>
      <c r="E1001" s="6" t="s">
        <v>355</v>
      </c>
      <c r="F1001" s="6" t="s">
        <v>322</v>
      </c>
      <c r="G1001" s="19">
        <v>3</v>
      </c>
      <c r="H1001" s="6">
        <v>5</v>
      </c>
      <c r="I1001" s="6" t="s">
        <v>330</v>
      </c>
      <c r="J1001" s="20" t="s">
        <v>1673</v>
      </c>
      <c r="K1001" s="20" t="s">
        <v>1673</v>
      </c>
      <c r="L1001" s="6" t="s">
        <v>1673</v>
      </c>
      <c r="M1001" s="15" t="s">
        <v>1673</v>
      </c>
      <c r="N1001" s="16" t="s">
        <v>1673</v>
      </c>
      <c r="O1001" s="17" t="s">
        <v>1673</v>
      </c>
      <c r="P1001" s="16" t="s">
        <v>1673</v>
      </c>
      <c r="Q1001" s="17" t="s">
        <v>1673</v>
      </c>
    </row>
    <row r="1002" spans="1:17" x14ac:dyDescent="0.25">
      <c r="A1002" s="20" t="s">
        <v>353</v>
      </c>
      <c r="B1002" s="6">
        <v>4</v>
      </c>
      <c r="C1002" s="6">
        <v>4</v>
      </c>
      <c r="D1002" s="6">
        <v>3</v>
      </c>
      <c r="E1002" s="6" t="s">
        <v>355</v>
      </c>
      <c r="F1002" s="14" t="s">
        <v>324</v>
      </c>
      <c r="G1002" s="18">
        <v>4</v>
      </c>
      <c r="H1002" s="6">
        <v>4</v>
      </c>
      <c r="I1002" s="6" t="s">
        <v>339</v>
      </c>
      <c r="J1002" s="20">
        <v>1.615</v>
      </c>
      <c r="K1002" s="20">
        <v>27.689</v>
      </c>
      <c r="L1002" s="6">
        <v>0</v>
      </c>
      <c r="M1002" s="15">
        <v>0.24772727272727274</v>
      </c>
      <c r="N1002" s="16">
        <v>160.03181818181821</v>
      </c>
      <c r="O1002" s="17">
        <v>2743.7281818181823</v>
      </c>
      <c r="P1002" s="16">
        <v>200.03977272727278</v>
      </c>
      <c r="Q1002" s="17">
        <v>3429.6602272727278</v>
      </c>
    </row>
    <row r="1003" spans="1:17" x14ac:dyDescent="0.25">
      <c r="A1003" s="20" t="s">
        <v>353</v>
      </c>
      <c r="B1003" s="6">
        <v>4</v>
      </c>
      <c r="C1003" s="6">
        <v>4</v>
      </c>
      <c r="D1003" s="6">
        <v>3</v>
      </c>
      <c r="E1003" s="6" t="s">
        <v>355</v>
      </c>
      <c r="F1003" s="14" t="s">
        <v>324</v>
      </c>
      <c r="G1003" s="18">
        <v>4</v>
      </c>
      <c r="H1003" s="6">
        <v>4</v>
      </c>
      <c r="I1003" s="6" t="s">
        <v>330</v>
      </c>
      <c r="J1003" s="20" t="s">
        <v>1673</v>
      </c>
      <c r="K1003" s="20" t="s">
        <v>1673</v>
      </c>
      <c r="L1003" s="6" t="s">
        <v>1673</v>
      </c>
      <c r="M1003" s="15" t="s">
        <v>1673</v>
      </c>
      <c r="N1003" s="16" t="s">
        <v>1673</v>
      </c>
      <c r="O1003" s="17" t="s">
        <v>1673</v>
      </c>
      <c r="P1003" s="16" t="s">
        <v>1673</v>
      </c>
      <c r="Q1003" s="17" t="s">
        <v>1673</v>
      </c>
    </row>
    <row r="1004" spans="1:17" x14ac:dyDescent="0.25">
      <c r="A1004" s="20" t="s">
        <v>353</v>
      </c>
      <c r="B1004" s="6">
        <v>4</v>
      </c>
      <c r="C1004" s="6">
        <v>4</v>
      </c>
      <c r="D1004" s="6" t="s">
        <v>340</v>
      </c>
      <c r="E1004" s="6" t="s">
        <v>316</v>
      </c>
      <c r="F1004" s="6" t="s">
        <v>317</v>
      </c>
      <c r="G1004" s="19">
        <v>0</v>
      </c>
      <c r="H1004" s="6">
        <v>8.5</v>
      </c>
      <c r="I1004" s="6" t="s">
        <v>339</v>
      </c>
      <c r="J1004" s="20">
        <v>1.181</v>
      </c>
      <c r="K1004" s="20">
        <v>43.338999999999999</v>
      </c>
      <c r="L1004" s="6">
        <v>0</v>
      </c>
      <c r="M1004" s="15">
        <v>1.0980392156862745E-2</v>
      </c>
      <c r="N1004" s="16">
        <v>11.022666666666668</v>
      </c>
      <c r="O1004" s="17">
        <v>404.49733333333336</v>
      </c>
      <c r="P1004" s="16">
        <v>11.022666666666668</v>
      </c>
      <c r="Q1004" s="17">
        <v>404.49733333333336</v>
      </c>
    </row>
    <row r="1005" spans="1:17" x14ac:dyDescent="0.25">
      <c r="A1005" s="20" t="s">
        <v>353</v>
      </c>
      <c r="B1005" s="6">
        <v>4</v>
      </c>
      <c r="C1005" s="6">
        <v>4</v>
      </c>
      <c r="D1005" s="6" t="s">
        <v>340</v>
      </c>
      <c r="E1005" s="6" t="s">
        <v>316</v>
      </c>
      <c r="F1005" s="6" t="s">
        <v>317</v>
      </c>
      <c r="G1005" s="19">
        <v>0</v>
      </c>
      <c r="H1005" s="6">
        <v>8.5</v>
      </c>
      <c r="I1005" s="6" t="s">
        <v>330</v>
      </c>
      <c r="J1005" s="20" t="s">
        <v>1673</v>
      </c>
      <c r="K1005" s="20" t="s">
        <v>1673</v>
      </c>
      <c r="L1005" s="6" t="s">
        <v>1673</v>
      </c>
      <c r="M1005" s="15" t="s">
        <v>1673</v>
      </c>
      <c r="N1005" s="16" t="s">
        <v>1673</v>
      </c>
      <c r="O1005" s="17" t="s">
        <v>1673</v>
      </c>
      <c r="P1005" s="16" t="s">
        <v>1673</v>
      </c>
      <c r="Q1005" s="17" t="s">
        <v>1673</v>
      </c>
    </row>
    <row r="1006" spans="1:17" x14ac:dyDescent="0.25">
      <c r="A1006" s="20" t="s">
        <v>353</v>
      </c>
      <c r="B1006" s="6">
        <v>4</v>
      </c>
      <c r="C1006" s="6">
        <v>4</v>
      </c>
      <c r="D1006" s="6" t="s">
        <v>340</v>
      </c>
      <c r="E1006" s="6" t="s">
        <v>355</v>
      </c>
      <c r="F1006" s="6" t="s">
        <v>320</v>
      </c>
      <c r="G1006" s="19">
        <v>1</v>
      </c>
      <c r="H1006" s="6">
        <v>5</v>
      </c>
      <c r="I1006" s="6" t="s">
        <v>339</v>
      </c>
      <c r="J1006" s="20">
        <v>1.319</v>
      </c>
      <c r="K1006" s="20">
        <v>37.317</v>
      </c>
      <c r="L1006" s="6">
        <v>0</v>
      </c>
      <c r="M1006" s="15">
        <v>5.3999999999999999E-2</v>
      </c>
      <c r="N1006" s="16">
        <v>35.613</v>
      </c>
      <c r="O1006" s="17">
        <v>1007.559</v>
      </c>
      <c r="P1006" s="16">
        <v>35.613000000000007</v>
      </c>
      <c r="Q1006" s="17">
        <v>1007.559</v>
      </c>
    </row>
    <row r="1007" spans="1:17" x14ac:dyDescent="0.25">
      <c r="A1007" s="20" t="s">
        <v>353</v>
      </c>
      <c r="B1007" s="6">
        <v>4</v>
      </c>
      <c r="C1007" s="6">
        <v>4</v>
      </c>
      <c r="D1007" s="6" t="s">
        <v>340</v>
      </c>
      <c r="E1007" s="6" t="s">
        <v>355</v>
      </c>
      <c r="F1007" s="6" t="s">
        <v>320</v>
      </c>
      <c r="G1007" s="19">
        <v>1</v>
      </c>
      <c r="H1007" s="6">
        <v>5</v>
      </c>
      <c r="I1007" s="6" t="s">
        <v>330</v>
      </c>
      <c r="J1007" s="20">
        <v>0.68100000000000005</v>
      </c>
      <c r="K1007" s="20">
        <v>44.792000000000002</v>
      </c>
      <c r="L1007" s="6">
        <v>0</v>
      </c>
      <c r="M1007" s="15">
        <v>6.0000000000000001E-3</v>
      </c>
      <c r="N1007" s="16">
        <v>2.0430000000000001</v>
      </c>
      <c r="O1007" s="17">
        <v>134.376</v>
      </c>
      <c r="P1007" s="16">
        <v>2.0430000000000001</v>
      </c>
      <c r="Q1007" s="17">
        <v>134.37600000000003</v>
      </c>
    </row>
    <row r="1008" spans="1:17" x14ac:dyDescent="0.25">
      <c r="A1008" s="20" t="s">
        <v>353</v>
      </c>
      <c r="B1008" s="6">
        <v>4</v>
      </c>
      <c r="C1008" s="6">
        <v>4</v>
      </c>
      <c r="D1008" s="6" t="s">
        <v>340</v>
      </c>
      <c r="E1008" s="6" t="s">
        <v>355</v>
      </c>
      <c r="F1008" s="6" t="s">
        <v>321</v>
      </c>
      <c r="G1008" s="19">
        <v>2</v>
      </c>
      <c r="H1008" s="6">
        <v>5</v>
      </c>
      <c r="I1008" s="6" t="s">
        <v>339</v>
      </c>
      <c r="J1008" s="20">
        <v>1.909</v>
      </c>
      <c r="K1008" s="20">
        <v>35.427999999999997</v>
      </c>
      <c r="L1008" s="6">
        <v>0</v>
      </c>
      <c r="M1008" s="15">
        <v>0.13919999999999999</v>
      </c>
      <c r="N1008" s="16">
        <v>132.8664</v>
      </c>
      <c r="O1008" s="17">
        <v>2465.7887999999998</v>
      </c>
      <c r="P1008" s="16">
        <v>132.8664</v>
      </c>
      <c r="Q1008" s="17">
        <v>2465.7887999999998</v>
      </c>
    </row>
    <row r="1009" spans="1:17" x14ac:dyDescent="0.25">
      <c r="A1009" s="20" t="s">
        <v>353</v>
      </c>
      <c r="B1009" s="6">
        <v>4</v>
      </c>
      <c r="C1009" s="6">
        <v>4</v>
      </c>
      <c r="D1009" s="6" t="s">
        <v>340</v>
      </c>
      <c r="E1009" s="6" t="s">
        <v>355</v>
      </c>
      <c r="F1009" s="6" t="s">
        <v>321</v>
      </c>
      <c r="G1009" s="19">
        <v>2</v>
      </c>
      <c r="H1009" s="6">
        <v>5</v>
      </c>
      <c r="I1009" s="6" t="s">
        <v>330</v>
      </c>
      <c r="J1009" s="20">
        <v>0.70699999999999996</v>
      </c>
      <c r="K1009" s="20">
        <v>43.987000000000002</v>
      </c>
      <c r="L1009" s="6">
        <v>0</v>
      </c>
      <c r="M1009" s="15">
        <v>8.0000000000000002E-3</v>
      </c>
      <c r="N1009" s="16">
        <v>2.8279999999999998</v>
      </c>
      <c r="O1009" s="17">
        <v>175.94800000000001</v>
      </c>
      <c r="P1009" s="16">
        <v>2.8279999999999998</v>
      </c>
      <c r="Q1009" s="17">
        <v>175.94800000000004</v>
      </c>
    </row>
    <row r="1010" spans="1:17" x14ac:dyDescent="0.25">
      <c r="A1010" s="20" t="s">
        <v>353</v>
      </c>
      <c r="B1010" s="6">
        <v>4</v>
      </c>
      <c r="C1010" s="6">
        <v>4</v>
      </c>
      <c r="D1010" s="6" t="s">
        <v>340</v>
      </c>
      <c r="E1010" s="6" t="s">
        <v>355</v>
      </c>
      <c r="F1010" s="6" t="s">
        <v>322</v>
      </c>
      <c r="G1010" s="19">
        <v>3</v>
      </c>
      <c r="H1010" s="6">
        <v>5</v>
      </c>
      <c r="I1010" s="6" t="s">
        <v>339</v>
      </c>
      <c r="J1010" s="20">
        <v>2.7229999999999999</v>
      </c>
      <c r="K1010" s="20">
        <v>42.95</v>
      </c>
      <c r="L1010" s="6">
        <v>0</v>
      </c>
      <c r="M1010" s="15">
        <v>0.14399999999999999</v>
      </c>
      <c r="N1010" s="16">
        <v>196.05599999999998</v>
      </c>
      <c r="O1010" s="17">
        <v>3092.4000000000005</v>
      </c>
      <c r="P1010" s="16">
        <v>196.05599999999998</v>
      </c>
      <c r="Q1010" s="17">
        <v>3092.4</v>
      </c>
    </row>
    <row r="1011" spans="1:17" x14ac:dyDescent="0.25">
      <c r="A1011" s="20" t="s">
        <v>353</v>
      </c>
      <c r="B1011" s="6">
        <v>4</v>
      </c>
      <c r="C1011" s="6">
        <v>4</v>
      </c>
      <c r="D1011" s="6" t="s">
        <v>340</v>
      </c>
      <c r="E1011" s="6" t="s">
        <v>355</v>
      </c>
      <c r="F1011" s="6" t="s">
        <v>322</v>
      </c>
      <c r="G1011" s="19">
        <v>3</v>
      </c>
      <c r="H1011" s="6">
        <v>5</v>
      </c>
      <c r="I1011" s="6" t="s">
        <v>330</v>
      </c>
      <c r="J1011" s="20" t="s">
        <v>1673</v>
      </c>
      <c r="K1011" s="20" t="s">
        <v>1673</v>
      </c>
      <c r="L1011" s="6" t="s">
        <v>1673</v>
      </c>
      <c r="M1011" s="15" t="s">
        <v>1673</v>
      </c>
      <c r="N1011" s="16" t="s">
        <v>1673</v>
      </c>
      <c r="O1011" s="17" t="s">
        <v>1673</v>
      </c>
      <c r="P1011" s="16" t="s">
        <v>1673</v>
      </c>
      <c r="Q1011" s="17" t="s">
        <v>1673</v>
      </c>
    </row>
    <row r="1012" spans="1:17" x14ac:dyDescent="0.25">
      <c r="A1012" s="20" t="s">
        <v>353</v>
      </c>
      <c r="B1012" s="6">
        <v>4</v>
      </c>
      <c r="C1012" s="6">
        <v>4</v>
      </c>
      <c r="D1012" s="6" t="s">
        <v>340</v>
      </c>
      <c r="E1012" s="6" t="s">
        <v>355</v>
      </c>
      <c r="F1012" s="14" t="s">
        <v>324</v>
      </c>
      <c r="G1012" s="18">
        <v>4</v>
      </c>
      <c r="H1012" s="6">
        <v>4</v>
      </c>
      <c r="I1012" s="6" t="s">
        <v>339</v>
      </c>
      <c r="J1012" s="20">
        <v>2.9129999999999998</v>
      </c>
      <c r="K1012" s="20">
        <v>42.843000000000004</v>
      </c>
      <c r="L1012" s="6">
        <v>0</v>
      </c>
      <c r="M1012" s="15">
        <v>0.14000000000000001</v>
      </c>
      <c r="N1012" s="16">
        <v>163.12800000000001</v>
      </c>
      <c r="O1012" s="17">
        <v>2399.2080000000005</v>
      </c>
      <c r="P1012" s="16">
        <v>203.91000000000003</v>
      </c>
      <c r="Q1012" s="17">
        <v>2999.01</v>
      </c>
    </row>
    <row r="1013" spans="1:17" x14ac:dyDescent="0.25">
      <c r="A1013" s="20" t="s">
        <v>353</v>
      </c>
      <c r="B1013" s="6">
        <v>4</v>
      </c>
      <c r="C1013" s="6">
        <v>4</v>
      </c>
      <c r="D1013" s="6" t="s">
        <v>340</v>
      </c>
      <c r="E1013" s="6" t="s">
        <v>355</v>
      </c>
      <c r="F1013" s="14" t="s">
        <v>324</v>
      </c>
      <c r="G1013" s="18">
        <v>4</v>
      </c>
      <c r="H1013" s="6">
        <v>4</v>
      </c>
      <c r="I1013" s="6" t="s">
        <v>330</v>
      </c>
      <c r="J1013" s="20">
        <v>1.88</v>
      </c>
      <c r="K1013" s="20">
        <v>45.043999999999997</v>
      </c>
      <c r="L1013" s="6">
        <v>0</v>
      </c>
      <c r="M1013" s="15">
        <v>6.9999999999999993E-3</v>
      </c>
      <c r="N1013" s="16">
        <v>5.2639999999999985</v>
      </c>
      <c r="O1013" s="17">
        <v>126.12319999999995</v>
      </c>
      <c r="P1013" s="16">
        <v>6.5799999999999983</v>
      </c>
      <c r="Q1013" s="17">
        <v>157.65399999999997</v>
      </c>
    </row>
    <row r="1014" spans="1:17" x14ac:dyDescent="0.25">
      <c r="A1014" s="20" t="s">
        <v>353</v>
      </c>
      <c r="B1014" s="6">
        <v>5</v>
      </c>
      <c r="C1014" s="6">
        <v>5</v>
      </c>
      <c r="D1014" s="6">
        <v>1</v>
      </c>
      <c r="E1014" s="6" t="s">
        <v>316</v>
      </c>
      <c r="F1014" s="21" t="s">
        <v>317</v>
      </c>
      <c r="G1014" s="18">
        <v>0</v>
      </c>
      <c r="H1014" s="6">
        <v>3.6666666666666665</v>
      </c>
      <c r="I1014" s="6" t="s">
        <v>318</v>
      </c>
      <c r="J1014" s="20">
        <v>0.71299999999999997</v>
      </c>
      <c r="K1014" s="20">
        <v>41.459000000000003</v>
      </c>
      <c r="L1014" s="6">
        <v>0</v>
      </c>
      <c r="M1014" s="15">
        <v>1.3181818181818182E-2</v>
      </c>
      <c r="N1014" s="16">
        <v>3.4461666666666666</v>
      </c>
      <c r="O1014" s="17">
        <v>200.38516666666666</v>
      </c>
      <c r="P1014" s="16">
        <v>3.4461666666666666</v>
      </c>
      <c r="Q1014" s="17">
        <v>200.38516666666666</v>
      </c>
    </row>
    <row r="1015" spans="1:17" x14ac:dyDescent="0.25">
      <c r="A1015" s="20" t="s">
        <v>353</v>
      </c>
      <c r="B1015" s="6">
        <v>5</v>
      </c>
      <c r="C1015" s="6">
        <v>5</v>
      </c>
      <c r="D1015" s="6">
        <v>1</v>
      </c>
      <c r="E1015" s="6" t="s">
        <v>316</v>
      </c>
      <c r="F1015" s="21" t="s">
        <v>317</v>
      </c>
      <c r="G1015" s="18">
        <v>0</v>
      </c>
      <c r="H1015" s="6">
        <v>3.6666666666666665</v>
      </c>
      <c r="I1015" s="6" t="s">
        <v>319</v>
      </c>
      <c r="J1015" s="6" t="s">
        <v>1673</v>
      </c>
      <c r="K1015" s="6" t="s">
        <v>1673</v>
      </c>
      <c r="L1015" s="6" t="s">
        <v>1673</v>
      </c>
      <c r="M1015" s="15" t="s">
        <v>1673</v>
      </c>
      <c r="N1015" s="16" t="s">
        <v>1673</v>
      </c>
      <c r="O1015" s="17" t="s">
        <v>1673</v>
      </c>
      <c r="P1015" s="16" t="s">
        <v>1673</v>
      </c>
      <c r="Q1015" s="17" t="s">
        <v>1673</v>
      </c>
    </row>
    <row r="1016" spans="1:17" x14ac:dyDescent="0.25">
      <c r="A1016" s="20" t="s">
        <v>353</v>
      </c>
      <c r="B1016" s="6">
        <v>5</v>
      </c>
      <c r="C1016" s="6">
        <v>5</v>
      </c>
      <c r="D1016" s="6">
        <v>1</v>
      </c>
      <c r="E1016" s="6" t="s">
        <v>355</v>
      </c>
      <c r="F1016" s="14" t="s">
        <v>320</v>
      </c>
      <c r="G1016" s="18">
        <v>1</v>
      </c>
      <c r="H1016" s="6">
        <v>5</v>
      </c>
      <c r="I1016" s="6" t="s">
        <v>318</v>
      </c>
      <c r="J1016" s="20">
        <v>0.53700000000000003</v>
      </c>
      <c r="K1016" s="20">
        <v>21.577999999999999</v>
      </c>
      <c r="L1016" s="6">
        <v>0</v>
      </c>
      <c r="M1016" s="15">
        <v>8.2707692307692302E-2</v>
      </c>
      <c r="N1016" s="16">
        <v>22.207015384615385</v>
      </c>
      <c r="O1016" s="17">
        <v>892.33329230769232</v>
      </c>
      <c r="P1016" s="16">
        <v>22.207015384615385</v>
      </c>
      <c r="Q1016" s="17">
        <v>892.3332923076922</v>
      </c>
    </row>
    <row r="1017" spans="1:17" x14ac:dyDescent="0.25">
      <c r="A1017" s="20" t="s">
        <v>353</v>
      </c>
      <c r="B1017" s="6">
        <v>5</v>
      </c>
      <c r="C1017" s="6">
        <v>5</v>
      </c>
      <c r="D1017" s="6">
        <v>1</v>
      </c>
      <c r="E1017" s="6" t="s">
        <v>355</v>
      </c>
      <c r="F1017" s="14" t="s">
        <v>320</v>
      </c>
      <c r="G1017" s="18">
        <v>1</v>
      </c>
      <c r="H1017" s="6">
        <v>5</v>
      </c>
      <c r="I1017" s="6" t="s">
        <v>319</v>
      </c>
      <c r="J1017" s="20">
        <v>0.50800000000000001</v>
      </c>
      <c r="K1017" s="20">
        <v>50.488</v>
      </c>
      <c r="L1017" s="6">
        <v>0</v>
      </c>
      <c r="M1017" s="15">
        <v>3.6307692307692304E-3</v>
      </c>
      <c r="N1017" s="16">
        <v>0.92221538461538477</v>
      </c>
      <c r="O1017" s="17">
        <v>91.655138461538471</v>
      </c>
      <c r="P1017" s="16">
        <v>0.92221538461538455</v>
      </c>
      <c r="Q1017" s="17">
        <v>91.655138461538456</v>
      </c>
    </row>
    <row r="1018" spans="1:17" x14ac:dyDescent="0.25">
      <c r="A1018" s="20" t="s">
        <v>353</v>
      </c>
      <c r="B1018" s="6">
        <v>5</v>
      </c>
      <c r="C1018" s="6">
        <v>5</v>
      </c>
      <c r="D1018" s="6">
        <v>1</v>
      </c>
      <c r="E1018" s="6" t="s">
        <v>355</v>
      </c>
      <c r="F1018" s="14" t="s">
        <v>321</v>
      </c>
      <c r="G1018" s="18">
        <v>2</v>
      </c>
      <c r="H1018" s="6">
        <v>5</v>
      </c>
      <c r="I1018" s="6" t="s">
        <v>318</v>
      </c>
      <c r="J1018" s="20">
        <v>1.2070000000000001</v>
      </c>
      <c r="K1018" s="20">
        <v>44.628</v>
      </c>
      <c r="L1018" s="6">
        <v>0</v>
      </c>
      <c r="M1018" s="15">
        <v>7.5999999999999998E-2</v>
      </c>
      <c r="N1018" s="16">
        <v>45.866000000000007</v>
      </c>
      <c r="O1018" s="17">
        <v>1695.864</v>
      </c>
      <c r="P1018" s="16">
        <v>45.866000000000007</v>
      </c>
      <c r="Q1018" s="17">
        <v>1695.8639999999998</v>
      </c>
    </row>
    <row r="1019" spans="1:17" x14ac:dyDescent="0.25">
      <c r="A1019" s="20" t="s">
        <v>353</v>
      </c>
      <c r="B1019" s="6">
        <v>5</v>
      </c>
      <c r="C1019" s="6">
        <v>5</v>
      </c>
      <c r="D1019" s="6">
        <v>1</v>
      </c>
      <c r="E1019" s="6" t="s">
        <v>355</v>
      </c>
      <c r="F1019" s="14" t="s">
        <v>321</v>
      </c>
      <c r="G1019" s="18">
        <v>2</v>
      </c>
      <c r="H1019" s="6">
        <v>5</v>
      </c>
      <c r="I1019" s="6" t="s">
        <v>319</v>
      </c>
      <c r="J1019" s="20">
        <v>0.53</v>
      </c>
      <c r="K1019" s="20">
        <v>50.381999999999998</v>
      </c>
      <c r="L1019" s="6">
        <v>0</v>
      </c>
      <c r="M1019" s="15">
        <v>1.1047619047619047E-2</v>
      </c>
      <c r="N1019" s="16">
        <v>2.9276190476190473</v>
      </c>
      <c r="O1019" s="17">
        <v>278.30057142857135</v>
      </c>
      <c r="P1019" s="16">
        <v>2.9276190476190478</v>
      </c>
      <c r="Q1019" s="17">
        <v>278.3005714285714</v>
      </c>
    </row>
    <row r="1020" spans="1:17" x14ac:dyDescent="0.25">
      <c r="A1020" s="20" t="s">
        <v>353</v>
      </c>
      <c r="B1020" s="6">
        <v>5</v>
      </c>
      <c r="C1020" s="6">
        <v>5</v>
      </c>
      <c r="D1020" s="6">
        <v>1</v>
      </c>
      <c r="E1020" s="6" t="s">
        <v>355</v>
      </c>
      <c r="F1020" s="14" t="s">
        <v>322</v>
      </c>
      <c r="G1020" s="18">
        <v>3</v>
      </c>
      <c r="H1020" s="6">
        <v>4</v>
      </c>
      <c r="I1020" s="6" t="s">
        <v>318</v>
      </c>
      <c r="J1020" s="20">
        <v>1.389</v>
      </c>
      <c r="K1020" s="20">
        <v>43.301000000000002</v>
      </c>
      <c r="L1020" s="6">
        <v>0</v>
      </c>
      <c r="M1020" s="15">
        <v>9.8888888888888887E-2</v>
      </c>
      <c r="N1020" s="16">
        <v>54.942666666666668</v>
      </c>
      <c r="O1020" s="17">
        <v>1712.7951111111113</v>
      </c>
      <c r="P1020" s="16">
        <v>68.678333333333327</v>
      </c>
      <c r="Q1020" s="17">
        <v>2140.9938888888887</v>
      </c>
    </row>
    <row r="1021" spans="1:17" x14ac:dyDescent="0.25">
      <c r="A1021" s="20" t="s">
        <v>353</v>
      </c>
      <c r="B1021" s="6">
        <v>5</v>
      </c>
      <c r="C1021" s="6">
        <v>5</v>
      </c>
      <c r="D1021" s="6">
        <v>1</v>
      </c>
      <c r="E1021" s="6" t="s">
        <v>355</v>
      </c>
      <c r="F1021" s="14" t="s">
        <v>322</v>
      </c>
      <c r="G1021" s="18">
        <v>3</v>
      </c>
      <c r="H1021" s="6">
        <v>4</v>
      </c>
      <c r="I1021" s="6" t="s">
        <v>319</v>
      </c>
      <c r="J1021" s="20">
        <v>0.86299999999999999</v>
      </c>
      <c r="K1021" s="20">
        <v>50.72</v>
      </c>
      <c r="L1021" s="6">
        <v>0</v>
      </c>
      <c r="M1021" s="15">
        <v>1.2777777777777779E-2</v>
      </c>
      <c r="N1021" s="16">
        <v>4.4108888888888895</v>
      </c>
      <c r="O1021" s="17">
        <v>259.23555555555555</v>
      </c>
      <c r="P1021" s="16">
        <v>5.5136111111111124</v>
      </c>
      <c r="Q1021" s="17">
        <v>324.04444444444442</v>
      </c>
    </row>
    <row r="1022" spans="1:17" x14ac:dyDescent="0.25">
      <c r="A1022" s="20" t="s">
        <v>353</v>
      </c>
      <c r="B1022" s="6">
        <v>5</v>
      </c>
      <c r="C1022" s="6">
        <v>5</v>
      </c>
      <c r="D1022" s="6">
        <v>4</v>
      </c>
      <c r="E1022" s="6" t="s">
        <v>316</v>
      </c>
      <c r="F1022" s="21" t="s">
        <v>317</v>
      </c>
      <c r="G1022" s="18">
        <v>0</v>
      </c>
      <c r="H1022" s="6">
        <v>3.8333333333333335</v>
      </c>
      <c r="I1022" s="6" t="s">
        <v>318</v>
      </c>
      <c r="J1022" s="20">
        <v>0.85899999999999999</v>
      </c>
      <c r="K1022" s="20">
        <v>34.567999999999998</v>
      </c>
      <c r="L1022" s="6">
        <v>0</v>
      </c>
      <c r="M1022" s="15">
        <v>2.5590062111801242E-2</v>
      </c>
      <c r="N1022" s="16">
        <v>8.4263809523809527</v>
      </c>
      <c r="O1022" s="17">
        <v>339.09561904761904</v>
      </c>
      <c r="P1022" s="16">
        <v>8.4263809523809527</v>
      </c>
      <c r="Q1022" s="17">
        <v>339.09561904761904</v>
      </c>
    </row>
    <row r="1023" spans="1:17" x14ac:dyDescent="0.25">
      <c r="A1023" s="20" t="s">
        <v>353</v>
      </c>
      <c r="B1023" s="6">
        <v>5</v>
      </c>
      <c r="C1023" s="6">
        <v>5</v>
      </c>
      <c r="D1023" s="6">
        <v>4</v>
      </c>
      <c r="E1023" s="6" t="s">
        <v>316</v>
      </c>
      <c r="F1023" s="21" t="s">
        <v>317</v>
      </c>
      <c r="G1023" s="18">
        <v>0</v>
      </c>
      <c r="H1023" s="6">
        <v>3.8333333333333335</v>
      </c>
      <c r="I1023" s="6" t="s">
        <v>319</v>
      </c>
      <c r="J1023" s="20">
        <v>0.59599999999999997</v>
      </c>
      <c r="K1023" s="20">
        <v>51.563000000000002</v>
      </c>
      <c r="L1023" s="6">
        <v>0</v>
      </c>
      <c r="M1023" s="15">
        <v>9.4409937888198757E-3</v>
      </c>
      <c r="N1023" s="16">
        <v>2.1569523809523812</v>
      </c>
      <c r="O1023" s="17">
        <v>186.60895238095242</v>
      </c>
      <c r="P1023" s="16">
        <v>2.1569523809523812</v>
      </c>
      <c r="Q1023" s="17">
        <v>186.60895238095242</v>
      </c>
    </row>
    <row r="1024" spans="1:17" x14ac:dyDescent="0.25">
      <c r="A1024" s="20" t="s">
        <v>353</v>
      </c>
      <c r="B1024" s="6">
        <v>5</v>
      </c>
      <c r="C1024" s="6">
        <v>5</v>
      </c>
      <c r="D1024" s="6">
        <v>4</v>
      </c>
      <c r="E1024" s="6" t="s">
        <v>355</v>
      </c>
      <c r="F1024" s="14" t="s">
        <v>320</v>
      </c>
      <c r="G1024" s="18">
        <v>1</v>
      </c>
      <c r="H1024" s="6">
        <v>4.5</v>
      </c>
      <c r="I1024" s="6" t="s">
        <v>318</v>
      </c>
      <c r="J1024" s="20">
        <v>0.66300000000000003</v>
      </c>
      <c r="K1024" s="20">
        <v>29.786000000000001</v>
      </c>
      <c r="L1024" s="6">
        <v>0</v>
      </c>
      <c r="M1024" s="15">
        <v>6.6060606060606056E-2</v>
      </c>
      <c r="N1024" s="16">
        <v>19.709181818181815</v>
      </c>
      <c r="O1024" s="17">
        <v>885.45654545454533</v>
      </c>
      <c r="P1024" s="16">
        <v>21.899090909090908</v>
      </c>
      <c r="Q1024" s="17">
        <v>983.84060606060598</v>
      </c>
    </row>
    <row r="1025" spans="1:17" x14ac:dyDescent="0.25">
      <c r="A1025" s="20" t="s">
        <v>353</v>
      </c>
      <c r="B1025" s="6">
        <v>5</v>
      </c>
      <c r="C1025" s="6">
        <v>5</v>
      </c>
      <c r="D1025" s="6">
        <v>4</v>
      </c>
      <c r="E1025" s="6" t="s">
        <v>355</v>
      </c>
      <c r="F1025" s="14" t="s">
        <v>320</v>
      </c>
      <c r="G1025" s="18">
        <v>1</v>
      </c>
      <c r="H1025" s="6">
        <v>4.5</v>
      </c>
      <c r="I1025" s="6" t="s">
        <v>319</v>
      </c>
      <c r="J1025" s="20">
        <v>0.64600000000000002</v>
      </c>
      <c r="K1025" s="20">
        <v>50.276000000000003</v>
      </c>
      <c r="L1025" s="6">
        <v>0</v>
      </c>
      <c r="M1025" s="15">
        <v>1.5252525252525252E-2</v>
      </c>
      <c r="N1025" s="16">
        <v>4.4339090909090908</v>
      </c>
      <c r="O1025" s="17">
        <v>345.07618181818174</v>
      </c>
      <c r="P1025" s="16">
        <v>4.9265656565656561</v>
      </c>
      <c r="Q1025" s="17">
        <v>383.41797979797974</v>
      </c>
    </row>
    <row r="1026" spans="1:17" x14ac:dyDescent="0.25">
      <c r="A1026" s="20" t="s">
        <v>353</v>
      </c>
      <c r="B1026" s="6">
        <v>5</v>
      </c>
      <c r="C1026" s="6">
        <v>5</v>
      </c>
      <c r="D1026" s="6">
        <v>4</v>
      </c>
      <c r="E1026" s="6" t="s">
        <v>355</v>
      </c>
      <c r="F1026" s="14" t="s">
        <v>321</v>
      </c>
      <c r="G1026" s="18">
        <v>2</v>
      </c>
      <c r="H1026" s="6">
        <v>5</v>
      </c>
      <c r="I1026" s="6" t="s">
        <v>318</v>
      </c>
      <c r="J1026" s="20">
        <v>0.86899999999999999</v>
      </c>
      <c r="K1026" s="20">
        <v>43.411000000000001</v>
      </c>
      <c r="L1026" s="6">
        <v>0</v>
      </c>
      <c r="M1026" s="15">
        <v>7.1771428571428569E-2</v>
      </c>
      <c r="N1026" s="16">
        <v>31.184685714285713</v>
      </c>
      <c r="O1026" s="17">
        <v>1557.8347428571428</v>
      </c>
      <c r="P1026" s="16">
        <v>31.184685714285717</v>
      </c>
      <c r="Q1026" s="17">
        <v>1557.8347428571428</v>
      </c>
    </row>
    <row r="1027" spans="1:17" x14ac:dyDescent="0.25">
      <c r="A1027" s="20" t="s">
        <v>353</v>
      </c>
      <c r="B1027" s="6">
        <v>5</v>
      </c>
      <c r="C1027" s="6">
        <v>5</v>
      </c>
      <c r="D1027" s="6">
        <v>4</v>
      </c>
      <c r="E1027" s="6" t="s">
        <v>355</v>
      </c>
      <c r="F1027" s="14" t="s">
        <v>321</v>
      </c>
      <c r="G1027" s="18">
        <v>2</v>
      </c>
      <c r="H1027" s="6">
        <v>5</v>
      </c>
      <c r="I1027" s="6" t="s">
        <v>319</v>
      </c>
      <c r="J1027" s="20">
        <v>0.80900000000000005</v>
      </c>
      <c r="K1027" s="20">
        <v>50.222000000000001</v>
      </c>
      <c r="L1027" s="6">
        <v>0</v>
      </c>
      <c r="M1027" s="15">
        <v>1.3828571428571428E-2</v>
      </c>
      <c r="N1027" s="16">
        <v>5.5936571428571424</v>
      </c>
      <c r="O1027" s="17">
        <v>347.24925714285712</v>
      </c>
      <c r="P1027" s="16">
        <v>5.5936571428571424</v>
      </c>
      <c r="Q1027" s="17">
        <v>347.24925714285712</v>
      </c>
    </row>
    <row r="1028" spans="1:17" x14ac:dyDescent="0.25">
      <c r="A1028" s="20" t="s">
        <v>353</v>
      </c>
      <c r="B1028" s="6">
        <v>5</v>
      </c>
      <c r="C1028" s="6">
        <v>5</v>
      </c>
      <c r="D1028" s="6">
        <v>4</v>
      </c>
      <c r="E1028" s="6" t="s">
        <v>355</v>
      </c>
      <c r="F1028" s="14" t="s">
        <v>322</v>
      </c>
      <c r="G1028" s="18">
        <v>3</v>
      </c>
      <c r="H1028" s="6">
        <v>5</v>
      </c>
      <c r="I1028" s="6" t="s">
        <v>318</v>
      </c>
      <c r="J1028" s="20">
        <v>1.407</v>
      </c>
      <c r="K1028" s="20">
        <v>45.878999999999998</v>
      </c>
      <c r="L1028" s="6">
        <v>0</v>
      </c>
      <c r="M1028" s="15">
        <v>7.7818181818181828E-2</v>
      </c>
      <c r="N1028" s="16">
        <v>54.745090909090912</v>
      </c>
      <c r="O1028" s="17">
        <v>1785.1101818181817</v>
      </c>
      <c r="P1028" s="16">
        <v>54.745090909090926</v>
      </c>
      <c r="Q1028" s="17">
        <v>1785.1101818181819</v>
      </c>
    </row>
    <row r="1029" spans="1:17" x14ac:dyDescent="0.25">
      <c r="A1029" s="20" t="s">
        <v>353</v>
      </c>
      <c r="B1029" s="6">
        <v>5</v>
      </c>
      <c r="C1029" s="6">
        <v>5</v>
      </c>
      <c r="D1029" s="6">
        <v>4</v>
      </c>
      <c r="E1029" s="6" t="s">
        <v>355</v>
      </c>
      <c r="F1029" s="14" t="s">
        <v>322</v>
      </c>
      <c r="G1029" s="18">
        <v>3</v>
      </c>
      <c r="H1029" s="6">
        <v>5</v>
      </c>
      <c r="I1029" s="6" t="s">
        <v>319</v>
      </c>
      <c r="J1029" s="20">
        <v>1.0009999999999999</v>
      </c>
      <c r="K1029" s="20">
        <v>52.267000000000003</v>
      </c>
      <c r="L1029" s="6">
        <v>0</v>
      </c>
      <c r="M1029" s="15">
        <v>3.1515151515151517E-3</v>
      </c>
      <c r="N1029" s="16">
        <v>1.5773333333333328</v>
      </c>
      <c r="O1029" s="17">
        <v>82.360121212121214</v>
      </c>
      <c r="P1029" s="16">
        <v>1.577333333333333</v>
      </c>
      <c r="Q1029" s="17">
        <v>82.360121212121228</v>
      </c>
    </row>
    <row r="1030" spans="1:17" x14ac:dyDescent="0.25">
      <c r="A1030" s="20" t="s">
        <v>353</v>
      </c>
      <c r="B1030" s="6">
        <v>5</v>
      </c>
      <c r="C1030" s="6">
        <v>5</v>
      </c>
      <c r="D1030" s="6">
        <v>4</v>
      </c>
      <c r="E1030" s="6" t="s">
        <v>355</v>
      </c>
      <c r="F1030" s="14" t="s">
        <v>324</v>
      </c>
      <c r="G1030" s="18">
        <v>4</v>
      </c>
      <c r="H1030" s="6">
        <v>4.5</v>
      </c>
      <c r="I1030" s="6" t="s">
        <v>318</v>
      </c>
      <c r="J1030" s="20">
        <v>1.829</v>
      </c>
      <c r="K1030" s="20">
        <v>47.363</v>
      </c>
      <c r="L1030" s="6">
        <v>0</v>
      </c>
      <c r="M1030" s="15">
        <v>0.08</v>
      </c>
      <c r="N1030" s="16">
        <v>65.844000000000008</v>
      </c>
      <c r="O1030" s="17">
        <v>1705.068</v>
      </c>
      <c r="P1030" s="16">
        <v>73.160000000000011</v>
      </c>
      <c r="Q1030" s="17">
        <v>1894.52</v>
      </c>
    </row>
    <row r="1031" spans="1:17" x14ac:dyDescent="0.25">
      <c r="A1031" s="20" t="s">
        <v>353</v>
      </c>
      <c r="B1031" s="6">
        <v>5</v>
      </c>
      <c r="C1031" s="6">
        <v>5</v>
      </c>
      <c r="D1031" s="6">
        <v>4</v>
      </c>
      <c r="E1031" s="6" t="s">
        <v>355</v>
      </c>
      <c r="F1031" s="14" t="s">
        <v>324</v>
      </c>
      <c r="G1031" s="18">
        <v>4</v>
      </c>
      <c r="H1031" s="6">
        <v>4.5</v>
      </c>
      <c r="I1031" s="6" t="s">
        <v>319</v>
      </c>
      <c r="J1031" s="6" t="s">
        <v>1673</v>
      </c>
      <c r="K1031" s="6" t="s">
        <v>1673</v>
      </c>
      <c r="L1031" s="6" t="s">
        <v>1673</v>
      </c>
      <c r="M1031" s="15" t="s">
        <v>1673</v>
      </c>
      <c r="N1031" s="16" t="s">
        <v>1673</v>
      </c>
      <c r="O1031" s="17" t="s">
        <v>1673</v>
      </c>
      <c r="P1031" s="16" t="s">
        <v>1673</v>
      </c>
      <c r="Q1031" s="17" t="s">
        <v>1673</v>
      </c>
    </row>
    <row r="1032" spans="1:17" x14ac:dyDescent="0.25">
      <c r="A1032" s="20" t="s">
        <v>353</v>
      </c>
      <c r="B1032" s="6">
        <v>5</v>
      </c>
      <c r="C1032" s="6">
        <v>5</v>
      </c>
      <c r="D1032" s="6">
        <v>4</v>
      </c>
      <c r="E1032" s="6" t="s">
        <v>355</v>
      </c>
      <c r="F1032" s="14" t="s">
        <v>325</v>
      </c>
      <c r="G1032" s="18">
        <v>5</v>
      </c>
      <c r="H1032" s="6">
        <v>1.1666666666666667</v>
      </c>
      <c r="I1032" s="6" t="s">
        <v>318</v>
      </c>
      <c r="J1032" s="20">
        <v>1.9350000000000001</v>
      </c>
      <c r="K1032" s="20">
        <v>47.451999999999998</v>
      </c>
      <c r="L1032" s="6">
        <v>0</v>
      </c>
      <c r="M1032" s="15">
        <v>0.14326530612244895</v>
      </c>
      <c r="N1032" s="16">
        <v>32.342142857142846</v>
      </c>
      <c r="O1032" s="17">
        <v>793.12628571428559</v>
      </c>
      <c r="P1032" s="16">
        <v>138.60918367346935</v>
      </c>
      <c r="Q1032" s="17">
        <v>3399.1126530612237</v>
      </c>
    </row>
    <row r="1033" spans="1:17" x14ac:dyDescent="0.25">
      <c r="A1033" s="20" t="s">
        <v>353</v>
      </c>
      <c r="B1033" s="6">
        <v>5</v>
      </c>
      <c r="C1033" s="6">
        <v>5</v>
      </c>
      <c r="D1033" s="6">
        <v>4</v>
      </c>
      <c r="E1033" s="6" t="s">
        <v>355</v>
      </c>
      <c r="F1033" s="14" t="s">
        <v>325</v>
      </c>
      <c r="G1033" s="18">
        <v>5</v>
      </c>
      <c r="H1033" s="6">
        <v>1.1666666666666667</v>
      </c>
      <c r="I1033" s="6" t="s">
        <v>319</v>
      </c>
      <c r="J1033" s="6" t="s">
        <v>1673</v>
      </c>
      <c r="K1033" s="6" t="s">
        <v>1673</v>
      </c>
      <c r="L1033" s="6" t="s">
        <v>1673</v>
      </c>
      <c r="M1033" s="15" t="s">
        <v>1673</v>
      </c>
      <c r="N1033" s="16" t="s">
        <v>1673</v>
      </c>
      <c r="O1033" s="17" t="s">
        <v>1673</v>
      </c>
      <c r="P1033" s="16" t="s">
        <v>1673</v>
      </c>
      <c r="Q1033" s="17" t="s">
        <v>1673</v>
      </c>
    </row>
    <row r="1034" spans="1:17" x14ac:dyDescent="0.25">
      <c r="A1034" s="20" t="s">
        <v>353</v>
      </c>
      <c r="B1034" s="6">
        <v>5</v>
      </c>
      <c r="C1034" s="6">
        <v>5</v>
      </c>
      <c r="D1034" s="6">
        <v>4</v>
      </c>
      <c r="E1034" s="6" t="s">
        <v>355</v>
      </c>
      <c r="F1034" s="14" t="s">
        <v>326</v>
      </c>
      <c r="G1034" s="18">
        <v>6</v>
      </c>
      <c r="H1034" s="6">
        <v>0</v>
      </c>
      <c r="I1034" s="6" t="s">
        <v>318</v>
      </c>
      <c r="J1034" s="6" t="s">
        <v>1673</v>
      </c>
      <c r="K1034" s="6" t="s">
        <v>1673</v>
      </c>
      <c r="L1034" s="6" t="s">
        <v>1673</v>
      </c>
      <c r="M1034" s="15" t="s">
        <v>1673</v>
      </c>
      <c r="N1034" s="16" t="s">
        <v>1673</v>
      </c>
      <c r="O1034" s="17" t="s">
        <v>1673</v>
      </c>
      <c r="P1034" s="16" t="s">
        <v>1673</v>
      </c>
      <c r="Q1034" s="17" t="s">
        <v>1673</v>
      </c>
    </row>
    <row r="1035" spans="1:17" x14ac:dyDescent="0.25">
      <c r="A1035" s="20" t="s">
        <v>353</v>
      </c>
      <c r="B1035" s="6">
        <v>5</v>
      </c>
      <c r="C1035" s="6">
        <v>5</v>
      </c>
      <c r="D1035" s="6">
        <v>4</v>
      </c>
      <c r="E1035" s="6" t="s">
        <v>355</v>
      </c>
      <c r="F1035" s="14" t="s">
        <v>326</v>
      </c>
      <c r="G1035" s="18">
        <v>6</v>
      </c>
      <c r="H1035" s="6">
        <v>0</v>
      </c>
      <c r="I1035" s="6" t="s">
        <v>319</v>
      </c>
      <c r="J1035" s="6" t="s">
        <v>1673</v>
      </c>
      <c r="K1035" s="6" t="s">
        <v>1673</v>
      </c>
      <c r="L1035" s="6" t="s">
        <v>1673</v>
      </c>
      <c r="M1035" s="15" t="s">
        <v>1673</v>
      </c>
      <c r="N1035" s="16" t="s">
        <v>1673</v>
      </c>
      <c r="O1035" s="17" t="s">
        <v>1673</v>
      </c>
      <c r="P1035" s="16" t="s">
        <v>1673</v>
      </c>
      <c r="Q1035" s="17" t="s">
        <v>1673</v>
      </c>
    </row>
    <row r="1036" spans="1:17" x14ac:dyDescent="0.25">
      <c r="A1036" s="20" t="s">
        <v>353</v>
      </c>
      <c r="B1036" s="6">
        <v>5</v>
      </c>
      <c r="C1036" s="6">
        <v>5</v>
      </c>
      <c r="D1036" s="6">
        <v>5</v>
      </c>
      <c r="E1036" s="6" t="s">
        <v>316</v>
      </c>
      <c r="F1036" s="21" t="s">
        <v>317</v>
      </c>
      <c r="G1036" s="18">
        <v>0</v>
      </c>
      <c r="H1036" s="6">
        <v>2</v>
      </c>
      <c r="I1036" s="6" t="s">
        <v>318</v>
      </c>
      <c r="J1036" s="20">
        <v>0.98399999999999999</v>
      </c>
      <c r="K1036" s="20">
        <v>45.762</v>
      </c>
      <c r="L1036" s="6">
        <v>0</v>
      </c>
      <c r="M1036" s="15">
        <v>4.5454545454545456E-2</v>
      </c>
      <c r="N1036" s="16">
        <v>8.9454545454545453</v>
      </c>
      <c r="O1036" s="17">
        <v>416.01818181818186</v>
      </c>
      <c r="P1036" s="16">
        <v>8.9454545454545453</v>
      </c>
      <c r="Q1036" s="17">
        <v>416.01818181818186</v>
      </c>
    </row>
    <row r="1037" spans="1:17" x14ac:dyDescent="0.25">
      <c r="A1037" s="20" t="s">
        <v>353</v>
      </c>
      <c r="B1037" s="6">
        <v>5</v>
      </c>
      <c r="C1037" s="6">
        <v>5</v>
      </c>
      <c r="D1037" s="6">
        <v>5</v>
      </c>
      <c r="E1037" s="6" t="s">
        <v>316</v>
      </c>
      <c r="F1037" s="21" t="s">
        <v>317</v>
      </c>
      <c r="G1037" s="18">
        <v>0</v>
      </c>
      <c r="H1037" s="6">
        <v>2</v>
      </c>
      <c r="I1037" s="6" t="s">
        <v>319</v>
      </c>
      <c r="J1037" s="6" t="s">
        <v>1673</v>
      </c>
      <c r="K1037" s="6" t="s">
        <v>1673</v>
      </c>
      <c r="L1037" s="6" t="s">
        <v>1673</v>
      </c>
      <c r="M1037" s="15" t="s">
        <v>1673</v>
      </c>
      <c r="N1037" s="16" t="s">
        <v>1673</v>
      </c>
      <c r="O1037" s="17" t="s">
        <v>1673</v>
      </c>
      <c r="P1037" s="16" t="s">
        <v>1673</v>
      </c>
      <c r="Q1037" s="17" t="s">
        <v>1673</v>
      </c>
    </row>
    <row r="1038" spans="1:17" x14ac:dyDescent="0.25">
      <c r="A1038" s="20" t="s">
        <v>353</v>
      </c>
      <c r="B1038" s="6">
        <v>5</v>
      </c>
      <c r="C1038" s="6">
        <v>5</v>
      </c>
      <c r="D1038" s="6">
        <v>5</v>
      </c>
      <c r="E1038" s="6" t="s">
        <v>355</v>
      </c>
      <c r="F1038" s="14" t="s">
        <v>320</v>
      </c>
      <c r="G1038" s="18">
        <v>1</v>
      </c>
      <c r="H1038" s="6">
        <v>5</v>
      </c>
      <c r="I1038" s="6" t="s">
        <v>318</v>
      </c>
      <c r="J1038" s="20">
        <v>0.57199999999999995</v>
      </c>
      <c r="K1038" s="20">
        <v>32.401000000000003</v>
      </c>
      <c r="L1038" s="6">
        <v>0</v>
      </c>
      <c r="M1038" s="15">
        <v>7.2117647058823522E-2</v>
      </c>
      <c r="N1038" s="16">
        <v>20.625647058823525</v>
      </c>
      <c r="O1038" s="17">
        <v>1168.3419411764705</v>
      </c>
      <c r="P1038" s="16">
        <v>20.625647058823525</v>
      </c>
      <c r="Q1038" s="17">
        <v>1168.3419411764705</v>
      </c>
    </row>
    <row r="1039" spans="1:17" x14ac:dyDescent="0.25">
      <c r="A1039" s="20" t="s">
        <v>353</v>
      </c>
      <c r="B1039" s="6">
        <v>5</v>
      </c>
      <c r="C1039" s="6">
        <v>5</v>
      </c>
      <c r="D1039" s="6">
        <v>5</v>
      </c>
      <c r="E1039" s="6" t="s">
        <v>355</v>
      </c>
      <c r="F1039" s="14" t="s">
        <v>320</v>
      </c>
      <c r="G1039" s="18">
        <v>1</v>
      </c>
      <c r="H1039" s="6">
        <v>5</v>
      </c>
      <c r="I1039" s="6" t="s">
        <v>319</v>
      </c>
      <c r="J1039" s="20">
        <v>0.51900000000000002</v>
      </c>
      <c r="K1039" s="20">
        <v>48.820999999999998</v>
      </c>
      <c r="L1039" s="6">
        <v>0</v>
      </c>
      <c r="M1039" s="15">
        <v>2.5294117647058825E-3</v>
      </c>
      <c r="N1039" s="16">
        <v>0.65638235294117653</v>
      </c>
      <c r="O1039" s="17">
        <v>61.744205882352944</v>
      </c>
      <c r="P1039" s="16">
        <v>0.65638235294117653</v>
      </c>
      <c r="Q1039" s="17">
        <v>61.744205882352936</v>
      </c>
    </row>
    <row r="1040" spans="1:17" x14ac:dyDescent="0.25">
      <c r="A1040" s="20" t="s">
        <v>353</v>
      </c>
      <c r="B1040" s="6">
        <v>5</v>
      </c>
      <c r="C1040" s="6">
        <v>5</v>
      </c>
      <c r="D1040" s="6">
        <v>5</v>
      </c>
      <c r="E1040" s="6" t="s">
        <v>355</v>
      </c>
      <c r="F1040" s="14" t="s">
        <v>321</v>
      </c>
      <c r="G1040" s="18">
        <v>2</v>
      </c>
      <c r="H1040" s="6">
        <v>4.5</v>
      </c>
      <c r="I1040" s="6" t="s">
        <v>318</v>
      </c>
      <c r="J1040" s="20">
        <v>0.94</v>
      </c>
      <c r="K1040" s="20">
        <v>35.061</v>
      </c>
      <c r="L1040" s="6">
        <v>0</v>
      </c>
      <c r="M1040" s="15">
        <v>6.383442265795207E-2</v>
      </c>
      <c r="N1040" s="16">
        <v>27.001960784313724</v>
      </c>
      <c r="O1040" s="17">
        <v>1007.144411764706</v>
      </c>
      <c r="P1040" s="16">
        <v>30.002178649237472</v>
      </c>
      <c r="Q1040" s="17">
        <v>1119.0493464052288</v>
      </c>
    </row>
    <row r="1041" spans="1:17" x14ac:dyDescent="0.25">
      <c r="A1041" s="20" t="s">
        <v>353</v>
      </c>
      <c r="B1041" s="6">
        <v>5</v>
      </c>
      <c r="C1041" s="6">
        <v>5</v>
      </c>
      <c r="D1041" s="6">
        <v>5</v>
      </c>
      <c r="E1041" s="6" t="s">
        <v>355</v>
      </c>
      <c r="F1041" s="14" t="s">
        <v>321</v>
      </c>
      <c r="G1041" s="18">
        <v>2</v>
      </c>
      <c r="H1041" s="6">
        <v>4.5</v>
      </c>
      <c r="I1041" s="6" t="s">
        <v>319</v>
      </c>
      <c r="J1041" s="20">
        <v>0.51600000000000001</v>
      </c>
      <c r="K1041" s="20">
        <v>46.383000000000003</v>
      </c>
      <c r="L1041" s="6">
        <v>0</v>
      </c>
      <c r="M1041" s="15">
        <v>8.7145969498910684E-4</v>
      </c>
      <c r="N1041" s="16">
        <v>0.20235294117647065</v>
      </c>
      <c r="O1041" s="17">
        <v>18.189411764705888</v>
      </c>
      <c r="P1041" s="16">
        <v>0.2248366013071896</v>
      </c>
      <c r="Q1041" s="17">
        <v>20.210457516339872</v>
      </c>
    </row>
    <row r="1042" spans="1:17" x14ac:dyDescent="0.25">
      <c r="A1042" s="20" t="s">
        <v>353</v>
      </c>
      <c r="B1042" s="6">
        <v>5</v>
      </c>
      <c r="C1042" s="6">
        <v>5</v>
      </c>
      <c r="D1042" s="6">
        <v>5</v>
      </c>
      <c r="E1042" s="6" t="s">
        <v>355</v>
      </c>
      <c r="F1042" s="14" t="s">
        <v>322</v>
      </c>
      <c r="G1042" s="18">
        <v>3</v>
      </c>
      <c r="H1042" s="6">
        <v>3</v>
      </c>
      <c r="I1042" s="6" t="s">
        <v>318</v>
      </c>
      <c r="J1042" s="20">
        <v>0.76900000000000002</v>
      </c>
      <c r="K1042" s="20">
        <v>20.238</v>
      </c>
      <c r="L1042" s="6">
        <v>0</v>
      </c>
      <c r="M1042" s="15">
        <v>0.16337777777777776</v>
      </c>
      <c r="N1042" s="16">
        <v>37.691253333333329</v>
      </c>
      <c r="O1042" s="17">
        <v>991.93183999999997</v>
      </c>
      <c r="P1042" s="16">
        <v>62.818755555555548</v>
      </c>
      <c r="Q1042" s="17">
        <v>1653.2197333333331</v>
      </c>
    </row>
    <row r="1043" spans="1:17" x14ac:dyDescent="0.25">
      <c r="A1043" s="20" t="s">
        <v>353</v>
      </c>
      <c r="B1043" s="6">
        <v>5</v>
      </c>
      <c r="C1043" s="6">
        <v>5</v>
      </c>
      <c r="D1043" s="6">
        <v>5</v>
      </c>
      <c r="E1043" s="6" t="s">
        <v>355</v>
      </c>
      <c r="F1043" s="14" t="s">
        <v>322</v>
      </c>
      <c r="G1043" s="18">
        <v>3</v>
      </c>
      <c r="H1043" s="6">
        <v>3</v>
      </c>
      <c r="I1043" s="6" t="s">
        <v>319</v>
      </c>
      <c r="J1043" s="20">
        <v>0.76400000000000001</v>
      </c>
      <c r="K1043" s="20">
        <v>44.692</v>
      </c>
      <c r="L1043" s="6">
        <v>0</v>
      </c>
      <c r="M1043" s="15">
        <v>2.9333333333333334E-3</v>
      </c>
      <c r="N1043" s="16">
        <v>0.67232000000000003</v>
      </c>
      <c r="O1043" s="17">
        <v>39.328959999999995</v>
      </c>
      <c r="P1043" s="16">
        <v>1.1205333333333332</v>
      </c>
      <c r="Q1043" s="17">
        <v>65.548266666666663</v>
      </c>
    </row>
    <row r="1044" spans="1:17" x14ac:dyDescent="0.25">
      <c r="A1044" s="20" t="s">
        <v>353</v>
      </c>
      <c r="B1044" s="6">
        <v>5</v>
      </c>
      <c r="C1044" s="6">
        <v>5</v>
      </c>
      <c r="D1044" s="6">
        <v>3</v>
      </c>
      <c r="E1044" s="6" t="s">
        <v>316</v>
      </c>
      <c r="F1044" s="21" t="s">
        <v>317</v>
      </c>
      <c r="G1044" s="18">
        <v>0</v>
      </c>
      <c r="H1044" s="6">
        <v>3</v>
      </c>
      <c r="I1044" s="6" t="s">
        <v>318</v>
      </c>
      <c r="J1044" s="20">
        <v>0.85299999999999998</v>
      </c>
      <c r="K1044" s="20">
        <v>44.878</v>
      </c>
      <c r="L1044" s="6">
        <v>0</v>
      </c>
      <c r="M1044" s="15">
        <v>1.494949494949495E-2</v>
      </c>
      <c r="N1044" s="16">
        <v>3.8255757575757574</v>
      </c>
      <c r="O1044" s="17">
        <v>201.2710303030303</v>
      </c>
      <c r="P1044" s="16">
        <v>3.8255757575757574</v>
      </c>
      <c r="Q1044" s="17">
        <v>201.2710303030303</v>
      </c>
    </row>
    <row r="1045" spans="1:17" x14ac:dyDescent="0.25">
      <c r="A1045" s="20" t="s">
        <v>353</v>
      </c>
      <c r="B1045" s="6">
        <v>5</v>
      </c>
      <c r="C1045" s="6">
        <v>5</v>
      </c>
      <c r="D1045" s="6">
        <v>3</v>
      </c>
      <c r="E1045" s="6" t="s">
        <v>316</v>
      </c>
      <c r="F1045" s="21" t="s">
        <v>317</v>
      </c>
      <c r="G1045" s="18">
        <v>0</v>
      </c>
      <c r="H1045" s="6">
        <v>3</v>
      </c>
      <c r="I1045" s="6" t="s">
        <v>319</v>
      </c>
      <c r="J1045" s="6" t="s">
        <v>1673</v>
      </c>
      <c r="K1045" s="6" t="s">
        <v>1673</v>
      </c>
      <c r="L1045" s="6" t="s">
        <v>1673</v>
      </c>
      <c r="M1045" s="15" t="s">
        <v>1673</v>
      </c>
      <c r="N1045" s="16" t="s">
        <v>1673</v>
      </c>
      <c r="O1045" s="17" t="s">
        <v>1673</v>
      </c>
      <c r="P1045" s="16" t="s">
        <v>1673</v>
      </c>
      <c r="Q1045" s="17" t="s">
        <v>1673</v>
      </c>
    </row>
    <row r="1046" spans="1:17" x14ac:dyDescent="0.25">
      <c r="A1046" s="20" t="s">
        <v>353</v>
      </c>
      <c r="B1046" s="6">
        <v>5</v>
      </c>
      <c r="C1046" s="6">
        <v>5</v>
      </c>
      <c r="D1046" s="6">
        <v>3</v>
      </c>
      <c r="E1046" s="6" t="s">
        <v>355</v>
      </c>
      <c r="F1046" s="14" t="s">
        <v>320</v>
      </c>
      <c r="G1046" s="18">
        <v>1</v>
      </c>
      <c r="H1046" s="6">
        <v>6</v>
      </c>
      <c r="I1046" s="6" t="s">
        <v>318</v>
      </c>
      <c r="J1046" s="20">
        <v>0.69099999999999995</v>
      </c>
      <c r="K1046" s="20">
        <v>33.206000000000003</v>
      </c>
      <c r="L1046" s="6">
        <v>0</v>
      </c>
      <c r="M1046" s="15">
        <v>4.4333333333333336E-2</v>
      </c>
      <c r="N1046" s="16">
        <v>18.380599999999998</v>
      </c>
      <c r="O1046" s="17">
        <v>883.27960000000007</v>
      </c>
      <c r="P1046" s="16">
        <v>15.317166666666665</v>
      </c>
      <c r="Q1046" s="17">
        <v>736.06633333333343</v>
      </c>
    </row>
    <row r="1047" spans="1:17" x14ac:dyDescent="0.25">
      <c r="A1047" s="20" t="s">
        <v>353</v>
      </c>
      <c r="B1047" s="6">
        <v>5</v>
      </c>
      <c r="C1047" s="6">
        <v>5</v>
      </c>
      <c r="D1047" s="6">
        <v>3</v>
      </c>
      <c r="E1047" s="6" t="s">
        <v>355</v>
      </c>
      <c r="F1047" s="14" t="s">
        <v>320</v>
      </c>
      <c r="G1047" s="18">
        <v>1</v>
      </c>
      <c r="H1047" s="6">
        <v>6</v>
      </c>
      <c r="I1047" s="6" t="s">
        <v>319</v>
      </c>
      <c r="J1047" s="6" t="s">
        <v>1673</v>
      </c>
      <c r="K1047" s="6" t="s">
        <v>1673</v>
      </c>
      <c r="L1047" s="6" t="s">
        <v>1673</v>
      </c>
      <c r="M1047" s="15" t="s">
        <v>1673</v>
      </c>
      <c r="N1047" s="16" t="s">
        <v>1673</v>
      </c>
      <c r="O1047" s="17" t="s">
        <v>1673</v>
      </c>
      <c r="P1047" s="16" t="s">
        <v>1673</v>
      </c>
      <c r="Q1047" s="17" t="s">
        <v>1673</v>
      </c>
    </row>
    <row r="1048" spans="1:17" x14ac:dyDescent="0.25">
      <c r="A1048" s="20" t="s">
        <v>353</v>
      </c>
      <c r="B1048" s="6">
        <v>5</v>
      </c>
      <c r="C1048" s="6">
        <v>5</v>
      </c>
      <c r="D1048" s="6">
        <v>3</v>
      </c>
      <c r="E1048" s="6" t="s">
        <v>355</v>
      </c>
      <c r="F1048" s="14" t="s">
        <v>321</v>
      </c>
      <c r="G1048" s="18">
        <v>2</v>
      </c>
      <c r="H1048" s="6">
        <v>5</v>
      </c>
      <c r="I1048" s="6" t="s">
        <v>318</v>
      </c>
      <c r="J1048" s="20">
        <v>0.82199999999999995</v>
      </c>
      <c r="K1048" s="20">
        <v>29.573</v>
      </c>
      <c r="L1048" s="6">
        <v>0</v>
      </c>
      <c r="M1048" s="15">
        <v>8.3575757575757567E-2</v>
      </c>
      <c r="N1048" s="16">
        <v>34.349636363636357</v>
      </c>
      <c r="O1048" s="17">
        <v>1235.7929393939392</v>
      </c>
      <c r="P1048" s="16">
        <v>34.349636363636357</v>
      </c>
      <c r="Q1048" s="17">
        <v>1235.7929393939394</v>
      </c>
    </row>
    <row r="1049" spans="1:17" x14ac:dyDescent="0.25">
      <c r="A1049" s="20" t="s">
        <v>353</v>
      </c>
      <c r="B1049" s="6">
        <v>5</v>
      </c>
      <c r="C1049" s="6">
        <v>5</v>
      </c>
      <c r="D1049" s="6">
        <v>3</v>
      </c>
      <c r="E1049" s="6" t="s">
        <v>355</v>
      </c>
      <c r="F1049" s="14" t="s">
        <v>321</v>
      </c>
      <c r="G1049" s="18">
        <v>2</v>
      </c>
      <c r="H1049" s="6">
        <v>5</v>
      </c>
      <c r="I1049" s="6" t="s">
        <v>319</v>
      </c>
      <c r="J1049" s="20">
        <v>0.75</v>
      </c>
      <c r="K1049" s="20">
        <v>46.234999999999999</v>
      </c>
      <c r="L1049" s="6">
        <v>0</v>
      </c>
      <c r="M1049" s="15">
        <v>1.8181818181818182E-3</v>
      </c>
      <c r="N1049" s="16">
        <v>0.68181818181818188</v>
      </c>
      <c r="O1049" s="17">
        <v>42.031818181818188</v>
      </c>
      <c r="P1049" s="16">
        <v>0.68181818181818166</v>
      </c>
      <c r="Q1049" s="17">
        <v>42.031818181818174</v>
      </c>
    </row>
    <row r="1050" spans="1:17" x14ac:dyDescent="0.25">
      <c r="A1050" s="20" t="s">
        <v>353</v>
      </c>
      <c r="B1050" s="6">
        <v>5</v>
      </c>
      <c r="C1050" s="6">
        <v>5</v>
      </c>
      <c r="D1050" s="6">
        <v>3</v>
      </c>
      <c r="E1050" s="6" t="s">
        <v>355</v>
      </c>
      <c r="F1050" s="14" t="s">
        <v>322</v>
      </c>
      <c r="G1050" s="18">
        <v>3</v>
      </c>
      <c r="H1050" s="6">
        <v>4.5</v>
      </c>
      <c r="I1050" s="6" t="s">
        <v>318</v>
      </c>
      <c r="J1050" s="20">
        <v>1.796</v>
      </c>
      <c r="K1050" s="20">
        <v>44.634</v>
      </c>
      <c r="L1050" s="6">
        <v>0</v>
      </c>
      <c r="M1050" s="15">
        <v>6.7003367003366995E-2</v>
      </c>
      <c r="N1050" s="16">
        <v>54.152121212121209</v>
      </c>
      <c r="O1050" s="17">
        <v>1345.7827272727272</v>
      </c>
      <c r="P1050" s="16">
        <v>60.169023569023565</v>
      </c>
      <c r="Q1050" s="17">
        <v>1495.3141414141414</v>
      </c>
    </row>
    <row r="1051" spans="1:17" x14ac:dyDescent="0.25">
      <c r="A1051" s="20" t="s">
        <v>353</v>
      </c>
      <c r="B1051" s="6">
        <v>5</v>
      </c>
      <c r="C1051" s="6">
        <v>5</v>
      </c>
      <c r="D1051" s="6">
        <v>3</v>
      </c>
      <c r="E1051" s="6" t="s">
        <v>355</v>
      </c>
      <c r="F1051" s="14" t="s">
        <v>322</v>
      </c>
      <c r="G1051" s="18">
        <v>3</v>
      </c>
      <c r="H1051" s="6">
        <v>4.5</v>
      </c>
      <c r="I1051" s="6" t="s">
        <v>319</v>
      </c>
      <c r="J1051" s="20">
        <v>1.0669999999999999</v>
      </c>
      <c r="K1051" s="20">
        <v>51.158000000000001</v>
      </c>
      <c r="L1051" s="6">
        <v>0</v>
      </c>
      <c r="M1051" s="15">
        <v>8.7542087542087546E-4</v>
      </c>
      <c r="N1051" s="16">
        <v>0.42033333333333328</v>
      </c>
      <c r="O1051" s="17">
        <v>20.153151515151514</v>
      </c>
      <c r="P1051" s="16">
        <v>0.46703703703703697</v>
      </c>
      <c r="Q1051" s="17">
        <v>22.392390572390575</v>
      </c>
    </row>
    <row r="1052" spans="1:17" x14ac:dyDescent="0.25">
      <c r="A1052" s="20" t="s">
        <v>353</v>
      </c>
      <c r="B1052" s="6">
        <v>5</v>
      </c>
      <c r="C1052" s="6">
        <v>5</v>
      </c>
      <c r="D1052" s="6">
        <v>3</v>
      </c>
      <c r="E1052" s="6" t="s">
        <v>355</v>
      </c>
      <c r="F1052" s="6" t="s">
        <v>324</v>
      </c>
      <c r="G1052" s="19">
        <v>4</v>
      </c>
      <c r="H1052" s="6">
        <v>3</v>
      </c>
      <c r="I1052" s="6" t="s">
        <v>318</v>
      </c>
      <c r="J1052" s="20">
        <v>1.9490000000000001</v>
      </c>
      <c r="K1052" s="20">
        <v>42.34</v>
      </c>
      <c r="L1052" s="6">
        <v>0</v>
      </c>
      <c r="M1052" s="15">
        <v>0.11125</v>
      </c>
      <c r="N1052" s="16">
        <v>65.047875000000005</v>
      </c>
      <c r="O1052" s="17">
        <v>1413.0975000000001</v>
      </c>
      <c r="P1052" s="16">
        <v>108.41312500000001</v>
      </c>
      <c r="Q1052" s="17">
        <v>2355.1625000000008</v>
      </c>
    </row>
    <row r="1053" spans="1:17" x14ac:dyDescent="0.25">
      <c r="A1053" s="20" t="s">
        <v>353</v>
      </c>
      <c r="B1053" s="6">
        <v>5</v>
      </c>
      <c r="C1053" s="6">
        <v>5</v>
      </c>
      <c r="D1053" s="6">
        <v>3</v>
      </c>
      <c r="E1053" s="6" t="s">
        <v>355</v>
      </c>
      <c r="F1053" s="6" t="s">
        <v>324</v>
      </c>
      <c r="G1053" s="19">
        <v>4</v>
      </c>
      <c r="H1053" s="6">
        <v>3</v>
      </c>
      <c r="I1053" s="6" t="s">
        <v>319</v>
      </c>
      <c r="J1053" s="6" t="s">
        <v>1673</v>
      </c>
      <c r="K1053" s="6" t="s">
        <v>1673</v>
      </c>
      <c r="L1053" s="6" t="s">
        <v>1673</v>
      </c>
      <c r="M1053" s="15" t="s">
        <v>1673</v>
      </c>
      <c r="N1053" s="16" t="s">
        <v>1673</v>
      </c>
      <c r="O1053" s="17" t="s">
        <v>1673</v>
      </c>
      <c r="P1053" s="16" t="s">
        <v>1673</v>
      </c>
      <c r="Q1053" s="17" t="s">
        <v>1673</v>
      </c>
    </row>
    <row r="1054" spans="1:17" x14ac:dyDescent="0.25">
      <c r="A1054" s="20" t="s">
        <v>353</v>
      </c>
      <c r="B1054" s="6">
        <v>5</v>
      </c>
      <c r="C1054" s="6">
        <v>5</v>
      </c>
      <c r="D1054" s="6">
        <v>2</v>
      </c>
      <c r="E1054" s="6" t="s">
        <v>316</v>
      </c>
      <c r="F1054" s="6" t="s">
        <v>332</v>
      </c>
      <c r="G1054" s="19">
        <v>0</v>
      </c>
      <c r="H1054" s="6">
        <v>1.5</v>
      </c>
      <c r="I1054" s="6" t="s">
        <v>318</v>
      </c>
      <c r="J1054" s="20">
        <v>0.66700000000000004</v>
      </c>
      <c r="K1054" s="20">
        <v>32.305</v>
      </c>
      <c r="L1054" s="6">
        <v>0</v>
      </c>
      <c r="M1054" s="15">
        <v>3.6666666666666667E-2</v>
      </c>
      <c r="N1054" s="16">
        <v>3.6685000000000003</v>
      </c>
      <c r="O1054" s="17">
        <v>177.67750000000001</v>
      </c>
      <c r="P1054" s="16">
        <v>3.6685000000000003</v>
      </c>
      <c r="Q1054" s="17">
        <v>177.67750000000001</v>
      </c>
    </row>
    <row r="1055" spans="1:17" x14ac:dyDescent="0.25">
      <c r="A1055" s="20" t="s">
        <v>353</v>
      </c>
      <c r="B1055" s="6">
        <v>5</v>
      </c>
      <c r="C1055" s="6">
        <v>5</v>
      </c>
      <c r="D1055" s="6">
        <v>2</v>
      </c>
      <c r="E1055" s="6" t="s">
        <v>316</v>
      </c>
      <c r="F1055" s="6" t="s">
        <v>332</v>
      </c>
      <c r="G1055" s="19">
        <v>0</v>
      </c>
      <c r="H1055" s="6">
        <v>1.5</v>
      </c>
      <c r="I1055" s="6" t="s">
        <v>330</v>
      </c>
      <c r="J1055" s="20" t="s">
        <v>1673</v>
      </c>
      <c r="K1055" s="20" t="s">
        <v>1673</v>
      </c>
      <c r="L1055" s="6" t="s">
        <v>1673</v>
      </c>
      <c r="M1055" s="15" t="s">
        <v>1673</v>
      </c>
      <c r="N1055" s="16" t="s">
        <v>1673</v>
      </c>
      <c r="O1055" s="17" t="s">
        <v>1673</v>
      </c>
      <c r="P1055" s="16" t="s">
        <v>1673</v>
      </c>
      <c r="Q1055" s="17" t="s">
        <v>1673</v>
      </c>
    </row>
    <row r="1056" spans="1:17" x14ac:dyDescent="0.25">
      <c r="A1056" s="20" t="s">
        <v>353</v>
      </c>
      <c r="B1056" s="6">
        <v>5</v>
      </c>
      <c r="C1056" s="6">
        <v>5</v>
      </c>
      <c r="D1056" s="6">
        <v>2</v>
      </c>
      <c r="E1056" s="6" t="s">
        <v>355</v>
      </c>
      <c r="F1056" s="6" t="s">
        <v>333</v>
      </c>
      <c r="G1056" s="19">
        <v>1</v>
      </c>
      <c r="H1056" s="6">
        <v>5</v>
      </c>
      <c r="I1056" s="6" t="s">
        <v>318</v>
      </c>
      <c r="J1056" s="20">
        <v>1.0860000000000001</v>
      </c>
      <c r="K1056" s="20">
        <v>30.367000000000001</v>
      </c>
      <c r="L1056" s="6">
        <v>0</v>
      </c>
      <c r="M1056" s="15">
        <v>9.9259259259259269E-2</v>
      </c>
      <c r="N1056" s="16">
        <v>53.89777777777779</v>
      </c>
      <c r="O1056" s="17">
        <v>1507.1029629629631</v>
      </c>
      <c r="P1056" s="16">
        <v>53.89777777777779</v>
      </c>
      <c r="Q1056" s="17">
        <v>1507.1029629629629</v>
      </c>
    </row>
    <row r="1057" spans="1:17" x14ac:dyDescent="0.25">
      <c r="A1057" s="20" t="s">
        <v>353</v>
      </c>
      <c r="B1057" s="6">
        <v>5</v>
      </c>
      <c r="C1057" s="6">
        <v>5</v>
      </c>
      <c r="D1057" s="6">
        <v>2</v>
      </c>
      <c r="E1057" s="6" t="s">
        <v>355</v>
      </c>
      <c r="F1057" s="6" t="s">
        <v>333</v>
      </c>
      <c r="G1057" s="19">
        <v>1</v>
      </c>
      <c r="H1057" s="6">
        <v>5</v>
      </c>
      <c r="I1057" s="6" t="s">
        <v>330</v>
      </c>
      <c r="J1057" s="20">
        <v>0.51800000000000002</v>
      </c>
      <c r="K1057" s="20">
        <v>51.277999999999999</v>
      </c>
      <c r="L1057" s="6">
        <v>0</v>
      </c>
      <c r="M1057" s="15">
        <v>4.9382716049382717E-4</v>
      </c>
      <c r="N1057" s="16">
        <v>0.12790123456790126</v>
      </c>
      <c r="O1057" s="17">
        <v>12.661234567901234</v>
      </c>
      <c r="P1057" s="16">
        <v>0.12790123456790126</v>
      </c>
      <c r="Q1057" s="17">
        <v>12.661234567901236</v>
      </c>
    </row>
    <row r="1058" spans="1:17" x14ac:dyDescent="0.25">
      <c r="A1058" s="20" t="s">
        <v>353</v>
      </c>
      <c r="B1058" s="6">
        <v>5</v>
      </c>
      <c r="C1058" s="6">
        <v>5</v>
      </c>
      <c r="D1058" s="6">
        <v>2</v>
      </c>
      <c r="E1058" s="6" t="s">
        <v>355</v>
      </c>
      <c r="F1058" s="6" t="s">
        <v>337</v>
      </c>
      <c r="G1058" s="19">
        <v>2</v>
      </c>
      <c r="H1058" s="6">
        <v>5</v>
      </c>
      <c r="I1058" s="6" t="s">
        <v>318</v>
      </c>
      <c r="J1058" s="20">
        <v>0.65900000000000003</v>
      </c>
      <c r="K1058" s="20">
        <v>15.608000000000001</v>
      </c>
      <c r="L1058" s="6">
        <v>1</v>
      </c>
      <c r="M1058" s="15">
        <v>0.19944444444444442</v>
      </c>
      <c r="N1058" s="16">
        <v>65.716944444444451</v>
      </c>
      <c r="O1058" s="17">
        <v>1556.4644444444446</v>
      </c>
      <c r="P1058" s="16">
        <v>65.716944444444437</v>
      </c>
      <c r="Q1058" s="17">
        <v>1556.4644444444441</v>
      </c>
    </row>
    <row r="1059" spans="1:17" x14ac:dyDescent="0.25">
      <c r="A1059" s="20" t="s">
        <v>353</v>
      </c>
      <c r="B1059" s="6">
        <v>5</v>
      </c>
      <c r="C1059" s="6">
        <v>5</v>
      </c>
      <c r="D1059" s="6">
        <v>2</v>
      </c>
      <c r="E1059" s="6" t="s">
        <v>355</v>
      </c>
      <c r="F1059" s="6" t="s">
        <v>337</v>
      </c>
      <c r="G1059" s="19">
        <v>2</v>
      </c>
      <c r="H1059" s="6">
        <v>5</v>
      </c>
      <c r="I1059" s="6" t="s">
        <v>330</v>
      </c>
      <c r="J1059" s="20">
        <v>0.72499999999999998</v>
      </c>
      <c r="K1059" s="20">
        <v>52.838999999999999</v>
      </c>
      <c r="L1059" s="6">
        <v>0</v>
      </c>
      <c r="M1059" s="15">
        <v>5.5555555555555556E-4</v>
      </c>
      <c r="N1059" s="16">
        <v>0.20138888888888887</v>
      </c>
      <c r="O1059" s="17">
        <v>14.677500000000002</v>
      </c>
      <c r="P1059" s="16">
        <v>0.2013888888888889</v>
      </c>
      <c r="Q1059" s="17">
        <v>14.6775</v>
      </c>
    </row>
    <row r="1060" spans="1:17" x14ac:dyDescent="0.25">
      <c r="A1060" s="20" t="s">
        <v>353</v>
      </c>
      <c r="B1060" s="6">
        <v>5</v>
      </c>
      <c r="C1060" s="6">
        <v>5</v>
      </c>
      <c r="D1060" s="6">
        <v>2</v>
      </c>
      <c r="E1060" s="6" t="s">
        <v>355</v>
      </c>
      <c r="F1060" s="6" t="s">
        <v>334</v>
      </c>
      <c r="G1060" s="19">
        <v>3</v>
      </c>
      <c r="I1060" s="14" t="s">
        <v>318</v>
      </c>
      <c r="J1060" s="20" t="s">
        <v>1673</v>
      </c>
      <c r="K1060" s="20" t="s">
        <v>1673</v>
      </c>
      <c r="L1060" s="6" t="s">
        <v>1673</v>
      </c>
      <c r="M1060" s="15" t="s">
        <v>1673</v>
      </c>
      <c r="N1060" s="16" t="s">
        <v>1673</v>
      </c>
      <c r="O1060" s="17" t="s">
        <v>1673</v>
      </c>
      <c r="P1060" s="16" t="s">
        <v>1673</v>
      </c>
      <c r="Q1060" s="17" t="s">
        <v>1673</v>
      </c>
    </row>
    <row r="1061" spans="1:17" x14ac:dyDescent="0.25">
      <c r="A1061" s="20" t="s">
        <v>353</v>
      </c>
      <c r="B1061" s="6">
        <v>5</v>
      </c>
      <c r="C1061" s="6">
        <v>5</v>
      </c>
      <c r="D1061" s="6">
        <v>2</v>
      </c>
      <c r="E1061" s="6" t="s">
        <v>355</v>
      </c>
      <c r="F1061" s="6" t="s">
        <v>334</v>
      </c>
      <c r="G1061" s="19">
        <v>3</v>
      </c>
      <c r="I1061" s="14" t="s">
        <v>319</v>
      </c>
      <c r="J1061" s="20" t="s">
        <v>1673</v>
      </c>
      <c r="K1061" s="20" t="s">
        <v>1673</v>
      </c>
      <c r="L1061" s="6" t="s">
        <v>1673</v>
      </c>
      <c r="M1061" s="15" t="s">
        <v>1673</v>
      </c>
      <c r="N1061" s="16" t="s">
        <v>1673</v>
      </c>
      <c r="O1061" s="17" t="s">
        <v>1673</v>
      </c>
      <c r="P1061" s="16" t="s">
        <v>1673</v>
      </c>
      <c r="Q1061" s="17" t="s">
        <v>1673</v>
      </c>
    </row>
    <row r="1062" spans="1:17" x14ac:dyDescent="0.25">
      <c r="A1062" s="20" t="s">
        <v>353</v>
      </c>
      <c r="B1062" s="6">
        <v>5</v>
      </c>
      <c r="C1062" s="6">
        <v>5</v>
      </c>
      <c r="D1062" s="6">
        <v>3</v>
      </c>
      <c r="E1062" s="6" t="s">
        <v>316</v>
      </c>
      <c r="F1062" s="6" t="s">
        <v>332</v>
      </c>
      <c r="G1062" s="19">
        <v>0</v>
      </c>
      <c r="H1062" s="6">
        <v>2</v>
      </c>
      <c r="I1062" s="6" t="s">
        <v>318</v>
      </c>
      <c r="J1062" s="20">
        <v>0.82299999999999995</v>
      </c>
      <c r="K1062" s="20">
        <v>40.390999999999998</v>
      </c>
      <c r="L1062" s="6">
        <v>0</v>
      </c>
      <c r="M1062" s="15">
        <v>2.7999999999999997E-2</v>
      </c>
      <c r="N1062" s="16">
        <v>4.6087999999999987</v>
      </c>
      <c r="O1062" s="17">
        <v>226.18959999999996</v>
      </c>
      <c r="P1062" s="16">
        <v>4.6087999999999987</v>
      </c>
      <c r="Q1062" s="17">
        <v>226.18959999999996</v>
      </c>
    </row>
    <row r="1063" spans="1:17" x14ac:dyDescent="0.25">
      <c r="A1063" s="20" t="s">
        <v>353</v>
      </c>
      <c r="B1063" s="6">
        <v>5</v>
      </c>
      <c r="C1063" s="6">
        <v>5</v>
      </c>
      <c r="D1063" s="6">
        <v>3</v>
      </c>
      <c r="E1063" s="6" t="s">
        <v>316</v>
      </c>
      <c r="F1063" s="6" t="s">
        <v>332</v>
      </c>
      <c r="G1063" s="19">
        <v>0</v>
      </c>
      <c r="H1063" s="6">
        <v>2</v>
      </c>
      <c r="I1063" s="6" t="s">
        <v>330</v>
      </c>
      <c r="J1063" s="20" t="s">
        <v>1673</v>
      </c>
      <c r="K1063" s="20" t="s">
        <v>1673</v>
      </c>
      <c r="L1063" s="6" t="s">
        <v>1673</v>
      </c>
      <c r="M1063" s="15" t="s">
        <v>1673</v>
      </c>
      <c r="N1063" s="16" t="s">
        <v>1673</v>
      </c>
      <c r="O1063" s="17" t="s">
        <v>1673</v>
      </c>
      <c r="P1063" s="16" t="s">
        <v>1673</v>
      </c>
      <c r="Q1063" s="17" t="s">
        <v>1673</v>
      </c>
    </row>
    <row r="1064" spans="1:17" x14ac:dyDescent="0.25">
      <c r="A1064" s="20" t="s">
        <v>353</v>
      </c>
      <c r="B1064" s="6">
        <v>5</v>
      </c>
      <c r="C1064" s="6">
        <v>5</v>
      </c>
      <c r="D1064" s="6">
        <v>3</v>
      </c>
      <c r="E1064" s="6" t="s">
        <v>355</v>
      </c>
      <c r="F1064" s="6" t="s">
        <v>333</v>
      </c>
      <c r="G1064" s="19">
        <v>1</v>
      </c>
      <c r="H1064" s="6">
        <v>5</v>
      </c>
      <c r="I1064" s="6" t="s">
        <v>318</v>
      </c>
      <c r="J1064" s="20">
        <v>0.67100000000000004</v>
      </c>
      <c r="K1064" s="20">
        <v>30.82</v>
      </c>
      <c r="L1064" s="6">
        <v>0</v>
      </c>
      <c r="M1064" s="15">
        <v>2.5600000000000001E-2</v>
      </c>
      <c r="N1064" s="16">
        <v>8.5888000000000009</v>
      </c>
      <c r="O1064" s="17">
        <v>394.49600000000004</v>
      </c>
      <c r="P1064" s="16">
        <v>8.5888000000000009</v>
      </c>
      <c r="Q1064" s="17">
        <v>394.49600000000009</v>
      </c>
    </row>
    <row r="1065" spans="1:17" x14ac:dyDescent="0.25">
      <c r="A1065" s="20" t="s">
        <v>353</v>
      </c>
      <c r="B1065" s="6">
        <v>5</v>
      </c>
      <c r="C1065" s="6">
        <v>5</v>
      </c>
      <c r="D1065" s="6">
        <v>3</v>
      </c>
      <c r="E1065" s="6" t="s">
        <v>355</v>
      </c>
      <c r="F1065" s="6" t="s">
        <v>333</v>
      </c>
      <c r="G1065" s="19">
        <v>1</v>
      </c>
      <c r="H1065" s="6">
        <v>5</v>
      </c>
      <c r="I1065" s="6" t="s">
        <v>330</v>
      </c>
      <c r="J1065" s="20" t="s">
        <v>1673</v>
      </c>
      <c r="K1065" s="20" t="s">
        <v>1673</v>
      </c>
      <c r="L1065" s="6" t="s">
        <v>1673</v>
      </c>
      <c r="M1065" s="15" t="s">
        <v>1673</v>
      </c>
      <c r="N1065" s="16" t="s">
        <v>1673</v>
      </c>
      <c r="O1065" s="17" t="s">
        <v>1673</v>
      </c>
      <c r="P1065" s="16" t="s">
        <v>1673</v>
      </c>
      <c r="Q1065" s="17" t="s">
        <v>1673</v>
      </c>
    </row>
    <row r="1066" spans="1:17" x14ac:dyDescent="0.25">
      <c r="A1066" s="20" t="s">
        <v>353</v>
      </c>
      <c r="B1066" s="6">
        <v>5</v>
      </c>
      <c r="C1066" s="6">
        <v>5</v>
      </c>
      <c r="D1066" s="6">
        <v>3</v>
      </c>
      <c r="E1066" s="6" t="s">
        <v>355</v>
      </c>
      <c r="F1066" s="6" t="s">
        <v>337</v>
      </c>
      <c r="G1066" s="19">
        <v>2</v>
      </c>
      <c r="H1066" s="6">
        <v>5</v>
      </c>
      <c r="I1066" s="6" t="s">
        <v>318</v>
      </c>
      <c r="J1066" s="20">
        <v>0.78100000000000003</v>
      </c>
      <c r="K1066" s="20">
        <v>25.126999999999999</v>
      </c>
      <c r="L1066" s="6">
        <v>0</v>
      </c>
      <c r="M1066" s="15">
        <v>0.08</v>
      </c>
      <c r="N1066" s="16">
        <v>31.240000000000002</v>
      </c>
      <c r="O1066" s="17">
        <v>1005.0799999999999</v>
      </c>
      <c r="P1066" s="16">
        <v>31.240000000000002</v>
      </c>
      <c r="Q1066" s="17">
        <v>1005.0799999999998</v>
      </c>
    </row>
    <row r="1067" spans="1:17" x14ac:dyDescent="0.25">
      <c r="A1067" s="20" t="s">
        <v>353</v>
      </c>
      <c r="B1067" s="6">
        <v>5</v>
      </c>
      <c r="C1067" s="6">
        <v>5</v>
      </c>
      <c r="D1067" s="6">
        <v>3</v>
      </c>
      <c r="E1067" s="6" t="s">
        <v>355</v>
      </c>
      <c r="F1067" s="6" t="s">
        <v>337</v>
      </c>
      <c r="G1067" s="19">
        <v>2</v>
      </c>
      <c r="H1067" s="6">
        <v>5</v>
      </c>
      <c r="I1067" s="6" t="s">
        <v>330</v>
      </c>
      <c r="J1067" s="20" t="s">
        <v>1673</v>
      </c>
      <c r="K1067" s="20" t="s">
        <v>1673</v>
      </c>
      <c r="L1067" s="6" t="s">
        <v>1673</v>
      </c>
      <c r="M1067" s="15" t="s">
        <v>1673</v>
      </c>
      <c r="N1067" s="16" t="s">
        <v>1673</v>
      </c>
      <c r="O1067" s="17" t="s">
        <v>1673</v>
      </c>
      <c r="P1067" s="16" t="s">
        <v>1673</v>
      </c>
      <c r="Q1067" s="17" t="s">
        <v>1673</v>
      </c>
    </row>
    <row r="1068" spans="1:17" x14ac:dyDescent="0.25">
      <c r="A1068" s="20" t="s">
        <v>353</v>
      </c>
      <c r="B1068" s="6">
        <v>5</v>
      </c>
      <c r="C1068" s="6">
        <v>5</v>
      </c>
      <c r="D1068" s="6">
        <v>3</v>
      </c>
      <c r="E1068" s="6" t="s">
        <v>355</v>
      </c>
      <c r="F1068" s="6" t="s">
        <v>334</v>
      </c>
      <c r="G1068" s="19">
        <v>3</v>
      </c>
      <c r="H1068" s="6">
        <v>5</v>
      </c>
      <c r="I1068" s="6" t="s">
        <v>318</v>
      </c>
      <c r="J1068" s="20">
        <v>1.393</v>
      </c>
      <c r="K1068" s="20">
        <v>42.064999999999998</v>
      </c>
      <c r="L1068" s="6">
        <v>0</v>
      </c>
      <c r="M1068" s="15">
        <v>5.5111111111111111E-2</v>
      </c>
      <c r="N1068" s="16">
        <v>38.384888888888888</v>
      </c>
      <c r="O1068" s="17">
        <v>1159.1244444444444</v>
      </c>
      <c r="P1068" s="16">
        <v>38.384888888888888</v>
      </c>
      <c r="Q1068" s="17">
        <v>1159.1244444444444</v>
      </c>
    </row>
    <row r="1069" spans="1:17" x14ac:dyDescent="0.25">
      <c r="A1069" s="20" t="s">
        <v>353</v>
      </c>
      <c r="B1069" s="6">
        <v>5</v>
      </c>
      <c r="C1069" s="6">
        <v>5</v>
      </c>
      <c r="D1069" s="6">
        <v>3</v>
      </c>
      <c r="E1069" s="6" t="s">
        <v>355</v>
      </c>
      <c r="F1069" s="6" t="s">
        <v>334</v>
      </c>
      <c r="G1069" s="19">
        <v>3</v>
      </c>
      <c r="H1069" s="6">
        <v>5</v>
      </c>
      <c r="I1069" s="6" t="s">
        <v>330</v>
      </c>
      <c r="J1069" s="20" t="s">
        <v>1673</v>
      </c>
      <c r="K1069" s="20" t="s">
        <v>1673</v>
      </c>
      <c r="L1069" s="6" t="s">
        <v>1673</v>
      </c>
      <c r="M1069" s="15" t="s">
        <v>1673</v>
      </c>
      <c r="N1069" s="16" t="s">
        <v>1673</v>
      </c>
      <c r="O1069" s="17" t="s">
        <v>1673</v>
      </c>
      <c r="P1069" s="16" t="s">
        <v>1673</v>
      </c>
      <c r="Q1069" s="17" t="s">
        <v>1673</v>
      </c>
    </row>
    <row r="1070" spans="1:17" x14ac:dyDescent="0.25">
      <c r="A1070" s="20" t="s">
        <v>353</v>
      </c>
      <c r="B1070" s="6">
        <v>5</v>
      </c>
      <c r="C1070" s="6">
        <v>5</v>
      </c>
      <c r="D1070" s="6">
        <v>3</v>
      </c>
      <c r="E1070" s="6" t="s">
        <v>355</v>
      </c>
      <c r="F1070" s="6" t="s">
        <v>335</v>
      </c>
      <c r="G1070" s="19">
        <v>4</v>
      </c>
      <c r="H1070" s="6">
        <v>5</v>
      </c>
      <c r="I1070" s="6" t="s">
        <v>318</v>
      </c>
      <c r="J1070" s="20">
        <v>2</v>
      </c>
      <c r="K1070" s="20">
        <v>43.036000000000001</v>
      </c>
      <c r="L1070" s="6">
        <v>0</v>
      </c>
      <c r="M1070" s="15">
        <v>0.11885714285714286</v>
      </c>
      <c r="N1070" s="16">
        <v>118.85714285714286</v>
      </c>
      <c r="O1070" s="17">
        <v>2557.5680000000002</v>
      </c>
      <c r="P1070" s="16">
        <v>118.85714285714286</v>
      </c>
      <c r="Q1070" s="17">
        <v>2557.5680000000002</v>
      </c>
    </row>
    <row r="1071" spans="1:17" x14ac:dyDescent="0.25">
      <c r="A1071" s="20" t="s">
        <v>353</v>
      </c>
      <c r="B1071" s="6">
        <v>5</v>
      </c>
      <c r="C1071" s="6">
        <v>5</v>
      </c>
      <c r="D1071" s="6">
        <v>3</v>
      </c>
      <c r="E1071" s="6" t="s">
        <v>355</v>
      </c>
      <c r="F1071" s="6" t="s">
        <v>335</v>
      </c>
      <c r="G1071" s="19">
        <v>4</v>
      </c>
      <c r="H1071" s="6">
        <v>5</v>
      </c>
      <c r="I1071" s="6" t="s">
        <v>330</v>
      </c>
      <c r="J1071" s="20" t="s">
        <v>1673</v>
      </c>
      <c r="K1071" s="20" t="s">
        <v>1673</v>
      </c>
      <c r="L1071" s="6" t="s">
        <v>1673</v>
      </c>
      <c r="M1071" s="15" t="s">
        <v>1673</v>
      </c>
      <c r="N1071" s="16" t="s">
        <v>1673</v>
      </c>
      <c r="O1071" s="17" t="s">
        <v>1673</v>
      </c>
      <c r="P1071" s="16" t="s">
        <v>1673</v>
      </c>
      <c r="Q1071" s="17" t="s">
        <v>1673</v>
      </c>
    </row>
    <row r="1072" spans="1:17" x14ac:dyDescent="0.25">
      <c r="A1072" s="20" t="s">
        <v>353</v>
      </c>
      <c r="B1072" s="6">
        <v>5</v>
      </c>
      <c r="C1072" s="6">
        <v>5</v>
      </c>
      <c r="D1072" s="6">
        <v>3</v>
      </c>
      <c r="E1072" s="6" t="s">
        <v>355</v>
      </c>
      <c r="F1072" s="6" t="s">
        <v>338</v>
      </c>
      <c r="G1072" s="19">
        <v>5</v>
      </c>
      <c r="H1072" s="6">
        <v>1</v>
      </c>
      <c r="I1072" s="6" t="s">
        <v>318</v>
      </c>
      <c r="J1072" s="20">
        <v>1.9850000000000001</v>
      </c>
      <c r="K1072" s="20">
        <v>40.792999999999999</v>
      </c>
      <c r="L1072" s="6">
        <v>0</v>
      </c>
      <c r="M1072" s="15">
        <v>0.20952380952380953</v>
      </c>
      <c r="N1072" s="16">
        <v>41.590476190476195</v>
      </c>
      <c r="O1072" s="17">
        <v>854.71047619047624</v>
      </c>
      <c r="P1072" s="16">
        <v>207.95238095238096</v>
      </c>
      <c r="Q1072" s="17">
        <v>4273.5523809523811</v>
      </c>
    </row>
    <row r="1073" spans="1:17" x14ac:dyDescent="0.25">
      <c r="A1073" s="20" t="s">
        <v>353</v>
      </c>
      <c r="B1073" s="6">
        <v>5</v>
      </c>
      <c r="C1073" s="6">
        <v>5</v>
      </c>
      <c r="D1073" s="6">
        <v>3</v>
      </c>
      <c r="E1073" s="6" t="s">
        <v>355</v>
      </c>
      <c r="F1073" s="6" t="s">
        <v>338</v>
      </c>
      <c r="G1073" s="19">
        <v>5</v>
      </c>
      <c r="H1073" s="6">
        <v>1</v>
      </c>
      <c r="I1073" s="6" t="s">
        <v>330</v>
      </c>
      <c r="J1073" s="20" t="s">
        <v>1673</v>
      </c>
      <c r="K1073" s="20" t="s">
        <v>1673</v>
      </c>
      <c r="L1073" s="6" t="s">
        <v>1673</v>
      </c>
      <c r="M1073" s="15" t="s">
        <v>1673</v>
      </c>
      <c r="N1073" s="16" t="s">
        <v>1673</v>
      </c>
      <c r="O1073" s="17" t="s">
        <v>1673</v>
      </c>
      <c r="P1073" s="16" t="s">
        <v>1673</v>
      </c>
      <c r="Q1073" s="17" t="s">
        <v>1673</v>
      </c>
    </row>
    <row r="1074" spans="1:17" x14ac:dyDescent="0.25">
      <c r="A1074" s="20" t="s">
        <v>353</v>
      </c>
      <c r="B1074" s="6">
        <v>5</v>
      </c>
      <c r="C1074" s="6">
        <v>5</v>
      </c>
      <c r="D1074" s="6">
        <v>5</v>
      </c>
      <c r="E1074" s="6" t="s">
        <v>316</v>
      </c>
      <c r="F1074" s="6" t="s">
        <v>332</v>
      </c>
      <c r="G1074" s="19">
        <v>0</v>
      </c>
      <c r="H1074" s="6">
        <v>1.5</v>
      </c>
      <c r="I1074" s="6" t="s">
        <v>318</v>
      </c>
      <c r="J1074" s="20">
        <v>0.996</v>
      </c>
      <c r="K1074" s="20">
        <v>40.424999999999997</v>
      </c>
      <c r="L1074" s="6">
        <v>0</v>
      </c>
      <c r="M1074" s="15">
        <v>3.8518518518518521E-2</v>
      </c>
      <c r="N1074" s="16">
        <v>5.754666666666667</v>
      </c>
      <c r="O1074" s="17">
        <v>233.56666666666669</v>
      </c>
      <c r="P1074" s="16">
        <v>5.754666666666667</v>
      </c>
      <c r="Q1074" s="17">
        <v>233.56666666666669</v>
      </c>
    </row>
    <row r="1075" spans="1:17" x14ac:dyDescent="0.25">
      <c r="A1075" s="20" t="s">
        <v>353</v>
      </c>
      <c r="B1075" s="6">
        <v>5</v>
      </c>
      <c r="C1075" s="6">
        <v>5</v>
      </c>
      <c r="D1075" s="6">
        <v>5</v>
      </c>
      <c r="E1075" s="6" t="s">
        <v>316</v>
      </c>
      <c r="F1075" s="6" t="s">
        <v>332</v>
      </c>
      <c r="G1075" s="19">
        <v>0</v>
      </c>
      <c r="H1075" s="6">
        <v>1.5</v>
      </c>
      <c r="I1075" s="6" t="s">
        <v>330</v>
      </c>
      <c r="J1075" s="20" t="s">
        <v>1673</v>
      </c>
      <c r="K1075" s="20" t="s">
        <v>1673</v>
      </c>
      <c r="L1075" s="6" t="s">
        <v>1673</v>
      </c>
      <c r="M1075" s="15" t="s">
        <v>1673</v>
      </c>
      <c r="N1075" s="16" t="s">
        <v>1673</v>
      </c>
      <c r="O1075" s="17" t="s">
        <v>1673</v>
      </c>
      <c r="P1075" s="16" t="s">
        <v>1673</v>
      </c>
      <c r="Q1075" s="17" t="s">
        <v>1673</v>
      </c>
    </row>
    <row r="1076" spans="1:17" x14ac:dyDescent="0.25">
      <c r="A1076" s="20" t="s">
        <v>353</v>
      </c>
      <c r="B1076" s="6">
        <v>5</v>
      </c>
      <c r="C1076" s="6">
        <v>5</v>
      </c>
      <c r="D1076" s="6">
        <v>5</v>
      </c>
      <c r="E1076" s="6" t="s">
        <v>355</v>
      </c>
      <c r="F1076" s="6" t="s">
        <v>333</v>
      </c>
      <c r="G1076" s="19">
        <v>1</v>
      </c>
      <c r="H1076" s="6">
        <v>5</v>
      </c>
      <c r="I1076" s="6" t="s">
        <v>318</v>
      </c>
      <c r="J1076" s="20">
        <v>0.90500000000000003</v>
      </c>
      <c r="K1076" s="20">
        <v>34.195</v>
      </c>
      <c r="L1076" s="6">
        <v>0</v>
      </c>
      <c r="M1076" s="15">
        <v>6.2E-2</v>
      </c>
      <c r="N1076" s="16">
        <v>28.055000000000003</v>
      </c>
      <c r="O1076" s="17">
        <v>1060.0449999999998</v>
      </c>
      <c r="P1076" s="16">
        <v>28.055000000000003</v>
      </c>
      <c r="Q1076" s="17">
        <v>1060.0449999999998</v>
      </c>
    </row>
    <row r="1077" spans="1:17" x14ac:dyDescent="0.25">
      <c r="A1077" s="20" t="s">
        <v>353</v>
      </c>
      <c r="B1077" s="6">
        <v>5</v>
      </c>
      <c r="C1077" s="6">
        <v>5</v>
      </c>
      <c r="D1077" s="6">
        <v>5</v>
      </c>
      <c r="E1077" s="6" t="s">
        <v>355</v>
      </c>
      <c r="F1077" s="6" t="s">
        <v>333</v>
      </c>
      <c r="G1077" s="19">
        <v>1</v>
      </c>
      <c r="H1077" s="6">
        <v>5</v>
      </c>
      <c r="I1077" s="6" t="s">
        <v>330</v>
      </c>
      <c r="J1077" s="20">
        <v>0.41099999999999998</v>
      </c>
      <c r="K1077" s="20">
        <v>50.314</v>
      </c>
      <c r="L1077" s="6" t="s">
        <v>1673</v>
      </c>
      <c r="M1077" s="15">
        <v>2E-3</v>
      </c>
      <c r="N1077" s="16">
        <v>0.41099999999999998</v>
      </c>
      <c r="O1077" s="17">
        <v>50.314</v>
      </c>
      <c r="P1077" s="16">
        <v>0.41100000000000003</v>
      </c>
      <c r="Q1077" s="17">
        <v>50.314000000000007</v>
      </c>
    </row>
    <row r="1078" spans="1:17" x14ac:dyDescent="0.25">
      <c r="A1078" s="20" t="s">
        <v>353</v>
      </c>
      <c r="B1078" s="6">
        <v>5</v>
      </c>
      <c r="C1078" s="6">
        <v>5</v>
      </c>
      <c r="D1078" s="6">
        <v>5</v>
      </c>
      <c r="E1078" s="6" t="s">
        <v>355</v>
      </c>
      <c r="F1078" s="6" t="s">
        <v>337</v>
      </c>
      <c r="G1078" s="19">
        <v>2</v>
      </c>
      <c r="H1078" s="6">
        <v>5</v>
      </c>
      <c r="I1078" s="6" t="s">
        <v>318</v>
      </c>
      <c r="J1078" s="20">
        <v>0.72924999999999995</v>
      </c>
      <c r="K1078" s="20">
        <v>35.7455</v>
      </c>
      <c r="L1078" s="6">
        <v>0</v>
      </c>
      <c r="M1078" s="15">
        <v>0.11199999999999999</v>
      </c>
      <c r="N1078" s="16">
        <v>40.837999999999994</v>
      </c>
      <c r="O1078" s="17">
        <v>2001.7479999999998</v>
      </c>
      <c r="P1078" s="16">
        <v>40.837999999999994</v>
      </c>
      <c r="Q1078" s="17">
        <v>2001.7479999999998</v>
      </c>
    </row>
    <row r="1079" spans="1:17" x14ac:dyDescent="0.25">
      <c r="A1079" s="20" t="s">
        <v>353</v>
      </c>
      <c r="B1079" s="6">
        <v>5</v>
      </c>
      <c r="C1079" s="6">
        <v>5</v>
      </c>
      <c r="D1079" s="6">
        <v>5</v>
      </c>
      <c r="E1079" s="6" t="s">
        <v>355</v>
      </c>
      <c r="F1079" s="6" t="s">
        <v>337</v>
      </c>
      <c r="G1079" s="19">
        <v>2</v>
      </c>
      <c r="H1079" s="6">
        <v>5</v>
      </c>
      <c r="I1079" s="6" t="s">
        <v>330</v>
      </c>
      <c r="J1079" s="20">
        <v>0.752</v>
      </c>
      <c r="K1079" s="20">
        <v>49.408000000000001</v>
      </c>
      <c r="L1079" s="6">
        <v>0</v>
      </c>
      <c r="M1079" s="15">
        <v>5.0000000000000001E-3</v>
      </c>
      <c r="N1079" s="16">
        <v>1.88</v>
      </c>
      <c r="O1079" s="17">
        <v>123.52000000000001</v>
      </c>
      <c r="P1079" s="16">
        <v>1.8800000000000001</v>
      </c>
      <c r="Q1079" s="17">
        <v>123.52000000000002</v>
      </c>
    </row>
    <row r="1080" spans="1:17" x14ac:dyDescent="0.25">
      <c r="A1080" s="20" t="s">
        <v>353</v>
      </c>
      <c r="B1080" s="6">
        <v>5</v>
      </c>
      <c r="C1080" s="6">
        <v>5</v>
      </c>
      <c r="D1080" s="6">
        <v>5</v>
      </c>
      <c r="E1080" s="6" t="s">
        <v>355</v>
      </c>
      <c r="F1080" s="6" t="s">
        <v>334</v>
      </c>
      <c r="G1080" s="19">
        <v>3</v>
      </c>
      <c r="H1080" s="6">
        <v>3</v>
      </c>
      <c r="I1080" s="6" t="s">
        <v>318</v>
      </c>
      <c r="J1080" s="20">
        <v>0.68799999999999994</v>
      </c>
      <c r="K1080" s="20">
        <v>16.562000000000001</v>
      </c>
      <c r="L1080" s="6">
        <v>1</v>
      </c>
      <c r="M1080" s="15">
        <v>0.15555555555555556</v>
      </c>
      <c r="N1080" s="16">
        <v>32.106666666666669</v>
      </c>
      <c r="O1080" s="17">
        <v>772.89333333333343</v>
      </c>
      <c r="P1080" s="16">
        <v>53.511111111111113</v>
      </c>
      <c r="Q1080" s="17">
        <v>1288.1555555555558</v>
      </c>
    </row>
    <row r="1081" spans="1:17" x14ac:dyDescent="0.25">
      <c r="A1081" s="20" t="s">
        <v>353</v>
      </c>
      <c r="B1081" s="6">
        <v>5</v>
      </c>
      <c r="C1081" s="6">
        <v>5</v>
      </c>
      <c r="D1081" s="6">
        <v>5</v>
      </c>
      <c r="E1081" s="6" t="s">
        <v>355</v>
      </c>
      <c r="F1081" s="6" t="s">
        <v>334</v>
      </c>
      <c r="G1081" s="19">
        <v>3</v>
      </c>
      <c r="H1081" s="6">
        <v>3</v>
      </c>
      <c r="I1081" s="6" t="s">
        <v>330</v>
      </c>
      <c r="J1081" s="20" t="s">
        <v>1673</v>
      </c>
      <c r="K1081" s="20" t="s">
        <v>1673</v>
      </c>
      <c r="L1081" s="6" t="s">
        <v>1673</v>
      </c>
      <c r="M1081" s="15" t="s">
        <v>1673</v>
      </c>
      <c r="N1081" s="16" t="s">
        <v>1673</v>
      </c>
      <c r="O1081" s="17" t="s">
        <v>1673</v>
      </c>
      <c r="P1081" s="16" t="s">
        <v>1673</v>
      </c>
      <c r="Q1081" s="17" t="s">
        <v>1673</v>
      </c>
    </row>
    <row r="1082" spans="1:17" x14ac:dyDescent="0.25">
      <c r="A1082" s="20" t="s">
        <v>353</v>
      </c>
      <c r="B1082" s="6">
        <v>6</v>
      </c>
      <c r="C1082" s="6">
        <v>6</v>
      </c>
      <c r="D1082" s="6">
        <v>1</v>
      </c>
      <c r="E1082" s="6" t="s">
        <v>316</v>
      </c>
      <c r="F1082" s="21" t="s">
        <v>317</v>
      </c>
      <c r="G1082" s="18">
        <v>0</v>
      </c>
      <c r="H1082" s="6">
        <v>1.8333333333333333</v>
      </c>
      <c r="I1082" s="6" t="s">
        <v>318</v>
      </c>
      <c r="J1082" s="20">
        <v>1.08</v>
      </c>
      <c r="K1082" s="20">
        <v>41.183</v>
      </c>
      <c r="L1082" s="6">
        <v>0</v>
      </c>
      <c r="M1082" s="15">
        <v>2.0916604057099924E-2</v>
      </c>
      <c r="N1082" s="16">
        <v>4.1414876033057846</v>
      </c>
      <c r="O1082" s="17">
        <v>157.92489256198346</v>
      </c>
      <c r="P1082" s="16">
        <v>4.1414876033057846</v>
      </c>
      <c r="Q1082" s="17">
        <v>157.92489256198346</v>
      </c>
    </row>
    <row r="1083" spans="1:17" x14ac:dyDescent="0.25">
      <c r="A1083" s="20" t="s">
        <v>353</v>
      </c>
      <c r="B1083" s="6">
        <v>6</v>
      </c>
      <c r="C1083" s="6">
        <v>6</v>
      </c>
      <c r="D1083" s="6">
        <v>1</v>
      </c>
      <c r="E1083" s="6" t="s">
        <v>316</v>
      </c>
      <c r="F1083" s="21" t="s">
        <v>317</v>
      </c>
      <c r="G1083" s="18">
        <v>0</v>
      </c>
      <c r="H1083" s="6">
        <v>1.8333333333333333</v>
      </c>
      <c r="I1083" s="6" t="s">
        <v>319</v>
      </c>
      <c r="J1083" s="6" t="s">
        <v>1673</v>
      </c>
      <c r="K1083" s="6" t="s">
        <v>1673</v>
      </c>
      <c r="L1083" s="6" t="s">
        <v>1673</v>
      </c>
      <c r="M1083" s="15" t="s">
        <v>1673</v>
      </c>
      <c r="N1083" s="16" t="s">
        <v>1673</v>
      </c>
      <c r="O1083" s="17" t="s">
        <v>1673</v>
      </c>
      <c r="P1083" s="16" t="s">
        <v>1673</v>
      </c>
      <c r="Q1083" s="17" t="s">
        <v>1673</v>
      </c>
    </row>
    <row r="1084" spans="1:17" x14ac:dyDescent="0.25">
      <c r="A1084" s="20" t="s">
        <v>353</v>
      </c>
      <c r="B1084" s="6">
        <v>6</v>
      </c>
      <c r="C1084" s="6">
        <v>6</v>
      </c>
      <c r="D1084" s="6">
        <v>1</v>
      </c>
      <c r="E1084" s="6" t="s">
        <v>355</v>
      </c>
      <c r="F1084" s="14" t="s">
        <v>320</v>
      </c>
      <c r="G1084" s="18">
        <v>1</v>
      </c>
      <c r="H1084" s="6">
        <v>5.5</v>
      </c>
      <c r="I1084" s="6" t="s">
        <v>318</v>
      </c>
      <c r="J1084" s="20">
        <v>0.83</v>
      </c>
      <c r="K1084" s="20">
        <v>37.154000000000003</v>
      </c>
      <c r="L1084" s="6">
        <v>0</v>
      </c>
      <c r="M1084" s="15">
        <v>0.13793388429752068</v>
      </c>
      <c r="N1084" s="16">
        <v>62.966818181818191</v>
      </c>
      <c r="O1084" s="17">
        <v>2818.6375454545459</v>
      </c>
      <c r="P1084" s="16">
        <v>57.242561983471077</v>
      </c>
      <c r="Q1084" s="17">
        <v>2562.3977685950417</v>
      </c>
    </row>
    <row r="1085" spans="1:17" x14ac:dyDescent="0.25">
      <c r="A1085" s="20" t="s">
        <v>353</v>
      </c>
      <c r="B1085" s="6">
        <v>6</v>
      </c>
      <c r="C1085" s="6">
        <v>6</v>
      </c>
      <c r="D1085" s="6">
        <v>1</v>
      </c>
      <c r="E1085" s="6" t="s">
        <v>355</v>
      </c>
      <c r="F1085" s="14" t="s">
        <v>320</v>
      </c>
      <c r="G1085" s="18">
        <v>1</v>
      </c>
      <c r="H1085" s="6">
        <v>5.5</v>
      </c>
      <c r="I1085" s="6" t="s">
        <v>319</v>
      </c>
      <c r="J1085" s="20">
        <v>0.74399999999999999</v>
      </c>
      <c r="K1085" s="20">
        <v>50.128999999999998</v>
      </c>
      <c r="L1085" s="6">
        <v>0</v>
      </c>
      <c r="M1085" s="15">
        <v>5.7851239669421491E-4</v>
      </c>
      <c r="N1085" s="16">
        <v>0.23672727272727273</v>
      </c>
      <c r="O1085" s="17">
        <v>15.950136363636364</v>
      </c>
      <c r="P1085" s="16">
        <v>0.21520661157024792</v>
      </c>
      <c r="Q1085" s="17">
        <v>14.50012396694215</v>
      </c>
    </row>
    <row r="1086" spans="1:17" x14ac:dyDescent="0.25">
      <c r="A1086" s="20" t="s">
        <v>353</v>
      </c>
      <c r="B1086" s="6">
        <v>6</v>
      </c>
      <c r="C1086" s="6">
        <v>6</v>
      </c>
      <c r="D1086" s="6">
        <v>1</v>
      </c>
      <c r="E1086" s="6" t="s">
        <v>355</v>
      </c>
      <c r="F1086" s="14" t="s">
        <v>321</v>
      </c>
      <c r="G1086" s="18">
        <v>2</v>
      </c>
      <c r="H1086" s="6">
        <v>5</v>
      </c>
      <c r="I1086" s="6" t="s">
        <v>318</v>
      </c>
      <c r="J1086" s="20">
        <v>1.125</v>
      </c>
      <c r="K1086" s="20">
        <v>42.878</v>
      </c>
      <c r="L1086" s="6">
        <v>0</v>
      </c>
      <c r="M1086" s="15">
        <v>0.10239999999999999</v>
      </c>
      <c r="N1086" s="16">
        <v>57.599999999999987</v>
      </c>
      <c r="O1086" s="17">
        <v>2195.3535999999995</v>
      </c>
      <c r="P1086" s="16">
        <v>57.599999999999994</v>
      </c>
      <c r="Q1086" s="17">
        <v>2195.3535999999999</v>
      </c>
    </row>
    <row r="1087" spans="1:17" x14ac:dyDescent="0.25">
      <c r="A1087" s="20" t="s">
        <v>353</v>
      </c>
      <c r="B1087" s="6">
        <v>6</v>
      </c>
      <c r="C1087" s="6">
        <v>6</v>
      </c>
      <c r="D1087" s="6">
        <v>1</v>
      </c>
      <c r="E1087" s="6" t="s">
        <v>355</v>
      </c>
      <c r="F1087" s="14" t="s">
        <v>321</v>
      </c>
      <c r="G1087" s="18">
        <v>2</v>
      </c>
      <c r="H1087" s="6">
        <v>5</v>
      </c>
      <c r="I1087" s="6" t="s">
        <v>319</v>
      </c>
      <c r="J1087" s="6" t="s">
        <v>1673</v>
      </c>
      <c r="K1087" s="6" t="s">
        <v>1673</v>
      </c>
      <c r="L1087" s="6" t="s">
        <v>1673</v>
      </c>
      <c r="M1087" s="15" t="s">
        <v>1673</v>
      </c>
      <c r="N1087" s="16" t="s">
        <v>1673</v>
      </c>
      <c r="O1087" s="17" t="s">
        <v>1673</v>
      </c>
      <c r="P1087" s="16" t="s">
        <v>1673</v>
      </c>
      <c r="Q1087" s="17" t="s">
        <v>1673</v>
      </c>
    </row>
    <row r="1088" spans="1:17" x14ac:dyDescent="0.25">
      <c r="A1088" s="20" t="s">
        <v>353</v>
      </c>
      <c r="B1088" s="6">
        <v>6</v>
      </c>
      <c r="C1088" s="6">
        <v>6</v>
      </c>
      <c r="D1088" s="6">
        <v>1</v>
      </c>
      <c r="E1088" s="6" t="s">
        <v>355</v>
      </c>
      <c r="F1088" s="14" t="s">
        <v>322</v>
      </c>
      <c r="G1088" s="18">
        <v>3</v>
      </c>
      <c r="H1088" s="6">
        <v>5</v>
      </c>
      <c r="I1088" s="6" t="s">
        <v>318</v>
      </c>
      <c r="J1088" s="20">
        <v>1.6830000000000001</v>
      </c>
      <c r="K1088" s="20">
        <v>43.628</v>
      </c>
      <c r="L1088" s="6">
        <v>0</v>
      </c>
      <c r="M1088" s="15">
        <v>0.16071111111111108</v>
      </c>
      <c r="N1088" s="16">
        <v>135.23839999999998</v>
      </c>
      <c r="O1088" s="17">
        <v>3505.7521777777774</v>
      </c>
      <c r="P1088" s="16">
        <v>135.23839999999998</v>
      </c>
      <c r="Q1088" s="17">
        <v>3505.7521777777774</v>
      </c>
    </row>
    <row r="1089" spans="1:17" x14ac:dyDescent="0.25">
      <c r="A1089" s="20" t="s">
        <v>353</v>
      </c>
      <c r="B1089" s="6">
        <v>6</v>
      </c>
      <c r="C1089" s="6">
        <v>6</v>
      </c>
      <c r="D1089" s="6">
        <v>1</v>
      </c>
      <c r="E1089" s="6" t="s">
        <v>355</v>
      </c>
      <c r="F1089" s="14" t="s">
        <v>322</v>
      </c>
      <c r="G1089" s="18">
        <v>3</v>
      </c>
      <c r="H1089" s="6">
        <v>5</v>
      </c>
      <c r="I1089" s="6" t="s">
        <v>319</v>
      </c>
      <c r="J1089" s="6" t="s">
        <v>1673</v>
      </c>
      <c r="K1089" s="6" t="s">
        <v>1673</v>
      </c>
      <c r="L1089" s="6" t="s">
        <v>1673</v>
      </c>
      <c r="M1089" s="15" t="s">
        <v>1673</v>
      </c>
      <c r="N1089" s="16" t="s">
        <v>1673</v>
      </c>
      <c r="O1089" s="17" t="s">
        <v>1673</v>
      </c>
      <c r="P1089" s="16" t="s">
        <v>1673</v>
      </c>
      <c r="Q1089" s="17" t="s">
        <v>1673</v>
      </c>
    </row>
    <row r="1090" spans="1:17" x14ac:dyDescent="0.25">
      <c r="A1090" s="20" t="s">
        <v>353</v>
      </c>
      <c r="B1090" s="6">
        <v>6</v>
      </c>
      <c r="C1090" s="6">
        <v>6</v>
      </c>
      <c r="D1090" s="6">
        <v>1</v>
      </c>
      <c r="E1090" s="6" t="s">
        <v>355</v>
      </c>
      <c r="F1090" s="14" t="s">
        <v>324</v>
      </c>
      <c r="G1090" s="18">
        <v>4</v>
      </c>
      <c r="H1090" s="6">
        <v>2.6666666666666665</v>
      </c>
      <c r="I1090" s="6" t="s">
        <v>318</v>
      </c>
      <c r="J1090" s="20">
        <v>1.601</v>
      </c>
      <c r="K1090" s="20">
        <v>28.85</v>
      </c>
      <c r="L1090" s="6">
        <v>0</v>
      </c>
      <c r="M1090" s="15">
        <v>0.42995454545454548</v>
      </c>
      <c r="N1090" s="16">
        <v>183.56192727272727</v>
      </c>
      <c r="O1090" s="17">
        <v>3307.783636363637</v>
      </c>
      <c r="P1090" s="16">
        <v>344.17861363636365</v>
      </c>
      <c r="Q1090" s="17">
        <v>6202.0943181818193</v>
      </c>
    </row>
    <row r="1091" spans="1:17" x14ac:dyDescent="0.25">
      <c r="A1091" s="20" t="s">
        <v>353</v>
      </c>
      <c r="B1091" s="6">
        <v>6</v>
      </c>
      <c r="C1091" s="6">
        <v>6</v>
      </c>
      <c r="D1091" s="6">
        <v>1</v>
      </c>
      <c r="E1091" s="6" t="s">
        <v>355</v>
      </c>
      <c r="F1091" s="14" t="s">
        <v>324</v>
      </c>
      <c r="G1091" s="18">
        <v>4</v>
      </c>
      <c r="H1091" s="6">
        <v>2.6666666666666665</v>
      </c>
      <c r="I1091" s="6" t="s">
        <v>319</v>
      </c>
      <c r="J1091" s="6" t="s">
        <v>1673</v>
      </c>
      <c r="K1091" s="6" t="s">
        <v>1673</v>
      </c>
      <c r="L1091" s="6" t="s">
        <v>1673</v>
      </c>
      <c r="M1091" s="15" t="s">
        <v>1673</v>
      </c>
      <c r="N1091" s="16" t="s">
        <v>1673</v>
      </c>
      <c r="O1091" s="17" t="s">
        <v>1673</v>
      </c>
      <c r="P1091" s="16" t="s">
        <v>1673</v>
      </c>
      <c r="Q1091" s="17" t="s">
        <v>1673</v>
      </c>
    </row>
    <row r="1092" spans="1:17" x14ac:dyDescent="0.25">
      <c r="A1092" s="20" t="s">
        <v>353</v>
      </c>
      <c r="B1092" s="6">
        <v>6</v>
      </c>
      <c r="C1092" s="6">
        <v>6</v>
      </c>
      <c r="D1092" s="6">
        <v>1</v>
      </c>
      <c r="E1092" s="6" t="s">
        <v>355</v>
      </c>
      <c r="F1092" s="14" t="s">
        <v>325</v>
      </c>
      <c r="G1092" s="18">
        <v>5</v>
      </c>
      <c r="H1092" s="6">
        <v>0</v>
      </c>
      <c r="I1092" s="6" t="s">
        <v>318</v>
      </c>
      <c r="J1092" s="6" t="s">
        <v>1673</v>
      </c>
      <c r="K1092" s="6" t="s">
        <v>1673</v>
      </c>
      <c r="L1092" s="6" t="s">
        <v>1673</v>
      </c>
      <c r="M1092" s="15" t="s">
        <v>1673</v>
      </c>
      <c r="N1092" s="16" t="s">
        <v>1673</v>
      </c>
      <c r="O1092" s="17" t="s">
        <v>1673</v>
      </c>
      <c r="P1092" s="16" t="s">
        <v>1673</v>
      </c>
      <c r="Q1092" s="17" t="s">
        <v>1673</v>
      </c>
    </row>
    <row r="1093" spans="1:17" x14ac:dyDescent="0.25">
      <c r="A1093" s="20" t="s">
        <v>353</v>
      </c>
      <c r="B1093" s="6">
        <v>6</v>
      </c>
      <c r="C1093" s="6">
        <v>6</v>
      </c>
      <c r="D1093" s="6">
        <v>1</v>
      </c>
      <c r="E1093" s="6" t="s">
        <v>355</v>
      </c>
      <c r="F1093" s="14" t="s">
        <v>325</v>
      </c>
      <c r="G1093" s="18">
        <v>5</v>
      </c>
      <c r="H1093" s="6">
        <v>0</v>
      </c>
      <c r="I1093" s="6" t="s">
        <v>319</v>
      </c>
      <c r="J1093" s="6" t="s">
        <v>1673</v>
      </c>
      <c r="K1093" s="6" t="s">
        <v>1673</v>
      </c>
      <c r="L1093" s="6" t="s">
        <v>1673</v>
      </c>
      <c r="M1093" s="15" t="s">
        <v>1673</v>
      </c>
      <c r="N1093" s="16" t="s">
        <v>1673</v>
      </c>
      <c r="O1093" s="17" t="s">
        <v>1673</v>
      </c>
      <c r="P1093" s="16" t="s">
        <v>1673</v>
      </c>
      <c r="Q1093" s="17" t="s">
        <v>1673</v>
      </c>
    </row>
    <row r="1094" spans="1:17" x14ac:dyDescent="0.25">
      <c r="A1094" s="20" t="s">
        <v>353</v>
      </c>
      <c r="B1094" s="6">
        <v>6</v>
      </c>
      <c r="C1094" s="6">
        <v>6</v>
      </c>
      <c r="D1094" s="6">
        <v>4</v>
      </c>
      <c r="E1094" s="6" t="s">
        <v>316</v>
      </c>
      <c r="F1094" s="21" t="s">
        <v>317</v>
      </c>
      <c r="G1094" s="18">
        <v>0</v>
      </c>
      <c r="H1094" s="6">
        <v>4</v>
      </c>
      <c r="I1094" s="6" t="s">
        <v>318</v>
      </c>
      <c r="J1094" s="20">
        <v>0.92600000000000005</v>
      </c>
      <c r="K1094" s="20">
        <v>46.957999999999998</v>
      </c>
      <c r="L1094" s="6">
        <v>0</v>
      </c>
      <c r="M1094" s="15">
        <v>4.2142857142857142E-2</v>
      </c>
      <c r="N1094" s="16">
        <v>15.609714285714286</v>
      </c>
      <c r="O1094" s="17">
        <v>791.57771428571425</v>
      </c>
      <c r="P1094" s="16">
        <v>15.609714285714286</v>
      </c>
      <c r="Q1094" s="17">
        <v>791.57771428571425</v>
      </c>
    </row>
    <row r="1095" spans="1:17" x14ac:dyDescent="0.25">
      <c r="A1095" s="20" t="s">
        <v>353</v>
      </c>
      <c r="B1095" s="6">
        <v>6</v>
      </c>
      <c r="C1095" s="6">
        <v>6</v>
      </c>
      <c r="D1095" s="6">
        <v>4</v>
      </c>
      <c r="E1095" s="6" t="s">
        <v>316</v>
      </c>
      <c r="F1095" s="21" t="s">
        <v>317</v>
      </c>
      <c r="G1095" s="18">
        <v>0</v>
      </c>
      <c r="H1095" s="6">
        <v>4</v>
      </c>
      <c r="I1095" s="6" t="s">
        <v>319</v>
      </c>
      <c r="J1095" s="6" t="s">
        <v>1673</v>
      </c>
      <c r="K1095" s="6" t="s">
        <v>1673</v>
      </c>
      <c r="L1095" s="6" t="s">
        <v>1673</v>
      </c>
      <c r="M1095" s="15" t="s">
        <v>1673</v>
      </c>
      <c r="N1095" s="16" t="s">
        <v>1673</v>
      </c>
      <c r="O1095" s="17" t="s">
        <v>1673</v>
      </c>
      <c r="P1095" s="16" t="s">
        <v>1673</v>
      </c>
      <c r="Q1095" s="17" t="s">
        <v>1673</v>
      </c>
    </row>
    <row r="1096" spans="1:17" x14ac:dyDescent="0.25">
      <c r="A1096" s="20" t="s">
        <v>353</v>
      </c>
      <c r="B1096" s="6">
        <v>6</v>
      </c>
      <c r="C1096" s="6">
        <v>6</v>
      </c>
      <c r="D1096" s="6">
        <v>4</v>
      </c>
      <c r="E1096" s="6" t="s">
        <v>355</v>
      </c>
      <c r="F1096" s="14" t="s">
        <v>320</v>
      </c>
      <c r="G1096" s="18">
        <v>1</v>
      </c>
      <c r="H1096" s="6">
        <v>5.5</v>
      </c>
      <c r="I1096" s="6" t="s">
        <v>318</v>
      </c>
      <c r="J1096" s="20">
        <v>0.96899999999999997</v>
      </c>
      <c r="K1096" s="20">
        <v>34.652999999999999</v>
      </c>
      <c r="L1096" s="6">
        <v>0</v>
      </c>
      <c r="M1096" s="15">
        <v>9.1249999999999998E-2</v>
      </c>
      <c r="N1096" s="16">
        <v>48.631687499999998</v>
      </c>
      <c r="O1096" s="17">
        <v>1739.1474375</v>
      </c>
      <c r="P1096" s="16">
        <v>44.210624999999993</v>
      </c>
      <c r="Q1096" s="17">
        <v>1581.0431250000001</v>
      </c>
    </row>
    <row r="1097" spans="1:17" x14ac:dyDescent="0.25">
      <c r="A1097" s="20" t="s">
        <v>353</v>
      </c>
      <c r="B1097" s="6">
        <v>6</v>
      </c>
      <c r="C1097" s="6">
        <v>6</v>
      </c>
      <c r="D1097" s="6">
        <v>4</v>
      </c>
      <c r="E1097" s="6" t="s">
        <v>355</v>
      </c>
      <c r="F1097" s="14" t="s">
        <v>320</v>
      </c>
      <c r="G1097" s="18">
        <v>1</v>
      </c>
      <c r="H1097" s="6">
        <v>5.5</v>
      </c>
      <c r="I1097" s="6" t="s">
        <v>319</v>
      </c>
      <c r="J1097" s="6" t="s">
        <v>1673</v>
      </c>
      <c r="K1097" s="6" t="s">
        <v>1673</v>
      </c>
      <c r="L1097" s="6" t="s">
        <v>1673</v>
      </c>
      <c r="M1097" s="15" t="s">
        <v>1673</v>
      </c>
      <c r="N1097" s="16" t="s">
        <v>1673</v>
      </c>
      <c r="O1097" s="17" t="s">
        <v>1673</v>
      </c>
      <c r="P1097" s="16" t="s">
        <v>1673</v>
      </c>
      <c r="Q1097" s="17" t="s">
        <v>1673</v>
      </c>
    </row>
    <row r="1098" spans="1:17" x14ac:dyDescent="0.25">
      <c r="A1098" s="20" t="s">
        <v>353</v>
      </c>
      <c r="B1098" s="6">
        <v>6</v>
      </c>
      <c r="C1098" s="6">
        <v>6</v>
      </c>
      <c r="D1098" s="6">
        <v>4</v>
      </c>
      <c r="E1098" s="6" t="s">
        <v>355</v>
      </c>
      <c r="F1098" s="14" t="s">
        <v>321</v>
      </c>
      <c r="G1098" s="18">
        <v>2</v>
      </c>
      <c r="H1098" s="6">
        <v>5</v>
      </c>
      <c r="I1098" s="6" t="s">
        <v>318</v>
      </c>
      <c r="J1098" s="20">
        <v>1.8380000000000001</v>
      </c>
      <c r="K1098" s="20">
        <v>41.969000000000001</v>
      </c>
      <c r="L1098" s="6">
        <v>0</v>
      </c>
      <c r="M1098" s="15">
        <v>0.14438095238095236</v>
      </c>
      <c r="N1098" s="16">
        <v>132.68609523809522</v>
      </c>
      <c r="O1098" s="17">
        <v>3029.7620952380948</v>
      </c>
      <c r="P1098" s="16">
        <v>132.68609523809522</v>
      </c>
      <c r="Q1098" s="17">
        <v>3029.7620952380948</v>
      </c>
    </row>
    <row r="1099" spans="1:17" x14ac:dyDescent="0.25">
      <c r="A1099" s="20" t="s">
        <v>353</v>
      </c>
      <c r="B1099" s="6">
        <v>6</v>
      </c>
      <c r="C1099" s="6">
        <v>6</v>
      </c>
      <c r="D1099" s="6">
        <v>4</v>
      </c>
      <c r="E1099" s="6" t="s">
        <v>355</v>
      </c>
      <c r="F1099" s="14" t="s">
        <v>321</v>
      </c>
      <c r="G1099" s="18">
        <v>2</v>
      </c>
      <c r="H1099" s="6">
        <v>5</v>
      </c>
      <c r="I1099" s="6" t="s">
        <v>319</v>
      </c>
      <c r="J1099" s="20">
        <v>0.85599999999999998</v>
      </c>
      <c r="K1099" s="20">
        <v>50.709000000000003</v>
      </c>
      <c r="L1099" s="6">
        <v>0</v>
      </c>
      <c r="M1099" s="15">
        <v>1.8031746031746031E-2</v>
      </c>
      <c r="N1099" s="16">
        <v>7.7175873015873</v>
      </c>
      <c r="O1099" s="17">
        <v>457.18590476190474</v>
      </c>
      <c r="P1099" s="16">
        <v>7.7175873015873009</v>
      </c>
      <c r="Q1099" s="17">
        <v>457.18590476190474</v>
      </c>
    </row>
    <row r="1100" spans="1:17" x14ac:dyDescent="0.25">
      <c r="A1100" s="20" t="s">
        <v>353</v>
      </c>
      <c r="B1100" s="6">
        <v>6</v>
      </c>
      <c r="C1100" s="6">
        <v>6</v>
      </c>
      <c r="D1100" s="6">
        <v>4</v>
      </c>
      <c r="E1100" s="6" t="s">
        <v>355</v>
      </c>
      <c r="F1100" s="14" t="s">
        <v>322</v>
      </c>
      <c r="G1100" s="18">
        <v>3</v>
      </c>
      <c r="H1100" s="6">
        <v>5</v>
      </c>
      <c r="I1100" s="6" t="s">
        <v>318</v>
      </c>
      <c r="J1100" s="20">
        <v>2.4289999999999998</v>
      </c>
      <c r="K1100" s="20">
        <v>39.875999999999998</v>
      </c>
      <c r="L1100" s="6">
        <v>0</v>
      </c>
      <c r="M1100" s="15">
        <v>0.20799999999999999</v>
      </c>
      <c r="N1100" s="16">
        <v>252.61599999999999</v>
      </c>
      <c r="O1100" s="17">
        <v>4147.1040000000003</v>
      </c>
      <c r="P1100" s="16">
        <v>252.61599999999999</v>
      </c>
      <c r="Q1100" s="17">
        <v>4147.1039999999994</v>
      </c>
    </row>
    <row r="1101" spans="1:17" x14ac:dyDescent="0.25">
      <c r="A1101" s="20" t="s">
        <v>353</v>
      </c>
      <c r="B1101" s="6">
        <v>6</v>
      </c>
      <c r="C1101" s="6">
        <v>6</v>
      </c>
      <c r="D1101" s="6">
        <v>4</v>
      </c>
      <c r="E1101" s="6" t="s">
        <v>355</v>
      </c>
      <c r="F1101" s="14" t="s">
        <v>322</v>
      </c>
      <c r="G1101" s="18">
        <v>3</v>
      </c>
      <c r="H1101" s="6">
        <v>5</v>
      </c>
      <c r="I1101" s="6" t="s">
        <v>319</v>
      </c>
      <c r="J1101" s="20">
        <v>1.353</v>
      </c>
      <c r="K1101" s="20">
        <v>52.115000000000002</v>
      </c>
      <c r="L1101" s="6">
        <v>0</v>
      </c>
      <c r="M1101" s="15">
        <v>5.5238095238095237E-3</v>
      </c>
      <c r="N1101" s="16">
        <v>3.7368571428571422</v>
      </c>
      <c r="O1101" s="17">
        <v>143.93666666666664</v>
      </c>
      <c r="P1101" s="16">
        <v>3.7368571428571431</v>
      </c>
      <c r="Q1101" s="17">
        <v>143.93666666666667</v>
      </c>
    </row>
    <row r="1102" spans="1:17" x14ac:dyDescent="0.25">
      <c r="A1102" s="20" t="s">
        <v>353</v>
      </c>
      <c r="B1102" s="6">
        <v>6</v>
      </c>
      <c r="C1102" s="6">
        <v>6</v>
      </c>
      <c r="D1102" s="6">
        <v>4</v>
      </c>
      <c r="E1102" s="6" t="s">
        <v>355</v>
      </c>
      <c r="F1102" s="14" t="s">
        <v>324</v>
      </c>
      <c r="G1102" s="18">
        <v>4</v>
      </c>
      <c r="H1102" s="6">
        <v>5</v>
      </c>
      <c r="I1102" s="6" t="s">
        <v>318</v>
      </c>
      <c r="J1102" s="20">
        <v>2.2400000000000002</v>
      </c>
      <c r="K1102" s="20">
        <v>38.890999999999998</v>
      </c>
      <c r="L1102" s="6">
        <v>0</v>
      </c>
      <c r="M1102" s="15">
        <v>0.19014285714285714</v>
      </c>
      <c r="N1102" s="16">
        <v>212.96000000000004</v>
      </c>
      <c r="O1102" s="17">
        <v>3697.4229285714282</v>
      </c>
      <c r="P1102" s="16">
        <v>212.96000000000004</v>
      </c>
      <c r="Q1102" s="17">
        <v>3697.4229285714282</v>
      </c>
    </row>
    <row r="1103" spans="1:17" x14ac:dyDescent="0.25">
      <c r="A1103" s="20" t="s">
        <v>353</v>
      </c>
      <c r="B1103" s="6">
        <v>6</v>
      </c>
      <c r="C1103" s="6">
        <v>6</v>
      </c>
      <c r="D1103" s="6">
        <v>4</v>
      </c>
      <c r="E1103" s="6" t="s">
        <v>355</v>
      </c>
      <c r="F1103" s="14" t="s">
        <v>324</v>
      </c>
      <c r="G1103" s="18">
        <v>4</v>
      </c>
      <c r="H1103" s="6">
        <v>5</v>
      </c>
      <c r="I1103" s="6" t="s">
        <v>319</v>
      </c>
      <c r="J1103" s="6" t="s">
        <v>1673</v>
      </c>
      <c r="K1103" s="6" t="s">
        <v>1673</v>
      </c>
      <c r="L1103" s="6" t="s">
        <v>1673</v>
      </c>
      <c r="M1103" s="15" t="s">
        <v>1673</v>
      </c>
      <c r="N1103" s="16" t="s">
        <v>1673</v>
      </c>
      <c r="O1103" s="17" t="s">
        <v>1673</v>
      </c>
      <c r="P1103" s="16" t="s">
        <v>1673</v>
      </c>
      <c r="Q1103" s="17" t="s">
        <v>1673</v>
      </c>
    </row>
    <row r="1104" spans="1:17" x14ac:dyDescent="0.25">
      <c r="A1104" s="20" t="s">
        <v>353</v>
      </c>
      <c r="B1104" s="6">
        <v>6</v>
      </c>
      <c r="C1104" s="6">
        <v>6</v>
      </c>
      <c r="D1104" s="6">
        <v>4</v>
      </c>
      <c r="E1104" s="6" t="s">
        <v>355</v>
      </c>
      <c r="F1104" s="14" t="s">
        <v>325</v>
      </c>
      <c r="G1104" s="18">
        <v>5</v>
      </c>
      <c r="H1104" s="6">
        <v>4.5</v>
      </c>
      <c r="I1104" s="6" t="s">
        <v>318</v>
      </c>
      <c r="J1104" s="20">
        <v>2.2749999999999999</v>
      </c>
      <c r="K1104" s="20">
        <v>40.140999999999998</v>
      </c>
      <c r="L1104" s="6">
        <v>0</v>
      </c>
      <c r="M1104" s="15">
        <v>0.1808888888888889</v>
      </c>
      <c r="N1104" s="16">
        <v>185.185</v>
      </c>
      <c r="O1104" s="17">
        <v>3267.4774000000002</v>
      </c>
      <c r="P1104" s="16">
        <v>205.76111111111112</v>
      </c>
      <c r="Q1104" s="17">
        <v>3630.5304444444446</v>
      </c>
    </row>
    <row r="1105" spans="1:17" x14ac:dyDescent="0.25">
      <c r="A1105" s="20" t="s">
        <v>353</v>
      </c>
      <c r="B1105" s="6">
        <v>6</v>
      </c>
      <c r="C1105" s="6">
        <v>6</v>
      </c>
      <c r="D1105" s="6">
        <v>4</v>
      </c>
      <c r="E1105" s="6" t="s">
        <v>355</v>
      </c>
      <c r="F1105" s="14" t="s">
        <v>325</v>
      </c>
      <c r="G1105" s="18">
        <v>5</v>
      </c>
      <c r="H1105" s="6">
        <v>4.5</v>
      </c>
      <c r="I1105" s="6" t="s">
        <v>319</v>
      </c>
      <c r="J1105" s="6" t="s">
        <v>1673</v>
      </c>
      <c r="K1105" s="6" t="s">
        <v>1673</v>
      </c>
      <c r="L1105" s="6" t="s">
        <v>1673</v>
      </c>
      <c r="M1105" s="15" t="s">
        <v>1673</v>
      </c>
      <c r="N1105" s="16" t="s">
        <v>1673</v>
      </c>
      <c r="O1105" s="17" t="s">
        <v>1673</v>
      </c>
      <c r="P1105" s="16" t="s">
        <v>1673</v>
      </c>
      <c r="Q1105" s="17" t="s">
        <v>1673</v>
      </c>
    </row>
    <row r="1106" spans="1:17" x14ac:dyDescent="0.25">
      <c r="A1106" s="20" t="s">
        <v>353</v>
      </c>
      <c r="B1106" s="6">
        <v>6</v>
      </c>
      <c r="C1106" s="6">
        <v>6</v>
      </c>
      <c r="D1106" s="6">
        <v>4</v>
      </c>
      <c r="E1106" s="6" t="s">
        <v>355</v>
      </c>
      <c r="F1106" s="14" t="s">
        <v>326</v>
      </c>
      <c r="G1106" s="18">
        <v>6</v>
      </c>
      <c r="H1106" s="6">
        <v>0</v>
      </c>
      <c r="I1106" s="6" t="s">
        <v>318</v>
      </c>
      <c r="J1106" s="6" t="s">
        <v>1673</v>
      </c>
      <c r="K1106" s="6" t="s">
        <v>1673</v>
      </c>
      <c r="L1106" s="6" t="s">
        <v>1673</v>
      </c>
      <c r="M1106" s="15" t="s">
        <v>1673</v>
      </c>
      <c r="N1106" s="16" t="s">
        <v>1673</v>
      </c>
      <c r="O1106" s="17" t="s">
        <v>1673</v>
      </c>
      <c r="P1106" s="16" t="s">
        <v>1673</v>
      </c>
      <c r="Q1106" s="17" t="s">
        <v>1673</v>
      </c>
    </row>
    <row r="1107" spans="1:17" x14ac:dyDescent="0.25">
      <c r="A1107" s="20" t="s">
        <v>353</v>
      </c>
      <c r="B1107" s="6">
        <v>6</v>
      </c>
      <c r="C1107" s="6">
        <v>6</v>
      </c>
      <c r="D1107" s="6">
        <v>4</v>
      </c>
      <c r="E1107" s="6" t="s">
        <v>355</v>
      </c>
      <c r="F1107" s="14" t="s">
        <v>326</v>
      </c>
      <c r="G1107" s="18">
        <v>6</v>
      </c>
      <c r="H1107" s="6">
        <v>0</v>
      </c>
      <c r="I1107" s="6" t="s">
        <v>319</v>
      </c>
      <c r="J1107" s="6" t="s">
        <v>1673</v>
      </c>
      <c r="K1107" s="6" t="s">
        <v>1673</v>
      </c>
      <c r="L1107" s="6" t="s">
        <v>1673</v>
      </c>
      <c r="M1107" s="15" t="s">
        <v>1673</v>
      </c>
      <c r="N1107" s="16" t="s">
        <v>1673</v>
      </c>
      <c r="O1107" s="17" t="s">
        <v>1673</v>
      </c>
      <c r="P1107" s="16" t="s">
        <v>1673</v>
      </c>
      <c r="Q1107" s="17" t="s">
        <v>1673</v>
      </c>
    </row>
    <row r="1108" spans="1:17" x14ac:dyDescent="0.25">
      <c r="A1108" s="20" t="s">
        <v>353</v>
      </c>
      <c r="B1108" s="6">
        <v>6</v>
      </c>
      <c r="C1108" s="6">
        <v>6</v>
      </c>
      <c r="D1108" s="6">
        <v>2</v>
      </c>
      <c r="E1108" s="6" t="s">
        <v>316</v>
      </c>
      <c r="F1108" s="6" t="s">
        <v>332</v>
      </c>
      <c r="G1108" s="19">
        <v>0</v>
      </c>
      <c r="H1108" s="6">
        <v>2</v>
      </c>
      <c r="I1108" s="6" t="s">
        <v>318</v>
      </c>
      <c r="J1108" s="20">
        <v>0.80900000000000005</v>
      </c>
      <c r="K1108" s="20">
        <v>43.597999999999999</v>
      </c>
      <c r="L1108" s="6">
        <v>0</v>
      </c>
      <c r="M1108" s="15">
        <v>3.4545454545454546E-2</v>
      </c>
      <c r="N1108" s="16">
        <v>5.5894545454545455</v>
      </c>
      <c r="O1108" s="17">
        <v>301.22254545454541</v>
      </c>
      <c r="P1108" s="16">
        <v>5.5894545454545455</v>
      </c>
      <c r="Q1108" s="17">
        <v>301.22254545454541</v>
      </c>
    </row>
    <row r="1109" spans="1:17" x14ac:dyDescent="0.25">
      <c r="A1109" s="20" t="s">
        <v>353</v>
      </c>
      <c r="B1109" s="6">
        <v>6</v>
      </c>
      <c r="C1109" s="6">
        <v>6</v>
      </c>
      <c r="D1109" s="6">
        <v>2</v>
      </c>
      <c r="E1109" s="6" t="s">
        <v>316</v>
      </c>
      <c r="F1109" s="6" t="s">
        <v>332</v>
      </c>
      <c r="G1109" s="19">
        <v>0</v>
      </c>
      <c r="H1109" s="6">
        <v>2</v>
      </c>
      <c r="I1109" s="6" t="s">
        <v>330</v>
      </c>
      <c r="J1109" s="20" t="s">
        <v>1673</v>
      </c>
      <c r="K1109" s="20" t="s">
        <v>1673</v>
      </c>
      <c r="L1109" s="6" t="s">
        <v>1673</v>
      </c>
      <c r="M1109" s="15" t="s">
        <v>1673</v>
      </c>
      <c r="N1109" s="16" t="s">
        <v>1673</v>
      </c>
      <c r="O1109" s="17" t="s">
        <v>1673</v>
      </c>
      <c r="P1109" s="16" t="s">
        <v>1673</v>
      </c>
      <c r="Q1109" s="17" t="s">
        <v>1673</v>
      </c>
    </row>
    <row r="1110" spans="1:17" x14ac:dyDescent="0.25">
      <c r="A1110" s="20" t="s">
        <v>353</v>
      </c>
      <c r="B1110" s="6">
        <v>6</v>
      </c>
      <c r="C1110" s="6">
        <v>6</v>
      </c>
      <c r="D1110" s="6">
        <v>2</v>
      </c>
      <c r="E1110" s="6" t="s">
        <v>355</v>
      </c>
      <c r="F1110" s="6" t="s">
        <v>333</v>
      </c>
      <c r="G1110" s="19">
        <v>1</v>
      </c>
      <c r="H1110" s="6">
        <v>5</v>
      </c>
      <c r="I1110" s="6" t="s">
        <v>318</v>
      </c>
      <c r="J1110" s="20">
        <v>0.60299999999999998</v>
      </c>
      <c r="K1110" s="20">
        <v>34.247999999999998</v>
      </c>
      <c r="L1110" s="6">
        <v>0</v>
      </c>
      <c r="M1110" s="15">
        <v>6.08E-2</v>
      </c>
      <c r="N1110" s="16">
        <v>18.331199999999999</v>
      </c>
      <c r="O1110" s="17">
        <v>1041.1391999999998</v>
      </c>
      <c r="P1110" s="16">
        <v>18.331199999999999</v>
      </c>
      <c r="Q1110" s="17">
        <v>1041.1391999999998</v>
      </c>
    </row>
    <row r="1111" spans="1:17" x14ac:dyDescent="0.25">
      <c r="A1111" s="20" t="s">
        <v>353</v>
      </c>
      <c r="B1111" s="6">
        <v>6</v>
      </c>
      <c r="C1111" s="6">
        <v>6</v>
      </c>
      <c r="D1111" s="6">
        <v>2</v>
      </c>
      <c r="E1111" s="6" t="s">
        <v>355</v>
      </c>
      <c r="F1111" s="6" t="s">
        <v>333</v>
      </c>
      <c r="G1111" s="19">
        <v>1</v>
      </c>
      <c r="H1111" s="6">
        <v>5</v>
      </c>
      <c r="I1111" s="6" t="s">
        <v>330</v>
      </c>
      <c r="J1111" s="20" t="s">
        <v>1673</v>
      </c>
      <c r="K1111" s="20" t="s">
        <v>1673</v>
      </c>
      <c r="L1111" s="6" t="s">
        <v>1673</v>
      </c>
      <c r="M1111" s="15" t="s">
        <v>1673</v>
      </c>
      <c r="N1111" s="16" t="s">
        <v>1673</v>
      </c>
      <c r="O1111" s="17" t="s">
        <v>1673</v>
      </c>
      <c r="P1111" s="16" t="s">
        <v>1673</v>
      </c>
      <c r="Q1111" s="17" t="s">
        <v>1673</v>
      </c>
    </row>
    <row r="1112" spans="1:17" x14ac:dyDescent="0.25">
      <c r="A1112" s="20" t="s">
        <v>353</v>
      </c>
      <c r="B1112" s="6">
        <v>6</v>
      </c>
      <c r="C1112" s="6">
        <v>6</v>
      </c>
      <c r="D1112" s="6">
        <v>2</v>
      </c>
      <c r="E1112" s="6" t="s">
        <v>355</v>
      </c>
      <c r="F1112" s="6" t="s">
        <v>337</v>
      </c>
      <c r="G1112" s="19">
        <v>2</v>
      </c>
      <c r="H1112" s="6">
        <v>5</v>
      </c>
      <c r="I1112" s="6" t="s">
        <v>318</v>
      </c>
      <c r="J1112" s="20">
        <v>0.71299999999999997</v>
      </c>
      <c r="K1112" s="20">
        <v>33.962000000000003</v>
      </c>
      <c r="L1112" s="6">
        <v>0</v>
      </c>
      <c r="M1112" s="15">
        <v>5.5111111111111111E-2</v>
      </c>
      <c r="N1112" s="16">
        <v>19.647111111111112</v>
      </c>
      <c r="O1112" s="17">
        <v>935.84177777777791</v>
      </c>
      <c r="P1112" s="16">
        <v>19.647111111111112</v>
      </c>
      <c r="Q1112" s="17">
        <v>935.84177777777791</v>
      </c>
    </row>
    <row r="1113" spans="1:17" x14ac:dyDescent="0.25">
      <c r="A1113" s="20" t="s">
        <v>353</v>
      </c>
      <c r="B1113" s="6">
        <v>6</v>
      </c>
      <c r="C1113" s="6">
        <v>6</v>
      </c>
      <c r="D1113" s="6">
        <v>2</v>
      </c>
      <c r="E1113" s="6" t="s">
        <v>355</v>
      </c>
      <c r="F1113" s="6" t="s">
        <v>337</v>
      </c>
      <c r="G1113" s="19">
        <v>2</v>
      </c>
      <c r="H1113" s="6">
        <v>5</v>
      </c>
      <c r="I1113" s="6" t="s">
        <v>330</v>
      </c>
      <c r="J1113" s="20" t="s">
        <v>1673</v>
      </c>
      <c r="K1113" s="20" t="s">
        <v>1673</v>
      </c>
      <c r="L1113" s="6" t="s">
        <v>1673</v>
      </c>
      <c r="M1113" s="15" t="s">
        <v>1673</v>
      </c>
      <c r="N1113" s="16" t="s">
        <v>1673</v>
      </c>
      <c r="O1113" s="17" t="s">
        <v>1673</v>
      </c>
      <c r="P1113" s="16" t="s">
        <v>1673</v>
      </c>
      <c r="Q1113" s="17" t="s">
        <v>1673</v>
      </c>
    </row>
    <row r="1114" spans="1:17" x14ac:dyDescent="0.25">
      <c r="A1114" s="20" t="s">
        <v>353</v>
      </c>
      <c r="B1114" s="6">
        <v>6</v>
      </c>
      <c r="C1114" s="6">
        <v>6</v>
      </c>
      <c r="D1114" s="6">
        <v>2</v>
      </c>
      <c r="E1114" s="6" t="s">
        <v>355</v>
      </c>
      <c r="F1114" s="6" t="s">
        <v>334</v>
      </c>
      <c r="G1114" s="19">
        <v>3</v>
      </c>
      <c r="H1114" s="6">
        <v>5</v>
      </c>
      <c r="I1114" s="6" t="s">
        <v>318</v>
      </c>
      <c r="J1114" s="20">
        <v>1.357</v>
      </c>
      <c r="K1114" s="20">
        <v>41.406999999999996</v>
      </c>
      <c r="L1114" s="6">
        <v>0</v>
      </c>
      <c r="M1114" s="15">
        <v>6.7555555555555549E-2</v>
      </c>
      <c r="N1114" s="16">
        <v>45.836444444444446</v>
      </c>
      <c r="O1114" s="17">
        <v>1398.6364444444444</v>
      </c>
      <c r="P1114" s="16">
        <v>45.836444444444446</v>
      </c>
      <c r="Q1114" s="17">
        <v>1398.6364444444441</v>
      </c>
    </row>
    <row r="1115" spans="1:17" x14ac:dyDescent="0.25">
      <c r="A1115" s="20" t="s">
        <v>353</v>
      </c>
      <c r="B1115" s="6">
        <v>6</v>
      </c>
      <c r="C1115" s="6">
        <v>6</v>
      </c>
      <c r="D1115" s="6">
        <v>2</v>
      </c>
      <c r="E1115" s="6" t="s">
        <v>355</v>
      </c>
      <c r="F1115" s="6" t="s">
        <v>334</v>
      </c>
      <c r="G1115" s="19">
        <v>3</v>
      </c>
      <c r="H1115" s="6">
        <v>5</v>
      </c>
      <c r="I1115" s="6" t="s">
        <v>330</v>
      </c>
      <c r="J1115" s="20" t="s">
        <v>1673</v>
      </c>
      <c r="K1115" s="20" t="s">
        <v>1673</v>
      </c>
      <c r="L1115" s="6" t="s">
        <v>1673</v>
      </c>
      <c r="M1115" s="15" t="s">
        <v>1673</v>
      </c>
      <c r="N1115" s="16" t="s">
        <v>1673</v>
      </c>
      <c r="O1115" s="17" t="s">
        <v>1673</v>
      </c>
      <c r="P1115" s="16" t="s">
        <v>1673</v>
      </c>
      <c r="Q1115" s="17" t="s">
        <v>1673</v>
      </c>
    </row>
    <row r="1116" spans="1:17" x14ac:dyDescent="0.25">
      <c r="A1116" s="20" t="s">
        <v>353</v>
      </c>
      <c r="B1116" s="6">
        <v>6</v>
      </c>
      <c r="C1116" s="6">
        <v>6</v>
      </c>
      <c r="D1116" s="6">
        <v>2</v>
      </c>
      <c r="E1116" s="6" t="s">
        <v>355</v>
      </c>
      <c r="F1116" s="6" t="s">
        <v>335</v>
      </c>
      <c r="G1116" s="19">
        <v>4</v>
      </c>
      <c r="H1116" s="6">
        <v>4</v>
      </c>
      <c r="I1116" s="6" t="s">
        <v>318</v>
      </c>
      <c r="J1116" s="20">
        <v>1.5569999999999999</v>
      </c>
      <c r="K1116" s="20">
        <v>30.783000000000001</v>
      </c>
      <c r="L1116" s="6">
        <v>0</v>
      </c>
      <c r="M1116" s="15">
        <v>0.13472222222222222</v>
      </c>
      <c r="N1116" s="16">
        <v>83.904999999999987</v>
      </c>
      <c r="O1116" s="17">
        <v>1658.8616666666665</v>
      </c>
      <c r="P1116" s="16">
        <v>104.88124999999998</v>
      </c>
      <c r="Q1116" s="17">
        <v>2073.5770833333336</v>
      </c>
    </row>
    <row r="1117" spans="1:17" x14ac:dyDescent="0.25">
      <c r="A1117" s="20" t="s">
        <v>353</v>
      </c>
      <c r="B1117" s="6">
        <v>6</v>
      </c>
      <c r="C1117" s="6">
        <v>6</v>
      </c>
      <c r="D1117" s="6">
        <v>2</v>
      </c>
      <c r="E1117" s="6" t="s">
        <v>355</v>
      </c>
      <c r="F1117" s="6" t="s">
        <v>335</v>
      </c>
      <c r="G1117" s="19">
        <v>4</v>
      </c>
      <c r="H1117" s="6">
        <v>4</v>
      </c>
      <c r="I1117" s="6" t="s">
        <v>330</v>
      </c>
      <c r="J1117" s="20" t="s">
        <v>1673</v>
      </c>
      <c r="K1117" s="20" t="s">
        <v>1673</v>
      </c>
      <c r="L1117" s="6" t="s">
        <v>1673</v>
      </c>
      <c r="M1117" s="15" t="s">
        <v>1673</v>
      </c>
      <c r="N1117" s="16" t="s">
        <v>1673</v>
      </c>
      <c r="O1117" s="17" t="s">
        <v>1673</v>
      </c>
      <c r="P1117" s="16" t="s">
        <v>1673</v>
      </c>
      <c r="Q1117" s="17" t="s">
        <v>1673</v>
      </c>
    </row>
    <row r="1118" spans="1:17" x14ac:dyDescent="0.25">
      <c r="A1118" s="20" t="s">
        <v>353</v>
      </c>
      <c r="B1118" s="6">
        <v>6</v>
      </c>
      <c r="C1118" s="6">
        <v>6</v>
      </c>
      <c r="D1118" s="6">
        <v>3</v>
      </c>
      <c r="E1118" s="6" t="s">
        <v>316</v>
      </c>
      <c r="F1118" s="6" t="s">
        <v>332</v>
      </c>
      <c r="G1118" s="19">
        <v>0</v>
      </c>
      <c r="H1118" s="6">
        <v>1.5</v>
      </c>
      <c r="I1118" s="6" t="s">
        <v>318</v>
      </c>
      <c r="J1118" s="20">
        <v>0.81200000000000006</v>
      </c>
      <c r="K1118" s="20">
        <v>39.070999999999998</v>
      </c>
      <c r="L1118" s="6">
        <v>0</v>
      </c>
      <c r="M1118" s="15">
        <v>2.6262626262626265E-2</v>
      </c>
      <c r="N1118" s="16">
        <v>3.1987878787878796</v>
      </c>
      <c r="O1118" s="17">
        <v>153.91606060606063</v>
      </c>
      <c r="P1118" s="16">
        <v>3.1987878787878796</v>
      </c>
      <c r="Q1118" s="17">
        <v>153.91606060606063</v>
      </c>
    </row>
    <row r="1119" spans="1:17" x14ac:dyDescent="0.25">
      <c r="A1119" s="20" t="s">
        <v>353</v>
      </c>
      <c r="B1119" s="6">
        <v>6</v>
      </c>
      <c r="C1119" s="6">
        <v>6</v>
      </c>
      <c r="D1119" s="6">
        <v>3</v>
      </c>
      <c r="E1119" s="6" t="s">
        <v>316</v>
      </c>
      <c r="F1119" s="6" t="s">
        <v>332</v>
      </c>
      <c r="G1119" s="19">
        <v>0</v>
      </c>
      <c r="H1119" s="6">
        <v>1.5</v>
      </c>
      <c r="I1119" s="6" t="s">
        <v>330</v>
      </c>
      <c r="J1119" s="20" t="s">
        <v>1673</v>
      </c>
      <c r="K1119" s="20" t="s">
        <v>1673</v>
      </c>
      <c r="L1119" s="6" t="s">
        <v>1673</v>
      </c>
      <c r="M1119" s="15" t="s">
        <v>1673</v>
      </c>
      <c r="N1119" s="16" t="s">
        <v>1673</v>
      </c>
      <c r="O1119" s="17" t="s">
        <v>1673</v>
      </c>
      <c r="P1119" s="16" t="s">
        <v>1673</v>
      </c>
      <c r="Q1119" s="17" t="s">
        <v>1673</v>
      </c>
    </row>
    <row r="1120" spans="1:17" x14ac:dyDescent="0.25">
      <c r="A1120" s="20" t="s">
        <v>353</v>
      </c>
      <c r="B1120" s="6">
        <v>6</v>
      </c>
      <c r="C1120" s="6">
        <v>6</v>
      </c>
      <c r="D1120" s="6">
        <v>3</v>
      </c>
      <c r="E1120" s="6" t="s">
        <v>355</v>
      </c>
      <c r="F1120" s="6" t="s">
        <v>333</v>
      </c>
      <c r="G1120" s="19">
        <v>1</v>
      </c>
      <c r="H1120" s="6">
        <v>5</v>
      </c>
      <c r="I1120" s="6" t="s">
        <v>318</v>
      </c>
      <c r="J1120" s="20">
        <v>1.0349999999999999</v>
      </c>
      <c r="K1120" s="20">
        <v>29.196999999999999</v>
      </c>
      <c r="L1120" s="6">
        <v>0</v>
      </c>
      <c r="M1120" s="15">
        <v>6.8363636363636363E-2</v>
      </c>
      <c r="N1120" s="16">
        <v>35.378181818181815</v>
      </c>
      <c r="O1120" s="17">
        <v>998.0065454545454</v>
      </c>
      <c r="P1120" s="16">
        <v>35.378181818181815</v>
      </c>
      <c r="Q1120" s="17">
        <v>998.0065454545454</v>
      </c>
    </row>
    <row r="1121" spans="1:17" x14ac:dyDescent="0.25">
      <c r="A1121" s="20" t="s">
        <v>353</v>
      </c>
      <c r="B1121" s="6">
        <v>6</v>
      </c>
      <c r="C1121" s="6">
        <v>6</v>
      </c>
      <c r="D1121" s="6">
        <v>3</v>
      </c>
      <c r="E1121" s="6" t="s">
        <v>355</v>
      </c>
      <c r="F1121" s="6" t="s">
        <v>333</v>
      </c>
      <c r="G1121" s="19">
        <v>1</v>
      </c>
      <c r="H1121" s="6">
        <v>5</v>
      </c>
      <c r="I1121" s="6" t="s">
        <v>330</v>
      </c>
      <c r="J1121" s="20">
        <v>1.155</v>
      </c>
      <c r="K1121" s="20">
        <v>49.292000000000002</v>
      </c>
      <c r="L1121" s="6">
        <v>0</v>
      </c>
      <c r="M1121" s="15">
        <v>2.1818181818181819E-3</v>
      </c>
      <c r="N1121" s="16">
        <v>1.26</v>
      </c>
      <c r="O1121" s="17">
        <v>53.773090909090911</v>
      </c>
      <c r="P1121" s="16">
        <v>1.26</v>
      </c>
      <c r="Q1121" s="17">
        <v>53.773090909090911</v>
      </c>
    </row>
    <row r="1122" spans="1:17" x14ac:dyDescent="0.25">
      <c r="A1122" s="20" t="s">
        <v>353</v>
      </c>
      <c r="B1122" s="6">
        <v>6</v>
      </c>
      <c r="C1122" s="6">
        <v>6</v>
      </c>
      <c r="D1122" s="6">
        <v>3</v>
      </c>
      <c r="E1122" s="6" t="s">
        <v>355</v>
      </c>
      <c r="F1122" s="6" t="s">
        <v>337</v>
      </c>
      <c r="G1122" s="19">
        <v>2</v>
      </c>
      <c r="H1122" s="6">
        <v>5</v>
      </c>
      <c r="I1122" s="6" t="s">
        <v>318</v>
      </c>
      <c r="J1122" s="20">
        <v>2.1110000000000002</v>
      </c>
      <c r="K1122" s="20">
        <v>39.357999999999997</v>
      </c>
      <c r="L1122" s="6">
        <v>0</v>
      </c>
      <c r="M1122" s="15">
        <v>0.11212121212121212</v>
      </c>
      <c r="N1122" s="16">
        <v>118.34393939393941</v>
      </c>
      <c r="O1122" s="17">
        <v>2206.4333333333334</v>
      </c>
      <c r="P1122" s="16">
        <v>118.34393939393939</v>
      </c>
      <c r="Q1122" s="17">
        <v>2206.4333333333334</v>
      </c>
    </row>
    <row r="1123" spans="1:17" x14ac:dyDescent="0.25">
      <c r="A1123" s="20" t="s">
        <v>353</v>
      </c>
      <c r="B1123" s="6">
        <v>6</v>
      </c>
      <c r="C1123" s="6">
        <v>6</v>
      </c>
      <c r="D1123" s="6">
        <v>3</v>
      </c>
      <c r="E1123" s="6" t="s">
        <v>355</v>
      </c>
      <c r="F1123" s="6" t="s">
        <v>337</v>
      </c>
      <c r="G1123" s="19">
        <v>2</v>
      </c>
      <c r="H1123" s="6">
        <v>5</v>
      </c>
      <c r="I1123" s="6" t="s">
        <v>330</v>
      </c>
      <c r="J1123" s="20">
        <v>1.3069999999999999</v>
      </c>
      <c r="K1123" s="20">
        <v>47.863999999999997</v>
      </c>
      <c r="L1123" s="6">
        <v>0</v>
      </c>
      <c r="M1123" s="15">
        <v>1.8181818181818182E-3</v>
      </c>
      <c r="N1123" s="16">
        <v>1.1881818181818182</v>
      </c>
      <c r="O1123" s="17">
        <v>43.512727272727275</v>
      </c>
      <c r="P1123" s="16">
        <v>1.188181818181818</v>
      </c>
      <c r="Q1123" s="17">
        <v>43.512727272727268</v>
      </c>
    </row>
    <row r="1124" spans="1:17" x14ac:dyDescent="0.25">
      <c r="A1124" s="20" t="s">
        <v>353</v>
      </c>
      <c r="B1124" s="6">
        <v>6</v>
      </c>
      <c r="C1124" s="6">
        <v>6</v>
      </c>
      <c r="D1124" s="6">
        <v>3</v>
      </c>
      <c r="E1124" s="6" t="s">
        <v>355</v>
      </c>
      <c r="F1124" s="6" t="s">
        <v>334</v>
      </c>
      <c r="G1124" s="19">
        <v>3</v>
      </c>
      <c r="H1124" s="6">
        <v>5</v>
      </c>
      <c r="I1124" s="6" t="s">
        <v>318</v>
      </c>
      <c r="J1124" s="20">
        <v>2.048</v>
      </c>
      <c r="K1124" s="20">
        <v>35.036000000000001</v>
      </c>
      <c r="L1124" s="6">
        <v>0</v>
      </c>
      <c r="M1124" s="15">
        <v>0.18776859504132232</v>
      </c>
      <c r="N1124" s="16">
        <v>192.27504132231408</v>
      </c>
      <c r="O1124" s="17">
        <v>3289.3302479338845</v>
      </c>
      <c r="P1124" s="16">
        <v>192.27504132231408</v>
      </c>
      <c r="Q1124" s="17">
        <v>3289.3302479338845</v>
      </c>
    </row>
    <row r="1125" spans="1:17" x14ac:dyDescent="0.25">
      <c r="A1125" s="20" t="s">
        <v>353</v>
      </c>
      <c r="B1125" s="6">
        <v>6</v>
      </c>
      <c r="C1125" s="6">
        <v>6</v>
      </c>
      <c r="D1125" s="6">
        <v>3</v>
      </c>
      <c r="E1125" s="6" t="s">
        <v>355</v>
      </c>
      <c r="F1125" s="6" t="s">
        <v>334</v>
      </c>
      <c r="G1125" s="19">
        <v>3</v>
      </c>
      <c r="H1125" s="6">
        <v>5</v>
      </c>
      <c r="I1125" s="6" t="s">
        <v>330</v>
      </c>
      <c r="J1125" s="20" t="s">
        <v>1673</v>
      </c>
      <c r="K1125" s="20" t="s">
        <v>1673</v>
      </c>
      <c r="L1125" s="6" t="s">
        <v>1673</v>
      </c>
      <c r="M1125" s="15" t="s">
        <v>1673</v>
      </c>
      <c r="N1125" s="16" t="s">
        <v>1673</v>
      </c>
      <c r="O1125" s="17" t="s">
        <v>1673</v>
      </c>
      <c r="P1125" s="16" t="s">
        <v>1673</v>
      </c>
      <c r="Q1125" s="17" t="s">
        <v>1673</v>
      </c>
    </row>
    <row r="1126" spans="1:17" x14ac:dyDescent="0.25">
      <c r="A1126" s="20" t="s">
        <v>353</v>
      </c>
      <c r="B1126" s="6">
        <v>6</v>
      </c>
      <c r="C1126" s="6">
        <v>6</v>
      </c>
      <c r="D1126" s="6">
        <v>3</v>
      </c>
      <c r="E1126" s="6" t="s">
        <v>355</v>
      </c>
      <c r="F1126" s="6" t="s">
        <v>335</v>
      </c>
      <c r="G1126" s="19">
        <v>4</v>
      </c>
      <c r="H1126" s="6">
        <v>5</v>
      </c>
      <c r="I1126" s="6" t="s">
        <v>318</v>
      </c>
      <c r="J1126" s="20">
        <v>1.835</v>
      </c>
      <c r="K1126" s="20">
        <v>30.773</v>
      </c>
      <c r="L1126" s="6">
        <v>0</v>
      </c>
      <c r="M1126" s="15">
        <v>0.21090909090909091</v>
      </c>
      <c r="N1126" s="16">
        <v>193.50909090909087</v>
      </c>
      <c r="O1126" s="17">
        <v>3245.1527272727267</v>
      </c>
      <c r="P1126" s="16">
        <v>193.5090909090909</v>
      </c>
      <c r="Q1126" s="17">
        <v>3245.1527272727276</v>
      </c>
    </row>
    <row r="1127" spans="1:17" x14ac:dyDescent="0.25">
      <c r="A1127" s="20" t="s">
        <v>353</v>
      </c>
      <c r="B1127" s="6">
        <v>6</v>
      </c>
      <c r="C1127" s="6">
        <v>6</v>
      </c>
      <c r="D1127" s="6">
        <v>3</v>
      </c>
      <c r="E1127" s="6" t="s">
        <v>355</v>
      </c>
      <c r="F1127" s="6" t="s">
        <v>335</v>
      </c>
      <c r="G1127" s="19">
        <v>4</v>
      </c>
      <c r="H1127" s="6">
        <v>5</v>
      </c>
      <c r="I1127" s="6" t="s">
        <v>330</v>
      </c>
      <c r="J1127" s="20" t="s">
        <v>1673</v>
      </c>
      <c r="K1127" s="20" t="s">
        <v>1673</v>
      </c>
      <c r="L1127" s="6" t="s">
        <v>1673</v>
      </c>
      <c r="M1127" s="15" t="s">
        <v>1673</v>
      </c>
      <c r="N1127" s="16" t="s">
        <v>1673</v>
      </c>
      <c r="O1127" s="17" t="s">
        <v>1673</v>
      </c>
      <c r="P1127" s="16" t="s">
        <v>1673</v>
      </c>
      <c r="Q1127" s="17" t="s">
        <v>1673</v>
      </c>
    </row>
    <row r="1128" spans="1:17" x14ac:dyDescent="0.25">
      <c r="A1128" s="20" t="s">
        <v>353</v>
      </c>
      <c r="B1128" s="6">
        <v>6</v>
      </c>
      <c r="C1128" s="6">
        <v>6</v>
      </c>
      <c r="D1128" s="6">
        <v>3</v>
      </c>
      <c r="E1128" s="6" t="s">
        <v>355</v>
      </c>
      <c r="F1128" s="6" t="s">
        <v>338</v>
      </c>
      <c r="G1128" s="19">
        <v>5</v>
      </c>
      <c r="H1128" s="6">
        <v>1</v>
      </c>
      <c r="I1128" s="6" t="s">
        <v>318</v>
      </c>
      <c r="J1128" s="20">
        <v>0.86599999999999999</v>
      </c>
      <c r="K1128" s="20">
        <v>13.359</v>
      </c>
      <c r="L1128" s="6">
        <v>1</v>
      </c>
      <c r="M1128" s="15">
        <v>0.5</v>
      </c>
      <c r="N1128" s="16">
        <v>43.3</v>
      </c>
      <c r="O1128" s="17">
        <v>667.94999999999993</v>
      </c>
      <c r="P1128" s="16">
        <v>216.5</v>
      </c>
      <c r="Q1128" s="17">
        <v>3339.7499999999995</v>
      </c>
    </row>
    <row r="1129" spans="1:17" x14ac:dyDescent="0.25">
      <c r="A1129" s="20" t="s">
        <v>353</v>
      </c>
      <c r="B1129" s="6">
        <v>6</v>
      </c>
      <c r="C1129" s="6">
        <v>6</v>
      </c>
      <c r="D1129" s="6">
        <v>3</v>
      </c>
      <c r="E1129" s="6" t="s">
        <v>355</v>
      </c>
      <c r="F1129" s="6" t="s">
        <v>338</v>
      </c>
      <c r="G1129" s="19">
        <v>5</v>
      </c>
      <c r="H1129" s="6">
        <v>1</v>
      </c>
      <c r="I1129" s="6" t="s">
        <v>330</v>
      </c>
      <c r="J1129" s="20" t="s">
        <v>1673</v>
      </c>
      <c r="K1129" s="20" t="s">
        <v>1673</v>
      </c>
      <c r="L1129" s="6" t="s">
        <v>1673</v>
      </c>
      <c r="M1129" s="15" t="s">
        <v>1673</v>
      </c>
      <c r="N1129" s="16" t="s">
        <v>1673</v>
      </c>
      <c r="O1129" s="17" t="s">
        <v>1673</v>
      </c>
      <c r="P1129" s="16" t="s">
        <v>1673</v>
      </c>
      <c r="Q1129" s="17" t="s">
        <v>1673</v>
      </c>
    </row>
    <row r="1130" spans="1:17" x14ac:dyDescent="0.25">
      <c r="A1130" s="20" t="s">
        <v>353</v>
      </c>
      <c r="B1130" s="6">
        <v>6</v>
      </c>
      <c r="C1130" s="6">
        <v>6</v>
      </c>
      <c r="D1130" s="6">
        <v>5</v>
      </c>
      <c r="E1130" s="6" t="s">
        <v>316</v>
      </c>
      <c r="F1130" s="6" t="s">
        <v>332</v>
      </c>
      <c r="G1130" s="19">
        <v>0</v>
      </c>
      <c r="H1130" s="6">
        <v>0</v>
      </c>
      <c r="I1130" s="6" t="s">
        <v>318</v>
      </c>
      <c r="J1130" s="20" t="s">
        <v>1673</v>
      </c>
      <c r="K1130" s="20" t="s">
        <v>1673</v>
      </c>
      <c r="L1130" s="6" t="s">
        <v>1673</v>
      </c>
      <c r="M1130" s="15" t="s">
        <v>1673</v>
      </c>
      <c r="N1130" s="16" t="s">
        <v>1673</v>
      </c>
      <c r="O1130" s="17" t="s">
        <v>1673</v>
      </c>
      <c r="P1130" s="16" t="s">
        <v>1673</v>
      </c>
      <c r="Q1130" s="17" t="s">
        <v>1673</v>
      </c>
    </row>
    <row r="1131" spans="1:17" x14ac:dyDescent="0.25">
      <c r="A1131" s="20" t="s">
        <v>353</v>
      </c>
      <c r="B1131" s="6">
        <v>6</v>
      </c>
      <c r="C1131" s="6">
        <v>6</v>
      </c>
      <c r="D1131" s="6">
        <v>5</v>
      </c>
      <c r="E1131" s="6" t="s">
        <v>316</v>
      </c>
      <c r="F1131" s="6" t="s">
        <v>332</v>
      </c>
      <c r="G1131" s="19">
        <v>0</v>
      </c>
      <c r="H1131" s="6">
        <v>0</v>
      </c>
      <c r="I1131" s="6" t="s">
        <v>330</v>
      </c>
      <c r="J1131" s="20" t="s">
        <v>1673</v>
      </c>
      <c r="K1131" s="20" t="s">
        <v>1673</v>
      </c>
      <c r="L1131" s="6" t="s">
        <v>1673</v>
      </c>
      <c r="M1131" s="15" t="s">
        <v>1673</v>
      </c>
      <c r="N1131" s="16" t="s">
        <v>1673</v>
      </c>
      <c r="O1131" s="17" t="s">
        <v>1673</v>
      </c>
      <c r="P1131" s="16" t="s">
        <v>1673</v>
      </c>
      <c r="Q1131" s="17" t="s">
        <v>1673</v>
      </c>
    </row>
    <row r="1132" spans="1:17" x14ac:dyDescent="0.25">
      <c r="A1132" s="20" t="s">
        <v>353</v>
      </c>
      <c r="B1132" s="6">
        <v>6</v>
      </c>
      <c r="C1132" s="6">
        <v>6</v>
      </c>
      <c r="D1132" s="6">
        <v>5</v>
      </c>
      <c r="E1132" s="6" t="s">
        <v>355</v>
      </c>
      <c r="F1132" s="6" t="s">
        <v>333</v>
      </c>
      <c r="G1132" s="19">
        <v>1</v>
      </c>
      <c r="H1132" s="6">
        <v>5</v>
      </c>
      <c r="I1132" s="6" t="s">
        <v>318</v>
      </c>
      <c r="J1132" s="20">
        <v>0.64900000000000002</v>
      </c>
      <c r="K1132" s="20">
        <v>36.741999999999997</v>
      </c>
      <c r="L1132" s="6">
        <v>0</v>
      </c>
      <c r="M1132" s="15">
        <v>3.5244755244755246E-2</v>
      </c>
      <c r="N1132" s="16">
        <v>11.436923076923078</v>
      </c>
      <c r="O1132" s="17">
        <v>647.48139860139861</v>
      </c>
      <c r="P1132" s="16">
        <v>11.436923076923076</v>
      </c>
      <c r="Q1132" s="17">
        <v>647.48139860139861</v>
      </c>
    </row>
    <row r="1133" spans="1:17" x14ac:dyDescent="0.25">
      <c r="A1133" s="20" t="s">
        <v>353</v>
      </c>
      <c r="B1133" s="6">
        <v>6</v>
      </c>
      <c r="C1133" s="6">
        <v>6</v>
      </c>
      <c r="D1133" s="6">
        <v>5</v>
      </c>
      <c r="E1133" s="6" t="s">
        <v>355</v>
      </c>
      <c r="F1133" s="6" t="s">
        <v>333</v>
      </c>
      <c r="G1133" s="19">
        <v>1</v>
      </c>
      <c r="H1133" s="6">
        <v>5</v>
      </c>
      <c r="I1133" s="6" t="s">
        <v>330</v>
      </c>
      <c r="J1133" s="20">
        <v>0.52800000000000002</v>
      </c>
      <c r="K1133" s="20">
        <v>46.051000000000002</v>
      </c>
      <c r="L1133" s="6">
        <v>0</v>
      </c>
      <c r="M1133" s="15">
        <v>1.1188811188811189E-2</v>
      </c>
      <c r="N1133" s="16">
        <v>2.953846153846154</v>
      </c>
      <c r="O1133" s="17">
        <v>257.62797202797208</v>
      </c>
      <c r="P1133" s="16">
        <v>2.953846153846154</v>
      </c>
      <c r="Q1133" s="17">
        <v>257.62797202797202</v>
      </c>
    </row>
    <row r="1134" spans="1:17" x14ac:dyDescent="0.25">
      <c r="A1134" s="20" t="s">
        <v>353</v>
      </c>
      <c r="B1134" s="6">
        <v>6</v>
      </c>
      <c r="C1134" s="6">
        <v>6</v>
      </c>
      <c r="D1134" s="6">
        <v>5</v>
      </c>
      <c r="E1134" s="6" t="s">
        <v>355</v>
      </c>
      <c r="F1134" s="14" t="s">
        <v>321</v>
      </c>
      <c r="G1134" s="18">
        <v>2</v>
      </c>
      <c r="H1134" s="6">
        <v>5</v>
      </c>
      <c r="I1134" s="6" t="s">
        <v>318</v>
      </c>
      <c r="J1134" s="20">
        <v>0.502</v>
      </c>
      <c r="K1134" s="20">
        <v>35.524999999999999</v>
      </c>
      <c r="L1134" s="6">
        <v>0</v>
      </c>
      <c r="M1134" s="15">
        <v>3.4805194805194804E-2</v>
      </c>
      <c r="N1134" s="16">
        <v>8.7361038961038968</v>
      </c>
      <c r="O1134" s="17">
        <v>618.22727272727275</v>
      </c>
      <c r="P1134" s="16">
        <v>8.7361038961038968</v>
      </c>
      <c r="Q1134" s="17">
        <v>618.22727272727275</v>
      </c>
    </row>
    <row r="1135" spans="1:17" x14ac:dyDescent="0.25">
      <c r="A1135" s="20" t="s">
        <v>353</v>
      </c>
      <c r="B1135" s="6">
        <v>6</v>
      </c>
      <c r="C1135" s="6">
        <v>6</v>
      </c>
      <c r="D1135" s="6">
        <v>5</v>
      </c>
      <c r="E1135" s="6" t="s">
        <v>355</v>
      </c>
      <c r="F1135" s="14" t="s">
        <v>321</v>
      </c>
      <c r="G1135" s="18">
        <v>2</v>
      </c>
      <c r="H1135" s="6">
        <v>5</v>
      </c>
      <c r="I1135" s="6" t="s">
        <v>330</v>
      </c>
      <c r="J1135" s="20" t="s">
        <v>1673</v>
      </c>
      <c r="K1135" s="20" t="s">
        <v>1673</v>
      </c>
      <c r="L1135" s="6" t="s">
        <v>1673</v>
      </c>
      <c r="M1135" s="15" t="s">
        <v>1673</v>
      </c>
      <c r="N1135" s="16" t="s">
        <v>1673</v>
      </c>
      <c r="O1135" s="17" t="s">
        <v>1673</v>
      </c>
      <c r="P1135" s="16" t="s">
        <v>1673</v>
      </c>
      <c r="Q1135" s="17" t="s">
        <v>1673</v>
      </c>
    </row>
    <row r="1136" spans="1:17" x14ac:dyDescent="0.25">
      <c r="A1136" s="20" t="s">
        <v>353</v>
      </c>
      <c r="B1136" s="6">
        <v>6</v>
      </c>
      <c r="C1136" s="6">
        <v>6</v>
      </c>
      <c r="D1136" s="6">
        <v>5</v>
      </c>
      <c r="E1136" s="6" t="s">
        <v>355</v>
      </c>
      <c r="F1136" s="14" t="s">
        <v>322</v>
      </c>
      <c r="G1136" s="18">
        <v>3</v>
      </c>
      <c r="H1136" s="6">
        <v>5</v>
      </c>
      <c r="I1136" s="6" t="s">
        <v>318</v>
      </c>
      <c r="J1136" s="20">
        <v>0.626</v>
      </c>
      <c r="K1136" s="20">
        <v>42.05</v>
      </c>
      <c r="L1136" s="6">
        <v>0</v>
      </c>
      <c r="M1136" s="15">
        <v>3.7714285714285714E-2</v>
      </c>
      <c r="N1136" s="16">
        <v>11.804571428571428</v>
      </c>
      <c r="O1136" s="17">
        <v>792.94285714285718</v>
      </c>
      <c r="P1136" s="16">
        <v>11.804571428571428</v>
      </c>
      <c r="Q1136" s="17">
        <v>792.94285714285718</v>
      </c>
    </row>
    <row r="1137" spans="1:17" x14ac:dyDescent="0.25">
      <c r="A1137" s="20" t="s">
        <v>353</v>
      </c>
      <c r="B1137" s="6">
        <v>6</v>
      </c>
      <c r="C1137" s="6">
        <v>6</v>
      </c>
      <c r="D1137" s="6">
        <v>5</v>
      </c>
      <c r="E1137" s="6" t="s">
        <v>355</v>
      </c>
      <c r="F1137" s="14" t="s">
        <v>322</v>
      </c>
      <c r="G1137" s="18">
        <v>3</v>
      </c>
      <c r="H1137" s="6">
        <v>5</v>
      </c>
      <c r="I1137" s="6" t="s">
        <v>330</v>
      </c>
      <c r="J1137" s="20" t="s">
        <v>1673</v>
      </c>
      <c r="K1137" s="20" t="s">
        <v>1673</v>
      </c>
      <c r="L1137" s="6" t="s">
        <v>1673</v>
      </c>
      <c r="M1137" s="15" t="s">
        <v>1673</v>
      </c>
      <c r="N1137" s="16" t="s">
        <v>1673</v>
      </c>
      <c r="O1137" s="17" t="s">
        <v>1673</v>
      </c>
      <c r="P1137" s="16" t="s">
        <v>1673</v>
      </c>
      <c r="Q1137" s="17" t="s">
        <v>1673</v>
      </c>
    </row>
    <row r="1138" spans="1:17" x14ac:dyDescent="0.25">
      <c r="A1138" s="20" t="s">
        <v>353</v>
      </c>
      <c r="B1138" s="6">
        <v>6</v>
      </c>
      <c r="C1138" s="6">
        <v>6</v>
      </c>
      <c r="D1138" s="6">
        <v>5</v>
      </c>
      <c r="E1138" s="6" t="s">
        <v>355</v>
      </c>
      <c r="F1138" s="14" t="s">
        <v>324</v>
      </c>
      <c r="G1138" s="18">
        <v>4</v>
      </c>
      <c r="H1138" s="6">
        <v>5</v>
      </c>
      <c r="I1138" s="6" t="s">
        <v>318</v>
      </c>
      <c r="J1138" s="20">
        <v>0.753</v>
      </c>
      <c r="K1138" s="20">
        <v>41.261000000000003</v>
      </c>
      <c r="L1138" s="6">
        <v>0</v>
      </c>
      <c r="M1138" s="15">
        <v>4.519480519480519E-2</v>
      </c>
      <c r="N1138" s="16">
        <v>17.015844155844157</v>
      </c>
      <c r="O1138" s="17">
        <v>932.39142857142861</v>
      </c>
      <c r="P1138" s="16">
        <v>17.015844155844153</v>
      </c>
      <c r="Q1138" s="17">
        <v>932.39142857142849</v>
      </c>
    </row>
    <row r="1139" spans="1:17" x14ac:dyDescent="0.25">
      <c r="A1139" s="20" t="s">
        <v>353</v>
      </c>
      <c r="B1139" s="6">
        <v>6</v>
      </c>
      <c r="C1139" s="6">
        <v>6</v>
      </c>
      <c r="D1139" s="6">
        <v>5</v>
      </c>
      <c r="E1139" s="6" t="s">
        <v>355</v>
      </c>
      <c r="F1139" s="14" t="s">
        <v>324</v>
      </c>
      <c r="G1139" s="18">
        <v>4</v>
      </c>
      <c r="H1139" s="6">
        <v>5</v>
      </c>
      <c r="I1139" s="6" t="s">
        <v>319</v>
      </c>
      <c r="J1139" s="20">
        <v>0.98599999999999999</v>
      </c>
      <c r="K1139" s="20">
        <v>47.764000000000003</v>
      </c>
      <c r="L1139" s="6">
        <v>0</v>
      </c>
      <c r="M1139" s="15">
        <v>2.5974025974025974E-3</v>
      </c>
      <c r="N1139" s="16">
        <v>1.2805194805194804</v>
      </c>
      <c r="O1139" s="17">
        <v>62.031168831168827</v>
      </c>
      <c r="P1139" s="16">
        <v>1.2805194805194808</v>
      </c>
      <c r="Q1139" s="17">
        <v>62.031168831168827</v>
      </c>
    </row>
    <row r="1140" spans="1:17" x14ac:dyDescent="0.25">
      <c r="A1140" s="20" t="s">
        <v>353</v>
      </c>
      <c r="B1140" s="6">
        <v>6</v>
      </c>
      <c r="C1140" s="6">
        <v>6</v>
      </c>
      <c r="D1140" s="6">
        <v>5</v>
      </c>
      <c r="E1140" s="6" t="s">
        <v>355</v>
      </c>
      <c r="F1140" s="14" t="s">
        <v>325</v>
      </c>
      <c r="G1140" s="18">
        <v>5</v>
      </c>
      <c r="H1140" s="6">
        <v>5</v>
      </c>
      <c r="I1140" s="6" t="s">
        <v>318</v>
      </c>
      <c r="J1140" s="20">
        <v>1.4810000000000001</v>
      </c>
      <c r="K1140" s="20">
        <v>39.369</v>
      </c>
      <c r="L1140" s="6">
        <v>0</v>
      </c>
      <c r="M1140" s="15">
        <v>7.7762237762237771E-2</v>
      </c>
      <c r="N1140" s="16">
        <v>57.58293706293707</v>
      </c>
      <c r="O1140" s="17">
        <v>1530.7107692307693</v>
      </c>
      <c r="P1140" s="16">
        <v>57.58293706293707</v>
      </c>
      <c r="Q1140" s="17">
        <v>1530.7107692307693</v>
      </c>
    </row>
    <row r="1141" spans="1:17" x14ac:dyDescent="0.25">
      <c r="A1141" s="20" t="s">
        <v>353</v>
      </c>
      <c r="B1141" s="6">
        <v>6</v>
      </c>
      <c r="C1141" s="6">
        <v>6</v>
      </c>
      <c r="D1141" s="6">
        <v>5</v>
      </c>
      <c r="E1141" s="6" t="s">
        <v>355</v>
      </c>
      <c r="F1141" s="14" t="s">
        <v>325</v>
      </c>
      <c r="G1141" s="18">
        <v>5</v>
      </c>
      <c r="H1141" s="6">
        <v>5</v>
      </c>
      <c r="I1141" s="6" t="s">
        <v>319</v>
      </c>
      <c r="J1141" s="20" t="s">
        <v>1673</v>
      </c>
      <c r="K1141" s="20" t="s">
        <v>1673</v>
      </c>
      <c r="L1141" s="6" t="s">
        <v>1673</v>
      </c>
      <c r="M1141" s="15" t="s">
        <v>1673</v>
      </c>
      <c r="N1141" s="16" t="s">
        <v>1673</v>
      </c>
      <c r="O1141" s="17" t="s">
        <v>1673</v>
      </c>
      <c r="P1141" s="16" t="s">
        <v>1673</v>
      </c>
      <c r="Q1141" s="17" t="s">
        <v>1673</v>
      </c>
    </row>
    <row r="1142" spans="1:17" x14ac:dyDescent="0.25">
      <c r="A1142" s="20" t="s">
        <v>353</v>
      </c>
      <c r="B1142" s="6">
        <v>6</v>
      </c>
      <c r="C1142" s="6">
        <v>6</v>
      </c>
      <c r="D1142" s="6">
        <v>5</v>
      </c>
      <c r="E1142" s="6" t="s">
        <v>355</v>
      </c>
      <c r="F1142" s="14" t="s">
        <v>326</v>
      </c>
      <c r="G1142" s="18">
        <v>6</v>
      </c>
      <c r="H1142" s="6">
        <v>1</v>
      </c>
      <c r="I1142" s="6" t="s">
        <v>318</v>
      </c>
      <c r="J1142" s="20">
        <v>2.1840000000000002</v>
      </c>
      <c r="K1142" s="20">
        <v>36.277000000000001</v>
      </c>
      <c r="L1142" s="6">
        <v>0</v>
      </c>
      <c r="M1142" s="15">
        <v>0.21230769230769231</v>
      </c>
      <c r="N1142" s="16">
        <v>46.368000000000002</v>
      </c>
      <c r="O1142" s="17">
        <v>770.18861538461533</v>
      </c>
      <c r="P1142" s="16">
        <v>231.84000000000003</v>
      </c>
      <c r="Q1142" s="17">
        <v>3850.9430769230776</v>
      </c>
    </row>
    <row r="1143" spans="1:17" x14ac:dyDescent="0.25">
      <c r="A1143" s="20" t="s">
        <v>353</v>
      </c>
      <c r="B1143" s="6">
        <v>6</v>
      </c>
      <c r="C1143" s="6">
        <v>6</v>
      </c>
      <c r="D1143" s="6">
        <v>5</v>
      </c>
      <c r="E1143" s="6" t="s">
        <v>355</v>
      </c>
      <c r="F1143" s="14" t="s">
        <v>326</v>
      </c>
      <c r="G1143" s="18">
        <v>6</v>
      </c>
      <c r="H1143" s="6">
        <v>1</v>
      </c>
      <c r="I1143" s="6" t="s">
        <v>319</v>
      </c>
      <c r="J1143" s="20" t="s">
        <v>1673</v>
      </c>
      <c r="K1143" s="20" t="s">
        <v>1673</v>
      </c>
      <c r="L1143" s="6" t="s">
        <v>1673</v>
      </c>
      <c r="M1143" s="15" t="s">
        <v>1673</v>
      </c>
      <c r="N1143" s="16" t="s">
        <v>1673</v>
      </c>
      <c r="O1143" s="17" t="s">
        <v>1673</v>
      </c>
      <c r="P1143" s="16" t="s">
        <v>1673</v>
      </c>
      <c r="Q1143" s="17" t="s">
        <v>1673</v>
      </c>
    </row>
    <row r="1144" spans="1:17" x14ac:dyDescent="0.25">
      <c r="A1144" s="20" t="s">
        <v>353</v>
      </c>
      <c r="B1144" s="6">
        <v>7</v>
      </c>
      <c r="C1144" s="6">
        <v>7</v>
      </c>
      <c r="D1144" s="6">
        <v>2</v>
      </c>
      <c r="E1144" s="6" t="s">
        <v>316</v>
      </c>
      <c r="F1144" s="21" t="s">
        <v>317</v>
      </c>
      <c r="G1144" s="18">
        <v>0</v>
      </c>
      <c r="H1144" s="6">
        <v>3.1666666666666665</v>
      </c>
      <c r="I1144" s="6" t="s">
        <v>318</v>
      </c>
      <c r="J1144" s="20">
        <v>0.54400000000000004</v>
      </c>
      <c r="K1144" s="20">
        <v>38.973999999999997</v>
      </c>
      <c r="L1144" s="6">
        <v>0</v>
      </c>
      <c r="M1144" s="15">
        <v>2.2877192982456138E-2</v>
      </c>
      <c r="N1144" s="16">
        <v>3.9409777777777775</v>
      </c>
      <c r="O1144" s="17">
        <v>282.34497777777773</v>
      </c>
      <c r="P1144" s="16">
        <v>3.9409777777777775</v>
      </c>
      <c r="Q1144" s="17">
        <v>282.34497777777773</v>
      </c>
    </row>
    <row r="1145" spans="1:17" x14ac:dyDescent="0.25">
      <c r="A1145" s="20" t="s">
        <v>353</v>
      </c>
      <c r="B1145" s="6">
        <v>7</v>
      </c>
      <c r="C1145" s="6">
        <v>7</v>
      </c>
      <c r="D1145" s="6">
        <v>2</v>
      </c>
      <c r="E1145" s="6" t="s">
        <v>316</v>
      </c>
      <c r="F1145" s="21" t="s">
        <v>317</v>
      </c>
      <c r="G1145" s="18">
        <v>0</v>
      </c>
      <c r="H1145" s="6">
        <v>3.1666666666666665</v>
      </c>
      <c r="I1145" s="6" t="s">
        <v>319</v>
      </c>
      <c r="J1145" s="6" t="s">
        <v>1673</v>
      </c>
      <c r="K1145" s="6" t="s">
        <v>1673</v>
      </c>
      <c r="L1145" s="6" t="s">
        <v>1673</v>
      </c>
      <c r="M1145" s="15" t="s">
        <v>1673</v>
      </c>
      <c r="N1145" s="16" t="s">
        <v>1673</v>
      </c>
      <c r="O1145" s="17" t="s">
        <v>1673</v>
      </c>
      <c r="P1145" s="16" t="s">
        <v>1673</v>
      </c>
      <c r="Q1145" s="17" t="s">
        <v>1673</v>
      </c>
    </row>
    <row r="1146" spans="1:17" x14ac:dyDescent="0.25">
      <c r="A1146" s="20" t="s">
        <v>353</v>
      </c>
      <c r="B1146" s="6">
        <v>7</v>
      </c>
      <c r="C1146" s="6">
        <v>7</v>
      </c>
      <c r="D1146" s="6">
        <v>2</v>
      </c>
      <c r="E1146" s="6" t="s">
        <v>355</v>
      </c>
      <c r="F1146" s="14" t="s">
        <v>320</v>
      </c>
      <c r="G1146" s="18">
        <v>1</v>
      </c>
      <c r="H1146" s="6">
        <v>5</v>
      </c>
      <c r="I1146" s="6" t="s">
        <v>318</v>
      </c>
      <c r="J1146" s="20">
        <v>0.93200000000000005</v>
      </c>
      <c r="K1146" s="20">
        <v>28.344999999999999</v>
      </c>
      <c r="L1146" s="6">
        <v>0</v>
      </c>
      <c r="M1146" s="15">
        <v>0.13872000000000001</v>
      </c>
      <c r="N1146" s="16">
        <v>64.643519999999995</v>
      </c>
      <c r="O1146" s="17">
        <v>1966.0092</v>
      </c>
      <c r="P1146" s="16">
        <v>64.643520000000009</v>
      </c>
      <c r="Q1146" s="17">
        <v>1966.0092000000002</v>
      </c>
    </row>
    <row r="1147" spans="1:17" x14ac:dyDescent="0.25">
      <c r="A1147" s="20" t="s">
        <v>353</v>
      </c>
      <c r="B1147" s="6">
        <v>7</v>
      </c>
      <c r="C1147" s="6">
        <v>7</v>
      </c>
      <c r="D1147" s="6">
        <v>2</v>
      </c>
      <c r="E1147" s="6" t="s">
        <v>355</v>
      </c>
      <c r="F1147" s="14" t="s">
        <v>320</v>
      </c>
      <c r="G1147" s="18">
        <v>1</v>
      </c>
      <c r="H1147" s="6">
        <v>5</v>
      </c>
      <c r="I1147" s="6" t="s">
        <v>319</v>
      </c>
      <c r="J1147" s="6" t="s">
        <v>1673</v>
      </c>
      <c r="K1147" s="6" t="s">
        <v>1673</v>
      </c>
      <c r="L1147" s="6" t="s">
        <v>1673</v>
      </c>
      <c r="M1147" s="15" t="s">
        <v>1673</v>
      </c>
      <c r="N1147" s="16" t="s">
        <v>1673</v>
      </c>
      <c r="O1147" s="17" t="s">
        <v>1673</v>
      </c>
      <c r="P1147" s="16" t="s">
        <v>1673</v>
      </c>
      <c r="Q1147" s="17" t="s">
        <v>1673</v>
      </c>
    </row>
    <row r="1148" spans="1:17" x14ac:dyDescent="0.25">
      <c r="A1148" s="20" t="s">
        <v>353</v>
      </c>
      <c r="B1148" s="6">
        <v>7</v>
      </c>
      <c r="C1148" s="6">
        <v>7</v>
      </c>
      <c r="D1148" s="6">
        <v>2</v>
      </c>
      <c r="E1148" s="6" t="s">
        <v>355</v>
      </c>
      <c r="F1148" s="14" t="s">
        <v>321</v>
      </c>
      <c r="G1148" s="18">
        <v>2</v>
      </c>
      <c r="H1148" s="6">
        <v>5</v>
      </c>
      <c r="I1148" s="6" t="s">
        <v>318</v>
      </c>
      <c r="J1148" s="20">
        <v>1.641</v>
      </c>
      <c r="K1148" s="20">
        <v>36.533000000000001</v>
      </c>
      <c r="L1148" s="6">
        <v>0</v>
      </c>
      <c r="M1148" s="15">
        <v>0.14675555555555556</v>
      </c>
      <c r="N1148" s="16">
        <v>120.41293333333334</v>
      </c>
      <c r="O1148" s="17">
        <v>2680.7103555555555</v>
      </c>
      <c r="P1148" s="16">
        <v>120.41293333333333</v>
      </c>
      <c r="Q1148" s="17">
        <v>2680.7103555555555</v>
      </c>
    </row>
    <row r="1149" spans="1:17" x14ac:dyDescent="0.25">
      <c r="A1149" s="20" t="s">
        <v>353</v>
      </c>
      <c r="B1149" s="6">
        <v>7</v>
      </c>
      <c r="C1149" s="6">
        <v>7</v>
      </c>
      <c r="D1149" s="6">
        <v>2</v>
      </c>
      <c r="E1149" s="6" t="s">
        <v>355</v>
      </c>
      <c r="F1149" s="14" t="s">
        <v>321</v>
      </c>
      <c r="G1149" s="18">
        <v>2</v>
      </c>
      <c r="H1149" s="6">
        <v>5</v>
      </c>
      <c r="I1149" s="6" t="s">
        <v>319</v>
      </c>
      <c r="J1149" s="6" t="s">
        <v>1673</v>
      </c>
      <c r="K1149" s="6" t="s">
        <v>1673</v>
      </c>
      <c r="L1149" s="6" t="s">
        <v>1673</v>
      </c>
      <c r="M1149" s="15" t="s">
        <v>1673</v>
      </c>
      <c r="N1149" s="16" t="s">
        <v>1673</v>
      </c>
      <c r="O1149" s="17" t="s">
        <v>1673</v>
      </c>
      <c r="P1149" s="16" t="s">
        <v>1673</v>
      </c>
      <c r="Q1149" s="17" t="s">
        <v>1673</v>
      </c>
    </row>
    <row r="1150" spans="1:17" x14ac:dyDescent="0.25">
      <c r="A1150" s="20" t="s">
        <v>353</v>
      </c>
      <c r="B1150" s="6">
        <v>7</v>
      </c>
      <c r="C1150" s="6">
        <v>7</v>
      </c>
      <c r="D1150" s="6">
        <v>2</v>
      </c>
      <c r="E1150" s="6" t="s">
        <v>355</v>
      </c>
      <c r="F1150" s="14" t="s">
        <v>322</v>
      </c>
      <c r="G1150" s="18">
        <v>3</v>
      </c>
      <c r="H1150" s="6">
        <v>4.5</v>
      </c>
      <c r="I1150" s="6" t="s">
        <v>318</v>
      </c>
      <c r="J1150" s="20">
        <v>1.163</v>
      </c>
      <c r="K1150" s="20">
        <v>20.832000000000001</v>
      </c>
      <c r="L1150" s="6">
        <v>0</v>
      </c>
      <c r="M1150" s="15">
        <v>0.41246913580246908</v>
      </c>
      <c r="N1150" s="16">
        <v>215.86572222222219</v>
      </c>
      <c r="O1150" s="17">
        <v>3866.6506666666664</v>
      </c>
      <c r="P1150" s="16">
        <v>239.8508024691358</v>
      </c>
      <c r="Q1150" s="17">
        <v>4296.2785185185185</v>
      </c>
    </row>
    <row r="1151" spans="1:17" x14ac:dyDescent="0.25">
      <c r="A1151" s="20" t="s">
        <v>353</v>
      </c>
      <c r="B1151" s="6">
        <v>7</v>
      </c>
      <c r="C1151" s="6">
        <v>7</v>
      </c>
      <c r="D1151" s="6">
        <v>2</v>
      </c>
      <c r="E1151" s="6" t="s">
        <v>355</v>
      </c>
      <c r="F1151" s="14" t="s">
        <v>322</v>
      </c>
      <c r="G1151" s="18">
        <v>3</v>
      </c>
      <c r="H1151" s="6">
        <v>4.5</v>
      </c>
      <c r="I1151" s="6" t="s">
        <v>319</v>
      </c>
      <c r="J1151" s="6" t="s">
        <v>1673</v>
      </c>
      <c r="K1151" s="6" t="s">
        <v>1673</v>
      </c>
      <c r="L1151" s="6" t="s">
        <v>1673</v>
      </c>
      <c r="M1151" s="15" t="s">
        <v>1673</v>
      </c>
      <c r="N1151" s="16" t="s">
        <v>1673</v>
      </c>
      <c r="O1151" s="17" t="s">
        <v>1673</v>
      </c>
      <c r="P1151" s="16" t="s">
        <v>1673</v>
      </c>
      <c r="Q1151" s="17" t="s">
        <v>1673</v>
      </c>
    </row>
    <row r="1152" spans="1:17" x14ac:dyDescent="0.25">
      <c r="A1152" s="20" t="s">
        <v>353</v>
      </c>
      <c r="B1152" s="6">
        <v>7</v>
      </c>
      <c r="C1152" s="6">
        <v>7</v>
      </c>
      <c r="D1152" s="6">
        <v>2</v>
      </c>
      <c r="E1152" s="6" t="s">
        <v>355</v>
      </c>
      <c r="F1152" s="14" t="s">
        <v>324</v>
      </c>
      <c r="G1152" s="18">
        <v>4</v>
      </c>
      <c r="H1152" s="6">
        <v>0</v>
      </c>
      <c r="I1152" s="6" t="s">
        <v>318</v>
      </c>
      <c r="J1152" s="6" t="s">
        <v>1673</v>
      </c>
      <c r="K1152" s="6" t="s">
        <v>1673</v>
      </c>
      <c r="L1152" s="6" t="s">
        <v>1673</v>
      </c>
      <c r="M1152" s="15" t="s">
        <v>1673</v>
      </c>
      <c r="N1152" s="16" t="s">
        <v>1673</v>
      </c>
      <c r="O1152" s="17" t="s">
        <v>1673</v>
      </c>
      <c r="P1152" s="16" t="s">
        <v>1673</v>
      </c>
      <c r="Q1152" s="17" t="s">
        <v>1673</v>
      </c>
    </row>
    <row r="1153" spans="1:17" x14ac:dyDescent="0.25">
      <c r="A1153" s="20" t="s">
        <v>353</v>
      </c>
      <c r="B1153" s="6">
        <v>7</v>
      </c>
      <c r="C1153" s="6">
        <v>7</v>
      </c>
      <c r="D1153" s="6">
        <v>2</v>
      </c>
      <c r="E1153" s="6" t="s">
        <v>355</v>
      </c>
      <c r="F1153" s="14" t="s">
        <v>324</v>
      </c>
      <c r="G1153" s="18">
        <v>4</v>
      </c>
      <c r="H1153" s="6">
        <v>0</v>
      </c>
      <c r="I1153" s="6" t="s">
        <v>319</v>
      </c>
      <c r="J1153" s="6" t="s">
        <v>1673</v>
      </c>
      <c r="K1153" s="6" t="s">
        <v>1673</v>
      </c>
      <c r="L1153" s="6" t="s">
        <v>1673</v>
      </c>
      <c r="M1153" s="15" t="s">
        <v>1673</v>
      </c>
      <c r="N1153" s="16" t="s">
        <v>1673</v>
      </c>
      <c r="O1153" s="17" t="s">
        <v>1673</v>
      </c>
      <c r="P1153" s="16" t="s">
        <v>1673</v>
      </c>
      <c r="Q1153" s="17" t="s">
        <v>1673</v>
      </c>
    </row>
    <row r="1154" spans="1:17" x14ac:dyDescent="0.25">
      <c r="A1154" s="20" t="s">
        <v>353</v>
      </c>
      <c r="B1154" s="6">
        <v>7</v>
      </c>
      <c r="C1154" s="6">
        <v>7</v>
      </c>
      <c r="D1154" s="6">
        <v>3</v>
      </c>
      <c r="E1154" s="6" t="s">
        <v>316</v>
      </c>
      <c r="F1154" s="21" t="s">
        <v>317</v>
      </c>
      <c r="G1154" s="18">
        <v>0</v>
      </c>
      <c r="H1154" s="6">
        <v>1.3333333333333333</v>
      </c>
      <c r="I1154" s="6" t="s">
        <v>318</v>
      </c>
      <c r="J1154" s="20">
        <v>0.82299999999999995</v>
      </c>
      <c r="K1154" s="20">
        <v>44.156999999999996</v>
      </c>
      <c r="L1154" s="6">
        <v>0</v>
      </c>
      <c r="M1154" s="15">
        <v>5.0952380952380957E-2</v>
      </c>
      <c r="N1154" s="16">
        <v>5.5911746031746032</v>
      </c>
      <c r="O1154" s="17">
        <v>299.98723809523807</v>
      </c>
      <c r="P1154" s="16">
        <v>5.5911746031746032</v>
      </c>
      <c r="Q1154" s="17">
        <v>299.98723809523807</v>
      </c>
    </row>
    <row r="1155" spans="1:17" x14ac:dyDescent="0.25">
      <c r="A1155" s="20" t="s">
        <v>353</v>
      </c>
      <c r="B1155" s="6">
        <v>7</v>
      </c>
      <c r="C1155" s="6">
        <v>7</v>
      </c>
      <c r="D1155" s="6">
        <v>3</v>
      </c>
      <c r="E1155" s="6" t="s">
        <v>316</v>
      </c>
      <c r="F1155" s="21" t="s">
        <v>317</v>
      </c>
      <c r="G1155" s="18">
        <v>0</v>
      </c>
      <c r="H1155" s="6">
        <v>1.3333333333333333</v>
      </c>
      <c r="I1155" s="6" t="s">
        <v>319</v>
      </c>
      <c r="J1155" s="6" t="s">
        <v>1673</v>
      </c>
      <c r="K1155" s="6" t="s">
        <v>1673</v>
      </c>
      <c r="L1155" s="6" t="s">
        <v>1673</v>
      </c>
      <c r="M1155" s="15" t="s">
        <v>1673</v>
      </c>
      <c r="N1155" s="16" t="s">
        <v>1673</v>
      </c>
      <c r="O1155" s="17" t="s">
        <v>1673</v>
      </c>
      <c r="P1155" s="16" t="s">
        <v>1673</v>
      </c>
      <c r="Q1155" s="17" t="s">
        <v>1673</v>
      </c>
    </row>
    <row r="1156" spans="1:17" x14ac:dyDescent="0.25">
      <c r="A1156" s="20" t="s">
        <v>353</v>
      </c>
      <c r="B1156" s="6">
        <v>7</v>
      </c>
      <c r="C1156" s="6">
        <v>7</v>
      </c>
      <c r="D1156" s="6">
        <v>3</v>
      </c>
      <c r="E1156" s="6" t="s">
        <v>355</v>
      </c>
      <c r="F1156" s="14" t="s">
        <v>320</v>
      </c>
      <c r="G1156" s="18">
        <v>1</v>
      </c>
      <c r="H1156" s="6">
        <v>4.666666666666667</v>
      </c>
      <c r="I1156" s="6" t="s">
        <v>318</v>
      </c>
      <c r="J1156" s="20">
        <v>0.78800000000000003</v>
      </c>
      <c r="K1156" s="20">
        <v>17.102</v>
      </c>
      <c r="L1156" s="6">
        <v>1</v>
      </c>
      <c r="M1156" s="15">
        <v>7.626623376623376E-2</v>
      </c>
      <c r="N1156" s="16">
        <v>28.045636363636362</v>
      </c>
      <c r="O1156" s="17">
        <v>608.67572727272727</v>
      </c>
      <c r="P1156" s="16">
        <v>30.048896103896102</v>
      </c>
      <c r="Q1156" s="17">
        <v>652.1525649350649</v>
      </c>
    </row>
    <row r="1157" spans="1:17" x14ac:dyDescent="0.25">
      <c r="A1157" s="20" t="s">
        <v>353</v>
      </c>
      <c r="B1157" s="6">
        <v>7</v>
      </c>
      <c r="C1157" s="6">
        <v>7</v>
      </c>
      <c r="D1157" s="6">
        <v>3</v>
      </c>
      <c r="E1157" s="6" t="s">
        <v>355</v>
      </c>
      <c r="F1157" s="14" t="s">
        <v>320</v>
      </c>
      <c r="G1157" s="18">
        <v>1</v>
      </c>
      <c r="H1157" s="6">
        <v>4.666666666666667</v>
      </c>
      <c r="I1157" s="6" t="s">
        <v>319</v>
      </c>
      <c r="J1157" s="20">
        <v>0.752</v>
      </c>
      <c r="K1157" s="20">
        <v>46.472000000000001</v>
      </c>
      <c r="L1157" s="6">
        <v>0</v>
      </c>
      <c r="M1157" s="15">
        <v>2.0941558441558441E-3</v>
      </c>
      <c r="N1157" s="16">
        <v>0.73490909090909096</v>
      </c>
      <c r="O1157" s="17">
        <v>45.415818181818189</v>
      </c>
      <c r="P1157" s="16">
        <v>0.78740259740259733</v>
      </c>
      <c r="Q1157" s="17">
        <v>48.659805194805195</v>
      </c>
    </row>
    <row r="1158" spans="1:17" x14ac:dyDescent="0.25">
      <c r="A1158" s="20" t="s">
        <v>353</v>
      </c>
      <c r="B1158" s="6">
        <v>7</v>
      </c>
      <c r="C1158" s="6">
        <v>7</v>
      </c>
      <c r="D1158" s="6">
        <v>3</v>
      </c>
      <c r="E1158" s="6" t="s">
        <v>355</v>
      </c>
      <c r="F1158" s="14" t="s">
        <v>321</v>
      </c>
      <c r="G1158" s="18">
        <v>2</v>
      </c>
      <c r="H1158" s="6">
        <v>0</v>
      </c>
      <c r="I1158" s="6" t="s">
        <v>318</v>
      </c>
      <c r="J1158" s="6" t="s">
        <v>1673</v>
      </c>
      <c r="K1158" s="6" t="s">
        <v>1673</v>
      </c>
      <c r="L1158" s="6" t="s">
        <v>1673</v>
      </c>
      <c r="M1158" s="15" t="s">
        <v>1673</v>
      </c>
      <c r="N1158" s="16" t="s">
        <v>1673</v>
      </c>
      <c r="O1158" s="17" t="s">
        <v>1673</v>
      </c>
      <c r="P1158" s="16" t="s">
        <v>1673</v>
      </c>
      <c r="Q1158" s="17" t="s">
        <v>1673</v>
      </c>
    </row>
    <row r="1159" spans="1:17" x14ac:dyDescent="0.25">
      <c r="A1159" s="20" t="s">
        <v>353</v>
      </c>
      <c r="B1159" s="6">
        <v>7</v>
      </c>
      <c r="C1159" s="6">
        <v>7</v>
      </c>
      <c r="D1159" s="6">
        <v>3</v>
      </c>
      <c r="E1159" s="6" t="s">
        <v>355</v>
      </c>
      <c r="F1159" s="14" t="s">
        <v>321</v>
      </c>
      <c r="G1159" s="18">
        <v>2</v>
      </c>
      <c r="H1159" s="6">
        <v>0</v>
      </c>
      <c r="I1159" s="6" t="s">
        <v>319</v>
      </c>
      <c r="J1159" s="6" t="s">
        <v>1673</v>
      </c>
      <c r="K1159" s="6" t="s">
        <v>1673</v>
      </c>
      <c r="L1159" s="6" t="s">
        <v>1673</v>
      </c>
      <c r="M1159" s="15" t="s">
        <v>1673</v>
      </c>
      <c r="N1159" s="16" t="s">
        <v>1673</v>
      </c>
      <c r="O1159" s="17" t="s">
        <v>1673</v>
      </c>
      <c r="P1159" s="16" t="s">
        <v>1673</v>
      </c>
      <c r="Q1159" s="17" t="s">
        <v>1673</v>
      </c>
    </row>
    <row r="1160" spans="1:17" x14ac:dyDescent="0.25">
      <c r="A1160" s="20" t="s">
        <v>353</v>
      </c>
      <c r="B1160" s="6">
        <v>7</v>
      </c>
      <c r="C1160" s="6">
        <v>7</v>
      </c>
      <c r="D1160" s="6">
        <v>1</v>
      </c>
      <c r="E1160" s="6" t="s">
        <v>316</v>
      </c>
      <c r="F1160" s="6" t="s">
        <v>332</v>
      </c>
      <c r="G1160" s="19">
        <v>0</v>
      </c>
      <c r="H1160" s="6">
        <v>0.5</v>
      </c>
      <c r="I1160" s="6" t="s">
        <v>318</v>
      </c>
      <c r="J1160" s="20">
        <v>1.0469999999999999</v>
      </c>
      <c r="K1160" s="20">
        <v>35.557000000000002</v>
      </c>
      <c r="L1160" s="6">
        <v>0</v>
      </c>
      <c r="M1160" s="15">
        <v>0.16223776223776223</v>
      </c>
      <c r="N1160" s="16">
        <v>8.4931468531468539</v>
      </c>
      <c r="O1160" s="17">
        <v>288.43440559440558</v>
      </c>
      <c r="P1160" s="16">
        <v>8.4931468531468539</v>
      </c>
      <c r="Q1160" s="17">
        <v>288.43440559440558</v>
      </c>
    </row>
    <row r="1161" spans="1:17" x14ac:dyDescent="0.25">
      <c r="A1161" s="20" t="s">
        <v>353</v>
      </c>
      <c r="B1161" s="6">
        <v>7</v>
      </c>
      <c r="C1161" s="6">
        <v>7</v>
      </c>
      <c r="D1161" s="6">
        <v>1</v>
      </c>
      <c r="E1161" s="6" t="s">
        <v>316</v>
      </c>
      <c r="F1161" s="6" t="s">
        <v>332</v>
      </c>
      <c r="G1161" s="19">
        <v>0</v>
      </c>
      <c r="H1161" s="6">
        <v>0.5</v>
      </c>
      <c r="I1161" s="6" t="s">
        <v>319</v>
      </c>
      <c r="J1161" s="20" t="s">
        <v>1673</v>
      </c>
      <c r="K1161" s="20" t="s">
        <v>1673</v>
      </c>
      <c r="L1161" s="6" t="s">
        <v>1673</v>
      </c>
      <c r="M1161" s="15" t="s">
        <v>1673</v>
      </c>
      <c r="N1161" s="16" t="s">
        <v>1673</v>
      </c>
      <c r="O1161" s="17" t="s">
        <v>1673</v>
      </c>
      <c r="P1161" s="16" t="s">
        <v>1673</v>
      </c>
      <c r="Q1161" s="17" t="s">
        <v>1673</v>
      </c>
    </row>
    <row r="1162" spans="1:17" x14ac:dyDescent="0.25">
      <c r="A1162" s="20" t="s">
        <v>353</v>
      </c>
      <c r="B1162" s="6">
        <v>7</v>
      </c>
      <c r="C1162" s="6">
        <v>7</v>
      </c>
      <c r="D1162" s="6">
        <v>1</v>
      </c>
      <c r="E1162" s="6" t="s">
        <v>355</v>
      </c>
      <c r="F1162" s="6" t="s">
        <v>333</v>
      </c>
      <c r="G1162" s="19">
        <v>1</v>
      </c>
      <c r="H1162" s="6">
        <v>5</v>
      </c>
      <c r="I1162" s="6" t="s">
        <v>318</v>
      </c>
      <c r="J1162" s="20">
        <v>0.86650000000000005</v>
      </c>
      <c r="K1162" s="20">
        <v>24.715499999999999</v>
      </c>
      <c r="L1162" s="6">
        <v>0</v>
      </c>
      <c r="M1162" s="15">
        <v>0.28123076923076923</v>
      </c>
      <c r="N1162" s="16">
        <v>121.84323076923077</v>
      </c>
      <c r="O1162" s="17">
        <v>3475.3795384615382</v>
      </c>
      <c r="P1162" s="16">
        <v>121.84323076923077</v>
      </c>
      <c r="Q1162" s="17">
        <v>3475.3795384615382</v>
      </c>
    </row>
    <row r="1163" spans="1:17" x14ac:dyDescent="0.25">
      <c r="A1163" s="20" t="s">
        <v>353</v>
      </c>
      <c r="B1163" s="6">
        <v>7</v>
      </c>
      <c r="C1163" s="6">
        <v>7</v>
      </c>
      <c r="D1163" s="6">
        <v>1</v>
      </c>
      <c r="E1163" s="6" t="s">
        <v>355</v>
      </c>
      <c r="F1163" s="6" t="s">
        <v>333</v>
      </c>
      <c r="G1163" s="19">
        <v>1</v>
      </c>
      <c r="H1163" s="6">
        <v>5</v>
      </c>
      <c r="I1163" s="6" t="s">
        <v>319</v>
      </c>
      <c r="J1163" s="20">
        <v>0.88900000000000001</v>
      </c>
      <c r="K1163" s="20">
        <v>43.485999999999997</v>
      </c>
      <c r="L1163" s="6">
        <v>0</v>
      </c>
      <c r="M1163" s="15">
        <v>4.3076923076923075E-3</v>
      </c>
      <c r="N1163" s="16">
        <v>1.9147692307692306</v>
      </c>
      <c r="O1163" s="17">
        <v>93.662153846153828</v>
      </c>
      <c r="P1163" s="16">
        <v>1.9147692307692308</v>
      </c>
      <c r="Q1163" s="17">
        <v>93.662153846153842</v>
      </c>
    </row>
    <row r="1164" spans="1:17" x14ac:dyDescent="0.25">
      <c r="A1164" s="20" t="s">
        <v>353</v>
      </c>
      <c r="B1164" s="6">
        <v>7</v>
      </c>
      <c r="C1164" s="6">
        <v>7</v>
      </c>
      <c r="D1164" s="6">
        <v>4</v>
      </c>
      <c r="E1164" s="6" t="s">
        <v>316</v>
      </c>
      <c r="F1164" s="21" t="s">
        <v>317</v>
      </c>
      <c r="G1164" s="18">
        <v>0</v>
      </c>
      <c r="H1164" s="6">
        <v>1</v>
      </c>
      <c r="I1164" s="6" t="s">
        <v>318</v>
      </c>
      <c r="J1164" s="20">
        <v>0.71599999999999997</v>
      </c>
      <c r="K1164" s="20">
        <v>37.512999999999998</v>
      </c>
      <c r="L1164" s="6">
        <v>0</v>
      </c>
      <c r="M1164" s="15">
        <v>0.03</v>
      </c>
      <c r="N1164" s="16">
        <v>2.1479999999999997</v>
      </c>
      <c r="O1164" s="17">
        <v>112.53899999999999</v>
      </c>
      <c r="P1164" s="16">
        <v>2.1479999999999997</v>
      </c>
      <c r="Q1164" s="17">
        <v>112.53899999999999</v>
      </c>
    </row>
    <row r="1165" spans="1:17" x14ac:dyDescent="0.25">
      <c r="A1165" s="20" t="s">
        <v>353</v>
      </c>
      <c r="B1165" s="6">
        <v>7</v>
      </c>
      <c r="C1165" s="6">
        <v>7</v>
      </c>
      <c r="D1165" s="6">
        <v>4</v>
      </c>
      <c r="E1165" s="6" t="s">
        <v>316</v>
      </c>
      <c r="F1165" s="21" t="s">
        <v>317</v>
      </c>
      <c r="G1165" s="18">
        <v>0</v>
      </c>
      <c r="H1165" s="6">
        <v>1</v>
      </c>
      <c r="I1165" s="6" t="s">
        <v>319</v>
      </c>
      <c r="J1165" s="20" t="s">
        <v>1673</v>
      </c>
      <c r="K1165" s="20" t="s">
        <v>1673</v>
      </c>
      <c r="L1165" s="6" t="s">
        <v>1673</v>
      </c>
      <c r="M1165" s="15" t="s">
        <v>1673</v>
      </c>
      <c r="N1165" s="16" t="s">
        <v>1673</v>
      </c>
      <c r="O1165" s="17" t="s">
        <v>1673</v>
      </c>
      <c r="P1165" s="16" t="s">
        <v>1673</v>
      </c>
      <c r="Q1165" s="17" t="s">
        <v>1673</v>
      </c>
    </row>
    <row r="1166" spans="1:17" x14ac:dyDescent="0.25">
      <c r="A1166" s="20" t="s">
        <v>353</v>
      </c>
      <c r="B1166" s="6">
        <v>7</v>
      </c>
      <c r="C1166" s="6">
        <v>7</v>
      </c>
      <c r="D1166" s="6">
        <v>4</v>
      </c>
      <c r="E1166" s="6" t="s">
        <v>355</v>
      </c>
      <c r="F1166" s="14" t="s">
        <v>320</v>
      </c>
      <c r="G1166" s="18">
        <v>1</v>
      </c>
      <c r="H1166" s="6">
        <v>5</v>
      </c>
      <c r="I1166" s="6" t="s">
        <v>318</v>
      </c>
      <c r="J1166" s="20">
        <v>1.052</v>
      </c>
      <c r="K1166" s="20">
        <v>30.465</v>
      </c>
      <c r="L1166" s="6">
        <v>0</v>
      </c>
      <c r="M1166" s="15">
        <v>6.4615384615384616E-2</v>
      </c>
      <c r="N1166" s="16">
        <v>33.987692307692306</v>
      </c>
      <c r="O1166" s="17">
        <v>984.2538461538461</v>
      </c>
      <c r="P1166" s="16">
        <v>33.987692307692306</v>
      </c>
      <c r="Q1166" s="17">
        <v>984.25384615384621</v>
      </c>
    </row>
    <row r="1167" spans="1:17" x14ac:dyDescent="0.25">
      <c r="A1167" s="20" t="s">
        <v>353</v>
      </c>
      <c r="B1167" s="6">
        <v>7</v>
      </c>
      <c r="C1167" s="6">
        <v>7</v>
      </c>
      <c r="D1167" s="6">
        <v>4</v>
      </c>
      <c r="E1167" s="6" t="s">
        <v>355</v>
      </c>
      <c r="F1167" s="14" t="s">
        <v>320</v>
      </c>
      <c r="G1167" s="18">
        <v>1</v>
      </c>
      <c r="H1167" s="6">
        <v>5</v>
      </c>
      <c r="I1167" s="6" t="s">
        <v>319</v>
      </c>
      <c r="J1167" s="20" t="s">
        <v>1673</v>
      </c>
      <c r="K1167" s="20" t="s">
        <v>1673</v>
      </c>
      <c r="L1167" s="6" t="s">
        <v>1673</v>
      </c>
      <c r="M1167" s="15" t="s">
        <v>1673</v>
      </c>
      <c r="N1167" s="16" t="s">
        <v>1673</v>
      </c>
      <c r="O1167" s="17" t="s">
        <v>1673</v>
      </c>
      <c r="P1167" s="16" t="s">
        <v>1673</v>
      </c>
      <c r="Q1167" s="17" t="s">
        <v>1673</v>
      </c>
    </row>
    <row r="1168" spans="1:17" x14ac:dyDescent="0.25">
      <c r="A1168" s="20" t="s">
        <v>353</v>
      </c>
      <c r="B1168" s="6">
        <v>7</v>
      </c>
      <c r="C1168" s="6">
        <v>7</v>
      </c>
      <c r="D1168" s="6">
        <v>4</v>
      </c>
      <c r="E1168" s="6" t="s">
        <v>355</v>
      </c>
      <c r="F1168" s="14" t="s">
        <v>336</v>
      </c>
      <c r="G1168" s="18">
        <v>2</v>
      </c>
      <c r="H1168" s="6">
        <v>5</v>
      </c>
      <c r="I1168" s="6" t="s">
        <v>318</v>
      </c>
      <c r="J1168" s="20">
        <v>1.738</v>
      </c>
      <c r="K1168" s="20">
        <v>31.359000000000002</v>
      </c>
      <c r="L1168" s="6">
        <v>0</v>
      </c>
      <c r="M1168" s="15">
        <v>0.14228571428571427</v>
      </c>
      <c r="N1168" s="16">
        <v>123.6462857142857</v>
      </c>
      <c r="O1168" s="17">
        <v>2230.9688571428574</v>
      </c>
      <c r="P1168" s="16">
        <v>123.64628571428568</v>
      </c>
      <c r="Q1168" s="17">
        <v>2230.9688571428569</v>
      </c>
    </row>
    <row r="1169" spans="1:17" x14ac:dyDescent="0.25">
      <c r="A1169" s="20" t="s">
        <v>353</v>
      </c>
      <c r="B1169" s="6">
        <v>7</v>
      </c>
      <c r="C1169" s="6">
        <v>7</v>
      </c>
      <c r="D1169" s="6">
        <v>4</v>
      </c>
      <c r="E1169" s="6" t="s">
        <v>355</v>
      </c>
      <c r="F1169" s="14" t="s">
        <v>336</v>
      </c>
      <c r="G1169" s="18">
        <v>2</v>
      </c>
      <c r="H1169" s="6">
        <v>5</v>
      </c>
      <c r="I1169" s="6" t="s">
        <v>319</v>
      </c>
      <c r="J1169" s="20" t="s">
        <v>1673</v>
      </c>
      <c r="K1169" s="20" t="s">
        <v>1673</v>
      </c>
      <c r="L1169" s="6" t="s">
        <v>1673</v>
      </c>
      <c r="M1169" s="15" t="s">
        <v>1673</v>
      </c>
      <c r="N1169" s="16" t="s">
        <v>1673</v>
      </c>
      <c r="O1169" s="17" t="s">
        <v>1673</v>
      </c>
      <c r="P1169" s="16" t="s">
        <v>1673</v>
      </c>
      <c r="Q1169" s="17" t="s">
        <v>1673</v>
      </c>
    </row>
    <row r="1170" spans="1:17" x14ac:dyDescent="0.25">
      <c r="A1170" s="20" t="s">
        <v>353</v>
      </c>
      <c r="B1170" s="6">
        <v>7</v>
      </c>
      <c r="C1170" s="6">
        <v>7</v>
      </c>
      <c r="D1170" s="6">
        <v>4</v>
      </c>
      <c r="E1170" s="6" t="s">
        <v>355</v>
      </c>
      <c r="F1170" s="14" t="s">
        <v>334</v>
      </c>
      <c r="G1170" s="18">
        <v>3</v>
      </c>
      <c r="H1170" s="6">
        <v>5</v>
      </c>
      <c r="I1170" s="6" t="s">
        <v>318</v>
      </c>
      <c r="J1170" s="20">
        <v>1.454</v>
      </c>
      <c r="K1170" s="20">
        <v>25.634</v>
      </c>
      <c r="L1170" s="6">
        <v>0</v>
      </c>
      <c r="M1170" s="15">
        <v>0.3342857142857143</v>
      </c>
      <c r="N1170" s="16">
        <v>243.02571428571432</v>
      </c>
      <c r="O1170" s="17">
        <v>4284.5400000000009</v>
      </c>
      <c r="P1170" s="16">
        <v>243.02571428571426</v>
      </c>
      <c r="Q1170" s="17">
        <v>4284.5400000000009</v>
      </c>
    </row>
    <row r="1171" spans="1:17" x14ac:dyDescent="0.25">
      <c r="A1171" s="20" t="s">
        <v>353</v>
      </c>
      <c r="B1171" s="6">
        <v>7</v>
      </c>
      <c r="C1171" s="6">
        <v>7</v>
      </c>
      <c r="D1171" s="6">
        <v>4</v>
      </c>
      <c r="E1171" s="6" t="s">
        <v>355</v>
      </c>
      <c r="F1171" s="14" t="s">
        <v>334</v>
      </c>
      <c r="G1171" s="18">
        <v>3</v>
      </c>
      <c r="H1171" s="6">
        <v>5</v>
      </c>
      <c r="I1171" s="6" t="s">
        <v>319</v>
      </c>
      <c r="J1171" s="20" t="s">
        <v>1673</v>
      </c>
      <c r="K1171" s="20" t="s">
        <v>1673</v>
      </c>
      <c r="L1171" s="6" t="s">
        <v>1673</v>
      </c>
      <c r="M1171" s="15" t="s">
        <v>1673</v>
      </c>
      <c r="N1171" s="16" t="s">
        <v>1673</v>
      </c>
      <c r="O1171" s="17" t="s">
        <v>1673</v>
      </c>
      <c r="P1171" s="16" t="s">
        <v>1673</v>
      </c>
      <c r="Q1171" s="17" t="s">
        <v>1673</v>
      </c>
    </row>
    <row r="1172" spans="1:17" x14ac:dyDescent="0.25">
      <c r="A1172" s="20" t="s">
        <v>353</v>
      </c>
      <c r="B1172" s="6">
        <v>7</v>
      </c>
      <c r="C1172" s="6">
        <v>7</v>
      </c>
      <c r="D1172" s="6">
        <v>4</v>
      </c>
      <c r="E1172" s="6" t="s">
        <v>355</v>
      </c>
      <c r="F1172" s="14" t="s">
        <v>335</v>
      </c>
      <c r="G1172" s="18">
        <v>4</v>
      </c>
      <c r="H1172" s="6">
        <v>5</v>
      </c>
      <c r="I1172" s="6" t="s">
        <v>318</v>
      </c>
      <c r="J1172" s="20">
        <v>1.0369999999999999</v>
      </c>
      <c r="K1172" s="20">
        <v>15.226000000000001</v>
      </c>
      <c r="L1172" s="6">
        <v>1</v>
      </c>
      <c r="M1172" s="15">
        <v>0.44786324786324788</v>
      </c>
      <c r="N1172" s="16">
        <v>232.21709401709398</v>
      </c>
      <c r="O1172" s="17">
        <v>3409.5829059829057</v>
      </c>
      <c r="P1172" s="16">
        <v>232.21709401709398</v>
      </c>
      <c r="Q1172" s="17">
        <v>3409.5829059829061</v>
      </c>
    </row>
    <row r="1173" spans="1:17" x14ac:dyDescent="0.25">
      <c r="A1173" s="20" t="s">
        <v>353</v>
      </c>
      <c r="B1173" s="6">
        <v>7</v>
      </c>
      <c r="C1173" s="6">
        <v>7</v>
      </c>
      <c r="D1173" s="6">
        <v>4</v>
      </c>
      <c r="E1173" s="6" t="s">
        <v>355</v>
      </c>
      <c r="F1173" s="14" t="s">
        <v>335</v>
      </c>
      <c r="G1173" s="18">
        <v>4</v>
      </c>
      <c r="H1173" s="6">
        <v>5</v>
      </c>
      <c r="I1173" s="6" t="s">
        <v>319</v>
      </c>
      <c r="J1173" s="20" t="s">
        <v>1673</v>
      </c>
      <c r="K1173" s="20" t="s">
        <v>1673</v>
      </c>
      <c r="L1173" s="6" t="s">
        <v>1673</v>
      </c>
      <c r="M1173" s="15" t="s">
        <v>1673</v>
      </c>
      <c r="N1173" s="16" t="s">
        <v>1673</v>
      </c>
      <c r="O1173" s="17" t="s">
        <v>1673</v>
      </c>
      <c r="P1173" s="16" t="s">
        <v>1673</v>
      </c>
      <c r="Q1173" s="17" t="s">
        <v>1673</v>
      </c>
    </row>
    <row r="1174" spans="1:17" x14ac:dyDescent="0.25">
      <c r="A1174" s="20" t="s">
        <v>353</v>
      </c>
      <c r="B1174" s="6">
        <v>7</v>
      </c>
      <c r="C1174" s="6">
        <v>7</v>
      </c>
      <c r="D1174" s="6">
        <v>4</v>
      </c>
      <c r="E1174" s="6" t="s">
        <v>355</v>
      </c>
      <c r="F1174" s="14" t="s">
        <v>338</v>
      </c>
      <c r="G1174" s="18">
        <v>5</v>
      </c>
      <c r="H1174" s="6">
        <v>5</v>
      </c>
      <c r="I1174" s="6" t="s">
        <v>318</v>
      </c>
      <c r="J1174" s="20">
        <v>1.0529999999999999</v>
      </c>
      <c r="K1174" s="20">
        <v>14.955</v>
      </c>
      <c r="L1174" s="6">
        <v>1</v>
      </c>
      <c r="M1174" s="15">
        <v>0.3720634920634921</v>
      </c>
      <c r="N1174" s="16">
        <v>195.89142857142858</v>
      </c>
      <c r="O1174" s="17">
        <v>2782.1047619047617</v>
      </c>
      <c r="P1174" s="16">
        <v>195.89142857142858</v>
      </c>
      <c r="Q1174" s="17">
        <v>2782.1047619047617</v>
      </c>
    </row>
    <row r="1175" spans="1:17" x14ac:dyDescent="0.25">
      <c r="A1175" s="20" t="s">
        <v>353</v>
      </c>
      <c r="B1175" s="6">
        <v>7</v>
      </c>
      <c r="C1175" s="6">
        <v>7</v>
      </c>
      <c r="D1175" s="6">
        <v>4</v>
      </c>
      <c r="E1175" s="6" t="s">
        <v>355</v>
      </c>
      <c r="F1175" s="14" t="s">
        <v>338</v>
      </c>
      <c r="G1175" s="18">
        <v>5</v>
      </c>
      <c r="H1175" s="6">
        <v>5</v>
      </c>
      <c r="I1175" s="6" t="s">
        <v>319</v>
      </c>
      <c r="J1175" s="20" t="s">
        <v>1673</v>
      </c>
      <c r="K1175" s="20" t="s">
        <v>1673</v>
      </c>
      <c r="L1175" s="6" t="s">
        <v>1673</v>
      </c>
      <c r="M1175" s="15" t="s">
        <v>1673</v>
      </c>
      <c r="N1175" s="16" t="s">
        <v>1673</v>
      </c>
      <c r="O1175" s="17" t="s">
        <v>1673</v>
      </c>
      <c r="P1175" s="16" t="s">
        <v>1673</v>
      </c>
      <c r="Q1175" s="17" t="s">
        <v>1673</v>
      </c>
    </row>
    <row r="1176" spans="1:17" x14ac:dyDescent="0.25">
      <c r="A1176" s="20" t="s">
        <v>353</v>
      </c>
      <c r="B1176" s="6">
        <v>7</v>
      </c>
      <c r="C1176" s="6">
        <v>7</v>
      </c>
      <c r="D1176" s="6">
        <v>5</v>
      </c>
      <c r="E1176" s="6" t="s">
        <v>316</v>
      </c>
      <c r="F1176" s="6" t="s">
        <v>317</v>
      </c>
      <c r="G1176" s="19">
        <v>0</v>
      </c>
      <c r="H1176" s="6">
        <v>2</v>
      </c>
      <c r="I1176" s="6" t="s">
        <v>318</v>
      </c>
      <c r="J1176" s="20">
        <v>0.433</v>
      </c>
      <c r="K1176" s="20">
        <v>22.695</v>
      </c>
      <c r="L1176" s="6">
        <v>0</v>
      </c>
      <c r="M1176" s="15">
        <v>5.1249999999999997E-2</v>
      </c>
      <c r="N1176" s="16">
        <v>4.43825</v>
      </c>
      <c r="O1176" s="17">
        <v>232.62375</v>
      </c>
      <c r="P1176" s="16">
        <v>4.43825</v>
      </c>
      <c r="Q1176" s="17">
        <v>232.62375</v>
      </c>
    </row>
    <row r="1177" spans="1:17" x14ac:dyDescent="0.25">
      <c r="A1177" s="20" t="s">
        <v>353</v>
      </c>
      <c r="B1177" s="6">
        <v>7</v>
      </c>
      <c r="C1177" s="6">
        <v>7</v>
      </c>
      <c r="D1177" s="6">
        <v>5</v>
      </c>
      <c r="E1177" s="6" t="s">
        <v>316</v>
      </c>
      <c r="F1177" s="6" t="s">
        <v>317</v>
      </c>
      <c r="G1177" s="19">
        <v>0</v>
      </c>
      <c r="H1177" s="6">
        <v>2</v>
      </c>
      <c r="I1177" s="6" t="s">
        <v>319</v>
      </c>
      <c r="J1177" s="20" t="s">
        <v>1673</v>
      </c>
      <c r="K1177" s="20" t="s">
        <v>1673</v>
      </c>
      <c r="L1177" s="6" t="s">
        <v>1673</v>
      </c>
      <c r="M1177" s="15" t="s">
        <v>1673</v>
      </c>
      <c r="N1177" s="16" t="s">
        <v>1673</v>
      </c>
      <c r="O1177" s="17" t="s">
        <v>1673</v>
      </c>
      <c r="P1177" s="16" t="s">
        <v>1673</v>
      </c>
      <c r="Q1177" s="17" t="s">
        <v>1673</v>
      </c>
    </row>
    <row r="1178" spans="1:17" x14ac:dyDescent="0.25">
      <c r="A1178" s="20" t="s">
        <v>353</v>
      </c>
      <c r="B1178" s="6">
        <v>7</v>
      </c>
      <c r="C1178" s="6">
        <v>7</v>
      </c>
      <c r="D1178" s="6">
        <v>5</v>
      </c>
      <c r="E1178" s="6" t="s">
        <v>355</v>
      </c>
      <c r="F1178" s="6" t="s">
        <v>320</v>
      </c>
      <c r="G1178" s="19">
        <v>1</v>
      </c>
      <c r="H1178" s="6">
        <v>4.5</v>
      </c>
      <c r="I1178" s="6" t="s">
        <v>318</v>
      </c>
      <c r="J1178" s="20">
        <v>0.68100000000000005</v>
      </c>
      <c r="K1178" s="20">
        <v>18.966000000000001</v>
      </c>
      <c r="L1178" s="6">
        <v>1</v>
      </c>
      <c r="M1178" s="15">
        <v>0.11722222222222223</v>
      </c>
      <c r="N1178" s="16">
        <v>35.922750000000001</v>
      </c>
      <c r="O1178" s="17">
        <v>1000.4565000000001</v>
      </c>
      <c r="P1178" s="16">
        <v>39.914166666666667</v>
      </c>
      <c r="Q1178" s="17">
        <v>1111.6183333333336</v>
      </c>
    </row>
    <row r="1179" spans="1:17" x14ac:dyDescent="0.25">
      <c r="A1179" s="20" t="s">
        <v>353</v>
      </c>
      <c r="B1179" s="6">
        <v>7</v>
      </c>
      <c r="C1179" s="6">
        <v>7</v>
      </c>
      <c r="D1179" s="6">
        <v>5</v>
      </c>
      <c r="E1179" s="6" t="s">
        <v>355</v>
      </c>
      <c r="F1179" s="6" t="s">
        <v>320</v>
      </c>
      <c r="G1179" s="19">
        <v>1</v>
      </c>
      <c r="H1179" s="6">
        <v>4.5</v>
      </c>
      <c r="I1179" s="6" t="s">
        <v>319</v>
      </c>
      <c r="J1179" s="20" t="s">
        <v>1673</v>
      </c>
      <c r="K1179" s="20" t="s">
        <v>1673</v>
      </c>
      <c r="L1179" s="6" t="s">
        <v>1673</v>
      </c>
      <c r="M1179" s="15" t="s">
        <v>1673</v>
      </c>
      <c r="N1179" s="16" t="s">
        <v>1673</v>
      </c>
      <c r="O1179" s="17" t="s">
        <v>1673</v>
      </c>
      <c r="P1179" s="16" t="s">
        <v>1673</v>
      </c>
      <c r="Q1179" s="17" t="s">
        <v>1673</v>
      </c>
    </row>
    <row r="1180" spans="1:17" x14ac:dyDescent="0.25">
      <c r="A1180" s="20" t="s">
        <v>353</v>
      </c>
      <c r="B1180" s="14">
        <v>8</v>
      </c>
      <c r="C1180" s="6" t="s">
        <v>328</v>
      </c>
      <c r="D1180" s="6">
        <v>2</v>
      </c>
      <c r="E1180" s="6" t="s">
        <v>316</v>
      </c>
      <c r="F1180" s="21" t="s">
        <v>317</v>
      </c>
      <c r="G1180" s="18">
        <v>0</v>
      </c>
      <c r="H1180" s="6">
        <v>1</v>
      </c>
      <c r="I1180" s="6" t="s">
        <v>318</v>
      </c>
      <c r="J1180" s="20">
        <v>1.08</v>
      </c>
      <c r="K1180" s="20">
        <v>44.206000000000003</v>
      </c>
      <c r="L1180" s="6">
        <v>0</v>
      </c>
      <c r="M1180" s="15">
        <v>8.458333333333333E-2</v>
      </c>
      <c r="N1180" s="16">
        <v>9.1349999999999998</v>
      </c>
      <c r="O1180" s="17">
        <v>373.90908333333329</v>
      </c>
      <c r="P1180" s="16">
        <v>9.1349999999999998</v>
      </c>
      <c r="Q1180" s="17">
        <v>373.90908333333329</v>
      </c>
    </row>
    <row r="1181" spans="1:17" x14ac:dyDescent="0.25">
      <c r="A1181" s="20" t="s">
        <v>353</v>
      </c>
      <c r="B1181" s="14">
        <v>8</v>
      </c>
      <c r="C1181" s="6" t="s">
        <v>328</v>
      </c>
      <c r="D1181" s="6">
        <v>2</v>
      </c>
      <c r="E1181" s="6" t="s">
        <v>316</v>
      </c>
      <c r="F1181" s="21" t="s">
        <v>317</v>
      </c>
      <c r="G1181" s="18">
        <v>0</v>
      </c>
      <c r="H1181" s="6">
        <v>1</v>
      </c>
      <c r="I1181" s="6" t="s">
        <v>319</v>
      </c>
      <c r="J1181" s="6" t="s">
        <v>1673</v>
      </c>
      <c r="K1181" s="6" t="s">
        <v>1673</v>
      </c>
      <c r="L1181" s="6" t="s">
        <v>1673</v>
      </c>
      <c r="M1181" s="15" t="s">
        <v>1673</v>
      </c>
      <c r="N1181" s="16" t="s">
        <v>1673</v>
      </c>
      <c r="O1181" s="17" t="s">
        <v>1673</v>
      </c>
      <c r="P1181" s="16" t="s">
        <v>1673</v>
      </c>
      <c r="Q1181" s="17" t="s">
        <v>1673</v>
      </c>
    </row>
    <row r="1182" spans="1:17" x14ac:dyDescent="0.25">
      <c r="A1182" s="20" t="s">
        <v>353</v>
      </c>
      <c r="B1182" s="14">
        <v>8</v>
      </c>
      <c r="C1182" s="6" t="s">
        <v>328</v>
      </c>
      <c r="D1182" s="6">
        <v>2</v>
      </c>
      <c r="E1182" s="6" t="s">
        <v>355</v>
      </c>
      <c r="F1182" s="14" t="s">
        <v>320</v>
      </c>
      <c r="G1182" s="18">
        <v>1</v>
      </c>
      <c r="H1182" s="6">
        <v>5</v>
      </c>
      <c r="I1182" s="6" t="s">
        <v>318</v>
      </c>
      <c r="J1182" s="20">
        <v>1.2170000000000001</v>
      </c>
      <c r="K1182" s="20">
        <v>45.23</v>
      </c>
      <c r="L1182" s="6">
        <v>0</v>
      </c>
      <c r="M1182" s="15">
        <v>5.6476190476190472E-2</v>
      </c>
      <c r="N1182" s="16">
        <v>34.365761904761904</v>
      </c>
      <c r="O1182" s="17">
        <v>1277.2090476190474</v>
      </c>
      <c r="P1182" s="16">
        <v>34.365761904761904</v>
      </c>
      <c r="Q1182" s="17">
        <v>1277.2090476190474</v>
      </c>
    </row>
    <row r="1183" spans="1:17" x14ac:dyDescent="0.25">
      <c r="A1183" s="20" t="s">
        <v>353</v>
      </c>
      <c r="B1183" s="14">
        <v>8</v>
      </c>
      <c r="C1183" s="6" t="s">
        <v>328</v>
      </c>
      <c r="D1183" s="6">
        <v>2</v>
      </c>
      <c r="E1183" s="6" t="s">
        <v>355</v>
      </c>
      <c r="F1183" s="14" t="s">
        <v>320</v>
      </c>
      <c r="G1183" s="18">
        <v>1</v>
      </c>
      <c r="H1183" s="6">
        <v>5</v>
      </c>
      <c r="I1183" s="6" t="s">
        <v>319</v>
      </c>
      <c r="J1183" s="6" t="s">
        <v>1673</v>
      </c>
      <c r="K1183" s="6" t="s">
        <v>1673</v>
      </c>
      <c r="L1183" s="6" t="s">
        <v>1673</v>
      </c>
      <c r="M1183" s="15" t="s">
        <v>1673</v>
      </c>
      <c r="N1183" s="16" t="s">
        <v>1673</v>
      </c>
      <c r="O1183" s="17" t="s">
        <v>1673</v>
      </c>
      <c r="P1183" s="16" t="s">
        <v>1673</v>
      </c>
      <c r="Q1183" s="17" t="s">
        <v>1673</v>
      </c>
    </row>
    <row r="1184" spans="1:17" x14ac:dyDescent="0.25">
      <c r="A1184" s="20" t="s">
        <v>353</v>
      </c>
      <c r="B1184" s="14">
        <v>8</v>
      </c>
      <c r="C1184" s="6" t="s">
        <v>328</v>
      </c>
      <c r="D1184" s="6">
        <v>2</v>
      </c>
      <c r="E1184" s="6" t="s">
        <v>355</v>
      </c>
      <c r="F1184" s="14" t="s">
        <v>321</v>
      </c>
      <c r="G1184" s="18">
        <v>2</v>
      </c>
      <c r="H1184" s="6">
        <v>5</v>
      </c>
      <c r="I1184" s="6" t="s">
        <v>318</v>
      </c>
      <c r="J1184" s="20">
        <v>1.544</v>
      </c>
      <c r="K1184" s="20">
        <v>45.13</v>
      </c>
      <c r="L1184" s="6">
        <v>0</v>
      </c>
      <c r="M1184" s="15">
        <v>7.5199999999999989E-2</v>
      </c>
      <c r="N1184" s="16">
        <v>58.054399999999994</v>
      </c>
      <c r="O1184" s="17">
        <v>1696.8879999999999</v>
      </c>
      <c r="P1184" s="16">
        <v>58.054399999999994</v>
      </c>
      <c r="Q1184" s="17">
        <v>1696.8879999999997</v>
      </c>
    </row>
    <row r="1185" spans="1:17" x14ac:dyDescent="0.25">
      <c r="A1185" s="20" t="s">
        <v>353</v>
      </c>
      <c r="B1185" s="14">
        <v>8</v>
      </c>
      <c r="C1185" s="6" t="s">
        <v>328</v>
      </c>
      <c r="D1185" s="6">
        <v>2</v>
      </c>
      <c r="E1185" s="6" t="s">
        <v>355</v>
      </c>
      <c r="F1185" s="14" t="s">
        <v>321</v>
      </c>
      <c r="G1185" s="18">
        <v>2</v>
      </c>
      <c r="H1185" s="6">
        <v>5</v>
      </c>
      <c r="I1185" s="6" t="s">
        <v>319</v>
      </c>
      <c r="J1185" s="6" t="s">
        <v>1673</v>
      </c>
      <c r="K1185" s="6" t="s">
        <v>1673</v>
      </c>
      <c r="L1185" s="6" t="s">
        <v>1673</v>
      </c>
      <c r="M1185" s="15" t="s">
        <v>1673</v>
      </c>
      <c r="N1185" s="16" t="s">
        <v>1673</v>
      </c>
      <c r="O1185" s="17" t="s">
        <v>1673</v>
      </c>
      <c r="P1185" s="16" t="s">
        <v>1673</v>
      </c>
      <c r="Q1185" s="17" t="s">
        <v>1673</v>
      </c>
    </row>
    <row r="1186" spans="1:17" x14ac:dyDescent="0.25">
      <c r="A1186" s="20" t="s">
        <v>353</v>
      </c>
      <c r="B1186" s="14">
        <v>8</v>
      </c>
      <c r="C1186" s="6" t="s">
        <v>328</v>
      </c>
      <c r="D1186" s="6">
        <v>2</v>
      </c>
      <c r="E1186" s="6" t="s">
        <v>355</v>
      </c>
      <c r="F1186" s="14" t="s">
        <v>322</v>
      </c>
      <c r="G1186" s="18">
        <v>3</v>
      </c>
      <c r="H1186" s="6">
        <v>3</v>
      </c>
      <c r="I1186" s="6" t="s">
        <v>318</v>
      </c>
      <c r="J1186" s="20">
        <v>1.6060000000000001</v>
      </c>
      <c r="K1186" s="20">
        <v>44.543999999999997</v>
      </c>
      <c r="L1186" s="6">
        <v>0</v>
      </c>
      <c r="M1186" s="15">
        <v>0.1</v>
      </c>
      <c r="N1186" s="16">
        <v>48.180000000000007</v>
      </c>
      <c r="O1186" s="17">
        <v>1336.32</v>
      </c>
      <c r="P1186" s="16">
        <v>80.300000000000011</v>
      </c>
      <c r="Q1186" s="17">
        <v>2227.1999999999998</v>
      </c>
    </row>
    <row r="1187" spans="1:17" x14ac:dyDescent="0.25">
      <c r="A1187" s="20" t="s">
        <v>353</v>
      </c>
      <c r="B1187" s="14">
        <v>8</v>
      </c>
      <c r="C1187" s="6" t="s">
        <v>328</v>
      </c>
      <c r="D1187" s="6">
        <v>2</v>
      </c>
      <c r="E1187" s="6" t="s">
        <v>355</v>
      </c>
      <c r="F1187" s="14" t="s">
        <v>322</v>
      </c>
      <c r="G1187" s="18">
        <v>3</v>
      </c>
      <c r="H1187" s="6">
        <v>3</v>
      </c>
      <c r="I1187" s="6" t="s">
        <v>319</v>
      </c>
      <c r="J1187" s="6" t="s">
        <v>1673</v>
      </c>
      <c r="K1187" s="6" t="s">
        <v>1673</v>
      </c>
      <c r="L1187" s="6" t="s">
        <v>1673</v>
      </c>
      <c r="M1187" s="15" t="s">
        <v>1673</v>
      </c>
      <c r="N1187" s="16" t="s">
        <v>1673</v>
      </c>
      <c r="O1187" s="17" t="s">
        <v>1673</v>
      </c>
      <c r="P1187" s="16" t="s">
        <v>1673</v>
      </c>
      <c r="Q1187" s="17" t="s">
        <v>1673</v>
      </c>
    </row>
    <row r="1188" spans="1:17" x14ac:dyDescent="0.25">
      <c r="A1188" s="20" t="s">
        <v>353</v>
      </c>
      <c r="B1188" s="14">
        <v>8</v>
      </c>
      <c r="C1188" s="6" t="s">
        <v>328</v>
      </c>
      <c r="D1188" s="6">
        <v>5</v>
      </c>
      <c r="E1188" s="6" t="s">
        <v>316</v>
      </c>
      <c r="F1188" s="21" t="s">
        <v>317</v>
      </c>
      <c r="G1188" s="18">
        <v>0</v>
      </c>
      <c r="H1188" s="6">
        <v>1</v>
      </c>
      <c r="I1188" s="6" t="s">
        <v>318</v>
      </c>
      <c r="J1188" s="20">
        <v>0.89100000000000001</v>
      </c>
      <c r="K1188" s="20">
        <v>43.521000000000001</v>
      </c>
      <c r="L1188" s="6">
        <v>0</v>
      </c>
      <c r="M1188" s="15">
        <v>6.133333333333333E-2</v>
      </c>
      <c r="N1188" s="16">
        <v>5.4647999999999994</v>
      </c>
      <c r="O1188" s="17">
        <v>266.92879999999997</v>
      </c>
      <c r="P1188" s="16">
        <v>5.4647999999999994</v>
      </c>
      <c r="Q1188" s="17">
        <v>266.92879999999997</v>
      </c>
    </row>
    <row r="1189" spans="1:17" x14ac:dyDescent="0.25">
      <c r="A1189" s="20" t="s">
        <v>353</v>
      </c>
      <c r="B1189" s="14">
        <v>8</v>
      </c>
      <c r="C1189" s="6" t="s">
        <v>328</v>
      </c>
      <c r="D1189" s="6">
        <v>5</v>
      </c>
      <c r="E1189" s="6" t="s">
        <v>316</v>
      </c>
      <c r="F1189" s="21" t="s">
        <v>317</v>
      </c>
      <c r="G1189" s="18">
        <v>0</v>
      </c>
      <c r="H1189" s="6">
        <v>1</v>
      </c>
      <c r="I1189" s="6" t="s">
        <v>319</v>
      </c>
      <c r="J1189" s="6" t="s">
        <v>1673</v>
      </c>
      <c r="K1189" s="6" t="s">
        <v>1673</v>
      </c>
      <c r="L1189" s="6" t="s">
        <v>1673</v>
      </c>
      <c r="M1189" s="15" t="s">
        <v>1673</v>
      </c>
      <c r="N1189" s="16" t="s">
        <v>1673</v>
      </c>
      <c r="O1189" s="17" t="s">
        <v>1673</v>
      </c>
      <c r="P1189" s="16" t="s">
        <v>1673</v>
      </c>
      <c r="Q1189" s="17" t="s">
        <v>1673</v>
      </c>
    </row>
    <row r="1190" spans="1:17" x14ac:dyDescent="0.25">
      <c r="A1190" s="20" t="s">
        <v>353</v>
      </c>
      <c r="B1190" s="14">
        <v>8</v>
      </c>
      <c r="C1190" s="6" t="s">
        <v>328</v>
      </c>
      <c r="D1190" s="6">
        <v>5</v>
      </c>
      <c r="E1190" s="6" t="s">
        <v>355</v>
      </c>
      <c r="F1190" s="14" t="s">
        <v>320</v>
      </c>
      <c r="G1190" s="18">
        <v>1</v>
      </c>
      <c r="H1190" s="6">
        <v>5</v>
      </c>
      <c r="I1190" s="6" t="s">
        <v>318</v>
      </c>
      <c r="J1190" s="20">
        <v>1.081</v>
      </c>
      <c r="K1190" s="20">
        <v>43.247999999999998</v>
      </c>
      <c r="L1190" s="6">
        <v>0</v>
      </c>
      <c r="M1190" s="15">
        <v>3.1272727272727271E-2</v>
      </c>
      <c r="N1190" s="16">
        <v>16.902909090909091</v>
      </c>
      <c r="O1190" s="17">
        <v>676.24145454545442</v>
      </c>
      <c r="P1190" s="16">
        <v>16.902909090909091</v>
      </c>
      <c r="Q1190" s="17">
        <v>676.24145454545453</v>
      </c>
    </row>
    <row r="1191" spans="1:17" x14ac:dyDescent="0.25">
      <c r="A1191" s="20" t="s">
        <v>353</v>
      </c>
      <c r="B1191" s="14">
        <v>8</v>
      </c>
      <c r="C1191" s="6" t="s">
        <v>328</v>
      </c>
      <c r="D1191" s="6">
        <v>5</v>
      </c>
      <c r="E1191" s="6" t="s">
        <v>355</v>
      </c>
      <c r="F1191" s="14" t="s">
        <v>320</v>
      </c>
      <c r="G1191" s="18">
        <v>1</v>
      </c>
      <c r="H1191" s="6">
        <v>5</v>
      </c>
      <c r="I1191" s="6" t="s">
        <v>319</v>
      </c>
      <c r="J1191" s="6" t="s">
        <v>1673</v>
      </c>
      <c r="K1191" s="6" t="s">
        <v>1673</v>
      </c>
      <c r="L1191" s="6" t="s">
        <v>1673</v>
      </c>
      <c r="M1191" s="15" t="s">
        <v>1673</v>
      </c>
      <c r="N1191" s="16" t="s">
        <v>1673</v>
      </c>
      <c r="O1191" s="17" t="s">
        <v>1673</v>
      </c>
      <c r="P1191" s="16" t="s">
        <v>1673</v>
      </c>
      <c r="Q1191" s="17" t="s">
        <v>1673</v>
      </c>
    </row>
    <row r="1192" spans="1:17" x14ac:dyDescent="0.25">
      <c r="A1192" s="20" t="s">
        <v>353</v>
      </c>
      <c r="B1192" s="14">
        <v>8</v>
      </c>
      <c r="C1192" s="6" t="s">
        <v>328</v>
      </c>
      <c r="D1192" s="6">
        <v>5</v>
      </c>
      <c r="E1192" s="6" t="s">
        <v>355</v>
      </c>
      <c r="F1192" s="14" t="s">
        <v>321</v>
      </c>
      <c r="G1192" s="18">
        <v>2</v>
      </c>
      <c r="H1192" s="6">
        <v>5</v>
      </c>
      <c r="I1192" s="6" t="s">
        <v>318</v>
      </c>
      <c r="J1192" s="20">
        <v>1.0289999999999999</v>
      </c>
      <c r="K1192" s="20">
        <v>43.000999999999998</v>
      </c>
      <c r="L1192" s="6">
        <v>0</v>
      </c>
      <c r="M1192" s="15">
        <v>5.6666666666666671E-2</v>
      </c>
      <c r="N1192" s="16">
        <v>29.155000000000001</v>
      </c>
      <c r="O1192" s="17">
        <v>1218.3616666666669</v>
      </c>
      <c r="P1192" s="16">
        <v>29.154999999999998</v>
      </c>
      <c r="Q1192" s="17">
        <v>1218.3616666666669</v>
      </c>
    </row>
    <row r="1193" spans="1:17" x14ac:dyDescent="0.25">
      <c r="A1193" s="20" t="s">
        <v>353</v>
      </c>
      <c r="B1193" s="14">
        <v>8</v>
      </c>
      <c r="C1193" s="6" t="s">
        <v>328</v>
      </c>
      <c r="D1193" s="6">
        <v>5</v>
      </c>
      <c r="E1193" s="6" t="s">
        <v>355</v>
      </c>
      <c r="F1193" s="14" t="s">
        <v>321</v>
      </c>
      <c r="G1193" s="18">
        <v>2</v>
      </c>
      <c r="H1193" s="6">
        <v>5</v>
      </c>
      <c r="I1193" s="6" t="s">
        <v>319</v>
      </c>
      <c r="J1193" s="6" t="s">
        <v>1673</v>
      </c>
      <c r="K1193" s="6" t="s">
        <v>1673</v>
      </c>
      <c r="L1193" s="6" t="s">
        <v>1673</v>
      </c>
      <c r="M1193" s="15" t="s">
        <v>1673</v>
      </c>
      <c r="N1193" s="16" t="s">
        <v>1673</v>
      </c>
      <c r="O1193" s="17" t="s">
        <v>1673</v>
      </c>
      <c r="P1193" s="16" t="s">
        <v>1673</v>
      </c>
      <c r="Q1193" s="17" t="s">
        <v>1673</v>
      </c>
    </row>
    <row r="1194" spans="1:17" x14ac:dyDescent="0.25">
      <c r="A1194" s="20" t="s">
        <v>353</v>
      </c>
      <c r="B1194" s="14">
        <v>8</v>
      </c>
      <c r="C1194" s="6" t="s">
        <v>328</v>
      </c>
      <c r="D1194" s="6">
        <v>5</v>
      </c>
      <c r="E1194" s="6" t="s">
        <v>355</v>
      </c>
      <c r="F1194" s="14" t="s">
        <v>322</v>
      </c>
      <c r="G1194" s="18">
        <v>3</v>
      </c>
      <c r="H1194" s="6">
        <v>5</v>
      </c>
      <c r="I1194" s="6" t="s">
        <v>318</v>
      </c>
      <c r="J1194" s="20">
        <v>1.1970000000000001</v>
      </c>
      <c r="K1194" s="20">
        <v>38.680999999999997</v>
      </c>
      <c r="L1194" s="6">
        <v>0</v>
      </c>
      <c r="M1194" s="15">
        <v>6.6222222222222224E-2</v>
      </c>
      <c r="N1194" s="16">
        <v>39.634000000000007</v>
      </c>
      <c r="O1194" s="17">
        <v>1280.770888888889</v>
      </c>
      <c r="P1194" s="16">
        <v>39.634000000000007</v>
      </c>
      <c r="Q1194" s="17">
        <v>1280.7708888888887</v>
      </c>
    </row>
    <row r="1195" spans="1:17" x14ac:dyDescent="0.25">
      <c r="A1195" s="20" t="s">
        <v>353</v>
      </c>
      <c r="B1195" s="14">
        <v>8</v>
      </c>
      <c r="C1195" s="6" t="s">
        <v>328</v>
      </c>
      <c r="D1195" s="6">
        <v>5</v>
      </c>
      <c r="E1195" s="6" t="s">
        <v>355</v>
      </c>
      <c r="F1195" s="14" t="s">
        <v>322</v>
      </c>
      <c r="G1195" s="18">
        <v>3</v>
      </c>
      <c r="H1195" s="6">
        <v>5</v>
      </c>
      <c r="I1195" s="6" t="s">
        <v>319</v>
      </c>
      <c r="J1195" s="6" t="s">
        <v>1673</v>
      </c>
      <c r="K1195" s="6" t="s">
        <v>1673</v>
      </c>
      <c r="L1195" s="6" t="s">
        <v>1673</v>
      </c>
      <c r="M1195" s="15" t="s">
        <v>1673</v>
      </c>
      <c r="N1195" s="16" t="s">
        <v>1673</v>
      </c>
      <c r="O1195" s="17" t="s">
        <v>1673</v>
      </c>
      <c r="P1195" s="16" t="s">
        <v>1673</v>
      </c>
      <c r="Q1195" s="17" t="s">
        <v>1673</v>
      </c>
    </row>
    <row r="1196" spans="1:17" x14ac:dyDescent="0.25">
      <c r="A1196" s="20" t="s">
        <v>353</v>
      </c>
      <c r="B1196" s="14">
        <v>8</v>
      </c>
      <c r="C1196" s="6" t="s">
        <v>328</v>
      </c>
      <c r="D1196" s="6">
        <v>5</v>
      </c>
      <c r="E1196" s="6" t="s">
        <v>355</v>
      </c>
      <c r="F1196" s="6" t="s">
        <v>324</v>
      </c>
      <c r="G1196" s="18">
        <v>4</v>
      </c>
      <c r="H1196" s="6">
        <v>5</v>
      </c>
      <c r="I1196" s="6" t="s">
        <v>318</v>
      </c>
      <c r="J1196" s="20">
        <v>1.1060000000000001</v>
      </c>
      <c r="K1196" s="20">
        <v>33.119</v>
      </c>
      <c r="L1196" s="6">
        <v>0</v>
      </c>
      <c r="M1196" s="15">
        <v>9.6083333333333326E-2</v>
      </c>
      <c r="N1196" s="16">
        <v>53.134083333333329</v>
      </c>
      <c r="O1196" s="17">
        <v>1591.091958333333</v>
      </c>
      <c r="P1196" s="16">
        <v>53.134083333333329</v>
      </c>
      <c r="Q1196" s="17">
        <v>1591.091958333333</v>
      </c>
    </row>
    <row r="1197" spans="1:17" x14ac:dyDescent="0.25">
      <c r="A1197" s="20" t="s">
        <v>353</v>
      </c>
      <c r="B1197" s="14">
        <v>8</v>
      </c>
      <c r="C1197" s="6" t="s">
        <v>328</v>
      </c>
      <c r="D1197" s="6">
        <v>5</v>
      </c>
      <c r="E1197" s="6" t="s">
        <v>355</v>
      </c>
      <c r="F1197" s="6" t="s">
        <v>324</v>
      </c>
      <c r="G1197" s="18">
        <v>4</v>
      </c>
      <c r="H1197" s="6">
        <v>5</v>
      </c>
      <c r="I1197" s="6" t="s">
        <v>319</v>
      </c>
      <c r="J1197" s="6" t="s">
        <v>1673</v>
      </c>
      <c r="K1197" s="6" t="s">
        <v>1673</v>
      </c>
      <c r="L1197" s="6" t="s">
        <v>1673</v>
      </c>
      <c r="M1197" s="15" t="s">
        <v>1673</v>
      </c>
      <c r="N1197" s="16" t="s">
        <v>1673</v>
      </c>
      <c r="O1197" s="17" t="s">
        <v>1673</v>
      </c>
      <c r="P1197" s="16" t="s">
        <v>1673</v>
      </c>
      <c r="Q1197" s="17" t="s">
        <v>1673</v>
      </c>
    </row>
    <row r="1198" spans="1:17" x14ac:dyDescent="0.25">
      <c r="A1198" s="20" t="s">
        <v>353</v>
      </c>
      <c r="B1198" s="14">
        <v>8</v>
      </c>
      <c r="C1198" s="6" t="s">
        <v>328</v>
      </c>
      <c r="D1198" s="6">
        <v>5</v>
      </c>
      <c r="E1198" s="6" t="s">
        <v>355</v>
      </c>
      <c r="F1198" s="6" t="s">
        <v>325</v>
      </c>
      <c r="G1198" s="18">
        <v>5</v>
      </c>
      <c r="H1198" s="6">
        <v>3</v>
      </c>
      <c r="I1198" s="6" t="s">
        <v>318</v>
      </c>
      <c r="J1198" s="20">
        <v>1.018</v>
      </c>
      <c r="K1198" s="20">
        <v>27.334</v>
      </c>
      <c r="L1198" s="6">
        <v>0</v>
      </c>
      <c r="M1198" s="15">
        <v>0.16598639455782313</v>
      </c>
      <c r="N1198" s="16">
        <v>50.692244897959185</v>
      </c>
      <c r="O1198" s="17">
        <v>1361.1216326530612</v>
      </c>
      <c r="P1198" s="16">
        <v>84.48707482993197</v>
      </c>
      <c r="Q1198" s="17">
        <v>2268.5360544217683</v>
      </c>
    </row>
    <row r="1199" spans="1:17" x14ac:dyDescent="0.25">
      <c r="A1199" s="20" t="s">
        <v>353</v>
      </c>
      <c r="B1199" s="14">
        <v>8</v>
      </c>
      <c r="C1199" s="6" t="s">
        <v>328</v>
      </c>
      <c r="D1199" s="6">
        <v>5</v>
      </c>
      <c r="E1199" s="6" t="s">
        <v>355</v>
      </c>
      <c r="F1199" s="6" t="s">
        <v>325</v>
      </c>
      <c r="G1199" s="18">
        <v>5</v>
      </c>
      <c r="H1199" s="6">
        <v>3</v>
      </c>
      <c r="I1199" s="6" t="s">
        <v>319</v>
      </c>
      <c r="J1199" s="6" t="s">
        <v>1673</v>
      </c>
      <c r="K1199" s="6" t="s">
        <v>1673</v>
      </c>
      <c r="L1199" s="6" t="s">
        <v>1673</v>
      </c>
      <c r="M1199" s="15" t="s">
        <v>1673</v>
      </c>
      <c r="N1199" s="16" t="s">
        <v>1673</v>
      </c>
      <c r="O1199" s="17" t="s">
        <v>1673</v>
      </c>
      <c r="P1199" s="16" t="s">
        <v>1673</v>
      </c>
      <c r="Q1199" s="17" t="s">
        <v>1673</v>
      </c>
    </row>
    <row r="1200" spans="1:17" x14ac:dyDescent="0.25">
      <c r="A1200" s="20" t="s">
        <v>353</v>
      </c>
      <c r="B1200" s="14">
        <v>8</v>
      </c>
      <c r="C1200" s="6" t="s">
        <v>328</v>
      </c>
      <c r="D1200" s="17">
        <v>1</v>
      </c>
      <c r="E1200" s="6" t="s">
        <v>316</v>
      </c>
      <c r="F1200" s="6" t="s">
        <v>317</v>
      </c>
      <c r="G1200" s="18">
        <v>0</v>
      </c>
      <c r="H1200" s="6">
        <v>4</v>
      </c>
      <c r="I1200" s="6" t="s">
        <v>339</v>
      </c>
      <c r="J1200" s="20">
        <v>1.252</v>
      </c>
      <c r="K1200" s="20">
        <v>44.210999999999999</v>
      </c>
      <c r="L1200" s="6">
        <v>0</v>
      </c>
      <c r="M1200" s="15">
        <v>1.6250000000000001E-2</v>
      </c>
      <c r="N1200" s="16">
        <v>8.1379999999999999</v>
      </c>
      <c r="O1200" s="17">
        <v>287.37150000000003</v>
      </c>
      <c r="P1200" s="16">
        <v>8.1379999999999999</v>
      </c>
      <c r="Q1200" s="17">
        <v>287.37150000000003</v>
      </c>
    </row>
    <row r="1201" spans="1:17" x14ac:dyDescent="0.25">
      <c r="A1201" s="20" t="s">
        <v>353</v>
      </c>
      <c r="B1201" s="14">
        <v>8</v>
      </c>
      <c r="C1201" s="6" t="s">
        <v>328</v>
      </c>
      <c r="D1201" s="17">
        <v>1</v>
      </c>
      <c r="E1201" s="6" t="s">
        <v>316</v>
      </c>
      <c r="F1201" s="6" t="s">
        <v>317</v>
      </c>
      <c r="G1201" s="18">
        <v>0</v>
      </c>
      <c r="H1201" s="6">
        <v>4</v>
      </c>
      <c r="I1201" s="6" t="s">
        <v>330</v>
      </c>
      <c r="J1201" s="6" t="s">
        <v>1673</v>
      </c>
      <c r="K1201" s="6" t="s">
        <v>1673</v>
      </c>
      <c r="L1201" s="6" t="s">
        <v>1673</v>
      </c>
      <c r="M1201" s="15" t="s">
        <v>1673</v>
      </c>
      <c r="N1201" s="16" t="s">
        <v>1673</v>
      </c>
      <c r="O1201" s="17" t="s">
        <v>1673</v>
      </c>
      <c r="P1201" s="16" t="s">
        <v>1673</v>
      </c>
      <c r="Q1201" s="17" t="s">
        <v>1673</v>
      </c>
    </row>
    <row r="1202" spans="1:17" x14ac:dyDescent="0.25">
      <c r="A1202" s="20" t="s">
        <v>353</v>
      </c>
      <c r="B1202" s="14">
        <v>8</v>
      </c>
      <c r="C1202" s="6" t="s">
        <v>328</v>
      </c>
      <c r="D1202" s="17">
        <v>1</v>
      </c>
      <c r="E1202" s="6" t="s">
        <v>355</v>
      </c>
      <c r="F1202" s="6" t="s">
        <v>320</v>
      </c>
      <c r="G1202" s="19">
        <v>1</v>
      </c>
      <c r="H1202" s="6">
        <v>5</v>
      </c>
      <c r="I1202" s="6" t="s">
        <v>339</v>
      </c>
      <c r="J1202" s="20">
        <v>1.5509999999999999</v>
      </c>
      <c r="K1202" s="20">
        <v>44.076000000000001</v>
      </c>
      <c r="L1202" s="6">
        <v>0</v>
      </c>
      <c r="M1202" s="15">
        <v>6.0999999999999999E-2</v>
      </c>
      <c r="N1202" s="16">
        <v>47.305499999999995</v>
      </c>
      <c r="O1202" s="17">
        <v>1344.318</v>
      </c>
      <c r="P1202" s="16">
        <v>47.305500000000002</v>
      </c>
      <c r="Q1202" s="17">
        <v>1344.318</v>
      </c>
    </row>
    <row r="1203" spans="1:17" x14ac:dyDescent="0.25">
      <c r="A1203" s="20" t="s">
        <v>353</v>
      </c>
      <c r="B1203" s="14">
        <v>8</v>
      </c>
      <c r="C1203" s="6" t="s">
        <v>328</v>
      </c>
      <c r="D1203" s="17">
        <v>1</v>
      </c>
      <c r="E1203" s="6" t="s">
        <v>355</v>
      </c>
      <c r="F1203" s="6" t="s">
        <v>320</v>
      </c>
      <c r="G1203" s="19">
        <v>1</v>
      </c>
      <c r="H1203" s="6">
        <v>5</v>
      </c>
      <c r="I1203" s="6" t="s">
        <v>330</v>
      </c>
      <c r="J1203" s="6" t="s">
        <v>1673</v>
      </c>
      <c r="K1203" s="6" t="s">
        <v>1673</v>
      </c>
      <c r="L1203" s="6" t="s">
        <v>1673</v>
      </c>
      <c r="M1203" s="15" t="s">
        <v>1673</v>
      </c>
      <c r="N1203" s="16" t="s">
        <v>1673</v>
      </c>
      <c r="O1203" s="17" t="s">
        <v>1673</v>
      </c>
      <c r="P1203" s="16" t="s">
        <v>1673</v>
      </c>
      <c r="Q1203" s="17" t="s">
        <v>1673</v>
      </c>
    </row>
    <row r="1204" spans="1:17" x14ac:dyDescent="0.25">
      <c r="A1204" s="20" t="s">
        <v>353</v>
      </c>
      <c r="B1204" s="14">
        <v>8</v>
      </c>
      <c r="C1204" s="6" t="s">
        <v>328</v>
      </c>
      <c r="D1204" s="17">
        <v>1</v>
      </c>
      <c r="E1204" s="6" t="s">
        <v>355</v>
      </c>
      <c r="F1204" s="6" t="s">
        <v>321</v>
      </c>
      <c r="G1204" s="19">
        <v>2</v>
      </c>
      <c r="H1204" s="6">
        <v>5</v>
      </c>
      <c r="I1204" s="6" t="s">
        <v>339</v>
      </c>
      <c r="J1204" s="20">
        <v>1.75</v>
      </c>
      <c r="K1204" s="20">
        <v>41.984000000000002</v>
      </c>
      <c r="L1204" s="6">
        <v>0</v>
      </c>
      <c r="M1204" s="15">
        <v>7.5999999999999998E-2</v>
      </c>
      <c r="N1204" s="16">
        <v>66.5</v>
      </c>
      <c r="O1204" s="17">
        <v>1595.3920000000001</v>
      </c>
      <c r="P1204" s="16">
        <v>66.5</v>
      </c>
      <c r="Q1204" s="17">
        <v>1595.3919999999996</v>
      </c>
    </row>
    <row r="1205" spans="1:17" x14ac:dyDescent="0.25">
      <c r="A1205" s="20" t="s">
        <v>353</v>
      </c>
      <c r="B1205" s="14">
        <v>8</v>
      </c>
      <c r="C1205" s="6" t="s">
        <v>328</v>
      </c>
      <c r="D1205" s="17">
        <v>1</v>
      </c>
      <c r="E1205" s="6" t="s">
        <v>355</v>
      </c>
      <c r="F1205" s="6" t="s">
        <v>321</v>
      </c>
      <c r="G1205" s="19">
        <v>2</v>
      </c>
      <c r="H1205" s="6">
        <v>5</v>
      </c>
      <c r="I1205" s="6" t="s">
        <v>330</v>
      </c>
      <c r="J1205" s="6" t="s">
        <v>1673</v>
      </c>
      <c r="K1205" s="6" t="s">
        <v>1673</v>
      </c>
      <c r="L1205" s="6" t="s">
        <v>1673</v>
      </c>
      <c r="M1205" s="15" t="s">
        <v>1673</v>
      </c>
      <c r="N1205" s="16" t="s">
        <v>1673</v>
      </c>
      <c r="O1205" s="17" t="s">
        <v>1673</v>
      </c>
      <c r="P1205" s="16" t="s">
        <v>1673</v>
      </c>
      <c r="Q1205" s="17" t="s">
        <v>1673</v>
      </c>
    </row>
    <row r="1206" spans="1:17" x14ac:dyDescent="0.25">
      <c r="A1206" s="20" t="s">
        <v>353</v>
      </c>
      <c r="B1206" s="14">
        <v>8</v>
      </c>
      <c r="C1206" s="6" t="s">
        <v>328</v>
      </c>
      <c r="D1206" s="17">
        <v>3</v>
      </c>
      <c r="E1206" s="6" t="s">
        <v>316</v>
      </c>
      <c r="F1206" s="6" t="s">
        <v>317</v>
      </c>
      <c r="G1206" s="18">
        <v>0</v>
      </c>
      <c r="H1206" s="6">
        <v>0.5</v>
      </c>
      <c r="I1206" s="6" t="s">
        <v>339</v>
      </c>
      <c r="J1206" s="20">
        <v>1.35</v>
      </c>
      <c r="K1206" s="20">
        <v>45.508000000000003</v>
      </c>
      <c r="L1206" s="6">
        <v>0</v>
      </c>
      <c r="M1206" s="15">
        <v>7.7777777777777779E-2</v>
      </c>
      <c r="N1206" s="16">
        <v>5.2500000000000009</v>
      </c>
      <c r="O1206" s="17">
        <v>176.97555555555559</v>
      </c>
      <c r="P1206" s="16">
        <v>5.2500000000000009</v>
      </c>
      <c r="Q1206" s="17">
        <v>176.97555555555559</v>
      </c>
    </row>
    <row r="1207" spans="1:17" x14ac:dyDescent="0.25">
      <c r="A1207" s="20" t="s">
        <v>353</v>
      </c>
      <c r="B1207" s="14">
        <v>8</v>
      </c>
      <c r="C1207" s="6" t="s">
        <v>328</v>
      </c>
      <c r="D1207" s="17">
        <v>3</v>
      </c>
      <c r="E1207" s="6" t="s">
        <v>316</v>
      </c>
      <c r="F1207" s="6" t="s">
        <v>317</v>
      </c>
      <c r="G1207" s="18">
        <v>0</v>
      </c>
      <c r="H1207" s="6">
        <v>0.5</v>
      </c>
      <c r="I1207" s="6" t="s">
        <v>330</v>
      </c>
      <c r="J1207" s="6" t="s">
        <v>1673</v>
      </c>
      <c r="K1207" s="6" t="s">
        <v>1673</v>
      </c>
      <c r="L1207" s="6" t="s">
        <v>1673</v>
      </c>
      <c r="M1207" s="15" t="s">
        <v>1673</v>
      </c>
      <c r="N1207" s="16" t="s">
        <v>1673</v>
      </c>
      <c r="O1207" s="17" t="s">
        <v>1673</v>
      </c>
      <c r="P1207" s="16" t="s">
        <v>1673</v>
      </c>
      <c r="Q1207" s="17" t="s">
        <v>1673</v>
      </c>
    </row>
    <row r="1208" spans="1:17" x14ac:dyDescent="0.25">
      <c r="A1208" s="20" t="s">
        <v>353</v>
      </c>
      <c r="B1208" s="14">
        <v>8</v>
      </c>
      <c r="C1208" s="6" t="s">
        <v>328</v>
      </c>
      <c r="D1208" s="17">
        <v>3</v>
      </c>
      <c r="E1208" s="6" t="s">
        <v>355</v>
      </c>
      <c r="F1208" s="6" t="s">
        <v>320</v>
      </c>
      <c r="G1208" s="19">
        <v>1</v>
      </c>
      <c r="H1208" s="6">
        <v>5</v>
      </c>
      <c r="I1208" s="6" t="s">
        <v>339</v>
      </c>
      <c r="J1208" s="20">
        <v>1.032</v>
      </c>
      <c r="K1208" s="20">
        <v>44.466000000000001</v>
      </c>
      <c r="L1208" s="6">
        <v>0</v>
      </c>
      <c r="M1208" s="15">
        <v>6.6666666666666666E-2</v>
      </c>
      <c r="N1208" s="16">
        <v>34.4</v>
      </c>
      <c r="O1208" s="17">
        <v>1482.1999999999998</v>
      </c>
      <c r="P1208" s="16">
        <v>34.400000000000006</v>
      </c>
      <c r="Q1208" s="17">
        <v>1482.1999999999998</v>
      </c>
    </row>
    <row r="1209" spans="1:17" x14ac:dyDescent="0.25">
      <c r="A1209" s="20" t="s">
        <v>353</v>
      </c>
      <c r="B1209" s="14">
        <v>8</v>
      </c>
      <c r="C1209" s="6" t="s">
        <v>328</v>
      </c>
      <c r="D1209" s="17">
        <v>3</v>
      </c>
      <c r="E1209" s="6" t="s">
        <v>355</v>
      </c>
      <c r="F1209" s="6" t="s">
        <v>320</v>
      </c>
      <c r="G1209" s="19">
        <v>1</v>
      </c>
      <c r="H1209" s="6">
        <v>5</v>
      </c>
      <c r="I1209" s="6" t="s">
        <v>330</v>
      </c>
      <c r="J1209" s="20">
        <v>0.70899999999999996</v>
      </c>
      <c r="K1209" s="20">
        <v>46.695999999999998</v>
      </c>
      <c r="L1209" s="6">
        <v>0</v>
      </c>
      <c r="M1209" s="15">
        <v>8.8888888888888883E-6</v>
      </c>
      <c r="N1209" s="16">
        <v>3.151111111111111E-3</v>
      </c>
      <c r="O1209" s="17">
        <v>0.20753777777777777</v>
      </c>
      <c r="P1209" s="16">
        <v>3.1511111111111106E-3</v>
      </c>
      <c r="Q1209" s="17">
        <v>0.20753777777777777</v>
      </c>
    </row>
    <row r="1210" spans="1:17" x14ac:dyDescent="0.25">
      <c r="A1210" s="20" t="s">
        <v>353</v>
      </c>
      <c r="B1210" s="14">
        <v>8</v>
      </c>
      <c r="C1210" s="6" t="s">
        <v>328</v>
      </c>
      <c r="D1210" s="17">
        <v>3</v>
      </c>
      <c r="E1210" s="6" t="s">
        <v>355</v>
      </c>
      <c r="F1210" s="6" t="s">
        <v>321</v>
      </c>
      <c r="G1210" s="19">
        <v>2</v>
      </c>
      <c r="H1210" s="6">
        <v>4</v>
      </c>
      <c r="I1210" s="6" t="s">
        <v>339</v>
      </c>
      <c r="J1210" s="20">
        <v>1.391</v>
      </c>
      <c r="K1210" s="20">
        <v>33.570999999999998</v>
      </c>
      <c r="L1210" s="6">
        <v>0</v>
      </c>
      <c r="M1210" s="15">
        <v>0.14938271604938272</v>
      </c>
      <c r="N1210" s="16">
        <v>83.116543209876554</v>
      </c>
      <c r="O1210" s="17">
        <v>2005.9708641975308</v>
      </c>
      <c r="P1210" s="16">
        <v>103.89567901234568</v>
      </c>
      <c r="Q1210" s="17">
        <v>2507.4635802469129</v>
      </c>
    </row>
    <row r="1211" spans="1:17" x14ac:dyDescent="0.25">
      <c r="A1211" s="20" t="s">
        <v>353</v>
      </c>
      <c r="B1211" s="14">
        <v>8</v>
      </c>
      <c r="C1211" s="6" t="s">
        <v>328</v>
      </c>
      <c r="D1211" s="17">
        <v>3</v>
      </c>
      <c r="E1211" s="6" t="s">
        <v>355</v>
      </c>
      <c r="F1211" s="6" t="s">
        <v>321</v>
      </c>
      <c r="G1211" s="19">
        <v>2</v>
      </c>
      <c r="H1211" s="6">
        <v>4</v>
      </c>
      <c r="I1211" s="6" t="s">
        <v>330</v>
      </c>
      <c r="J1211" s="20">
        <v>1.0960000000000001</v>
      </c>
      <c r="K1211" s="20">
        <v>47.051000000000002</v>
      </c>
      <c r="L1211" s="6">
        <v>0</v>
      </c>
      <c r="M1211" s="15">
        <v>6.1728395061728392E-3</v>
      </c>
      <c r="N1211" s="16">
        <v>2.706172839506173</v>
      </c>
      <c r="O1211" s="17">
        <v>116.17530864197531</v>
      </c>
      <c r="P1211" s="16">
        <v>3.3827160493827164</v>
      </c>
      <c r="Q1211" s="17">
        <v>145.21913580246917</v>
      </c>
    </row>
    <row r="1212" spans="1:17" x14ac:dyDescent="0.25">
      <c r="A1212" s="20" t="s">
        <v>353</v>
      </c>
      <c r="B1212" s="14">
        <v>8</v>
      </c>
      <c r="C1212" s="6" t="s">
        <v>328</v>
      </c>
      <c r="D1212" s="17">
        <v>4</v>
      </c>
      <c r="E1212" s="6" t="s">
        <v>316</v>
      </c>
      <c r="F1212" s="6" t="s">
        <v>317</v>
      </c>
      <c r="G1212" s="18">
        <v>0</v>
      </c>
      <c r="H1212" s="6">
        <v>1</v>
      </c>
      <c r="I1212" s="6" t="s">
        <v>339</v>
      </c>
      <c r="J1212" s="20">
        <v>1.0589999999999999</v>
      </c>
      <c r="K1212" s="20">
        <v>43.670999999999999</v>
      </c>
      <c r="L1212" s="6">
        <v>0</v>
      </c>
      <c r="M1212" s="15">
        <v>6.6666666666666666E-2</v>
      </c>
      <c r="N1212" s="16">
        <v>7.0599999999999987</v>
      </c>
      <c r="O1212" s="17">
        <v>291.14</v>
      </c>
      <c r="P1212" s="16">
        <v>7.0599999999999987</v>
      </c>
      <c r="Q1212" s="17">
        <v>291.14</v>
      </c>
    </row>
    <row r="1213" spans="1:17" x14ac:dyDescent="0.25">
      <c r="A1213" s="20" t="s">
        <v>353</v>
      </c>
      <c r="B1213" s="14">
        <v>8</v>
      </c>
      <c r="C1213" s="6" t="s">
        <v>328</v>
      </c>
      <c r="D1213" s="17">
        <v>4</v>
      </c>
      <c r="E1213" s="6" t="s">
        <v>316</v>
      </c>
      <c r="F1213" s="6" t="s">
        <v>317</v>
      </c>
      <c r="G1213" s="18">
        <v>0</v>
      </c>
      <c r="H1213" s="6">
        <v>1</v>
      </c>
      <c r="I1213" s="6" t="s">
        <v>330</v>
      </c>
      <c r="J1213" s="6" t="s">
        <v>1673</v>
      </c>
      <c r="K1213" s="6" t="s">
        <v>1673</v>
      </c>
      <c r="L1213" s="6" t="s">
        <v>1673</v>
      </c>
      <c r="M1213" s="15" t="s">
        <v>1673</v>
      </c>
      <c r="N1213" s="16" t="s">
        <v>1673</v>
      </c>
      <c r="O1213" s="17" t="s">
        <v>1673</v>
      </c>
      <c r="P1213" s="16" t="s">
        <v>1673</v>
      </c>
      <c r="Q1213" s="17" t="s">
        <v>1673</v>
      </c>
    </row>
    <row r="1214" spans="1:17" x14ac:dyDescent="0.25">
      <c r="A1214" s="20" t="s">
        <v>353</v>
      </c>
      <c r="B1214" s="14">
        <v>8</v>
      </c>
      <c r="C1214" s="6" t="s">
        <v>328</v>
      </c>
      <c r="D1214" s="17">
        <v>4</v>
      </c>
      <c r="E1214" s="6" t="s">
        <v>355</v>
      </c>
      <c r="F1214" s="6" t="s">
        <v>320</v>
      </c>
      <c r="G1214" s="19">
        <v>1</v>
      </c>
      <c r="H1214" s="6">
        <v>5</v>
      </c>
      <c r="I1214" s="6" t="s">
        <v>339</v>
      </c>
      <c r="J1214" s="20">
        <v>1.389</v>
      </c>
      <c r="K1214" s="20">
        <v>45.517000000000003</v>
      </c>
      <c r="L1214" s="6">
        <v>0</v>
      </c>
      <c r="M1214" s="15">
        <v>2.7777777777777776E-2</v>
      </c>
      <c r="N1214" s="16">
        <v>19.291666666666668</v>
      </c>
      <c r="O1214" s="17">
        <v>632.18055555555554</v>
      </c>
      <c r="P1214" s="16">
        <v>19.291666666666668</v>
      </c>
      <c r="Q1214" s="17">
        <v>632.18055555555554</v>
      </c>
    </row>
    <row r="1215" spans="1:17" x14ac:dyDescent="0.25">
      <c r="A1215" s="20" t="s">
        <v>353</v>
      </c>
      <c r="B1215" s="14">
        <v>8</v>
      </c>
      <c r="C1215" s="6" t="s">
        <v>328</v>
      </c>
      <c r="D1215" s="17">
        <v>4</v>
      </c>
      <c r="E1215" s="6" t="s">
        <v>355</v>
      </c>
      <c r="F1215" s="6" t="s">
        <v>320</v>
      </c>
      <c r="G1215" s="19">
        <v>1</v>
      </c>
      <c r="H1215" s="6">
        <v>5</v>
      </c>
      <c r="I1215" s="6" t="s">
        <v>330</v>
      </c>
      <c r="J1215" s="20">
        <v>1.2310000000000001</v>
      </c>
      <c r="K1215" s="20">
        <v>50.424999999999997</v>
      </c>
      <c r="L1215" s="6">
        <v>0</v>
      </c>
      <c r="M1215" s="15">
        <v>2.2222222222222222E-3</v>
      </c>
      <c r="N1215" s="16">
        <v>1.367777777777778</v>
      </c>
      <c r="O1215" s="17">
        <v>56.027777777777779</v>
      </c>
      <c r="P1215" s="16">
        <v>1.367777777777778</v>
      </c>
      <c r="Q1215" s="17">
        <v>56.027777777777771</v>
      </c>
    </row>
    <row r="1216" spans="1:17" x14ac:dyDescent="0.25">
      <c r="A1216" s="20" t="s">
        <v>353</v>
      </c>
      <c r="B1216" s="14">
        <v>8</v>
      </c>
      <c r="C1216" s="6" t="s">
        <v>328</v>
      </c>
      <c r="D1216" s="17">
        <v>4</v>
      </c>
      <c r="E1216" s="6" t="s">
        <v>355</v>
      </c>
      <c r="F1216" s="6" t="s">
        <v>321</v>
      </c>
      <c r="G1216" s="19">
        <v>2</v>
      </c>
      <c r="H1216" s="6">
        <v>5</v>
      </c>
      <c r="I1216" s="6" t="s">
        <v>339</v>
      </c>
      <c r="J1216" s="20">
        <v>1.601</v>
      </c>
      <c r="K1216" s="20">
        <v>45.363999999999997</v>
      </c>
      <c r="L1216" s="6">
        <v>0</v>
      </c>
      <c r="M1216" s="15">
        <v>3.2222222222222222E-2</v>
      </c>
      <c r="N1216" s="16">
        <v>25.793888888888887</v>
      </c>
      <c r="O1216" s="17">
        <v>730.86444444444442</v>
      </c>
      <c r="P1216" s="16">
        <v>25.793888888888883</v>
      </c>
      <c r="Q1216" s="17">
        <v>730.86444444444442</v>
      </c>
    </row>
    <row r="1217" spans="1:17" x14ac:dyDescent="0.25">
      <c r="A1217" s="20" t="s">
        <v>353</v>
      </c>
      <c r="B1217" s="14">
        <v>8</v>
      </c>
      <c r="C1217" s="6" t="s">
        <v>328</v>
      </c>
      <c r="D1217" s="17">
        <v>4</v>
      </c>
      <c r="E1217" s="6" t="s">
        <v>355</v>
      </c>
      <c r="F1217" s="6" t="s">
        <v>321</v>
      </c>
      <c r="G1217" s="19">
        <v>2</v>
      </c>
      <c r="H1217" s="6">
        <v>5</v>
      </c>
      <c r="I1217" s="6" t="s">
        <v>330</v>
      </c>
      <c r="J1217" s="6" t="s">
        <v>1673</v>
      </c>
      <c r="K1217" s="6" t="s">
        <v>1673</v>
      </c>
      <c r="L1217" s="6" t="s">
        <v>1673</v>
      </c>
      <c r="M1217" s="15" t="s">
        <v>1673</v>
      </c>
      <c r="N1217" s="16" t="s">
        <v>1673</v>
      </c>
      <c r="O1217" s="17" t="s">
        <v>1673</v>
      </c>
      <c r="P1217" s="16" t="s">
        <v>1673</v>
      </c>
      <c r="Q1217" s="17" t="s">
        <v>1673</v>
      </c>
    </row>
    <row r="1218" spans="1:17" x14ac:dyDescent="0.25">
      <c r="A1218" s="20" t="s">
        <v>353</v>
      </c>
      <c r="B1218" s="14">
        <v>8</v>
      </c>
      <c r="C1218" s="6" t="s">
        <v>328</v>
      </c>
      <c r="D1218" s="17">
        <v>4</v>
      </c>
      <c r="E1218" s="6" t="s">
        <v>355</v>
      </c>
      <c r="F1218" s="6" t="s">
        <v>322</v>
      </c>
      <c r="G1218" s="19">
        <v>3</v>
      </c>
      <c r="H1218" s="6">
        <v>5</v>
      </c>
      <c r="I1218" s="6" t="s">
        <v>339</v>
      </c>
      <c r="J1218" s="20">
        <v>1.8109999999999999</v>
      </c>
      <c r="K1218" s="20">
        <v>45.319000000000003</v>
      </c>
      <c r="L1218" s="6">
        <v>0</v>
      </c>
      <c r="M1218" s="15">
        <v>3.8666666666666669E-2</v>
      </c>
      <c r="N1218" s="16">
        <v>35.012666666666675</v>
      </c>
      <c r="O1218" s="17">
        <v>876.16733333333343</v>
      </c>
      <c r="P1218" s="16">
        <v>35.012666666666675</v>
      </c>
      <c r="Q1218" s="17">
        <v>876.16733333333354</v>
      </c>
    </row>
    <row r="1219" spans="1:17" x14ac:dyDescent="0.25">
      <c r="A1219" s="20" t="s">
        <v>353</v>
      </c>
      <c r="B1219" s="14">
        <v>8</v>
      </c>
      <c r="C1219" s="6" t="s">
        <v>328</v>
      </c>
      <c r="D1219" s="17">
        <v>4</v>
      </c>
      <c r="E1219" s="6" t="s">
        <v>355</v>
      </c>
      <c r="F1219" s="6" t="s">
        <v>322</v>
      </c>
      <c r="G1219" s="19">
        <v>3</v>
      </c>
      <c r="H1219" s="6">
        <v>5</v>
      </c>
      <c r="I1219" s="6" t="s">
        <v>330</v>
      </c>
      <c r="J1219" s="20">
        <v>1.0960000000000001</v>
      </c>
      <c r="K1219" s="20">
        <v>47.051000000000002</v>
      </c>
      <c r="L1219" s="6">
        <v>0</v>
      </c>
      <c r="M1219" s="15">
        <v>7.9999999999999993E-4</v>
      </c>
      <c r="N1219" s="16">
        <v>0.43839999999999996</v>
      </c>
      <c r="O1219" s="17">
        <v>18.820399999999999</v>
      </c>
      <c r="P1219" s="16">
        <v>0.43840000000000007</v>
      </c>
      <c r="Q1219" s="17">
        <v>18.820400000000003</v>
      </c>
    </row>
    <row r="1220" spans="1:17" x14ac:dyDescent="0.25">
      <c r="A1220" s="20" t="s">
        <v>353</v>
      </c>
      <c r="B1220" s="14">
        <v>8</v>
      </c>
      <c r="C1220" s="6" t="s">
        <v>328</v>
      </c>
      <c r="D1220" s="17">
        <v>4</v>
      </c>
      <c r="E1220" s="6" t="s">
        <v>355</v>
      </c>
      <c r="F1220" s="6" t="s">
        <v>335</v>
      </c>
      <c r="G1220" s="19">
        <v>4</v>
      </c>
      <c r="H1220" s="6">
        <v>1</v>
      </c>
      <c r="I1220" s="6" t="s">
        <v>339</v>
      </c>
      <c r="J1220" s="20">
        <v>1.9139999999999999</v>
      </c>
      <c r="K1220" s="20">
        <v>45.534999999999997</v>
      </c>
      <c r="L1220" s="6">
        <v>0</v>
      </c>
      <c r="M1220" s="15">
        <v>5.5999999999999994E-2</v>
      </c>
      <c r="N1220" s="16">
        <v>10.718399999999999</v>
      </c>
      <c r="O1220" s="17">
        <v>254.99599999999992</v>
      </c>
      <c r="P1220" s="16">
        <v>53.591999999999999</v>
      </c>
      <c r="Q1220" s="17">
        <v>1274.9799999999998</v>
      </c>
    </row>
    <row r="1221" spans="1:17" x14ac:dyDescent="0.25">
      <c r="A1221" s="20" t="s">
        <v>353</v>
      </c>
      <c r="B1221" s="14">
        <v>8</v>
      </c>
      <c r="C1221" s="6" t="s">
        <v>328</v>
      </c>
      <c r="D1221" s="17">
        <v>4</v>
      </c>
      <c r="E1221" s="6" t="s">
        <v>355</v>
      </c>
      <c r="F1221" s="6" t="s">
        <v>335</v>
      </c>
      <c r="G1221" s="19">
        <v>4</v>
      </c>
      <c r="H1221" s="6">
        <v>1</v>
      </c>
      <c r="I1221" s="6" t="s">
        <v>330</v>
      </c>
      <c r="J1221" s="6" t="s">
        <v>1673</v>
      </c>
      <c r="K1221" s="6" t="s">
        <v>1673</v>
      </c>
      <c r="L1221" s="6" t="s">
        <v>1673</v>
      </c>
      <c r="M1221" s="15" t="s">
        <v>1673</v>
      </c>
      <c r="N1221" s="16" t="s">
        <v>1673</v>
      </c>
      <c r="O1221" s="17" t="s">
        <v>1673</v>
      </c>
      <c r="P1221" s="16" t="s">
        <v>1673</v>
      </c>
      <c r="Q1221" s="17" t="s">
        <v>1673</v>
      </c>
    </row>
    <row r="1222" spans="1:17" x14ac:dyDescent="0.25">
      <c r="A1222" s="20" t="s">
        <v>353</v>
      </c>
      <c r="B1222" s="14">
        <v>9</v>
      </c>
      <c r="C1222" s="6" t="s">
        <v>329</v>
      </c>
      <c r="D1222" s="6">
        <v>2</v>
      </c>
      <c r="E1222" s="6" t="s">
        <v>316</v>
      </c>
      <c r="F1222" s="21" t="s">
        <v>317</v>
      </c>
      <c r="G1222" s="18">
        <v>0</v>
      </c>
      <c r="H1222" s="6">
        <v>2</v>
      </c>
      <c r="I1222" s="6" t="s">
        <v>318</v>
      </c>
      <c r="J1222" s="20">
        <v>0.77700000000000002</v>
      </c>
      <c r="K1222" s="20">
        <v>44.113</v>
      </c>
      <c r="L1222" s="6">
        <v>0</v>
      </c>
      <c r="M1222" s="15">
        <v>2.7857142857142858E-2</v>
      </c>
      <c r="N1222" s="16">
        <v>4.3289999999999997</v>
      </c>
      <c r="O1222" s="17">
        <v>245.77242857142858</v>
      </c>
      <c r="P1222" s="16">
        <v>4.3289999999999997</v>
      </c>
      <c r="Q1222" s="17">
        <v>245.77242857142858</v>
      </c>
    </row>
    <row r="1223" spans="1:17" x14ac:dyDescent="0.25">
      <c r="A1223" s="20" t="s">
        <v>353</v>
      </c>
      <c r="B1223" s="14">
        <v>9</v>
      </c>
      <c r="C1223" s="6" t="s">
        <v>329</v>
      </c>
      <c r="D1223" s="6">
        <v>2</v>
      </c>
      <c r="E1223" s="6" t="s">
        <v>316</v>
      </c>
      <c r="F1223" s="21" t="s">
        <v>317</v>
      </c>
      <c r="G1223" s="18">
        <v>0</v>
      </c>
      <c r="H1223" s="6">
        <v>2</v>
      </c>
      <c r="I1223" s="6" t="s">
        <v>319</v>
      </c>
      <c r="J1223" s="20">
        <v>0.38200000000000001</v>
      </c>
      <c r="K1223" s="20">
        <v>48.8</v>
      </c>
      <c r="L1223" s="6">
        <v>0</v>
      </c>
      <c r="M1223" s="15">
        <v>3.0000000000000001E-3</v>
      </c>
      <c r="N1223" s="16">
        <v>0.22920000000000001</v>
      </c>
      <c r="O1223" s="17">
        <v>29.28</v>
      </c>
      <c r="P1223" s="16">
        <v>0.22920000000000001</v>
      </c>
      <c r="Q1223" s="17">
        <v>29.28</v>
      </c>
    </row>
    <row r="1224" spans="1:17" x14ac:dyDescent="0.25">
      <c r="A1224" s="20" t="s">
        <v>353</v>
      </c>
      <c r="B1224" s="14">
        <v>9</v>
      </c>
      <c r="C1224" s="6" t="s">
        <v>329</v>
      </c>
      <c r="D1224" s="6">
        <v>2</v>
      </c>
      <c r="E1224" s="6" t="s">
        <v>355</v>
      </c>
      <c r="F1224" s="14" t="s">
        <v>320</v>
      </c>
      <c r="G1224" s="18">
        <v>1</v>
      </c>
      <c r="H1224" s="6">
        <v>5</v>
      </c>
      <c r="I1224" s="6" t="s">
        <v>318</v>
      </c>
      <c r="J1224" s="20">
        <v>0.82299999999999995</v>
      </c>
      <c r="K1224" s="20">
        <v>45.344000000000001</v>
      </c>
      <c r="L1224" s="6">
        <v>0</v>
      </c>
      <c r="M1224" s="15">
        <v>2.0444444444444446E-2</v>
      </c>
      <c r="N1224" s="16">
        <v>8.4128888888888884</v>
      </c>
      <c r="O1224" s="17">
        <v>463.51644444444446</v>
      </c>
      <c r="P1224" s="16">
        <v>8.4128888888888884</v>
      </c>
      <c r="Q1224" s="17">
        <v>463.51644444444446</v>
      </c>
    </row>
    <row r="1225" spans="1:17" x14ac:dyDescent="0.25">
      <c r="A1225" s="20" t="s">
        <v>353</v>
      </c>
      <c r="B1225" s="14">
        <v>9</v>
      </c>
      <c r="C1225" s="6" t="s">
        <v>329</v>
      </c>
      <c r="D1225" s="6">
        <v>2</v>
      </c>
      <c r="E1225" s="6" t="s">
        <v>355</v>
      </c>
      <c r="F1225" s="14" t="s">
        <v>320</v>
      </c>
      <c r="G1225" s="18">
        <v>1</v>
      </c>
      <c r="H1225" s="6">
        <v>5</v>
      </c>
      <c r="I1225" s="6" t="s">
        <v>319</v>
      </c>
      <c r="J1225" s="20">
        <v>0.36699999999999999</v>
      </c>
      <c r="K1225" s="20">
        <v>50.170999999999999</v>
      </c>
      <c r="L1225" s="6">
        <v>0</v>
      </c>
      <c r="M1225" s="15">
        <v>1.0793650793650795E-3</v>
      </c>
      <c r="N1225" s="16">
        <v>0.19806349206349211</v>
      </c>
      <c r="O1225" s="17">
        <v>27.076412698412703</v>
      </c>
      <c r="P1225" s="16">
        <v>0.19806349206349208</v>
      </c>
      <c r="Q1225" s="17">
        <v>27.076412698412703</v>
      </c>
    </row>
    <row r="1226" spans="1:17" x14ac:dyDescent="0.25">
      <c r="A1226" s="20" t="s">
        <v>353</v>
      </c>
      <c r="B1226" s="14">
        <v>9</v>
      </c>
      <c r="C1226" s="6" t="s">
        <v>329</v>
      </c>
      <c r="D1226" s="6">
        <v>2</v>
      </c>
      <c r="E1226" s="6" t="s">
        <v>355</v>
      </c>
      <c r="F1226" s="14" t="s">
        <v>321</v>
      </c>
      <c r="G1226" s="18">
        <v>2</v>
      </c>
      <c r="H1226" s="6">
        <v>5</v>
      </c>
      <c r="I1226" s="6" t="s">
        <v>318</v>
      </c>
      <c r="J1226" s="20">
        <v>1.0069999999999999</v>
      </c>
      <c r="K1226" s="20">
        <v>46.241</v>
      </c>
      <c r="L1226" s="6">
        <v>0</v>
      </c>
      <c r="M1226" s="15">
        <v>5.0666666666666665E-2</v>
      </c>
      <c r="N1226" s="16">
        <v>25.510666666666662</v>
      </c>
      <c r="O1226" s="17">
        <v>1171.4386666666664</v>
      </c>
      <c r="P1226" s="16">
        <v>25.510666666666662</v>
      </c>
      <c r="Q1226" s="17">
        <v>1171.4386666666667</v>
      </c>
    </row>
    <row r="1227" spans="1:17" x14ac:dyDescent="0.25">
      <c r="A1227" s="20" t="s">
        <v>353</v>
      </c>
      <c r="B1227" s="14">
        <v>9</v>
      </c>
      <c r="C1227" s="6" t="s">
        <v>329</v>
      </c>
      <c r="D1227" s="6">
        <v>2</v>
      </c>
      <c r="E1227" s="6" t="s">
        <v>355</v>
      </c>
      <c r="F1227" s="14" t="s">
        <v>321</v>
      </c>
      <c r="G1227" s="18">
        <v>2</v>
      </c>
      <c r="H1227" s="6">
        <v>5</v>
      </c>
      <c r="I1227" s="6" t="s">
        <v>319</v>
      </c>
      <c r="J1227" s="20">
        <v>0.51700000000000002</v>
      </c>
      <c r="K1227" s="20">
        <v>50.091000000000001</v>
      </c>
      <c r="L1227" s="6">
        <v>0</v>
      </c>
      <c r="M1227" s="15">
        <v>1.2799999999999999E-3</v>
      </c>
      <c r="N1227" s="16">
        <v>0.33087999999999995</v>
      </c>
      <c r="O1227" s="17">
        <v>32.058239999999991</v>
      </c>
      <c r="P1227" s="16">
        <v>0.33088000000000001</v>
      </c>
      <c r="Q1227" s="17">
        <v>32.058239999999998</v>
      </c>
    </row>
    <row r="1228" spans="1:17" x14ac:dyDescent="0.25">
      <c r="A1228" s="20" t="s">
        <v>353</v>
      </c>
      <c r="B1228" s="14">
        <v>9</v>
      </c>
      <c r="C1228" s="6" t="s">
        <v>329</v>
      </c>
      <c r="D1228" s="6">
        <v>2</v>
      </c>
      <c r="E1228" s="6" t="s">
        <v>355</v>
      </c>
      <c r="F1228" s="14" t="s">
        <v>322</v>
      </c>
      <c r="G1228" s="18">
        <v>3</v>
      </c>
      <c r="H1228" s="6">
        <v>5</v>
      </c>
      <c r="I1228" s="6" t="s">
        <v>318</v>
      </c>
      <c r="J1228" s="20">
        <v>0.85899999999999999</v>
      </c>
      <c r="K1228" s="20">
        <v>45.994</v>
      </c>
      <c r="L1228" s="6">
        <v>0</v>
      </c>
      <c r="M1228" s="15">
        <v>8.3942857142857139E-2</v>
      </c>
      <c r="N1228" s="16">
        <v>36.053457142857141</v>
      </c>
      <c r="O1228" s="17">
        <v>1930.4338857142857</v>
      </c>
      <c r="P1228" s="16">
        <v>36.053457142857148</v>
      </c>
      <c r="Q1228" s="17">
        <v>1930.4338857142859</v>
      </c>
    </row>
    <row r="1229" spans="1:17" x14ac:dyDescent="0.25">
      <c r="A1229" s="20" t="s">
        <v>353</v>
      </c>
      <c r="B1229" s="14">
        <v>9</v>
      </c>
      <c r="C1229" s="6" t="s">
        <v>329</v>
      </c>
      <c r="D1229" s="6">
        <v>2</v>
      </c>
      <c r="E1229" s="6" t="s">
        <v>355</v>
      </c>
      <c r="F1229" s="14" t="s">
        <v>322</v>
      </c>
      <c r="G1229" s="18">
        <v>3</v>
      </c>
      <c r="H1229" s="6">
        <v>5</v>
      </c>
      <c r="I1229" s="6" t="s">
        <v>319</v>
      </c>
      <c r="J1229" s="6" t="s">
        <v>1673</v>
      </c>
      <c r="K1229" s="6" t="s">
        <v>1673</v>
      </c>
      <c r="L1229" s="6" t="s">
        <v>1673</v>
      </c>
      <c r="M1229" s="15" t="s">
        <v>1673</v>
      </c>
      <c r="N1229" s="16" t="s">
        <v>1673</v>
      </c>
      <c r="O1229" s="17" t="s">
        <v>1673</v>
      </c>
      <c r="P1229" s="16" t="s">
        <v>1673</v>
      </c>
      <c r="Q1229" s="17" t="s">
        <v>1673</v>
      </c>
    </row>
    <row r="1230" spans="1:17" x14ac:dyDescent="0.25">
      <c r="A1230" s="20" t="s">
        <v>353</v>
      </c>
      <c r="B1230" s="14">
        <v>9</v>
      </c>
      <c r="C1230" s="6" t="s">
        <v>329</v>
      </c>
      <c r="D1230" s="6">
        <v>2</v>
      </c>
      <c r="E1230" s="6" t="s">
        <v>355</v>
      </c>
      <c r="F1230" s="6" t="s">
        <v>324</v>
      </c>
      <c r="G1230" s="18">
        <v>4</v>
      </c>
      <c r="H1230" s="6">
        <v>5</v>
      </c>
      <c r="I1230" s="6" t="s">
        <v>318</v>
      </c>
      <c r="J1230" s="20">
        <v>1.173</v>
      </c>
      <c r="K1230" s="20">
        <v>44.991</v>
      </c>
      <c r="L1230" s="6">
        <v>0</v>
      </c>
      <c r="M1230" s="15">
        <v>6.5460317460317469E-2</v>
      </c>
      <c r="N1230" s="16">
        <v>38.392476190476202</v>
      </c>
      <c r="O1230" s="17">
        <v>1472.5625714285716</v>
      </c>
      <c r="P1230" s="16">
        <v>38.392476190476195</v>
      </c>
      <c r="Q1230" s="17">
        <v>1472.5625714285713</v>
      </c>
    </row>
    <row r="1231" spans="1:17" x14ac:dyDescent="0.25">
      <c r="A1231" s="20" t="s">
        <v>353</v>
      </c>
      <c r="B1231" s="14">
        <v>9</v>
      </c>
      <c r="C1231" s="6" t="s">
        <v>329</v>
      </c>
      <c r="D1231" s="6">
        <v>2</v>
      </c>
      <c r="E1231" s="6" t="s">
        <v>355</v>
      </c>
      <c r="F1231" s="6" t="s">
        <v>324</v>
      </c>
      <c r="G1231" s="18">
        <v>4</v>
      </c>
      <c r="H1231" s="6">
        <v>5</v>
      </c>
      <c r="I1231" s="6" t="s">
        <v>319</v>
      </c>
      <c r="J1231" s="6" t="s">
        <v>1673</v>
      </c>
      <c r="K1231" s="6" t="s">
        <v>1673</v>
      </c>
      <c r="L1231" s="6" t="s">
        <v>1673</v>
      </c>
      <c r="M1231" s="15" t="s">
        <v>1673</v>
      </c>
      <c r="N1231" s="16" t="s">
        <v>1673</v>
      </c>
      <c r="O1231" s="17" t="s">
        <v>1673</v>
      </c>
      <c r="P1231" s="16" t="s">
        <v>1673</v>
      </c>
      <c r="Q1231" s="17" t="s">
        <v>1673</v>
      </c>
    </row>
    <row r="1232" spans="1:17" x14ac:dyDescent="0.25">
      <c r="A1232" s="20" t="s">
        <v>353</v>
      </c>
      <c r="B1232" s="14">
        <v>9</v>
      </c>
      <c r="C1232" s="6" t="s">
        <v>329</v>
      </c>
      <c r="D1232" s="6">
        <v>2</v>
      </c>
      <c r="E1232" s="6" t="s">
        <v>355</v>
      </c>
      <c r="F1232" s="6" t="s">
        <v>325</v>
      </c>
      <c r="G1232" s="18">
        <v>5</v>
      </c>
      <c r="H1232" s="6">
        <v>2</v>
      </c>
      <c r="I1232" s="6" t="s">
        <v>318</v>
      </c>
      <c r="J1232" s="20">
        <v>1.397</v>
      </c>
      <c r="K1232" s="20">
        <v>45.735999999999997</v>
      </c>
      <c r="L1232" s="6">
        <v>0</v>
      </c>
      <c r="M1232" s="15">
        <v>3.3174603174603169E-2</v>
      </c>
      <c r="N1232" s="16">
        <v>9.268984126984126</v>
      </c>
      <c r="O1232" s="17">
        <v>303.45473015873011</v>
      </c>
      <c r="P1232" s="16">
        <v>23.172460317460313</v>
      </c>
      <c r="Q1232" s="17">
        <v>758.6368253968252</v>
      </c>
    </row>
    <row r="1233" spans="1:17" x14ac:dyDescent="0.25">
      <c r="A1233" s="20" t="s">
        <v>353</v>
      </c>
      <c r="B1233" s="14">
        <v>9</v>
      </c>
      <c r="C1233" s="6" t="s">
        <v>329</v>
      </c>
      <c r="D1233" s="6">
        <v>2</v>
      </c>
      <c r="E1233" s="6" t="s">
        <v>355</v>
      </c>
      <c r="F1233" s="6" t="s">
        <v>325</v>
      </c>
      <c r="G1233" s="18">
        <v>5</v>
      </c>
      <c r="H1233" s="6">
        <v>2</v>
      </c>
      <c r="I1233" s="6" t="s">
        <v>319</v>
      </c>
      <c r="J1233" s="6" t="s">
        <v>1673</v>
      </c>
      <c r="K1233" s="6" t="s">
        <v>1673</v>
      </c>
      <c r="L1233" s="6" t="s">
        <v>1673</v>
      </c>
      <c r="M1233" s="15" t="s">
        <v>1673</v>
      </c>
      <c r="N1233" s="16" t="s">
        <v>1673</v>
      </c>
      <c r="O1233" s="17" t="s">
        <v>1673</v>
      </c>
      <c r="P1233" s="16" t="s">
        <v>1673</v>
      </c>
      <c r="Q1233" s="17" t="s">
        <v>1673</v>
      </c>
    </row>
    <row r="1234" spans="1:17" x14ac:dyDescent="0.25">
      <c r="A1234" s="20" t="s">
        <v>353</v>
      </c>
      <c r="B1234" s="14">
        <v>9</v>
      </c>
      <c r="C1234" s="6" t="s">
        <v>329</v>
      </c>
      <c r="D1234" s="6">
        <v>2</v>
      </c>
      <c r="E1234" s="6" t="s">
        <v>355</v>
      </c>
      <c r="F1234" s="6" t="s">
        <v>326</v>
      </c>
      <c r="G1234" s="18">
        <v>6</v>
      </c>
      <c r="H1234" s="6">
        <v>0</v>
      </c>
      <c r="I1234" s="6" t="s">
        <v>318</v>
      </c>
      <c r="J1234" s="6" t="s">
        <v>1673</v>
      </c>
      <c r="K1234" s="6" t="s">
        <v>1673</v>
      </c>
      <c r="L1234" s="6" t="s">
        <v>1673</v>
      </c>
      <c r="M1234" s="15" t="s">
        <v>1673</v>
      </c>
      <c r="N1234" s="16" t="s">
        <v>1673</v>
      </c>
      <c r="O1234" s="17" t="s">
        <v>1673</v>
      </c>
      <c r="P1234" s="16" t="s">
        <v>1673</v>
      </c>
      <c r="Q1234" s="17" t="s">
        <v>1673</v>
      </c>
    </row>
    <row r="1235" spans="1:17" x14ac:dyDescent="0.25">
      <c r="A1235" s="20" t="s">
        <v>353</v>
      </c>
      <c r="B1235" s="14">
        <v>9</v>
      </c>
      <c r="C1235" s="6" t="s">
        <v>329</v>
      </c>
      <c r="D1235" s="6">
        <v>2</v>
      </c>
      <c r="E1235" s="6" t="s">
        <v>355</v>
      </c>
      <c r="F1235" s="6" t="s">
        <v>326</v>
      </c>
      <c r="G1235" s="18">
        <v>6</v>
      </c>
      <c r="H1235" s="6">
        <v>0</v>
      </c>
      <c r="I1235" s="6" t="s">
        <v>319</v>
      </c>
      <c r="J1235" s="6" t="s">
        <v>1673</v>
      </c>
      <c r="K1235" s="6" t="s">
        <v>1673</v>
      </c>
      <c r="L1235" s="6" t="s">
        <v>1673</v>
      </c>
      <c r="M1235" s="15" t="s">
        <v>1673</v>
      </c>
      <c r="N1235" s="16" t="s">
        <v>1673</v>
      </c>
      <c r="O1235" s="17" t="s">
        <v>1673</v>
      </c>
      <c r="P1235" s="16" t="s">
        <v>1673</v>
      </c>
      <c r="Q1235" s="17" t="s">
        <v>1673</v>
      </c>
    </row>
    <row r="1236" spans="1:17" x14ac:dyDescent="0.25">
      <c r="A1236" s="20" t="s">
        <v>353</v>
      </c>
      <c r="B1236" s="14">
        <v>9</v>
      </c>
      <c r="C1236" s="6" t="s">
        <v>329</v>
      </c>
      <c r="D1236" s="6">
        <v>3</v>
      </c>
      <c r="E1236" s="6" t="s">
        <v>316</v>
      </c>
      <c r="F1236" s="21" t="s">
        <v>317</v>
      </c>
      <c r="G1236" s="18">
        <v>0</v>
      </c>
      <c r="H1236" s="6">
        <v>3.25</v>
      </c>
      <c r="I1236" s="6" t="s">
        <v>318</v>
      </c>
      <c r="J1236" s="20">
        <v>0.72899999999999998</v>
      </c>
      <c r="K1236" s="20">
        <v>44.87</v>
      </c>
      <c r="L1236" s="6">
        <v>0</v>
      </c>
      <c r="M1236" s="15">
        <v>1.7051282051282052E-2</v>
      </c>
      <c r="N1236" s="16">
        <v>4.0398750000000003</v>
      </c>
      <c r="O1236" s="17">
        <v>248.65458333333336</v>
      </c>
      <c r="P1236" s="16">
        <v>4.0398750000000003</v>
      </c>
      <c r="Q1236" s="17">
        <v>248.65458333333336</v>
      </c>
    </row>
    <row r="1237" spans="1:17" x14ac:dyDescent="0.25">
      <c r="A1237" s="20" t="s">
        <v>353</v>
      </c>
      <c r="B1237" s="14">
        <v>9</v>
      </c>
      <c r="C1237" s="6" t="s">
        <v>329</v>
      </c>
      <c r="D1237" s="6">
        <v>3</v>
      </c>
      <c r="E1237" s="6" t="s">
        <v>316</v>
      </c>
      <c r="F1237" s="21" t="s">
        <v>317</v>
      </c>
      <c r="G1237" s="18">
        <v>0</v>
      </c>
      <c r="H1237" s="6">
        <v>3.25</v>
      </c>
      <c r="I1237" s="6" t="s">
        <v>319</v>
      </c>
      <c r="J1237" s="6" t="s">
        <v>1673</v>
      </c>
      <c r="K1237" s="6" t="s">
        <v>1673</v>
      </c>
      <c r="L1237" s="6" t="s">
        <v>1673</v>
      </c>
      <c r="M1237" s="15" t="s">
        <v>1673</v>
      </c>
      <c r="N1237" s="16" t="s">
        <v>1673</v>
      </c>
      <c r="O1237" s="17" t="s">
        <v>1673</v>
      </c>
      <c r="P1237" s="16" t="s">
        <v>1673</v>
      </c>
      <c r="Q1237" s="17" t="s">
        <v>1673</v>
      </c>
    </row>
    <row r="1238" spans="1:17" x14ac:dyDescent="0.25">
      <c r="A1238" s="20" t="s">
        <v>353</v>
      </c>
      <c r="B1238" s="14">
        <v>9</v>
      </c>
      <c r="C1238" s="6" t="s">
        <v>329</v>
      </c>
      <c r="D1238" s="6">
        <v>3</v>
      </c>
      <c r="E1238" s="6" t="s">
        <v>355</v>
      </c>
      <c r="F1238" s="14" t="s">
        <v>320</v>
      </c>
      <c r="G1238" s="18">
        <v>1</v>
      </c>
      <c r="H1238" s="6">
        <v>5</v>
      </c>
      <c r="I1238" s="6" t="s">
        <v>318</v>
      </c>
      <c r="J1238" s="20">
        <v>0.65300000000000002</v>
      </c>
      <c r="K1238" s="20">
        <v>43.908000000000001</v>
      </c>
      <c r="L1238" s="6">
        <v>0</v>
      </c>
      <c r="M1238" s="15">
        <v>3.8133333333333339E-2</v>
      </c>
      <c r="N1238" s="16">
        <v>12.450533333333336</v>
      </c>
      <c r="O1238" s="17">
        <v>837.17920000000015</v>
      </c>
      <c r="P1238" s="16">
        <v>12.450533333333336</v>
      </c>
      <c r="Q1238" s="17">
        <v>837.17920000000015</v>
      </c>
    </row>
    <row r="1239" spans="1:17" x14ac:dyDescent="0.25">
      <c r="A1239" s="20" t="s">
        <v>353</v>
      </c>
      <c r="B1239" s="14">
        <v>9</v>
      </c>
      <c r="C1239" s="6" t="s">
        <v>329</v>
      </c>
      <c r="D1239" s="6">
        <v>3</v>
      </c>
      <c r="E1239" s="6" t="s">
        <v>355</v>
      </c>
      <c r="F1239" s="14" t="s">
        <v>320</v>
      </c>
      <c r="G1239" s="18">
        <v>1</v>
      </c>
      <c r="H1239" s="6">
        <v>5</v>
      </c>
      <c r="I1239" s="6" t="s">
        <v>319</v>
      </c>
      <c r="J1239" s="20">
        <v>0.57299999999999995</v>
      </c>
      <c r="K1239" s="20">
        <v>53.774000000000001</v>
      </c>
      <c r="L1239" s="6">
        <v>0</v>
      </c>
      <c r="M1239" s="15">
        <v>1.5466666666666665E-3</v>
      </c>
      <c r="N1239" s="16">
        <v>0.44311999999999996</v>
      </c>
      <c r="O1239" s="17">
        <v>41.585226666666664</v>
      </c>
      <c r="P1239" s="16">
        <v>0.4431199999999999</v>
      </c>
      <c r="Q1239" s="17">
        <v>41.585226666666657</v>
      </c>
    </row>
    <row r="1240" spans="1:17" x14ac:dyDescent="0.25">
      <c r="A1240" s="20" t="s">
        <v>353</v>
      </c>
      <c r="B1240" s="14">
        <v>9</v>
      </c>
      <c r="C1240" s="6" t="s">
        <v>329</v>
      </c>
      <c r="D1240" s="6">
        <v>3</v>
      </c>
      <c r="E1240" s="6" t="s">
        <v>355</v>
      </c>
      <c r="F1240" s="14" t="s">
        <v>321</v>
      </c>
      <c r="G1240" s="18">
        <v>2</v>
      </c>
      <c r="H1240" s="6">
        <v>5</v>
      </c>
      <c r="I1240" s="6" t="s">
        <v>318</v>
      </c>
      <c r="J1240" s="20">
        <v>0.77500000000000002</v>
      </c>
      <c r="K1240" s="20">
        <v>44.01</v>
      </c>
      <c r="L1240" s="6">
        <v>0</v>
      </c>
      <c r="M1240" s="15">
        <v>4.931428571428572E-2</v>
      </c>
      <c r="N1240" s="16">
        <v>19.109285714285718</v>
      </c>
      <c r="O1240" s="17">
        <v>1085.1608571428574</v>
      </c>
      <c r="P1240" s="16">
        <v>19.109285714285718</v>
      </c>
      <c r="Q1240" s="17">
        <v>1085.1608571428574</v>
      </c>
    </row>
    <row r="1241" spans="1:17" x14ac:dyDescent="0.25">
      <c r="A1241" s="20" t="s">
        <v>353</v>
      </c>
      <c r="B1241" s="14">
        <v>9</v>
      </c>
      <c r="C1241" s="6" t="s">
        <v>329</v>
      </c>
      <c r="D1241" s="6">
        <v>3</v>
      </c>
      <c r="E1241" s="6" t="s">
        <v>355</v>
      </c>
      <c r="F1241" s="14" t="s">
        <v>321</v>
      </c>
      <c r="G1241" s="18">
        <v>2</v>
      </c>
      <c r="H1241" s="6">
        <v>5</v>
      </c>
      <c r="I1241" s="6" t="s">
        <v>319</v>
      </c>
      <c r="J1241" s="6" t="s">
        <v>1673</v>
      </c>
      <c r="K1241" s="6" t="s">
        <v>1673</v>
      </c>
      <c r="L1241" s="6" t="s">
        <v>1673</v>
      </c>
      <c r="M1241" s="15" t="s">
        <v>1673</v>
      </c>
      <c r="N1241" s="16" t="s">
        <v>1673</v>
      </c>
      <c r="O1241" s="17" t="s">
        <v>1673</v>
      </c>
      <c r="P1241" s="16" t="s">
        <v>1673</v>
      </c>
      <c r="Q1241" s="17" t="s">
        <v>1673</v>
      </c>
    </row>
    <row r="1242" spans="1:17" x14ac:dyDescent="0.25">
      <c r="A1242" s="20" t="s">
        <v>353</v>
      </c>
      <c r="B1242" s="14">
        <v>9</v>
      </c>
      <c r="C1242" s="6" t="s">
        <v>329</v>
      </c>
      <c r="D1242" s="6">
        <v>3</v>
      </c>
      <c r="E1242" s="6" t="s">
        <v>355</v>
      </c>
      <c r="F1242" s="14" t="s">
        <v>322</v>
      </c>
      <c r="G1242" s="18">
        <v>3</v>
      </c>
      <c r="H1242" s="6">
        <v>4</v>
      </c>
      <c r="I1242" s="6" t="s">
        <v>318</v>
      </c>
      <c r="J1242" s="20">
        <v>1.431</v>
      </c>
      <c r="K1242" s="20">
        <v>43.457999999999998</v>
      </c>
      <c r="L1242" s="6">
        <v>0</v>
      </c>
      <c r="M1242" s="15">
        <v>7.4857142857142858E-2</v>
      </c>
      <c r="N1242" s="16">
        <v>42.848228571428571</v>
      </c>
      <c r="O1242" s="17">
        <v>1301.2566857142856</v>
      </c>
      <c r="P1242" s="16">
        <v>53.560285714285719</v>
      </c>
      <c r="Q1242" s="17">
        <v>1626.570857142857</v>
      </c>
    </row>
    <row r="1243" spans="1:17" x14ac:dyDescent="0.25">
      <c r="A1243" s="20" t="s">
        <v>353</v>
      </c>
      <c r="B1243" s="14">
        <v>9</v>
      </c>
      <c r="C1243" s="6" t="s">
        <v>329</v>
      </c>
      <c r="D1243" s="6">
        <v>3</v>
      </c>
      <c r="E1243" s="6" t="s">
        <v>355</v>
      </c>
      <c r="F1243" s="14" t="s">
        <v>322</v>
      </c>
      <c r="G1243" s="18">
        <v>3</v>
      </c>
      <c r="H1243" s="6">
        <v>4</v>
      </c>
      <c r="I1243" s="6" t="s">
        <v>319</v>
      </c>
      <c r="J1243" s="6" t="s">
        <v>1673</v>
      </c>
      <c r="K1243" s="6" t="s">
        <v>1673</v>
      </c>
      <c r="L1243" s="6" t="s">
        <v>1673</v>
      </c>
      <c r="M1243" s="15" t="s">
        <v>1673</v>
      </c>
      <c r="N1243" s="16" t="s">
        <v>1673</v>
      </c>
      <c r="O1243" s="17" t="s">
        <v>1673</v>
      </c>
      <c r="P1243" s="16" t="s">
        <v>1673</v>
      </c>
      <c r="Q1243" s="17" t="s">
        <v>1673</v>
      </c>
    </row>
    <row r="1244" spans="1:17" x14ac:dyDescent="0.25">
      <c r="A1244" s="20" t="s">
        <v>353</v>
      </c>
      <c r="B1244" s="14">
        <v>9</v>
      </c>
      <c r="C1244" s="6" t="s">
        <v>329</v>
      </c>
      <c r="D1244" s="17">
        <v>1</v>
      </c>
      <c r="E1244" s="6" t="s">
        <v>316</v>
      </c>
      <c r="F1244" s="6" t="s">
        <v>317</v>
      </c>
      <c r="G1244" s="18">
        <v>0</v>
      </c>
      <c r="H1244" s="6">
        <v>1</v>
      </c>
      <c r="I1244" s="6" t="s">
        <v>339</v>
      </c>
      <c r="J1244" s="20">
        <v>0.69699999999999995</v>
      </c>
      <c r="K1244" s="20">
        <v>41.820999999999998</v>
      </c>
      <c r="L1244" s="6">
        <v>0</v>
      </c>
      <c r="M1244" s="15">
        <v>0.04</v>
      </c>
      <c r="N1244" s="16">
        <v>2.7879999999999998</v>
      </c>
      <c r="O1244" s="17">
        <v>167.28399999999999</v>
      </c>
      <c r="P1244" s="16">
        <v>2.7879999999999998</v>
      </c>
      <c r="Q1244" s="17">
        <v>167.28399999999999</v>
      </c>
    </row>
    <row r="1245" spans="1:17" x14ac:dyDescent="0.25">
      <c r="A1245" s="20" t="s">
        <v>353</v>
      </c>
      <c r="B1245" s="14">
        <v>9</v>
      </c>
      <c r="C1245" s="6" t="s">
        <v>329</v>
      </c>
      <c r="D1245" s="17">
        <v>1</v>
      </c>
      <c r="E1245" s="6" t="s">
        <v>316</v>
      </c>
      <c r="F1245" s="6" t="s">
        <v>317</v>
      </c>
      <c r="G1245" s="18">
        <v>0</v>
      </c>
      <c r="H1245" s="6">
        <v>1</v>
      </c>
      <c r="I1245" s="6" t="s">
        <v>330</v>
      </c>
      <c r="J1245" s="6" t="s">
        <v>1673</v>
      </c>
      <c r="K1245" s="6" t="s">
        <v>1673</v>
      </c>
      <c r="L1245" s="6" t="s">
        <v>1673</v>
      </c>
      <c r="M1245" s="15" t="s">
        <v>1673</v>
      </c>
      <c r="N1245" s="16" t="s">
        <v>1673</v>
      </c>
      <c r="O1245" s="17" t="s">
        <v>1673</v>
      </c>
      <c r="P1245" s="16" t="s">
        <v>1673</v>
      </c>
      <c r="Q1245" s="17" t="s">
        <v>1673</v>
      </c>
    </row>
    <row r="1246" spans="1:17" x14ac:dyDescent="0.25">
      <c r="A1246" s="20" t="s">
        <v>353</v>
      </c>
      <c r="B1246" s="14">
        <v>9</v>
      </c>
      <c r="C1246" s="6" t="s">
        <v>329</v>
      </c>
      <c r="D1246" s="17">
        <v>1</v>
      </c>
      <c r="E1246" s="6" t="s">
        <v>355</v>
      </c>
      <c r="F1246" s="6" t="s">
        <v>320</v>
      </c>
      <c r="G1246" s="19">
        <v>1</v>
      </c>
      <c r="H1246" s="6">
        <v>5</v>
      </c>
      <c r="I1246" s="6" t="s">
        <v>339</v>
      </c>
      <c r="J1246" s="20">
        <v>0.76200000000000001</v>
      </c>
      <c r="K1246" s="20">
        <v>41.319000000000003</v>
      </c>
      <c r="L1246" s="6">
        <v>0</v>
      </c>
      <c r="M1246" s="15">
        <v>3.272727272727273E-2</v>
      </c>
      <c r="N1246" s="16">
        <v>12.469090909090911</v>
      </c>
      <c r="O1246" s="17">
        <v>676.12909090909102</v>
      </c>
      <c r="P1246" s="16">
        <v>12.469090909090909</v>
      </c>
      <c r="Q1246" s="17">
        <v>676.12909090909102</v>
      </c>
    </row>
    <row r="1247" spans="1:17" x14ac:dyDescent="0.25">
      <c r="A1247" s="20" t="s">
        <v>353</v>
      </c>
      <c r="B1247" s="14">
        <v>9</v>
      </c>
      <c r="C1247" s="6" t="s">
        <v>329</v>
      </c>
      <c r="D1247" s="17">
        <v>1</v>
      </c>
      <c r="E1247" s="6" t="s">
        <v>355</v>
      </c>
      <c r="F1247" s="6" t="s">
        <v>320</v>
      </c>
      <c r="G1247" s="19">
        <v>1</v>
      </c>
      <c r="H1247" s="6">
        <v>5</v>
      </c>
      <c r="I1247" s="6" t="s">
        <v>330</v>
      </c>
      <c r="J1247" s="20">
        <v>0.67600000000000005</v>
      </c>
      <c r="K1247" s="20">
        <v>47.973999999999997</v>
      </c>
      <c r="L1247" s="6">
        <v>0</v>
      </c>
      <c r="M1247" s="15">
        <v>4.5454545454545452E-3</v>
      </c>
      <c r="N1247" s="16">
        <v>1.5363636363636364</v>
      </c>
      <c r="O1247" s="17">
        <v>109.03181818181815</v>
      </c>
      <c r="P1247" s="16">
        <v>1.5363636363636366</v>
      </c>
      <c r="Q1247" s="17">
        <v>109.03181818181817</v>
      </c>
    </row>
    <row r="1248" spans="1:17" x14ac:dyDescent="0.25">
      <c r="A1248" s="20" t="s">
        <v>353</v>
      </c>
      <c r="B1248" s="14">
        <v>9</v>
      </c>
      <c r="C1248" s="6" t="s">
        <v>329</v>
      </c>
      <c r="D1248" s="17">
        <v>1</v>
      </c>
      <c r="E1248" s="6" t="s">
        <v>355</v>
      </c>
      <c r="F1248" s="6" t="s">
        <v>321</v>
      </c>
      <c r="G1248" s="19">
        <v>2</v>
      </c>
      <c r="H1248" s="6">
        <v>4.5</v>
      </c>
      <c r="I1248" s="6" t="s">
        <v>339</v>
      </c>
      <c r="J1248" s="20">
        <v>1.3640000000000001</v>
      </c>
      <c r="K1248" s="20">
        <v>42.622999999999998</v>
      </c>
      <c r="L1248" s="6">
        <v>0</v>
      </c>
      <c r="M1248" s="15">
        <v>5.5555555555555552E-2</v>
      </c>
      <c r="N1248" s="16">
        <v>34.1</v>
      </c>
      <c r="O1248" s="17">
        <v>1065.575</v>
      </c>
      <c r="P1248" s="16">
        <v>37.888888888888893</v>
      </c>
      <c r="Q1248" s="17">
        <v>1183.9722222222222</v>
      </c>
    </row>
    <row r="1249" spans="1:17" x14ac:dyDescent="0.25">
      <c r="A1249" s="20" t="s">
        <v>353</v>
      </c>
      <c r="B1249" s="14">
        <v>9</v>
      </c>
      <c r="C1249" s="6" t="s">
        <v>329</v>
      </c>
      <c r="D1249" s="17">
        <v>1</v>
      </c>
      <c r="E1249" s="6" t="s">
        <v>355</v>
      </c>
      <c r="F1249" s="6" t="s">
        <v>321</v>
      </c>
      <c r="G1249" s="19">
        <v>2</v>
      </c>
      <c r="H1249" s="6">
        <v>4.5</v>
      </c>
      <c r="I1249" s="6" t="s">
        <v>330</v>
      </c>
      <c r="J1249" s="6" t="s">
        <v>1673</v>
      </c>
      <c r="K1249" s="6" t="s">
        <v>1673</v>
      </c>
      <c r="L1249" s="6" t="s">
        <v>1673</v>
      </c>
      <c r="M1249" s="15" t="s">
        <v>1673</v>
      </c>
      <c r="N1249" s="16" t="s">
        <v>1673</v>
      </c>
      <c r="O1249" s="17" t="s">
        <v>1673</v>
      </c>
      <c r="P1249" s="16" t="s">
        <v>1673</v>
      </c>
      <c r="Q1249" s="17" t="s">
        <v>1673</v>
      </c>
    </row>
    <row r="1250" spans="1:17" x14ac:dyDescent="0.25">
      <c r="A1250" s="20" t="s">
        <v>353</v>
      </c>
      <c r="B1250" s="14">
        <v>9</v>
      </c>
      <c r="C1250" s="6" t="s">
        <v>329</v>
      </c>
      <c r="D1250" s="17">
        <v>4</v>
      </c>
      <c r="E1250" s="6" t="s">
        <v>316</v>
      </c>
      <c r="F1250" s="6" t="s">
        <v>317</v>
      </c>
      <c r="G1250" s="18">
        <v>0</v>
      </c>
      <c r="H1250" s="6">
        <v>2</v>
      </c>
      <c r="I1250" s="6" t="s">
        <v>339</v>
      </c>
      <c r="J1250" s="20">
        <v>0.74199999999999999</v>
      </c>
      <c r="K1250" s="20">
        <v>44.039000000000001</v>
      </c>
      <c r="L1250" s="6">
        <v>0</v>
      </c>
      <c r="M1250" s="15">
        <v>2.8888888888888891E-2</v>
      </c>
      <c r="N1250" s="16">
        <v>4.2871111111111109</v>
      </c>
      <c r="O1250" s="17">
        <v>254.44755555555557</v>
      </c>
      <c r="P1250" s="16">
        <v>4.2871111111111109</v>
      </c>
      <c r="Q1250" s="17">
        <v>254.44755555555557</v>
      </c>
    </row>
    <row r="1251" spans="1:17" x14ac:dyDescent="0.25">
      <c r="A1251" s="20" t="s">
        <v>353</v>
      </c>
      <c r="B1251" s="14">
        <v>9</v>
      </c>
      <c r="C1251" s="6" t="s">
        <v>329</v>
      </c>
      <c r="D1251" s="17">
        <v>4</v>
      </c>
      <c r="E1251" s="6" t="s">
        <v>316</v>
      </c>
      <c r="F1251" s="6" t="s">
        <v>317</v>
      </c>
      <c r="G1251" s="18">
        <v>0</v>
      </c>
      <c r="H1251" s="6">
        <v>5</v>
      </c>
      <c r="I1251" s="6" t="s">
        <v>330</v>
      </c>
      <c r="J1251" s="6" t="s">
        <v>1673</v>
      </c>
      <c r="K1251" s="6" t="s">
        <v>1673</v>
      </c>
      <c r="L1251" s="6" t="s">
        <v>1673</v>
      </c>
      <c r="M1251" s="15" t="s">
        <v>1673</v>
      </c>
      <c r="N1251" s="16" t="s">
        <v>1673</v>
      </c>
      <c r="O1251" s="17" t="s">
        <v>1673</v>
      </c>
      <c r="P1251" s="16" t="s">
        <v>1673</v>
      </c>
      <c r="Q1251" s="17" t="s">
        <v>1673</v>
      </c>
    </row>
    <row r="1252" spans="1:17" x14ac:dyDescent="0.25">
      <c r="A1252" s="20" t="s">
        <v>353</v>
      </c>
      <c r="B1252" s="14">
        <v>9</v>
      </c>
      <c r="C1252" s="6" t="s">
        <v>329</v>
      </c>
      <c r="D1252" s="17">
        <v>4</v>
      </c>
      <c r="E1252" s="6" t="s">
        <v>355</v>
      </c>
      <c r="F1252" s="6" t="s">
        <v>320</v>
      </c>
      <c r="G1252" s="19">
        <v>1</v>
      </c>
      <c r="H1252" s="6">
        <v>5</v>
      </c>
      <c r="I1252" s="6" t="s">
        <v>339</v>
      </c>
      <c r="J1252" s="20">
        <v>0.65500000000000003</v>
      </c>
      <c r="K1252" s="20">
        <v>44.337000000000003</v>
      </c>
      <c r="L1252" s="6">
        <v>0</v>
      </c>
      <c r="M1252" s="15">
        <v>1.8585858585858584E-2</v>
      </c>
      <c r="N1252" s="16">
        <v>6.0868686868686872</v>
      </c>
      <c r="O1252" s="17">
        <v>412.0206060606061</v>
      </c>
      <c r="P1252" s="16">
        <v>6.0868686868686863</v>
      </c>
      <c r="Q1252" s="17">
        <v>412.02060606060604</v>
      </c>
    </row>
    <row r="1253" spans="1:17" x14ac:dyDescent="0.25">
      <c r="A1253" s="20" t="s">
        <v>353</v>
      </c>
      <c r="B1253" s="14">
        <v>9</v>
      </c>
      <c r="C1253" s="6" t="s">
        <v>329</v>
      </c>
      <c r="D1253" s="17">
        <v>4</v>
      </c>
      <c r="E1253" s="6" t="s">
        <v>355</v>
      </c>
      <c r="F1253" s="6" t="s">
        <v>320</v>
      </c>
      <c r="G1253" s="19">
        <v>1</v>
      </c>
      <c r="H1253" s="6">
        <v>5</v>
      </c>
      <c r="I1253" s="6" t="s">
        <v>330</v>
      </c>
      <c r="J1253" s="6" t="s">
        <v>1673</v>
      </c>
      <c r="K1253" s="6" t="s">
        <v>1673</v>
      </c>
      <c r="L1253" s="6" t="s">
        <v>1673</v>
      </c>
      <c r="M1253" s="15" t="s">
        <v>1673</v>
      </c>
      <c r="N1253" s="16" t="s">
        <v>1673</v>
      </c>
      <c r="O1253" s="17" t="s">
        <v>1673</v>
      </c>
      <c r="P1253" s="16" t="s">
        <v>1673</v>
      </c>
      <c r="Q1253" s="17" t="s">
        <v>1673</v>
      </c>
    </row>
    <row r="1254" spans="1:17" x14ac:dyDescent="0.25">
      <c r="A1254" s="20" t="s">
        <v>353</v>
      </c>
      <c r="B1254" s="14">
        <v>9</v>
      </c>
      <c r="C1254" s="6" t="s">
        <v>329</v>
      </c>
      <c r="D1254" s="17">
        <v>4</v>
      </c>
      <c r="E1254" s="6" t="s">
        <v>355</v>
      </c>
      <c r="F1254" s="6" t="s">
        <v>321</v>
      </c>
      <c r="G1254" s="19">
        <v>2</v>
      </c>
      <c r="H1254" s="6">
        <v>5</v>
      </c>
      <c r="I1254" s="6" t="s">
        <v>339</v>
      </c>
      <c r="J1254" s="20">
        <v>0.748</v>
      </c>
      <c r="K1254" s="20">
        <v>43.646999999999998</v>
      </c>
      <c r="L1254" s="6">
        <v>0</v>
      </c>
      <c r="M1254" s="15">
        <v>3.5555555555555556E-2</v>
      </c>
      <c r="N1254" s="16">
        <v>13.297777777777778</v>
      </c>
      <c r="O1254" s="17">
        <v>775.9466666666666</v>
      </c>
      <c r="P1254" s="16">
        <v>13.297777777777778</v>
      </c>
      <c r="Q1254" s="17">
        <v>775.94666666666672</v>
      </c>
    </row>
    <row r="1255" spans="1:17" x14ac:dyDescent="0.25">
      <c r="A1255" s="20" t="s">
        <v>353</v>
      </c>
      <c r="B1255" s="14">
        <v>9</v>
      </c>
      <c r="C1255" s="6" t="s">
        <v>329</v>
      </c>
      <c r="D1255" s="17">
        <v>4</v>
      </c>
      <c r="E1255" s="6" t="s">
        <v>355</v>
      </c>
      <c r="F1255" s="6" t="s">
        <v>321</v>
      </c>
      <c r="G1255" s="19">
        <v>2</v>
      </c>
      <c r="H1255" s="6">
        <v>5</v>
      </c>
      <c r="I1255" s="6" t="s">
        <v>330</v>
      </c>
      <c r="J1255" s="6" t="s">
        <v>1673</v>
      </c>
      <c r="K1255" s="6" t="s">
        <v>1673</v>
      </c>
      <c r="L1255" s="6" t="s">
        <v>1673</v>
      </c>
      <c r="M1255" s="15" t="s">
        <v>1673</v>
      </c>
      <c r="N1255" s="16" t="s">
        <v>1673</v>
      </c>
      <c r="O1255" s="17" t="s">
        <v>1673</v>
      </c>
      <c r="P1255" s="16" t="s">
        <v>1673</v>
      </c>
      <c r="Q1255" s="17" t="s">
        <v>1673</v>
      </c>
    </row>
    <row r="1256" spans="1:17" x14ac:dyDescent="0.25">
      <c r="A1256" s="20" t="s">
        <v>353</v>
      </c>
      <c r="B1256" s="14">
        <v>9</v>
      </c>
      <c r="C1256" s="6" t="s">
        <v>329</v>
      </c>
      <c r="D1256" s="17">
        <v>4</v>
      </c>
      <c r="E1256" s="6" t="s">
        <v>355</v>
      </c>
      <c r="F1256" s="6" t="s">
        <v>322</v>
      </c>
      <c r="G1256" s="19">
        <v>3</v>
      </c>
      <c r="H1256" s="6">
        <v>5</v>
      </c>
      <c r="I1256" s="6" t="s">
        <v>339</v>
      </c>
      <c r="J1256" s="20">
        <v>0.97</v>
      </c>
      <c r="K1256" s="20">
        <v>44.59</v>
      </c>
      <c r="L1256" s="6">
        <v>0</v>
      </c>
      <c r="M1256" s="15">
        <v>3.7333333333333336E-2</v>
      </c>
      <c r="N1256" s="16">
        <v>18.106666666666669</v>
      </c>
      <c r="O1256" s="17">
        <v>832.34666666666681</v>
      </c>
      <c r="P1256" s="16">
        <v>18.106666666666669</v>
      </c>
      <c r="Q1256" s="17">
        <v>832.34666666666681</v>
      </c>
    </row>
    <row r="1257" spans="1:17" x14ac:dyDescent="0.25">
      <c r="A1257" s="20" t="s">
        <v>353</v>
      </c>
      <c r="B1257" s="14">
        <v>9</v>
      </c>
      <c r="C1257" s="6" t="s">
        <v>329</v>
      </c>
      <c r="D1257" s="17">
        <v>4</v>
      </c>
      <c r="E1257" s="6" t="s">
        <v>355</v>
      </c>
      <c r="F1257" s="6" t="s">
        <v>322</v>
      </c>
      <c r="G1257" s="19">
        <v>3</v>
      </c>
      <c r="H1257" s="6">
        <v>5</v>
      </c>
      <c r="I1257" s="6" t="s">
        <v>330</v>
      </c>
      <c r="J1257" s="6" t="s">
        <v>1673</v>
      </c>
      <c r="K1257" s="6" t="s">
        <v>1673</v>
      </c>
      <c r="L1257" s="6" t="s">
        <v>1673</v>
      </c>
      <c r="M1257" s="15" t="s">
        <v>1673</v>
      </c>
      <c r="N1257" s="16" t="s">
        <v>1673</v>
      </c>
      <c r="O1257" s="17" t="s">
        <v>1673</v>
      </c>
      <c r="P1257" s="16" t="s">
        <v>1673</v>
      </c>
      <c r="Q1257" s="17" t="s">
        <v>1673</v>
      </c>
    </row>
    <row r="1258" spans="1:17" x14ac:dyDescent="0.25">
      <c r="A1258" s="20" t="s">
        <v>353</v>
      </c>
      <c r="B1258" s="14">
        <v>9</v>
      </c>
      <c r="C1258" s="6" t="s">
        <v>329</v>
      </c>
      <c r="D1258" s="17">
        <v>4</v>
      </c>
      <c r="E1258" s="6" t="s">
        <v>355</v>
      </c>
      <c r="F1258" s="6" t="s">
        <v>335</v>
      </c>
      <c r="G1258" s="19">
        <v>4</v>
      </c>
      <c r="H1258" s="6">
        <v>5</v>
      </c>
      <c r="I1258" s="6" t="s">
        <v>339</v>
      </c>
      <c r="J1258" s="20">
        <v>1.07</v>
      </c>
      <c r="K1258" s="20">
        <v>44.268000000000001</v>
      </c>
      <c r="L1258" s="6">
        <v>0</v>
      </c>
      <c r="M1258" s="15">
        <v>3.8571428571428576E-2</v>
      </c>
      <c r="N1258" s="16">
        <v>20.635714285714293</v>
      </c>
      <c r="O1258" s="17">
        <v>853.74000000000012</v>
      </c>
      <c r="P1258" s="16">
        <v>20.635714285714293</v>
      </c>
      <c r="Q1258" s="17">
        <v>853.74</v>
      </c>
    </row>
    <row r="1259" spans="1:17" x14ac:dyDescent="0.25">
      <c r="A1259" s="20" t="s">
        <v>353</v>
      </c>
      <c r="B1259" s="14">
        <v>9</v>
      </c>
      <c r="C1259" s="6" t="s">
        <v>329</v>
      </c>
      <c r="D1259" s="17">
        <v>4</v>
      </c>
      <c r="E1259" s="6" t="s">
        <v>355</v>
      </c>
      <c r="F1259" s="6" t="s">
        <v>335</v>
      </c>
      <c r="G1259" s="19">
        <v>4</v>
      </c>
      <c r="H1259" s="6">
        <v>5</v>
      </c>
      <c r="I1259" s="6" t="s">
        <v>330</v>
      </c>
      <c r="J1259" s="6" t="s">
        <v>1673</v>
      </c>
      <c r="K1259" s="6" t="s">
        <v>1673</v>
      </c>
      <c r="L1259" s="6" t="s">
        <v>1673</v>
      </c>
      <c r="M1259" s="15" t="s">
        <v>1673</v>
      </c>
      <c r="N1259" s="16" t="s">
        <v>1673</v>
      </c>
      <c r="O1259" s="17" t="s">
        <v>1673</v>
      </c>
      <c r="P1259" s="16" t="s">
        <v>1673</v>
      </c>
      <c r="Q1259" s="17" t="s">
        <v>1673</v>
      </c>
    </row>
    <row r="1260" spans="1:17" x14ac:dyDescent="0.25">
      <c r="A1260" s="20" t="s">
        <v>353</v>
      </c>
      <c r="B1260" s="14">
        <v>9</v>
      </c>
      <c r="C1260" s="6" t="s">
        <v>329</v>
      </c>
      <c r="D1260" s="17">
        <v>5</v>
      </c>
      <c r="E1260" s="6" t="s">
        <v>316</v>
      </c>
      <c r="F1260" s="6" t="s">
        <v>317</v>
      </c>
      <c r="G1260" s="18">
        <v>0</v>
      </c>
      <c r="H1260" s="6">
        <v>1</v>
      </c>
      <c r="I1260" s="6" t="s">
        <v>339</v>
      </c>
      <c r="J1260" s="20">
        <v>0.79</v>
      </c>
      <c r="K1260" s="20">
        <v>42.871000000000002</v>
      </c>
      <c r="L1260" s="6">
        <v>0</v>
      </c>
      <c r="M1260" s="15">
        <v>1.9047619047619049E-2</v>
      </c>
      <c r="N1260" s="16">
        <v>1.504761904761905</v>
      </c>
      <c r="O1260" s="17">
        <v>81.659047619047627</v>
      </c>
      <c r="P1260" s="16">
        <v>1.504761904761905</v>
      </c>
      <c r="Q1260" s="17">
        <v>81.659047619047627</v>
      </c>
    </row>
    <row r="1261" spans="1:17" x14ac:dyDescent="0.25">
      <c r="A1261" s="20" t="s">
        <v>353</v>
      </c>
      <c r="B1261" s="14">
        <v>9</v>
      </c>
      <c r="C1261" s="6" t="s">
        <v>329</v>
      </c>
      <c r="D1261" s="17">
        <v>5</v>
      </c>
      <c r="E1261" s="6" t="s">
        <v>316</v>
      </c>
      <c r="F1261" s="6" t="s">
        <v>317</v>
      </c>
      <c r="G1261" s="18">
        <v>0</v>
      </c>
      <c r="H1261" s="6">
        <v>1</v>
      </c>
      <c r="I1261" s="6" t="s">
        <v>330</v>
      </c>
      <c r="J1261" s="6" t="s">
        <v>1673</v>
      </c>
      <c r="K1261" s="6" t="s">
        <v>1673</v>
      </c>
      <c r="L1261" s="6" t="s">
        <v>1673</v>
      </c>
      <c r="M1261" s="15" t="s">
        <v>1673</v>
      </c>
      <c r="N1261" s="16" t="s">
        <v>1673</v>
      </c>
      <c r="O1261" s="17" t="s">
        <v>1673</v>
      </c>
      <c r="P1261" s="16" t="s">
        <v>1673</v>
      </c>
      <c r="Q1261" s="17" t="s">
        <v>1673</v>
      </c>
    </row>
    <row r="1262" spans="1:17" x14ac:dyDescent="0.25">
      <c r="A1262" s="20" t="s">
        <v>353</v>
      </c>
      <c r="B1262" s="14">
        <v>9</v>
      </c>
      <c r="C1262" s="6" t="s">
        <v>329</v>
      </c>
      <c r="D1262" s="17">
        <v>5</v>
      </c>
      <c r="E1262" s="6" t="s">
        <v>355</v>
      </c>
      <c r="F1262" s="6" t="s">
        <v>320</v>
      </c>
      <c r="G1262" s="19">
        <v>1</v>
      </c>
      <c r="H1262" s="6">
        <v>5</v>
      </c>
      <c r="I1262" s="6" t="s">
        <v>339</v>
      </c>
      <c r="J1262" s="20">
        <v>0.76200000000000001</v>
      </c>
      <c r="K1262" s="20">
        <v>43.052999999999997</v>
      </c>
      <c r="L1262" s="6">
        <v>0</v>
      </c>
      <c r="M1262" s="15">
        <v>2.5384615384615384E-2</v>
      </c>
      <c r="N1262" s="16">
        <v>9.6715384615384625</v>
      </c>
      <c r="O1262" s="17">
        <v>546.4419230769231</v>
      </c>
      <c r="P1262" s="16">
        <v>9.6715384615384608</v>
      </c>
      <c r="Q1262" s="17">
        <v>546.44192307692299</v>
      </c>
    </row>
    <row r="1263" spans="1:17" x14ac:dyDescent="0.25">
      <c r="A1263" s="20" t="s">
        <v>353</v>
      </c>
      <c r="B1263" s="14">
        <v>9</v>
      </c>
      <c r="C1263" s="6" t="s">
        <v>329</v>
      </c>
      <c r="D1263" s="17">
        <v>5</v>
      </c>
      <c r="E1263" s="6" t="s">
        <v>355</v>
      </c>
      <c r="F1263" s="6" t="s">
        <v>320</v>
      </c>
      <c r="G1263" s="19">
        <v>1</v>
      </c>
      <c r="H1263" s="6">
        <v>5</v>
      </c>
      <c r="I1263" s="6" t="s">
        <v>330</v>
      </c>
      <c r="J1263" s="6" t="s">
        <v>1673</v>
      </c>
      <c r="K1263" s="6" t="s">
        <v>1673</v>
      </c>
      <c r="L1263" s="6" t="s">
        <v>1673</v>
      </c>
      <c r="M1263" s="15" t="s">
        <v>1673</v>
      </c>
      <c r="N1263" s="16" t="s">
        <v>1673</v>
      </c>
      <c r="O1263" s="17" t="s">
        <v>1673</v>
      </c>
      <c r="P1263" s="16" t="s">
        <v>1673</v>
      </c>
      <c r="Q1263" s="17" t="s">
        <v>1673</v>
      </c>
    </row>
    <row r="1264" spans="1:17" x14ac:dyDescent="0.25">
      <c r="A1264" s="20" t="s">
        <v>353</v>
      </c>
      <c r="B1264" s="14">
        <v>9</v>
      </c>
      <c r="C1264" s="6" t="s">
        <v>329</v>
      </c>
      <c r="D1264" s="17">
        <v>5</v>
      </c>
      <c r="E1264" s="6" t="s">
        <v>355</v>
      </c>
      <c r="F1264" s="6" t="s">
        <v>321</v>
      </c>
      <c r="G1264" s="19">
        <v>2</v>
      </c>
      <c r="H1264" s="6">
        <v>5</v>
      </c>
      <c r="I1264" s="6" t="s">
        <v>339</v>
      </c>
      <c r="J1264" s="20">
        <v>0.77700000000000002</v>
      </c>
      <c r="K1264" s="20">
        <v>42.27</v>
      </c>
      <c r="L1264" s="6">
        <v>0</v>
      </c>
      <c r="M1264" s="15">
        <v>5.1428571428571428E-2</v>
      </c>
      <c r="N1264" s="16">
        <v>19.979999999999997</v>
      </c>
      <c r="O1264" s="17">
        <v>1086.9428571428571</v>
      </c>
      <c r="P1264" s="16">
        <v>19.979999999999997</v>
      </c>
      <c r="Q1264" s="17">
        <v>1086.9428571428571</v>
      </c>
    </row>
    <row r="1265" spans="1:17" x14ac:dyDescent="0.25">
      <c r="A1265" s="20" t="s">
        <v>353</v>
      </c>
      <c r="B1265" s="14">
        <v>9</v>
      </c>
      <c r="C1265" s="6" t="s">
        <v>329</v>
      </c>
      <c r="D1265" s="17">
        <v>5</v>
      </c>
      <c r="E1265" s="6" t="s">
        <v>355</v>
      </c>
      <c r="F1265" s="6" t="s">
        <v>321</v>
      </c>
      <c r="G1265" s="19">
        <v>2</v>
      </c>
      <c r="H1265" s="6">
        <v>5</v>
      </c>
      <c r="I1265" s="6" t="s">
        <v>330</v>
      </c>
      <c r="J1265" s="6" t="s">
        <v>1673</v>
      </c>
      <c r="K1265" s="6" t="s">
        <v>1673</v>
      </c>
      <c r="L1265" s="6" t="s">
        <v>1673</v>
      </c>
      <c r="M1265" s="15" t="s">
        <v>1673</v>
      </c>
      <c r="N1265" s="16" t="s">
        <v>1673</v>
      </c>
      <c r="O1265" s="17" t="s">
        <v>1673</v>
      </c>
      <c r="P1265" s="16" t="s">
        <v>1673</v>
      </c>
      <c r="Q1265" s="17" t="s">
        <v>1673</v>
      </c>
    </row>
    <row r="1266" spans="1:17" x14ac:dyDescent="0.25">
      <c r="A1266" s="20" t="s">
        <v>353</v>
      </c>
      <c r="B1266" s="14">
        <v>9</v>
      </c>
      <c r="C1266" s="6" t="s">
        <v>329</v>
      </c>
      <c r="D1266" s="17">
        <v>5</v>
      </c>
      <c r="E1266" s="6" t="s">
        <v>355</v>
      </c>
      <c r="F1266" s="6" t="s">
        <v>322</v>
      </c>
      <c r="G1266" s="19">
        <v>3</v>
      </c>
      <c r="H1266" s="6">
        <v>3</v>
      </c>
      <c r="I1266" s="6" t="s">
        <v>339</v>
      </c>
      <c r="J1266" s="20">
        <v>0.94199999999999995</v>
      </c>
      <c r="K1266" s="20">
        <v>41.741999999999997</v>
      </c>
      <c r="L1266" s="6">
        <v>0</v>
      </c>
      <c r="M1266" s="15">
        <v>7.0512820512820512E-2</v>
      </c>
      <c r="N1266" s="16">
        <v>19.926923076923075</v>
      </c>
      <c r="O1266" s="17">
        <v>883.00384615384598</v>
      </c>
      <c r="P1266" s="16">
        <v>33.21153846153846</v>
      </c>
      <c r="Q1266" s="17">
        <v>1471.6730769230769</v>
      </c>
    </row>
    <row r="1267" spans="1:17" x14ac:dyDescent="0.25">
      <c r="A1267" s="20" t="s">
        <v>353</v>
      </c>
      <c r="B1267" s="14">
        <v>9</v>
      </c>
      <c r="C1267" s="6" t="s">
        <v>329</v>
      </c>
      <c r="D1267" s="17">
        <v>5</v>
      </c>
      <c r="E1267" s="6" t="s">
        <v>355</v>
      </c>
      <c r="F1267" s="6" t="s">
        <v>322</v>
      </c>
      <c r="G1267" s="19">
        <v>3</v>
      </c>
      <c r="H1267" s="6">
        <v>3</v>
      </c>
      <c r="I1267" s="6" t="s">
        <v>330</v>
      </c>
      <c r="J1267" s="6" t="s">
        <v>1673</v>
      </c>
      <c r="K1267" s="6" t="s">
        <v>1673</v>
      </c>
      <c r="L1267" s="6" t="s">
        <v>1673</v>
      </c>
      <c r="M1267" s="15" t="s">
        <v>1673</v>
      </c>
      <c r="N1267" s="16" t="s">
        <v>1673</v>
      </c>
      <c r="O1267" s="17" t="s">
        <v>1673</v>
      </c>
      <c r="P1267" s="16" t="s">
        <v>1673</v>
      </c>
      <c r="Q1267" s="17" t="s">
        <v>1673</v>
      </c>
    </row>
    <row r="1268" spans="1:17" x14ac:dyDescent="0.25">
      <c r="A1268" s="20" t="s">
        <v>353</v>
      </c>
      <c r="B1268" s="6">
        <v>10</v>
      </c>
      <c r="C1268" s="6">
        <v>108</v>
      </c>
      <c r="D1268" s="6">
        <v>2</v>
      </c>
      <c r="E1268" s="6" t="s">
        <v>316</v>
      </c>
      <c r="F1268" s="21" t="s">
        <v>317</v>
      </c>
      <c r="G1268" s="18">
        <v>0</v>
      </c>
      <c r="H1268" s="6">
        <v>1</v>
      </c>
      <c r="I1268" s="6" t="s">
        <v>318</v>
      </c>
      <c r="J1268" s="20">
        <v>0.90800000000000003</v>
      </c>
      <c r="K1268" s="20">
        <v>45.654000000000003</v>
      </c>
      <c r="L1268" s="6">
        <v>0</v>
      </c>
      <c r="M1268" s="15">
        <v>1.6256684491978611E-2</v>
      </c>
      <c r="N1268" s="16">
        <v>1.4761069518716579</v>
      </c>
      <c r="O1268" s="17">
        <v>74.218267379679162</v>
      </c>
      <c r="P1268" s="16">
        <v>1.4761069518716579</v>
      </c>
      <c r="Q1268" s="17">
        <v>74.218267379679162</v>
      </c>
    </row>
    <row r="1269" spans="1:17" x14ac:dyDescent="0.25">
      <c r="A1269" s="20" t="s">
        <v>353</v>
      </c>
      <c r="B1269" s="6">
        <v>10</v>
      </c>
      <c r="C1269" s="6">
        <v>108</v>
      </c>
      <c r="D1269" s="6">
        <v>2</v>
      </c>
      <c r="E1269" s="6" t="s">
        <v>316</v>
      </c>
      <c r="F1269" s="21" t="s">
        <v>317</v>
      </c>
      <c r="G1269" s="18">
        <v>0</v>
      </c>
      <c r="H1269" s="6">
        <v>1</v>
      </c>
      <c r="I1269" s="6" t="s">
        <v>319</v>
      </c>
      <c r="J1269" s="6" t="s">
        <v>1673</v>
      </c>
      <c r="K1269" s="6" t="s">
        <v>1673</v>
      </c>
      <c r="L1269" s="6" t="s">
        <v>1673</v>
      </c>
      <c r="M1269" s="15" t="s">
        <v>1673</v>
      </c>
      <c r="N1269" s="16" t="s">
        <v>1673</v>
      </c>
      <c r="O1269" s="17" t="s">
        <v>1673</v>
      </c>
      <c r="P1269" s="16" t="s">
        <v>1673</v>
      </c>
      <c r="Q1269" s="17" t="s">
        <v>1673</v>
      </c>
    </row>
    <row r="1270" spans="1:17" x14ac:dyDescent="0.25">
      <c r="A1270" s="20" t="s">
        <v>353</v>
      </c>
      <c r="B1270" s="6">
        <v>10</v>
      </c>
      <c r="C1270" s="6">
        <v>108</v>
      </c>
      <c r="D1270" s="6">
        <v>2</v>
      </c>
      <c r="E1270" s="6" t="s">
        <v>355</v>
      </c>
      <c r="F1270" s="14" t="s">
        <v>320</v>
      </c>
      <c r="G1270" s="18">
        <v>1</v>
      </c>
      <c r="H1270" s="6">
        <v>5</v>
      </c>
      <c r="I1270" s="6" t="s">
        <v>318</v>
      </c>
      <c r="J1270" s="20">
        <v>0.96799999999999997</v>
      </c>
      <c r="K1270" s="20">
        <v>43.64</v>
      </c>
      <c r="L1270" s="6">
        <v>0</v>
      </c>
      <c r="M1270" s="15">
        <v>7.0777777777777773E-2</v>
      </c>
      <c r="N1270" s="16">
        <v>34.25644444444444</v>
      </c>
      <c r="O1270" s="17">
        <v>1544.3711111111111</v>
      </c>
      <c r="P1270" s="16">
        <v>34.25644444444444</v>
      </c>
      <c r="Q1270" s="17">
        <v>1544.3711111111111</v>
      </c>
    </row>
    <row r="1271" spans="1:17" x14ac:dyDescent="0.25">
      <c r="A1271" s="20" t="s">
        <v>353</v>
      </c>
      <c r="B1271" s="6">
        <v>10</v>
      </c>
      <c r="C1271" s="6">
        <v>108</v>
      </c>
      <c r="D1271" s="6">
        <v>2</v>
      </c>
      <c r="E1271" s="6" t="s">
        <v>355</v>
      </c>
      <c r="F1271" s="14" t="s">
        <v>320</v>
      </c>
      <c r="G1271" s="18">
        <v>1</v>
      </c>
      <c r="H1271" s="6">
        <v>5</v>
      </c>
      <c r="I1271" s="6" t="s">
        <v>319</v>
      </c>
      <c r="J1271" s="6" t="s">
        <v>1673</v>
      </c>
      <c r="K1271" s="6" t="s">
        <v>1673</v>
      </c>
      <c r="L1271" s="6" t="s">
        <v>1673</v>
      </c>
      <c r="M1271" s="15" t="s">
        <v>1673</v>
      </c>
      <c r="N1271" s="16" t="s">
        <v>1673</v>
      </c>
      <c r="O1271" s="17" t="s">
        <v>1673</v>
      </c>
      <c r="P1271" s="16" t="s">
        <v>1673</v>
      </c>
      <c r="Q1271" s="17" t="s">
        <v>1673</v>
      </c>
    </row>
    <row r="1272" spans="1:17" x14ac:dyDescent="0.25">
      <c r="A1272" s="20" t="s">
        <v>353</v>
      </c>
      <c r="B1272" s="6">
        <v>10</v>
      </c>
      <c r="C1272" s="6">
        <v>108</v>
      </c>
      <c r="D1272" s="6">
        <v>2</v>
      </c>
      <c r="E1272" s="6" t="s">
        <v>355</v>
      </c>
      <c r="F1272" s="14" t="s">
        <v>321</v>
      </c>
      <c r="G1272" s="18">
        <v>2</v>
      </c>
      <c r="H1272" s="6">
        <v>5</v>
      </c>
      <c r="I1272" s="6" t="s">
        <v>318</v>
      </c>
      <c r="J1272" s="20">
        <v>1.3360000000000001</v>
      </c>
      <c r="K1272" s="20">
        <v>43.305</v>
      </c>
      <c r="L1272" s="6">
        <v>0</v>
      </c>
      <c r="M1272" s="15">
        <v>7.2294117647058814E-2</v>
      </c>
      <c r="N1272" s="16">
        <v>48.29247058823529</v>
      </c>
      <c r="O1272" s="17">
        <v>1565.3483823529411</v>
      </c>
      <c r="P1272" s="16">
        <v>48.292470588235297</v>
      </c>
      <c r="Q1272" s="17">
        <v>1565.3483823529409</v>
      </c>
    </row>
    <row r="1273" spans="1:17" x14ac:dyDescent="0.25">
      <c r="A1273" s="20" t="s">
        <v>353</v>
      </c>
      <c r="B1273" s="6">
        <v>10</v>
      </c>
      <c r="C1273" s="6">
        <v>108</v>
      </c>
      <c r="D1273" s="6">
        <v>2</v>
      </c>
      <c r="E1273" s="6" t="s">
        <v>355</v>
      </c>
      <c r="F1273" s="14" t="s">
        <v>321</v>
      </c>
      <c r="G1273" s="18">
        <v>2</v>
      </c>
      <c r="H1273" s="6">
        <v>5</v>
      </c>
      <c r="I1273" s="6" t="s">
        <v>319</v>
      </c>
      <c r="J1273" s="20">
        <v>0.54800000000000004</v>
      </c>
      <c r="K1273" s="20">
        <v>48.502000000000002</v>
      </c>
      <c r="L1273" s="6">
        <v>0</v>
      </c>
      <c r="M1273" s="15">
        <v>3.529411764705882E-3</v>
      </c>
      <c r="N1273" s="16">
        <v>0.96705882352941164</v>
      </c>
      <c r="O1273" s="17">
        <v>85.591764705882341</v>
      </c>
      <c r="P1273" s="16">
        <v>0.96705882352941186</v>
      </c>
      <c r="Q1273" s="17">
        <v>85.591764705882355</v>
      </c>
    </row>
    <row r="1274" spans="1:17" x14ac:dyDescent="0.25">
      <c r="A1274" s="20" t="s">
        <v>353</v>
      </c>
      <c r="B1274" s="6">
        <v>10</v>
      </c>
      <c r="C1274" s="6">
        <v>108</v>
      </c>
      <c r="D1274" s="6">
        <v>2</v>
      </c>
      <c r="E1274" s="6" t="s">
        <v>355</v>
      </c>
      <c r="F1274" s="14" t="s">
        <v>322</v>
      </c>
      <c r="G1274" s="18">
        <v>3</v>
      </c>
      <c r="H1274" s="6">
        <v>5</v>
      </c>
      <c r="I1274" s="6" t="s">
        <v>318</v>
      </c>
      <c r="J1274" s="20">
        <v>1.629</v>
      </c>
      <c r="K1274" s="20">
        <v>42.676000000000002</v>
      </c>
      <c r="L1274" s="6">
        <v>0</v>
      </c>
      <c r="M1274" s="15">
        <v>9.0357142857142858E-2</v>
      </c>
      <c r="N1274" s="16">
        <v>73.595892857142857</v>
      </c>
      <c r="O1274" s="17">
        <v>1928.0407142857146</v>
      </c>
      <c r="P1274" s="16">
        <v>73.595892857142857</v>
      </c>
      <c r="Q1274" s="17">
        <v>1928.0407142857143</v>
      </c>
    </row>
    <row r="1275" spans="1:17" x14ac:dyDescent="0.25">
      <c r="A1275" s="20" t="s">
        <v>353</v>
      </c>
      <c r="B1275" s="6">
        <v>10</v>
      </c>
      <c r="C1275" s="6">
        <v>108</v>
      </c>
      <c r="D1275" s="6">
        <v>2</v>
      </c>
      <c r="E1275" s="6" t="s">
        <v>355</v>
      </c>
      <c r="F1275" s="14" t="s">
        <v>322</v>
      </c>
      <c r="G1275" s="18">
        <v>3</v>
      </c>
      <c r="H1275" s="6">
        <v>5</v>
      </c>
      <c r="I1275" s="6" t="s">
        <v>319</v>
      </c>
      <c r="J1275" s="20">
        <v>0.55100000000000005</v>
      </c>
      <c r="K1275" s="20">
        <v>49.472999999999999</v>
      </c>
      <c r="L1275" s="6">
        <v>0</v>
      </c>
      <c r="M1275" s="15">
        <v>2E-3</v>
      </c>
      <c r="N1275" s="16">
        <v>0.55100000000000005</v>
      </c>
      <c r="O1275" s="17">
        <v>49.472999999999999</v>
      </c>
      <c r="P1275" s="16">
        <v>0.55100000000000005</v>
      </c>
      <c r="Q1275" s="17">
        <v>49.472999999999999</v>
      </c>
    </row>
    <row r="1276" spans="1:17" x14ac:dyDescent="0.25">
      <c r="A1276" s="20" t="s">
        <v>353</v>
      </c>
      <c r="B1276" s="6">
        <v>10</v>
      </c>
      <c r="C1276" s="6">
        <v>108</v>
      </c>
      <c r="D1276" s="6">
        <v>2</v>
      </c>
      <c r="E1276" s="6" t="s">
        <v>355</v>
      </c>
      <c r="F1276" s="14" t="s">
        <v>324</v>
      </c>
      <c r="G1276" s="18">
        <v>4</v>
      </c>
      <c r="H1276" s="6">
        <v>5</v>
      </c>
      <c r="I1276" s="6" t="s">
        <v>318</v>
      </c>
      <c r="J1276" s="20">
        <v>2.1160000000000001</v>
      </c>
      <c r="K1276" s="20">
        <v>43.912999999999997</v>
      </c>
      <c r="L1276" s="6">
        <v>0</v>
      </c>
      <c r="M1276" s="15">
        <v>0.10979591836734694</v>
      </c>
      <c r="N1276" s="16">
        <v>116.16408163265307</v>
      </c>
      <c r="O1276" s="17">
        <v>2410.7340816326528</v>
      </c>
      <c r="P1276" s="16">
        <v>116.16408163265308</v>
      </c>
      <c r="Q1276" s="17">
        <v>2410.7340816326523</v>
      </c>
    </row>
    <row r="1277" spans="1:17" x14ac:dyDescent="0.25">
      <c r="A1277" s="20" t="s">
        <v>353</v>
      </c>
      <c r="B1277" s="6">
        <v>10</v>
      </c>
      <c r="C1277" s="6">
        <v>108</v>
      </c>
      <c r="D1277" s="6">
        <v>2</v>
      </c>
      <c r="E1277" s="6" t="s">
        <v>355</v>
      </c>
      <c r="F1277" s="14" t="s">
        <v>324</v>
      </c>
      <c r="G1277" s="18">
        <v>4</v>
      </c>
      <c r="H1277" s="6">
        <v>5</v>
      </c>
      <c r="I1277" s="6" t="s">
        <v>319</v>
      </c>
      <c r="J1277" s="20">
        <v>0.435</v>
      </c>
      <c r="K1277" s="20">
        <v>48.247999999999998</v>
      </c>
      <c r="L1277" s="6">
        <v>0</v>
      </c>
      <c r="M1277" s="15">
        <v>3.2653061224489796E-4</v>
      </c>
      <c r="N1277" s="16">
        <v>7.1020408163265297E-2</v>
      </c>
      <c r="O1277" s="17">
        <v>7.8772244897959176</v>
      </c>
      <c r="P1277" s="16">
        <v>7.1020408163265297E-2</v>
      </c>
      <c r="Q1277" s="17">
        <v>7.8772244897959185</v>
      </c>
    </row>
    <row r="1278" spans="1:17" x14ac:dyDescent="0.25">
      <c r="A1278" s="20" t="s">
        <v>353</v>
      </c>
      <c r="B1278" s="6">
        <v>10</v>
      </c>
      <c r="C1278" s="6">
        <v>108</v>
      </c>
      <c r="D1278" s="6">
        <v>2</v>
      </c>
      <c r="E1278" s="6" t="s">
        <v>355</v>
      </c>
      <c r="F1278" s="14" t="s">
        <v>325</v>
      </c>
      <c r="G1278" s="18">
        <v>5</v>
      </c>
      <c r="H1278" s="6">
        <v>5</v>
      </c>
      <c r="I1278" s="6" t="s">
        <v>318</v>
      </c>
      <c r="J1278" s="20">
        <v>2.5489999999999999</v>
      </c>
      <c r="K1278" s="20">
        <v>43.537999999999997</v>
      </c>
      <c r="L1278" s="6">
        <v>0</v>
      </c>
      <c r="M1278" s="15">
        <v>0.15410989010989012</v>
      </c>
      <c r="N1278" s="16">
        <v>196.41305494505497</v>
      </c>
      <c r="O1278" s="17">
        <v>3354.818197802198</v>
      </c>
      <c r="P1278" s="16">
        <v>196.41305494505494</v>
      </c>
      <c r="Q1278" s="17">
        <v>3354.818197802198</v>
      </c>
    </row>
    <row r="1279" spans="1:17" x14ac:dyDescent="0.25">
      <c r="A1279" s="20" t="s">
        <v>353</v>
      </c>
      <c r="B1279" s="6">
        <v>10</v>
      </c>
      <c r="C1279" s="6">
        <v>108</v>
      </c>
      <c r="D1279" s="6">
        <v>2</v>
      </c>
      <c r="E1279" s="6" t="s">
        <v>355</v>
      </c>
      <c r="F1279" s="14" t="s">
        <v>325</v>
      </c>
      <c r="G1279" s="18">
        <v>5</v>
      </c>
      <c r="H1279" s="6">
        <v>5</v>
      </c>
      <c r="I1279" s="6" t="s">
        <v>319</v>
      </c>
      <c r="J1279" s="6" t="s">
        <v>1673</v>
      </c>
      <c r="K1279" s="6" t="s">
        <v>1673</v>
      </c>
      <c r="L1279" s="6" t="s">
        <v>1673</v>
      </c>
      <c r="M1279" s="15" t="s">
        <v>1673</v>
      </c>
      <c r="N1279" s="16" t="s">
        <v>1673</v>
      </c>
      <c r="O1279" s="17" t="s">
        <v>1673</v>
      </c>
      <c r="P1279" s="16" t="s">
        <v>1673</v>
      </c>
      <c r="Q1279" s="17" t="s">
        <v>1673</v>
      </c>
    </row>
    <row r="1280" spans="1:17" x14ac:dyDescent="0.25">
      <c r="A1280" s="20" t="s">
        <v>353</v>
      </c>
      <c r="B1280" s="6">
        <v>10</v>
      </c>
      <c r="C1280" s="6">
        <v>108</v>
      </c>
      <c r="D1280" s="6">
        <v>2</v>
      </c>
      <c r="E1280" s="6" t="s">
        <v>355</v>
      </c>
      <c r="F1280" s="14" t="s">
        <v>326</v>
      </c>
      <c r="G1280" s="18">
        <v>6</v>
      </c>
      <c r="H1280" s="6">
        <v>5</v>
      </c>
      <c r="I1280" s="6" t="s">
        <v>318</v>
      </c>
      <c r="J1280" s="20">
        <v>2.7509999999999999</v>
      </c>
      <c r="K1280" s="20">
        <v>43.906999999999996</v>
      </c>
      <c r="L1280" s="6">
        <v>0</v>
      </c>
      <c r="M1280" s="15">
        <v>0.18011111111111111</v>
      </c>
      <c r="N1280" s="16">
        <v>247.74283333333332</v>
      </c>
      <c r="O1280" s="17">
        <v>3954.0692777777772</v>
      </c>
      <c r="P1280" s="16">
        <v>247.74283333333335</v>
      </c>
      <c r="Q1280" s="17">
        <v>3954.0692777777776</v>
      </c>
    </row>
    <row r="1281" spans="1:17" x14ac:dyDescent="0.25">
      <c r="A1281" s="20" t="s">
        <v>353</v>
      </c>
      <c r="B1281" s="6">
        <v>10</v>
      </c>
      <c r="C1281" s="6">
        <v>108</v>
      </c>
      <c r="D1281" s="6">
        <v>2</v>
      </c>
      <c r="E1281" s="6" t="s">
        <v>355</v>
      </c>
      <c r="F1281" s="14" t="s">
        <v>326</v>
      </c>
      <c r="G1281" s="18">
        <v>6</v>
      </c>
      <c r="H1281" s="6">
        <v>5</v>
      </c>
      <c r="I1281" s="6" t="s">
        <v>319</v>
      </c>
      <c r="J1281" s="6" t="s">
        <v>1673</v>
      </c>
      <c r="K1281" s="6" t="s">
        <v>1673</v>
      </c>
      <c r="L1281" s="6" t="s">
        <v>1673</v>
      </c>
      <c r="M1281" s="15" t="s">
        <v>1673</v>
      </c>
      <c r="N1281" s="16" t="s">
        <v>1673</v>
      </c>
      <c r="O1281" s="17" t="s">
        <v>1673</v>
      </c>
      <c r="P1281" s="16" t="s">
        <v>1673</v>
      </c>
      <c r="Q1281" s="17" t="s">
        <v>1673</v>
      </c>
    </row>
    <row r="1282" spans="1:17" x14ac:dyDescent="0.25">
      <c r="A1282" s="20" t="s">
        <v>353</v>
      </c>
      <c r="B1282" s="6">
        <v>10</v>
      </c>
      <c r="C1282" s="6">
        <v>108</v>
      </c>
      <c r="D1282" s="6">
        <v>2</v>
      </c>
      <c r="E1282" s="6" t="s">
        <v>355</v>
      </c>
      <c r="F1282" s="6" t="s">
        <v>327</v>
      </c>
      <c r="G1282" s="19">
        <v>7</v>
      </c>
      <c r="H1282" s="6">
        <v>5</v>
      </c>
      <c r="I1282" s="6" t="s">
        <v>318</v>
      </c>
      <c r="J1282" s="20">
        <v>2.8260000000000001</v>
      </c>
      <c r="K1282" s="20">
        <v>43.671999999999997</v>
      </c>
      <c r="L1282" s="6">
        <v>0</v>
      </c>
      <c r="M1282" s="15">
        <v>9.1466666666666668E-2</v>
      </c>
      <c r="N1282" s="16">
        <v>129.2424</v>
      </c>
      <c r="O1282" s="17">
        <v>1997.2661333333333</v>
      </c>
      <c r="P1282" s="16">
        <v>129.2424</v>
      </c>
      <c r="Q1282" s="17">
        <v>1997.2661333333335</v>
      </c>
    </row>
    <row r="1283" spans="1:17" x14ac:dyDescent="0.25">
      <c r="A1283" s="20" t="s">
        <v>353</v>
      </c>
      <c r="B1283" s="6">
        <v>10</v>
      </c>
      <c r="C1283" s="6">
        <v>108</v>
      </c>
      <c r="D1283" s="6">
        <v>2</v>
      </c>
      <c r="E1283" s="6" t="s">
        <v>355</v>
      </c>
      <c r="F1283" s="6" t="s">
        <v>327</v>
      </c>
      <c r="G1283" s="19">
        <v>7</v>
      </c>
      <c r="H1283" s="6">
        <v>1.5</v>
      </c>
      <c r="I1283" s="6" t="s">
        <v>319</v>
      </c>
      <c r="J1283" s="6" t="s">
        <v>1673</v>
      </c>
      <c r="K1283" s="6" t="s">
        <v>1673</v>
      </c>
      <c r="L1283" s="6" t="s">
        <v>1673</v>
      </c>
      <c r="M1283" s="15" t="s">
        <v>1673</v>
      </c>
      <c r="N1283" s="16" t="s">
        <v>1673</v>
      </c>
      <c r="O1283" s="17" t="s">
        <v>1673</v>
      </c>
      <c r="P1283" s="16" t="s">
        <v>1673</v>
      </c>
      <c r="Q1283" s="17" t="s">
        <v>1673</v>
      </c>
    </row>
    <row r="1284" spans="1:17" x14ac:dyDescent="0.25">
      <c r="A1284" s="20" t="s">
        <v>353</v>
      </c>
      <c r="B1284" s="6">
        <v>10</v>
      </c>
      <c r="C1284" s="6">
        <v>108</v>
      </c>
      <c r="D1284" s="6">
        <v>4</v>
      </c>
      <c r="E1284" s="6" t="s">
        <v>316</v>
      </c>
      <c r="F1284" s="21" t="s">
        <v>317</v>
      </c>
      <c r="G1284" s="18">
        <v>0</v>
      </c>
      <c r="H1284" s="6">
        <v>2</v>
      </c>
      <c r="I1284" s="6" t="s">
        <v>318</v>
      </c>
      <c r="J1284" s="20">
        <v>0.88</v>
      </c>
      <c r="K1284" s="20">
        <v>44.509</v>
      </c>
      <c r="L1284" s="6">
        <v>0</v>
      </c>
      <c r="M1284" s="15">
        <v>2.1333333333333333E-2</v>
      </c>
      <c r="N1284" s="16">
        <v>3.7546666666666666</v>
      </c>
      <c r="O1284" s="17">
        <v>189.90506666666664</v>
      </c>
      <c r="P1284" s="16">
        <v>3.7546666666666666</v>
      </c>
      <c r="Q1284" s="17">
        <v>189.90506666666664</v>
      </c>
    </row>
    <row r="1285" spans="1:17" x14ac:dyDescent="0.25">
      <c r="A1285" s="20" t="s">
        <v>353</v>
      </c>
      <c r="B1285" s="6">
        <v>10</v>
      </c>
      <c r="C1285" s="6">
        <v>108</v>
      </c>
      <c r="D1285" s="6">
        <v>4</v>
      </c>
      <c r="E1285" s="6" t="s">
        <v>316</v>
      </c>
      <c r="F1285" s="21" t="s">
        <v>317</v>
      </c>
      <c r="G1285" s="18">
        <v>0</v>
      </c>
      <c r="H1285" s="6">
        <v>2</v>
      </c>
      <c r="I1285" s="6" t="s">
        <v>319</v>
      </c>
      <c r="J1285" s="6" t="s">
        <v>1673</v>
      </c>
      <c r="K1285" s="6" t="s">
        <v>1673</v>
      </c>
      <c r="L1285" s="6" t="s">
        <v>1673</v>
      </c>
      <c r="M1285" s="15" t="s">
        <v>1673</v>
      </c>
      <c r="N1285" s="16" t="s">
        <v>1673</v>
      </c>
      <c r="O1285" s="17" t="s">
        <v>1673</v>
      </c>
      <c r="P1285" s="16" t="s">
        <v>1673</v>
      </c>
      <c r="Q1285" s="17" t="s">
        <v>1673</v>
      </c>
    </row>
    <row r="1286" spans="1:17" x14ac:dyDescent="0.25">
      <c r="A1286" s="20" t="s">
        <v>353</v>
      </c>
      <c r="B1286" s="6">
        <v>10</v>
      </c>
      <c r="C1286" s="6">
        <v>108</v>
      </c>
      <c r="D1286" s="6">
        <v>4</v>
      </c>
      <c r="E1286" s="6" t="s">
        <v>355</v>
      </c>
      <c r="F1286" s="14" t="s">
        <v>320</v>
      </c>
      <c r="G1286" s="18">
        <v>1</v>
      </c>
      <c r="H1286" s="6">
        <v>5</v>
      </c>
      <c r="I1286" s="6" t="s">
        <v>318</v>
      </c>
      <c r="J1286" s="20">
        <v>0.86499999999999999</v>
      </c>
      <c r="K1286" s="20">
        <v>43.89</v>
      </c>
      <c r="L1286" s="6">
        <v>0</v>
      </c>
      <c r="M1286" s="15">
        <v>5.3925925925925926E-2</v>
      </c>
      <c r="N1286" s="16">
        <v>23.322962962962961</v>
      </c>
      <c r="O1286" s="17">
        <v>1183.4044444444444</v>
      </c>
      <c r="P1286" s="16">
        <v>23.322962962962958</v>
      </c>
      <c r="Q1286" s="17">
        <v>1183.4044444444446</v>
      </c>
    </row>
    <row r="1287" spans="1:17" x14ac:dyDescent="0.25">
      <c r="A1287" s="20" t="s">
        <v>353</v>
      </c>
      <c r="B1287" s="6">
        <v>10</v>
      </c>
      <c r="C1287" s="6">
        <v>108</v>
      </c>
      <c r="D1287" s="6">
        <v>4</v>
      </c>
      <c r="E1287" s="6" t="s">
        <v>355</v>
      </c>
      <c r="F1287" s="14" t="s">
        <v>320</v>
      </c>
      <c r="G1287" s="18">
        <v>1</v>
      </c>
      <c r="H1287" s="6">
        <v>5</v>
      </c>
      <c r="I1287" s="6" t="s">
        <v>319</v>
      </c>
      <c r="J1287" s="6" t="s">
        <v>1673</v>
      </c>
      <c r="K1287" s="6" t="s">
        <v>1673</v>
      </c>
      <c r="L1287" s="6" t="s">
        <v>1673</v>
      </c>
      <c r="M1287" s="15" t="s">
        <v>1673</v>
      </c>
      <c r="N1287" s="16" t="s">
        <v>1673</v>
      </c>
      <c r="O1287" s="17" t="s">
        <v>1673</v>
      </c>
      <c r="P1287" s="16" t="s">
        <v>1673</v>
      </c>
      <c r="Q1287" s="17" t="s">
        <v>1673</v>
      </c>
    </row>
    <row r="1288" spans="1:17" x14ac:dyDescent="0.25">
      <c r="A1288" s="20" t="s">
        <v>353</v>
      </c>
      <c r="B1288" s="6">
        <v>10</v>
      </c>
      <c r="C1288" s="6">
        <v>108</v>
      </c>
      <c r="D1288" s="6">
        <v>4</v>
      </c>
      <c r="E1288" s="6" t="s">
        <v>355</v>
      </c>
      <c r="F1288" s="14" t="s">
        <v>321</v>
      </c>
      <c r="G1288" s="18">
        <v>2</v>
      </c>
      <c r="H1288" s="6">
        <v>5</v>
      </c>
      <c r="I1288" s="6" t="s">
        <v>318</v>
      </c>
      <c r="J1288" s="20">
        <v>0.93100000000000005</v>
      </c>
      <c r="K1288" s="20">
        <v>44.747</v>
      </c>
      <c r="L1288" s="6">
        <v>0</v>
      </c>
      <c r="M1288" s="15">
        <v>5.5833333333333339E-2</v>
      </c>
      <c r="N1288" s="16">
        <v>25.990416666666672</v>
      </c>
      <c r="O1288" s="17">
        <v>1249.1870833333335</v>
      </c>
      <c r="P1288" s="16">
        <v>25.990416666666672</v>
      </c>
      <c r="Q1288" s="17">
        <v>1249.1870833333335</v>
      </c>
    </row>
    <row r="1289" spans="1:17" x14ac:dyDescent="0.25">
      <c r="A1289" s="20" t="s">
        <v>353</v>
      </c>
      <c r="B1289" s="6">
        <v>10</v>
      </c>
      <c r="C1289" s="6">
        <v>108</v>
      </c>
      <c r="D1289" s="6">
        <v>4</v>
      </c>
      <c r="E1289" s="6" t="s">
        <v>355</v>
      </c>
      <c r="F1289" s="14" t="s">
        <v>321</v>
      </c>
      <c r="G1289" s="18">
        <v>2</v>
      </c>
      <c r="H1289" s="6">
        <v>5</v>
      </c>
      <c r="I1289" s="6" t="s">
        <v>319</v>
      </c>
      <c r="J1289" s="20">
        <v>0.63700000000000001</v>
      </c>
      <c r="K1289" s="20">
        <v>51.192</v>
      </c>
      <c r="L1289" s="6">
        <v>0</v>
      </c>
      <c r="M1289" s="15">
        <v>6.111111111111111E-4</v>
      </c>
      <c r="N1289" s="16">
        <v>0.19463888888888886</v>
      </c>
      <c r="O1289" s="17">
        <v>15.641999999999999</v>
      </c>
      <c r="P1289" s="16">
        <v>0.19463888888888886</v>
      </c>
      <c r="Q1289" s="17">
        <v>15.641999999999999</v>
      </c>
    </row>
    <row r="1290" spans="1:17" x14ac:dyDescent="0.25">
      <c r="A1290" s="20" t="s">
        <v>353</v>
      </c>
      <c r="B1290" s="6">
        <v>10</v>
      </c>
      <c r="C1290" s="6">
        <v>108</v>
      </c>
      <c r="D1290" s="6">
        <v>4</v>
      </c>
      <c r="E1290" s="6" t="s">
        <v>355</v>
      </c>
      <c r="F1290" s="14" t="s">
        <v>322</v>
      </c>
      <c r="G1290" s="18">
        <v>3</v>
      </c>
      <c r="H1290" s="6">
        <v>5</v>
      </c>
      <c r="I1290" s="6" t="s">
        <v>318</v>
      </c>
      <c r="J1290" s="20">
        <v>1.837</v>
      </c>
      <c r="K1290" s="20">
        <v>43.939</v>
      </c>
      <c r="L1290" s="6">
        <v>0</v>
      </c>
      <c r="M1290" s="15">
        <v>9.3562500000000007E-2</v>
      </c>
      <c r="N1290" s="16">
        <v>85.937156250000015</v>
      </c>
      <c r="O1290" s="17">
        <v>2055.5213437500006</v>
      </c>
      <c r="P1290" s="16">
        <v>85.937156250000015</v>
      </c>
      <c r="Q1290" s="17">
        <v>2055.5213437500001</v>
      </c>
    </row>
    <row r="1291" spans="1:17" x14ac:dyDescent="0.25">
      <c r="A1291" s="20" t="s">
        <v>353</v>
      </c>
      <c r="B1291" s="6">
        <v>10</v>
      </c>
      <c r="C1291" s="6">
        <v>108</v>
      </c>
      <c r="D1291" s="6">
        <v>4</v>
      </c>
      <c r="E1291" s="6" t="s">
        <v>355</v>
      </c>
      <c r="F1291" s="14" t="s">
        <v>322</v>
      </c>
      <c r="G1291" s="18">
        <v>3</v>
      </c>
      <c r="H1291" s="6">
        <v>5</v>
      </c>
      <c r="I1291" s="6" t="s">
        <v>319</v>
      </c>
      <c r="J1291" s="20">
        <v>0.501</v>
      </c>
      <c r="K1291" s="20">
        <v>48.872</v>
      </c>
      <c r="L1291" s="6">
        <v>0</v>
      </c>
      <c r="M1291" s="15">
        <v>5.3749999999999996E-3</v>
      </c>
      <c r="N1291" s="16">
        <v>1.3464374999999997</v>
      </c>
      <c r="O1291" s="17">
        <v>131.34349999999998</v>
      </c>
      <c r="P1291" s="16">
        <v>1.3464374999999997</v>
      </c>
      <c r="Q1291" s="17">
        <v>131.34350000000001</v>
      </c>
    </row>
    <row r="1292" spans="1:17" x14ac:dyDescent="0.25">
      <c r="A1292" s="20" t="s">
        <v>353</v>
      </c>
      <c r="B1292" s="6">
        <v>10</v>
      </c>
      <c r="C1292" s="6">
        <v>108</v>
      </c>
      <c r="D1292" s="6">
        <v>4</v>
      </c>
      <c r="E1292" s="6" t="s">
        <v>355</v>
      </c>
      <c r="F1292" s="14" t="s">
        <v>324</v>
      </c>
      <c r="G1292" s="18">
        <v>4</v>
      </c>
      <c r="H1292" s="6">
        <v>5</v>
      </c>
      <c r="I1292" s="6" t="s">
        <v>318</v>
      </c>
      <c r="J1292" s="20">
        <v>1.835</v>
      </c>
      <c r="K1292" s="20">
        <v>42.527999999999999</v>
      </c>
      <c r="L1292" s="6">
        <v>0</v>
      </c>
      <c r="M1292" s="15">
        <v>9.523076923076923E-2</v>
      </c>
      <c r="N1292" s="16">
        <v>87.374230769230749</v>
      </c>
      <c r="O1292" s="17">
        <v>2024.9870769230768</v>
      </c>
      <c r="P1292" s="16">
        <v>87.374230769230763</v>
      </c>
      <c r="Q1292" s="17">
        <v>2024.9870769230768</v>
      </c>
    </row>
    <row r="1293" spans="1:17" x14ac:dyDescent="0.25">
      <c r="A1293" s="20" t="s">
        <v>353</v>
      </c>
      <c r="B1293" s="6">
        <v>10</v>
      </c>
      <c r="C1293" s="6">
        <v>108</v>
      </c>
      <c r="D1293" s="6">
        <v>4</v>
      </c>
      <c r="E1293" s="6" t="s">
        <v>355</v>
      </c>
      <c r="F1293" s="14" t="s">
        <v>324</v>
      </c>
      <c r="G1293" s="18">
        <v>4</v>
      </c>
      <c r="H1293" s="6">
        <v>5</v>
      </c>
      <c r="I1293" s="6" t="s">
        <v>319</v>
      </c>
      <c r="J1293" s="20">
        <v>1.4730000000000001</v>
      </c>
      <c r="K1293" s="20">
        <v>49.186999999999998</v>
      </c>
      <c r="L1293" s="6">
        <v>0</v>
      </c>
      <c r="M1293" s="15">
        <v>1.3076923076923079E-3</v>
      </c>
      <c r="N1293" s="16">
        <v>0.9631153846153846</v>
      </c>
      <c r="O1293" s="17">
        <v>32.160730769230767</v>
      </c>
      <c r="P1293" s="16">
        <v>0.96311538461538482</v>
      </c>
      <c r="Q1293" s="17">
        <v>32.160730769230774</v>
      </c>
    </row>
    <row r="1294" spans="1:17" x14ac:dyDescent="0.25">
      <c r="A1294" s="20" t="s">
        <v>353</v>
      </c>
      <c r="B1294" s="6">
        <v>10</v>
      </c>
      <c r="C1294" s="6">
        <v>108</v>
      </c>
      <c r="D1294" s="6">
        <v>4</v>
      </c>
      <c r="E1294" s="6" t="s">
        <v>355</v>
      </c>
      <c r="F1294" s="14" t="s">
        <v>325</v>
      </c>
      <c r="G1294" s="18">
        <v>5</v>
      </c>
      <c r="H1294" s="6">
        <v>5</v>
      </c>
      <c r="I1294" s="6" t="s">
        <v>318</v>
      </c>
      <c r="J1294" s="20">
        <v>1.8720000000000001</v>
      </c>
      <c r="K1294" s="20">
        <v>42.662999999999997</v>
      </c>
      <c r="L1294" s="6">
        <v>0</v>
      </c>
      <c r="M1294" s="15">
        <v>0.10653968253968255</v>
      </c>
      <c r="N1294" s="16">
        <v>99.721142857142866</v>
      </c>
      <c r="O1294" s="17">
        <v>2272.6512380952381</v>
      </c>
      <c r="P1294" s="16">
        <v>99.721142857142866</v>
      </c>
      <c r="Q1294" s="17">
        <v>2272.6512380952381</v>
      </c>
    </row>
    <row r="1295" spans="1:17" x14ac:dyDescent="0.25">
      <c r="A1295" s="20" t="s">
        <v>353</v>
      </c>
      <c r="B1295" s="6">
        <v>10</v>
      </c>
      <c r="C1295" s="6">
        <v>108</v>
      </c>
      <c r="D1295" s="6">
        <v>4</v>
      </c>
      <c r="E1295" s="6" t="s">
        <v>355</v>
      </c>
      <c r="F1295" s="14" t="s">
        <v>325</v>
      </c>
      <c r="G1295" s="18">
        <v>5</v>
      </c>
      <c r="H1295" s="6">
        <v>5</v>
      </c>
      <c r="I1295" s="6" t="s">
        <v>319</v>
      </c>
      <c r="J1295" s="6" t="s">
        <v>1673</v>
      </c>
      <c r="K1295" s="6" t="s">
        <v>1673</v>
      </c>
      <c r="L1295" s="6" t="s">
        <v>1673</v>
      </c>
      <c r="M1295" s="15" t="s">
        <v>1673</v>
      </c>
      <c r="N1295" s="16" t="s">
        <v>1673</v>
      </c>
      <c r="O1295" s="17" t="s">
        <v>1673</v>
      </c>
      <c r="P1295" s="16" t="s">
        <v>1673</v>
      </c>
      <c r="Q1295" s="17" t="s">
        <v>1673</v>
      </c>
    </row>
    <row r="1296" spans="1:17" x14ac:dyDescent="0.25">
      <c r="A1296" s="20" t="s">
        <v>353</v>
      </c>
      <c r="B1296" s="6">
        <v>10</v>
      </c>
      <c r="C1296" s="6">
        <v>108</v>
      </c>
      <c r="D1296" s="6">
        <v>4</v>
      </c>
      <c r="E1296" s="6" t="s">
        <v>355</v>
      </c>
      <c r="F1296" s="14" t="s">
        <v>326</v>
      </c>
      <c r="G1296" s="18">
        <v>6</v>
      </c>
      <c r="H1296" s="6">
        <v>5</v>
      </c>
      <c r="I1296" s="6" t="s">
        <v>318</v>
      </c>
      <c r="J1296" s="20">
        <v>2.415</v>
      </c>
      <c r="K1296" s="20">
        <v>44.561</v>
      </c>
      <c r="L1296" s="6">
        <v>0</v>
      </c>
      <c r="M1296" s="15">
        <v>0.16</v>
      </c>
      <c r="N1296" s="16">
        <v>193.20000000000002</v>
      </c>
      <c r="O1296" s="17">
        <v>3564.88</v>
      </c>
      <c r="P1296" s="16">
        <v>193.20000000000005</v>
      </c>
      <c r="Q1296" s="17">
        <v>3564.88</v>
      </c>
    </row>
    <row r="1297" spans="1:17" x14ac:dyDescent="0.25">
      <c r="A1297" s="20" t="s">
        <v>353</v>
      </c>
      <c r="B1297" s="6">
        <v>10</v>
      </c>
      <c r="C1297" s="6">
        <v>108</v>
      </c>
      <c r="D1297" s="6">
        <v>4</v>
      </c>
      <c r="E1297" s="6" t="s">
        <v>355</v>
      </c>
      <c r="F1297" s="14" t="s">
        <v>326</v>
      </c>
      <c r="G1297" s="18">
        <v>6</v>
      </c>
      <c r="H1297" s="6">
        <v>5</v>
      </c>
      <c r="I1297" s="6" t="s">
        <v>319</v>
      </c>
      <c r="J1297" s="6" t="s">
        <v>1673</v>
      </c>
      <c r="K1297" s="6" t="s">
        <v>1673</v>
      </c>
      <c r="L1297" s="6" t="s">
        <v>1673</v>
      </c>
      <c r="M1297" s="15" t="s">
        <v>1673</v>
      </c>
      <c r="N1297" s="16" t="s">
        <v>1673</v>
      </c>
      <c r="O1297" s="17" t="s">
        <v>1673</v>
      </c>
      <c r="P1297" s="16" t="s">
        <v>1673</v>
      </c>
      <c r="Q1297" s="17" t="s">
        <v>1673</v>
      </c>
    </row>
    <row r="1298" spans="1:17" x14ac:dyDescent="0.25">
      <c r="A1298" s="20" t="s">
        <v>353</v>
      </c>
      <c r="B1298" s="6">
        <v>10</v>
      </c>
      <c r="C1298" s="6">
        <v>108</v>
      </c>
      <c r="D1298" s="6">
        <v>4</v>
      </c>
      <c r="E1298" s="6" t="s">
        <v>355</v>
      </c>
      <c r="F1298" s="6" t="s">
        <v>327</v>
      </c>
      <c r="G1298" s="19">
        <v>7</v>
      </c>
      <c r="H1298" s="6">
        <v>4.666666666666667</v>
      </c>
      <c r="I1298" s="6" t="s">
        <v>318</v>
      </c>
      <c r="J1298" s="20">
        <v>2.0880000000000001</v>
      </c>
      <c r="K1298" s="20">
        <v>36.75</v>
      </c>
      <c r="L1298" s="6">
        <v>0</v>
      </c>
      <c r="M1298" s="15">
        <v>0.19881261595547306</v>
      </c>
      <c r="N1298" s="16">
        <v>193.72301298701294</v>
      </c>
      <c r="O1298" s="17">
        <v>3409.6363636363631</v>
      </c>
      <c r="P1298" s="16">
        <v>207.56037105751389</v>
      </c>
      <c r="Q1298" s="17">
        <v>3653.1818181818171</v>
      </c>
    </row>
    <row r="1299" spans="1:17" x14ac:dyDescent="0.25">
      <c r="A1299" s="20" t="s">
        <v>353</v>
      </c>
      <c r="B1299" s="6">
        <v>10</v>
      </c>
      <c r="C1299" s="6">
        <v>108</v>
      </c>
      <c r="D1299" s="6">
        <v>4</v>
      </c>
      <c r="E1299" s="6" t="s">
        <v>355</v>
      </c>
      <c r="F1299" s="6" t="s">
        <v>327</v>
      </c>
      <c r="G1299" s="19">
        <v>7</v>
      </c>
      <c r="H1299" s="6">
        <v>4.666666666666667</v>
      </c>
      <c r="I1299" s="6" t="s">
        <v>319</v>
      </c>
      <c r="J1299" s="6" t="s">
        <v>1673</v>
      </c>
      <c r="K1299" s="6" t="s">
        <v>1673</v>
      </c>
      <c r="L1299" s="6" t="s">
        <v>1673</v>
      </c>
      <c r="M1299" s="15" t="s">
        <v>1673</v>
      </c>
      <c r="N1299" s="16" t="s">
        <v>1673</v>
      </c>
      <c r="O1299" s="17" t="s">
        <v>1673</v>
      </c>
      <c r="P1299" s="16" t="s">
        <v>1673</v>
      </c>
      <c r="Q1299" s="17" t="s">
        <v>1673</v>
      </c>
    </row>
    <row r="1300" spans="1:17" x14ac:dyDescent="0.25">
      <c r="A1300" s="20" t="s">
        <v>353</v>
      </c>
      <c r="B1300" s="6">
        <v>10</v>
      </c>
      <c r="C1300" s="6">
        <v>108</v>
      </c>
      <c r="D1300" s="17">
        <v>1</v>
      </c>
      <c r="E1300" s="6" t="s">
        <v>316</v>
      </c>
      <c r="F1300" s="6" t="s">
        <v>317</v>
      </c>
      <c r="G1300" s="18">
        <v>0</v>
      </c>
      <c r="H1300" s="6">
        <v>8</v>
      </c>
      <c r="I1300" s="6" t="s">
        <v>339</v>
      </c>
      <c r="J1300" s="20">
        <v>0.67</v>
      </c>
      <c r="K1300" s="20">
        <v>43.307000000000002</v>
      </c>
      <c r="L1300" s="6">
        <v>0</v>
      </c>
      <c r="M1300" s="15">
        <v>1.2032085561497326E-2</v>
      </c>
      <c r="N1300" s="16">
        <v>6.4491978609625669</v>
      </c>
      <c r="O1300" s="17">
        <v>416.85882352941172</v>
      </c>
      <c r="P1300" s="16">
        <v>6.4491978609625669</v>
      </c>
      <c r="Q1300" s="17">
        <v>416.85882352941172</v>
      </c>
    </row>
    <row r="1301" spans="1:17" x14ac:dyDescent="0.25">
      <c r="A1301" s="20" t="s">
        <v>353</v>
      </c>
      <c r="B1301" s="6">
        <v>10</v>
      </c>
      <c r="C1301" s="6">
        <v>108</v>
      </c>
      <c r="D1301" s="17">
        <v>1</v>
      </c>
      <c r="E1301" s="6" t="s">
        <v>316</v>
      </c>
      <c r="F1301" s="6" t="s">
        <v>317</v>
      </c>
      <c r="G1301" s="18">
        <v>0</v>
      </c>
      <c r="H1301" s="6">
        <v>8</v>
      </c>
      <c r="I1301" s="6" t="s">
        <v>330</v>
      </c>
      <c r="J1301" s="6" t="s">
        <v>1673</v>
      </c>
      <c r="K1301" s="6" t="s">
        <v>1673</v>
      </c>
      <c r="L1301" s="6" t="s">
        <v>1673</v>
      </c>
      <c r="M1301" s="15" t="s">
        <v>1673</v>
      </c>
      <c r="N1301" s="16" t="s">
        <v>1673</v>
      </c>
      <c r="O1301" s="17" t="s">
        <v>1673</v>
      </c>
      <c r="P1301" s="16" t="s">
        <v>1673</v>
      </c>
      <c r="Q1301" s="17" t="s">
        <v>1673</v>
      </c>
    </row>
    <row r="1302" spans="1:17" x14ac:dyDescent="0.25">
      <c r="A1302" s="20" t="s">
        <v>353</v>
      </c>
      <c r="B1302" s="6">
        <v>10</v>
      </c>
      <c r="C1302" s="6">
        <v>108</v>
      </c>
      <c r="D1302" s="17">
        <v>1</v>
      </c>
      <c r="E1302" s="6" t="s">
        <v>355</v>
      </c>
      <c r="F1302" s="6" t="s">
        <v>320</v>
      </c>
      <c r="G1302" s="19">
        <v>1</v>
      </c>
      <c r="H1302" s="6">
        <v>5</v>
      </c>
      <c r="I1302" s="6" t="s">
        <v>339</v>
      </c>
      <c r="J1302" s="20">
        <v>0.49399999999999999</v>
      </c>
      <c r="K1302" s="20">
        <v>43.015999999999998</v>
      </c>
      <c r="L1302" s="6">
        <v>0</v>
      </c>
      <c r="M1302" s="15">
        <v>2.7294117647058823E-2</v>
      </c>
      <c r="N1302" s="16">
        <v>6.7416470588235295</v>
      </c>
      <c r="O1302" s="17">
        <v>587.04188235294123</v>
      </c>
      <c r="P1302" s="16">
        <v>6.7416470588235295</v>
      </c>
      <c r="Q1302" s="17">
        <v>587.04188235294112</v>
      </c>
    </row>
    <row r="1303" spans="1:17" x14ac:dyDescent="0.25">
      <c r="A1303" s="20" t="s">
        <v>353</v>
      </c>
      <c r="B1303" s="6">
        <v>10</v>
      </c>
      <c r="C1303" s="6">
        <v>108</v>
      </c>
      <c r="D1303" s="17">
        <v>1</v>
      </c>
      <c r="E1303" s="6" t="s">
        <v>355</v>
      </c>
      <c r="F1303" s="6" t="s">
        <v>320</v>
      </c>
      <c r="G1303" s="19">
        <v>1</v>
      </c>
      <c r="H1303" s="6">
        <v>5</v>
      </c>
      <c r="I1303" s="6" t="s">
        <v>330</v>
      </c>
      <c r="J1303" s="20">
        <v>0.46500000000000002</v>
      </c>
      <c r="K1303" s="20">
        <v>49.848999999999997</v>
      </c>
      <c r="L1303" s="6">
        <v>0</v>
      </c>
      <c r="M1303" s="15">
        <v>4.7058823529411766E-4</v>
      </c>
      <c r="N1303" s="16">
        <v>0.10941176470588238</v>
      </c>
      <c r="O1303" s="17">
        <v>11.729176470588236</v>
      </c>
      <c r="P1303" s="16">
        <v>0.10941176470588238</v>
      </c>
      <c r="Q1303" s="17">
        <v>11.729176470588236</v>
      </c>
    </row>
    <row r="1304" spans="1:17" x14ac:dyDescent="0.25">
      <c r="A1304" s="20" t="s">
        <v>353</v>
      </c>
      <c r="B1304" s="6">
        <v>10</v>
      </c>
      <c r="C1304" s="6">
        <v>108</v>
      </c>
      <c r="D1304" s="17">
        <v>1</v>
      </c>
      <c r="E1304" s="6" t="s">
        <v>355</v>
      </c>
      <c r="F1304" s="6" t="s">
        <v>321</v>
      </c>
      <c r="G1304" s="19">
        <v>2</v>
      </c>
      <c r="H1304" s="6">
        <v>5</v>
      </c>
      <c r="I1304" s="6" t="s">
        <v>339</v>
      </c>
      <c r="J1304" s="20">
        <v>0.52700000000000002</v>
      </c>
      <c r="K1304" s="20">
        <v>42.814999999999998</v>
      </c>
      <c r="L1304" s="6">
        <v>0</v>
      </c>
      <c r="M1304" s="15">
        <v>2.6000000000000002E-2</v>
      </c>
      <c r="N1304" s="16">
        <v>6.8510000000000009</v>
      </c>
      <c r="O1304" s="17">
        <v>556.59499999999991</v>
      </c>
      <c r="P1304" s="16">
        <v>6.8510000000000009</v>
      </c>
      <c r="Q1304" s="17">
        <v>556.59500000000003</v>
      </c>
    </row>
    <row r="1305" spans="1:17" x14ac:dyDescent="0.25">
      <c r="A1305" s="20" t="s">
        <v>353</v>
      </c>
      <c r="B1305" s="6">
        <v>10</v>
      </c>
      <c r="C1305" s="6">
        <v>108</v>
      </c>
      <c r="D1305" s="17">
        <v>1</v>
      </c>
      <c r="E1305" s="6" t="s">
        <v>355</v>
      </c>
      <c r="F1305" s="6" t="s">
        <v>321</v>
      </c>
      <c r="G1305" s="19">
        <v>2</v>
      </c>
      <c r="H1305" s="6">
        <v>5</v>
      </c>
      <c r="I1305" s="6" t="s">
        <v>330</v>
      </c>
      <c r="J1305" s="6" t="s">
        <v>1673</v>
      </c>
      <c r="K1305" s="6" t="s">
        <v>1673</v>
      </c>
      <c r="L1305" s="6" t="s">
        <v>1673</v>
      </c>
      <c r="M1305" s="15" t="s">
        <v>1673</v>
      </c>
      <c r="N1305" s="16" t="s">
        <v>1673</v>
      </c>
      <c r="O1305" s="17" t="s">
        <v>1673</v>
      </c>
      <c r="P1305" s="16" t="s">
        <v>1673</v>
      </c>
      <c r="Q1305" s="17" t="s">
        <v>1673</v>
      </c>
    </row>
    <row r="1306" spans="1:17" x14ac:dyDescent="0.25">
      <c r="A1306" s="20" t="s">
        <v>353</v>
      </c>
      <c r="B1306" s="6">
        <v>10</v>
      </c>
      <c r="C1306" s="6">
        <v>108</v>
      </c>
      <c r="D1306" s="17">
        <v>1</v>
      </c>
      <c r="E1306" s="6" t="s">
        <v>355</v>
      </c>
      <c r="F1306" s="6" t="s">
        <v>322</v>
      </c>
      <c r="G1306" s="19">
        <v>3</v>
      </c>
      <c r="H1306" s="6">
        <v>5</v>
      </c>
      <c r="I1306" s="6" t="s">
        <v>339</v>
      </c>
      <c r="J1306" s="20">
        <v>0.70699999999999996</v>
      </c>
      <c r="K1306" s="20">
        <v>43.341999999999999</v>
      </c>
      <c r="L1306" s="6">
        <v>0</v>
      </c>
      <c r="M1306" s="15">
        <v>3.7999999999999999E-2</v>
      </c>
      <c r="N1306" s="16">
        <v>13.433</v>
      </c>
      <c r="O1306" s="17">
        <v>823.49799999999993</v>
      </c>
      <c r="P1306" s="16">
        <v>13.433</v>
      </c>
      <c r="Q1306" s="17">
        <v>823.49800000000005</v>
      </c>
    </row>
    <row r="1307" spans="1:17" x14ac:dyDescent="0.25">
      <c r="A1307" s="20" t="s">
        <v>353</v>
      </c>
      <c r="B1307" s="6">
        <v>10</v>
      </c>
      <c r="C1307" s="6">
        <v>108</v>
      </c>
      <c r="D1307" s="17">
        <v>1</v>
      </c>
      <c r="E1307" s="6" t="s">
        <v>355</v>
      </c>
      <c r="F1307" s="6" t="s">
        <v>322</v>
      </c>
      <c r="G1307" s="19">
        <v>3</v>
      </c>
      <c r="H1307" s="6">
        <v>5</v>
      </c>
      <c r="I1307" s="6" t="s">
        <v>330</v>
      </c>
      <c r="J1307" s="20">
        <v>0.66300000000000003</v>
      </c>
      <c r="K1307" s="20">
        <v>51.511000000000003</v>
      </c>
      <c r="L1307" s="6">
        <v>0</v>
      </c>
      <c r="M1307" s="15">
        <v>4.5000000000000005E-3</v>
      </c>
      <c r="N1307" s="16">
        <v>1.4917500000000004</v>
      </c>
      <c r="O1307" s="17">
        <v>115.89975000000003</v>
      </c>
      <c r="P1307" s="16">
        <v>1.4917500000000004</v>
      </c>
      <c r="Q1307" s="17">
        <v>115.89975000000003</v>
      </c>
    </row>
    <row r="1308" spans="1:17" x14ac:dyDescent="0.25">
      <c r="A1308" s="20" t="s">
        <v>353</v>
      </c>
      <c r="B1308" s="6">
        <v>10</v>
      </c>
      <c r="C1308" s="6">
        <v>108</v>
      </c>
      <c r="D1308" s="17">
        <v>1</v>
      </c>
      <c r="E1308" s="6" t="s">
        <v>355</v>
      </c>
      <c r="F1308" s="6" t="s">
        <v>335</v>
      </c>
      <c r="G1308" s="19">
        <v>4</v>
      </c>
      <c r="H1308" s="6">
        <v>5</v>
      </c>
      <c r="I1308" s="6" t="s">
        <v>339</v>
      </c>
      <c r="J1308" s="20">
        <v>0.95899999999999996</v>
      </c>
      <c r="K1308" s="20">
        <v>42.511000000000003</v>
      </c>
      <c r="L1308" s="6">
        <v>0</v>
      </c>
      <c r="M1308" s="15">
        <v>4.5499999999999999E-2</v>
      </c>
      <c r="N1308" s="16">
        <v>21.817249999999998</v>
      </c>
      <c r="O1308" s="17">
        <v>967.12525000000005</v>
      </c>
      <c r="P1308" s="16">
        <v>21.817249999999998</v>
      </c>
      <c r="Q1308" s="17">
        <v>967.12524999999994</v>
      </c>
    </row>
    <row r="1309" spans="1:17" x14ac:dyDescent="0.25">
      <c r="A1309" s="20" t="s">
        <v>353</v>
      </c>
      <c r="B1309" s="6">
        <v>10</v>
      </c>
      <c r="C1309" s="6">
        <v>108</v>
      </c>
      <c r="D1309" s="17">
        <v>1</v>
      </c>
      <c r="E1309" s="6" t="s">
        <v>355</v>
      </c>
      <c r="F1309" s="6" t="s">
        <v>335</v>
      </c>
      <c r="G1309" s="19">
        <v>4</v>
      </c>
      <c r="H1309" s="6">
        <v>5</v>
      </c>
      <c r="I1309" s="6" t="s">
        <v>330</v>
      </c>
      <c r="J1309" s="20">
        <v>0.58799999999999997</v>
      </c>
      <c r="K1309" s="20">
        <v>47.826000000000001</v>
      </c>
      <c r="L1309" s="6">
        <v>0</v>
      </c>
      <c r="M1309" s="15">
        <v>6.5000000000000006E-3</v>
      </c>
      <c r="N1309" s="16">
        <v>1.911</v>
      </c>
      <c r="O1309" s="17">
        <v>155.43450000000001</v>
      </c>
      <c r="P1309" s="16">
        <v>1.911</v>
      </c>
      <c r="Q1309" s="17">
        <v>155.43450000000001</v>
      </c>
    </row>
    <row r="1310" spans="1:17" x14ac:dyDescent="0.25">
      <c r="A1310" s="20" t="s">
        <v>353</v>
      </c>
      <c r="B1310" s="6">
        <v>10</v>
      </c>
      <c r="C1310" s="6">
        <v>108</v>
      </c>
      <c r="D1310" s="17">
        <v>1</v>
      </c>
      <c r="E1310" s="6" t="s">
        <v>355</v>
      </c>
      <c r="F1310" s="6" t="s">
        <v>341</v>
      </c>
      <c r="G1310" s="19">
        <v>5</v>
      </c>
      <c r="H1310" s="6">
        <v>5</v>
      </c>
      <c r="I1310" s="6" t="s">
        <v>339</v>
      </c>
      <c r="J1310" s="20">
        <v>1.0249999999999999</v>
      </c>
      <c r="K1310" s="20">
        <v>41.140999999999998</v>
      </c>
      <c r="L1310" s="6">
        <v>0</v>
      </c>
      <c r="M1310" s="15">
        <v>6.6250000000000003E-2</v>
      </c>
      <c r="N1310" s="16">
        <v>33.953124999999993</v>
      </c>
      <c r="O1310" s="17">
        <v>1362.795625</v>
      </c>
      <c r="P1310" s="16">
        <v>33.953125</v>
      </c>
      <c r="Q1310" s="17">
        <v>1362.795625</v>
      </c>
    </row>
    <row r="1311" spans="1:17" x14ac:dyDescent="0.25">
      <c r="A1311" s="20" t="s">
        <v>353</v>
      </c>
      <c r="B1311" s="6">
        <v>10</v>
      </c>
      <c r="C1311" s="6">
        <v>108</v>
      </c>
      <c r="D1311" s="17">
        <v>1</v>
      </c>
      <c r="E1311" s="6" t="s">
        <v>355</v>
      </c>
      <c r="F1311" s="6" t="s">
        <v>341</v>
      </c>
      <c r="G1311" s="19">
        <v>5</v>
      </c>
      <c r="H1311" s="6">
        <v>5</v>
      </c>
      <c r="I1311" s="6" t="s">
        <v>330</v>
      </c>
      <c r="J1311" s="6" t="s">
        <v>1673</v>
      </c>
      <c r="K1311" s="6" t="s">
        <v>1673</v>
      </c>
      <c r="L1311" s="6" t="s">
        <v>1673</v>
      </c>
      <c r="M1311" s="15" t="s">
        <v>1673</v>
      </c>
      <c r="N1311" s="16" t="s">
        <v>1673</v>
      </c>
      <c r="O1311" s="17" t="s">
        <v>1673</v>
      </c>
      <c r="P1311" s="16" t="s">
        <v>1673</v>
      </c>
      <c r="Q1311" s="17" t="s">
        <v>1673</v>
      </c>
    </row>
    <row r="1312" spans="1:17" x14ac:dyDescent="0.25">
      <c r="A1312" s="20" t="s">
        <v>353</v>
      </c>
      <c r="B1312" s="6">
        <v>10</v>
      </c>
      <c r="C1312" s="6">
        <v>108</v>
      </c>
      <c r="D1312" s="17">
        <v>1</v>
      </c>
      <c r="E1312" s="6" t="s">
        <v>355</v>
      </c>
      <c r="F1312" s="6" t="s">
        <v>342</v>
      </c>
      <c r="G1312" s="19">
        <v>6</v>
      </c>
      <c r="H1312" s="6">
        <v>5</v>
      </c>
      <c r="I1312" s="6" t="s">
        <v>339</v>
      </c>
      <c r="J1312" s="20">
        <v>1.208</v>
      </c>
      <c r="K1312" s="20">
        <v>40.706000000000003</v>
      </c>
      <c r="L1312" s="6">
        <v>0</v>
      </c>
      <c r="M1312" s="15">
        <v>6.1111111111111109E-2</v>
      </c>
      <c r="N1312" s="16">
        <v>36.911111111111111</v>
      </c>
      <c r="O1312" s="17">
        <v>1243.7944444444445</v>
      </c>
      <c r="P1312" s="16">
        <v>36.911111111111104</v>
      </c>
      <c r="Q1312" s="17">
        <v>1243.7944444444445</v>
      </c>
    </row>
    <row r="1313" spans="1:17" x14ac:dyDescent="0.25">
      <c r="A1313" s="20" t="s">
        <v>353</v>
      </c>
      <c r="B1313" s="6">
        <v>10</v>
      </c>
      <c r="C1313" s="6">
        <v>108</v>
      </c>
      <c r="D1313" s="17">
        <v>1</v>
      </c>
      <c r="E1313" s="6" t="s">
        <v>355</v>
      </c>
      <c r="F1313" s="6" t="s">
        <v>342</v>
      </c>
      <c r="G1313" s="19">
        <v>6</v>
      </c>
      <c r="H1313" s="6">
        <v>5</v>
      </c>
      <c r="I1313" s="6" t="s">
        <v>330</v>
      </c>
      <c r="J1313" s="20">
        <v>1.1859999999999999</v>
      </c>
      <c r="K1313" s="20">
        <v>50.344000000000001</v>
      </c>
      <c r="L1313" s="6">
        <v>0</v>
      </c>
      <c r="M1313" s="15">
        <v>5.5555555555555556E-4</v>
      </c>
      <c r="N1313" s="16">
        <v>0.32944444444444443</v>
      </c>
      <c r="O1313" s="17">
        <v>13.984444444444446</v>
      </c>
      <c r="P1313" s="16">
        <v>0.32944444444444443</v>
      </c>
      <c r="Q1313" s="17">
        <v>13.984444444444444</v>
      </c>
    </row>
    <row r="1314" spans="1:17" x14ac:dyDescent="0.25">
      <c r="A1314" s="20" t="s">
        <v>353</v>
      </c>
      <c r="B1314" s="6">
        <v>10</v>
      </c>
      <c r="C1314" s="6">
        <v>108</v>
      </c>
      <c r="D1314" s="17">
        <v>1</v>
      </c>
      <c r="E1314" s="6" t="s">
        <v>355</v>
      </c>
      <c r="F1314" s="6" t="s">
        <v>343</v>
      </c>
      <c r="G1314" s="19">
        <v>7</v>
      </c>
      <c r="H1314" s="6">
        <v>5</v>
      </c>
      <c r="I1314" s="6" t="s">
        <v>339</v>
      </c>
      <c r="J1314" s="20">
        <v>1.5580000000000001</v>
      </c>
      <c r="K1314" s="20">
        <v>41.526000000000003</v>
      </c>
      <c r="L1314" s="6">
        <v>0</v>
      </c>
      <c r="M1314" s="15">
        <v>9.2777777777777778E-2</v>
      </c>
      <c r="N1314" s="16">
        <v>72.273888888888891</v>
      </c>
      <c r="O1314" s="17">
        <v>1926.345</v>
      </c>
      <c r="P1314" s="16">
        <v>72.273888888888891</v>
      </c>
      <c r="Q1314" s="17">
        <v>1926.345</v>
      </c>
    </row>
    <row r="1315" spans="1:17" x14ac:dyDescent="0.25">
      <c r="A1315" s="20" t="s">
        <v>353</v>
      </c>
      <c r="B1315" s="6">
        <v>10</v>
      </c>
      <c r="C1315" s="6">
        <v>108</v>
      </c>
      <c r="D1315" s="17">
        <v>1</v>
      </c>
      <c r="E1315" s="6" t="s">
        <v>355</v>
      </c>
      <c r="F1315" s="6" t="s">
        <v>343</v>
      </c>
      <c r="G1315" s="19">
        <v>7</v>
      </c>
      <c r="H1315" s="6">
        <v>5</v>
      </c>
      <c r="I1315" s="6" t="s">
        <v>330</v>
      </c>
      <c r="J1315" s="20">
        <v>1.0449999999999999</v>
      </c>
      <c r="K1315" s="20">
        <v>50.470999999999997</v>
      </c>
      <c r="L1315" s="6">
        <v>0</v>
      </c>
      <c r="M1315" s="15">
        <v>1.1111111111111111E-3</v>
      </c>
      <c r="N1315" s="16">
        <v>0.58055555555555549</v>
      </c>
      <c r="O1315" s="17">
        <v>28.039444444444445</v>
      </c>
      <c r="P1315" s="16">
        <v>0.58055555555555549</v>
      </c>
      <c r="Q1315" s="17">
        <v>28.039444444444449</v>
      </c>
    </row>
    <row r="1316" spans="1:17" x14ac:dyDescent="0.25">
      <c r="A1316" s="20" t="s">
        <v>353</v>
      </c>
      <c r="B1316" s="6">
        <v>10</v>
      </c>
      <c r="C1316" s="6">
        <v>108</v>
      </c>
      <c r="D1316" s="17">
        <v>1</v>
      </c>
      <c r="E1316" s="6" t="s">
        <v>355</v>
      </c>
      <c r="F1316" s="6" t="s">
        <v>344</v>
      </c>
      <c r="G1316" s="19">
        <v>8</v>
      </c>
      <c r="H1316" s="6">
        <v>2.5</v>
      </c>
      <c r="I1316" s="6" t="s">
        <v>339</v>
      </c>
      <c r="J1316" s="20">
        <v>1.772</v>
      </c>
      <c r="K1316" s="20">
        <v>41.11</v>
      </c>
      <c r="L1316" s="6">
        <v>0</v>
      </c>
      <c r="M1316" s="15">
        <v>8.4148148148148139E-2</v>
      </c>
      <c r="N1316" s="16">
        <v>37.277629629629622</v>
      </c>
      <c r="O1316" s="17">
        <v>864.8325925925925</v>
      </c>
      <c r="P1316" s="16">
        <v>74.555259259259245</v>
      </c>
      <c r="Q1316" s="17">
        <v>1729.6651851851852</v>
      </c>
    </row>
    <row r="1317" spans="1:17" x14ac:dyDescent="0.25">
      <c r="A1317" s="20" t="s">
        <v>353</v>
      </c>
      <c r="B1317" s="6">
        <v>10</v>
      </c>
      <c r="C1317" s="6">
        <v>108</v>
      </c>
      <c r="D1317" s="17">
        <v>1</v>
      </c>
      <c r="E1317" s="6" t="s">
        <v>355</v>
      </c>
      <c r="F1317" s="6" t="s">
        <v>344</v>
      </c>
      <c r="G1317" s="19">
        <v>8</v>
      </c>
      <c r="H1317" s="6">
        <v>2.5</v>
      </c>
      <c r="I1317" s="6" t="s">
        <v>330</v>
      </c>
      <c r="J1317" s="6" t="s">
        <v>1673</v>
      </c>
      <c r="K1317" s="6" t="s">
        <v>1673</v>
      </c>
      <c r="L1317" s="6" t="s">
        <v>1673</v>
      </c>
      <c r="M1317" s="15" t="s">
        <v>1673</v>
      </c>
      <c r="N1317" s="16" t="s">
        <v>1673</v>
      </c>
      <c r="O1317" s="17" t="s">
        <v>1673</v>
      </c>
      <c r="P1317" s="16" t="s">
        <v>1673</v>
      </c>
      <c r="Q1317" s="17" t="s">
        <v>1673</v>
      </c>
    </row>
    <row r="1318" spans="1:17" x14ac:dyDescent="0.25">
      <c r="A1318" s="20" t="s">
        <v>353</v>
      </c>
      <c r="B1318" s="6">
        <v>10</v>
      </c>
      <c r="C1318" s="6">
        <v>108</v>
      </c>
      <c r="D1318" s="17">
        <v>3</v>
      </c>
      <c r="E1318" s="6" t="s">
        <v>316</v>
      </c>
      <c r="F1318" s="6" t="s">
        <v>317</v>
      </c>
      <c r="G1318" s="18">
        <v>0</v>
      </c>
      <c r="H1318" s="6">
        <v>1</v>
      </c>
      <c r="I1318" s="6" t="s">
        <v>339</v>
      </c>
      <c r="J1318" s="20">
        <v>0.81299999999999994</v>
      </c>
      <c r="K1318" s="20">
        <v>43.578000000000003</v>
      </c>
      <c r="L1318" s="6">
        <v>0</v>
      </c>
      <c r="M1318" s="15">
        <v>4.1666666666666664E-2</v>
      </c>
      <c r="N1318" s="16">
        <v>3.3874999999999997</v>
      </c>
      <c r="O1318" s="17">
        <v>181.57500000000002</v>
      </c>
      <c r="P1318" s="16">
        <v>3.3874999999999997</v>
      </c>
      <c r="Q1318" s="17">
        <v>181.57500000000002</v>
      </c>
    </row>
    <row r="1319" spans="1:17" x14ac:dyDescent="0.25">
      <c r="A1319" s="20" t="s">
        <v>353</v>
      </c>
      <c r="B1319" s="6">
        <v>10</v>
      </c>
      <c r="C1319" s="6">
        <v>108</v>
      </c>
      <c r="D1319" s="17">
        <v>3</v>
      </c>
      <c r="E1319" s="6" t="s">
        <v>316</v>
      </c>
      <c r="F1319" s="6" t="s">
        <v>317</v>
      </c>
      <c r="G1319" s="18">
        <v>0</v>
      </c>
      <c r="H1319" s="6">
        <v>1</v>
      </c>
      <c r="I1319" s="6" t="s">
        <v>330</v>
      </c>
      <c r="J1319" s="6" t="s">
        <v>1673</v>
      </c>
      <c r="K1319" s="6" t="s">
        <v>1673</v>
      </c>
      <c r="L1319" s="6" t="s">
        <v>1673</v>
      </c>
      <c r="M1319" s="15" t="s">
        <v>1673</v>
      </c>
      <c r="N1319" s="16" t="s">
        <v>1673</v>
      </c>
      <c r="O1319" s="17" t="s">
        <v>1673</v>
      </c>
      <c r="P1319" s="16" t="s">
        <v>1673</v>
      </c>
      <c r="Q1319" s="17" t="s">
        <v>1673</v>
      </c>
    </row>
    <row r="1320" spans="1:17" x14ac:dyDescent="0.25">
      <c r="A1320" s="20" t="s">
        <v>353</v>
      </c>
      <c r="B1320" s="6">
        <v>10</v>
      </c>
      <c r="C1320" s="6">
        <v>108</v>
      </c>
      <c r="D1320" s="17">
        <v>3</v>
      </c>
      <c r="E1320" s="6" t="s">
        <v>355</v>
      </c>
      <c r="F1320" s="6" t="s">
        <v>320</v>
      </c>
      <c r="G1320" s="19">
        <v>1</v>
      </c>
      <c r="H1320" s="6">
        <v>5</v>
      </c>
      <c r="I1320" s="6" t="s">
        <v>339</v>
      </c>
      <c r="J1320" s="20">
        <v>0.95899999999999996</v>
      </c>
      <c r="K1320" s="20">
        <v>44.692999999999998</v>
      </c>
      <c r="L1320" s="6">
        <v>0</v>
      </c>
      <c r="M1320" s="15">
        <v>0.04</v>
      </c>
      <c r="N1320" s="16">
        <v>19.18</v>
      </c>
      <c r="O1320" s="17">
        <v>893.86</v>
      </c>
      <c r="P1320" s="16">
        <v>19.18</v>
      </c>
      <c r="Q1320" s="17">
        <v>893.8599999999999</v>
      </c>
    </row>
    <row r="1321" spans="1:17" x14ac:dyDescent="0.25">
      <c r="A1321" s="20" t="s">
        <v>353</v>
      </c>
      <c r="B1321" s="6">
        <v>10</v>
      </c>
      <c r="C1321" s="6">
        <v>108</v>
      </c>
      <c r="D1321" s="17">
        <v>3</v>
      </c>
      <c r="E1321" s="6" t="s">
        <v>355</v>
      </c>
      <c r="F1321" s="6" t="s">
        <v>320</v>
      </c>
      <c r="G1321" s="19">
        <v>1</v>
      </c>
      <c r="H1321" s="6">
        <v>5</v>
      </c>
      <c r="I1321" s="6" t="s">
        <v>330</v>
      </c>
      <c r="J1321" s="20">
        <v>0.55300000000000005</v>
      </c>
      <c r="K1321" s="20">
        <v>51.29</v>
      </c>
      <c r="L1321" s="6">
        <v>0</v>
      </c>
      <c r="M1321" s="15">
        <v>1.8823529411764706E-3</v>
      </c>
      <c r="N1321" s="16">
        <v>0.52047058823529413</v>
      </c>
      <c r="O1321" s="17">
        <v>48.272941176470596</v>
      </c>
      <c r="P1321" s="16">
        <v>0.52047058823529424</v>
      </c>
      <c r="Q1321" s="17">
        <v>48.272941176470589</v>
      </c>
    </row>
    <row r="1322" spans="1:17" x14ac:dyDescent="0.25">
      <c r="A1322" s="20" t="s">
        <v>353</v>
      </c>
      <c r="B1322" s="6">
        <v>10</v>
      </c>
      <c r="C1322" s="6">
        <v>108</v>
      </c>
      <c r="D1322" s="17">
        <v>3</v>
      </c>
      <c r="E1322" s="6" t="s">
        <v>355</v>
      </c>
      <c r="F1322" s="6" t="s">
        <v>321</v>
      </c>
      <c r="G1322" s="19">
        <v>2</v>
      </c>
      <c r="H1322" s="6">
        <v>5</v>
      </c>
      <c r="I1322" s="6" t="s">
        <v>339</v>
      </c>
      <c r="J1322" s="20">
        <v>0.76600000000000001</v>
      </c>
      <c r="K1322" s="20">
        <v>43.584000000000003</v>
      </c>
      <c r="L1322" s="6">
        <v>0</v>
      </c>
      <c r="M1322" s="15">
        <v>4.8000000000000001E-2</v>
      </c>
      <c r="N1322" s="16">
        <v>18.384</v>
      </c>
      <c r="O1322" s="17">
        <v>1046.0160000000001</v>
      </c>
      <c r="P1322" s="16">
        <v>18.384</v>
      </c>
      <c r="Q1322" s="17">
        <v>1046.0159999999998</v>
      </c>
    </row>
    <row r="1323" spans="1:17" x14ac:dyDescent="0.25">
      <c r="A1323" s="20" t="s">
        <v>353</v>
      </c>
      <c r="B1323" s="6">
        <v>10</v>
      </c>
      <c r="C1323" s="6">
        <v>108</v>
      </c>
      <c r="D1323" s="17">
        <v>3</v>
      </c>
      <c r="E1323" s="6" t="s">
        <v>355</v>
      </c>
      <c r="F1323" s="6" t="s">
        <v>321</v>
      </c>
      <c r="G1323" s="19">
        <v>2</v>
      </c>
      <c r="H1323" s="6">
        <v>5</v>
      </c>
      <c r="I1323" s="6" t="s">
        <v>330</v>
      </c>
      <c r="J1323" s="20">
        <v>0.52300000000000002</v>
      </c>
      <c r="K1323" s="20">
        <v>50.405999999999999</v>
      </c>
      <c r="L1323" s="6">
        <v>0</v>
      </c>
      <c r="M1323" s="15">
        <v>1E-3</v>
      </c>
      <c r="N1323" s="16">
        <v>0.26150000000000001</v>
      </c>
      <c r="O1323" s="17">
        <v>25.202999999999996</v>
      </c>
      <c r="P1323" s="16">
        <v>0.26150000000000001</v>
      </c>
      <c r="Q1323" s="17">
        <v>25.202999999999996</v>
      </c>
    </row>
    <row r="1324" spans="1:17" x14ac:dyDescent="0.25">
      <c r="A1324" s="20" t="s">
        <v>353</v>
      </c>
      <c r="B1324" s="6">
        <v>10</v>
      </c>
      <c r="C1324" s="6">
        <v>108</v>
      </c>
      <c r="D1324" s="17">
        <v>3</v>
      </c>
      <c r="E1324" s="6" t="s">
        <v>355</v>
      </c>
      <c r="F1324" s="6" t="s">
        <v>322</v>
      </c>
      <c r="G1324" s="19">
        <v>3</v>
      </c>
      <c r="H1324" s="6">
        <v>5</v>
      </c>
      <c r="I1324" s="6" t="s">
        <v>339</v>
      </c>
      <c r="J1324" s="20">
        <v>0.71599999999999997</v>
      </c>
      <c r="K1324" s="20">
        <v>42.348999999999997</v>
      </c>
      <c r="L1324" s="6">
        <v>0</v>
      </c>
      <c r="M1324" s="15">
        <v>5.3714285714285714E-2</v>
      </c>
      <c r="N1324" s="16">
        <v>19.229714285714284</v>
      </c>
      <c r="O1324" s="17">
        <v>1137.3731428571427</v>
      </c>
      <c r="P1324" s="16">
        <v>19.229714285714284</v>
      </c>
      <c r="Q1324" s="17">
        <v>1137.3731428571427</v>
      </c>
    </row>
    <row r="1325" spans="1:17" x14ac:dyDescent="0.25">
      <c r="A1325" s="20" t="s">
        <v>353</v>
      </c>
      <c r="B1325" s="6">
        <v>10</v>
      </c>
      <c r="C1325" s="6">
        <v>108</v>
      </c>
      <c r="D1325" s="17">
        <v>3</v>
      </c>
      <c r="E1325" s="6" t="s">
        <v>355</v>
      </c>
      <c r="F1325" s="6" t="s">
        <v>322</v>
      </c>
      <c r="G1325" s="19">
        <v>3</v>
      </c>
      <c r="H1325" s="6">
        <v>5</v>
      </c>
      <c r="I1325" s="6" t="s">
        <v>330</v>
      </c>
      <c r="J1325" s="6" t="s">
        <v>1673</v>
      </c>
      <c r="K1325" s="6" t="s">
        <v>1673</v>
      </c>
      <c r="L1325" s="6" t="s">
        <v>1673</v>
      </c>
      <c r="M1325" s="15" t="s">
        <v>1673</v>
      </c>
      <c r="N1325" s="16" t="s">
        <v>1673</v>
      </c>
      <c r="O1325" s="17" t="s">
        <v>1673</v>
      </c>
      <c r="P1325" s="16" t="s">
        <v>1673</v>
      </c>
      <c r="Q1325" s="17" t="s">
        <v>1673</v>
      </c>
    </row>
    <row r="1326" spans="1:17" x14ac:dyDescent="0.25">
      <c r="A1326" s="20" t="s">
        <v>353</v>
      </c>
      <c r="B1326" s="6">
        <v>10</v>
      </c>
      <c r="C1326" s="6">
        <v>108</v>
      </c>
      <c r="D1326" s="17">
        <v>3</v>
      </c>
      <c r="E1326" s="6" t="s">
        <v>355</v>
      </c>
      <c r="F1326" s="6" t="s">
        <v>335</v>
      </c>
      <c r="G1326" s="19">
        <v>4</v>
      </c>
      <c r="H1326" s="6">
        <v>5</v>
      </c>
      <c r="I1326" s="6" t="s">
        <v>339</v>
      </c>
      <c r="J1326" s="20">
        <v>1.4570000000000001</v>
      </c>
      <c r="K1326" s="20">
        <v>42.027000000000001</v>
      </c>
      <c r="L1326" s="6">
        <v>0</v>
      </c>
      <c r="M1326" s="15">
        <v>7.3571428571428579E-2</v>
      </c>
      <c r="N1326" s="16">
        <v>53.596785714285723</v>
      </c>
      <c r="O1326" s="17">
        <v>1545.9932142857144</v>
      </c>
      <c r="P1326" s="16">
        <v>53.596785714285723</v>
      </c>
      <c r="Q1326" s="17">
        <v>1545.9932142857144</v>
      </c>
    </row>
    <row r="1327" spans="1:17" x14ac:dyDescent="0.25">
      <c r="A1327" s="20" t="s">
        <v>353</v>
      </c>
      <c r="B1327" s="6">
        <v>10</v>
      </c>
      <c r="C1327" s="6">
        <v>108</v>
      </c>
      <c r="D1327" s="17">
        <v>3</v>
      </c>
      <c r="E1327" s="6" t="s">
        <v>355</v>
      </c>
      <c r="F1327" s="6" t="s">
        <v>335</v>
      </c>
      <c r="G1327" s="19">
        <v>4</v>
      </c>
      <c r="H1327" s="6">
        <v>5</v>
      </c>
      <c r="I1327" s="6" t="s">
        <v>330</v>
      </c>
      <c r="J1327" s="20">
        <v>0.95399999999999996</v>
      </c>
      <c r="K1327" s="20">
        <v>48.277999999999999</v>
      </c>
      <c r="L1327" s="6">
        <v>0</v>
      </c>
      <c r="M1327" s="15">
        <v>2.8571428571428571E-3</v>
      </c>
      <c r="N1327" s="16">
        <v>1.3628571428571428</v>
      </c>
      <c r="O1327" s="17">
        <v>68.968571428571423</v>
      </c>
      <c r="P1327" s="16">
        <v>1.3628571428571428</v>
      </c>
      <c r="Q1327" s="17">
        <v>68.968571428571423</v>
      </c>
    </row>
    <row r="1328" spans="1:17" x14ac:dyDescent="0.25">
      <c r="A1328" s="20" t="s">
        <v>353</v>
      </c>
      <c r="B1328" s="6">
        <v>10</v>
      </c>
      <c r="C1328" s="6">
        <v>108</v>
      </c>
      <c r="D1328" s="17">
        <v>3</v>
      </c>
      <c r="E1328" s="6" t="s">
        <v>355</v>
      </c>
      <c r="F1328" s="14" t="s">
        <v>325</v>
      </c>
      <c r="G1328" s="19">
        <v>5</v>
      </c>
      <c r="H1328" s="6">
        <v>14</v>
      </c>
      <c r="I1328" s="6" t="s">
        <v>339</v>
      </c>
      <c r="J1328" s="20">
        <v>2.355</v>
      </c>
      <c r="K1328" s="20">
        <v>44.101999999999997</v>
      </c>
      <c r="L1328" s="6">
        <v>0</v>
      </c>
      <c r="M1328" s="15">
        <v>0.15</v>
      </c>
      <c r="N1328" s="16">
        <v>176.625</v>
      </c>
      <c r="O1328" s="17">
        <v>3307.6499999999996</v>
      </c>
      <c r="P1328" s="16">
        <v>176.625</v>
      </c>
      <c r="Q1328" s="17">
        <v>3307.6499999999996</v>
      </c>
    </row>
    <row r="1329" spans="1:17" x14ac:dyDescent="0.25">
      <c r="A1329" s="20" t="s">
        <v>353</v>
      </c>
      <c r="B1329" s="6">
        <v>10</v>
      </c>
      <c r="C1329" s="6">
        <v>108</v>
      </c>
      <c r="D1329" s="17">
        <v>3</v>
      </c>
      <c r="E1329" s="6" t="s">
        <v>355</v>
      </c>
      <c r="F1329" s="14" t="s">
        <v>325</v>
      </c>
      <c r="G1329" s="19">
        <v>5</v>
      </c>
      <c r="H1329" s="6">
        <v>5</v>
      </c>
      <c r="I1329" s="6" t="s">
        <v>330</v>
      </c>
      <c r="J1329" s="20" t="s">
        <v>1673</v>
      </c>
      <c r="K1329" s="20" t="s">
        <v>1673</v>
      </c>
      <c r="L1329" s="14" t="s">
        <v>1673</v>
      </c>
      <c r="M1329" s="15" t="s">
        <v>1673</v>
      </c>
      <c r="N1329" s="16" t="s">
        <v>1673</v>
      </c>
      <c r="O1329" s="17" t="s">
        <v>1673</v>
      </c>
      <c r="P1329" s="16" t="s">
        <v>1673</v>
      </c>
      <c r="Q1329" s="17" t="s">
        <v>1673</v>
      </c>
    </row>
    <row r="1330" spans="1:17" x14ac:dyDescent="0.25">
      <c r="A1330" s="20" t="s">
        <v>353</v>
      </c>
      <c r="B1330" s="6">
        <v>10</v>
      </c>
      <c r="C1330" s="6">
        <v>108</v>
      </c>
      <c r="D1330" s="17">
        <v>5</v>
      </c>
      <c r="E1330" s="6" t="s">
        <v>316</v>
      </c>
      <c r="F1330" s="6" t="s">
        <v>317</v>
      </c>
      <c r="G1330" s="18">
        <v>0</v>
      </c>
      <c r="H1330" s="6">
        <v>0.5</v>
      </c>
      <c r="I1330" s="6" t="s">
        <v>339</v>
      </c>
      <c r="J1330" s="20">
        <v>1.0880000000000001</v>
      </c>
      <c r="K1330" s="20">
        <v>45.738999999999997</v>
      </c>
      <c r="L1330" s="6">
        <v>0</v>
      </c>
      <c r="M1330" s="15">
        <v>0.11000000000000001</v>
      </c>
      <c r="N1330" s="16">
        <v>5.9840000000000018</v>
      </c>
      <c r="O1330" s="17">
        <v>251.56450000000004</v>
      </c>
      <c r="P1330" s="16">
        <v>5.9840000000000018</v>
      </c>
      <c r="Q1330" s="17">
        <v>251.56450000000004</v>
      </c>
    </row>
    <row r="1331" spans="1:17" x14ac:dyDescent="0.25">
      <c r="A1331" s="20" t="s">
        <v>353</v>
      </c>
      <c r="B1331" s="6">
        <v>10</v>
      </c>
      <c r="C1331" s="6">
        <v>108</v>
      </c>
      <c r="D1331" s="17">
        <v>5</v>
      </c>
      <c r="E1331" s="6" t="s">
        <v>316</v>
      </c>
      <c r="F1331" s="6" t="s">
        <v>317</v>
      </c>
      <c r="G1331" s="18">
        <v>0</v>
      </c>
      <c r="H1331" s="6">
        <v>0.5</v>
      </c>
      <c r="I1331" s="6" t="s">
        <v>330</v>
      </c>
      <c r="J1331" s="6" t="s">
        <v>1673</v>
      </c>
      <c r="K1331" s="6" t="s">
        <v>1673</v>
      </c>
      <c r="L1331" s="6" t="s">
        <v>1673</v>
      </c>
      <c r="M1331" s="15" t="s">
        <v>1673</v>
      </c>
      <c r="N1331" s="16" t="s">
        <v>1673</v>
      </c>
      <c r="O1331" s="17" t="s">
        <v>1673</v>
      </c>
      <c r="P1331" s="16" t="s">
        <v>1673</v>
      </c>
      <c r="Q1331" s="17" t="s">
        <v>1673</v>
      </c>
    </row>
    <row r="1332" spans="1:17" x14ac:dyDescent="0.25">
      <c r="A1332" s="20" t="s">
        <v>353</v>
      </c>
      <c r="B1332" s="6">
        <v>10</v>
      </c>
      <c r="C1332" s="6">
        <v>108</v>
      </c>
      <c r="D1332" s="17">
        <v>5</v>
      </c>
      <c r="E1332" s="6" t="s">
        <v>355</v>
      </c>
      <c r="F1332" s="6" t="s">
        <v>320</v>
      </c>
      <c r="G1332" s="19">
        <v>1</v>
      </c>
      <c r="H1332" s="6">
        <v>5</v>
      </c>
      <c r="I1332" s="6" t="s">
        <v>339</v>
      </c>
      <c r="J1332" s="20">
        <v>1.2130000000000001</v>
      </c>
      <c r="K1332" s="20">
        <v>45.847000000000001</v>
      </c>
      <c r="L1332" s="6">
        <v>0</v>
      </c>
      <c r="M1332" s="15">
        <v>5.2499999999999998E-2</v>
      </c>
      <c r="N1332" s="16">
        <v>31.841249999999999</v>
      </c>
      <c r="O1332" s="17">
        <v>1203.4837499999999</v>
      </c>
      <c r="P1332" s="16">
        <v>31.841250000000002</v>
      </c>
      <c r="Q1332" s="17">
        <v>1203.4837499999999</v>
      </c>
    </row>
    <row r="1333" spans="1:17" x14ac:dyDescent="0.25">
      <c r="A1333" s="20" t="s">
        <v>353</v>
      </c>
      <c r="B1333" s="6">
        <v>10</v>
      </c>
      <c r="C1333" s="6">
        <v>108</v>
      </c>
      <c r="D1333" s="17">
        <v>5</v>
      </c>
      <c r="E1333" s="6" t="s">
        <v>355</v>
      </c>
      <c r="F1333" s="6" t="s">
        <v>320</v>
      </c>
      <c r="G1333" s="19">
        <v>1</v>
      </c>
      <c r="H1333" s="6">
        <v>5</v>
      </c>
      <c r="I1333" s="6" t="s">
        <v>330</v>
      </c>
      <c r="J1333" s="6">
        <v>0.50900000000000001</v>
      </c>
      <c r="K1333" s="6">
        <v>50.569499999999998</v>
      </c>
      <c r="L1333" s="6">
        <v>0</v>
      </c>
      <c r="M1333" s="15">
        <v>3.3333333333333335E-3</v>
      </c>
      <c r="N1333" s="16">
        <v>0.84833333333333338</v>
      </c>
      <c r="O1333" s="17">
        <v>84.282500000000013</v>
      </c>
      <c r="P1333" s="16">
        <v>0.84833333333333327</v>
      </c>
      <c r="Q1333" s="17">
        <v>84.282500000000013</v>
      </c>
    </row>
    <row r="1334" spans="1:17" x14ac:dyDescent="0.25">
      <c r="A1334" s="20" t="s">
        <v>353</v>
      </c>
      <c r="B1334" s="6">
        <v>10</v>
      </c>
      <c r="C1334" s="6">
        <v>108</v>
      </c>
      <c r="D1334" s="17">
        <v>5</v>
      </c>
      <c r="E1334" s="6" t="s">
        <v>355</v>
      </c>
      <c r="F1334" s="6" t="s">
        <v>321</v>
      </c>
      <c r="G1334" s="19">
        <v>2</v>
      </c>
      <c r="H1334" s="6">
        <v>5</v>
      </c>
      <c r="I1334" s="6" t="s">
        <v>339</v>
      </c>
      <c r="J1334" s="20">
        <v>1.752</v>
      </c>
      <c r="K1334" s="20">
        <v>45.76</v>
      </c>
      <c r="L1334" s="6">
        <v>0</v>
      </c>
      <c r="M1334" s="15">
        <v>7.6666666666666661E-2</v>
      </c>
      <c r="N1334" s="16">
        <v>67.16</v>
      </c>
      <c r="O1334" s="17">
        <v>1754.1333333333332</v>
      </c>
      <c r="P1334" s="16">
        <v>67.16</v>
      </c>
      <c r="Q1334" s="17">
        <v>1754.1333333333334</v>
      </c>
    </row>
    <row r="1335" spans="1:17" x14ac:dyDescent="0.25">
      <c r="A1335" s="20" t="s">
        <v>353</v>
      </c>
      <c r="B1335" s="6">
        <v>10</v>
      </c>
      <c r="C1335" s="6">
        <v>108</v>
      </c>
      <c r="D1335" s="17">
        <v>5</v>
      </c>
      <c r="E1335" s="6" t="s">
        <v>355</v>
      </c>
      <c r="F1335" s="6" t="s">
        <v>321</v>
      </c>
      <c r="G1335" s="19">
        <v>2</v>
      </c>
      <c r="H1335" s="6">
        <v>5</v>
      </c>
      <c r="I1335" s="6" t="s">
        <v>330</v>
      </c>
      <c r="J1335" s="20">
        <v>0.81699999999999995</v>
      </c>
      <c r="K1335" s="20">
        <v>50.585999999999999</v>
      </c>
      <c r="L1335" s="6">
        <v>0</v>
      </c>
      <c r="M1335" s="15">
        <v>8.3333333333333339E-4</v>
      </c>
      <c r="N1335" s="16">
        <v>0.3404166666666667</v>
      </c>
      <c r="O1335" s="17">
        <v>21.077500000000001</v>
      </c>
      <c r="P1335" s="16">
        <v>0.3404166666666667</v>
      </c>
      <c r="Q1335" s="17">
        <v>21.077500000000004</v>
      </c>
    </row>
    <row r="1336" spans="1:17" x14ac:dyDescent="0.25">
      <c r="A1336" s="20" t="s">
        <v>353</v>
      </c>
      <c r="B1336" s="6">
        <v>10</v>
      </c>
      <c r="C1336" s="6">
        <v>108</v>
      </c>
      <c r="D1336" s="17">
        <v>5</v>
      </c>
      <c r="E1336" s="6" t="s">
        <v>355</v>
      </c>
      <c r="F1336" s="6" t="s">
        <v>322</v>
      </c>
      <c r="G1336" s="19">
        <v>3</v>
      </c>
      <c r="H1336" s="6">
        <v>5</v>
      </c>
      <c r="I1336" s="6" t="s">
        <v>339</v>
      </c>
      <c r="J1336" s="20">
        <v>1.819</v>
      </c>
      <c r="K1336" s="20">
        <v>40.319000000000003</v>
      </c>
      <c r="L1336" s="6">
        <v>0</v>
      </c>
      <c r="M1336" s="15">
        <v>9.7142857142857142E-2</v>
      </c>
      <c r="N1336" s="16">
        <v>88.351428571428556</v>
      </c>
      <c r="O1336" s="17">
        <v>1958.3514285714286</v>
      </c>
      <c r="P1336" s="16">
        <v>88.351428571428556</v>
      </c>
      <c r="Q1336" s="17">
        <v>1958.3514285714286</v>
      </c>
    </row>
    <row r="1337" spans="1:17" x14ac:dyDescent="0.25">
      <c r="A1337" s="20" t="s">
        <v>353</v>
      </c>
      <c r="B1337" s="6">
        <v>10</v>
      </c>
      <c r="C1337" s="6">
        <v>108</v>
      </c>
      <c r="D1337" s="17">
        <v>5</v>
      </c>
      <c r="E1337" s="6" t="s">
        <v>355</v>
      </c>
      <c r="F1337" s="6" t="s">
        <v>322</v>
      </c>
      <c r="G1337" s="19">
        <v>3</v>
      </c>
      <c r="H1337" s="6">
        <v>5</v>
      </c>
      <c r="I1337" s="6" t="s">
        <v>330</v>
      </c>
      <c r="J1337" s="6" t="s">
        <v>1673</v>
      </c>
      <c r="K1337" s="6" t="s">
        <v>1673</v>
      </c>
      <c r="L1337" s="6" t="s">
        <v>1673</v>
      </c>
      <c r="M1337" s="15" t="s">
        <v>1673</v>
      </c>
      <c r="N1337" s="16" t="s">
        <v>1673</v>
      </c>
      <c r="O1337" s="17" t="s">
        <v>1673</v>
      </c>
      <c r="P1337" s="16" t="s">
        <v>1673</v>
      </c>
      <c r="Q1337" s="17" t="s">
        <v>1673</v>
      </c>
    </row>
    <row r="1338" spans="1:17" x14ac:dyDescent="0.25">
      <c r="A1338" s="20" t="s">
        <v>353</v>
      </c>
      <c r="B1338" s="6">
        <v>10</v>
      </c>
      <c r="C1338" s="6">
        <v>108</v>
      </c>
      <c r="D1338" s="17">
        <v>5</v>
      </c>
      <c r="E1338" s="6" t="s">
        <v>355</v>
      </c>
      <c r="F1338" s="6" t="s">
        <v>335</v>
      </c>
      <c r="G1338" s="19">
        <v>4</v>
      </c>
      <c r="H1338" s="6">
        <v>2</v>
      </c>
      <c r="I1338" s="6" t="s">
        <v>339</v>
      </c>
      <c r="J1338" s="6">
        <v>1.208</v>
      </c>
      <c r="K1338" s="6">
        <v>42.269000000000005</v>
      </c>
      <c r="L1338" s="6">
        <v>0</v>
      </c>
      <c r="M1338" s="15">
        <v>0.12222222222222223</v>
      </c>
      <c r="N1338" s="16">
        <v>29.528888888888893</v>
      </c>
      <c r="O1338" s="17">
        <v>1033.2422222222226</v>
      </c>
      <c r="P1338" s="16">
        <v>73.822222222222237</v>
      </c>
      <c r="Q1338" s="17">
        <v>2583.1055555555558</v>
      </c>
    </row>
    <row r="1339" spans="1:17" x14ac:dyDescent="0.25">
      <c r="A1339" s="20" t="s">
        <v>353</v>
      </c>
      <c r="B1339" s="6">
        <v>10</v>
      </c>
      <c r="C1339" s="6">
        <v>108</v>
      </c>
      <c r="D1339" s="17">
        <v>5</v>
      </c>
      <c r="E1339" s="6" t="s">
        <v>355</v>
      </c>
      <c r="F1339" s="6" t="s">
        <v>335</v>
      </c>
      <c r="G1339" s="19">
        <v>4</v>
      </c>
      <c r="H1339" s="6">
        <v>2</v>
      </c>
      <c r="I1339" s="6" t="s">
        <v>330</v>
      </c>
      <c r="J1339" s="6" t="s">
        <v>1673</v>
      </c>
      <c r="K1339" s="6" t="s">
        <v>1673</v>
      </c>
      <c r="L1339" s="6" t="s">
        <v>1673</v>
      </c>
      <c r="M1339" s="15" t="s">
        <v>1673</v>
      </c>
      <c r="N1339" s="16" t="s">
        <v>1673</v>
      </c>
      <c r="O1339" s="17" t="s">
        <v>1673</v>
      </c>
      <c r="P1339" s="16" t="s">
        <v>1673</v>
      </c>
      <c r="Q1339" s="17" t="s">
        <v>1673</v>
      </c>
    </row>
    <row r="1340" spans="1:17" x14ac:dyDescent="0.25">
      <c r="A1340" s="20" t="s">
        <v>353</v>
      </c>
      <c r="B1340" s="6">
        <v>10</v>
      </c>
      <c r="C1340" s="6">
        <v>108</v>
      </c>
      <c r="D1340" s="17">
        <v>3</v>
      </c>
      <c r="E1340" s="6" t="s">
        <v>355</v>
      </c>
      <c r="F1340" s="14" t="s">
        <v>326</v>
      </c>
      <c r="G1340" s="19">
        <v>6</v>
      </c>
      <c r="H1340" s="6">
        <v>5</v>
      </c>
      <c r="I1340" s="14" t="s">
        <v>318</v>
      </c>
      <c r="J1340" s="20">
        <v>2.355</v>
      </c>
      <c r="K1340" s="20">
        <v>44.101999999999997</v>
      </c>
      <c r="L1340" s="6">
        <v>0</v>
      </c>
      <c r="M1340" s="15">
        <v>0.15</v>
      </c>
      <c r="N1340" s="16">
        <v>176.625</v>
      </c>
      <c r="O1340" s="17">
        <v>3307.6499999999996</v>
      </c>
      <c r="P1340" s="16">
        <v>176.625</v>
      </c>
      <c r="Q1340" s="17">
        <v>3307.6499999999996</v>
      </c>
    </row>
    <row r="1341" spans="1:17" x14ac:dyDescent="0.25">
      <c r="A1341" s="20" t="s">
        <v>353</v>
      </c>
      <c r="B1341" s="6">
        <v>10</v>
      </c>
      <c r="C1341" s="6">
        <v>108</v>
      </c>
      <c r="D1341" s="17">
        <v>3</v>
      </c>
      <c r="E1341" s="6" t="s">
        <v>355</v>
      </c>
      <c r="F1341" s="14" t="s">
        <v>326</v>
      </c>
      <c r="G1341" s="19">
        <v>6</v>
      </c>
      <c r="H1341" s="6">
        <v>5</v>
      </c>
      <c r="I1341" s="14" t="s">
        <v>319</v>
      </c>
      <c r="J1341" s="20" t="s">
        <v>1673</v>
      </c>
      <c r="K1341" s="20" t="s">
        <v>1673</v>
      </c>
      <c r="L1341" s="14" t="s">
        <v>1673</v>
      </c>
      <c r="M1341" s="15" t="s">
        <v>1673</v>
      </c>
      <c r="N1341" s="16" t="s">
        <v>1673</v>
      </c>
      <c r="O1341" s="17" t="s">
        <v>1673</v>
      </c>
      <c r="P1341" s="16" t="s">
        <v>1673</v>
      </c>
      <c r="Q1341" s="17" t="s">
        <v>1673</v>
      </c>
    </row>
    <row r="1342" spans="1:17" x14ac:dyDescent="0.25">
      <c r="A1342" s="20" t="s">
        <v>353</v>
      </c>
      <c r="B1342" s="6">
        <v>10</v>
      </c>
      <c r="C1342" s="6">
        <v>108</v>
      </c>
      <c r="D1342" s="17">
        <v>3</v>
      </c>
      <c r="E1342" s="6" t="s">
        <v>355</v>
      </c>
      <c r="F1342" s="14" t="s">
        <v>327</v>
      </c>
      <c r="G1342" s="19">
        <v>7</v>
      </c>
      <c r="H1342" s="6">
        <v>5</v>
      </c>
      <c r="I1342" s="14" t="s">
        <v>318</v>
      </c>
      <c r="J1342" s="20">
        <v>2.355</v>
      </c>
      <c r="K1342" s="20">
        <v>44.101999999999997</v>
      </c>
      <c r="L1342" s="6">
        <v>0</v>
      </c>
      <c r="M1342" s="15">
        <v>0.15</v>
      </c>
      <c r="N1342" s="16">
        <v>176.625</v>
      </c>
      <c r="O1342" s="17">
        <v>3307.6499999999996</v>
      </c>
      <c r="P1342" s="16">
        <v>176.625</v>
      </c>
      <c r="Q1342" s="17">
        <v>3307.6499999999996</v>
      </c>
    </row>
    <row r="1343" spans="1:17" x14ac:dyDescent="0.25">
      <c r="A1343" s="20" t="s">
        <v>353</v>
      </c>
      <c r="B1343" s="6">
        <v>10</v>
      </c>
      <c r="C1343" s="6">
        <v>108</v>
      </c>
      <c r="D1343" s="17">
        <v>3</v>
      </c>
      <c r="E1343" s="6" t="s">
        <v>355</v>
      </c>
      <c r="F1343" s="14" t="s">
        <v>327</v>
      </c>
      <c r="G1343" s="19">
        <v>7</v>
      </c>
      <c r="H1343" s="6">
        <v>5</v>
      </c>
      <c r="I1343" s="14" t="s">
        <v>319</v>
      </c>
      <c r="J1343" s="20" t="s">
        <v>1673</v>
      </c>
      <c r="K1343" s="20" t="s">
        <v>1673</v>
      </c>
      <c r="L1343" s="14" t="s">
        <v>1673</v>
      </c>
      <c r="M1343" s="15" t="s">
        <v>1673</v>
      </c>
      <c r="N1343" s="16" t="s">
        <v>1673</v>
      </c>
      <c r="O1343" s="17" t="s">
        <v>1673</v>
      </c>
      <c r="P1343" s="16" t="s">
        <v>1673</v>
      </c>
      <c r="Q1343" s="17" t="s">
        <v>1673</v>
      </c>
    </row>
    <row r="1344" spans="1:17" x14ac:dyDescent="0.25">
      <c r="A1344" s="20" t="s">
        <v>353</v>
      </c>
      <c r="B1344" s="7">
        <v>11</v>
      </c>
      <c r="C1344" s="7">
        <v>109</v>
      </c>
      <c r="D1344" s="7">
        <v>1</v>
      </c>
      <c r="E1344" s="6" t="s">
        <v>316</v>
      </c>
      <c r="F1344" s="13" t="s">
        <v>317</v>
      </c>
      <c r="G1344" s="13">
        <v>0</v>
      </c>
      <c r="H1344" s="7">
        <v>2.5</v>
      </c>
      <c r="I1344" s="14" t="s">
        <v>318</v>
      </c>
      <c r="J1344" s="7">
        <v>1.0129999999999999</v>
      </c>
      <c r="K1344" s="7">
        <v>47.746000000000002</v>
      </c>
      <c r="L1344" s="6" t="s">
        <v>1673</v>
      </c>
      <c r="M1344" s="15">
        <v>0</v>
      </c>
      <c r="N1344" s="16">
        <v>0</v>
      </c>
      <c r="O1344" s="17">
        <v>0</v>
      </c>
      <c r="P1344" s="16">
        <v>0</v>
      </c>
      <c r="Q1344" s="17">
        <v>0</v>
      </c>
    </row>
    <row r="1345" spans="1:17" x14ac:dyDescent="0.25">
      <c r="A1345" s="20" t="s">
        <v>353</v>
      </c>
      <c r="B1345" s="7">
        <v>11</v>
      </c>
      <c r="C1345" s="7">
        <v>109</v>
      </c>
      <c r="D1345" s="7">
        <v>1</v>
      </c>
      <c r="E1345" s="6" t="s">
        <v>316</v>
      </c>
      <c r="F1345" s="13" t="s">
        <v>317</v>
      </c>
      <c r="G1345" s="13">
        <v>0</v>
      </c>
      <c r="H1345" s="7">
        <v>2.5</v>
      </c>
      <c r="I1345" s="14" t="s">
        <v>319</v>
      </c>
      <c r="J1345" s="7" t="s">
        <v>1673</v>
      </c>
      <c r="K1345" s="7" t="s">
        <v>1673</v>
      </c>
      <c r="L1345" s="6" t="s">
        <v>1673</v>
      </c>
      <c r="M1345" s="15" t="s">
        <v>1673</v>
      </c>
      <c r="N1345" s="16" t="s">
        <v>1673</v>
      </c>
      <c r="O1345" s="17" t="s">
        <v>1673</v>
      </c>
      <c r="P1345" s="16" t="s">
        <v>1673</v>
      </c>
      <c r="Q1345" s="17" t="s">
        <v>1673</v>
      </c>
    </row>
    <row r="1346" spans="1:17" x14ac:dyDescent="0.25">
      <c r="A1346" s="20" t="s">
        <v>353</v>
      </c>
      <c r="B1346" s="7">
        <v>11</v>
      </c>
      <c r="C1346" s="7">
        <v>109</v>
      </c>
      <c r="D1346" s="7">
        <v>1</v>
      </c>
      <c r="E1346" s="6" t="s">
        <v>355</v>
      </c>
      <c r="F1346" s="13" t="s">
        <v>320</v>
      </c>
      <c r="G1346" s="13">
        <v>1</v>
      </c>
      <c r="H1346" s="7">
        <v>5</v>
      </c>
      <c r="I1346" s="14" t="s">
        <v>318</v>
      </c>
      <c r="J1346" s="7">
        <v>1.286</v>
      </c>
      <c r="K1346" s="7">
        <v>42.521999999999998</v>
      </c>
      <c r="L1346" s="6" t="s">
        <v>1673</v>
      </c>
      <c r="M1346" s="15">
        <v>4.1333333333333333E-2</v>
      </c>
      <c r="N1346" s="16">
        <v>26.577333333333332</v>
      </c>
      <c r="O1346" s="17">
        <v>878.7879999999999</v>
      </c>
      <c r="P1346" s="16">
        <v>26.577333333333335</v>
      </c>
      <c r="Q1346" s="17">
        <v>878.78800000000012</v>
      </c>
    </row>
    <row r="1347" spans="1:17" x14ac:dyDescent="0.25">
      <c r="A1347" s="20" t="s">
        <v>353</v>
      </c>
      <c r="B1347" s="7">
        <v>11</v>
      </c>
      <c r="C1347" s="7">
        <v>109</v>
      </c>
      <c r="D1347" s="7">
        <v>1</v>
      </c>
      <c r="E1347" s="6" t="s">
        <v>355</v>
      </c>
      <c r="F1347" s="13" t="s">
        <v>320</v>
      </c>
      <c r="G1347" s="13">
        <v>1</v>
      </c>
      <c r="H1347" s="7">
        <v>5</v>
      </c>
      <c r="I1347" s="14" t="s">
        <v>319</v>
      </c>
      <c r="J1347" s="7" t="s">
        <v>1673</v>
      </c>
      <c r="K1347" s="7" t="s">
        <v>1673</v>
      </c>
      <c r="L1347" s="6" t="s">
        <v>1673</v>
      </c>
      <c r="M1347" s="15" t="s">
        <v>1673</v>
      </c>
      <c r="N1347" s="16" t="s">
        <v>1673</v>
      </c>
      <c r="O1347" s="17" t="s">
        <v>1673</v>
      </c>
      <c r="P1347" s="16" t="s">
        <v>1673</v>
      </c>
      <c r="Q1347" s="17" t="s">
        <v>1673</v>
      </c>
    </row>
    <row r="1348" spans="1:17" x14ac:dyDescent="0.25">
      <c r="A1348" s="20" t="s">
        <v>353</v>
      </c>
      <c r="B1348" s="7">
        <v>11</v>
      </c>
      <c r="C1348" s="7">
        <v>109</v>
      </c>
      <c r="D1348" s="7">
        <v>1</v>
      </c>
      <c r="E1348" s="6" t="s">
        <v>355</v>
      </c>
      <c r="F1348" s="13" t="s">
        <v>321</v>
      </c>
      <c r="G1348" s="13">
        <v>2</v>
      </c>
      <c r="H1348" s="7">
        <v>3.5</v>
      </c>
      <c r="I1348" s="14" t="s">
        <v>318</v>
      </c>
      <c r="J1348" s="7">
        <v>1.4219999999999999</v>
      </c>
      <c r="K1348" s="7">
        <v>32.164999999999999</v>
      </c>
      <c r="L1348" s="6" t="s">
        <v>1673</v>
      </c>
      <c r="M1348" s="15">
        <v>9.2380952380952383E-2</v>
      </c>
      <c r="N1348" s="16">
        <v>45.978000000000002</v>
      </c>
      <c r="O1348" s="17">
        <v>1040.0016666666668</v>
      </c>
      <c r="P1348" s="16">
        <v>65.682857142857145</v>
      </c>
      <c r="Q1348" s="17">
        <v>1485.7166666666665</v>
      </c>
    </row>
    <row r="1349" spans="1:17" x14ac:dyDescent="0.25">
      <c r="A1349" s="20" t="s">
        <v>353</v>
      </c>
      <c r="B1349" s="7">
        <v>11</v>
      </c>
      <c r="C1349" s="7">
        <v>109</v>
      </c>
      <c r="D1349" s="7">
        <v>1</v>
      </c>
      <c r="E1349" s="6" t="s">
        <v>355</v>
      </c>
      <c r="F1349" s="13" t="s">
        <v>321</v>
      </c>
      <c r="G1349" s="13">
        <v>2</v>
      </c>
      <c r="H1349" s="7">
        <v>3.5</v>
      </c>
      <c r="I1349" s="14" t="s">
        <v>319</v>
      </c>
      <c r="J1349" s="7">
        <v>1.008</v>
      </c>
      <c r="K1349" s="7">
        <v>48.47</v>
      </c>
      <c r="L1349" s="6" t="s">
        <v>1673</v>
      </c>
      <c r="M1349" s="15">
        <v>0</v>
      </c>
      <c r="N1349" s="16">
        <v>0</v>
      </c>
      <c r="O1349" s="17">
        <v>0</v>
      </c>
      <c r="P1349" s="16">
        <v>0</v>
      </c>
      <c r="Q1349" s="17">
        <v>0</v>
      </c>
    </row>
    <row r="1350" spans="1:17" x14ac:dyDescent="0.25">
      <c r="A1350" s="20" t="s">
        <v>353</v>
      </c>
      <c r="B1350" s="7">
        <v>11</v>
      </c>
      <c r="C1350" s="7">
        <v>109</v>
      </c>
      <c r="D1350" s="7">
        <v>2</v>
      </c>
      <c r="E1350" s="6" t="s">
        <v>316</v>
      </c>
      <c r="F1350" s="13" t="s">
        <v>317</v>
      </c>
      <c r="G1350" s="13">
        <v>0</v>
      </c>
      <c r="H1350" s="7">
        <v>2.5</v>
      </c>
      <c r="I1350" s="14" t="s">
        <v>318</v>
      </c>
      <c r="J1350" s="7">
        <v>0.99050000000000005</v>
      </c>
      <c r="K1350" s="7">
        <v>45.550750000000001</v>
      </c>
      <c r="L1350" s="6" t="s">
        <v>1673</v>
      </c>
      <c r="M1350" s="15">
        <v>0.1522</v>
      </c>
      <c r="N1350" s="16">
        <v>37.688525000000006</v>
      </c>
      <c r="O1350" s="17">
        <v>1733.2060375000001</v>
      </c>
      <c r="P1350" s="16">
        <v>75.377050000000011</v>
      </c>
      <c r="Q1350" s="17">
        <v>3466.4120750000006</v>
      </c>
    </row>
    <row r="1351" spans="1:17" x14ac:dyDescent="0.25">
      <c r="A1351" s="20" t="s">
        <v>353</v>
      </c>
      <c r="B1351" s="7">
        <v>11</v>
      </c>
      <c r="C1351" s="7">
        <v>109</v>
      </c>
      <c r="D1351" s="7">
        <v>2</v>
      </c>
      <c r="E1351" s="6" t="s">
        <v>316</v>
      </c>
      <c r="F1351" s="13" t="s">
        <v>317</v>
      </c>
      <c r="G1351" s="13">
        <v>0</v>
      </c>
      <c r="H1351" s="7">
        <v>2.5</v>
      </c>
      <c r="I1351" s="14" t="s">
        <v>319</v>
      </c>
      <c r="J1351" s="7" t="s">
        <v>1673</v>
      </c>
      <c r="K1351" s="7" t="s">
        <v>1673</v>
      </c>
      <c r="L1351" s="6" t="s">
        <v>1673</v>
      </c>
      <c r="M1351" s="15" t="s">
        <v>1673</v>
      </c>
      <c r="N1351" s="16" t="s">
        <v>1673</v>
      </c>
      <c r="O1351" s="17" t="s">
        <v>1673</v>
      </c>
      <c r="P1351" s="16" t="s">
        <v>1673</v>
      </c>
      <c r="Q1351" s="17" t="s">
        <v>1673</v>
      </c>
    </row>
    <row r="1352" spans="1:17" x14ac:dyDescent="0.25">
      <c r="A1352" s="20" t="s">
        <v>353</v>
      </c>
      <c r="B1352" s="7">
        <v>11</v>
      </c>
      <c r="C1352" s="7">
        <v>109</v>
      </c>
      <c r="D1352" s="7">
        <v>2</v>
      </c>
      <c r="E1352" s="6" t="s">
        <v>355</v>
      </c>
      <c r="F1352" s="13" t="s">
        <v>320</v>
      </c>
      <c r="G1352" s="13">
        <v>1</v>
      </c>
      <c r="H1352" s="7">
        <v>5</v>
      </c>
      <c r="I1352" s="14" t="s">
        <v>318</v>
      </c>
      <c r="J1352" s="7">
        <v>1.1559999999999999</v>
      </c>
      <c r="K1352" s="7">
        <v>47.058999999999997</v>
      </c>
      <c r="L1352" s="6" t="s">
        <v>1673</v>
      </c>
      <c r="M1352" s="15">
        <v>0.3167692307692308</v>
      </c>
      <c r="N1352" s="16">
        <v>183.09261538461539</v>
      </c>
      <c r="O1352" s="17">
        <v>7453.4216153846155</v>
      </c>
      <c r="P1352" s="16">
        <v>183.09261538461536</v>
      </c>
      <c r="Q1352" s="17">
        <v>7453.4216153846155</v>
      </c>
    </row>
    <row r="1353" spans="1:17" x14ac:dyDescent="0.25">
      <c r="A1353" s="20" t="s">
        <v>353</v>
      </c>
      <c r="B1353" s="7">
        <v>11</v>
      </c>
      <c r="C1353" s="7">
        <v>109</v>
      </c>
      <c r="D1353" s="7">
        <v>2</v>
      </c>
      <c r="E1353" s="6" t="s">
        <v>355</v>
      </c>
      <c r="F1353" s="13" t="s">
        <v>320</v>
      </c>
      <c r="G1353" s="13">
        <v>1</v>
      </c>
      <c r="H1353" s="7">
        <v>5</v>
      </c>
      <c r="I1353" s="14" t="s">
        <v>319</v>
      </c>
      <c r="J1353" s="7">
        <v>0.70299999999999996</v>
      </c>
      <c r="K1353" s="7">
        <v>52.707999999999998</v>
      </c>
      <c r="L1353" s="6" t="s">
        <v>1673</v>
      </c>
      <c r="M1353" s="15">
        <v>9.2307692307692305E-4</v>
      </c>
      <c r="N1353" s="16">
        <v>0.32446153846153841</v>
      </c>
      <c r="O1353" s="17">
        <v>24.326769230769226</v>
      </c>
      <c r="P1353" s="16">
        <v>0.32446153846153841</v>
      </c>
      <c r="Q1353" s="17">
        <v>24.32676923076923</v>
      </c>
    </row>
    <row r="1354" spans="1:17" x14ac:dyDescent="0.25">
      <c r="A1354" s="20" t="s">
        <v>353</v>
      </c>
      <c r="B1354" s="7">
        <v>11</v>
      </c>
      <c r="C1354" s="7">
        <v>109</v>
      </c>
      <c r="D1354" s="7">
        <v>2</v>
      </c>
      <c r="E1354" s="6" t="s">
        <v>355</v>
      </c>
      <c r="F1354" s="13" t="s">
        <v>321</v>
      </c>
      <c r="G1354" s="13">
        <v>2</v>
      </c>
      <c r="H1354" s="7">
        <v>5</v>
      </c>
      <c r="I1354" s="14" t="s">
        <v>318</v>
      </c>
      <c r="J1354" s="7">
        <v>1.097</v>
      </c>
      <c r="K1354" s="7">
        <v>47.067999999999998</v>
      </c>
      <c r="L1354" s="6" t="s">
        <v>1673</v>
      </c>
      <c r="M1354" s="15">
        <v>0.57822769230769233</v>
      </c>
      <c r="N1354" s="16">
        <v>317.15788923076929</v>
      </c>
      <c r="O1354" s="17">
        <v>13608.010510769231</v>
      </c>
      <c r="P1354" s="16">
        <v>317.15788923076923</v>
      </c>
      <c r="Q1354" s="17">
        <v>13608.010510769231</v>
      </c>
    </row>
    <row r="1355" spans="1:17" x14ac:dyDescent="0.25">
      <c r="A1355" s="20" t="s">
        <v>353</v>
      </c>
      <c r="B1355" s="7">
        <v>11</v>
      </c>
      <c r="C1355" s="7">
        <v>109</v>
      </c>
      <c r="D1355" s="7">
        <v>2</v>
      </c>
      <c r="E1355" s="6" t="s">
        <v>355</v>
      </c>
      <c r="F1355" s="13" t="s">
        <v>321</v>
      </c>
      <c r="G1355" s="13">
        <v>2</v>
      </c>
      <c r="H1355" s="7">
        <v>5</v>
      </c>
      <c r="I1355" s="14" t="s">
        <v>319</v>
      </c>
      <c r="J1355" s="7" t="s">
        <v>1673</v>
      </c>
      <c r="K1355" s="7" t="s">
        <v>1673</v>
      </c>
      <c r="L1355" s="6" t="s">
        <v>1673</v>
      </c>
      <c r="M1355" s="15" t="s">
        <v>1673</v>
      </c>
      <c r="N1355" s="16" t="s">
        <v>1673</v>
      </c>
      <c r="O1355" s="17" t="s">
        <v>1673</v>
      </c>
      <c r="P1355" s="16" t="s">
        <v>1673</v>
      </c>
      <c r="Q1355" s="17" t="s">
        <v>1673</v>
      </c>
    </row>
    <row r="1356" spans="1:17" x14ac:dyDescent="0.25">
      <c r="A1356" s="20" t="s">
        <v>353</v>
      </c>
      <c r="B1356" s="7">
        <v>11</v>
      </c>
      <c r="C1356" s="7">
        <v>109</v>
      </c>
      <c r="D1356" s="7">
        <v>2</v>
      </c>
      <c r="E1356" s="6" t="s">
        <v>355</v>
      </c>
      <c r="F1356" s="13" t="s">
        <v>322</v>
      </c>
      <c r="G1356" s="13">
        <v>3</v>
      </c>
      <c r="H1356" s="7">
        <v>5</v>
      </c>
      <c r="I1356" s="14" t="s">
        <v>318</v>
      </c>
      <c r="J1356" s="7">
        <v>1.1819999999999999</v>
      </c>
      <c r="K1356" s="7">
        <v>37.776000000000003</v>
      </c>
      <c r="L1356" s="6" t="s">
        <v>1673</v>
      </c>
      <c r="M1356" s="15">
        <v>0.54305230769230761</v>
      </c>
      <c r="N1356" s="16">
        <v>320.94391384615375</v>
      </c>
      <c r="O1356" s="17">
        <v>10257.171987692307</v>
      </c>
      <c r="P1356" s="16">
        <v>320.94391384615375</v>
      </c>
      <c r="Q1356" s="17">
        <v>10257.171987692309</v>
      </c>
    </row>
    <row r="1357" spans="1:17" x14ac:dyDescent="0.25">
      <c r="A1357" s="20" t="s">
        <v>353</v>
      </c>
      <c r="B1357" s="7">
        <v>11</v>
      </c>
      <c r="C1357" s="7">
        <v>109</v>
      </c>
      <c r="D1357" s="7">
        <v>2</v>
      </c>
      <c r="E1357" s="6" t="s">
        <v>355</v>
      </c>
      <c r="F1357" s="13" t="s">
        <v>322</v>
      </c>
      <c r="G1357" s="13">
        <v>3</v>
      </c>
      <c r="H1357" s="7">
        <v>5</v>
      </c>
      <c r="I1357" s="14" t="s">
        <v>319</v>
      </c>
      <c r="J1357" s="7">
        <v>0.90100000000000002</v>
      </c>
      <c r="K1357" s="7">
        <v>49.868000000000002</v>
      </c>
      <c r="L1357" s="6" t="s">
        <v>1673</v>
      </c>
      <c r="M1357" s="15">
        <v>2.3015384615384616E-3</v>
      </c>
      <c r="N1357" s="16">
        <v>1.036843076923077</v>
      </c>
      <c r="O1357" s="17">
        <v>57.386560000000003</v>
      </c>
      <c r="P1357" s="16">
        <v>1.0368430769230772</v>
      </c>
      <c r="Q1357" s="17">
        <v>57.38656000000001</v>
      </c>
    </row>
    <row r="1358" spans="1:17" x14ac:dyDescent="0.25">
      <c r="A1358" s="20" t="s">
        <v>353</v>
      </c>
      <c r="B1358" s="7">
        <v>11</v>
      </c>
      <c r="C1358" s="7">
        <v>109</v>
      </c>
      <c r="D1358" s="7">
        <v>2</v>
      </c>
      <c r="E1358" s="6" t="s">
        <v>355</v>
      </c>
      <c r="F1358" s="13" t="s">
        <v>324</v>
      </c>
      <c r="G1358" s="18">
        <v>4</v>
      </c>
      <c r="H1358" s="7">
        <v>5</v>
      </c>
      <c r="I1358" s="14" t="s">
        <v>318</v>
      </c>
      <c r="J1358" s="7">
        <v>0.61</v>
      </c>
      <c r="K1358" s="7">
        <v>10.786</v>
      </c>
      <c r="L1358" s="6">
        <v>1</v>
      </c>
      <c r="M1358" s="15">
        <v>0.7582051282051282</v>
      </c>
      <c r="N1358" s="16">
        <v>231.25256410256409</v>
      </c>
      <c r="O1358" s="17">
        <v>4089.0002564102565</v>
      </c>
      <c r="P1358" s="16">
        <v>231.25256410256409</v>
      </c>
      <c r="Q1358" s="17">
        <v>4089.000256410256</v>
      </c>
    </row>
    <row r="1359" spans="1:17" x14ac:dyDescent="0.25">
      <c r="A1359" s="20" t="s">
        <v>353</v>
      </c>
      <c r="B1359" s="7">
        <v>11</v>
      </c>
      <c r="C1359" s="7">
        <v>109</v>
      </c>
      <c r="D1359" s="7">
        <v>2</v>
      </c>
      <c r="E1359" s="6" t="s">
        <v>355</v>
      </c>
      <c r="F1359" s="13" t="s">
        <v>324</v>
      </c>
      <c r="G1359" s="18">
        <v>4</v>
      </c>
      <c r="H1359" s="7">
        <v>5</v>
      </c>
      <c r="I1359" s="14" t="s">
        <v>319</v>
      </c>
      <c r="J1359" s="7">
        <v>0.72399999999999998</v>
      </c>
      <c r="K1359" s="7">
        <v>47.600999999999999</v>
      </c>
      <c r="L1359" s="6" t="s">
        <v>1673</v>
      </c>
      <c r="M1359" s="15">
        <v>3.2205128205128205E-3</v>
      </c>
      <c r="N1359" s="16">
        <v>1.1658256410256409</v>
      </c>
      <c r="O1359" s="17">
        <v>76.64981538461538</v>
      </c>
      <c r="P1359" s="16">
        <v>1.1658256410256411</v>
      </c>
      <c r="Q1359" s="17">
        <v>76.64981538461538</v>
      </c>
    </row>
    <row r="1360" spans="1:17" x14ac:dyDescent="0.25">
      <c r="A1360" s="20" t="s">
        <v>353</v>
      </c>
      <c r="B1360" s="7">
        <v>11</v>
      </c>
      <c r="C1360" s="7">
        <v>109</v>
      </c>
      <c r="D1360" s="7">
        <v>2</v>
      </c>
      <c r="E1360" s="6" t="s">
        <v>355</v>
      </c>
      <c r="F1360" s="13" t="s">
        <v>325</v>
      </c>
      <c r="G1360" s="18">
        <v>5</v>
      </c>
      <c r="H1360" s="7">
        <v>1.5</v>
      </c>
      <c r="I1360" s="14" t="s">
        <v>318</v>
      </c>
      <c r="J1360" s="7">
        <v>0.57299999999999995</v>
      </c>
      <c r="K1360" s="7">
        <v>9.2929999999999993</v>
      </c>
      <c r="L1360" s="6">
        <v>1</v>
      </c>
      <c r="M1360" s="15">
        <v>1.1048888888888888</v>
      </c>
      <c r="N1360" s="16">
        <v>94.965199999999996</v>
      </c>
      <c r="O1360" s="17">
        <v>1540.1598666666666</v>
      </c>
      <c r="P1360" s="16">
        <v>316.55066666666664</v>
      </c>
      <c r="Q1360" s="17">
        <v>5133.8662222222219</v>
      </c>
    </row>
    <row r="1361" spans="1:17" x14ac:dyDescent="0.25">
      <c r="A1361" s="20" t="s">
        <v>353</v>
      </c>
      <c r="B1361" s="7">
        <v>11</v>
      </c>
      <c r="C1361" s="7">
        <v>109</v>
      </c>
      <c r="D1361" s="7">
        <v>2</v>
      </c>
      <c r="E1361" s="6" t="s">
        <v>355</v>
      </c>
      <c r="F1361" s="13" t="s">
        <v>325</v>
      </c>
      <c r="G1361" s="18">
        <v>5</v>
      </c>
      <c r="H1361" s="7">
        <v>1.5</v>
      </c>
      <c r="I1361" s="14" t="s">
        <v>319</v>
      </c>
      <c r="J1361" s="7" t="s">
        <v>1673</v>
      </c>
      <c r="K1361" s="7" t="s">
        <v>1673</v>
      </c>
      <c r="L1361" s="6" t="s">
        <v>1673</v>
      </c>
      <c r="M1361" s="15" t="s">
        <v>1673</v>
      </c>
      <c r="N1361" s="16" t="s">
        <v>1673</v>
      </c>
      <c r="O1361" s="17" t="s">
        <v>1673</v>
      </c>
      <c r="P1361" s="16" t="s">
        <v>1673</v>
      </c>
      <c r="Q1361" s="17" t="s">
        <v>1673</v>
      </c>
    </row>
    <row r="1362" spans="1:17" x14ac:dyDescent="0.25">
      <c r="A1362" s="20" t="s">
        <v>353</v>
      </c>
      <c r="B1362" s="7">
        <v>11</v>
      </c>
      <c r="C1362" s="7">
        <v>109</v>
      </c>
      <c r="D1362" s="7">
        <v>3</v>
      </c>
      <c r="E1362" s="6" t="s">
        <v>316</v>
      </c>
      <c r="F1362" s="13" t="s">
        <v>317</v>
      </c>
      <c r="G1362" s="13">
        <v>0</v>
      </c>
      <c r="H1362" s="7">
        <v>2.25</v>
      </c>
      <c r="I1362" s="14" t="s">
        <v>318</v>
      </c>
      <c r="J1362" s="7">
        <v>0.92700000000000005</v>
      </c>
      <c r="K1362" s="7">
        <v>45.726999999999997</v>
      </c>
      <c r="L1362" s="6" t="s">
        <v>1673</v>
      </c>
      <c r="M1362" s="15">
        <v>0.24200823045267492</v>
      </c>
      <c r="N1362" s="16">
        <v>50.47686666666668</v>
      </c>
      <c r="O1362" s="17">
        <v>2489.9198296296299</v>
      </c>
      <c r="P1362" s="16">
        <v>112.17081481481482</v>
      </c>
      <c r="Q1362" s="17">
        <v>5533.1551769547314</v>
      </c>
    </row>
    <row r="1363" spans="1:17" x14ac:dyDescent="0.25">
      <c r="A1363" s="20" t="s">
        <v>353</v>
      </c>
      <c r="B1363" s="7">
        <v>11</v>
      </c>
      <c r="C1363" s="7">
        <v>109</v>
      </c>
      <c r="D1363" s="7">
        <v>3</v>
      </c>
      <c r="E1363" s="6" t="s">
        <v>316</v>
      </c>
      <c r="F1363" s="13" t="s">
        <v>317</v>
      </c>
      <c r="G1363" s="13">
        <v>0</v>
      </c>
      <c r="H1363" s="7">
        <v>2.25</v>
      </c>
      <c r="I1363" s="14" t="s">
        <v>319</v>
      </c>
      <c r="J1363" s="7" t="s">
        <v>1673</v>
      </c>
      <c r="K1363" s="7" t="s">
        <v>1673</v>
      </c>
      <c r="L1363" s="6" t="s">
        <v>1673</v>
      </c>
      <c r="M1363" s="15" t="s">
        <v>1673</v>
      </c>
      <c r="N1363" s="16" t="s">
        <v>1673</v>
      </c>
      <c r="O1363" s="17" t="s">
        <v>1673</v>
      </c>
      <c r="P1363" s="16" t="s">
        <v>1673</v>
      </c>
      <c r="Q1363" s="17" t="s">
        <v>1673</v>
      </c>
    </row>
    <row r="1364" spans="1:17" x14ac:dyDescent="0.25">
      <c r="A1364" s="20" t="s">
        <v>353</v>
      </c>
      <c r="B1364" s="7">
        <v>11</v>
      </c>
      <c r="C1364" s="7">
        <v>109</v>
      </c>
      <c r="D1364" s="7">
        <v>3</v>
      </c>
      <c r="E1364" s="6" t="s">
        <v>355</v>
      </c>
      <c r="F1364" s="13" t="s">
        <v>320</v>
      </c>
      <c r="G1364" s="13">
        <v>1</v>
      </c>
      <c r="H1364" s="7">
        <v>5</v>
      </c>
      <c r="I1364" s="14" t="s">
        <v>318</v>
      </c>
      <c r="J1364" s="7">
        <v>1.0489999999999999</v>
      </c>
      <c r="K1364" s="7">
        <v>48.441000000000003</v>
      </c>
      <c r="L1364" s="6" t="s">
        <v>1673</v>
      </c>
      <c r="M1364" s="15">
        <v>1.9550000000000005E-2</v>
      </c>
      <c r="N1364" s="16">
        <v>10.253975000000002</v>
      </c>
      <c r="O1364" s="17">
        <v>473.51077500000014</v>
      </c>
      <c r="P1364" s="16">
        <v>10.253975000000004</v>
      </c>
      <c r="Q1364" s="17">
        <v>473.51077500000014</v>
      </c>
    </row>
    <row r="1365" spans="1:17" x14ac:dyDescent="0.25">
      <c r="A1365" s="20" t="s">
        <v>353</v>
      </c>
      <c r="B1365" s="7">
        <v>11</v>
      </c>
      <c r="C1365" s="7">
        <v>109</v>
      </c>
      <c r="D1365" s="7">
        <v>3</v>
      </c>
      <c r="E1365" s="6" t="s">
        <v>355</v>
      </c>
      <c r="F1365" s="13" t="s">
        <v>320</v>
      </c>
      <c r="G1365" s="13">
        <v>1</v>
      </c>
      <c r="H1365" s="7">
        <v>5</v>
      </c>
      <c r="I1365" s="14" t="s">
        <v>319</v>
      </c>
      <c r="J1365" s="7">
        <v>0.57499999999999996</v>
      </c>
      <c r="K1365" s="7">
        <v>50.243000000000002</v>
      </c>
      <c r="L1365" s="6" t="s">
        <v>1673</v>
      </c>
      <c r="M1365" s="15">
        <v>5.96E-3</v>
      </c>
      <c r="N1365" s="16">
        <v>1.7135</v>
      </c>
      <c r="O1365" s="17">
        <v>149.72414000000001</v>
      </c>
      <c r="P1365" s="16">
        <v>1.7134999999999998</v>
      </c>
      <c r="Q1365" s="17">
        <v>149.72414000000001</v>
      </c>
    </row>
    <row r="1366" spans="1:17" x14ac:dyDescent="0.25">
      <c r="A1366" s="20" t="s">
        <v>353</v>
      </c>
      <c r="B1366" s="7">
        <v>11</v>
      </c>
      <c r="C1366" s="7">
        <v>109</v>
      </c>
      <c r="D1366" s="7">
        <v>3</v>
      </c>
      <c r="E1366" s="6" t="s">
        <v>355</v>
      </c>
      <c r="F1366" s="13" t="s">
        <v>321</v>
      </c>
      <c r="G1366" s="13">
        <v>2</v>
      </c>
      <c r="H1366" s="7">
        <v>5</v>
      </c>
      <c r="I1366" s="14" t="s">
        <v>318</v>
      </c>
      <c r="J1366" s="7">
        <v>1.071</v>
      </c>
      <c r="K1366" s="7">
        <v>45.889000000000003</v>
      </c>
      <c r="L1366" s="6" t="s">
        <v>1673</v>
      </c>
      <c r="M1366" s="15">
        <v>7.5266666666666676E-2</v>
      </c>
      <c r="N1366" s="16">
        <v>40.305300000000003</v>
      </c>
      <c r="O1366" s="17">
        <v>1726.9560333333336</v>
      </c>
      <c r="P1366" s="16">
        <v>40.305300000000003</v>
      </c>
      <c r="Q1366" s="17">
        <v>1726.9560333333338</v>
      </c>
    </row>
    <row r="1367" spans="1:17" x14ac:dyDescent="0.25">
      <c r="A1367" s="20" t="s">
        <v>353</v>
      </c>
      <c r="B1367" s="7">
        <v>11</v>
      </c>
      <c r="C1367" s="7">
        <v>109</v>
      </c>
      <c r="D1367" s="7">
        <v>3</v>
      </c>
      <c r="E1367" s="6" t="s">
        <v>355</v>
      </c>
      <c r="F1367" s="13" t="s">
        <v>321</v>
      </c>
      <c r="G1367" s="13">
        <v>2</v>
      </c>
      <c r="H1367" s="7">
        <v>5</v>
      </c>
      <c r="I1367" s="14" t="s">
        <v>319</v>
      </c>
      <c r="J1367" s="7">
        <v>0.64600000000000002</v>
      </c>
      <c r="K1367" s="7">
        <v>45.978000000000002</v>
      </c>
      <c r="L1367" s="6" t="s">
        <v>1673</v>
      </c>
      <c r="M1367" s="15">
        <v>7.7777777777777784E-4</v>
      </c>
      <c r="N1367" s="16">
        <v>0.25122222222222229</v>
      </c>
      <c r="O1367" s="17">
        <v>17.880333333333336</v>
      </c>
      <c r="P1367" s="16">
        <v>0.25122222222222224</v>
      </c>
      <c r="Q1367" s="17">
        <v>17.880333333333336</v>
      </c>
    </row>
    <row r="1368" spans="1:17" x14ac:dyDescent="0.25">
      <c r="A1368" s="20" t="s">
        <v>353</v>
      </c>
      <c r="B1368" s="7">
        <v>11</v>
      </c>
      <c r="C1368" s="7">
        <v>109</v>
      </c>
      <c r="D1368" s="7">
        <v>3</v>
      </c>
      <c r="E1368" s="6" t="s">
        <v>355</v>
      </c>
      <c r="F1368" s="13" t="s">
        <v>322</v>
      </c>
      <c r="G1368" s="13">
        <v>3</v>
      </c>
      <c r="H1368" s="7">
        <v>5</v>
      </c>
      <c r="I1368" s="14" t="s">
        <v>318</v>
      </c>
      <c r="J1368" s="7">
        <v>1.468</v>
      </c>
      <c r="K1368" s="7">
        <v>44.216000000000001</v>
      </c>
      <c r="L1368" s="6" t="s">
        <v>1673</v>
      </c>
      <c r="M1368" s="15">
        <v>0.11033333333333332</v>
      </c>
      <c r="N1368" s="16">
        <v>80.984666666666655</v>
      </c>
      <c r="O1368" s="17">
        <v>2439.2493333333332</v>
      </c>
      <c r="P1368" s="16">
        <v>80.984666666666669</v>
      </c>
      <c r="Q1368" s="17">
        <v>2439.2493333333327</v>
      </c>
    </row>
    <row r="1369" spans="1:17" x14ac:dyDescent="0.25">
      <c r="A1369" s="20" t="s">
        <v>353</v>
      </c>
      <c r="B1369" s="7">
        <v>11</v>
      </c>
      <c r="C1369" s="7">
        <v>109</v>
      </c>
      <c r="D1369" s="7">
        <v>3</v>
      </c>
      <c r="E1369" s="6" t="s">
        <v>355</v>
      </c>
      <c r="F1369" s="13" t="s">
        <v>322</v>
      </c>
      <c r="G1369" s="13">
        <v>3</v>
      </c>
      <c r="H1369" s="7">
        <v>5</v>
      </c>
      <c r="I1369" s="14" t="s">
        <v>319</v>
      </c>
      <c r="J1369" s="7" t="s">
        <v>1673</v>
      </c>
      <c r="K1369" s="7" t="s">
        <v>1673</v>
      </c>
      <c r="L1369" s="6" t="s">
        <v>1673</v>
      </c>
      <c r="M1369" s="15" t="s">
        <v>1673</v>
      </c>
      <c r="N1369" s="16" t="s">
        <v>1673</v>
      </c>
      <c r="O1369" s="17" t="s">
        <v>1673</v>
      </c>
      <c r="P1369" s="16" t="s">
        <v>1673</v>
      </c>
      <c r="Q1369" s="17" t="s">
        <v>1673</v>
      </c>
    </row>
    <row r="1370" spans="1:17" x14ac:dyDescent="0.25">
      <c r="A1370" s="20" t="s">
        <v>353</v>
      </c>
      <c r="B1370" s="7">
        <v>11</v>
      </c>
      <c r="C1370" s="7">
        <v>109</v>
      </c>
      <c r="D1370" s="7">
        <v>3</v>
      </c>
      <c r="E1370" s="6" t="s">
        <v>355</v>
      </c>
      <c r="F1370" s="13" t="s">
        <v>324</v>
      </c>
      <c r="G1370" s="18">
        <v>4</v>
      </c>
      <c r="H1370" s="7">
        <v>2.5</v>
      </c>
      <c r="I1370" s="14" t="s">
        <v>318</v>
      </c>
      <c r="J1370" s="7">
        <v>1.9850000000000001</v>
      </c>
      <c r="K1370" s="7">
        <v>42.621000000000002</v>
      </c>
      <c r="L1370" s="6" t="s">
        <v>1673</v>
      </c>
      <c r="M1370" s="15">
        <v>0.14157500000000001</v>
      </c>
      <c r="N1370" s="16">
        <v>70.256593749999993</v>
      </c>
      <c r="O1370" s="17">
        <v>1508.51701875</v>
      </c>
      <c r="P1370" s="16">
        <v>140.51318749999999</v>
      </c>
      <c r="Q1370" s="17">
        <v>3017.0340375000005</v>
      </c>
    </row>
    <row r="1371" spans="1:17" x14ac:dyDescent="0.25">
      <c r="A1371" s="20" t="s">
        <v>353</v>
      </c>
      <c r="B1371" s="7">
        <v>11</v>
      </c>
      <c r="C1371" s="7">
        <v>109</v>
      </c>
      <c r="D1371" s="7">
        <v>3</v>
      </c>
      <c r="E1371" s="6" t="s">
        <v>355</v>
      </c>
      <c r="F1371" s="13" t="s">
        <v>324</v>
      </c>
      <c r="G1371" s="18">
        <v>4</v>
      </c>
      <c r="H1371" s="7">
        <v>2.5</v>
      </c>
      <c r="I1371" s="14" t="s">
        <v>319</v>
      </c>
      <c r="J1371" s="7" t="s">
        <v>1673</v>
      </c>
      <c r="K1371" s="7" t="s">
        <v>1673</v>
      </c>
      <c r="L1371" s="6" t="s">
        <v>1673</v>
      </c>
      <c r="M1371" s="15" t="s">
        <v>1673</v>
      </c>
      <c r="N1371" s="16" t="s">
        <v>1673</v>
      </c>
      <c r="O1371" s="17" t="s">
        <v>1673</v>
      </c>
      <c r="P1371" s="16" t="s">
        <v>1673</v>
      </c>
      <c r="Q1371" s="17" t="s">
        <v>1673</v>
      </c>
    </row>
    <row r="1372" spans="1:17" x14ac:dyDescent="0.25">
      <c r="A1372" s="20" t="s">
        <v>353</v>
      </c>
      <c r="B1372" s="7">
        <v>11</v>
      </c>
      <c r="C1372" s="7">
        <v>109</v>
      </c>
      <c r="D1372" s="7">
        <v>4</v>
      </c>
      <c r="E1372" s="6" t="s">
        <v>316</v>
      </c>
      <c r="F1372" s="13" t="s">
        <v>317</v>
      </c>
      <c r="G1372" s="13">
        <v>0</v>
      </c>
      <c r="H1372" s="7">
        <v>1</v>
      </c>
      <c r="I1372" s="14" t="s">
        <v>318</v>
      </c>
      <c r="J1372" s="7">
        <v>1.0429999999999999</v>
      </c>
      <c r="K1372" s="7">
        <v>46.073</v>
      </c>
      <c r="L1372" s="6" t="s">
        <v>1673</v>
      </c>
      <c r="M1372" s="15">
        <v>2.3633333333333333E-2</v>
      </c>
      <c r="N1372" s="16">
        <v>2.4649566666666667</v>
      </c>
      <c r="O1372" s="17">
        <v>108.88585666666667</v>
      </c>
      <c r="P1372" s="16">
        <v>12.324783333333333</v>
      </c>
      <c r="Q1372" s="17">
        <v>544.42928333333339</v>
      </c>
    </row>
    <row r="1373" spans="1:17" x14ac:dyDescent="0.25">
      <c r="A1373" s="20" t="s">
        <v>353</v>
      </c>
      <c r="B1373" s="7">
        <v>11</v>
      </c>
      <c r="C1373" s="7">
        <v>109</v>
      </c>
      <c r="D1373" s="7">
        <v>4</v>
      </c>
      <c r="E1373" s="6" t="s">
        <v>316</v>
      </c>
      <c r="F1373" s="13" t="s">
        <v>317</v>
      </c>
      <c r="G1373" s="13">
        <v>0</v>
      </c>
      <c r="H1373" s="7">
        <v>1</v>
      </c>
      <c r="I1373" s="14" t="s">
        <v>319</v>
      </c>
      <c r="J1373" s="7" t="s">
        <v>1673</v>
      </c>
      <c r="K1373" s="7" t="s">
        <v>1673</v>
      </c>
      <c r="L1373" s="6" t="s">
        <v>1673</v>
      </c>
      <c r="M1373" s="15" t="s">
        <v>1673</v>
      </c>
      <c r="N1373" s="16" t="s">
        <v>1673</v>
      </c>
      <c r="O1373" s="17" t="s">
        <v>1673</v>
      </c>
      <c r="P1373" s="16" t="s">
        <v>1673</v>
      </c>
      <c r="Q1373" s="17" t="s">
        <v>1673</v>
      </c>
    </row>
    <row r="1374" spans="1:17" x14ac:dyDescent="0.25">
      <c r="A1374" s="20" t="s">
        <v>353</v>
      </c>
      <c r="B1374" s="7">
        <v>11</v>
      </c>
      <c r="C1374" s="7">
        <v>109</v>
      </c>
      <c r="D1374" s="7">
        <v>4</v>
      </c>
      <c r="E1374" s="6" t="s">
        <v>355</v>
      </c>
      <c r="F1374" s="13" t="s">
        <v>320</v>
      </c>
      <c r="G1374" s="13">
        <v>1</v>
      </c>
      <c r="H1374" s="7">
        <v>5</v>
      </c>
      <c r="I1374" s="14" t="s">
        <v>318</v>
      </c>
      <c r="J1374" s="7">
        <v>1.0230000000000001</v>
      </c>
      <c r="K1374" s="7">
        <v>45.302250000000001</v>
      </c>
      <c r="L1374" s="6" t="s">
        <v>1673</v>
      </c>
      <c r="M1374" s="15">
        <v>7.0007272727272724E-2</v>
      </c>
      <c r="N1374" s="16">
        <v>35.808720000000001</v>
      </c>
      <c r="O1374" s="17">
        <v>1585.7434854545452</v>
      </c>
      <c r="P1374" s="16">
        <v>35.808720000000001</v>
      </c>
      <c r="Q1374" s="17">
        <v>1585.7434854545452</v>
      </c>
    </row>
    <row r="1375" spans="1:17" x14ac:dyDescent="0.25">
      <c r="A1375" s="20" t="s">
        <v>353</v>
      </c>
      <c r="B1375" s="7">
        <v>11</v>
      </c>
      <c r="C1375" s="7">
        <v>109</v>
      </c>
      <c r="D1375" s="7">
        <v>4</v>
      </c>
      <c r="E1375" s="6" t="s">
        <v>355</v>
      </c>
      <c r="F1375" s="13" t="s">
        <v>320</v>
      </c>
      <c r="G1375" s="13">
        <v>1</v>
      </c>
      <c r="H1375" s="7">
        <v>5</v>
      </c>
      <c r="I1375" s="14" t="s">
        <v>319</v>
      </c>
      <c r="J1375" s="7">
        <v>0.68600000000000005</v>
      </c>
      <c r="K1375" s="7">
        <v>45.923000000000002</v>
      </c>
      <c r="L1375" s="6" t="s">
        <v>1673</v>
      </c>
      <c r="M1375" s="15">
        <v>4.0901818181818178E-2</v>
      </c>
      <c r="N1375" s="16">
        <v>14.029323636363637</v>
      </c>
      <c r="O1375" s="17">
        <v>939.16709818181823</v>
      </c>
      <c r="P1375" s="16">
        <v>14.029323636363635</v>
      </c>
      <c r="Q1375" s="17">
        <v>939.16709818181801</v>
      </c>
    </row>
    <row r="1376" spans="1:17" x14ac:dyDescent="0.25">
      <c r="A1376" s="20" t="s">
        <v>353</v>
      </c>
      <c r="B1376" s="7">
        <v>11</v>
      </c>
      <c r="C1376" s="7">
        <v>109</v>
      </c>
      <c r="D1376" s="7">
        <v>4</v>
      </c>
      <c r="E1376" s="6" t="s">
        <v>355</v>
      </c>
      <c r="F1376" s="13" t="s">
        <v>321</v>
      </c>
      <c r="G1376" s="13">
        <v>2</v>
      </c>
      <c r="H1376" s="7">
        <v>5</v>
      </c>
      <c r="I1376" s="14" t="s">
        <v>318</v>
      </c>
      <c r="J1376" s="7">
        <v>0.67700000000000005</v>
      </c>
      <c r="K1376" s="7">
        <v>45.582999999999998</v>
      </c>
      <c r="L1376" s="6" t="s">
        <v>1673</v>
      </c>
      <c r="M1376" s="15">
        <v>8.6233846153846147E-2</v>
      </c>
      <c r="N1376" s="16">
        <v>29.190156923076927</v>
      </c>
      <c r="O1376" s="17">
        <v>1965.3987046153843</v>
      </c>
      <c r="P1376" s="16">
        <v>29.190156923076927</v>
      </c>
      <c r="Q1376" s="17">
        <v>1965.3987046153838</v>
      </c>
    </row>
    <row r="1377" spans="1:17" x14ac:dyDescent="0.25">
      <c r="A1377" s="20" t="s">
        <v>353</v>
      </c>
      <c r="B1377" s="7">
        <v>11</v>
      </c>
      <c r="C1377" s="7">
        <v>109</v>
      </c>
      <c r="D1377" s="7">
        <v>4</v>
      </c>
      <c r="E1377" s="6" t="s">
        <v>355</v>
      </c>
      <c r="F1377" s="13" t="s">
        <v>321</v>
      </c>
      <c r="G1377" s="13">
        <v>2</v>
      </c>
      <c r="H1377" s="7">
        <v>5</v>
      </c>
      <c r="I1377" s="14" t="s">
        <v>319</v>
      </c>
      <c r="J1377" s="7">
        <v>0.65100000000000002</v>
      </c>
      <c r="K1377" s="7">
        <v>51.234000000000002</v>
      </c>
      <c r="L1377" s="6" t="s">
        <v>1673</v>
      </c>
      <c r="M1377" s="15">
        <v>1.0276923076923078E-3</v>
      </c>
      <c r="N1377" s="16">
        <v>0.33451384615384616</v>
      </c>
      <c r="O1377" s="17">
        <v>26.326393846153849</v>
      </c>
      <c r="P1377" s="16">
        <v>0.33451384615384622</v>
      </c>
      <c r="Q1377" s="17">
        <v>26.326393846153852</v>
      </c>
    </row>
    <row r="1378" spans="1:17" x14ac:dyDescent="0.25">
      <c r="A1378" s="20" t="s">
        <v>353</v>
      </c>
      <c r="B1378" s="7">
        <v>11</v>
      </c>
      <c r="C1378" s="7">
        <v>109</v>
      </c>
      <c r="D1378" s="7">
        <v>4</v>
      </c>
      <c r="E1378" s="6" t="s">
        <v>355</v>
      </c>
      <c r="F1378" s="13" t="s">
        <v>322</v>
      </c>
      <c r="G1378" s="13">
        <v>3</v>
      </c>
      <c r="H1378" s="7">
        <v>5</v>
      </c>
      <c r="I1378" s="14" t="s">
        <v>318</v>
      </c>
      <c r="J1378" s="7">
        <v>0.86599999999999999</v>
      </c>
      <c r="K1378" s="7">
        <v>45.36</v>
      </c>
      <c r="L1378" s="6" t="s">
        <v>1673</v>
      </c>
      <c r="M1378" s="15">
        <v>0.10696296296296295</v>
      </c>
      <c r="N1378" s="16">
        <v>46.314962962962959</v>
      </c>
      <c r="O1378" s="17">
        <v>2425.92</v>
      </c>
      <c r="P1378" s="16">
        <v>46.314962962962952</v>
      </c>
      <c r="Q1378" s="17">
        <v>2425.9199999999996</v>
      </c>
    </row>
    <row r="1379" spans="1:17" x14ac:dyDescent="0.25">
      <c r="A1379" s="20" t="s">
        <v>353</v>
      </c>
      <c r="B1379" s="7">
        <v>11</v>
      </c>
      <c r="C1379" s="7">
        <v>109</v>
      </c>
      <c r="D1379" s="7">
        <v>4</v>
      </c>
      <c r="E1379" s="6" t="s">
        <v>355</v>
      </c>
      <c r="F1379" s="13" t="s">
        <v>322</v>
      </c>
      <c r="G1379" s="13">
        <v>3</v>
      </c>
      <c r="H1379" s="7">
        <v>5</v>
      </c>
      <c r="I1379" s="14" t="s">
        <v>319</v>
      </c>
      <c r="J1379" s="7" t="s">
        <v>1673</v>
      </c>
      <c r="K1379" s="7" t="s">
        <v>1673</v>
      </c>
      <c r="L1379" s="6" t="s">
        <v>1673</v>
      </c>
      <c r="M1379" s="15" t="s">
        <v>1673</v>
      </c>
      <c r="N1379" s="16" t="s">
        <v>1673</v>
      </c>
      <c r="O1379" s="17" t="s">
        <v>1673</v>
      </c>
      <c r="P1379" s="16" t="s">
        <v>1673</v>
      </c>
      <c r="Q1379" s="17" t="s">
        <v>1673</v>
      </c>
    </row>
    <row r="1380" spans="1:17" x14ac:dyDescent="0.25">
      <c r="A1380" s="20" t="s">
        <v>353</v>
      </c>
      <c r="B1380" s="7">
        <v>11</v>
      </c>
      <c r="C1380" s="7">
        <v>109</v>
      </c>
      <c r="D1380" s="7">
        <v>4</v>
      </c>
      <c r="E1380" s="6" t="s">
        <v>355</v>
      </c>
      <c r="F1380" s="13" t="s">
        <v>324</v>
      </c>
      <c r="G1380" s="18">
        <v>4</v>
      </c>
      <c r="H1380" s="7">
        <v>5</v>
      </c>
      <c r="I1380" s="14" t="s">
        <v>318</v>
      </c>
      <c r="J1380" s="7">
        <v>2.069</v>
      </c>
      <c r="K1380" s="7">
        <v>44.268000000000001</v>
      </c>
      <c r="L1380" s="6" t="s">
        <v>1673</v>
      </c>
      <c r="M1380" s="15">
        <v>0.12781414141414141</v>
      </c>
      <c r="N1380" s="16">
        <v>132.22372929292931</v>
      </c>
      <c r="O1380" s="17">
        <v>2829.0382060606062</v>
      </c>
      <c r="P1380" s="16">
        <v>132.22372929292928</v>
      </c>
      <c r="Q1380" s="17">
        <v>2829.0382060606062</v>
      </c>
    </row>
    <row r="1381" spans="1:17" x14ac:dyDescent="0.25">
      <c r="A1381" s="20" t="s">
        <v>353</v>
      </c>
      <c r="B1381" s="7">
        <v>11</v>
      </c>
      <c r="C1381" s="7">
        <v>109</v>
      </c>
      <c r="D1381" s="7">
        <v>4</v>
      </c>
      <c r="E1381" s="6" t="s">
        <v>355</v>
      </c>
      <c r="F1381" s="13" t="s">
        <v>324</v>
      </c>
      <c r="G1381" s="18">
        <v>4</v>
      </c>
      <c r="H1381" s="7">
        <v>5</v>
      </c>
      <c r="I1381" s="14" t="s">
        <v>319</v>
      </c>
      <c r="J1381" s="7" t="s">
        <v>1673</v>
      </c>
      <c r="K1381" s="7" t="s">
        <v>1673</v>
      </c>
      <c r="L1381" s="6" t="s">
        <v>1673</v>
      </c>
      <c r="M1381" s="15" t="s">
        <v>1673</v>
      </c>
      <c r="N1381" s="16" t="s">
        <v>1673</v>
      </c>
      <c r="O1381" s="17" t="s">
        <v>1673</v>
      </c>
      <c r="P1381" s="16" t="s">
        <v>1673</v>
      </c>
      <c r="Q1381" s="17" t="s">
        <v>1673</v>
      </c>
    </row>
    <row r="1382" spans="1:17" x14ac:dyDescent="0.25">
      <c r="A1382" s="20" t="s">
        <v>353</v>
      </c>
      <c r="B1382" s="7">
        <v>11</v>
      </c>
      <c r="C1382" s="7">
        <v>109</v>
      </c>
      <c r="D1382" s="7">
        <v>4</v>
      </c>
      <c r="E1382" s="6" t="s">
        <v>355</v>
      </c>
      <c r="F1382" s="13" t="s">
        <v>325</v>
      </c>
      <c r="G1382" s="18">
        <v>5</v>
      </c>
      <c r="H1382" s="7">
        <v>3</v>
      </c>
      <c r="I1382" s="14" t="s">
        <v>318</v>
      </c>
      <c r="J1382" s="7">
        <v>2.101</v>
      </c>
      <c r="K1382" s="7">
        <v>44.914999999999999</v>
      </c>
      <c r="L1382" s="6" t="s">
        <v>1673</v>
      </c>
      <c r="M1382" s="15">
        <v>0.11779259259259259</v>
      </c>
      <c r="N1382" s="16">
        <v>74.244671111111103</v>
      </c>
      <c r="O1382" s="17">
        <v>1587.1962888888886</v>
      </c>
      <c r="P1382" s="16">
        <v>123.74111851851852</v>
      </c>
      <c r="Q1382" s="17">
        <v>2645.3271481481484</v>
      </c>
    </row>
    <row r="1383" spans="1:17" x14ac:dyDescent="0.25">
      <c r="A1383" s="20" t="s">
        <v>353</v>
      </c>
      <c r="B1383" s="7">
        <v>11</v>
      </c>
      <c r="C1383" s="7">
        <v>109</v>
      </c>
      <c r="D1383" s="7">
        <v>4</v>
      </c>
      <c r="E1383" s="6" t="s">
        <v>355</v>
      </c>
      <c r="F1383" s="13" t="s">
        <v>325</v>
      </c>
      <c r="G1383" s="18">
        <v>5</v>
      </c>
      <c r="H1383" s="7">
        <v>3</v>
      </c>
      <c r="I1383" s="14" t="s">
        <v>319</v>
      </c>
      <c r="J1383" s="7" t="s">
        <v>1673</v>
      </c>
      <c r="K1383" s="7" t="s">
        <v>1673</v>
      </c>
      <c r="L1383" s="6" t="s">
        <v>1673</v>
      </c>
      <c r="M1383" s="15" t="s">
        <v>1673</v>
      </c>
      <c r="N1383" s="16" t="s">
        <v>1673</v>
      </c>
      <c r="O1383" s="17" t="s">
        <v>1673</v>
      </c>
      <c r="P1383" s="16" t="s">
        <v>1673</v>
      </c>
      <c r="Q1383" s="17" t="s">
        <v>1673</v>
      </c>
    </row>
    <row r="1384" spans="1:17" x14ac:dyDescent="0.25">
      <c r="A1384" s="20" t="s">
        <v>353</v>
      </c>
      <c r="B1384" s="7">
        <v>11</v>
      </c>
      <c r="C1384" s="7">
        <v>109</v>
      </c>
      <c r="D1384" s="7">
        <v>5</v>
      </c>
      <c r="E1384" s="6" t="s">
        <v>316</v>
      </c>
      <c r="F1384" s="13" t="s">
        <v>317</v>
      </c>
      <c r="G1384" s="13">
        <v>0</v>
      </c>
      <c r="H1384" s="7">
        <v>2.25</v>
      </c>
      <c r="I1384" s="14" t="s">
        <v>318</v>
      </c>
      <c r="J1384" s="7">
        <v>0.97899999999999998</v>
      </c>
      <c r="K1384" s="7">
        <v>42.656999999999996</v>
      </c>
      <c r="L1384" s="6" t="s">
        <v>1673</v>
      </c>
      <c r="M1384" s="15">
        <v>2.5888888888888892E-2</v>
      </c>
      <c r="N1384" s="16">
        <v>5.7026750000000002</v>
      </c>
      <c r="O1384" s="17">
        <v>248.47702499999997</v>
      </c>
      <c r="P1384" s="16">
        <v>12.672611111111115</v>
      </c>
      <c r="Q1384" s="17">
        <v>552.17116666666675</v>
      </c>
    </row>
    <row r="1385" spans="1:17" x14ac:dyDescent="0.25">
      <c r="A1385" s="20" t="s">
        <v>353</v>
      </c>
      <c r="B1385" s="7">
        <v>11</v>
      </c>
      <c r="C1385" s="7">
        <v>109</v>
      </c>
      <c r="D1385" s="7">
        <v>5</v>
      </c>
      <c r="E1385" s="6" t="s">
        <v>316</v>
      </c>
      <c r="F1385" s="13" t="s">
        <v>317</v>
      </c>
      <c r="G1385" s="13">
        <v>0</v>
      </c>
      <c r="H1385" s="7">
        <v>2.25</v>
      </c>
      <c r="I1385" s="14" t="s">
        <v>319</v>
      </c>
      <c r="J1385" s="7" t="s">
        <v>1673</v>
      </c>
      <c r="K1385" s="7" t="s">
        <v>1673</v>
      </c>
      <c r="L1385" s="6" t="s">
        <v>1673</v>
      </c>
      <c r="M1385" s="15" t="s">
        <v>1673</v>
      </c>
      <c r="N1385" s="16" t="s">
        <v>1673</v>
      </c>
      <c r="O1385" s="17" t="s">
        <v>1673</v>
      </c>
      <c r="P1385" s="16" t="s">
        <v>1673</v>
      </c>
      <c r="Q1385" s="17" t="s">
        <v>1673</v>
      </c>
    </row>
    <row r="1386" spans="1:17" x14ac:dyDescent="0.25">
      <c r="A1386" s="20" t="s">
        <v>353</v>
      </c>
      <c r="B1386" s="7">
        <v>11</v>
      </c>
      <c r="C1386" s="7">
        <v>109</v>
      </c>
      <c r="D1386" s="7">
        <v>5</v>
      </c>
      <c r="E1386" s="6" t="s">
        <v>355</v>
      </c>
      <c r="F1386" s="13" t="s">
        <v>320</v>
      </c>
      <c r="G1386" s="13">
        <v>1</v>
      </c>
      <c r="H1386" s="7">
        <v>5</v>
      </c>
      <c r="I1386" s="14" t="s">
        <v>318</v>
      </c>
      <c r="J1386" s="7">
        <v>0.60099999999999998</v>
      </c>
      <c r="K1386" s="7">
        <v>43.186999999999998</v>
      </c>
      <c r="L1386" s="6" t="s">
        <v>1673</v>
      </c>
      <c r="M1386" s="15">
        <v>3.8472727272727276E-2</v>
      </c>
      <c r="N1386" s="16">
        <v>11.561054545454546</v>
      </c>
      <c r="O1386" s="17">
        <v>830.76083636363637</v>
      </c>
      <c r="P1386" s="16">
        <v>11.561054545454546</v>
      </c>
      <c r="Q1386" s="17">
        <v>830.76083636363637</v>
      </c>
    </row>
    <row r="1387" spans="1:17" x14ac:dyDescent="0.25">
      <c r="A1387" s="20" t="s">
        <v>353</v>
      </c>
      <c r="B1387" s="7">
        <v>11</v>
      </c>
      <c r="C1387" s="7">
        <v>109</v>
      </c>
      <c r="D1387" s="7">
        <v>5</v>
      </c>
      <c r="E1387" s="6" t="s">
        <v>355</v>
      </c>
      <c r="F1387" s="13" t="s">
        <v>320</v>
      </c>
      <c r="G1387" s="13">
        <v>1</v>
      </c>
      <c r="H1387" s="7">
        <v>5</v>
      </c>
      <c r="I1387" s="14" t="s">
        <v>319</v>
      </c>
      <c r="J1387" s="7" t="s">
        <v>1673</v>
      </c>
      <c r="K1387" s="7" t="s">
        <v>1673</v>
      </c>
      <c r="L1387" s="6" t="s">
        <v>1673</v>
      </c>
      <c r="M1387" s="15" t="s">
        <v>1673</v>
      </c>
      <c r="N1387" s="16" t="s">
        <v>1673</v>
      </c>
      <c r="O1387" s="17" t="s">
        <v>1673</v>
      </c>
      <c r="P1387" s="16" t="s">
        <v>1673</v>
      </c>
      <c r="Q1387" s="17" t="s">
        <v>1673</v>
      </c>
    </row>
    <row r="1388" spans="1:17" x14ac:dyDescent="0.25">
      <c r="A1388" s="20" t="s">
        <v>353</v>
      </c>
      <c r="B1388" s="7">
        <v>11</v>
      </c>
      <c r="C1388" s="7">
        <v>109</v>
      </c>
      <c r="D1388" s="7">
        <v>5</v>
      </c>
      <c r="E1388" s="6" t="s">
        <v>355</v>
      </c>
      <c r="F1388" s="13" t="s">
        <v>321</v>
      </c>
      <c r="G1388" s="13">
        <v>2</v>
      </c>
      <c r="H1388" s="7">
        <v>5</v>
      </c>
      <c r="I1388" s="14" t="s">
        <v>318</v>
      </c>
      <c r="J1388" s="7">
        <v>0.56399999999999995</v>
      </c>
      <c r="K1388" s="7">
        <v>43.073999999999998</v>
      </c>
      <c r="L1388" s="6" t="s">
        <v>1673</v>
      </c>
      <c r="M1388" s="15">
        <v>4.6602020202020207E-2</v>
      </c>
      <c r="N1388" s="16">
        <v>13.141769696969698</v>
      </c>
      <c r="O1388" s="17">
        <v>1003.6677090909092</v>
      </c>
      <c r="P1388" s="16">
        <v>13.141769696969696</v>
      </c>
      <c r="Q1388" s="17">
        <v>1003.6677090909091</v>
      </c>
    </row>
    <row r="1389" spans="1:17" x14ac:dyDescent="0.25">
      <c r="A1389" s="20" t="s">
        <v>353</v>
      </c>
      <c r="B1389" s="7">
        <v>11</v>
      </c>
      <c r="C1389" s="7">
        <v>109</v>
      </c>
      <c r="D1389" s="7">
        <v>5</v>
      </c>
      <c r="E1389" s="6" t="s">
        <v>355</v>
      </c>
      <c r="F1389" s="13" t="s">
        <v>321</v>
      </c>
      <c r="G1389" s="13">
        <v>2</v>
      </c>
      <c r="H1389" s="7">
        <v>5</v>
      </c>
      <c r="I1389" s="14" t="s">
        <v>319</v>
      </c>
      <c r="J1389" s="7" t="s">
        <v>1673</v>
      </c>
      <c r="K1389" s="7" t="s">
        <v>1673</v>
      </c>
      <c r="L1389" s="6" t="s">
        <v>1673</v>
      </c>
      <c r="M1389" s="15" t="s">
        <v>1673</v>
      </c>
      <c r="N1389" s="16" t="s">
        <v>1673</v>
      </c>
      <c r="O1389" s="17" t="s">
        <v>1673</v>
      </c>
      <c r="P1389" s="16" t="s">
        <v>1673</v>
      </c>
      <c r="Q1389" s="17" t="s">
        <v>1673</v>
      </c>
    </row>
    <row r="1390" spans="1:17" x14ac:dyDescent="0.25">
      <c r="A1390" s="20" t="s">
        <v>353</v>
      </c>
      <c r="B1390" s="7">
        <v>11</v>
      </c>
      <c r="C1390" s="7">
        <v>109</v>
      </c>
      <c r="D1390" s="7">
        <v>5</v>
      </c>
      <c r="E1390" s="6" t="s">
        <v>355</v>
      </c>
      <c r="F1390" s="13" t="s">
        <v>322</v>
      </c>
      <c r="G1390" s="13">
        <v>3</v>
      </c>
      <c r="H1390" s="7">
        <v>5</v>
      </c>
      <c r="I1390" s="14" t="s">
        <v>318</v>
      </c>
      <c r="J1390" s="7">
        <v>0.55900000000000005</v>
      </c>
      <c r="K1390" s="7">
        <v>43.595999999999997</v>
      </c>
      <c r="L1390" s="6" t="s">
        <v>1673</v>
      </c>
      <c r="M1390" s="15">
        <v>0.05</v>
      </c>
      <c r="N1390" s="16">
        <v>13.975000000000001</v>
      </c>
      <c r="O1390" s="17">
        <v>1089.8999999999999</v>
      </c>
      <c r="P1390" s="16">
        <v>13.975000000000001</v>
      </c>
      <c r="Q1390" s="17">
        <v>1089.8999999999999</v>
      </c>
    </row>
    <row r="1391" spans="1:17" x14ac:dyDescent="0.25">
      <c r="A1391" s="20" t="s">
        <v>353</v>
      </c>
      <c r="B1391" s="7">
        <v>11</v>
      </c>
      <c r="C1391" s="7">
        <v>109</v>
      </c>
      <c r="D1391" s="7">
        <v>5</v>
      </c>
      <c r="E1391" s="6" t="s">
        <v>355</v>
      </c>
      <c r="F1391" s="13" t="s">
        <v>322</v>
      </c>
      <c r="G1391" s="13">
        <v>3</v>
      </c>
      <c r="H1391" s="7">
        <v>5</v>
      </c>
      <c r="I1391" s="14" t="s">
        <v>319</v>
      </c>
      <c r="J1391" s="7">
        <v>0.57899999999999996</v>
      </c>
      <c r="K1391" s="7">
        <v>47.264000000000003</v>
      </c>
      <c r="L1391" s="6" t="s">
        <v>1673</v>
      </c>
      <c r="M1391" s="15">
        <v>1.5555555555555555E-3</v>
      </c>
      <c r="N1391" s="16">
        <v>0.45033333333333331</v>
      </c>
      <c r="O1391" s="17">
        <v>36.760888888888886</v>
      </c>
      <c r="P1391" s="16">
        <v>0.45033333333333336</v>
      </c>
      <c r="Q1391" s="17">
        <v>36.760888888888886</v>
      </c>
    </row>
    <row r="1392" spans="1:17" x14ac:dyDescent="0.25">
      <c r="A1392" s="20" t="s">
        <v>353</v>
      </c>
      <c r="B1392" s="7">
        <v>11</v>
      </c>
      <c r="C1392" s="7">
        <v>109</v>
      </c>
      <c r="D1392" s="7">
        <v>5</v>
      </c>
      <c r="E1392" s="6" t="s">
        <v>355</v>
      </c>
      <c r="F1392" s="13" t="s">
        <v>324</v>
      </c>
      <c r="G1392" s="18">
        <v>4</v>
      </c>
      <c r="H1392" s="7">
        <v>4.5</v>
      </c>
      <c r="I1392" s="14" t="s">
        <v>318</v>
      </c>
      <c r="J1392" s="7">
        <v>0.68600000000000005</v>
      </c>
      <c r="K1392" s="7">
        <v>27.280999999999999</v>
      </c>
      <c r="L1392" s="6" t="s">
        <v>1673</v>
      </c>
      <c r="M1392" s="15">
        <v>7.5269135802469134E-2</v>
      </c>
      <c r="N1392" s="16">
        <v>23.235582222222224</v>
      </c>
      <c r="O1392" s="17">
        <v>924.03778222222218</v>
      </c>
      <c r="P1392" s="16">
        <v>25.817313580246914</v>
      </c>
      <c r="Q1392" s="17">
        <v>1026.7086469135802</v>
      </c>
    </row>
    <row r="1393" spans="1:17" x14ac:dyDescent="0.25">
      <c r="A1393" s="20" t="s">
        <v>353</v>
      </c>
      <c r="B1393" s="7">
        <v>11</v>
      </c>
      <c r="C1393" s="7">
        <v>109</v>
      </c>
      <c r="D1393" s="7">
        <v>5</v>
      </c>
      <c r="E1393" s="6" t="s">
        <v>355</v>
      </c>
      <c r="F1393" s="13" t="s">
        <v>324</v>
      </c>
      <c r="G1393" s="18">
        <v>4</v>
      </c>
      <c r="H1393" s="7">
        <v>4.5</v>
      </c>
      <c r="I1393" s="14" t="s">
        <v>319</v>
      </c>
      <c r="J1393" s="7">
        <v>0.85</v>
      </c>
      <c r="K1393" s="7">
        <v>52.61</v>
      </c>
      <c r="L1393" s="6" t="s">
        <v>1673</v>
      </c>
      <c r="M1393" s="15">
        <v>2.1925925925925928E-3</v>
      </c>
      <c r="N1393" s="16">
        <v>0.83866666666666678</v>
      </c>
      <c r="O1393" s="17">
        <v>51.908533333333338</v>
      </c>
      <c r="P1393" s="16">
        <v>0.93185185185185204</v>
      </c>
      <c r="Q1393" s="17">
        <v>57.676148148148151</v>
      </c>
    </row>
  </sheetData>
  <sortState ref="U2:W22">
    <sortCondition ref="U2:U22"/>
  </sortState>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637"/>
  <sheetViews>
    <sheetView zoomScale="96" zoomScaleNormal="96" workbookViewId="0">
      <selection activeCell="C6" sqref="C6"/>
    </sheetView>
  </sheetViews>
  <sheetFormatPr defaultRowHeight="12.75" x14ac:dyDescent="0.2"/>
  <cols>
    <col min="1" max="1" width="9.140625" style="99"/>
    <col min="2" max="2" width="26.5703125" style="99" customWidth="1"/>
    <col min="3" max="3" width="51.85546875" style="99" customWidth="1"/>
    <col min="4" max="4" width="11.7109375" style="99" customWidth="1"/>
    <col min="5" max="5" width="13.85546875" style="99" customWidth="1"/>
    <col min="6" max="257" width="9.140625" style="99"/>
    <col min="258" max="258" width="26.5703125" style="99" customWidth="1"/>
    <col min="259" max="259" width="51.85546875" style="99" customWidth="1"/>
    <col min="260" max="260" width="11.7109375" style="99" customWidth="1"/>
    <col min="261" max="261" width="13.85546875" style="99" customWidth="1"/>
    <col min="262" max="513" width="9.140625" style="99"/>
    <col min="514" max="514" width="26.5703125" style="99" customWidth="1"/>
    <col min="515" max="515" width="51.85546875" style="99" customWidth="1"/>
    <col min="516" max="516" width="11.7109375" style="99" customWidth="1"/>
    <col min="517" max="517" width="13.85546875" style="99" customWidth="1"/>
    <col min="518" max="769" width="9.140625" style="99"/>
    <col min="770" max="770" width="26.5703125" style="99" customWidth="1"/>
    <col min="771" max="771" width="51.85546875" style="99" customWidth="1"/>
    <col min="772" max="772" width="11.7109375" style="99" customWidth="1"/>
    <col min="773" max="773" width="13.85546875" style="99" customWidth="1"/>
    <col min="774" max="1025" width="9.140625" style="99"/>
    <col min="1026" max="1026" width="26.5703125" style="99" customWidth="1"/>
    <col min="1027" max="1027" width="51.85546875" style="99" customWidth="1"/>
    <col min="1028" max="1028" width="11.7109375" style="99" customWidth="1"/>
    <col min="1029" max="1029" width="13.85546875" style="99" customWidth="1"/>
    <col min="1030" max="1281" width="9.140625" style="99"/>
    <col min="1282" max="1282" width="26.5703125" style="99" customWidth="1"/>
    <col min="1283" max="1283" width="51.85546875" style="99" customWidth="1"/>
    <col min="1284" max="1284" width="11.7109375" style="99" customWidth="1"/>
    <col min="1285" max="1285" width="13.85546875" style="99" customWidth="1"/>
    <col min="1286" max="1537" width="9.140625" style="99"/>
    <col min="1538" max="1538" width="26.5703125" style="99" customWidth="1"/>
    <col min="1539" max="1539" width="51.85546875" style="99" customWidth="1"/>
    <col min="1540" max="1540" width="11.7109375" style="99" customWidth="1"/>
    <col min="1541" max="1541" width="13.85546875" style="99" customWidth="1"/>
    <col min="1542" max="1793" width="9.140625" style="99"/>
    <col min="1794" max="1794" width="26.5703125" style="99" customWidth="1"/>
    <col min="1795" max="1795" width="51.85546875" style="99" customWidth="1"/>
    <col min="1796" max="1796" width="11.7109375" style="99" customWidth="1"/>
    <col min="1797" max="1797" width="13.85546875" style="99" customWidth="1"/>
    <col min="1798" max="2049" width="9.140625" style="99"/>
    <col min="2050" max="2050" width="26.5703125" style="99" customWidth="1"/>
    <col min="2051" max="2051" width="51.85546875" style="99" customWidth="1"/>
    <col min="2052" max="2052" width="11.7109375" style="99" customWidth="1"/>
    <col min="2053" max="2053" width="13.85546875" style="99" customWidth="1"/>
    <col min="2054" max="2305" width="9.140625" style="99"/>
    <col min="2306" max="2306" width="26.5703125" style="99" customWidth="1"/>
    <col min="2307" max="2307" width="51.85546875" style="99" customWidth="1"/>
    <col min="2308" max="2308" width="11.7109375" style="99" customWidth="1"/>
    <col min="2309" max="2309" width="13.85546875" style="99" customWidth="1"/>
    <col min="2310" max="2561" width="9.140625" style="99"/>
    <col min="2562" max="2562" width="26.5703125" style="99" customWidth="1"/>
    <col min="2563" max="2563" width="51.85546875" style="99" customWidth="1"/>
    <col min="2564" max="2564" width="11.7109375" style="99" customWidth="1"/>
    <col min="2565" max="2565" width="13.85546875" style="99" customWidth="1"/>
    <col min="2566" max="2817" width="9.140625" style="99"/>
    <col min="2818" max="2818" width="26.5703125" style="99" customWidth="1"/>
    <col min="2819" max="2819" width="51.85546875" style="99" customWidth="1"/>
    <col min="2820" max="2820" width="11.7109375" style="99" customWidth="1"/>
    <col min="2821" max="2821" width="13.85546875" style="99" customWidth="1"/>
    <col min="2822" max="3073" width="9.140625" style="99"/>
    <col min="3074" max="3074" width="26.5703125" style="99" customWidth="1"/>
    <col min="3075" max="3075" width="51.85546875" style="99" customWidth="1"/>
    <col min="3076" max="3076" width="11.7109375" style="99" customWidth="1"/>
    <col min="3077" max="3077" width="13.85546875" style="99" customWidth="1"/>
    <col min="3078" max="3329" width="9.140625" style="99"/>
    <col min="3330" max="3330" width="26.5703125" style="99" customWidth="1"/>
    <col min="3331" max="3331" width="51.85546875" style="99" customWidth="1"/>
    <col min="3332" max="3332" width="11.7109375" style="99" customWidth="1"/>
    <col min="3333" max="3333" width="13.85546875" style="99" customWidth="1"/>
    <col min="3334" max="3585" width="9.140625" style="99"/>
    <col min="3586" max="3586" width="26.5703125" style="99" customWidth="1"/>
    <col min="3587" max="3587" width="51.85546875" style="99" customWidth="1"/>
    <col min="3588" max="3588" width="11.7109375" style="99" customWidth="1"/>
    <col min="3589" max="3589" width="13.85546875" style="99" customWidth="1"/>
    <col min="3590" max="3841" width="9.140625" style="99"/>
    <col min="3842" max="3842" width="26.5703125" style="99" customWidth="1"/>
    <col min="3843" max="3843" width="51.85546875" style="99" customWidth="1"/>
    <col min="3844" max="3844" width="11.7109375" style="99" customWidth="1"/>
    <col min="3845" max="3845" width="13.85546875" style="99" customWidth="1"/>
    <col min="3846" max="4097" width="9.140625" style="99"/>
    <col min="4098" max="4098" width="26.5703125" style="99" customWidth="1"/>
    <col min="4099" max="4099" width="51.85546875" style="99" customWidth="1"/>
    <col min="4100" max="4100" width="11.7109375" style="99" customWidth="1"/>
    <col min="4101" max="4101" width="13.85546875" style="99" customWidth="1"/>
    <col min="4102" max="4353" width="9.140625" style="99"/>
    <col min="4354" max="4354" width="26.5703125" style="99" customWidth="1"/>
    <col min="4355" max="4355" width="51.85546875" style="99" customWidth="1"/>
    <col min="4356" max="4356" width="11.7109375" style="99" customWidth="1"/>
    <col min="4357" max="4357" width="13.85546875" style="99" customWidth="1"/>
    <col min="4358" max="4609" width="9.140625" style="99"/>
    <col min="4610" max="4610" width="26.5703125" style="99" customWidth="1"/>
    <col min="4611" max="4611" width="51.85546875" style="99" customWidth="1"/>
    <col min="4612" max="4612" width="11.7109375" style="99" customWidth="1"/>
    <col min="4613" max="4613" width="13.85546875" style="99" customWidth="1"/>
    <col min="4614" max="4865" width="9.140625" style="99"/>
    <col min="4866" max="4866" width="26.5703125" style="99" customWidth="1"/>
    <col min="4867" max="4867" width="51.85546875" style="99" customWidth="1"/>
    <col min="4868" max="4868" width="11.7109375" style="99" customWidth="1"/>
    <col min="4869" max="4869" width="13.85546875" style="99" customWidth="1"/>
    <col min="4870" max="5121" width="9.140625" style="99"/>
    <col min="5122" max="5122" width="26.5703125" style="99" customWidth="1"/>
    <col min="5123" max="5123" width="51.85546875" style="99" customWidth="1"/>
    <col min="5124" max="5124" width="11.7109375" style="99" customWidth="1"/>
    <col min="5125" max="5125" width="13.85546875" style="99" customWidth="1"/>
    <col min="5126" max="5377" width="9.140625" style="99"/>
    <col min="5378" max="5378" width="26.5703125" style="99" customWidth="1"/>
    <col min="5379" max="5379" width="51.85546875" style="99" customWidth="1"/>
    <col min="5380" max="5380" width="11.7109375" style="99" customWidth="1"/>
    <col min="5381" max="5381" width="13.85546875" style="99" customWidth="1"/>
    <col min="5382" max="5633" width="9.140625" style="99"/>
    <col min="5634" max="5634" width="26.5703125" style="99" customWidth="1"/>
    <col min="5635" max="5635" width="51.85546875" style="99" customWidth="1"/>
    <col min="5636" max="5636" width="11.7109375" style="99" customWidth="1"/>
    <col min="5637" max="5637" width="13.85546875" style="99" customWidth="1"/>
    <col min="5638" max="5889" width="9.140625" style="99"/>
    <col min="5890" max="5890" width="26.5703125" style="99" customWidth="1"/>
    <col min="5891" max="5891" width="51.85546875" style="99" customWidth="1"/>
    <col min="5892" max="5892" width="11.7109375" style="99" customWidth="1"/>
    <col min="5893" max="5893" width="13.85546875" style="99" customWidth="1"/>
    <col min="5894" max="6145" width="9.140625" style="99"/>
    <col min="6146" max="6146" width="26.5703125" style="99" customWidth="1"/>
    <col min="6147" max="6147" width="51.85546875" style="99" customWidth="1"/>
    <col min="6148" max="6148" width="11.7109375" style="99" customWidth="1"/>
    <col min="6149" max="6149" width="13.85546875" style="99" customWidth="1"/>
    <col min="6150" max="6401" width="9.140625" style="99"/>
    <col min="6402" max="6402" width="26.5703125" style="99" customWidth="1"/>
    <col min="6403" max="6403" width="51.85546875" style="99" customWidth="1"/>
    <col min="6404" max="6404" width="11.7109375" style="99" customWidth="1"/>
    <col min="6405" max="6405" width="13.85546875" style="99" customWidth="1"/>
    <col min="6406" max="6657" width="9.140625" style="99"/>
    <col min="6658" max="6658" width="26.5703125" style="99" customWidth="1"/>
    <col min="6659" max="6659" width="51.85546875" style="99" customWidth="1"/>
    <col min="6660" max="6660" width="11.7109375" style="99" customWidth="1"/>
    <col min="6661" max="6661" width="13.85546875" style="99" customWidth="1"/>
    <col min="6662" max="6913" width="9.140625" style="99"/>
    <col min="6914" max="6914" width="26.5703125" style="99" customWidth="1"/>
    <col min="6915" max="6915" width="51.85546875" style="99" customWidth="1"/>
    <col min="6916" max="6916" width="11.7109375" style="99" customWidth="1"/>
    <col min="6917" max="6917" width="13.85546875" style="99" customWidth="1"/>
    <col min="6918" max="7169" width="9.140625" style="99"/>
    <col min="7170" max="7170" width="26.5703125" style="99" customWidth="1"/>
    <col min="7171" max="7171" width="51.85546875" style="99" customWidth="1"/>
    <col min="7172" max="7172" width="11.7109375" style="99" customWidth="1"/>
    <col min="7173" max="7173" width="13.85546875" style="99" customWidth="1"/>
    <col min="7174" max="7425" width="9.140625" style="99"/>
    <col min="7426" max="7426" width="26.5703125" style="99" customWidth="1"/>
    <col min="7427" max="7427" width="51.85546875" style="99" customWidth="1"/>
    <col min="7428" max="7428" width="11.7109375" style="99" customWidth="1"/>
    <col min="7429" max="7429" width="13.85546875" style="99" customWidth="1"/>
    <col min="7430" max="7681" width="9.140625" style="99"/>
    <col min="7682" max="7682" width="26.5703125" style="99" customWidth="1"/>
    <col min="7683" max="7683" width="51.85546875" style="99" customWidth="1"/>
    <col min="7684" max="7684" width="11.7109375" style="99" customWidth="1"/>
    <col min="7685" max="7685" width="13.85546875" style="99" customWidth="1"/>
    <col min="7686" max="7937" width="9.140625" style="99"/>
    <col min="7938" max="7938" width="26.5703125" style="99" customWidth="1"/>
    <col min="7939" max="7939" width="51.85546875" style="99" customWidth="1"/>
    <col min="7940" max="7940" width="11.7109375" style="99" customWidth="1"/>
    <col min="7941" max="7941" width="13.85546875" style="99" customWidth="1"/>
    <col min="7942" max="8193" width="9.140625" style="99"/>
    <col min="8194" max="8194" width="26.5703125" style="99" customWidth="1"/>
    <col min="8195" max="8195" width="51.85546875" style="99" customWidth="1"/>
    <col min="8196" max="8196" width="11.7109375" style="99" customWidth="1"/>
    <col min="8197" max="8197" width="13.85546875" style="99" customWidth="1"/>
    <col min="8198" max="8449" width="9.140625" style="99"/>
    <col min="8450" max="8450" width="26.5703125" style="99" customWidth="1"/>
    <col min="8451" max="8451" width="51.85546875" style="99" customWidth="1"/>
    <col min="8452" max="8452" width="11.7109375" style="99" customWidth="1"/>
    <col min="8453" max="8453" width="13.85546875" style="99" customWidth="1"/>
    <col min="8454" max="8705" width="9.140625" style="99"/>
    <col min="8706" max="8706" width="26.5703125" style="99" customWidth="1"/>
    <col min="8707" max="8707" width="51.85546875" style="99" customWidth="1"/>
    <col min="8708" max="8708" width="11.7109375" style="99" customWidth="1"/>
    <col min="8709" max="8709" width="13.85546875" style="99" customWidth="1"/>
    <col min="8710" max="8961" width="9.140625" style="99"/>
    <col min="8962" max="8962" width="26.5703125" style="99" customWidth="1"/>
    <col min="8963" max="8963" width="51.85546875" style="99" customWidth="1"/>
    <col min="8964" max="8964" width="11.7109375" style="99" customWidth="1"/>
    <col min="8965" max="8965" width="13.85546875" style="99" customWidth="1"/>
    <col min="8966" max="9217" width="9.140625" style="99"/>
    <col min="9218" max="9218" width="26.5703125" style="99" customWidth="1"/>
    <col min="9219" max="9219" width="51.85546875" style="99" customWidth="1"/>
    <col min="9220" max="9220" width="11.7109375" style="99" customWidth="1"/>
    <col min="9221" max="9221" width="13.85546875" style="99" customWidth="1"/>
    <col min="9222" max="9473" width="9.140625" style="99"/>
    <col min="9474" max="9474" width="26.5703125" style="99" customWidth="1"/>
    <col min="9475" max="9475" width="51.85546875" style="99" customWidth="1"/>
    <col min="9476" max="9476" width="11.7109375" style="99" customWidth="1"/>
    <col min="9477" max="9477" width="13.85546875" style="99" customWidth="1"/>
    <col min="9478" max="9729" width="9.140625" style="99"/>
    <col min="9730" max="9730" width="26.5703125" style="99" customWidth="1"/>
    <col min="9731" max="9731" width="51.85546875" style="99" customWidth="1"/>
    <col min="9732" max="9732" width="11.7109375" style="99" customWidth="1"/>
    <col min="9733" max="9733" width="13.85546875" style="99" customWidth="1"/>
    <col min="9734" max="9985" width="9.140625" style="99"/>
    <col min="9986" max="9986" width="26.5703125" style="99" customWidth="1"/>
    <col min="9987" max="9987" width="51.85546875" style="99" customWidth="1"/>
    <col min="9988" max="9988" width="11.7109375" style="99" customWidth="1"/>
    <col min="9989" max="9989" width="13.85546875" style="99" customWidth="1"/>
    <col min="9990" max="10241" width="9.140625" style="99"/>
    <col min="10242" max="10242" width="26.5703125" style="99" customWidth="1"/>
    <col min="10243" max="10243" width="51.85546875" style="99" customWidth="1"/>
    <col min="10244" max="10244" width="11.7109375" style="99" customWidth="1"/>
    <col min="10245" max="10245" width="13.85546875" style="99" customWidth="1"/>
    <col min="10246" max="10497" width="9.140625" style="99"/>
    <col min="10498" max="10498" width="26.5703125" style="99" customWidth="1"/>
    <col min="10499" max="10499" width="51.85546875" style="99" customWidth="1"/>
    <col min="10500" max="10500" width="11.7109375" style="99" customWidth="1"/>
    <col min="10501" max="10501" width="13.85546875" style="99" customWidth="1"/>
    <col min="10502" max="10753" width="9.140625" style="99"/>
    <col min="10754" max="10754" width="26.5703125" style="99" customWidth="1"/>
    <col min="10755" max="10755" width="51.85546875" style="99" customWidth="1"/>
    <col min="10756" max="10756" width="11.7109375" style="99" customWidth="1"/>
    <col min="10757" max="10757" width="13.85546875" style="99" customWidth="1"/>
    <col min="10758" max="11009" width="9.140625" style="99"/>
    <col min="11010" max="11010" width="26.5703125" style="99" customWidth="1"/>
    <col min="11011" max="11011" width="51.85546875" style="99" customWidth="1"/>
    <col min="11012" max="11012" width="11.7109375" style="99" customWidth="1"/>
    <col min="11013" max="11013" width="13.85546875" style="99" customWidth="1"/>
    <col min="11014" max="11265" width="9.140625" style="99"/>
    <col min="11266" max="11266" width="26.5703125" style="99" customWidth="1"/>
    <col min="11267" max="11267" width="51.85546875" style="99" customWidth="1"/>
    <col min="11268" max="11268" width="11.7109375" style="99" customWidth="1"/>
    <col min="11269" max="11269" width="13.85546875" style="99" customWidth="1"/>
    <col min="11270" max="11521" width="9.140625" style="99"/>
    <col min="11522" max="11522" width="26.5703125" style="99" customWidth="1"/>
    <col min="11523" max="11523" width="51.85546875" style="99" customWidth="1"/>
    <col min="11524" max="11524" width="11.7109375" style="99" customWidth="1"/>
    <col min="11525" max="11525" width="13.85546875" style="99" customWidth="1"/>
    <col min="11526" max="11777" width="9.140625" style="99"/>
    <col min="11778" max="11778" width="26.5703125" style="99" customWidth="1"/>
    <col min="11779" max="11779" width="51.85546875" style="99" customWidth="1"/>
    <col min="11780" max="11780" width="11.7109375" style="99" customWidth="1"/>
    <col min="11781" max="11781" width="13.85546875" style="99" customWidth="1"/>
    <col min="11782" max="12033" width="9.140625" style="99"/>
    <col min="12034" max="12034" width="26.5703125" style="99" customWidth="1"/>
    <col min="12035" max="12035" width="51.85546875" style="99" customWidth="1"/>
    <col min="12036" max="12036" width="11.7109375" style="99" customWidth="1"/>
    <col min="12037" max="12037" width="13.85546875" style="99" customWidth="1"/>
    <col min="12038" max="12289" width="9.140625" style="99"/>
    <col min="12290" max="12290" width="26.5703125" style="99" customWidth="1"/>
    <col min="12291" max="12291" width="51.85546875" style="99" customWidth="1"/>
    <col min="12292" max="12292" width="11.7109375" style="99" customWidth="1"/>
    <col min="12293" max="12293" width="13.85546875" style="99" customWidth="1"/>
    <col min="12294" max="12545" width="9.140625" style="99"/>
    <col min="12546" max="12546" width="26.5703125" style="99" customWidth="1"/>
    <col min="12547" max="12547" width="51.85546875" style="99" customWidth="1"/>
    <col min="12548" max="12548" width="11.7109375" style="99" customWidth="1"/>
    <col min="12549" max="12549" width="13.85546875" style="99" customWidth="1"/>
    <col min="12550" max="12801" width="9.140625" style="99"/>
    <col min="12802" max="12802" width="26.5703125" style="99" customWidth="1"/>
    <col min="12803" max="12803" width="51.85546875" style="99" customWidth="1"/>
    <col min="12804" max="12804" width="11.7109375" style="99" customWidth="1"/>
    <col min="12805" max="12805" width="13.85546875" style="99" customWidth="1"/>
    <col min="12806" max="13057" width="9.140625" style="99"/>
    <col min="13058" max="13058" width="26.5703125" style="99" customWidth="1"/>
    <col min="13059" max="13059" width="51.85546875" style="99" customWidth="1"/>
    <col min="13060" max="13060" width="11.7109375" style="99" customWidth="1"/>
    <col min="13061" max="13061" width="13.85546875" style="99" customWidth="1"/>
    <col min="13062" max="13313" width="9.140625" style="99"/>
    <col min="13314" max="13314" width="26.5703125" style="99" customWidth="1"/>
    <col min="13315" max="13315" width="51.85546875" style="99" customWidth="1"/>
    <col min="13316" max="13316" width="11.7109375" style="99" customWidth="1"/>
    <col min="13317" max="13317" width="13.85546875" style="99" customWidth="1"/>
    <col min="13318" max="13569" width="9.140625" style="99"/>
    <col min="13570" max="13570" width="26.5703125" style="99" customWidth="1"/>
    <col min="13571" max="13571" width="51.85546875" style="99" customWidth="1"/>
    <col min="13572" max="13572" width="11.7109375" style="99" customWidth="1"/>
    <col min="13573" max="13573" width="13.85546875" style="99" customWidth="1"/>
    <col min="13574" max="13825" width="9.140625" style="99"/>
    <col min="13826" max="13826" width="26.5703125" style="99" customWidth="1"/>
    <col min="13827" max="13827" width="51.85546875" style="99" customWidth="1"/>
    <col min="13828" max="13828" width="11.7109375" style="99" customWidth="1"/>
    <col min="13829" max="13829" width="13.85546875" style="99" customWidth="1"/>
    <col min="13830" max="14081" width="9.140625" style="99"/>
    <col min="14082" max="14082" width="26.5703125" style="99" customWidth="1"/>
    <col min="14083" max="14083" width="51.85546875" style="99" customWidth="1"/>
    <col min="14084" max="14084" width="11.7109375" style="99" customWidth="1"/>
    <col min="14085" max="14085" width="13.85546875" style="99" customWidth="1"/>
    <col min="14086" max="14337" width="9.140625" style="99"/>
    <col min="14338" max="14338" width="26.5703125" style="99" customWidth="1"/>
    <col min="14339" max="14339" width="51.85546875" style="99" customWidth="1"/>
    <col min="14340" max="14340" width="11.7109375" style="99" customWidth="1"/>
    <col min="14341" max="14341" width="13.85546875" style="99" customWidth="1"/>
    <col min="14342" max="14593" width="9.140625" style="99"/>
    <col min="14594" max="14594" width="26.5703125" style="99" customWidth="1"/>
    <col min="14595" max="14595" width="51.85546875" style="99" customWidth="1"/>
    <col min="14596" max="14596" width="11.7109375" style="99" customWidth="1"/>
    <col min="14597" max="14597" width="13.85546875" style="99" customWidth="1"/>
    <col min="14598" max="14849" width="9.140625" style="99"/>
    <col min="14850" max="14850" width="26.5703125" style="99" customWidth="1"/>
    <col min="14851" max="14851" width="51.85546875" style="99" customWidth="1"/>
    <col min="14852" max="14852" width="11.7109375" style="99" customWidth="1"/>
    <col min="14853" max="14853" width="13.85546875" style="99" customWidth="1"/>
    <col min="14854" max="15105" width="9.140625" style="99"/>
    <col min="15106" max="15106" width="26.5703125" style="99" customWidth="1"/>
    <col min="15107" max="15107" width="51.85546875" style="99" customWidth="1"/>
    <col min="15108" max="15108" width="11.7109375" style="99" customWidth="1"/>
    <col min="15109" max="15109" width="13.85546875" style="99" customWidth="1"/>
    <col min="15110" max="15361" width="9.140625" style="99"/>
    <col min="15362" max="15362" width="26.5703125" style="99" customWidth="1"/>
    <col min="15363" max="15363" width="51.85546875" style="99" customWidth="1"/>
    <col min="15364" max="15364" width="11.7109375" style="99" customWidth="1"/>
    <col min="15365" max="15365" width="13.85546875" style="99" customWidth="1"/>
    <col min="15366" max="15617" width="9.140625" style="99"/>
    <col min="15618" max="15618" width="26.5703125" style="99" customWidth="1"/>
    <col min="15619" max="15619" width="51.85546875" style="99" customWidth="1"/>
    <col min="15620" max="15620" width="11.7109375" style="99" customWidth="1"/>
    <col min="15621" max="15621" width="13.85546875" style="99" customWidth="1"/>
    <col min="15622" max="15873" width="9.140625" style="99"/>
    <col min="15874" max="15874" width="26.5703125" style="99" customWidth="1"/>
    <col min="15875" max="15875" width="51.85546875" style="99" customWidth="1"/>
    <col min="15876" max="15876" width="11.7109375" style="99" customWidth="1"/>
    <col min="15877" max="15877" width="13.85546875" style="99" customWidth="1"/>
    <col min="15878" max="16129" width="9.140625" style="99"/>
    <col min="16130" max="16130" width="26.5703125" style="99" customWidth="1"/>
    <col min="16131" max="16131" width="51.85546875" style="99" customWidth="1"/>
    <col min="16132" max="16132" width="11.7109375" style="99" customWidth="1"/>
    <col min="16133" max="16133" width="13.85546875" style="99" customWidth="1"/>
    <col min="16134" max="16384" width="9.140625" style="99"/>
  </cols>
  <sheetData>
    <row r="1" spans="1:14" x14ac:dyDescent="0.2">
      <c r="B1" s="24"/>
    </row>
    <row r="2" spans="1:14" ht="45" x14ac:dyDescent="0.2">
      <c r="A2" s="100" t="s">
        <v>406</v>
      </c>
      <c r="B2" s="101" t="s">
        <v>404</v>
      </c>
      <c r="C2" s="101" t="s">
        <v>407</v>
      </c>
      <c r="D2" s="102" t="s">
        <v>408</v>
      </c>
      <c r="E2" s="102" t="s">
        <v>409</v>
      </c>
      <c r="F2" s="103" t="s">
        <v>410</v>
      </c>
      <c r="G2" s="101" t="s">
        <v>411</v>
      </c>
      <c r="H2" s="101" t="s">
        <v>412</v>
      </c>
      <c r="I2" s="101" t="s">
        <v>413</v>
      </c>
      <c r="J2" s="101" t="s">
        <v>414</v>
      </c>
      <c r="K2" s="104" t="s">
        <v>415</v>
      </c>
      <c r="L2" s="101" t="s">
        <v>416</v>
      </c>
      <c r="M2" s="101" t="s">
        <v>417</v>
      </c>
      <c r="N2" s="101" t="s">
        <v>418</v>
      </c>
    </row>
    <row r="3" spans="1:14" x14ac:dyDescent="0.2">
      <c r="A3" s="99">
        <v>1169</v>
      </c>
      <c r="B3" s="24" t="s">
        <v>419</v>
      </c>
      <c r="C3" s="24" t="s">
        <v>420</v>
      </c>
      <c r="D3" s="99">
        <v>68.99666666666667</v>
      </c>
      <c r="E3" s="99">
        <v>-150.28100000000001</v>
      </c>
      <c r="F3" s="99" t="s">
        <v>421</v>
      </c>
      <c r="G3" s="99" t="s">
        <v>422</v>
      </c>
      <c r="H3" s="99" t="s">
        <v>421</v>
      </c>
      <c r="I3" s="99" t="s">
        <v>421</v>
      </c>
      <c r="J3" s="99" t="s">
        <v>423</v>
      </c>
      <c r="K3" s="99" t="s">
        <v>421</v>
      </c>
      <c r="L3" s="99" t="s">
        <v>421</v>
      </c>
      <c r="M3" s="105" t="str">
        <f t="shared" ref="M3:M66" si="0">HYPERLINK("http://maps.google.com/maps?q="&amp;D3&amp;","&amp;E3,"View on Google Map")</f>
        <v>View on Google Map</v>
      </c>
    </row>
    <row r="4" spans="1:14" x14ac:dyDescent="0.2">
      <c r="A4" s="99">
        <v>1170</v>
      </c>
      <c r="B4" s="24" t="s">
        <v>424</v>
      </c>
      <c r="C4" s="24" t="s">
        <v>425</v>
      </c>
      <c r="D4" s="99">
        <v>68.952222222222218</v>
      </c>
      <c r="E4" s="99">
        <v>-150.21249999999998</v>
      </c>
      <c r="F4" s="99" t="s">
        <v>421</v>
      </c>
      <c r="G4" s="99" t="s">
        <v>422</v>
      </c>
      <c r="H4" s="99" t="s">
        <v>421</v>
      </c>
      <c r="I4" s="99" t="s">
        <v>421</v>
      </c>
      <c r="J4" s="99" t="s">
        <v>423</v>
      </c>
      <c r="K4" s="99" t="s">
        <v>421</v>
      </c>
      <c r="L4" s="99" t="s">
        <v>421</v>
      </c>
      <c r="M4" s="105" t="str">
        <f t="shared" si="0"/>
        <v>View on Google Map</v>
      </c>
    </row>
    <row r="5" spans="1:14" x14ac:dyDescent="0.2">
      <c r="A5" s="99">
        <v>1171</v>
      </c>
      <c r="B5" s="24" t="s">
        <v>426</v>
      </c>
      <c r="C5" s="24" t="s">
        <v>427</v>
      </c>
      <c r="D5" s="99">
        <v>68.934444444444452</v>
      </c>
      <c r="E5" s="99">
        <v>-150.2727777777778</v>
      </c>
      <c r="F5" s="99" t="s">
        <v>421</v>
      </c>
      <c r="G5" s="99" t="s">
        <v>422</v>
      </c>
      <c r="H5" s="99" t="s">
        <v>421</v>
      </c>
      <c r="I5" s="99" t="s">
        <v>421</v>
      </c>
      <c r="J5" s="99" t="s">
        <v>428</v>
      </c>
      <c r="K5" s="99" t="s">
        <v>421</v>
      </c>
      <c r="L5" s="99" t="s">
        <v>429</v>
      </c>
      <c r="M5" s="105" t="str">
        <f t="shared" si="0"/>
        <v>View on Google Map</v>
      </c>
    </row>
    <row r="6" spans="1:14" x14ac:dyDescent="0.2">
      <c r="A6" s="99">
        <v>518</v>
      </c>
      <c r="B6" s="99" t="s">
        <v>430</v>
      </c>
      <c r="C6" s="99" t="s">
        <v>431</v>
      </c>
      <c r="D6" s="99">
        <v>68.900986000000003</v>
      </c>
      <c r="E6" s="99">
        <v>-151.308469</v>
      </c>
      <c r="F6" s="99">
        <v>350</v>
      </c>
      <c r="G6" s="99" t="s">
        <v>432</v>
      </c>
      <c r="H6" s="99" t="s">
        <v>421</v>
      </c>
      <c r="I6" s="99" t="s">
        <v>421</v>
      </c>
      <c r="J6" s="99" t="s">
        <v>433</v>
      </c>
      <c r="K6" s="99" t="s">
        <v>421</v>
      </c>
      <c r="L6" s="99" t="s">
        <v>434</v>
      </c>
      <c r="M6" s="105" t="str">
        <f t="shared" si="0"/>
        <v>View on Google Map</v>
      </c>
    </row>
    <row r="7" spans="1:14" x14ac:dyDescent="0.2">
      <c r="A7" s="99">
        <v>478</v>
      </c>
      <c r="B7" s="99" t="s">
        <v>435</v>
      </c>
      <c r="C7" s="99" t="s">
        <v>421</v>
      </c>
      <c r="D7" s="99">
        <v>68.510069999999999</v>
      </c>
      <c r="E7" s="99">
        <v>-149.62691000000001</v>
      </c>
      <c r="F7" s="99">
        <v>996</v>
      </c>
      <c r="G7" s="99" t="s">
        <v>432</v>
      </c>
      <c r="H7" s="99" t="s">
        <v>421</v>
      </c>
      <c r="I7" s="99" t="s">
        <v>421</v>
      </c>
      <c r="J7" s="99" t="s">
        <v>433</v>
      </c>
      <c r="K7" s="99" t="s">
        <v>421</v>
      </c>
      <c r="L7" s="99" t="s">
        <v>421</v>
      </c>
      <c r="M7" s="105" t="str">
        <f t="shared" si="0"/>
        <v>View on Google Map</v>
      </c>
    </row>
    <row r="8" spans="1:14" x14ac:dyDescent="0.2">
      <c r="A8" s="99">
        <v>479</v>
      </c>
      <c r="B8" s="99" t="s">
        <v>436</v>
      </c>
      <c r="C8" s="99" t="s">
        <v>421</v>
      </c>
      <c r="D8" s="99">
        <v>68.505080000000007</v>
      </c>
      <c r="E8" s="99">
        <v>-149.62766999999999</v>
      </c>
      <c r="F8" s="99">
        <v>986</v>
      </c>
      <c r="G8" s="99" t="s">
        <v>432</v>
      </c>
      <c r="H8" s="99" t="s">
        <v>421</v>
      </c>
      <c r="I8" s="99" t="s">
        <v>421</v>
      </c>
      <c r="J8" s="99" t="s">
        <v>433</v>
      </c>
      <c r="K8" s="99" t="s">
        <v>421</v>
      </c>
      <c r="L8" s="99" t="s">
        <v>421</v>
      </c>
      <c r="M8" s="105" t="str">
        <f t="shared" si="0"/>
        <v>View on Google Map</v>
      </c>
    </row>
    <row r="9" spans="1:14" x14ac:dyDescent="0.2">
      <c r="A9" s="99">
        <v>480</v>
      </c>
      <c r="B9" s="99" t="s">
        <v>437</v>
      </c>
      <c r="C9" s="99" t="s">
        <v>421</v>
      </c>
      <c r="D9" s="99">
        <v>68.502449999999996</v>
      </c>
      <c r="E9" s="99">
        <v>-149.63137</v>
      </c>
      <c r="F9" s="99">
        <v>982</v>
      </c>
      <c r="G9" s="99" t="s">
        <v>432</v>
      </c>
      <c r="H9" s="99" t="s">
        <v>421</v>
      </c>
      <c r="I9" s="99" t="s">
        <v>421</v>
      </c>
      <c r="J9" s="99" t="s">
        <v>433</v>
      </c>
      <c r="K9" s="99" t="s">
        <v>421</v>
      </c>
      <c r="L9" s="99" t="s">
        <v>421</v>
      </c>
      <c r="M9" s="105" t="str">
        <f t="shared" si="0"/>
        <v>View on Google Map</v>
      </c>
    </row>
    <row r="10" spans="1:14" x14ac:dyDescent="0.2">
      <c r="B10" s="99" t="s">
        <v>438</v>
      </c>
      <c r="C10" s="99" t="s">
        <v>439</v>
      </c>
      <c r="D10" s="99">
        <v>69.375833333333333</v>
      </c>
      <c r="E10" s="99">
        <v>-150.68138888888899</v>
      </c>
      <c r="G10" s="99" t="s">
        <v>440</v>
      </c>
      <c r="J10" s="99" t="s">
        <v>428</v>
      </c>
      <c r="L10" s="99" t="s">
        <v>429</v>
      </c>
      <c r="M10" s="105" t="str">
        <f t="shared" si="0"/>
        <v>View on Google Map</v>
      </c>
    </row>
    <row r="11" spans="1:14" x14ac:dyDescent="0.2">
      <c r="B11" s="99" t="s">
        <v>441</v>
      </c>
      <c r="C11" s="99" t="s">
        <v>439</v>
      </c>
      <c r="D11" s="99">
        <v>69.322777777777773</v>
      </c>
      <c r="E11" s="99">
        <v>-150.95055555555601</v>
      </c>
      <c r="G11" s="99" t="s">
        <v>440</v>
      </c>
      <c r="J11" s="99" t="s">
        <v>428</v>
      </c>
      <c r="L11" s="99" t="s">
        <v>429</v>
      </c>
      <c r="M11" s="105" t="str">
        <f t="shared" si="0"/>
        <v>View on Google Map</v>
      </c>
    </row>
    <row r="12" spans="1:14" x14ac:dyDescent="0.2">
      <c r="B12" s="99" t="s">
        <v>442</v>
      </c>
      <c r="C12" s="99" t="s">
        <v>439</v>
      </c>
      <c r="D12" s="99">
        <v>69.328055555555565</v>
      </c>
      <c r="E12" s="99">
        <v>-150.238055555556</v>
      </c>
      <c r="G12" s="99" t="s">
        <v>440</v>
      </c>
      <c r="J12" s="99" t="s">
        <v>428</v>
      </c>
      <c r="L12" s="99" t="s">
        <v>429</v>
      </c>
      <c r="M12" s="105" t="str">
        <f t="shared" si="0"/>
        <v>View on Google Map</v>
      </c>
    </row>
    <row r="13" spans="1:14" x14ac:dyDescent="0.2">
      <c r="B13" s="99" t="s">
        <v>443</v>
      </c>
      <c r="C13" s="99" t="s">
        <v>439</v>
      </c>
      <c r="D13" s="99">
        <v>69.30361111111111</v>
      </c>
      <c r="E13" s="99">
        <v>-149.56083333333299</v>
      </c>
      <c r="G13" s="99" t="s">
        <v>440</v>
      </c>
      <c r="J13" s="99" t="s">
        <v>428</v>
      </c>
      <c r="L13" s="99" t="s">
        <v>429</v>
      </c>
      <c r="M13" s="105" t="str">
        <f t="shared" si="0"/>
        <v>View on Google Map</v>
      </c>
    </row>
    <row r="14" spans="1:14" x14ac:dyDescent="0.2">
      <c r="A14" s="99">
        <v>7</v>
      </c>
      <c r="B14" s="99" t="s">
        <v>444</v>
      </c>
      <c r="C14" s="99" t="s">
        <v>445</v>
      </c>
      <c r="D14" s="99">
        <v>68.95</v>
      </c>
      <c r="E14" s="99">
        <v>-148.86666666666667</v>
      </c>
      <c r="F14" s="99">
        <v>360</v>
      </c>
      <c r="G14" s="99" t="s">
        <v>446</v>
      </c>
      <c r="H14" s="99" t="s">
        <v>421</v>
      </c>
      <c r="I14" s="99" t="s">
        <v>421</v>
      </c>
      <c r="J14" s="99" t="s">
        <v>447</v>
      </c>
      <c r="K14" s="99" t="s">
        <v>421</v>
      </c>
      <c r="L14" s="99" t="s">
        <v>448</v>
      </c>
      <c r="M14" s="105" t="str">
        <f t="shared" si="0"/>
        <v>View on Google Map</v>
      </c>
    </row>
    <row r="15" spans="1:14" x14ac:dyDescent="0.2">
      <c r="A15" s="99">
        <v>517</v>
      </c>
      <c r="B15" s="99" t="s">
        <v>449</v>
      </c>
      <c r="C15" s="99" t="s">
        <v>431</v>
      </c>
      <c r="D15" s="99">
        <v>68.467832999999999</v>
      </c>
      <c r="E15" s="99">
        <v>-151.47916699999999</v>
      </c>
      <c r="F15" s="99">
        <v>732</v>
      </c>
      <c r="G15" s="99" t="s">
        <v>432</v>
      </c>
      <c r="H15" s="99" t="s">
        <v>421</v>
      </c>
      <c r="I15" s="99" t="s">
        <v>421</v>
      </c>
      <c r="J15" s="99" t="s">
        <v>433</v>
      </c>
      <c r="K15" s="99" t="s">
        <v>421</v>
      </c>
      <c r="L15" s="99" t="s">
        <v>434</v>
      </c>
      <c r="M15" s="105" t="str">
        <f t="shared" si="0"/>
        <v>View on Google Map</v>
      </c>
    </row>
    <row r="16" spans="1:14" x14ac:dyDescent="0.2">
      <c r="A16" s="99">
        <v>516</v>
      </c>
      <c r="B16" s="99" t="s">
        <v>450</v>
      </c>
      <c r="C16" s="99" t="s">
        <v>431</v>
      </c>
      <c r="D16" s="99">
        <v>68.467500000000001</v>
      </c>
      <c r="E16" s="99">
        <v>-151.49433300000001</v>
      </c>
      <c r="F16" s="99">
        <v>769</v>
      </c>
      <c r="G16" s="99" t="s">
        <v>432</v>
      </c>
      <c r="H16" s="99" t="s">
        <v>421</v>
      </c>
      <c r="I16" s="99" t="s">
        <v>421</v>
      </c>
      <c r="J16" s="99" t="s">
        <v>433</v>
      </c>
      <c r="K16" s="99" t="s">
        <v>421</v>
      </c>
      <c r="L16" s="99" t="s">
        <v>434</v>
      </c>
      <c r="M16" s="105" t="str">
        <f t="shared" si="0"/>
        <v>View on Google Map</v>
      </c>
    </row>
    <row r="17" spans="1:13" x14ac:dyDescent="0.2">
      <c r="A17" s="99">
        <v>515</v>
      </c>
      <c r="B17" s="99" t="s">
        <v>451</v>
      </c>
      <c r="C17" s="99" t="s">
        <v>431</v>
      </c>
      <c r="D17" s="99">
        <v>68.463999999999999</v>
      </c>
      <c r="E17" s="99">
        <v>-151.51516699999999</v>
      </c>
      <c r="F17" s="99">
        <v>809</v>
      </c>
      <c r="G17" s="99" t="s">
        <v>432</v>
      </c>
      <c r="H17" s="99" t="s">
        <v>421</v>
      </c>
      <c r="I17" s="99" t="s">
        <v>421</v>
      </c>
      <c r="J17" s="99" t="s">
        <v>433</v>
      </c>
      <c r="K17" s="99" t="s">
        <v>421</v>
      </c>
      <c r="L17" s="99" t="s">
        <v>434</v>
      </c>
      <c r="M17" s="105" t="str">
        <f t="shared" si="0"/>
        <v>View on Google Map</v>
      </c>
    </row>
    <row r="18" spans="1:13" x14ac:dyDescent="0.2">
      <c r="A18" s="99">
        <v>1177</v>
      </c>
      <c r="B18" s="99" t="s">
        <v>452</v>
      </c>
      <c r="C18" s="99" t="s">
        <v>453</v>
      </c>
      <c r="D18" s="99">
        <v>68.99539</v>
      </c>
      <c r="E18" s="99">
        <v>-150.28278</v>
      </c>
      <c r="F18" s="99" t="s">
        <v>421</v>
      </c>
      <c r="G18" s="99" t="s">
        <v>422</v>
      </c>
      <c r="H18" s="99" t="s">
        <v>421</v>
      </c>
      <c r="I18" s="99" t="s">
        <v>421</v>
      </c>
      <c r="J18" s="99" t="s">
        <v>428</v>
      </c>
      <c r="K18" s="99" t="s">
        <v>421</v>
      </c>
      <c r="L18" s="99" t="s">
        <v>429</v>
      </c>
      <c r="M18" s="105" t="str">
        <f t="shared" si="0"/>
        <v>View on Google Map</v>
      </c>
    </row>
    <row r="19" spans="1:13" x14ac:dyDescent="0.2">
      <c r="A19" s="99">
        <v>1178</v>
      </c>
      <c r="B19" s="99" t="s">
        <v>454</v>
      </c>
      <c r="C19" s="99" t="s">
        <v>453</v>
      </c>
      <c r="D19" s="99">
        <v>68.996089999999995</v>
      </c>
      <c r="E19" s="99">
        <v>-150.29223999999999</v>
      </c>
      <c r="F19" s="99" t="s">
        <v>421</v>
      </c>
      <c r="G19" s="99" t="s">
        <v>422</v>
      </c>
      <c r="H19" s="99" t="s">
        <v>421</v>
      </c>
      <c r="I19" s="99" t="s">
        <v>421</v>
      </c>
      <c r="J19" s="99" t="s">
        <v>428</v>
      </c>
      <c r="K19" s="99" t="s">
        <v>421</v>
      </c>
      <c r="L19" s="99" t="s">
        <v>429</v>
      </c>
      <c r="M19" s="105" t="str">
        <f t="shared" si="0"/>
        <v>View on Google Map</v>
      </c>
    </row>
    <row r="20" spans="1:13" x14ac:dyDescent="0.2">
      <c r="A20" s="99">
        <v>1179</v>
      </c>
      <c r="B20" s="99" t="s">
        <v>455</v>
      </c>
      <c r="C20" s="99" t="s">
        <v>456</v>
      </c>
      <c r="D20" s="99">
        <v>68.953829999999996</v>
      </c>
      <c r="E20" s="99">
        <v>-150.20697000000001</v>
      </c>
      <c r="F20" s="99" t="s">
        <v>421</v>
      </c>
      <c r="G20" s="99" t="s">
        <v>422</v>
      </c>
      <c r="H20" s="99" t="s">
        <v>421</v>
      </c>
      <c r="I20" s="99" t="s">
        <v>421</v>
      </c>
      <c r="J20" s="99" t="s">
        <v>428</v>
      </c>
      <c r="K20" s="99" t="s">
        <v>421</v>
      </c>
      <c r="L20" s="99" t="s">
        <v>429</v>
      </c>
      <c r="M20" s="105" t="str">
        <f t="shared" si="0"/>
        <v>View on Google Map</v>
      </c>
    </row>
    <row r="21" spans="1:13" x14ac:dyDescent="0.2">
      <c r="A21" s="99">
        <v>1180</v>
      </c>
      <c r="B21" s="24" t="s">
        <v>457</v>
      </c>
      <c r="C21" s="99" t="s">
        <v>456</v>
      </c>
      <c r="D21" s="99">
        <v>68.951099999999997</v>
      </c>
      <c r="E21" s="99">
        <v>-150.20966000000001</v>
      </c>
      <c r="F21" s="99" t="s">
        <v>421</v>
      </c>
      <c r="G21" s="99" t="s">
        <v>422</v>
      </c>
      <c r="H21" s="99" t="s">
        <v>421</v>
      </c>
      <c r="I21" s="99" t="s">
        <v>421</v>
      </c>
      <c r="J21" s="99" t="s">
        <v>428</v>
      </c>
      <c r="K21" s="99" t="s">
        <v>421</v>
      </c>
      <c r="L21" s="99" t="s">
        <v>429</v>
      </c>
      <c r="M21" s="105" t="str">
        <f t="shared" si="0"/>
        <v>View on Google Map</v>
      </c>
    </row>
    <row r="22" spans="1:13" x14ac:dyDescent="0.2">
      <c r="A22" s="99">
        <v>1181</v>
      </c>
      <c r="B22" s="24" t="s">
        <v>458</v>
      </c>
      <c r="C22" s="99" t="s">
        <v>456</v>
      </c>
      <c r="D22" s="99">
        <v>68.950720000000004</v>
      </c>
      <c r="E22" s="99">
        <v>-150.19745</v>
      </c>
      <c r="F22" s="99" t="s">
        <v>421</v>
      </c>
      <c r="G22" s="99" t="s">
        <v>422</v>
      </c>
      <c r="H22" s="99" t="s">
        <v>421</v>
      </c>
      <c r="I22" s="99" t="s">
        <v>421</v>
      </c>
      <c r="J22" s="99" t="s">
        <v>428</v>
      </c>
      <c r="K22" s="99" t="s">
        <v>421</v>
      </c>
      <c r="L22" s="99" t="s">
        <v>429</v>
      </c>
      <c r="M22" s="105" t="str">
        <f t="shared" si="0"/>
        <v>View on Google Map</v>
      </c>
    </row>
    <row r="23" spans="1:13" x14ac:dyDescent="0.2">
      <c r="A23" s="99">
        <v>1182</v>
      </c>
      <c r="B23" s="24" t="s">
        <v>459</v>
      </c>
      <c r="C23" s="99" t="s">
        <v>456</v>
      </c>
      <c r="D23" s="99">
        <v>68.950149999999994</v>
      </c>
      <c r="E23" s="99">
        <v>-150.19701000000001</v>
      </c>
      <c r="F23" s="99" t="s">
        <v>421</v>
      </c>
      <c r="G23" s="99" t="s">
        <v>422</v>
      </c>
      <c r="H23" s="99" t="s">
        <v>421</v>
      </c>
      <c r="I23" s="99" t="s">
        <v>421</v>
      </c>
      <c r="J23" s="99" t="s">
        <v>428</v>
      </c>
      <c r="K23" s="99" t="s">
        <v>421</v>
      </c>
      <c r="L23" s="99" t="s">
        <v>429</v>
      </c>
      <c r="M23" s="105" t="str">
        <f t="shared" si="0"/>
        <v>View on Google Map</v>
      </c>
    </row>
    <row r="24" spans="1:13" x14ac:dyDescent="0.2">
      <c r="A24" s="99">
        <v>1183</v>
      </c>
      <c r="B24" s="24" t="s">
        <v>460</v>
      </c>
      <c r="C24" s="99" t="s">
        <v>456</v>
      </c>
      <c r="D24" s="99">
        <v>68.949629999999999</v>
      </c>
      <c r="E24" s="99">
        <v>-150.19672</v>
      </c>
      <c r="F24" s="99" t="s">
        <v>421</v>
      </c>
      <c r="G24" s="99" t="s">
        <v>422</v>
      </c>
      <c r="H24" s="99" t="s">
        <v>421</v>
      </c>
      <c r="I24" s="99" t="s">
        <v>421</v>
      </c>
      <c r="J24" s="99" t="s">
        <v>428</v>
      </c>
      <c r="K24" s="99" t="s">
        <v>421</v>
      </c>
      <c r="L24" s="99" t="s">
        <v>429</v>
      </c>
      <c r="M24" s="105" t="str">
        <f t="shared" si="0"/>
        <v>View on Google Map</v>
      </c>
    </row>
    <row r="25" spans="1:13" x14ac:dyDescent="0.2">
      <c r="A25" s="99">
        <v>1184</v>
      </c>
      <c r="B25" s="24" t="s">
        <v>461</v>
      </c>
      <c r="C25" s="99" t="s">
        <v>456</v>
      </c>
      <c r="D25" s="99">
        <v>68.952349999999996</v>
      </c>
      <c r="E25" s="99">
        <v>-150.20769999999999</v>
      </c>
      <c r="F25" s="99" t="s">
        <v>421</v>
      </c>
      <c r="G25" s="99" t="s">
        <v>422</v>
      </c>
      <c r="H25" s="99" t="s">
        <v>421</v>
      </c>
      <c r="I25" s="99" t="s">
        <v>421</v>
      </c>
      <c r="J25" s="99" t="s">
        <v>428</v>
      </c>
      <c r="K25" s="99" t="s">
        <v>421</v>
      </c>
      <c r="L25" s="99" t="s">
        <v>429</v>
      </c>
      <c r="M25" s="105" t="str">
        <f t="shared" si="0"/>
        <v>View on Google Map</v>
      </c>
    </row>
    <row r="26" spans="1:13" x14ac:dyDescent="0.2">
      <c r="A26" s="99">
        <v>1185</v>
      </c>
      <c r="B26" s="24" t="s">
        <v>462</v>
      </c>
      <c r="C26" s="99" t="s">
        <v>456</v>
      </c>
      <c r="D26" s="99">
        <v>68.933340000000001</v>
      </c>
      <c r="E26" s="99">
        <v>-150.27288999999999</v>
      </c>
      <c r="F26" s="99" t="s">
        <v>421</v>
      </c>
      <c r="G26" s="99" t="s">
        <v>422</v>
      </c>
      <c r="H26" s="99" t="s">
        <v>421</v>
      </c>
      <c r="I26" s="99" t="s">
        <v>421</v>
      </c>
      <c r="J26" s="99" t="s">
        <v>428</v>
      </c>
      <c r="K26" s="99" t="s">
        <v>421</v>
      </c>
      <c r="L26" s="99" t="s">
        <v>429</v>
      </c>
      <c r="M26" s="105" t="str">
        <f t="shared" si="0"/>
        <v>View on Google Map</v>
      </c>
    </row>
    <row r="27" spans="1:13" x14ac:dyDescent="0.2">
      <c r="A27" s="99">
        <v>1186</v>
      </c>
      <c r="B27" s="99" t="s">
        <v>463</v>
      </c>
      <c r="C27" s="99" t="s">
        <v>456</v>
      </c>
      <c r="D27" s="99">
        <v>68.935190000000006</v>
      </c>
      <c r="E27" s="99">
        <v>-150.26884000000001</v>
      </c>
      <c r="F27" s="99" t="s">
        <v>421</v>
      </c>
      <c r="G27" s="99" t="s">
        <v>422</v>
      </c>
      <c r="H27" s="99" t="s">
        <v>421</v>
      </c>
      <c r="I27" s="99" t="s">
        <v>421</v>
      </c>
      <c r="J27" s="99" t="s">
        <v>428</v>
      </c>
      <c r="K27" s="99" t="s">
        <v>421</v>
      </c>
      <c r="L27" s="99" t="s">
        <v>429</v>
      </c>
      <c r="M27" s="105" t="str">
        <f t="shared" si="0"/>
        <v>View on Google Map</v>
      </c>
    </row>
    <row r="28" spans="1:13" x14ac:dyDescent="0.2">
      <c r="A28" s="99">
        <v>1187</v>
      </c>
      <c r="B28" s="24" t="s">
        <v>464</v>
      </c>
      <c r="C28" s="99" t="s">
        <v>456</v>
      </c>
      <c r="D28" s="99">
        <v>68.997339999999994</v>
      </c>
      <c r="E28" s="99">
        <v>-150.30745999999999</v>
      </c>
      <c r="F28" s="99" t="s">
        <v>421</v>
      </c>
      <c r="G28" s="99" t="s">
        <v>422</v>
      </c>
      <c r="H28" s="99" t="s">
        <v>421</v>
      </c>
      <c r="I28" s="99" t="s">
        <v>421</v>
      </c>
      <c r="J28" s="99" t="s">
        <v>428</v>
      </c>
      <c r="K28" s="99" t="s">
        <v>421</v>
      </c>
      <c r="L28" s="99" t="s">
        <v>429</v>
      </c>
      <c r="M28" s="105" t="str">
        <f t="shared" si="0"/>
        <v>View on Google Map</v>
      </c>
    </row>
    <row r="29" spans="1:13" x14ac:dyDescent="0.2">
      <c r="A29" s="99">
        <v>1188</v>
      </c>
      <c r="B29" s="24" t="s">
        <v>465</v>
      </c>
      <c r="C29" s="99" t="s">
        <v>456</v>
      </c>
      <c r="D29" s="99">
        <v>68.950779999999995</v>
      </c>
      <c r="E29" s="99">
        <v>-150.19788</v>
      </c>
      <c r="F29" s="99" t="s">
        <v>421</v>
      </c>
      <c r="G29" s="99" t="s">
        <v>422</v>
      </c>
      <c r="H29" s="99" t="s">
        <v>421</v>
      </c>
      <c r="I29" s="99" t="s">
        <v>421</v>
      </c>
      <c r="J29" s="99" t="s">
        <v>428</v>
      </c>
      <c r="K29" s="99" t="s">
        <v>421</v>
      </c>
      <c r="L29" s="99" t="s">
        <v>429</v>
      </c>
      <c r="M29" s="105" t="str">
        <f t="shared" si="0"/>
        <v>View on Google Map</v>
      </c>
    </row>
    <row r="30" spans="1:13" x14ac:dyDescent="0.2">
      <c r="A30" s="99">
        <v>1189</v>
      </c>
      <c r="B30" s="24" t="s">
        <v>466</v>
      </c>
      <c r="C30" s="99" t="s">
        <v>456</v>
      </c>
      <c r="D30" s="99">
        <v>68.954440000000005</v>
      </c>
      <c r="E30" s="99">
        <v>-150.20644999999999</v>
      </c>
      <c r="F30" s="99" t="s">
        <v>421</v>
      </c>
      <c r="G30" s="99" t="s">
        <v>422</v>
      </c>
      <c r="H30" s="99" t="s">
        <v>421</v>
      </c>
      <c r="I30" s="99" t="s">
        <v>421</v>
      </c>
      <c r="J30" s="99" t="s">
        <v>428</v>
      </c>
      <c r="K30" s="99" t="s">
        <v>421</v>
      </c>
      <c r="L30" s="99" t="s">
        <v>429</v>
      </c>
      <c r="M30" s="105" t="str">
        <f t="shared" si="0"/>
        <v>View on Google Map</v>
      </c>
    </row>
    <row r="31" spans="1:13" x14ac:dyDescent="0.2">
      <c r="A31" s="99">
        <v>1190</v>
      </c>
      <c r="B31" s="24" t="s">
        <v>467</v>
      </c>
      <c r="C31" s="99" t="s">
        <v>456</v>
      </c>
      <c r="D31" s="99">
        <v>69.116330000000005</v>
      </c>
      <c r="E31" s="99">
        <v>-150.79077000000001</v>
      </c>
      <c r="F31" s="99" t="s">
        <v>421</v>
      </c>
      <c r="G31" s="99" t="s">
        <v>422</v>
      </c>
      <c r="H31" s="99" t="s">
        <v>421</v>
      </c>
      <c r="I31" s="99" t="s">
        <v>421</v>
      </c>
      <c r="J31" s="99" t="s">
        <v>428</v>
      </c>
      <c r="K31" s="99" t="s">
        <v>421</v>
      </c>
      <c r="L31" s="99" t="s">
        <v>429</v>
      </c>
      <c r="M31" s="105" t="str">
        <f t="shared" si="0"/>
        <v>View on Google Map</v>
      </c>
    </row>
    <row r="32" spans="1:13" x14ac:dyDescent="0.2">
      <c r="A32" s="99">
        <v>1191</v>
      </c>
      <c r="B32" s="24" t="s">
        <v>468</v>
      </c>
      <c r="C32" s="99" t="s">
        <v>456</v>
      </c>
      <c r="D32" s="99">
        <v>69.116150000000005</v>
      </c>
      <c r="E32" s="99">
        <v>-150.79553999999999</v>
      </c>
      <c r="F32" s="99" t="s">
        <v>421</v>
      </c>
      <c r="G32" s="99" t="s">
        <v>422</v>
      </c>
      <c r="H32" s="99" t="s">
        <v>421</v>
      </c>
      <c r="I32" s="99" t="s">
        <v>421</v>
      </c>
      <c r="J32" s="99" t="s">
        <v>428</v>
      </c>
      <c r="K32" s="99" t="s">
        <v>421</v>
      </c>
      <c r="L32" s="99" t="s">
        <v>429</v>
      </c>
      <c r="M32" s="105" t="str">
        <f t="shared" si="0"/>
        <v>View on Google Map</v>
      </c>
    </row>
    <row r="33" spans="1:14" x14ac:dyDescent="0.2">
      <c r="A33" s="99">
        <v>3</v>
      </c>
      <c r="B33" s="99" t="s">
        <v>469</v>
      </c>
      <c r="C33" s="99" t="s">
        <v>470</v>
      </c>
      <c r="D33" s="99">
        <v>68.266666666666666</v>
      </c>
      <c r="E33" s="99">
        <v>-149.44999999999999</v>
      </c>
      <c r="F33" s="99">
        <v>914</v>
      </c>
      <c r="G33" s="99" t="s">
        <v>446</v>
      </c>
      <c r="H33" s="99" t="s">
        <v>421</v>
      </c>
      <c r="I33" s="99" t="s">
        <v>421</v>
      </c>
      <c r="J33" s="99" t="s">
        <v>447</v>
      </c>
      <c r="K33" s="99" t="s">
        <v>421</v>
      </c>
      <c r="L33" s="99" t="s">
        <v>448</v>
      </c>
      <c r="M33" s="105" t="str">
        <f t="shared" si="0"/>
        <v>View on Google Map</v>
      </c>
    </row>
    <row r="34" spans="1:14" x14ac:dyDescent="0.2">
      <c r="A34" s="99">
        <v>2</v>
      </c>
      <c r="B34" s="99" t="s">
        <v>471</v>
      </c>
      <c r="C34" s="99" t="s">
        <v>472</v>
      </c>
      <c r="D34" s="99">
        <v>68.266666666666666</v>
      </c>
      <c r="E34" s="99">
        <v>-149.46666666666667</v>
      </c>
      <c r="F34" s="99">
        <v>914</v>
      </c>
      <c r="G34" s="99" t="s">
        <v>446</v>
      </c>
      <c r="H34" s="99" t="s">
        <v>421</v>
      </c>
      <c r="I34" s="99" t="s">
        <v>421</v>
      </c>
      <c r="J34" s="99" t="s">
        <v>447</v>
      </c>
      <c r="K34" s="99" t="s">
        <v>421</v>
      </c>
      <c r="L34" s="99" t="s">
        <v>448</v>
      </c>
      <c r="M34" s="105" t="str">
        <f t="shared" si="0"/>
        <v>View on Google Map</v>
      </c>
    </row>
    <row r="35" spans="1:14" x14ac:dyDescent="0.2">
      <c r="A35" s="99">
        <v>25</v>
      </c>
      <c r="B35" s="99" t="s">
        <v>473</v>
      </c>
      <c r="C35" s="99" t="s">
        <v>421</v>
      </c>
      <c r="D35" s="99" t="s">
        <v>421</v>
      </c>
      <c r="E35" s="99" t="s">
        <v>421</v>
      </c>
      <c r="F35" s="99">
        <v>1097</v>
      </c>
      <c r="G35" s="99" t="s">
        <v>446</v>
      </c>
      <c r="H35" s="99" t="s">
        <v>474</v>
      </c>
      <c r="I35" s="99" t="s">
        <v>421</v>
      </c>
      <c r="J35" s="99" t="s">
        <v>447</v>
      </c>
      <c r="K35" s="99" t="s">
        <v>421</v>
      </c>
      <c r="L35" s="99" t="s">
        <v>421</v>
      </c>
      <c r="M35" s="105" t="str">
        <f t="shared" si="0"/>
        <v>View on Google Map</v>
      </c>
    </row>
    <row r="36" spans="1:14" x14ac:dyDescent="0.2">
      <c r="A36" s="99">
        <v>26</v>
      </c>
      <c r="B36" s="99" t="s">
        <v>475</v>
      </c>
      <c r="C36" s="99" t="s">
        <v>421</v>
      </c>
      <c r="D36" s="99" t="s">
        <v>421</v>
      </c>
      <c r="E36" s="99" t="s">
        <v>421</v>
      </c>
      <c r="F36" s="99">
        <v>1280</v>
      </c>
      <c r="G36" s="99" t="s">
        <v>446</v>
      </c>
      <c r="H36" s="99" t="s">
        <v>476</v>
      </c>
      <c r="I36" s="99" t="s">
        <v>421</v>
      </c>
      <c r="J36" s="99" t="s">
        <v>447</v>
      </c>
      <c r="K36" s="99" t="s">
        <v>421</v>
      </c>
      <c r="L36" s="99" t="s">
        <v>421</v>
      </c>
      <c r="M36" s="105" t="str">
        <f t="shared" si="0"/>
        <v>View on Google Map</v>
      </c>
    </row>
    <row r="37" spans="1:14" x14ac:dyDescent="0.2">
      <c r="A37" s="99">
        <v>27</v>
      </c>
      <c r="B37" s="99" t="s">
        <v>477</v>
      </c>
      <c r="C37" s="99" t="s">
        <v>421</v>
      </c>
      <c r="D37" s="99" t="s">
        <v>421</v>
      </c>
      <c r="E37" s="99" t="s">
        <v>421</v>
      </c>
      <c r="F37" s="99">
        <v>1555</v>
      </c>
      <c r="G37" s="99" t="s">
        <v>446</v>
      </c>
      <c r="H37" s="99" t="s">
        <v>478</v>
      </c>
      <c r="I37" s="99" t="s">
        <v>421</v>
      </c>
      <c r="J37" s="99" t="s">
        <v>447</v>
      </c>
      <c r="K37" s="99" t="s">
        <v>421</v>
      </c>
      <c r="L37" s="99" t="s">
        <v>421</v>
      </c>
      <c r="M37" s="105" t="str">
        <f t="shared" si="0"/>
        <v>View on Google Map</v>
      </c>
    </row>
    <row r="38" spans="1:14" ht="12.75" customHeight="1" x14ac:dyDescent="0.2">
      <c r="A38" s="99">
        <v>138</v>
      </c>
      <c r="B38" s="99" t="s">
        <v>479</v>
      </c>
      <c r="C38" s="99" t="s">
        <v>421</v>
      </c>
      <c r="D38" s="99">
        <v>70.283333333333331</v>
      </c>
      <c r="E38" s="99">
        <v>-148.30000000000001</v>
      </c>
      <c r="F38" s="99">
        <v>6</v>
      </c>
      <c r="G38" s="99" t="s">
        <v>432</v>
      </c>
      <c r="H38" s="99" t="s">
        <v>480</v>
      </c>
      <c r="I38" s="99" t="s">
        <v>421</v>
      </c>
      <c r="J38" s="99" t="s">
        <v>447</v>
      </c>
      <c r="K38" s="99" t="s">
        <v>421</v>
      </c>
      <c r="L38" s="99" t="s">
        <v>448</v>
      </c>
      <c r="M38" s="105" t="str">
        <f t="shared" si="0"/>
        <v>View on Google Map</v>
      </c>
    </row>
    <row r="39" spans="1:14" ht="12.75" customHeight="1" x14ac:dyDescent="0.2">
      <c r="A39" s="99">
        <v>31</v>
      </c>
      <c r="B39" s="99" t="s">
        <v>481</v>
      </c>
      <c r="C39" s="99" t="s">
        <v>421</v>
      </c>
      <c r="D39" s="99">
        <v>68.957566666999995</v>
      </c>
      <c r="E39" s="99">
        <v>-150.236266667</v>
      </c>
      <c r="F39" s="99">
        <v>386.18</v>
      </c>
      <c r="G39" s="99" t="s">
        <v>446</v>
      </c>
      <c r="H39" s="99" t="s">
        <v>421</v>
      </c>
      <c r="I39" s="99" t="s">
        <v>421</v>
      </c>
      <c r="J39" s="99" t="s">
        <v>482</v>
      </c>
      <c r="K39" s="99" t="s">
        <v>421</v>
      </c>
      <c r="L39" s="99" t="s">
        <v>429</v>
      </c>
      <c r="M39" s="105" t="str">
        <f t="shared" si="0"/>
        <v>View on Google Map</v>
      </c>
    </row>
    <row r="40" spans="1:14" ht="12.75" customHeight="1" x14ac:dyDescent="0.2">
      <c r="A40" s="99">
        <v>131</v>
      </c>
      <c r="B40" s="99" t="s">
        <v>483</v>
      </c>
      <c r="C40" s="99" t="s">
        <v>421</v>
      </c>
      <c r="D40" s="99">
        <v>70.333333333333329</v>
      </c>
      <c r="E40" s="99">
        <v>-148.93333333333334</v>
      </c>
      <c r="F40" s="99">
        <v>3</v>
      </c>
      <c r="G40" s="99" t="s">
        <v>432</v>
      </c>
      <c r="H40" s="99" t="s">
        <v>484</v>
      </c>
      <c r="I40" s="99" t="s">
        <v>421</v>
      </c>
      <c r="J40" s="99" t="s">
        <v>447</v>
      </c>
      <c r="K40" s="99" t="s">
        <v>421</v>
      </c>
      <c r="L40" s="99" t="s">
        <v>448</v>
      </c>
      <c r="M40" s="105" t="str">
        <f t="shared" si="0"/>
        <v>View on Google Map</v>
      </c>
    </row>
    <row r="41" spans="1:14" s="106" customFormat="1" ht="12.75" customHeight="1" x14ac:dyDescent="0.2">
      <c r="A41" s="99">
        <v>132</v>
      </c>
      <c r="B41" s="99" t="s">
        <v>485</v>
      </c>
      <c r="C41" s="99" t="s">
        <v>421</v>
      </c>
      <c r="D41" s="99">
        <v>70.333333333333329</v>
      </c>
      <c r="E41" s="99">
        <v>-148.93333333333334</v>
      </c>
      <c r="F41" s="99">
        <v>3</v>
      </c>
      <c r="G41" s="99" t="s">
        <v>432</v>
      </c>
      <c r="H41" s="99" t="s">
        <v>486</v>
      </c>
      <c r="I41" s="99" t="s">
        <v>421</v>
      </c>
      <c r="J41" s="99" t="s">
        <v>447</v>
      </c>
      <c r="K41" s="99" t="s">
        <v>421</v>
      </c>
      <c r="L41" s="99" t="s">
        <v>448</v>
      </c>
      <c r="M41" s="105" t="str">
        <f t="shared" si="0"/>
        <v>View on Google Map</v>
      </c>
      <c r="N41" s="99"/>
    </row>
    <row r="42" spans="1:14" ht="12.75" customHeight="1" x14ac:dyDescent="0.2">
      <c r="A42" s="99">
        <v>141</v>
      </c>
      <c r="B42" s="99" t="s">
        <v>487</v>
      </c>
      <c r="C42" s="99" t="s">
        <v>488</v>
      </c>
      <c r="D42" s="99">
        <v>68.63333333333334</v>
      </c>
      <c r="E42" s="99">
        <v>-149.6</v>
      </c>
      <c r="F42" s="99">
        <v>720</v>
      </c>
      <c r="G42" s="99" t="s">
        <v>432</v>
      </c>
      <c r="H42" s="99" t="s">
        <v>489</v>
      </c>
      <c r="I42" s="99" t="s">
        <v>490</v>
      </c>
      <c r="J42" s="99" t="s">
        <v>447</v>
      </c>
      <c r="K42" s="99" t="s">
        <v>421</v>
      </c>
      <c r="L42" s="99" t="s">
        <v>448</v>
      </c>
      <c r="M42" s="105" t="str">
        <f t="shared" si="0"/>
        <v>View on Google Map</v>
      </c>
    </row>
    <row r="43" spans="1:14" ht="12.75" customHeight="1" x14ac:dyDescent="0.2">
      <c r="A43" s="99">
        <v>160</v>
      </c>
      <c r="B43" s="99" t="s">
        <v>491</v>
      </c>
      <c r="C43" s="99" t="s">
        <v>421</v>
      </c>
      <c r="D43" s="99">
        <v>68.599999999999994</v>
      </c>
      <c r="E43" s="99">
        <v>-149.18333333333334</v>
      </c>
      <c r="F43" s="99">
        <v>864</v>
      </c>
      <c r="G43" s="99" t="s">
        <v>432</v>
      </c>
      <c r="H43" s="99" t="s">
        <v>492</v>
      </c>
      <c r="I43" s="99" t="s">
        <v>493</v>
      </c>
      <c r="J43" s="99" t="s">
        <v>447</v>
      </c>
      <c r="K43" s="99">
        <v>246</v>
      </c>
      <c r="L43" s="99" t="s">
        <v>448</v>
      </c>
      <c r="M43" s="105" t="str">
        <f t="shared" si="0"/>
        <v>View on Google Map</v>
      </c>
    </row>
    <row r="44" spans="1:14" ht="12.75" customHeight="1" x14ac:dyDescent="0.2">
      <c r="A44" s="99">
        <v>481</v>
      </c>
      <c r="B44" s="99" t="s">
        <v>494</v>
      </c>
      <c r="C44" s="99" t="s">
        <v>421</v>
      </c>
      <c r="D44" s="99">
        <v>68.976716667000005</v>
      </c>
      <c r="E44" s="99">
        <v>-150.20383333300001</v>
      </c>
      <c r="F44" s="99">
        <v>362</v>
      </c>
      <c r="G44" s="99" t="s">
        <v>432</v>
      </c>
      <c r="H44" s="99" t="s">
        <v>421</v>
      </c>
      <c r="I44" s="99" t="s">
        <v>421</v>
      </c>
      <c r="J44" s="99" t="s">
        <v>482</v>
      </c>
      <c r="K44" s="99" t="s">
        <v>421</v>
      </c>
      <c r="L44" s="99" t="s">
        <v>429</v>
      </c>
      <c r="M44" s="105" t="str">
        <f t="shared" si="0"/>
        <v>View on Google Map</v>
      </c>
    </row>
    <row r="45" spans="1:14" x14ac:dyDescent="0.2">
      <c r="A45" s="99">
        <v>21</v>
      </c>
      <c r="B45" s="99" t="s">
        <v>495</v>
      </c>
      <c r="C45" s="99" t="s">
        <v>421</v>
      </c>
      <c r="D45" s="99" t="s">
        <v>421</v>
      </c>
      <c r="E45" s="99" t="s">
        <v>421</v>
      </c>
      <c r="F45" s="99" t="s">
        <v>421</v>
      </c>
      <c r="G45" s="99" t="s">
        <v>446</v>
      </c>
      <c r="H45" s="99" t="s">
        <v>421</v>
      </c>
      <c r="I45" s="99" t="s">
        <v>421</v>
      </c>
      <c r="J45" s="99" t="s">
        <v>447</v>
      </c>
      <c r="K45" s="99" t="s">
        <v>421</v>
      </c>
      <c r="L45" s="99" t="s">
        <v>421</v>
      </c>
      <c r="M45" s="105" t="str">
        <f t="shared" si="0"/>
        <v>View on Google Map</v>
      </c>
      <c r="N45" s="106"/>
    </row>
    <row r="46" spans="1:14" x14ac:dyDescent="0.2">
      <c r="A46" s="99">
        <v>470</v>
      </c>
      <c r="B46" s="99" t="s">
        <v>496</v>
      </c>
      <c r="C46" s="99" t="s">
        <v>421</v>
      </c>
      <c r="D46" s="99">
        <v>68.829459999999997</v>
      </c>
      <c r="E46" s="99">
        <v>-149.77891</v>
      </c>
      <c r="F46" s="99">
        <v>634</v>
      </c>
      <c r="G46" s="99" t="s">
        <v>432</v>
      </c>
      <c r="H46" s="99" t="s">
        <v>421</v>
      </c>
      <c r="I46" s="99" t="s">
        <v>421</v>
      </c>
      <c r="J46" s="99" t="s">
        <v>433</v>
      </c>
      <c r="K46" s="99" t="s">
        <v>421</v>
      </c>
      <c r="L46" s="99" t="s">
        <v>421</v>
      </c>
      <c r="M46" s="105" t="str">
        <f t="shared" si="0"/>
        <v>View on Google Map</v>
      </c>
    </row>
    <row r="47" spans="1:14" x14ac:dyDescent="0.2">
      <c r="A47" s="99">
        <v>471</v>
      </c>
      <c r="B47" s="99" t="s">
        <v>497</v>
      </c>
      <c r="C47" s="99" t="s">
        <v>421</v>
      </c>
      <c r="D47" s="99">
        <v>68.832939999999994</v>
      </c>
      <c r="E47" s="99">
        <v>-149.76775000000001</v>
      </c>
      <c r="F47" s="99">
        <v>624</v>
      </c>
      <c r="G47" s="99" t="s">
        <v>432</v>
      </c>
      <c r="H47" s="99" t="s">
        <v>421</v>
      </c>
      <c r="I47" s="99" t="s">
        <v>421</v>
      </c>
      <c r="J47" s="99" t="s">
        <v>433</v>
      </c>
      <c r="K47" s="99" t="s">
        <v>421</v>
      </c>
      <c r="L47" s="99" t="s">
        <v>421</v>
      </c>
      <c r="M47" s="105" t="str">
        <f t="shared" si="0"/>
        <v>View on Google Map</v>
      </c>
    </row>
    <row r="48" spans="1:14" x14ac:dyDescent="0.2">
      <c r="A48" s="99">
        <v>472</v>
      </c>
      <c r="B48" s="99" t="s">
        <v>498</v>
      </c>
      <c r="C48" s="99" t="s">
        <v>421</v>
      </c>
      <c r="D48" s="99">
        <v>68.828059999999994</v>
      </c>
      <c r="E48" s="99">
        <v>-149.76449</v>
      </c>
      <c r="F48" s="99">
        <v>624</v>
      </c>
      <c r="G48" s="99" t="s">
        <v>432</v>
      </c>
      <c r="H48" s="99" t="s">
        <v>421</v>
      </c>
      <c r="I48" s="99" t="s">
        <v>421</v>
      </c>
      <c r="J48" s="99" t="s">
        <v>433</v>
      </c>
      <c r="K48" s="99" t="s">
        <v>421</v>
      </c>
      <c r="L48" s="99" t="s">
        <v>421</v>
      </c>
      <c r="M48" s="105" t="str">
        <f t="shared" si="0"/>
        <v>View on Google Map</v>
      </c>
    </row>
    <row r="49" spans="1:13" x14ac:dyDescent="0.2">
      <c r="A49" s="99">
        <v>473</v>
      </c>
      <c r="B49" s="99" t="s">
        <v>499</v>
      </c>
      <c r="C49" s="99" t="s">
        <v>421</v>
      </c>
      <c r="D49" s="99">
        <v>68.826400000000007</v>
      </c>
      <c r="E49" s="99">
        <v>-149.7585</v>
      </c>
      <c r="F49" s="99">
        <v>592</v>
      </c>
      <c r="G49" s="99" t="s">
        <v>432</v>
      </c>
      <c r="H49" s="99" t="s">
        <v>421</v>
      </c>
      <c r="I49" s="99" t="s">
        <v>421</v>
      </c>
      <c r="J49" s="99" t="s">
        <v>433</v>
      </c>
      <c r="K49" s="99" t="s">
        <v>421</v>
      </c>
      <c r="L49" s="99" t="s">
        <v>421</v>
      </c>
      <c r="M49" s="105" t="str">
        <f t="shared" si="0"/>
        <v>View on Google Map</v>
      </c>
    </row>
    <row r="50" spans="1:13" x14ac:dyDescent="0.2">
      <c r="A50" s="99">
        <v>474</v>
      </c>
      <c r="B50" s="99" t="s">
        <v>500</v>
      </c>
      <c r="C50" s="99" t="s">
        <v>421</v>
      </c>
      <c r="D50" s="99">
        <v>68.827349999999996</v>
      </c>
      <c r="E50" s="99">
        <v>-149.74993000000001</v>
      </c>
      <c r="F50" s="99">
        <v>592</v>
      </c>
      <c r="G50" s="99" t="s">
        <v>432</v>
      </c>
      <c r="H50" s="99" t="s">
        <v>421</v>
      </c>
      <c r="I50" s="99" t="s">
        <v>421</v>
      </c>
      <c r="J50" s="99" t="s">
        <v>433</v>
      </c>
      <c r="K50" s="99" t="s">
        <v>421</v>
      </c>
      <c r="L50" s="99" t="s">
        <v>421</v>
      </c>
      <c r="M50" s="105" t="str">
        <f t="shared" si="0"/>
        <v>View on Google Map</v>
      </c>
    </row>
    <row r="51" spans="1:13" x14ac:dyDescent="0.2">
      <c r="A51" s="99">
        <v>475</v>
      </c>
      <c r="B51" s="99" t="s">
        <v>501</v>
      </c>
      <c r="C51" s="99" t="s">
        <v>421</v>
      </c>
      <c r="D51" s="99">
        <v>68.831180000000003</v>
      </c>
      <c r="E51" s="99">
        <v>-149.74606</v>
      </c>
      <c r="F51" s="99">
        <v>593</v>
      </c>
      <c r="G51" s="99" t="s">
        <v>432</v>
      </c>
      <c r="H51" s="99" t="s">
        <v>502</v>
      </c>
      <c r="I51" s="99" t="s">
        <v>421</v>
      </c>
      <c r="J51" s="99" t="s">
        <v>433</v>
      </c>
      <c r="K51" s="99" t="s">
        <v>421</v>
      </c>
      <c r="L51" s="99" t="s">
        <v>421</v>
      </c>
      <c r="M51" s="105" t="str">
        <f t="shared" si="0"/>
        <v>View on Google Map</v>
      </c>
    </row>
    <row r="52" spans="1:13" x14ac:dyDescent="0.2">
      <c r="A52" s="99">
        <v>476</v>
      </c>
      <c r="B52" s="99" t="s">
        <v>503</v>
      </c>
      <c r="C52" s="99" t="s">
        <v>421</v>
      </c>
      <c r="D52" s="99">
        <v>68.825339999999997</v>
      </c>
      <c r="E52" s="99">
        <v>-149.76837</v>
      </c>
      <c r="F52" s="99">
        <v>621</v>
      </c>
      <c r="G52" s="99" t="s">
        <v>432</v>
      </c>
      <c r="H52" s="99" t="s">
        <v>421</v>
      </c>
      <c r="I52" s="99" t="s">
        <v>421</v>
      </c>
      <c r="J52" s="99" t="s">
        <v>433</v>
      </c>
      <c r="K52" s="99" t="s">
        <v>421</v>
      </c>
      <c r="L52" s="99" t="s">
        <v>421</v>
      </c>
      <c r="M52" s="105" t="str">
        <f t="shared" si="0"/>
        <v>View on Google Map</v>
      </c>
    </row>
    <row r="53" spans="1:13" x14ac:dyDescent="0.2">
      <c r="A53" s="99">
        <v>477</v>
      </c>
      <c r="B53" s="99" t="s">
        <v>504</v>
      </c>
      <c r="C53" s="99" t="s">
        <v>421</v>
      </c>
      <c r="D53" s="99">
        <v>68.821740000000005</v>
      </c>
      <c r="E53" s="99">
        <v>-149.76378</v>
      </c>
      <c r="F53" s="99">
        <v>605</v>
      </c>
      <c r="G53" s="99" t="s">
        <v>432</v>
      </c>
      <c r="H53" s="99" t="s">
        <v>421</v>
      </c>
      <c r="I53" s="99" t="s">
        <v>421</v>
      </c>
      <c r="J53" s="99" t="s">
        <v>433</v>
      </c>
      <c r="K53" s="99" t="s">
        <v>421</v>
      </c>
      <c r="L53" s="99" t="s">
        <v>421</v>
      </c>
      <c r="M53" s="105" t="str">
        <f t="shared" si="0"/>
        <v>View on Google Map</v>
      </c>
    </row>
    <row r="54" spans="1:13" x14ac:dyDescent="0.2">
      <c r="A54" s="99">
        <v>1174</v>
      </c>
      <c r="B54" s="99" t="s">
        <v>505</v>
      </c>
      <c r="C54" s="99" t="s">
        <v>421</v>
      </c>
      <c r="D54" s="99">
        <v>68.933938330000004</v>
      </c>
      <c r="E54" s="99">
        <v>-150.27111830000001</v>
      </c>
      <c r="F54" s="99" t="s">
        <v>421</v>
      </c>
      <c r="G54" s="99" t="s">
        <v>422</v>
      </c>
      <c r="H54" s="99" t="s">
        <v>421</v>
      </c>
      <c r="I54" s="99" t="s">
        <v>421</v>
      </c>
      <c r="J54" s="99" t="s">
        <v>428</v>
      </c>
      <c r="K54" s="99" t="s">
        <v>421</v>
      </c>
      <c r="L54" s="99" t="s">
        <v>429</v>
      </c>
      <c r="M54" s="105" t="str">
        <f t="shared" si="0"/>
        <v>View on Google Map</v>
      </c>
    </row>
    <row r="55" spans="1:13" x14ac:dyDescent="0.2">
      <c r="A55" s="99">
        <v>242</v>
      </c>
      <c r="B55" s="99" t="s">
        <v>506</v>
      </c>
      <c r="C55" s="99" t="s">
        <v>421</v>
      </c>
      <c r="D55" s="99" t="s">
        <v>421</v>
      </c>
      <c r="E55" s="99" t="s">
        <v>421</v>
      </c>
      <c r="F55" s="99">
        <v>390.2439024390244</v>
      </c>
      <c r="G55" s="99" t="s">
        <v>432</v>
      </c>
      <c r="H55" s="99" t="s">
        <v>421</v>
      </c>
      <c r="I55" s="99" t="s">
        <v>421</v>
      </c>
      <c r="J55" s="99" t="s">
        <v>447</v>
      </c>
      <c r="K55" s="99" t="s">
        <v>421</v>
      </c>
      <c r="L55" s="99" t="s">
        <v>507</v>
      </c>
      <c r="M55" s="105" t="str">
        <f t="shared" si="0"/>
        <v>View on Google Map</v>
      </c>
    </row>
    <row r="56" spans="1:13" x14ac:dyDescent="0.2">
      <c r="A56" s="99">
        <v>192</v>
      </c>
      <c r="B56" s="99" t="s">
        <v>508</v>
      </c>
      <c r="C56" s="99" t="s">
        <v>421</v>
      </c>
      <c r="D56" s="99">
        <v>69.233333333333334</v>
      </c>
      <c r="E56" s="99">
        <v>-148.94999999999999</v>
      </c>
      <c r="F56" s="99">
        <v>325</v>
      </c>
      <c r="G56" s="99" t="s">
        <v>432</v>
      </c>
      <c r="H56" s="99" t="s">
        <v>509</v>
      </c>
      <c r="I56" s="99" t="s">
        <v>421</v>
      </c>
      <c r="J56" s="99" t="s">
        <v>447</v>
      </c>
      <c r="K56" s="99" t="s">
        <v>421</v>
      </c>
      <c r="L56" s="99" t="s">
        <v>510</v>
      </c>
      <c r="M56" s="105" t="str">
        <f t="shared" si="0"/>
        <v>View on Google Map</v>
      </c>
    </row>
    <row r="57" spans="1:13" x14ac:dyDescent="0.2">
      <c r="A57" s="99">
        <v>277</v>
      </c>
      <c r="B57" s="99" t="s">
        <v>508</v>
      </c>
      <c r="C57" s="99" t="s">
        <v>421</v>
      </c>
      <c r="D57" s="99">
        <v>70.374600000000001</v>
      </c>
      <c r="E57" s="99">
        <v>-149.06383333333332</v>
      </c>
      <c r="F57" s="99">
        <v>6</v>
      </c>
      <c r="G57" s="99" t="s">
        <v>432</v>
      </c>
      <c r="H57" s="99" t="s">
        <v>511</v>
      </c>
      <c r="I57" s="99" t="s">
        <v>421</v>
      </c>
      <c r="J57" s="99" t="s">
        <v>447</v>
      </c>
      <c r="K57" s="99" t="s">
        <v>421</v>
      </c>
      <c r="L57" s="99" t="s">
        <v>512</v>
      </c>
      <c r="M57" s="105" t="str">
        <f t="shared" si="0"/>
        <v>View on Google Map</v>
      </c>
    </row>
    <row r="58" spans="1:13" x14ac:dyDescent="0.2">
      <c r="A58" s="99">
        <v>193</v>
      </c>
      <c r="B58" s="99" t="s">
        <v>513</v>
      </c>
      <c r="C58" s="99" t="s">
        <v>421</v>
      </c>
      <c r="D58" s="99">
        <v>69.283333333333331</v>
      </c>
      <c r="E58" s="99">
        <v>-148.9</v>
      </c>
      <c r="F58" s="99">
        <v>346</v>
      </c>
      <c r="G58" s="99" t="s">
        <v>432</v>
      </c>
      <c r="H58" s="99" t="s">
        <v>514</v>
      </c>
      <c r="I58" s="99" t="s">
        <v>421</v>
      </c>
      <c r="J58" s="99" t="s">
        <v>447</v>
      </c>
      <c r="K58" s="99" t="s">
        <v>421</v>
      </c>
      <c r="L58" s="99" t="s">
        <v>510</v>
      </c>
      <c r="M58" s="105" t="str">
        <f t="shared" si="0"/>
        <v>View on Google Map</v>
      </c>
    </row>
    <row r="59" spans="1:13" x14ac:dyDescent="0.2">
      <c r="A59" s="99">
        <v>278</v>
      </c>
      <c r="B59" s="99" t="s">
        <v>513</v>
      </c>
      <c r="C59" s="99" t="s">
        <v>421</v>
      </c>
      <c r="D59" s="99">
        <v>70.374600000000001</v>
      </c>
      <c r="E59" s="99">
        <v>-149.06383333333332</v>
      </c>
      <c r="F59" s="99">
        <v>6</v>
      </c>
      <c r="G59" s="99" t="s">
        <v>432</v>
      </c>
      <c r="H59" s="99" t="s">
        <v>515</v>
      </c>
      <c r="I59" s="99" t="s">
        <v>421</v>
      </c>
      <c r="J59" s="99" t="s">
        <v>447</v>
      </c>
      <c r="K59" s="99" t="s">
        <v>421</v>
      </c>
      <c r="L59" s="99" t="s">
        <v>512</v>
      </c>
      <c r="M59" s="105" t="str">
        <f t="shared" si="0"/>
        <v>View on Google Map</v>
      </c>
    </row>
    <row r="60" spans="1:13" x14ac:dyDescent="0.2">
      <c r="A60" s="99">
        <v>194</v>
      </c>
      <c r="B60" s="99" t="s">
        <v>516</v>
      </c>
      <c r="C60" s="99" t="s">
        <v>421</v>
      </c>
      <c r="D60" s="99">
        <v>69.716666666666669</v>
      </c>
      <c r="E60" s="99">
        <v>-149.44999999999999</v>
      </c>
      <c r="F60" s="99">
        <v>91</v>
      </c>
      <c r="G60" s="99" t="s">
        <v>432</v>
      </c>
      <c r="H60" s="99" t="s">
        <v>517</v>
      </c>
      <c r="I60" s="99" t="s">
        <v>421</v>
      </c>
      <c r="J60" s="99" t="s">
        <v>447</v>
      </c>
      <c r="K60" s="99" t="s">
        <v>421</v>
      </c>
      <c r="L60" s="99" t="s">
        <v>510</v>
      </c>
      <c r="M60" s="105" t="str">
        <f t="shared" si="0"/>
        <v>View on Google Map</v>
      </c>
    </row>
    <row r="61" spans="1:13" x14ac:dyDescent="0.2">
      <c r="A61" s="99">
        <v>279</v>
      </c>
      <c r="B61" s="99" t="s">
        <v>516</v>
      </c>
      <c r="C61" s="99" t="s">
        <v>421</v>
      </c>
      <c r="D61" s="99">
        <v>70.367750000000001</v>
      </c>
      <c r="E61" s="99">
        <v>-148.8357</v>
      </c>
      <c r="F61" s="99">
        <v>6</v>
      </c>
      <c r="G61" s="99" t="s">
        <v>432</v>
      </c>
      <c r="H61" s="99" t="s">
        <v>518</v>
      </c>
      <c r="I61" s="99" t="s">
        <v>421</v>
      </c>
      <c r="J61" s="99" t="s">
        <v>447</v>
      </c>
      <c r="K61" s="99" t="s">
        <v>421</v>
      </c>
      <c r="L61" s="99" t="s">
        <v>512</v>
      </c>
      <c r="M61" s="105" t="str">
        <f t="shared" si="0"/>
        <v>View on Google Map</v>
      </c>
    </row>
    <row r="62" spans="1:13" x14ac:dyDescent="0.2">
      <c r="A62" s="99">
        <v>195</v>
      </c>
      <c r="B62" s="99" t="s">
        <v>519</v>
      </c>
      <c r="C62" s="99" t="s">
        <v>421</v>
      </c>
      <c r="D62" s="99">
        <v>69.716666666666669</v>
      </c>
      <c r="E62" s="99">
        <v>-149.44999999999999</v>
      </c>
      <c r="F62" s="99">
        <v>91</v>
      </c>
      <c r="G62" s="99" t="s">
        <v>432</v>
      </c>
      <c r="H62" s="99" t="s">
        <v>520</v>
      </c>
      <c r="I62" s="99" t="s">
        <v>421</v>
      </c>
      <c r="J62" s="99" t="s">
        <v>447</v>
      </c>
      <c r="K62" s="99" t="s">
        <v>421</v>
      </c>
      <c r="L62" s="99" t="s">
        <v>510</v>
      </c>
      <c r="M62" s="105" t="str">
        <f t="shared" si="0"/>
        <v>View on Google Map</v>
      </c>
    </row>
    <row r="63" spans="1:13" x14ac:dyDescent="0.2">
      <c r="A63" s="99">
        <v>280</v>
      </c>
      <c r="B63" s="99" t="s">
        <v>519</v>
      </c>
      <c r="C63" s="99" t="s">
        <v>421</v>
      </c>
      <c r="D63" s="99">
        <v>70.367750000000001</v>
      </c>
      <c r="E63" s="99">
        <v>-148.8357</v>
      </c>
      <c r="F63" s="99">
        <v>6</v>
      </c>
      <c r="G63" s="99" t="s">
        <v>432</v>
      </c>
      <c r="H63" s="99" t="s">
        <v>521</v>
      </c>
      <c r="I63" s="99" t="s">
        <v>421</v>
      </c>
      <c r="J63" s="99" t="s">
        <v>447</v>
      </c>
      <c r="K63" s="99" t="s">
        <v>421</v>
      </c>
      <c r="L63" s="99" t="s">
        <v>512</v>
      </c>
      <c r="M63" s="105" t="str">
        <f t="shared" si="0"/>
        <v>View on Google Map</v>
      </c>
    </row>
    <row r="64" spans="1:13" x14ac:dyDescent="0.2">
      <c r="A64" s="99">
        <v>196</v>
      </c>
      <c r="B64" s="99" t="s">
        <v>522</v>
      </c>
      <c r="C64" s="99" t="s">
        <v>421</v>
      </c>
      <c r="D64" s="99">
        <v>69.833333333333329</v>
      </c>
      <c r="E64" s="99">
        <v>-149.75</v>
      </c>
      <c r="F64" s="99">
        <v>80</v>
      </c>
      <c r="G64" s="99" t="s">
        <v>432</v>
      </c>
      <c r="H64" s="99" t="s">
        <v>523</v>
      </c>
      <c r="I64" s="99" t="s">
        <v>421</v>
      </c>
      <c r="J64" s="99" t="s">
        <v>447</v>
      </c>
      <c r="K64" s="99" t="s">
        <v>421</v>
      </c>
      <c r="L64" s="99" t="s">
        <v>510</v>
      </c>
      <c r="M64" s="105" t="str">
        <f t="shared" si="0"/>
        <v>View on Google Map</v>
      </c>
    </row>
    <row r="65" spans="1:13" x14ac:dyDescent="0.2">
      <c r="A65" s="99">
        <v>281</v>
      </c>
      <c r="B65" s="99" t="s">
        <v>522</v>
      </c>
      <c r="C65" s="99" t="s">
        <v>421</v>
      </c>
      <c r="D65" s="99">
        <v>70.26821666666666</v>
      </c>
      <c r="E65" s="99">
        <v>-149.20859999999999</v>
      </c>
      <c r="F65" s="99">
        <v>15</v>
      </c>
      <c r="G65" s="99" t="s">
        <v>432</v>
      </c>
      <c r="H65" s="99" t="s">
        <v>524</v>
      </c>
      <c r="I65" s="99" t="s">
        <v>421</v>
      </c>
      <c r="J65" s="99" t="s">
        <v>447</v>
      </c>
      <c r="K65" s="99" t="s">
        <v>421</v>
      </c>
      <c r="L65" s="99" t="s">
        <v>512</v>
      </c>
      <c r="M65" s="105" t="str">
        <f t="shared" si="0"/>
        <v>View on Google Map</v>
      </c>
    </row>
    <row r="66" spans="1:13" x14ac:dyDescent="0.2">
      <c r="A66" s="99">
        <v>197</v>
      </c>
      <c r="B66" s="99" t="s">
        <v>525</v>
      </c>
      <c r="C66" s="99" t="s">
        <v>421</v>
      </c>
      <c r="D66" s="99">
        <v>70.283333333333331</v>
      </c>
      <c r="E66" s="99">
        <v>-150.19999999999999</v>
      </c>
      <c r="F66" s="99">
        <v>12</v>
      </c>
      <c r="G66" s="99" t="s">
        <v>432</v>
      </c>
      <c r="H66" s="99" t="s">
        <v>526</v>
      </c>
      <c r="I66" s="99" t="s">
        <v>421</v>
      </c>
      <c r="J66" s="99" t="s">
        <v>447</v>
      </c>
      <c r="K66" s="99" t="s">
        <v>421</v>
      </c>
      <c r="L66" s="99" t="s">
        <v>510</v>
      </c>
      <c r="M66" s="105" t="str">
        <f t="shared" si="0"/>
        <v>View on Google Map</v>
      </c>
    </row>
    <row r="67" spans="1:13" x14ac:dyDescent="0.2">
      <c r="A67" s="99">
        <v>282</v>
      </c>
      <c r="B67" s="99" t="s">
        <v>525</v>
      </c>
      <c r="C67" s="99" t="s">
        <v>421</v>
      </c>
      <c r="D67" s="99">
        <v>70.26821666666666</v>
      </c>
      <c r="E67" s="99">
        <v>-149.20859999999999</v>
      </c>
      <c r="F67" s="99">
        <v>15</v>
      </c>
      <c r="G67" s="99" t="s">
        <v>432</v>
      </c>
      <c r="H67" s="99" t="s">
        <v>527</v>
      </c>
      <c r="I67" s="99" t="s">
        <v>421</v>
      </c>
      <c r="J67" s="99" t="s">
        <v>447</v>
      </c>
      <c r="K67" s="99" t="s">
        <v>421</v>
      </c>
      <c r="L67" s="99" t="s">
        <v>512</v>
      </c>
      <c r="M67" s="105" t="str">
        <f t="shared" ref="M67:M130" si="1">HYPERLINK("http://maps.google.com/maps?q="&amp;D67&amp;","&amp;E67,"View on Google Map")</f>
        <v>View on Google Map</v>
      </c>
    </row>
    <row r="68" spans="1:13" x14ac:dyDescent="0.2">
      <c r="A68" s="99">
        <v>198</v>
      </c>
      <c r="B68" s="99" t="s">
        <v>528</v>
      </c>
      <c r="C68" s="99" t="s">
        <v>421</v>
      </c>
      <c r="D68" s="99">
        <v>70.283333333333331</v>
      </c>
      <c r="E68" s="99">
        <v>-150.19999999999999</v>
      </c>
      <c r="F68" s="99">
        <v>12</v>
      </c>
      <c r="G68" s="99" t="s">
        <v>432</v>
      </c>
      <c r="H68" s="99" t="s">
        <v>529</v>
      </c>
      <c r="I68" s="99" t="s">
        <v>421</v>
      </c>
      <c r="J68" s="99" t="s">
        <v>447</v>
      </c>
      <c r="K68" s="99" t="s">
        <v>421</v>
      </c>
      <c r="L68" s="99" t="s">
        <v>510</v>
      </c>
      <c r="M68" s="105" t="str">
        <f t="shared" si="1"/>
        <v>View on Google Map</v>
      </c>
    </row>
    <row r="69" spans="1:13" x14ac:dyDescent="0.2">
      <c r="A69" s="99">
        <v>283</v>
      </c>
      <c r="B69" s="99" t="s">
        <v>528</v>
      </c>
      <c r="C69" s="99" t="s">
        <v>421</v>
      </c>
      <c r="D69" s="99">
        <v>70.184266666666673</v>
      </c>
      <c r="E69" s="99">
        <v>-149.15443333333334</v>
      </c>
      <c r="F69" s="99">
        <v>15</v>
      </c>
      <c r="G69" s="99" t="s">
        <v>432</v>
      </c>
      <c r="H69" s="99" t="s">
        <v>530</v>
      </c>
      <c r="I69" s="99" t="s">
        <v>421</v>
      </c>
      <c r="J69" s="99" t="s">
        <v>447</v>
      </c>
      <c r="K69" s="99" t="s">
        <v>421</v>
      </c>
      <c r="L69" s="99" t="s">
        <v>512</v>
      </c>
      <c r="M69" s="105" t="str">
        <f t="shared" si="1"/>
        <v>View on Google Map</v>
      </c>
    </row>
    <row r="70" spans="1:13" x14ac:dyDescent="0.2">
      <c r="A70" s="99">
        <v>199</v>
      </c>
      <c r="B70" s="99" t="s">
        <v>531</v>
      </c>
      <c r="C70" s="99" t="s">
        <v>421</v>
      </c>
      <c r="D70" s="99">
        <v>70.416666666666671</v>
      </c>
      <c r="E70" s="99">
        <v>-150.19999999999999</v>
      </c>
      <c r="F70" s="99">
        <v>4</v>
      </c>
      <c r="G70" s="99" t="s">
        <v>432</v>
      </c>
      <c r="H70" s="99" t="s">
        <v>532</v>
      </c>
      <c r="I70" s="99" t="s">
        <v>421</v>
      </c>
      <c r="J70" s="99" t="s">
        <v>447</v>
      </c>
      <c r="K70" s="99" t="s">
        <v>421</v>
      </c>
      <c r="L70" s="99" t="s">
        <v>510</v>
      </c>
      <c r="M70" s="105" t="str">
        <f t="shared" si="1"/>
        <v>View on Google Map</v>
      </c>
    </row>
    <row r="71" spans="1:13" x14ac:dyDescent="0.2">
      <c r="A71" s="99">
        <v>284</v>
      </c>
      <c r="B71" s="99" t="s">
        <v>531</v>
      </c>
      <c r="C71" s="99" t="s">
        <v>421</v>
      </c>
      <c r="D71" s="99">
        <v>70.184266666666673</v>
      </c>
      <c r="E71" s="99">
        <v>-149.15443333333334</v>
      </c>
      <c r="F71" s="99">
        <v>15</v>
      </c>
      <c r="G71" s="99" t="s">
        <v>432</v>
      </c>
      <c r="H71" s="99" t="s">
        <v>533</v>
      </c>
      <c r="I71" s="99" t="s">
        <v>421</v>
      </c>
      <c r="J71" s="99" t="s">
        <v>447</v>
      </c>
      <c r="K71" s="99" t="s">
        <v>421</v>
      </c>
      <c r="L71" s="99" t="s">
        <v>512</v>
      </c>
      <c r="M71" s="105" t="str">
        <f t="shared" si="1"/>
        <v>View on Google Map</v>
      </c>
    </row>
    <row r="72" spans="1:13" x14ac:dyDescent="0.2">
      <c r="A72" s="99">
        <v>200</v>
      </c>
      <c r="B72" s="99" t="s">
        <v>534</v>
      </c>
      <c r="C72" s="99" t="s">
        <v>421</v>
      </c>
      <c r="D72" s="99">
        <v>70.283333333333331</v>
      </c>
      <c r="E72" s="99">
        <v>-149.81666666666666</v>
      </c>
      <c r="F72" s="99">
        <v>28.963414634146343</v>
      </c>
      <c r="G72" s="99" t="s">
        <v>432</v>
      </c>
      <c r="H72" s="99" t="s">
        <v>535</v>
      </c>
      <c r="I72" s="99" t="s">
        <v>421</v>
      </c>
      <c r="J72" s="99" t="s">
        <v>447</v>
      </c>
      <c r="K72" s="99" t="s">
        <v>421</v>
      </c>
      <c r="L72" s="99" t="s">
        <v>510</v>
      </c>
      <c r="M72" s="105" t="str">
        <f t="shared" si="1"/>
        <v>View on Google Map</v>
      </c>
    </row>
    <row r="73" spans="1:13" x14ac:dyDescent="0.2">
      <c r="A73" s="99">
        <v>285</v>
      </c>
      <c r="B73" s="99" t="s">
        <v>534</v>
      </c>
      <c r="C73" s="99" t="s">
        <v>421</v>
      </c>
      <c r="D73" s="99">
        <v>70.126099999999994</v>
      </c>
      <c r="E73" s="99">
        <v>-149.33773333333335</v>
      </c>
      <c r="F73" s="99">
        <v>30</v>
      </c>
      <c r="G73" s="99" t="s">
        <v>432</v>
      </c>
      <c r="H73" s="99" t="s">
        <v>536</v>
      </c>
      <c r="I73" s="99" t="s">
        <v>421</v>
      </c>
      <c r="J73" s="99" t="s">
        <v>447</v>
      </c>
      <c r="K73" s="99" t="s">
        <v>421</v>
      </c>
      <c r="L73" s="99" t="s">
        <v>512</v>
      </c>
      <c r="M73" s="105" t="str">
        <f t="shared" si="1"/>
        <v>View on Google Map</v>
      </c>
    </row>
    <row r="74" spans="1:13" x14ac:dyDescent="0.2">
      <c r="A74" s="99">
        <v>201</v>
      </c>
      <c r="B74" s="99" t="s">
        <v>537</v>
      </c>
      <c r="C74" s="99" t="s">
        <v>421</v>
      </c>
      <c r="D74" s="99">
        <v>70.283333333333331</v>
      </c>
      <c r="E74" s="99">
        <v>-149.81666666666666</v>
      </c>
      <c r="F74" s="99">
        <v>28.963414634146343</v>
      </c>
      <c r="G74" s="99" t="s">
        <v>432</v>
      </c>
      <c r="H74" s="99" t="s">
        <v>538</v>
      </c>
      <c r="I74" s="99" t="s">
        <v>421</v>
      </c>
      <c r="J74" s="99" t="s">
        <v>447</v>
      </c>
      <c r="K74" s="99" t="s">
        <v>421</v>
      </c>
      <c r="L74" s="99" t="s">
        <v>510</v>
      </c>
      <c r="M74" s="105" t="str">
        <f t="shared" si="1"/>
        <v>View on Google Map</v>
      </c>
    </row>
    <row r="75" spans="1:13" x14ac:dyDescent="0.2">
      <c r="A75" s="99">
        <v>286</v>
      </c>
      <c r="B75" s="99" t="s">
        <v>537</v>
      </c>
      <c r="C75" s="99" t="s">
        <v>421</v>
      </c>
      <c r="D75" s="99">
        <v>70.126099999999994</v>
      </c>
      <c r="E75" s="99">
        <v>-149.33773333333335</v>
      </c>
      <c r="F75" s="99">
        <v>30</v>
      </c>
      <c r="G75" s="99" t="s">
        <v>432</v>
      </c>
      <c r="H75" s="99" t="s">
        <v>539</v>
      </c>
      <c r="I75" s="99" t="s">
        <v>421</v>
      </c>
      <c r="J75" s="99" t="s">
        <v>447</v>
      </c>
      <c r="K75" s="99" t="s">
        <v>421</v>
      </c>
      <c r="L75" s="99" t="s">
        <v>512</v>
      </c>
      <c r="M75" s="105" t="str">
        <f t="shared" si="1"/>
        <v>View on Google Map</v>
      </c>
    </row>
    <row r="76" spans="1:13" x14ac:dyDescent="0.2">
      <c r="A76" s="99">
        <v>202</v>
      </c>
      <c r="B76" s="99" t="s">
        <v>540</v>
      </c>
      <c r="C76" s="99" t="s">
        <v>421</v>
      </c>
      <c r="D76" s="99">
        <v>70.45</v>
      </c>
      <c r="E76" s="99">
        <v>-149.16666666666666</v>
      </c>
      <c r="F76" s="99">
        <v>4.8780487804878048</v>
      </c>
      <c r="G76" s="99" t="s">
        <v>432</v>
      </c>
      <c r="H76" s="99" t="s">
        <v>541</v>
      </c>
      <c r="I76" s="99" t="s">
        <v>421</v>
      </c>
      <c r="J76" s="99" t="s">
        <v>447</v>
      </c>
      <c r="K76" s="99" t="s">
        <v>421</v>
      </c>
      <c r="L76" s="99" t="s">
        <v>510</v>
      </c>
      <c r="M76" s="105" t="str">
        <f t="shared" si="1"/>
        <v>View on Google Map</v>
      </c>
    </row>
    <row r="77" spans="1:13" x14ac:dyDescent="0.2">
      <c r="A77" s="99">
        <v>287</v>
      </c>
      <c r="B77" s="99" t="s">
        <v>540</v>
      </c>
      <c r="C77" s="99" t="s">
        <v>421</v>
      </c>
      <c r="D77" s="99">
        <v>69.9221</v>
      </c>
      <c r="E77" s="99">
        <v>-149.34523333333334</v>
      </c>
      <c r="F77" s="99">
        <v>61</v>
      </c>
      <c r="G77" s="99" t="s">
        <v>432</v>
      </c>
      <c r="H77" s="99" t="s">
        <v>542</v>
      </c>
      <c r="I77" s="99" t="s">
        <v>421</v>
      </c>
      <c r="J77" s="99" t="s">
        <v>447</v>
      </c>
      <c r="K77" s="99" t="s">
        <v>421</v>
      </c>
      <c r="L77" s="99" t="s">
        <v>512</v>
      </c>
      <c r="M77" s="105" t="str">
        <f t="shared" si="1"/>
        <v>View on Google Map</v>
      </c>
    </row>
    <row r="78" spans="1:13" x14ac:dyDescent="0.2">
      <c r="A78" s="99">
        <v>203</v>
      </c>
      <c r="B78" s="99" t="s">
        <v>543</v>
      </c>
      <c r="C78" s="99" t="s">
        <v>421</v>
      </c>
      <c r="D78" s="99">
        <v>70.233333333333334</v>
      </c>
      <c r="E78" s="99">
        <v>-148.88333333333333</v>
      </c>
      <c r="F78" s="99">
        <v>17.682926829268293</v>
      </c>
      <c r="G78" s="99" t="s">
        <v>432</v>
      </c>
      <c r="H78" s="99" t="s">
        <v>544</v>
      </c>
      <c r="I78" s="99" t="s">
        <v>421</v>
      </c>
      <c r="J78" s="99" t="s">
        <v>447</v>
      </c>
      <c r="K78" s="99" t="s">
        <v>421</v>
      </c>
      <c r="L78" s="99" t="s">
        <v>510</v>
      </c>
      <c r="M78" s="105" t="str">
        <f t="shared" si="1"/>
        <v>View on Google Map</v>
      </c>
    </row>
    <row r="79" spans="1:13" x14ac:dyDescent="0.2">
      <c r="A79" s="99">
        <v>288</v>
      </c>
      <c r="B79" s="99" t="s">
        <v>543</v>
      </c>
      <c r="C79" s="99" t="s">
        <v>421</v>
      </c>
      <c r="D79" s="99">
        <v>69.9221</v>
      </c>
      <c r="E79" s="99">
        <v>-149.34523333333334</v>
      </c>
      <c r="F79" s="99">
        <v>61</v>
      </c>
      <c r="G79" s="99" t="s">
        <v>432</v>
      </c>
      <c r="H79" s="99" t="s">
        <v>545</v>
      </c>
      <c r="I79" s="99" t="s">
        <v>421</v>
      </c>
      <c r="J79" s="99" t="s">
        <v>447</v>
      </c>
      <c r="K79" s="99" t="s">
        <v>421</v>
      </c>
      <c r="L79" s="99" t="s">
        <v>512</v>
      </c>
      <c r="M79" s="105" t="str">
        <f t="shared" si="1"/>
        <v>View on Google Map</v>
      </c>
    </row>
    <row r="80" spans="1:13" x14ac:dyDescent="0.2">
      <c r="A80" s="99">
        <v>204</v>
      </c>
      <c r="B80" s="99" t="s">
        <v>546</v>
      </c>
      <c r="C80" s="99" t="s">
        <v>421</v>
      </c>
      <c r="D80" s="99">
        <v>70.233333333333334</v>
      </c>
      <c r="E80" s="99">
        <v>-148.88333333333333</v>
      </c>
      <c r="F80" s="99">
        <v>17.682926829268293</v>
      </c>
      <c r="G80" s="99" t="s">
        <v>432</v>
      </c>
      <c r="H80" s="99" t="s">
        <v>547</v>
      </c>
      <c r="I80" s="99" t="s">
        <v>421</v>
      </c>
      <c r="J80" s="99" t="s">
        <v>447</v>
      </c>
      <c r="K80" s="99" t="s">
        <v>421</v>
      </c>
      <c r="L80" s="99" t="s">
        <v>510</v>
      </c>
      <c r="M80" s="105" t="str">
        <f t="shared" si="1"/>
        <v>View on Google Map</v>
      </c>
    </row>
    <row r="81" spans="1:13" x14ac:dyDescent="0.2">
      <c r="A81" s="99">
        <v>289</v>
      </c>
      <c r="B81" s="99" t="s">
        <v>546</v>
      </c>
      <c r="C81" s="99" t="s">
        <v>421</v>
      </c>
      <c r="D81" s="99">
        <v>69.986533333333327</v>
      </c>
      <c r="E81" s="99">
        <v>-150.08543333333333</v>
      </c>
      <c r="F81" s="99">
        <v>125</v>
      </c>
      <c r="G81" s="99" t="s">
        <v>432</v>
      </c>
      <c r="H81" s="99" t="s">
        <v>548</v>
      </c>
      <c r="I81" s="99" t="s">
        <v>421</v>
      </c>
      <c r="J81" s="99" t="s">
        <v>447</v>
      </c>
      <c r="K81" s="99" t="s">
        <v>421</v>
      </c>
      <c r="L81" s="99" t="s">
        <v>512</v>
      </c>
      <c r="M81" s="105" t="str">
        <f t="shared" si="1"/>
        <v>View on Google Map</v>
      </c>
    </row>
    <row r="82" spans="1:13" x14ac:dyDescent="0.2">
      <c r="A82" s="99">
        <v>205</v>
      </c>
      <c r="B82" s="99" t="s">
        <v>549</v>
      </c>
      <c r="C82" s="99" t="s">
        <v>421</v>
      </c>
      <c r="D82" s="99">
        <v>70.13333333333334</v>
      </c>
      <c r="E82" s="99">
        <v>-148.6</v>
      </c>
      <c r="F82" s="99">
        <v>24.390243902439025</v>
      </c>
      <c r="G82" s="99" t="s">
        <v>432</v>
      </c>
      <c r="H82" s="99" t="s">
        <v>550</v>
      </c>
      <c r="I82" s="99" t="s">
        <v>421</v>
      </c>
      <c r="J82" s="99" t="s">
        <v>447</v>
      </c>
      <c r="K82" s="99" t="s">
        <v>421</v>
      </c>
      <c r="L82" s="99" t="s">
        <v>510</v>
      </c>
      <c r="M82" s="105" t="str">
        <f t="shared" si="1"/>
        <v>View on Google Map</v>
      </c>
    </row>
    <row r="83" spans="1:13" x14ac:dyDescent="0.2">
      <c r="A83" s="99">
        <v>290</v>
      </c>
      <c r="B83" s="99" t="s">
        <v>549</v>
      </c>
      <c r="C83" s="99" t="s">
        <v>421</v>
      </c>
      <c r="D83" s="99">
        <v>69.986533333333327</v>
      </c>
      <c r="E83" s="99">
        <v>-150.08543333333333</v>
      </c>
      <c r="F83" s="99">
        <v>125</v>
      </c>
      <c r="G83" s="99" t="s">
        <v>432</v>
      </c>
      <c r="H83" s="99" t="s">
        <v>551</v>
      </c>
      <c r="I83" s="99" t="s">
        <v>421</v>
      </c>
      <c r="J83" s="99" t="s">
        <v>447</v>
      </c>
      <c r="K83" s="99" t="s">
        <v>421</v>
      </c>
      <c r="L83" s="99" t="s">
        <v>512</v>
      </c>
      <c r="M83" s="105" t="str">
        <f t="shared" si="1"/>
        <v>View on Google Map</v>
      </c>
    </row>
    <row r="84" spans="1:13" x14ac:dyDescent="0.2">
      <c r="A84" s="99">
        <v>291</v>
      </c>
      <c r="B84" s="99" t="s">
        <v>552</v>
      </c>
      <c r="C84" s="99" t="s">
        <v>421</v>
      </c>
      <c r="D84" s="99">
        <v>69.639166666666668</v>
      </c>
      <c r="E84" s="99">
        <v>-149.73946666666666</v>
      </c>
      <c r="F84" s="99">
        <v>91</v>
      </c>
      <c r="G84" s="99" t="s">
        <v>432</v>
      </c>
      <c r="H84" s="99" t="s">
        <v>553</v>
      </c>
      <c r="I84" s="99" t="s">
        <v>421</v>
      </c>
      <c r="J84" s="99" t="s">
        <v>447</v>
      </c>
      <c r="K84" s="99" t="s">
        <v>421</v>
      </c>
      <c r="L84" s="99" t="s">
        <v>512</v>
      </c>
      <c r="M84" s="105" t="str">
        <f t="shared" si="1"/>
        <v>View on Google Map</v>
      </c>
    </row>
    <row r="85" spans="1:13" x14ac:dyDescent="0.2">
      <c r="A85" s="99">
        <v>206</v>
      </c>
      <c r="B85" s="99" t="s">
        <v>554</v>
      </c>
      <c r="C85" s="99" t="s">
        <v>421</v>
      </c>
      <c r="D85" s="99">
        <v>70.11666666666666</v>
      </c>
      <c r="E85" s="99">
        <v>-146.16666666666666</v>
      </c>
      <c r="F85" s="99">
        <v>3.0487804878048781</v>
      </c>
      <c r="G85" s="99" t="s">
        <v>432</v>
      </c>
      <c r="H85" s="99" t="s">
        <v>555</v>
      </c>
      <c r="I85" s="99" t="s">
        <v>421</v>
      </c>
      <c r="J85" s="99" t="s">
        <v>447</v>
      </c>
      <c r="K85" s="99" t="s">
        <v>421</v>
      </c>
      <c r="L85" s="99" t="s">
        <v>510</v>
      </c>
      <c r="M85" s="105" t="str">
        <f t="shared" si="1"/>
        <v>View on Google Map</v>
      </c>
    </row>
    <row r="86" spans="1:13" x14ac:dyDescent="0.2">
      <c r="A86" s="99">
        <v>292</v>
      </c>
      <c r="B86" s="99" t="s">
        <v>554</v>
      </c>
      <c r="C86" s="99" t="s">
        <v>421</v>
      </c>
      <c r="D86" s="99">
        <v>69.639166666666668</v>
      </c>
      <c r="E86" s="99">
        <v>-149.73946666666666</v>
      </c>
      <c r="F86" s="99">
        <v>91</v>
      </c>
      <c r="G86" s="99" t="s">
        <v>432</v>
      </c>
      <c r="H86" s="99" t="s">
        <v>556</v>
      </c>
      <c r="I86" s="99" t="s">
        <v>421</v>
      </c>
      <c r="J86" s="99" t="s">
        <v>447</v>
      </c>
      <c r="K86" s="99" t="s">
        <v>421</v>
      </c>
      <c r="L86" s="99" t="s">
        <v>512</v>
      </c>
      <c r="M86" s="105" t="str">
        <f t="shared" si="1"/>
        <v>View on Google Map</v>
      </c>
    </row>
    <row r="87" spans="1:13" x14ac:dyDescent="0.2">
      <c r="A87" s="99">
        <v>207</v>
      </c>
      <c r="B87" s="99" t="s">
        <v>557</v>
      </c>
      <c r="C87" s="99" t="s">
        <v>421</v>
      </c>
      <c r="D87" s="99">
        <v>70.099999999999994</v>
      </c>
      <c r="E87" s="99">
        <v>-146.26666666666668</v>
      </c>
      <c r="F87" s="99">
        <v>9.1463414634146343</v>
      </c>
      <c r="G87" s="99" t="s">
        <v>432</v>
      </c>
      <c r="H87" s="99" t="s">
        <v>558</v>
      </c>
      <c r="I87" s="99" t="s">
        <v>421</v>
      </c>
      <c r="J87" s="99" t="s">
        <v>447</v>
      </c>
      <c r="K87" s="99" t="s">
        <v>421</v>
      </c>
      <c r="L87" s="99" t="s">
        <v>510</v>
      </c>
      <c r="M87" s="105" t="str">
        <f t="shared" si="1"/>
        <v>View on Google Map</v>
      </c>
    </row>
    <row r="88" spans="1:13" x14ac:dyDescent="0.2">
      <c r="A88" s="99">
        <v>293</v>
      </c>
      <c r="B88" s="99" t="s">
        <v>557</v>
      </c>
      <c r="C88" s="99" t="s">
        <v>421</v>
      </c>
      <c r="D88" s="99">
        <v>68.820783333333338</v>
      </c>
      <c r="E88" s="99">
        <v>-149.7646</v>
      </c>
      <c r="F88" s="99">
        <v>579</v>
      </c>
      <c r="G88" s="99" t="s">
        <v>432</v>
      </c>
      <c r="H88" s="99" t="s">
        <v>559</v>
      </c>
      <c r="I88" s="99" t="s">
        <v>421</v>
      </c>
      <c r="J88" s="99" t="s">
        <v>447</v>
      </c>
      <c r="K88" s="99" t="s">
        <v>421</v>
      </c>
      <c r="L88" s="99" t="s">
        <v>512</v>
      </c>
      <c r="M88" s="105" t="str">
        <f t="shared" si="1"/>
        <v>View on Google Map</v>
      </c>
    </row>
    <row r="89" spans="1:13" x14ac:dyDescent="0.2">
      <c r="A89" s="99">
        <v>208</v>
      </c>
      <c r="B89" s="99" t="s">
        <v>560</v>
      </c>
      <c r="C89" s="99" t="s">
        <v>421</v>
      </c>
      <c r="D89" s="99">
        <v>70.05</v>
      </c>
      <c r="E89" s="99">
        <v>-146.98333333333332</v>
      </c>
      <c r="F89" s="99">
        <v>24.390243902439025</v>
      </c>
      <c r="G89" s="99" t="s">
        <v>432</v>
      </c>
      <c r="H89" s="99" t="s">
        <v>561</v>
      </c>
      <c r="I89" s="99" t="s">
        <v>421</v>
      </c>
      <c r="J89" s="99" t="s">
        <v>447</v>
      </c>
      <c r="K89" s="99" t="s">
        <v>421</v>
      </c>
      <c r="L89" s="99" t="s">
        <v>510</v>
      </c>
      <c r="M89" s="105" t="str">
        <f t="shared" si="1"/>
        <v>View on Google Map</v>
      </c>
    </row>
    <row r="90" spans="1:13" x14ac:dyDescent="0.2">
      <c r="A90" s="99">
        <v>294</v>
      </c>
      <c r="B90" s="99" t="s">
        <v>560</v>
      </c>
      <c r="C90" s="99" t="s">
        <v>421</v>
      </c>
      <c r="D90" s="99">
        <v>68.820616666666666</v>
      </c>
      <c r="E90" s="99">
        <v>-149.74383333333333</v>
      </c>
      <c r="F90" s="99">
        <v>579</v>
      </c>
      <c r="G90" s="99" t="s">
        <v>432</v>
      </c>
      <c r="H90" s="99" t="s">
        <v>562</v>
      </c>
      <c r="I90" s="99" t="s">
        <v>421</v>
      </c>
      <c r="J90" s="99" t="s">
        <v>447</v>
      </c>
      <c r="K90" s="99" t="s">
        <v>421</v>
      </c>
      <c r="L90" s="99" t="s">
        <v>512</v>
      </c>
      <c r="M90" s="105" t="str">
        <f t="shared" si="1"/>
        <v>View on Google Map</v>
      </c>
    </row>
    <row r="91" spans="1:13" x14ac:dyDescent="0.2">
      <c r="A91" s="99">
        <v>209</v>
      </c>
      <c r="B91" s="99" t="s">
        <v>563</v>
      </c>
      <c r="C91" s="99" t="s">
        <v>421</v>
      </c>
      <c r="D91" s="99">
        <v>70.05</v>
      </c>
      <c r="E91" s="99">
        <v>-146.98333333333332</v>
      </c>
      <c r="F91" s="99">
        <v>24.390243902439025</v>
      </c>
      <c r="G91" s="99" t="s">
        <v>432</v>
      </c>
      <c r="H91" s="99" t="s">
        <v>564</v>
      </c>
      <c r="I91" s="99" t="s">
        <v>421</v>
      </c>
      <c r="J91" s="99" t="s">
        <v>447</v>
      </c>
      <c r="K91" s="99" t="s">
        <v>421</v>
      </c>
      <c r="L91" s="99" t="s">
        <v>510</v>
      </c>
      <c r="M91" s="105" t="str">
        <f t="shared" si="1"/>
        <v>View on Google Map</v>
      </c>
    </row>
    <row r="92" spans="1:13" x14ac:dyDescent="0.2">
      <c r="A92" s="99">
        <v>295</v>
      </c>
      <c r="B92" s="99" t="s">
        <v>563</v>
      </c>
      <c r="C92" s="99" t="s">
        <v>421</v>
      </c>
      <c r="D92" s="99">
        <v>68.821529999999996</v>
      </c>
      <c r="E92" s="99">
        <v>-149.05867000000001</v>
      </c>
      <c r="F92" s="99">
        <v>518</v>
      </c>
      <c r="G92" s="99" t="s">
        <v>432</v>
      </c>
      <c r="H92" s="99" t="s">
        <v>565</v>
      </c>
      <c r="I92" s="99" t="s">
        <v>421</v>
      </c>
      <c r="J92" s="99" t="s">
        <v>447</v>
      </c>
      <c r="K92" s="99" t="s">
        <v>421</v>
      </c>
      <c r="L92" s="99" t="s">
        <v>512</v>
      </c>
      <c r="M92" s="105" t="str">
        <f t="shared" si="1"/>
        <v>View on Google Map</v>
      </c>
    </row>
    <row r="93" spans="1:13" x14ac:dyDescent="0.2">
      <c r="A93" s="99">
        <v>210</v>
      </c>
      <c r="B93" s="99" t="s">
        <v>566</v>
      </c>
      <c r="C93" s="99" t="s">
        <v>421</v>
      </c>
      <c r="D93" s="99">
        <v>70.150000000000006</v>
      </c>
      <c r="E93" s="99">
        <v>-147.36666666666667</v>
      </c>
      <c r="F93" s="99">
        <v>6.7073170731707323</v>
      </c>
      <c r="G93" s="99" t="s">
        <v>432</v>
      </c>
      <c r="H93" s="99" t="s">
        <v>567</v>
      </c>
      <c r="I93" s="99" t="s">
        <v>421</v>
      </c>
      <c r="J93" s="99" t="s">
        <v>447</v>
      </c>
      <c r="K93" s="99" t="s">
        <v>421</v>
      </c>
      <c r="L93" s="99" t="s">
        <v>510</v>
      </c>
      <c r="M93" s="105" t="str">
        <f t="shared" si="1"/>
        <v>View on Google Map</v>
      </c>
    </row>
    <row r="94" spans="1:13" x14ac:dyDescent="0.2">
      <c r="A94" s="99">
        <v>296</v>
      </c>
      <c r="B94" s="99" t="s">
        <v>566</v>
      </c>
      <c r="C94" s="99" t="s">
        <v>421</v>
      </c>
      <c r="D94" s="99">
        <v>68.817116666666664</v>
      </c>
      <c r="E94" s="99">
        <v>-149.05956666666665</v>
      </c>
      <c r="F94" s="99">
        <v>518</v>
      </c>
      <c r="G94" s="99" t="s">
        <v>432</v>
      </c>
      <c r="H94" s="99" t="s">
        <v>568</v>
      </c>
      <c r="I94" s="99" t="s">
        <v>421</v>
      </c>
      <c r="J94" s="99" t="s">
        <v>447</v>
      </c>
      <c r="K94" s="99" t="s">
        <v>421</v>
      </c>
      <c r="L94" s="99" t="s">
        <v>512</v>
      </c>
      <c r="M94" s="105" t="str">
        <f t="shared" si="1"/>
        <v>View on Google Map</v>
      </c>
    </row>
    <row r="95" spans="1:13" x14ac:dyDescent="0.2">
      <c r="A95" s="99">
        <v>211</v>
      </c>
      <c r="B95" s="99" t="s">
        <v>569</v>
      </c>
      <c r="C95" s="99" t="s">
        <v>421</v>
      </c>
      <c r="D95" s="99">
        <v>70.150000000000006</v>
      </c>
      <c r="E95" s="99">
        <v>-147.36666666666667</v>
      </c>
      <c r="F95" s="99">
        <v>6.7073170731707323</v>
      </c>
      <c r="G95" s="99" t="s">
        <v>432</v>
      </c>
      <c r="H95" s="99" t="s">
        <v>570</v>
      </c>
      <c r="I95" s="99" t="s">
        <v>421</v>
      </c>
      <c r="J95" s="99" t="s">
        <v>447</v>
      </c>
      <c r="K95" s="99" t="s">
        <v>421</v>
      </c>
      <c r="L95" s="99" t="s">
        <v>510</v>
      </c>
      <c r="M95" s="105" t="str">
        <f t="shared" si="1"/>
        <v>View on Google Map</v>
      </c>
    </row>
    <row r="96" spans="1:13" x14ac:dyDescent="0.2">
      <c r="A96" s="99">
        <v>297</v>
      </c>
      <c r="B96" s="99" t="s">
        <v>569</v>
      </c>
      <c r="C96" s="99" t="s">
        <v>421</v>
      </c>
      <c r="D96" s="99">
        <v>69.356183333333334</v>
      </c>
      <c r="E96" s="99">
        <v>-150.21899999999999</v>
      </c>
      <c r="F96" s="99">
        <v>168</v>
      </c>
      <c r="G96" s="99" t="s">
        <v>432</v>
      </c>
      <c r="H96" s="99" t="s">
        <v>571</v>
      </c>
      <c r="I96" s="99" t="s">
        <v>421</v>
      </c>
      <c r="J96" s="99" t="s">
        <v>447</v>
      </c>
      <c r="K96" s="99" t="s">
        <v>421</v>
      </c>
      <c r="L96" s="99" t="s">
        <v>512</v>
      </c>
      <c r="M96" s="105" t="str">
        <f t="shared" si="1"/>
        <v>View on Google Map</v>
      </c>
    </row>
    <row r="97" spans="1:13" x14ac:dyDescent="0.2">
      <c r="A97" s="99">
        <v>212</v>
      </c>
      <c r="B97" s="99" t="s">
        <v>572</v>
      </c>
      <c r="C97" s="99" t="s">
        <v>421</v>
      </c>
      <c r="D97" s="99">
        <v>70.033333333333331</v>
      </c>
      <c r="E97" s="99">
        <v>-147.65</v>
      </c>
      <c r="F97" s="99">
        <v>28.04878048780488</v>
      </c>
      <c r="G97" s="99" t="s">
        <v>432</v>
      </c>
      <c r="H97" s="99" t="s">
        <v>573</v>
      </c>
      <c r="I97" s="99" t="s">
        <v>421</v>
      </c>
      <c r="J97" s="99" t="s">
        <v>447</v>
      </c>
      <c r="K97" s="99" t="s">
        <v>421</v>
      </c>
      <c r="L97" s="99" t="s">
        <v>510</v>
      </c>
      <c r="M97" s="105" t="str">
        <f t="shared" si="1"/>
        <v>View on Google Map</v>
      </c>
    </row>
    <row r="98" spans="1:13" x14ac:dyDescent="0.2">
      <c r="A98" s="99">
        <v>298</v>
      </c>
      <c r="B98" s="99" t="s">
        <v>572</v>
      </c>
      <c r="C98" s="99" t="s">
        <v>421</v>
      </c>
      <c r="D98" s="99">
        <v>69.356183333333334</v>
      </c>
      <c r="E98" s="99">
        <v>-150.21899999999999</v>
      </c>
      <c r="F98" s="99">
        <v>168</v>
      </c>
      <c r="G98" s="99" t="s">
        <v>432</v>
      </c>
      <c r="H98" s="99" t="s">
        <v>574</v>
      </c>
      <c r="I98" s="99" t="s">
        <v>421</v>
      </c>
      <c r="J98" s="99" t="s">
        <v>447</v>
      </c>
      <c r="K98" s="99" t="s">
        <v>421</v>
      </c>
      <c r="L98" s="99" t="s">
        <v>512</v>
      </c>
      <c r="M98" s="105" t="str">
        <f t="shared" si="1"/>
        <v>View on Google Map</v>
      </c>
    </row>
    <row r="99" spans="1:13" x14ac:dyDescent="0.2">
      <c r="A99" s="99">
        <v>213</v>
      </c>
      <c r="B99" s="99" t="s">
        <v>575</v>
      </c>
      <c r="C99" s="99" t="s">
        <v>421</v>
      </c>
      <c r="D99" s="99">
        <v>70.033333333333331</v>
      </c>
      <c r="E99" s="99">
        <v>-147.65</v>
      </c>
      <c r="F99" s="99">
        <v>28.04878048780488</v>
      </c>
      <c r="G99" s="99" t="s">
        <v>432</v>
      </c>
      <c r="H99" s="99" t="s">
        <v>576</v>
      </c>
      <c r="I99" s="99" t="s">
        <v>421</v>
      </c>
      <c r="J99" s="99" t="s">
        <v>447</v>
      </c>
      <c r="K99" s="99" t="s">
        <v>421</v>
      </c>
      <c r="L99" s="99" t="s">
        <v>510</v>
      </c>
      <c r="M99" s="105" t="str">
        <f t="shared" si="1"/>
        <v>View on Google Map</v>
      </c>
    </row>
    <row r="100" spans="1:13" x14ac:dyDescent="0.2">
      <c r="A100" s="99">
        <v>299</v>
      </c>
      <c r="B100" s="99" t="s">
        <v>575</v>
      </c>
      <c r="C100" s="99" t="s">
        <v>421</v>
      </c>
      <c r="D100" s="99">
        <v>69.5458</v>
      </c>
      <c r="E100" s="99">
        <v>-150.37883333333335</v>
      </c>
      <c r="F100" s="99">
        <v>107</v>
      </c>
      <c r="G100" s="99" t="s">
        <v>432</v>
      </c>
      <c r="H100" s="99" t="s">
        <v>577</v>
      </c>
      <c r="I100" s="99" t="s">
        <v>421</v>
      </c>
      <c r="J100" s="99" t="s">
        <v>447</v>
      </c>
      <c r="K100" s="99" t="s">
        <v>421</v>
      </c>
      <c r="L100" s="99" t="s">
        <v>512</v>
      </c>
      <c r="M100" s="105" t="str">
        <f t="shared" si="1"/>
        <v>View on Google Map</v>
      </c>
    </row>
    <row r="101" spans="1:13" x14ac:dyDescent="0.2">
      <c r="A101" s="99">
        <v>214</v>
      </c>
      <c r="B101" s="99" t="s">
        <v>578</v>
      </c>
      <c r="C101" s="99" t="s">
        <v>421</v>
      </c>
      <c r="D101" s="99">
        <v>69.833333333333329</v>
      </c>
      <c r="E101" s="99">
        <v>-147.93333333333334</v>
      </c>
      <c r="F101" s="99">
        <v>92.987804878048792</v>
      </c>
      <c r="G101" s="99" t="s">
        <v>432</v>
      </c>
      <c r="H101" s="99" t="s">
        <v>579</v>
      </c>
      <c r="I101" s="99" t="s">
        <v>421</v>
      </c>
      <c r="J101" s="99" t="s">
        <v>447</v>
      </c>
      <c r="K101" s="99" t="s">
        <v>421</v>
      </c>
      <c r="L101" s="99" t="s">
        <v>510</v>
      </c>
      <c r="M101" s="105" t="str">
        <f t="shared" si="1"/>
        <v>View on Google Map</v>
      </c>
    </row>
    <row r="102" spans="1:13" x14ac:dyDescent="0.2">
      <c r="A102" s="99">
        <v>300</v>
      </c>
      <c r="B102" s="99" t="s">
        <v>578</v>
      </c>
      <c r="C102" s="99" t="s">
        <v>421</v>
      </c>
      <c r="D102" s="99">
        <v>69.5458</v>
      </c>
      <c r="E102" s="99">
        <v>-150.37883333333335</v>
      </c>
      <c r="F102" s="99">
        <v>107</v>
      </c>
      <c r="G102" s="99" t="s">
        <v>432</v>
      </c>
      <c r="H102" s="99" t="s">
        <v>580</v>
      </c>
      <c r="I102" s="99" t="s">
        <v>421</v>
      </c>
      <c r="J102" s="99" t="s">
        <v>447</v>
      </c>
      <c r="K102" s="99" t="s">
        <v>421</v>
      </c>
      <c r="L102" s="99" t="s">
        <v>512</v>
      </c>
      <c r="M102" s="105" t="str">
        <f t="shared" si="1"/>
        <v>View on Google Map</v>
      </c>
    </row>
    <row r="103" spans="1:13" x14ac:dyDescent="0.2">
      <c r="A103" s="99">
        <v>215</v>
      </c>
      <c r="B103" s="99" t="s">
        <v>581</v>
      </c>
      <c r="C103" s="99" t="s">
        <v>421</v>
      </c>
      <c r="D103" s="99">
        <v>69.833333333333329</v>
      </c>
      <c r="E103" s="99">
        <v>-147.93333333333334</v>
      </c>
      <c r="F103" s="99">
        <v>92.987804878048792</v>
      </c>
      <c r="G103" s="99" t="s">
        <v>432</v>
      </c>
      <c r="H103" s="99" t="s">
        <v>582</v>
      </c>
      <c r="I103" s="99" t="s">
        <v>421</v>
      </c>
      <c r="J103" s="99" t="s">
        <v>447</v>
      </c>
      <c r="K103" s="99" t="s">
        <v>421</v>
      </c>
      <c r="L103" s="99" t="s">
        <v>510</v>
      </c>
      <c r="M103" s="105" t="str">
        <f t="shared" si="1"/>
        <v>View on Google Map</v>
      </c>
    </row>
    <row r="104" spans="1:13" x14ac:dyDescent="0.2">
      <c r="A104" s="99">
        <v>301</v>
      </c>
      <c r="B104" s="99" t="s">
        <v>581</v>
      </c>
      <c r="C104" s="99" t="s">
        <v>421</v>
      </c>
      <c r="D104" s="99">
        <v>69.523700000000005</v>
      </c>
      <c r="E104" s="99">
        <v>-150.55269999999999</v>
      </c>
      <c r="F104" s="99">
        <v>107</v>
      </c>
      <c r="G104" s="99" t="s">
        <v>432</v>
      </c>
      <c r="H104" s="99" t="s">
        <v>583</v>
      </c>
      <c r="I104" s="99" t="s">
        <v>421</v>
      </c>
      <c r="J104" s="99" t="s">
        <v>447</v>
      </c>
      <c r="K104" s="99" t="s">
        <v>421</v>
      </c>
      <c r="L104" s="99" t="s">
        <v>512</v>
      </c>
      <c r="M104" s="105" t="str">
        <f t="shared" si="1"/>
        <v>View on Google Map</v>
      </c>
    </row>
    <row r="105" spans="1:13" x14ac:dyDescent="0.2">
      <c r="A105" s="99">
        <v>216</v>
      </c>
      <c r="B105" s="99" t="s">
        <v>584</v>
      </c>
      <c r="C105" s="99" t="s">
        <v>421</v>
      </c>
      <c r="D105" s="99">
        <v>69.88333333333334</v>
      </c>
      <c r="E105" s="99">
        <v>-148.63333333333333</v>
      </c>
      <c r="F105" s="99">
        <v>118.90243902439025</v>
      </c>
      <c r="G105" s="99" t="s">
        <v>432</v>
      </c>
      <c r="H105" s="99" t="s">
        <v>585</v>
      </c>
      <c r="I105" s="99" t="s">
        <v>421</v>
      </c>
      <c r="J105" s="99" t="s">
        <v>447</v>
      </c>
      <c r="K105" s="99" t="s">
        <v>421</v>
      </c>
      <c r="L105" s="99" t="s">
        <v>510</v>
      </c>
      <c r="M105" s="105" t="str">
        <f t="shared" si="1"/>
        <v>View on Google Map</v>
      </c>
    </row>
    <row r="106" spans="1:13" x14ac:dyDescent="0.2">
      <c r="A106" s="99">
        <v>302</v>
      </c>
      <c r="B106" s="99" t="s">
        <v>584</v>
      </c>
      <c r="C106" s="99" t="s">
        <v>421</v>
      </c>
      <c r="D106" s="99">
        <v>69.523700000000005</v>
      </c>
      <c r="E106" s="99">
        <v>-150.55269999999999</v>
      </c>
      <c r="F106" s="99">
        <v>107</v>
      </c>
      <c r="G106" s="99" t="s">
        <v>432</v>
      </c>
      <c r="H106" s="99" t="s">
        <v>586</v>
      </c>
      <c r="I106" s="99" t="s">
        <v>421</v>
      </c>
      <c r="J106" s="99" t="s">
        <v>447</v>
      </c>
      <c r="K106" s="99" t="s">
        <v>421</v>
      </c>
      <c r="L106" s="99" t="s">
        <v>512</v>
      </c>
      <c r="M106" s="105" t="str">
        <f t="shared" si="1"/>
        <v>View on Google Map</v>
      </c>
    </row>
    <row r="107" spans="1:13" x14ac:dyDescent="0.2">
      <c r="A107" s="99">
        <v>217</v>
      </c>
      <c r="B107" s="99" t="s">
        <v>587</v>
      </c>
      <c r="C107" s="99" t="s">
        <v>421</v>
      </c>
      <c r="D107" s="99">
        <v>69.7</v>
      </c>
      <c r="E107" s="99">
        <v>-148.48333333333332</v>
      </c>
      <c r="F107" s="99">
        <v>125</v>
      </c>
      <c r="G107" s="99" t="s">
        <v>432</v>
      </c>
      <c r="H107" s="99" t="s">
        <v>588</v>
      </c>
      <c r="I107" s="99" t="s">
        <v>421</v>
      </c>
      <c r="J107" s="99" t="s">
        <v>447</v>
      </c>
      <c r="K107" s="99" t="s">
        <v>421</v>
      </c>
      <c r="L107" s="99" t="s">
        <v>510</v>
      </c>
      <c r="M107" s="105" t="str">
        <f t="shared" si="1"/>
        <v>View on Google Map</v>
      </c>
    </row>
    <row r="108" spans="1:13" x14ac:dyDescent="0.2">
      <c r="A108" s="99">
        <v>303</v>
      </c>
      <c r="B108" s="99" t="s">
        <v>587</v>
      </c>
      <c r="C108" s="99" t="s">
        <v>421</v>
      </c>
      <c r="D108" s="99">
        <v>69.610399999999998</v>
      </c>
      <c r="E108" s="99">
        <v>-148.82113333333334</v>
      </c>
      <c r="F108" s="99">
        <v>107</v>
      </c>
      <c r="G108" s="99" t="s">
        <v>432</v>
      </c>
      <c r="H108" s="99" t="s">
        <v>589</v>
      </c>
      <c r="I108" s="99" t="s">
        <v>421</v>
      </c>
      <c r="J108" s="99" t="s">
        <v>447</v>
      </c>
      <c r="K108" s="99" t="s">
        <v>421</v>
      </c>
      <c r="L108" s="99" t="s">
        <v>512</v>
      </c>
      <c r="M108" s="105" t="str">
        <f t="shared" si="1"/>
        <v>View on Google Map</v>
      </c>
    </row>
    <row r="109" spans="1:13" x14ac:dyDescent="0.2">
      <c r="A109" s="99">
        <v>218</v>
      </c>
      <c r="B109" s="99" t="s">
        <v>590</v>
      </c>
      <c r="C109" s="99" t="s">
        <v>421</v>
      </c>
      <c r="D109" s="99">
        <v>69.7</v>
      </c>
      <c r="E109" s="99">
        <v>-148.48333333333332</v>
      </c>
      <c r="F109" s="99">
        <v>125</v>
      </c>
      <c r="G109" s="99" t="s">
        <v>432</v>
      </c>
      <c r="H109" s="99" t="s">
        <v>591</v>
      </c>
      <c r="I109" s="99" t="s">
        <v>421</v>
      </c>
      <c r="J109" s="99" t="s">
        <v>447</v>
      </c>
      <c r="K109" s="99" t="s">
        <v>421</v>
      </c>
      <c r="L109" s="99" t="s">
        <v>510</v>
      </c>
      <c r="M109" s="105" t="str">
        <f t="shared" si="1"/>
        <v>View on Google Map</v>
      </c>
    </row>
    <row r="110" spans="1:13" x14ac:dyDescent="0.2">
      <c r="A110" s="99">
        <v>304</v>
      </c>
      <c r="B110" s="99" t="s">
        <v>590</v>
      </c>
      <c r="C110" s="99" t="s">
        <v>421</v>
      </c>
      <c r="D110" s="99">
        <v>69.610399999999998</v>
      </c>
      <c r="E110" s="99">
        <v>-148.82113333333334</v>
      </c>
      <c r="F110" s="99">
        <v>107</v>
      </c>
      <c r="G110" s="99" t="s">
        <v>432</v>
      </c>
      <c r="H110" s="99" t="s">
        <v>592</v>
      </c>
      <c r="I110" s="99" t="s">
        <v>421</v>
      </c>
      <c r="J110" s="99" t="s">
        <v>447</v>
      </c>
      <c r="K110" s="99" t="s">
        <v>421</v>
      </c>
      <c r="L110" s="99" t="s">
        <v>512</v>
      </c>
      <c r="M110" s="105" t="str">
        <f t="shared" si="1"/>
        <v>View on Google Map</v>
      </c>
    </row>
    <row r="111" spans="1:13" x14ac:dyDescent="0.2">
      <c r="A111" s="99">
        <v>232</v>
      </c>
      <c r="B111" s="99" t="s">
        <v>593</v>
      </c>
      <c r="C111" s="99" t="s">
        <v>421</v>
      </c>
      <c r="D111" s="99">
        <v>69.266666666666666</v>
      </c>
      <c r="E111" s="99">
        <v>-148.46666666666667</v>
      </c>
      <c r="F111" s="99">
        <v>338.71951219512198</v>
      </c>
      <c r="G111" s="99" t="s">
        <v>432</v>
      </c>
      <c r="H111" s="99" t="s">
        <v>594</v>
      </c>
      <c r="I111" s="99" t="s">
        <v>421</v>
      </c>
      <c r="J111" s="99" t="s">
        <v>447</v>
      </c>
      <c r="K111" s="99" t="s">
        <v>421</v>
      </c>
      <c r="L111" s="99" t="s">
        <v>510</v>
      </c>
      <c r="M111" s="105" t="str">
        <f t="shared" si="1"/>
        <v>View on Google Map</v>
      </c>
    </row>
    <row r="112" spans="1:13" x14ac:dyDescent="0.2">
      <c r="A112" s="99">
        <v>239</v>
      </c>
      <c r="B112" s="99" t="s">
        <v>595</v>
      </c>
      <c r="C112" s="99" t="s">
        <v>596</v>
      </c>
      <c r="D112" s="99" t="s">
        <v>421</v>
      </c>
      <c r="E112" s="99" t="s">
        <v>421</v>
      </c>
      <c r="F112" s="99" t="s">
        <v>421</v>
      </c>
      <c r="G112" s="99" t="s">
        <v>432</v>
      </c>
      <c r="H112" s="99" t="s">
        <v>421</v>
      </c>
      <c r="I112" s="99" t="s">
        <v>421</v>
      </c>
      <c r="J112" s="99" t="s">
        <v>447</v>
      </c>
      <c r="K112" s="99" t="s">
        <v>421</v>
      </c>
      <c r="L112" s="99" t="s">
        <v>597</v>
      </c>
      <c r="M112" s="105" t="str">
        <f t="shared" si="1"/>
        <v>View on Google Map</v>
      </c>
    </row>
    <row r="113" spans="1:13" x14ac:dyDescent="0.2">
      <c r="A113" s="99">
        <v>144</v>
      </c>
      <c r="B113" s="99" t="s">
        <v>598</v>
      </c>
      <c r="C113" s="99" t="s">
        <v>599</v>
      </c>
      <c r="D113" s="99">
        <v>68.63333333333334</v>
      </c>
      <c r="E113" s="99">
        <v>-149.6</v>
      </c>
      <c r="F113" s="99">
        <v>719</v>
      </c>
      <c r="G113" s="99" t="s">
        <v>432</v>
      </c>
      <c r="H113" s="99" t="s">
        <v>421</v>
      </c>
      <c r="I113" s="99" t="s">
        <v>421</v>
      </c>
      <c r="J113" s="99" t="s">
        <v>447</v>
      </c>
      <c r="K113" s="99" t="s">
        <v>421</v>
      </c>
      <c r="L113" s="99" t="s">
        <v>448</v>
      </c>
      <c r="M113" s="105" t="str">
        <f t="shared" si="1"/>
        <v>View on Google Map</v>
      </c>
    </row>
    <row r="114" spans="1:13" x14ac:dyDescent="0.2">
      <c r="A114" s="99">
        <v>401</v>
      </c>
      <c r="B114" s="99" t="s">
        <v>600</v>
      </c>
      <c r="C114" s="99" t="s">
        <v>421</v>
      </c>
      <c r="D114" s="99" t="s">
        <v>421</v>
      </c>
      <c r="E114" s="99" t="s">
        <v>421</v>
      </c>
      <c r="F114" s="99" t="s">
        <v>421</v>
      </c>
      <c r="G114" s="99" t="s">
        <v>432</v>
      </c>
      <c r="H114" s="99" t="s">
        <v>421</v>
      </c>
      <c r="I114" s="99" t="s">
        <v>421</v>
      </c>
      <c r="J114" s="99" t="s">
        <v>447</v>
      </c>
      <c r="K114" s="99" t="s">
        <v>421</v>
      </c>
      <c r="L114" s="99" t="s">
        <v>601</v>
      </c>
      <c r="M114" s="105" t="str">
        <f t="shared" si="1"/>
        <v>View on Google Map</v>
      </c>
    </row>
    <row r="115" spans="1:13" x14ac:dyDescent="0.2">
      <c r="A115" s="99">
        <v>403</v>
      </c>
      <c r="B115" s="99" t="s">
        <v>602</v>
      </c>
      <c r="C115" s="99" t="s">
        <v>421</v>
      </c>
      <c r="D115" s="99" t="s">
        <v>421</v>
      </c>
      <c r="E115" s="99" t="s">
        <v>421</v>
      </c>
      <c r="F115" s="99" t="s">
        <v>421</v>
      </c>
      <c r="G115" s="99" t="s">
        <v>432</v>
      </c>
      <c r="H115" s="99" t="s">
        <v>421</v>
      </c>
      <c r="I115" s="99" t="s">
        <v>421</v>
      </c>
      <c r="J115" s="99" t="s">
        <v>447</v>
      </c>
      <c r="K115" s="99" t="s">
        <v>421</v>
      </c>
      <c r="L115" s="99" t="s">
        <v>603</v>
      </c>
      <c r="M115" s="105" t="str">
        <f t="shared" si="1"/>
        <v>View on Google Map</v>
      </c>
    </row>
    <row r="116" spans="1:13" x14ac:dyDescent="0.2">
      <c r="A116" s="99">
        <v>403</v>
      </c>
      <c r="B116" s="99" t="s">
        <v>602</v>
      </c>
      <c r="C116" s="99" t="s">
        <v>421</v>
      </c>
      <c r="D116" s="99" t="s">
        <v>421</v>
      </c>
      <c r="E116" s="99" t="s">
        <v>421</v>
      </c>
      <c r="F116" s="99" t="s">
        <v>421</v>
      </c>
      <c r="G116" s="99" t="s">
        <v>432</v>
      </c>
      <c r="H116" s="99" t="s">
        <v>421</v>
      </c>
      <c r="I116" s="99" t="s">
        <v>421</v>
      </c>
      <c r="J116" s="99" t="s">
        <v>447</v>
      </c>
      <c r="K116" s="99" t="s">
        <v>421</v>
      </c>
      <c r="L116" s="99" t="s">
        <v>603</v>
      </c>
      <c r="M116" s="105" t="str">
        <f t="shared" si="1"/>
        <v>View on Google Map</v>
      </c>
    </row>
    <row r="117" spans="1:13" x14ac:dyDescent="0.2">
      <c r="A117" s="99">
        <v>1209</v>
      </c>
      <c r="B117" s="99" t="s">
        <v>604</v>
      </c>
      <c r="C117" s="99" t="s">
        <v>605</v>
      </c>
      <c r="D117" s="99">
        <v>68.934420000000003</v>
      </c>
      <c r="E117" s="99">
        <v>-150.21242000000001</v>
      </c>
      <c r="F117" s="99" t="s">
        <v>421</v>
      </c>
      <c r="G117" s="99" t="s">
        <v>422</v>
      </c>
      <c r="H117" s="99" t="s">
        <v>421</v>
      </c>
      <c r="I117" s="99" t="s">
        <v>421</v>
      </c>
      <c r="J117" s="99" t="s">
        <v>428</v>
      </c>
      <c r="K117" s="99" t="s">
        <v>421</v>
      </c>
      <c r="L117" s="99" t="s">
        <v>429</v>
      </c>
      <c r="M117" s="105" t="str">
        <f t="shared" si="1"/>
        <v>View on Google Map</v>
      </c>
    </row>
    <row r="118" spans="1:13" x14ac:dyDescent="0.2">
      <c r="A118" s="99">
        <v>482</v>
      </c>
      <c r="B118" s="99" t="s">
        <v>606</v>
      </c>
      <c r="C118" s="99" t="s">
        <v>421</v>
      </c>
      <c r="D118" s="99">
        <v>68.951483332999999</v>
      </c>
      <c r="E118" s="99">
        <v>-150.194333333</v>
      </c>
      <c r="F118" s="99">
        <v>399</v>
      </c>
      <c r="G118" s="99" t="s">
        <v>432</v>
      </c>
      <c r="H118" s="99" t="s">
        <v>421</v>
      </c>
      <c r="I118" s="99" t="s">
        <v>421</v>
      </c>
      <c r="J118" s="99" t="s">
        <v>482</v>
      </c>
      <c r="K118" s="99" t="s">
        <v>421</v>
      </c>
      <c r="L118" s="99" t="s">
        <v>429</v>
      </c>
      <c r="M118" s="105" t="str">
        <f t="shared" si="1"/>
        <v>View on Google Map</v>
      </c>
    </row>
    <row r="119" spans="1:13" x14ac:dyDescent="0.2">
      <c r="A119" s="99">
        <v>483</v>
      </c>
      <c r="B119" s="99" t="s">
        <v>607</v>
      </c>
      <c r="C119" s="99" t="s">
        <v>421</v>
      </c>
      <c r="D119" s="99">
        <v>68.950783333000004</v>
      </c>
      <c r="E119" s="99">
        <v>-150.19835</v>
      </c>
      <c r="F119" s="99">
        <v>399</v>
      </c>
      <c r="G119" s="99" t="s">
        <v>446</v>
      </c>
      <c r="H119" s="99" t="s">
        <v>608</v>
      </c>
      <c r="I119" s="99" t="s">
        <v>421</v>
      </c>
      <c r="J119" s="99" t="s">
        <v>482</v>
      </c>
      <c r="K119" s="99" t="s">
        <v>421</v>
      </c>
      <c r="L119" s="99" t="s">
        <v>429</v>
      </c>
      <c r="M119" s="105" t="str">
        <f t="shared" si="1"/>
        <v>View on Google Map</v>
      </c>
    </row>
    <row r="120" spans="1:13" x14ac:dyDescent="0.2">
      <c r="A120" s="99">
        <v>484</v>
      </c>
      <c r="B120" s="99" t="s">
        <v>609</v>
      </c>
      <c r="C120" s="99" t="s">
        <v>421</v>
      </c>
      <c r="D120" s="99">
        <v>68.957549999999998</v>
      </c>
      <c r="E120" s="99">
        <v>-150.200916667</v>
      </c>
      <c r="F120" s="99">
        <v>399</v>
      </c>
      <c r="G120" s="99" t="s">
        <v>432</v>
      </c>
      <c r="H120" s="99" t="s">
        <v>610</v>
      </c>
      <c r="I120" s="99" t="s">
        <v>611</v>
      </c>
      <c r="J120" s="99" t="s">
        <v>482</v>
      </c>
      <c r="K120" s="99" t="s">
        <v>421</v>
      </c>
      <c r="L120" s="99" t="s">
        <v>429</v>
      </c>
      <c r="M120" s="105" t="str">
        <f t="shared" si="1"/>
        <v>View on Google Map</v>
      </c>
    </row>
    <row r="121" spans="1:13" x14ac:dyDescent="0.2">
      <c r="A121" s="99">
        <v>485</v>
      </c>
      <c r="B121" s="99" t="s">
        <v>612</v>
      </c>
      <c r="C121" s="99" t="s">
        <v>421</v>
      </c>
      <c r="D121" s="99">
        <v>68.95675</v>
      </c>
      <c r="E121" s="99">
        <v>-150.19700833300001</v>
      </c>
      <c r="F121" s="99">
        <v>399</v>
      </c>
      <c r="G121" s="99" t="s">
        <v>432</v>
      </c>
      <c r="H121" s="99" t="s">
        <v>613</v>
      </c>
      <c r="I121" s="99" t="s">
        <v>421</v>
      </c>
      <c r="J121" s="99" t="s">
        <v>482</v>
      </c>
      <c r="K121" s="99" t="s">
        <v>421</v>
      </c>
      <c r="L121" s="99" t="s">
        <v>429</v>
      </c>
      <c r="M121" s="105" t="str">
        <f t="shared" si="1"/>
        <v>View on Google Map</v>
      </c>
    </row>
    <row r="122" spans="1:13" x14ac:dyDescent="0.2">
      <c r="A122" s="99">
        <v>514</v>
      </c>
      <c r="B122" s="99" t="s">
        <v>614</v>
      </c>
      <c r="C122" s="99" t="s">
        <v>431</v>
      </c>
      <c r="D122" s="99">
        <v>68.418130000000005</v>
      </c>
      <c r="E122" s="99">
        <v>-151.58454</v>
      </c>
      <c r="F122" s="99">
        <v>876</v>
      </c>
      <c r="G122" s="99" t="s">
        <v>432</v>
      </c>
      <c r="H122" s="99" t="s">
        <v>421</v>
      </c>
      <c r="I122" s="99" t="s">
        <v>421</v>
      </c>
      <c r="J122" s="99" t="s">
        <v>433</v>
      </c>
      <c r="K122" s="99" t="s">
        <v>421</v>
      </c>
      <c r="L122" s="99" t="s">
        <v>434</v>
      </c>
      <c r="M122" s="105" t="str">
        <f t="shared" si="1"/>
        <v>View on Google Map</v>
      </c>
    </row>
    <row r="123" spans="1:13" x14ac:dyDescent="0.2">
      <c r="A123" s="99">
        <v>400</v>
      </c>
      <c r="B123" s="99" t="s">
        <v>615</v>
      </c>
      <c r="C123" s="99" t="s">
        <v>421</v>
      </c>
      <c r="D123" s="99" t="s">
        <v>421</v>
      </c>
      <c r="E123" s="99" t="s">
        <v>421</v>
      </c>
      <c r="F123" s="99" t="s">
        <v>421</v>
      </c>
      <c r="G123" s="99" t="s">
        <v>432</v>
      </c>
      <c r="H123" s="99" t="s">
        <v>421</v>
      </c>
      <c r="I123" s="99" t="s">
        <v>421</v>
      </c>
      <c r="J123" s="99" t="s">
        <v>447</v>
      </c>
      <c r="K123" s="99" t="s">
        <v>421</v>
      </c>
      <c r="L123" s="99" t="s">
        <v>601</v>
      </c>
      <c r="M123" s="105" t="str">
        <f t="shared" si="1"/>
        <v>View on Google Map</v>
      </c>
    </row>
    <row r="124" spans="1:13" x14ac:dyDescent="0.2">
      <c r="A124" s="99">
        <v>137</v>
      </c>
      <c r="B124" s="99" t="s">
        <v>616</v>
      </c>
      <c r="C124" s="99" t="s">
        <v>421</v>
      </c>
      <c r="D124" s="99">
        <v>70.3</v>
      </c>
      <c r="E124" s="99">
        <v>-148.28333333333333</v>
      </c>
      <c r="F124" s="99">
        <v>6</v>
      </c>
      <c r="G124" s="99" t="s">
        <v>432</v>
      </c>
      <c r="H124" s="99" t="s">
        <v>617</v>
      </c>
      <c r="I124" s="99" t="s">
        <v>421</v>
      </c>
      <c r="J124" s="99" t="s">
        <v>447</v>
      </c>
      <c r="K124" s="99" t="s">
        <v>421</v>
      </c>
      <c r="L124" s="99" t="s">
        <v>448</v>
      </c>
      <c r="M124" s="105" t="str">
        <f t="shared" si="1"/>
        <v>View on Google Map</v>
      </c>
    </row>
    <row r="125" spans="1:13" x14ac:dyDescent="0.2">
      <c r="A125" s="99">
        <v>146</v>
      </c>
      <c r="B125" s="99" t="s">
        <v>618</v>
      </c>
      <c r="C125" s="99" t="s">
        <v>421</v>
      </c>
      <c r="D125" s="99">
        <v>68.626195602799996</v>
      </c>
      <c r="E125" s="99">
        <v>-149.55534770599999</v>
      </c>
      <c r="F125" s="99">
        <v>762</v>
      </c>
      <c r="G125" s="99" t="s">
        <v>432</v>
      </c>
      <c r="H125" s="99" t="s">
        <v>619</v>
      </c>
      <c r="I125" s="99" t="s">
        <v>620</v>
      </c>
      <c r="J125" s="99" t="s">
        <v>447</v>
      </c>
      <c r="K125" s="99" t="s">
        <v>421</v>
      </c>
      <c r="L125" s="99" t="s">
        <v>421</v>
      </c>
      <c r="M125" s="105" t="str">
        <f t="shared" si="1"/>
        <v>View on Google Map</v>
      </c>
    </row>
    <row r="126" spans="1:13" x14ac:dyDescent="0.2">
      <c r="A126" s="99">
        <v>18</v>
      </c>
      <c r="B126" s="99" t="s">
        <v>621</v>
      </c>
      <c r="C126" s="99" t="s">
        <v>421</v>
      </c>
      <c r="D126" s="99" t="s">
        <v>421</v>
      </c>
      <c r="E126" s="99" t="s">
        <v>421</v>
      </c>
      <c r="F126" s="99">
        <v>762</v>
      </c>
      <c r="G126" s="99" t="s">
        <v>446</v>
      </c>
      <c r="H126" s="99" t="s">
        <v>622</v>
      </c>
      <c r="I126" s="99" t="s">
        <v>623</v>
      </c>
      <c r="J126" s="99" t="s">
        <v>447</v>
      </c>
      <c r="K126" s="99" t="s">
        <v>421</v>
      </c>
      <c r="L126" s="99" t="s">
        <v>421</v>
      </c>
      <c r="M126" s="105" t="str">
        <f t="shared" si="1"/>
        <v>View on Google Map</v>
      </c>
    </row>
    <row r="127" spans="1:13" x14ac:dyDescent="0.2">
      <c r="A127" s="99">
        <v>310</v>
      </c>
      <c r="B127" s="99" t="s">
        <v>624</v>
      </c>
      <c r="C127" s="99" t="s">
        <v>421</v>
      </c>
      <c r="D127" s="99">
        <v>68.622894947099994</v>
      </c>
      <c r="E127" s="99">
        <v>-149.54328383999999</v>
      </c>
      <c r="F127" s="99" t="s">
        <v>421</v>
      </c>
      <c r="G127" s="99" t="s">
        <v>432</v>
      </c>
      <c r="H127" s="99" t="s">
        <v>625</v>
      </c>
      <c r="I127" s="99" t="s">
        <v>626</v>
      </c>
      <c r="J127" s="99" t="s">
        <v>447</v>
      </c>
      <c r="K127" s="99" t="s">
        <v>421</v>
      </c>
      <c r="L127" s="99" t="s">
        <v>421</v>
      </c>
      <c r="M127" s="105" t="str">
        <f t="shared" si="1"/>
        <v>View on Google Map</v>
      </c>
    </row>
    <row r="128" spans="1:13" x14ac:dyDescent="0.2">
      <c r="A128" s="99">
        <v>311</v>
      </c>
      <c r="B128" s="99" t="s">
        <v>627</v>
      </c>
      <c r="C128" s="99" t="s">
        <v>421</v>
      </c>
      <c r="D128" s="99">
        <v>68.623910828999996</v>
      </c>
      <c r="E128" s="99">
        <v>-149.53118563999999</v>
      </c>
      <c r="F128" s="99" t="s">
        <v>421</v>
      </c>
      <c r="G128" s="99" t="s">
        <v>432</v>
      </c>
      <c r="H128" s="99" t="s">
        <v>628</v>
      </c>
      <c r="I128" s="99" t="s">
        <v>629</v>
      </c>
      <c r="J128" s="99" t="s">
        <v>447</v>
      </c>
      <c r="K128" s="99" t="s">
        <v>421</v>
      </c>
      <c r="L128" s="99" t="s">
        <v>421</v>
      </c>
      <c r="M128" s="105" t="str">
        <f t="shared" si="1"/>
        <v>View on Google Map</v>
      </c>
    </row>
    <row r="129" spans="1:13" x14ac:dyDescent="0.2">
      <c r="A129" s="99">
        <v>312</v>
      </c>
      <c r="B129" s="99" t="s">
        <v>630</v>
      </c>
      <c r="C129" s="99" t="s">
        <v>421</v>
      </c>
      <c r="D129" s="99">
        <v>68.6277698106</v>
      </c>
      <c r="E129" s="99">
        <v>-149.497737003</v>
      </c>
      <c r="F129" s="99" t="s">
        <v>421</v>
      </c>
      <c r="G129" s="99" t="s">
        <v>432</v>
      </c>
      <c r="H129" s="99" t="s">
        <v>631</v>
      </c>
      <c r="I129" s="99" t="s">
        <v>632</v>
      </c>
      <c r="J129" s="99" t="s">
        <v>447</v>
      </c>
      <c r="K129" s="99" t="s">
        <v>421</v>
      </c>
      <c r="L129" s="99" t="s">
        <v>421</v>
      </c>
      <c r="M129" s="105" t="str">
        <f t="shared" si="1"/>
        <v>View on Google Map</v>
      </c>
    </row>
    <row r="130" spans="1:13" x14ac:dyDescent="0.2">
      <c r="A130" s="99">
        <v>145</v>
      </c>
      <c r="B130" s="99" t="s">
        <v>633</v>
      </c>
      <c r="C130" s="99" t="s">
        <v>421</v>
      </c>
      <c r="D130" s="99">
        <v>68.642611000000002</v>
      </c>
      <c r="E130" s="99">
        <v>-149.458079</v>
      </c>
      <c r="F130" s="99">
        <v>800</v>
      </c>
      <c r="G130" s="99" t="s">
        <v>432</v>
      </c>
      <c r="H130" s="99" t="s">
        <v>634</v>
      </c>
      <c r="I130" s="99" t="s">
        <v>635</v>
      </c>
      <c r="J130" s="99" t="s">
        <v>447</v>
      </c>
      <c r="K130" s="99" t="s">
        <v>421</v>
      </c>
      <c r="L130" s="99" t="s">
        <v>421</v>
      </c>
      <c r="M130" s="105" t="str">
        <f t="shared" si="1"/>
        <v>View on Google Map</v>
      </c>
    </row>
    <row r="131" spans="1:13" x14ac:dyDescent="0.2">
      <c r="A131" s="99">
        <v>399</v>
      </c>
      <c r="B131" s="99" t="s">
        <v>636</v>
      </c>
      <c r="C131" s="99" t="s">
        <v>421</v>
      </c>
      <c r="D131" s="99">
        <v>68.643427058300006</v>
      </c>
      <c r="E131" s="99">
        <v>-149.44056459199999</v>
      </c>
      <c r="F131" s="99">
        <v>792</v>
      </c>
      <c r="G131" s="99" t="s">
        <v>432</v>
      </c>
      <c r="H131" s="99" t="s">
        <v>637</v>
      </c>
      <c r="I131" s="99" t="s">
        <v>638</v>
      </c>
      <c r="J131" s="99" t="s">
        <v>447</v>
      </c>
      <c r="K131" s="99" t="s">
        <v>421</v>
      </c>
      <c r="L131" s="99" t="s">
        <v>421</v>
      </c>
      <c r="M131" s="105" t="str">
        <f t="shared" ref="M131:M194" si="2">HYPERLINK("http://maps.google.com/maps?q="&amp;D131&amp;","&amp;E131,"View on Google Map")</f>
        <v>View on Google Map</v>
      </c>
    </row>
    <row r="132" spans="1:13" x14ac:dyDescent="0.2">
      <c r="A132" s="99">
        <v>1605</v>
      </c>
      <c r="B132" s="99" t="s">
        <v>639</v>
      </c>
      <c r="C132" s="99" t="s">
        <v>421</v>
      </c>
      <c r="D132" s="99" t="s">
        <v>421</v>
      </c>
      <c r="E132" s="99" t="s">
        <v>421</v>
      </c>
      <c r="F132" s="99" t="s">
        <v>421</v>
      </c>
      <c r="G132" s="99" t="s">
        <v>446</v>
      </c>
      <c r="H132" s="99" t="s">
        <v>640</v>
      </c>
      <c r="I132" s="99" t="s">
        <v>641</v>
      </c>
      <c r="J132" s="99" t="s">
        <v>447</v>
      </c>
      <c r="K132" s="99" t="s">
        <v>421</v>
      </c>
      <c r="L132" s="99" t="s">
        <v>421</v>
      </c>
      <c r="M132" s="105" t="str">
        <f t="shared" si="2"/>
        <v>View on Google Map</v>
      </c>
    </row>
    <row r="133" spans="1:13" x14ac:dyDescent="0.2">
      <c r="A133" s="99">
        <v>1606</v>
      </c>
      <c r="B133" s="99" t="s">
        <v>642</v>
      </c>
      <c r="C133" s="99" t="s">
        <v>421</v>
      </c>
      <c r="D133" s="99" t="s">
        <v>421</v>
      </c>
      <c r="E133" s="99" t="s">
        <v>421</v>
      </c>
      <c r="F133" s="99" t="s">
        <v>421</v>
      </c>
      <c r="G133" s="99" t="s">
        <v>446</v>
      </c>
      <c r="H133" s="99" t="s">
        <v>643</v>
      </c>
      <c r="I133" s="99" t="s">
        <v>644</v>
      </c>
      <c r="J133" s="99" t="s">
        <v>447</v>
      </c>
      <c r="K133" s="99" t="s">
        <v>421</v>
      </c>
      <c r="L133" s="99" t="s">
        <v>421</v>
      </c>
      <c r="M133" s="105" t="str">
        <f t="shared" si="2"/>
        <v>View on Google Map</v>
      </c>
    </row>
    <row r="134" spans="1:13" x14ac:dyDescent="0.2">
      <c r="A134" s="99">
        <v>1604</v>
      </c>
      <c r="B134" s="99" t="s">
        <v>645</v>
      </c>
      <c r="C134" s="99" t="s">
        <v>421</v>
      </c>
      <c r="D134" s="99" t="s">
        <v>421</v>
      </c>
      <c r="E134" s="99" t="s">
        <v>421</v>
      </c>
      <c r="F134" s="99" t="s">
        <v>421</v>
      </c>
      <c r="G134" s="99" t="s">
        <v>446</v>
      </c>
      <c r="H134" s="99" t="s">
        <v>646</v>
      </c>
      <c r="I134" s="99" t="s">
        <v>647</v>
      </c>
      <c r="J134" s="99" t="s">
        <v>447</v>
      </c>
      <c r="K134" s="99" t="s">
        <v>421</v>
      </c>
      <c r="L134" s="99" t="s">
        <v>421</v>
      </c>
      <c r="M134" s="105" t="str">
        <f t="shared" si="2"/>
        <v>View on Google Map</v>
      </c>
    </row>
    <row r="135" spans="1:13" x14ac:dyDescent="0.2">
      <c r="A135" s="99">
        <v>24</v>
      </c>
      <c r="B135" s="99" t="s">
        <v>648</v>
      </c>
      <c r="C135" s="99" t="s">
        <v>421</v>
      </c>
      <c r="D135" s="99" t="s">
        <v>421</v>
      </c>
      <c r="E135" s="99" t="s">
        <v>421</v>
      </c>
      <c r="F135" s="99" t="s">
        <v>421</v>
      </c>
      <c r="G135" s="99" t="s">
        <v>446</v>
      </c>
      <c r="H135" s="99" t="s">
        <v>421</v>
      </c>
      <c r="I135" s="99" t="s">
        <v>421</v>
      </c>
      <c r="J135" s="99" t="s">
        <v>447</v>
      </c>
      <c r="K135" s="99" t="s">
        <v>421</v>
      </c>
      <c r="L135" s="99" t="s">
        <v>421</v>
      </c>
      <c r="M135" s="105" t="str">
        <f t="shared" si="2"/>
        <v>View on Google Map</v>
      </c>
    </row>
    <row r="136" spans="1:13" x14ac:dyDescent="0.2">
      <c r="A136" s="99">
        <v>143</v>
      </c>
      <c r="B136" s="99" t="s">
        <v>649</v>
      </c>
      <c r="C136" s="99" t="s">
        <v>650</v>
      </c>
      <c r="D136" s="99">
        <v>68.650000000000006</v>
      </c>
      <c r="E136" s="99">
        <v>-148.5</v>
      </c>
      <c r="F136" s="99">
        <v>525</v>
      </c>
      <c r="G136" s="99" t="s">
        <v>432</v>
      </c>
      <c r="H136" s="99" t="s">
        <v>421</v>
      </c>
      <c r="I136" s="99" t="s">
        <v>421</v>
      </c>
      <c r="J136" s="99" t="s">
        <v>447</v>
      </c>
      <c r="K136" s="99" t="s">
        <v>421</v>
      </c>
      <c r="L136" s="99" t="s">
        <v>448</v>
      </c>
      <c r="M136" s="105" t="str">
        <f t="shared" si="2"/>
        <v>View on Google Map</v>
      </c>
    </row>
    <row r="137" spans="1:13" x14ac:dyDescent="0.2">
      <c r="A137" s="99">
        <v>464</v>
      </c>
      <c r="B137" s="99" t="s">
        <v>651</v>
      </c>
      <c r="C137" s="99" t="s">
        <v>421</v>
      </c>
      <c r="D137" s="99">
        <v>68.793719999999993</v>
      </c>
      <c r="E137" s="99">
        <v>-149.47560999999999</v>
      </c>
      <c r="F137" s="99">
        <v>702</v>
      </c>
      <c r="G137" s="99" t="s">
        <v>432</v>
      </c>
      <c r="H137" s="99" t="s">
        <v>421</v>
      </c>
      <c r="I137" s="99" t="s">
        <v>421</v>
      </c>
      <c r="J137" s="99" t="s">
        <v>433</v>
      </c>
      <c r="K137" s="99" t="s">
        <v>421</v>
      </c>
      <c r="L137" s="99" t="s">
        <v>421</v>
      </c>
      <c r="M137" s="105" t="str">
        <f t="shared" si="2"/>
        <v>View on Google Map</v>
      </c>
    </row>
    <row r="138" spans="1:13" x14ac:dyDescent="0.2">
      <c r="A138" s="99">
        <v>465</v>
      </c>
      <c r="B138" s="99" t="s">
        <v>652</v>
      </c>
      <c r="C138" s="99" t="s">
        <v>421</v>
      </c>
      <c r="D138" s="99">
        <v>68.796220000000005</v>
      </c>
      <c r="E138" s="99">
        <v>-149.48222000000001</v>
      </c>
      <c r="F138" s="99">
        <v>698</v>
      </c>
      <c r="G138" s="99" t="s">
        <v>432</v>
      </c>
      <c r="H138" s="99" t="s">
        <v>421</v>
      </c>
      <c r="I138" s="99" t="s">
        <v>421</v>
      </c>
      <c r="J138" s="99" t="s">
        <v>433</v>
      </c>
      <c r="K138" s="99" t="s">
        <v>421</v>
      </c>
      <c r="L138" s="99" t="s">
        <v>421</v>
      </c>
      <c r="M138" s="105" t="str">
        <f t="shared" si="2"/>
        <v>View on Google Map</v>
      </c>
    </row>
    <row r="139" spans="1:13" x14ac:dyDescent="0.2">
      <c r="A139" s="99">
        <v>466</v>
      </c>
      <c r="B139" s="99" t="s">
        <v>653</v>
      </c>
      <c r="C139" s="99" t="s">
        <v>421</v>
      </c>
      <c r="D139" s="99">
        <v>68.798249999999996</v>
      </c>
      <c r="E139" s="99">
        <v>-149.47832</v>
      </c>
      <c r="F139" s="99">
        <v>697</v>
      </c>
      <c r="G139" s="99" t="s">
        <v>432</v>
      </c>
      <c r="H139" s="99" t="s">
        <v>421</v>
      </c>
      <c r="I139" s="99" t="s">
        <v>421</v>
      </c>
      <c r="J139" s="99" t="s">
        <v>433</v>
      </c>
      <c r="K139" s="99" t="s">
        <v>421</v>
      </c>
      <c r="L139" s="99" t="s">
        <v>421</v>
      </c>
      <c r="M139" s="105" t="str">
        <f t="shared" si="2"/>
        <v>View on Google Map</v>
      </c>
    </row>
    <row r="140" spans="1:13" x14ac:dyDescent="0.2">
      <c r="A140" s="99">
        <v>467</v>
      </c>
      <c r="B140" s="99" t="s">
        <v>654</v>
      </c>
      <c r="C140" s="99" t="s">
        <v>421</v>
      </c>
      <c r="D140" s="99">
        <v>68.794659999999993</v>
      </c>
      <c r="E140" s="99">
        <v>-149.46985000000001</v>
      </c>
      <c r="F140" s="99">
        <v>702</v>
      </c>
      <c r="G140" s="99" t="s">
        <v>432</v>
      </c>
      <c r="H140" s="99" t="s">
        <v>421</v>
      </c>
      <c r="I140" s="99" t="s">
        <v>421</v>
      </c>
      <c r="J140" s="99" t="s">
        <v>433</v>
      </c>
      <c r="K140" s="99" t="s">
        <v>421</v>
      </c>
      <c r="L140" s="99" t="s">
        <v>421</v>
      </c>
      <c r="M140" s="105" t="str">
        <f t="shared" si="2"/>
        <v>View on Google Map</v>
      </c>
    </row>
    <row r="141" spans="1:13" x14ac:dyDescent="0.2">
      <c r="A141" s="99">
        <v>468</v>
      </c>
      <c r="B141" s="99" t="s">
        <v>655</v>
      </c>
      <c r="C141" s="99" t="s">
        <v>421</v>
      </c>
      <c r="D141" s="99">
        <v>68.797669999999997</v>
      </c>
      <c r="E141" s="99">
        <v>-149.46574000000001</v>
      </c>
      <c r="F141" s="99">
        <v>692</v>
      </c>
      <c r="G141" s="99" t="s">
        <v>432</v>
      </c>
      <c r="H141" s="99" t="s">
        <v>421</v>
      </c>
      <c r="I141" s="99" t="s">
        <v>421</v>
      </c>
      <c r="J141" s="99" t="s">
        <v>433</v>
      </c>
      <c r="K141" s="99" t="s">
        <v>421</v>
      </c>
      <c r="L141" s="99" t="s">
        <v>421</v>
      </c>
      <c r="M141" s="105" t="str">
        <f t="shared" si="2"/>
        <v>View on Google Map</v>
      </c>
    </row>
    <row r="142" spans="1:13" x14ac:dyDescent="0.2">
      <c r="A142" s="99">
        <v>469</v>
      </c>
      <c r="B142" s="99" t="s">
        <v>656</v>
      </c>
      <c r="C142" s="99" t="s">
        <v>421</v>
      </c>
      <c r="D142" s="99">
        <v>68.802390000000003</v>
      </c>
      <c r="E142" s="99">
        <v>-149.46473</v>
      </c>
      <c r="F142" s="99">
        <v>683</v>
      </c>
      <c r="G142" s="99" t="s">
        <v>432</v>
      </c>
      <c r="H142" s="99" t="s">
        <v>421</v>
      </c>
      <c r="I142" s="99" t="s">
        <v>421</v>
      </c>
      <c r="J142" s="99" t="s">
        <v>433</v>
      </c>
      <c r="K142" s="99" t="s">
        <v>421</v>
      </c>
      <c r="L142" s="99" t="s">
        <v>421</v>
      </c>
      <c r="M142" s="105" t="str">
        <f t="shared" si="2"/>
        <v>View on Google Map</v>
      </c>
    </row>
    <row r="143" spans="1:13" x14ac:dyDescent="0.2">
      <c r="A143" s="99">
        <v>406</v>
      </c>
      <c r="B143" s="99" t="s">
        <v>657</v>
      </c>
      <c r="C143" s="99" t="s">
        <v>421</v>
      </c>
      <c r="D143" s="99" t="s">
        <v>421</v>
      </c>
      <c r="E143" s="99" t="s">
        <v>421</v>
      </c>
      <c r="F143" s="99" t="s">
        <v>421</v>
      </c>
      <c r="G143" s="99" t="s">
        <v>432</v>
      </c>
      <c r="H143" s="99" t="s">
        <v>421</v>
      </c>
      <c r="I143" s="99" t="s">
        <v>421</v>
      </c>
      <c r="J143" s="99" t="s">
        <v>447</v>
      </c>
      <c r="K143" s="99" t="s">
        <v>421</v>
      </c>
      <c r="L143" s="99" t="s">
        <v>603</v>
      </c>
      <c r="M143" s="105" t="str">
        <f t="shared" si="2"/>
        <v>View on Google Map</v>
      </c>
    </row>
    <row r="144" spans="1:13" x14ac:dyDescent="0.2">
      <c r="A144" s="99">
        <v>407</v>
      </c>
      <c r="B144" s="99" t="s">
        <v>658</v>
      </c>
      <c r="C144" s="99" t="s">
        <v>421</v>
      </c>
      <c r="D144" s="99" t="s">
        <v>421</v>
      </c>
      <c r="E144" s="99" t="s">
        <v>421</v>
      </c>
      <c r="F144" s="99" t="s">
        <v>421</v>
      </c>
      <c r="G144" s="99" t="s">
        <v>432</v>
      </c>
      <c r="H144" s="99" t="s">
        <v>421</v>
      </c>
      <c r="I144" s="99" t="s">
        <v>421</v>
      </c>
      <c r="J144" s="99" t="s">
        <v>447</v>
      </c>
      <c r="K144" s="99" t="s">
        <v>421</v>
      </c>
      <c r="L144" s="99" t="s">
        <v>603</v>
      </c>
      <c r="M144" s="105" t="str">
        <f t="shared" si="2"/>
        <v>View on Google Map</v>
      </c>
    </row>
    <row r="145" spans="1:13" x14ac:dyDescent="0.2">
      <c r="A145" s="99">
        <v>164</v>
      </c>
      <c r="B145" s="99" t="s">
        <v>659</v>
      </c>
      <c r="C145" s="99" t="s">
        <v>421</v>
      </c>
      <c r="D145" s="99">
        <v>68.683333333333337</v>
      </c>
      <c r="E145" s="99">
        <v>-149.07666666666699</v>
      </c>
      <c r="F145" s="99">
        <v>770</v>
      </c>
      <c r="G145" s="99" t="s">
        <v>432</v>
      </c>
      <c r="H145" s="99" t="s">
        <v>660</v>
      </c>
      <c r="I145" s="99" t="s">
        <v>661</v>
      </c>
      <c r="J145" s="99" t="s">
        <v>447</v>
      </c>
      <c r="K145" s="99">
        <v>274</v>
      </c>
      <c r="L145" s="99" t="s">
        <v>421</v>
      </c>
      <c r="M145" s="105" t="str">
        <f t="shared" si="2"/>
        <v>View on Google Map</v>
      </c>
    </row>
    <row r="146" spans="1:13" x14ac:dyDescent="0.2">
      <c r="A146" s="99">
        <v>165</v>
      </c>
      <c r="B146" s="99" t="s">
        <v>662</v>
      </c>
      <c r="C146" s="99" t="s">
        <v>421</v>
      </c>
      <c r="D146" s="99">
        <v>68.683333333333337</v>
      </c>
      <c r="E146" s="99">
        <v>-149.1</v>
      </c>
      <c r="F146" s="99">
        <v>785</v>
      </c>
      <c r="G146" s="99" t="s">
        <v>432</v>
      </c>
      <c r="H146" s="99" t="s">
        <v>663</v>
      </c>
      <c r="I146" s="99" t="s">
        <v>664</v>
      </c>
      <c r="J146" s="99" t="s">
        <v>447</v>
      </c>
      <c r="K146" s="99">
        <v>275</v>
      </c>
      <c r="L146" s="99" t="s">
        <v>421</v>
      </c>
      <c r="M146" s="105" t="str">
        <f t="shared" si="2"/>
        <v>View on Google Map</v>
      </c>
    </row>
    <row r="147" spans="1:13" x14ac:dyDescent="0.2">
      <c r="A147" s="99">
        <v>166</v>
      </c>
      <c r="B147" s="99" t="s">
        <v>665</v>
      </c>
      <c r="C147" s="99" t="s">
        <v>421</v>
      </c>
      <c r="D147" s="99">
        <v>68.666666666666671</v>
      </c>
      <c r="E147" s="99">
        <v>-149.1</v>
      </c>
      <c r="F147" s="99">
        <v>792</v>
      </c>
      <c r="G147" s="99" t="s">
        <v>432</v>
      </c>
      <c r="H147" s="99" t="s">
        <v>666</v>
      </c>
      <c r="I147" s="99" t="s">
        <v>667</v>
      </c>
      <c r="J147" s="99" t="s">
        <v>447</v>
      </c>
      <c r="K147" s="99">
        <v>276</v>
      </c>
      <c r="L147" s="99" t="s">
        <v>421</v>
      </c>
      <c r="M147" s="105" t="str">
        <f t="shared" si="2"/>
        <v>View on Google Map</v>
      </c>
    </row>
    <row r="148" spans="1:13" x14ac:dyDescent="0.2">
      <c r="A148" s="99">
        <v>167</v>
      </c>
      <c r="B148" s="99" t="s">
        <v>668</v>
      </c>
      <c r="C148" s="99" t="s">
        <v>421</v>
      </c>
      <c r="D148" s="99">
        <v>68.680000000000007</v>
      </c>
      <c r="E148" s="99">
        <v>-149.071666666667</v>
      </c>
      <c r="F148" s="99">
        <v>754</v>
      </c>
      <c r="G148" s="99" t="s">
        <v>432</v>
      </c>
      <c r="H148" s="99" t="s">
        <v>669</v>
      </c>
      <c r="I148" s="99" t="s">
        <v>670</v>
      </c>
      <c r="J148" s="99" t="s">
        <v>447</v>
      </c>
      <c r="K148" s="99" t="s">
        <v>421</v>
      </c>
      <c r="L148" s="99" t="s">
        <v>421</v>
      </c>
      <c r="M148" s="105" t="str">
        <f t="shared" si="2"/>
        <v>View on Google Map</v>
      </c>
    </row>
    <row r="149" spans="1:13" x14ac:dyDescent="0.2">
      <c r="A149" s="99">
        <v>168</v>
      </c>
      <c r="B149" s="99" t="s">
        <v>671</v>
      </c>
      <c r="C149" s="99" t="s">
        <v>421</v>
      </c>
      <c r="D149" s="99">
        <v>68.674999999999997</v>
      </c>
      <c r="E149" s="99">
        <v>-149.06</v>
      </c>
      <c r="F149" s="99" t="s">
        <v>421</v>
      </c>
      <c r="G149" s="99" t="s">
        <v>432</v>
      </c>
      <c r="H149" s="99" t="s">
        <v>672</v>
      </c>
      <c r="I149" s="99" t="s">
        <v>673</v>
      </c>
      <c r="J149" s="99" t="s">
        <v>447</v>
      </c>
      <c r="K149" s="99" t="s">
        <v>421</v>
      </c>
      <c r="L149" s="99" t="s">
        <v>421</v>
      </c>
      <c r="M149" s="105" t="str">
        <f t="shared" si="2"/>
        <v>View on Google Map</v>
      </c>
    </row>
    <row r="150" spans="1:13" x14ac:dyDescent="0.2">
      <c r="A150" s="99">
        <v>124</v>
      </c>
      <c r="B150" s="99" t="s">
        <v>674</v>
      </c>
      <c r="C150" s="99" t="s">
        <v>421</v>
      </c>
      <c r="D150" s="99">
        <v>68.466666666666669</v>
      </c>
      <c r="E150" s="99">
        <v>-149.5</v>
      </c>
      <c r="F150" s="99">
        <v>802</v>
      </c>
      <c r="G150" s="99" t="s">
        <v>432</v>
      </c>
      <c r="H150" s="99" t="s">
        <v>675</v>
      </c>
      <c r="I150" s="99" t="s">
        <v>421</v>
      </c>
      <c r="J150" s="99" t="s">
        <v>447</v>
      </c>
      <c r="K150" s="99" t="s">
        <v>421</v>
      </c>
      <c r="L150" s="99" t="s">
        <v>448</v>
      </c>
      <c r="M150" s="105" t="str">
        <f t="shared" si="2"/>
        <v>View on Google Map</v>
      </c>
    </row>
    <row r="151" spans="1:13" x14ac:dyDescent="0.2">
      <c r="A151" s="99">
        <v>432</v>
      </c>
      <c r="B151" s="99" t="s">
        <v>676</v>
      </c>
      <c r="C151" s="99" t="s">
        <v>421</v>
      </c>
      <c r="D151" s="99" t="s">
        <v>421</v>
      </c>
      <c r="E151" s="99" t="s">
        <v>421</v>
      </c>
      <c r="F151" s="99">
        <v>800</v>
      </c>
      <c r="G151" s="99" t="s">
        <v>432</v>
      </c>
      <c r="H151" s="99" t="s">
        <v>677</v>
      </c>
      <c r="I151" s="99" t="s">
        <v>421</v>
      </c>
      <c r="J151" s="99" t="s">
        <v>447</v>
      </c>
      <c r="K151" s="99" t="s">
        <v>421</v>
      </c>
      <c r="L151" s="99" t="s">
        <v>678</v>
      </c>
      <c r="M151" s="105" t="str">
        <f t="shared" si="2"/>
        <v>View on Google Map</v>
      </c>
    </row>
    <row r="152" spans="1:13" x14ac:dyDescent="0.2">
      <c r="A152" s="99">
        <v>433</v>
      </c>
      <c r="B152" s="99" t="s">
        <v>679</v>
      </c>
      <c r="C152" s="99" t="s">
        <v>421</v>
      </c>
      <c r="D152" s="99" t="s">
        <v>421</v>
      </c>
      <c r="E152" s="99" t="s">
        <v>421</v>
      </c>
      <c r="F152" s="99">
        <v>800</v>
      </c>
      <c r="G152" s="99" t="s">
        <v>432</v>
      </c>
      <c r="H152" s="99" t="s">
        <v>680</v>
      </c>
      <c r="I152" s="99" t="s">
        <v>421</v>
      </c>
      <c r="J152" s="99" t="s">
        <v>447</v>
      </c>
      <c r="K152" s="99" t="s">
        <v>421</v>
      </c>
      <c r="L152" s="99" t="s">
        <v>678</v>
      </c>
      <c r="M152" s="105" t="str">
        <f t="shared" si="2"/>
        <v>View on Google Map</v>
      </c>
    </row>
    <row r="153" spans="1:13" x14ac:dyDescent="0.2">
      <c r="A153" s="99">
        <v>434</v>
      </c>
      <c r="B153" s="99" t="s">
        <v>681</v>
      </c>
      <c r="C153" s="99" t="s">
        <v>421</v>
      </c>
      <c r="D153" s="99" t="s">
        <v>421</v>
      </c>
      <c r="E153" s="99" t="s">
        <v>421</v>
      </c>
      <c r="F153" s="99">
        <v>801</v>
      </c>
      <c r="G153" s="99" t="s">
        <v>432</v>
      </c>
      <c r="H153" s="99" t="s">
        <v>682</v>
      </c>
      <c r="I153" s="99" t="s">
        <v>421</v>
      </c>
      <c r="J153" s="99" t="s">
        <v>447</v>
      </c>
      <c r="K153" s="99" t="s">
        <v>421</v>
      </c>
      <c r="L153" s="99" t="s">
        <v>678</v>
      </c>
      <c r="M153" s="105" t="str">
        <f t="shared" si="2"/>
        <v>View on Google Map</v>
      </c>
    </row>
    <row r="154" spans="1:13" x14ac:dyDescent="0.2">
      <c r="A154" s="99">
        <v>435</v>
      </c>
      <c r="B154" s="99" t="s">
        <v>683</v>
      </c>
      <c r="C154" s="99" t="s">
        <v>421</v>
      </c>
      <c r="D154" s="99" t="s">
        <v>421</v>
      </c>
      <c r="E154" s="99" t="s">
        <v>421</v>
      </c>
      <c r="F154" s="99">
        <v>802</v>
      </c>
      <c r="G154" s="99" t="s">
        <v>432</v>
      </c>
      <c r="H154" s="99" t="s">
        <v>684</v>
      </c>
      <c r="I154" s="99" t="s">
        <v>421</v>
      </c>
      <c r="J154" s="99" t="s">
        <v>447</v>
      </c>
      <c r="K154" s="99" t="s">
        <v>421</v>
      </c>
      <c r="L154" s="99" t="s">
        <v>678</v>
      </c>
      <c r="M154" s="105" t="str">
        <f t="shared" si="2"/>
        <v>View on Google Map</v>
      </c>
    </row>
    <row r="155" spans="1:13" x14ac:dyDescent="0.2">
      <c r="A155" s="99">
        <v>436</v>
      </c>
      <c r="B155" s="99" t="s">
        <v>685</v>
      </c>
      <c r="C155" s="99" t="s">
        <v>421</v>
      </c>
      <c r="D155" s="99" t="s">
        <v>421</v>
      </c>
      <c r="E155" s="99" t="s">
        <v>421</v>
      </c>
      <c r="F155" s="99">
        <v>803</v>
      </c>
      <c r="G155" s="99" t="s">
        <v>432</v>
      </c>
      <c r="H155" s="99" t="s">
        <v>686</v>
      </c>
      <c r="I155" s="99" t="s">
        <v>421</v>
      </c>
      <c r="J155" s="99" t="s">
        <v>447</v>
      </c>
      <c r="K155" s="99" t="s">
        <v>421</v>
      </c>
      <c r="L155" s="99" t="s">
        <v>678</v>
      </c>
      <c r="M155" s="105" t="str">
        <f t="shared" si="2"/>
        <v>View on Google Map</v>
      </c>
    </row>
    <row r="156" spans="1:13" x14ac:dyDescent="0.2">
      <c r="A156" s="99">
        <v>437</v>
      </c>
      <c r="B156" s="99" t="s">
        <v>687</v>
      </c>
      <c r="C156" s="99" t="s">
        <v>421</v>
      </c>
      <c r="D156" s="99" t="s">
        <v>421</v>
      </c>
      <c r="E156" s="99" t="s">
        <v>421</v>
      </c>
      <c r="F156" s="99">
        <v>804</v>
      </c>
      <c r="G156" s="99" t="s">
        <v>432</v>
      </c>
      <c r="H156" s="99" t="s">
        <v>688</v>
      </c>
      <c r="I156" s="99" t="s">
        <v>421</v>
      </c>
      <c r="J156" s="99" t="s">
        <v>447</v>
      </c>
      <c r="K156" s="99" t="s">
        <v>421</v>
      </c>
      <c r="L156" s="99" t="s">
        <v>678</v>
      </c>
      <c r="M156" s="105" t="str">
        <f t="shared" si="2"/>
        <v>View on Google Map</v>
      </c>
    </row>
    <row r="157" spans="1:13" x14ac:dyDescent="0.2">
      <c r="A157" s="99">
        <v>438</v>
      </c>
      <c r="B157" s="99" t="s">
        <v>689</v>
      </c>
      <c r="C157" s="99" t="s">
        <v>421</v>
      </c>
      <c r="D157" s="99" t="s">
        <v>421</v>
      </c>
      <c r="E157" s="99" t="s">
        <v>421</v>
      </c>
      <c r="F157" s="99">
        <v>805</v>
      </c>
      <c r="G157" s="99" t="s">
        <v>432</v>
      </c>
      <c r="H157" s="99" t="s">
        <v>690</v>
      </c>
      <c r="I157" s="99" t="s">
        <v>421</v>
      </c>
      <c r="J157" s="99" t="s">
        <v>447</v>
      </c>
      <c r="K157" s="99" t="s">
        <v>421</v>
      </c>
      <c r="L157" s="99" t="s">
        <v>678</v>
      </c>
      <c r="M157" s="105" t="str">
        <f t="shared" si="2"/>
        <v>View on Google Map</v>
      </c>
    </row>
    <row r="158" spans="1:13" x14ac:dyDescent="0.2">
      <c r="A158" s="99">
        <v>439</v>
      </c>
      <c r="B158" s="99" t="s">
        <v>691</v>
      </c>
      <c r="C158" s="99" t="s">
        <v>421</v>
      </c>
      <c r="D158" s="99" t="s">
        <v>421</v>
      </c>
      <c r="E158" s="99" t="s">
        <v>421</v>
      </c>
      <c r="F158" s="99">
        <v>807</v>
      </c>
      <c r="G158" s="99" t="s">
        <v>432</v>
      </c>
      <c r="H158" s="99" t="s">
        <v>692</v>
      </c>
      <c r="I158" s="99" t="s">
        <v>421</v>
      </c>
      <c r="J158" s="99" t="s">
        <v>447</v>
      </c>
      <c r="K158" s="99" t="s">
        <v>421</v>
      </c>
      <c r="L158" s="99" t="s">
        <v>678</v>
      </c>
      <c r="M158" s="105" t="str">
        <f t="shared" si="2"/>
        <v>View on Google Map</v>
      </c>
    </row>
    <row r="159" spans="1:13" x14ac:dyDescent="0.2">
      <c r="A159" s="99">
        <v>440</v>
      </c>
      <c r="B159" s="99" t="s">
        <v>693</v>
      </c>
      <c r="C159" s="99" t="s">
        <v>421</v>
      </c>
      <c r="D159" s="99" t="s">
        <v>421</v>
      </c>
      <c r="E159" s="99" t="s">
        <v>421</v>
      </c>
      <c r="F159" s="99">
        <v>805</v>
      </c>
      <c r="G159" s="99" t="s">
        <v>432</v>
      </c>
      <c r="H159" s="99" t="s">
        <v>694</v>
      </c>
      <c r="I159" s="99" t="s">
        <v>421</v>
      </c>
      <c r="J159" s="99" t="s">
        <v>447</v>
      </c>
      <c r="K159" s="99" t="s">
        <v>421</v>
      </c>
      <c r="L159" s="99" t="s">
        <v>678</v>
      </c>
      <c r="M159" s="105" t="str">
        <f t="shared" si="2"/>
        <v>View on Google Map</v>
      </c>
    </row>
    <row r="160" spans="1:13" x14ac:dyDescent="0.2">
      <c r="A160" s="99">
        <v>441</v>
      </c>
      <c r="B160" s="99" t="s">
        <v>695</v>
      </c>
      <c r="C160" s="99" t="s">
        <v>421</v>
      </c>
      <c r="D160" s="99" t="s">
        <v>421</v>
      </c>
      <c r="E160" s="99" t="s">
        <v>421</v>
      </c>
      <c r="F160" s="99">
        <v>805</v>
      </c>
      <c r="G160" s="99" t="s">
        <v>432</v>
      </c>
      <c r="H160" s="99" t="s">
        <v>696</v>
      </c>
      <c r="I160" s="99" t="s">
        <v>421</v>
      </c>
      <c r="J160" s="99" t="s">
        <v>447</v>
      </c>
      <c r="K160" s="99" t="s">
        <v>421</v>
      </c>
      <c r="L160" s="99" t="s">
        <v>678</v>
      </c>
      <c r="M160" s="105" t="str">
        <f t="shared" si="2"/>
        <v>View on Google Map</v>
      </c>
    </row>
    <row r="161" spans="1:14" x14ac:dyDescent="0.2">
      <c r="A161" s="99">
        <v>442</v>
      </c>
      <c r="B161" s="99" t="s">
        <v>697</v>
      </c>
      <c r="C161" s="99" t="s">
        <v>421</v>
      </c>
      <c r="D161" s="99" t="s">
        <v>421</v>
      </c>
      <c r="E161" s="99" t="s">
        <v>421</v>
      </c>
      <c r="F161" s="99">
        <v>805</v>
      </c>
      <c r="G161" s="99" t="s">
        <v>432</v>
      </c>
      <c r="H161" s="99" t="s">
        <v>698</v>
      </c>
      <c r="I161" s="99" t="s">
        <v>421</v>
      </c>
      <c r="J161" s="99" t="s">
        <v>447</v>
      </c>
      <c r="K161" s="99" t="s">
        <v>421</v>
      </c>
      <c r="L161" s="99" t="s">
        <v>678</v>
      </c>
      <c r="M161" s="105" t="str">
        <f t="shared" si="2"/>
        <v>View on Google Map</v>
      </c>
    </row>
    <row r="162" spans="1:14" x14ac:dyDescent="0.2">
      <c r="A162" s="99">
        <v>443</v>
      </c>
      <c r="B162" s="99" t="s">
        <v>699</v>
      </c>
      <c r="C162" s="99" t="s">
        <v>421</v>
      </c>
      <c r="D162" s="99" t="s">
        <v>421</v>
      </c>
      <c r="E162" s="99" t="s">
        <v>421</v>
      </c>
      <c r="F162" s="99">
        <v>812</v>
      </c>
      <c r="G162" s="99" t="s">
        <v>432</v>
      </c>
      <c r="H162" s="99" t="s">
        <v>700</v>
      </c>
      <c r="I162" s="99" t="s">
        <v>421</v>
      </c>
      <c r="J162" s="99" t="s">
        <v>447</v>
      </c>
      <c r="K162" s="99" t="s">
        <v>421</v>
      </c>
      <c r="L162" s="99" t="s">
        <v>678</v>
      </c>
      <c r="M162" s="105" t="str">
        <f t="shared" si="2"/>
        <v>View on Google Map</v>
      </c>
    </row>
    <row r="163" spans="1:14" x14ac:dyDescent="0.2">
      <c r="A163" s="99">
        <v>28</v>
      </c>
      <c r="B163" s="99" t="s">
        <v>701</v>
      </c>
      <c r="C163" s="99" t="s">
        <v>421</v>
      </c>
      <c r="D163" s="99" t="s">
        <v>421</v>
      </c>
      <c r="E163" s="99" t="s">
        <v>421</v>
      </c>
      <c r="F163" s="99">
        <v>1189</v>
      </c>
      <c r="G163" s="99" t="s">
        <v>446</v>
      </c>
      <c r="H163" s="99" t="s">
        <v>702</v>
      </c>
      <c r="I163" s="99" t="s">
        <v>421</v>
      </c>
      <c r="J163" s="99" t="s">
        <v>447</v>
      </c>
      <c r="K163" s="99" t="s">
        <v>421</v>
      </c>
      <c r="L163" s="99" t="s">
        <v>421</v>
      </c>
      <c r="M163" s="105" t="str">
        <f t="shared" si="2"/>
        <v>View on Google Map</v>
      </c>
    </row>
    <row r="164" spans="1:14" x14ac:dyDescent="0.2">
      <c r="A164" s="99">
        <v>29</v>
      </c>
      <c r="B164" s="99" t="s">
        <v>703</v>
      </c>
      <c r="C164" s="99" t="s">
        <v>421</v>
      </c>
      <c r="D164" s="99" t="s">
        <v>421</v>
      </c>
      <c r="E164" s="99" t="s">
        <v>421</v>
      </c>
      <c r="F164" s="99">
        <v>1372</v>
      </c>
      <c r="G164" s="99" t="s">
        <v>446</v>
      </c>
      <c r="H164" s="99" t="s">
        <v>704</v>
      </c>
      <c r="I164" s="99" t="s">
        <v>421</v>
      </c>
      <c r="J164" s="99" t="s">
        <v>447</v>
      </c>
      <c r="K164" s="99" t="s">
        <v>421</v>
      </c>
      <c r="L164" s="99" t="s">
        <v>421</v>
      </c>
      <c r="M164" s="105" t="str">
        <f t="shared" si="2"/>
        <v>View on Google Map</v>
      </c>
    </row>
    <row r="165" spans="1:14" x14ac:dyDescent="0.2">
      <c r="A165" s="99">
        <v>30</v>
      </c>
      <c r="B165" s="99" t="s">
        <v>705</v>
      </c>
      <c r="C165" s="99" t="s">
        <v>421</v>
      </c>
      <c r="D165" s="99" t="s">
        <v>421</v>
      </c>
      <c r="E165" s="99" t="s">
        <v>421</v>
      </c>
      <c r="F165" s="99">
        <v>1463</v>
      </c>
      <c r="G165" s="99" t="s">
        <v>446</v>
      </c>
      <c r="H165" s="99" t="s">
        <v>706</v>
      </c>
      <c r="I165" s="99" t="s">
        <v>421</v>
      </c>
      <c r="J165" s="99" t="s">
        <v>447</v>
      </c>
      <c r="K165" s="99" t="s">
        <v>421</v>
      </c>
      <c r="L165" s="99" t="s">
        <v>421</v>
      </c>
      <c r="M165" s="105" t="str">
        <f t="shared" si="2"/>
        <v>View on Google Map</v>
      </c>
    </row>
    <row r="166" spans="1:14" x14ac:dyDescent="0.2">
      <c r="A166" s="99">
        <v>142</v>
      </c>
      <c r="B166" s="99" t="s">
        <v>707</v>
      </c>
      <c r="C166" s="99" t="s">
        <v>708</v>
      </c>
      <c r="D166" s="99">
        <v>68.53698</v>
      </c>
      <c r="E166" s="99">
        <v>-149.23740000000001</v>
      </c>
      <c r="F166" s="99">
        <v>883</v>
      </c>
      <c r="G166" s="99" t="s">
        <v>432</v>
      </c>
      <c r="H166" s="99" t="s">
        <v>709</v>
      </c>
      <c r="I166" s="99" t="s">
        <v>710</v>
      </c>
      <c r="J166" s="99" t="s">
        <v>447</v>
      </c>
      <c r="K166" s="99" t="s">
        <v>421</v>
      </c>
      <c r="L166" s="99" t="s">
        <v>448</v>
      </c>
      <c r="M166" s="105" t="str">
        <f t="shared" si="2"/>
        <v>View on Google Map</v>
      </c>
    </row>
    <row r="167" spans="1:14" x14ac:dyDescent="0.2">
      <c r="A167" s="99">
        <v>416</v>
      </c>
      <c r="B167" s="99" t="s">
        <v>711</v>
      </c>
      <c r="C167" s="99" t="s">
        <v>712</v>
      </c>
      <c r="D167" s="99">
        <v>68.496079978500006</v>
      </c>
      <c r="E167" s="99">
        <v>-149.60215567200001</v>
      </c>
      <c r="F167" s="99">
        <v>938</v>
      </c>
      <c r="G167" s="99" t="s">
        <v>432</v>
      </c>
      <c r="H167" s="99" t="s">
        <v>713</v>
      </c>
      <c r="I167" s="99" t="s">
        <v>421</v>
      </c>
      <c r="J167" s="99" t="s">
        <v>714</v>
      </c>
      <c r="K167" s="99" t="s">
        <v>421</v>
      </c>
      <c r="L167" s="99" t="s">
        <v>715</v>
      </c>
      <c r="M167" s="105" t="str">
        <f t="shared" si="2"/>
        <v>View on Google Map</v>
      </c>
      <c r="N167" s="99">
        <f>VALUE(MID(B167,5,3))</f>
        <v>100</v>
      </c>
    </row>
    <row r="168" spans="1:14" x14ac:dyDescent="0.2">
      <c r="A168" s="99">
        <v>417</v>
      </c>
      <c r="B168" s="99" t="s">
        <v>716</v>
      </c>
      <c r="C168" s="99" t="s">
        <v>717</v>
      </c>
      <c r="D168" s="99">
        <v>68.491641939700003</v>
      </c>
      <c r="E168" s="99">
        <v>-149.60743984699999</v>
      </c>
      <c r="F168" s="99">
        <v>937</v>
      </c>
      <c r="G168" s="99" t="s">
        <v>432</v>
      </c>
      <c r="H168" s="99" t="s">
        <v>718</v>
      </c>
      <c r="I168" s="99" t="s">
        <v>421</v>
      </c>
      <c r="J168" s="99" t="s">
        <v>714</v>
      </c>
      <c r="K168" s="99" t="s">
        <v>421</v>
      </c>
      <c r="L168" s="99" t="s">
        <v>715</v>
      </c>
      <c r="M168" s="105" t="str">
        <f t="shared" si="2"/>
        <v>View on Google Map</v>
      </c>
      <c r="N168" s="99">
        <f>VALUE(MID(B168,5,3))</f>
        <v>101</v>
      </c>
    </row>
    <row r="169" spans="1:14" x14ac:dyDescent="0.2">
      <c r="A169" s="99">
        <v>418</v>
      </c>
      <c r="B169" s="99" t="s">
        <v>719</v>
      </c>
      <c r="C169" s="99" t="s">
        <v>720</v>
      </c>
      <c r="D169" s="99">
        <v>68.485971524799993</v>
      </c>
      <c r="E169" s="99">
        <v>-149.611957343</v>
      </c>
      <c r="F169" s="99">
        <v>936</v>
      </c>
      <c r="G169" s="99" t="s">
        <v>432</v>
      </c>
      <c r="H169" s="99" t="s">
        <v>421</v>
      </c>
      <c r="I169" s="99" t="s">
        <v>421</v>
      </c>
      <c r="J169" s="99" t="s">
        <v>714</v>
      </c>
      <c r="K169" s="99" t="s">
        <v>421</v>
      </c>
      <c r="L169" s="99" t="s">
        <v>715</v>
      </c>
      <c r="M169" s="105" t="str">
        <f t="shared" si="2"/>
        <v>View on Google Map</v>
      </c>
      <c r="N169" s="99">
        <f>VALUE(MID(B169,5,3))</f>
        <v>102</v>
      </c>
    </row>
    <row r="170" spans="1:14" x14ac:dyDescent="0.2">
      <c r="A170" s="99">
        <v>419</v>
      </c>
      <c r="B170" s="99" t="s">
        <v>721</v>
      </c>
      <c r="C170" s="99" t="s">
        <v>722</v>
      </c>
      <c r="D170" s="99">
        <v>68.486418246300005</v>
      </c>
      <c r="E170" s="99">
        <v>-149.623539768</v>
      </c>
      <c r="F170" s="99">
        <v>934</v>
      </c>
      <c r="G170" s="99" t="s">
        <v>432</v>
      </c>
      <c r="H170" s="99" t="s">
        <v>723</v>
      </c>
      <c r="I170" s="99" t="s">
        <v>421</v>
      </c>
      <c r="J170" s="99" t="s">
        <v>714</v>
      </c>
      <c r="K170" s="99" t="s">
        <v>421</v>
      </c>
      <c r="L170" s="99" t="s">
        <v>715</v>
      </c>
      <c r="M170" s="105" t="str">
        <f t="shared" si="2"/>
        <v>View on Google Map</v>
      </c>
      <c r="N170" s="99">
        <f>VALUE(MID(B170,5,3))</f>
        <v>103</v>
      </c>
    </row>
    <row r="171" spans="1:14" x14ac:dyDescent="0.2">
      <c r="A171" s="99">
        <v>420</v>
      </c>
      <c r="B171" s="99" t="s">
        <v>724</v>
      </c>
      <c r="C171" s="99" t="s">
        <v>725</v>
      </c>
      <c r="D171" s="99">
        <v>68.480358182399996</v>
      </c>
      <c r="E171" s="99">
        <v>-149.621808276</v>
      </c>
      <c r="F171" s="99" t="s">
        <v>421</v>
      </c>
      <c r="G171" s="99" t="s">
        <v>432</v>
      </c>
      <c r="H171" s="99" t="s">
        <v>724</v>
      </c>
      <c r="I171" s="99" t="s">
        <v>421</v>
      </c>
      <c r="J171" s="99" t="s">
        <v>714</v>
      </c>
      <c r="K171" s="99" t="s">
        <v>421</v>
      </c>
      <c r="L171" s="99" t="s">
        <v>715</v>
      </c>
      <c r="M171" s="105" t="str">
        <f t="shared" si="2"/>
        <v>View on Google Map</v>
      </c>
      <c r="N171" s="99">
        <f t="shared" ref="N171:N198" si="3">VALUE(MID(H171,5,3))</f>
        <v>104</v>
      </c>
    </row>
    <row r="172" spans="1:14" x14ac:dyDescent="0.2">
      <c r="A172" s="99">
        <v>421</v>
      </c>
      <c r="B172" s="99" t="s">
        <v>726</v>
      </c>
      <c r="C172" s="99" t="s">
        <v>727</v>
      </c>
      <c r="D172" s="99">
        <v>68.487163894299997</v>
      </c>
      <c r="E172" s="99">
        <v>-149.57470926400001</v>
      </c>
      <c r="F172" s="99" t="s">
        <v>421</v>
      </c>
      <c r="G172" s="99" t="s">
        <v>432</v>
      </c>
      <c r="H172" s="99" t="s">
        <v>726</v>
      </c>
      <c r="I172" s="99" t="s">
        <v>421</v>
      </c>
      <c r="J172" s="99" t="s">
        <v>714</v>
      </c>
      <c r="K172" s="99" t="s">
        <v>421</v>
      </c>
      <c r="L172" s="99" t="s">
        <v>715</v>
      </c>
      <c r="M172" s="105" t="str">
        <f t="shared" si="2"/>
        <v>View on Google Map</v>
      </c>
      <c r="N172" s="99">
        <f t="shared" si="3"/>
        <v>105</v>
      </c>
    </row>
    <row r="173" spans="1:14" x14ac:dyDescent="0.2">
      <c r="A173" s="99">
        <v>422</v>
      </c>
      <c r="B173" s="99" t="s">
        <v>728</v>
      </c>
      <c r="C173" s="99" t="s">
        <v>729</v>
      </c>
      <c r="D173" s="99">
        <v>68.482007853900001</v>
      </c>
      <c r="E173" s="99">
        <v>-149.57357543099999</v>
      </c>
      <c r="F173" s="99" t="s">
        <v>421</v>
      </c>
      <c r="G173" s="99" t="s">
        <v>432</v>
      </c>
      <c r="H173" s="99" t="s">
        <v>728</v>
      </c>
      <c r="I173" s="99" t="s">
        <v>421</v>
      </c>
      <c r="J173" s="99" t="s">
        <v>714</v>
      </c>
      <c r="K173" s="99" t="s">
        <v>421</v>
      </c>
      <c r="L173" s="99" t="s">
        <v>715</v>
      </c>
      <c r="M173" s="105" t="str">
        <f t="shared" si="2"/>
        <v>View on Google Map</v>
      </c>
      <c r="N173" s="99">
        <f t="shared" si="3"/>
        <v>106</v>
      </c>
    </row>
    <row r="174" spans="1:14" x14ac:dyDescent="0.2">
      <c r="A174" s="99">
        <v>423</v>
      </c>
      <c r="B174" s="99" t="s">
        <v>730</v>
      </c>
      <c r="C174" s="99" t="s">
        <v>731</v>
      </c>
      <c r="D174" s="99">
        <v>68.480117783099999</v>
      </c>
      <c r="E174" s="99">
        <v>-149.553733964</v>
      </c>
      <c r="F174" s="99" t="s">
        <v>421</v>
      </c>
      <c r="G174" s="99" t="s">
        <v>432</v>
      </c>
      <c r="H174" s="99" t="s">
        <v>730</v>
      </c>
      <c r="I174" s="99" t="s">
        <v>421</v>
      </c>
      <c r="J174" s="99" t="s">
        <v>714</v>
      </c>
      <c r="K174" s="99" t="s">
        <v>421</v>
      </c>
      <c r="L174" s="99" t="s">
        <v>715</v>
      </c>
      <c r="M174" s="105" t="str">
        <f t="shared" si="2"/>
        <v>View on Google Map</v>
      </c>
      <c r="N174" s="99">
        <f t="shared" si="3"/>
        <v>107</v>
      </c>
    </row>
    <row r="175" spans="1:14" x14ac:dyDescent="0.2">
      <c r="A175" s="99">
        <v>424</v>
      </c>
      <c r="B175" s="99" t="s">
        <v>732</v>
      </c>
      <c r="C175" s="99" t="s">
        <v>733</v>
      </c>
      <c r="D175" s="99">
        <v>68.553470657600002</v>
      </c>
      <c r="E175" s="99">
        <v>-149.16702515599999</v>
      </c>
      <c r="F175" s="99" t="s">
        <v>421</v>
      </c>
      <c r="G175" s="99" t="s">
        <v>432</v>
      </c>
      <c r="H175" s="99" t="s">
        <v>732</v>
      </c>
      <c r="I175" s="99" t="s">
        <v>421</v>
      </c>
      <c r="J175" s="99" t="s">
        <v>714</v>
      </c>
      <c r="K175" s="99" t="s">
        <v>421</v>
      </c>
      <c r="L175" s="99" t="s">
        <v>715</v>
      </c>
      <c r="M175" s="105" t="str">
        <f t="shared" si="2"/>
        <v>View on Google Map</v>
      </c>
      <c r="N175" s="99">
        <f t="shared" si="3"/>
        <v>108</v>
      </c>
    </row>
    <row r="176" spans="1:14" x14ac:dyDescent="0.2">
      <c r="A176" s="99">
        <v>425</v>
      </c>
      <c r="B176" s="99" t="s">
        <v>734</v>
      </c>
      <c r="C176" s="99" t="s">
        <v>735</v>
      </c>
      <c r="D176" s="99">
        <v>68.557082457700005</v>
      </c>
      <c r="E176" s="99">
        <v>-149.154445686</v>
      </c>
      <c r="F176" s="99" t="s">
        <v>421</v>
      </c>
      <c r="G176" s="99" t="s">
        <v>432</v>
      </c>
      <c r="H176" s="99" t="s">
        <v>734</v>
      </c>
      <c r="I176" s="99" t="s">
        <v>421</v>
      </c>
      <c r="J176" s="99" t="s">
        <v>714</v>
      </c>
      <c r="K176" s="99" t="s">
        <v>421</v>
      </c>
      <c r="L176" s="99" t="s">
        <v>715</v>
      </c>
      <c r="M176" s="105" t="str">
        <f t="shared" si="2"/>
        <v>View on Google Map</v>
      </c>
      <c r="N176" s="99">
        <f t="shared" si="3"/>
        <v>109</v>
      </c>
    </row>
    <row r="177" spans="1:14" x14ac:dyDescent="0.2">
      <c r="A177" s="99">
        <v>426</v>
      </c>
      <c r="B177" s="99" t="s">
        <v>736</v>
      </c>
      <c r="C177" s="99" t="s">
        <v>737</v>
      </c>
      <c r="D177" s="99">
        <v>68.732874005799999</v>
      </c>
      <c r="E177" s="99">
        <v>-149.401461627</v>
      </c>
      <c r="F177" s="99" t="s">
        <v>421</v>
      </c>
      <c r="G177" s="99" t="s">
        <v>432</v>
      </c>
      <c r="H177" s="99" t="s">
        <v>736</v>
      </c>
      <c r="I177" s="99" t="s">
        <v>421</v>
      </c>
      <c r="J177" s="99" t="s">
        <v>714</v>
      </c>
      <c r="K177" s="99" t="s">
        <v>421</v>
      </c>
      <c r="L177" s="99" t="s">
        <v>715</v>
      </c>
      <c r="M177" s="105" t="str">
        <f t="shared" si="2"/>
        <v>View on Google Map</v>
      </c>
      <c r="N177" s="99">
        <f t="shared" si="3"/>
        <v>110</v>
      </c>
    </row>
    <row r="178" spans="1:14" x14ac:dyDescent="0.2">
      <c r="A178" s="99">
        <v>427</v>
      </c>
      <c r="B178" s="99" t="s">
        <v>738</v>
      </c>
      <c r="C178" s="99" t="s">
        <v>739</v>
      </c>
      <c r="D178" s="99">
        <v>68.728437910899999</v>
      </c>
      <c r="E178" s="99">
        <v>-149.39298449200001</v>
      </c>
      <c r="F178" s="99" t="s">
        <v>421</v>
      </c>
      <c r="G178" s="99" t="s">
        <v>432</v>
      </c>
      <c r="H178" s="99" t="s">
        <v>738</v>
      </c>
      <c r="I178" s="99" t="s">
        <v>421</v>
      </c>
      <c r="J178" s="99" t="s">
        <v>714</v>
      </c>
      <c r="K178" s="99" t="s">
        <v>421</v>
      </c>
      <c r="L178" s="99" t="s">
        <v>715</v>
      </c>
      <c r="M178" s="105" t="str">
        <f t="shared" si="2"/>
        <v>View on Google Map</v>
      </c>
      <c r="N178" s="99">
        <f t="shared" si="3"/>
        <v>111</v>
      </c>
    </row>
    <row r="179" spans="1:14" x14ac:dyDescent="0.2">
      <c r="A179" s="99">
        <v>428</v>
      </c>
      <c r="B179" s="99" t="s">
        <v>740</v>
      </c>
      <c r="C179" s="99" t="s">
        <v>741</v>
      </c>
      <c r="D179" s="99">
        <v>68.671908805499996</v>
      </c>
      <c r="E179" s="99">
        <v>-149.24817348299999</v>
      </c>
      <c r="F179" s="99" t="s">
        <v>421</v>
      </c>
      <c r="G179" s="99" t="s">
        <v>432</v>
      </c>
      <c r="H179" s="99" t="s">
        <v>740</v>
      </c>
      <c r="I179" s="99" t="s">
        <v>421</v>
      </c>
      <c r="J179" s="99" t="s">
        <v>714</v>
      </c>
      <c r="K179" s="99" t="s">
        <v>421</v>
      </c>
      <c r="L179" s="99" t="s">
        <v>715</v>
      </c>
      <c r="M179" s="105" t="str">
        <f t="shared" si="2"/>
        <v>View on Google Map</v>
      </c>
      <c r="N179" s="99">
        <f t="shared" si="3"/>
        <v>112</v>
      </c>
    </row>
    <row r="180" spans="1:14" x14ac:dyDescent="0.2">
      <c r="A180" s="99">
        <v>429</v>
      </c>
      <c r="B180" s="99" t="s">
        <v>742</v>
      </c>
      <c r="C180" s="99" t="s">
        <v>743</v>
      </c>
      <c r="D180" s="99">
        <v>68.679427639400004</v>
      </c>
      <c r="E180" s="99">
        <v>-149.23947084900001</v>
      </c>
      <c r="F180" s="99" t="s">
        <v>421</v>
      </c>
      <c r="G180" s="99" t="s">
        <v>432</v>
      </c>
      <c r="H180" s="99" t="s">
        <v>742</v>
      </c>
      <c r="I180" s="99" t="s">
        <v>421</v>
      </c>
      <c r="J180" s="99" t="s">
        <v>714</v>
      </c>
      <c r="K180" s="99" t="s">
        <v>421</v>
      </c>
      <c r="L180" s="99" t="s">
        <v>715</v>
      </c>
      <c r="M180" s="105" t="str">
        <f t="shared" si="2"/>
        <v>View on Google Map</v>
      </c>
      <c r="N180" s="99">
        <f t="shared" si="3"/>
        <v>113</v>
      </c>
    </row>
    <row r="181" spans="1:14" x14ac:dyDescent="0.2">
      <c r="A181" s="99">
        <v>430</v>
      </c>
      <c r="B181" s="99" t="s">
        <v>744</v>
      </c>
      <c r="C181" s="99" t="s">
        <v>745</v>
      </c>
      <c r="D181" s="99">
        <v>68.679424428600001</v>
      </c>
      <c r="E181" s="99">
        <v>-149.22969695099999</v>
      </c>
      <c r="F181" s="99" t="s">
        <v>421</v>
      </c>
      <c r="G181" s="99" t="s">
        <v>432</v>
      </c>
      <c r="H181" s="99" t="s">
        <v>744</v>
      </c>
      <c r="I181" s="99" t="s">
        <v>421</v>
      </c>
      <c r="J181" s="99" t="s">
        <v>714</v>
      </c>
      <c r="K181" s="99" t="s">
        <v>421</v>
      </c>
      <c r="L181" s="99" t="s">
        <v>715</v>
      </c>
      <c r="M181" s="105" t="str">
        <f t="shared" si="2"/>
        <v>View on Google Map</v>
      </c>
      <c r="N181" s="99">
        <f t="shared" si="3"/>
        <v>114</v>
      </c>
    </row>
    <row r="182" spans="1:14" x14ac:dyDescent="0.2">
      <c r="A182" s="99">
        <v>398</v>
      </c>
      <c r="B182" s="99" t="s">
        <v>746</v>
      </c>
      <c r="C182" s="99" t="s">
        <v>747</v>
      </c>
      <c r="D182" s="99">
        <v>68.569791782099998</v>
      </c>
      <c r="E182" s="99">
        <v>-149.43938491</v>
      </c>
      <c r="F182" s="99" t="s">
        <v>421</v>
      </c>
      <c r="G182" s="99" t="s">
        <v>432</v>
      </c>
      <c r="H182" s="99" t="s">
        <v>746</v>
      </c>
      <c r="I182" s="99" t="s">
        <v>421</v>
      </c>
      <c r="J182" s="99" t="s">
        <v>714</v>
      </c>
      <c r="K182" s="99" t="s">
        <v>421</v>
      </c>
      <c r="L182" s="99" t="s">
        <v>715</v>
      </c>
      <c r="M182" s="105" t="str">
        <f t="shared" si="2"/>
        <v>View on Google Map</v>
      </c>
      <c r="N182" s="99">
        <f t="shared" si="3"/>
        <v>82</v>
      </c>
    </row>
    <row r="183" spans="1:14" x14ac:dyDescent="0.2">
      <c r="A183" s="99">
        <v>389</v>
      </c>
      <c r="B183" s="99" t="s">
        <v>748</v>
      </c>
      <c r="C183" s="99" t="s">
        <v>749</v>
      </c>
      <c r="D183" s="99">
        <v>68.568883214500005</v>
      </c>
      <c r="E183" s="99">
        <v>-149.432996798</v>
      </c>
      <c r="F183" s="99" t="s">
        <v>421</v>
      </c>
      <c r="G183" s="99" t="s">
        <v>432</v>
      </c>
      <c r="H183" s="99" t="s">
        <v>748</v>
      </c>
      <c r="I183" s="99" t="s">
        <v>421</v>
      </c>
      <c r="J183" s="99" t="s">
        <v>714</v>
      </c>
      <c r="K183" s="99" t="s">
        <v>421</v>
      </c>
      <c r="L183" s="99" t="s">
        <v>715</v>
      </c>
      <c r="M183" s="105" t="str">
        <f t="shared" si="2"/>
        <v>View on Google Map</v>
      </c>
      <c r="N183" s="99">
        <f t="shared" si="3"/>
        <v>83</v>
      </c>
    </row>
    <row r="184" spans="1:14" x14ac:dyDescent="0.2">
      <c r="A184" s="99">
        <v>390</v>
      </c>
      <c r="B184" s="99" t="s">
        <v>750</v>
      </c>
      <c r="C184" s="99" t="s">
        <v>751</v>
      </c>
      <c r="D184" s="99">
        <v>68.571446755099998</v>
      </c>
      <c r="E184" s="99">
        <v>-149.43614776499999</v>
      </c>
      <c r="F184" s="99" t="s">
        <v>421</v>
      </c>
      <c r="G184" s="99" t="s">
        <v>432</v>
      </c>
      <c r="H184" s="99" t="s">
        <v>750</v>
      </c>
      <c r="I184" s="99" t="s">
        <v>421</v>
      </c>
      <c r="J184" s="99" t="s">
        <v>714</v>
      </c>
      <c r="K184" s="99" t="s">
        <v>421</v>
      </c>
      <c r="L184" s="99" t="s">
        <v>715</v>
      </c>
      <c r="M184" s="105" t="str">
        <f t="shared" si="2"/>
        <v>View on Google Map</v>
      </c>
      <c r="N184" s="99">
        <f t="shared" si="3"/>
        <v>84</v>
      </c>
    </row>
    <row r="185" spans="1:14" x14ac:dyDescent="0.2">
      <c r="A185" s="99">
        <v>391</v>
      </c>
      <c r="B185" s="99" t="s">
        <v>752</v>
      </c>
      <c r="C185" s="99" t="s">
        <v>753</v>
      </c>
      <c r="D185" s="99">
        <v>68.600419015400007</v>
      </c>
      <c r="E185" s="99">
        <v>-149.438677388</v>
      </c>
      <c r="F185" s="99" t="s">
        <v>421</v>
      </c>
      <c r="G185" s="99" t="s">
        <v>432</v>
      </c>
      <c r="H185" s="99" t="s">
        <v>752</v>
      </c>
      <c r="I185" s="99" t="s">
        <v>421</v>
      </c>
      <c r="J185" s="99" t="s">
        <v>714</v>
      </c>
      <c r="K185" s="99" t="s">
        <v>421</v>
      </c>
      <c r="L185" s="99" t="s">
        <v>715</v>
      </c>
      <c r="M185" s="105" t="str">
        <f t="shared" si="2"/>
        <v>View on Google Map</v>
      </c>
      <c r="N185" s="99">
        <f t="shared" si="3"/>
        <v>85</v>
      </c>
    </row>
    <row r="186" spans="1:14" x14ac:dyDescent="0.2">
      <c r="A186" s="99">
        <v>392</v>
      </c>
      <c r="B186" s="99" t="s">
        <v>754</v>
      </c>
      <c r="C186" s="99" t="s">
        <v>755</v>
      </c>
      <c r="D186" s="99">
        <v>68.632424610200005</v>
      </c>
      <c r="E186" s="99">
        <v>-149.41874062799999</v>
      </c>
      <c r="F186" s="99" t="s">
        <v>421</v>
      </c>
      <c r="G186" s="99" t="s">
        <v>432</v>
      </c>
      <c r="H186" s="99" t="s">
        <v>754</v>
      </c>
      <c r="I186" s="99" t="s">
        <v>421</v>
      </c>
      <c r="J186" s="99" t="s">
        <v>714</v>
      </c>
      <c r="K186" s="99" t="s">
        <v>421</v>
      </c>
      <c r="L186" s="99" t="s">
        <v>715</v>
      </c>
      <c r="M186" s="105" t="str">
        <f t="shared" si="2"/>
        <v>View on Google Map</v>
      </c>
      <c r="N186" s="99">
        <f t="shared" si="3"/>
        <v>86</v>
      </c>
    </row>
    <row r="187" spans="1:14" x14ac:dyDescent="0.2">
      <c r="A187" s="99">
        <v>393</v>
      </c>
      <c r="B187" s="99" t="s">
        <v>756</v>
      </c>
      <c r="C187" s="99" t="s">
        <v>757</v>
      </c>
      <c r="D187" s="99">
        <v>68.505704965899994</v>
      </c>
      <c r="E187" s="99">
        <v>-149.516276081</v>
      </c>
      <c r="F187" s="99" t="s">
        <v>421</v>
      </c>
      <c r="G187" s="99" t="s">
        <v>432</v>
      </c>
      <c r="H187" s="99" t="s">
        <v>756</v>
      </c>
      <c r="I187" s="99" t="s">
        <v>421</v>
      </c>
      <c r="J187" s="99" t="s">
        <v>714</v>
      </c>
      <c r="K187" s="99" t="s">
        <v>421</v>
      </c>
      <c r="L187" s="99" t="s">
        <v>715</v>
      </c>
      <c r="M187" s="105" t="str">
        <f t="shared" si="2"/>
        <v>View on Google Map</v>
      </c>
      <c r="N187" s="99">
        <f t="shared" si="3"/>
        <v>87</v>
      </c>
    </row>
    <row r="188" spans="1:14" x14ac:dyDescent="0.2">
      <c r="A188" s="99">
        <v>394</v>
      </c>
      <c r="B188" s="99" t="s">
        <v>758</v>
      </c>
      <c r="C188" s="99" t="s">
        <v>759</v>
      </c>
      <c r="D188" s="99">
        <v>68.509234808599999</v>
      </c>
      <c r="E188" s="99">
        <v>-149.58917678500001</v>
      </c>
      <c r="F188" s="99" t="s">
        <v>421</v>
      </c>
      <c r="G188" s="99" t="s">
        <v>432</v>
      </c>
      <c r="H188" s="99" t="s">
        <v>758</v>
      </c>
      <c r="I188" s="99" t="s">
        <v>421</v>
      </c>
      <c r="J188" s="99" t="s">
        <v>714</v>
      </c>
      <c r="K188" s="99" t="s">
        <v>421</v>
      </c>
      <c r="L188" s="99" t="s">
        <v>715</v>
      </c>
      <c r="M188" s="105" t="str">
        <f t="shared" si="2"/>
        <v>View on Google Map</v>
      </c>
      <c r="N188" s="99">
        <f t="shared" si="3"/>
        <v>88</v>
      </c>
    </row>
    <row r="189" spans="1:14" x14ac:dyDescent="0.2">
      <c r="A189" s="99">
        <v>395</v>
      </c>
      <c r="B189" s="99" t="s">
        <v>760</v>
      </c>
      <c r="C189" s="99" t="s">
        <v>761</v>
      </c>
      <c r="D189" s="99">
        <v>68.525650531300002</v>
      </c>
      <c r="E189" s="99">
        <v>-149.54161982299999</v>
      </c>
      <c r="F189" s="99" t="s">
        <v>421</v>
      </c>
      <c r="G189" s="99" t="s">
        <v>432</v>
      </c>
      <c r="H189" s="99" t="s">
        <v>760</v>
      </c>
      <c r="I189" s="99" t="s">
        <v>421</v>
      </c>
      <c r="J189" s="99" t="s">
        <v>714</v>
      </c>
      <c r="K189" s="99" t="s">
        <v>421</v>
      </c>
      <c r="L189" s="99" t="s">
        <v>715</v>
      </c>
      <c r="M189" s="105" t="str">
        <f t="shared" si="2"/>
        <v>View on Google Map</v>
      </c>
      <c r="N189" s="99">
        <f t="shared" si="3"/>
        <v>89</v>
      </c>
    </row>
    <row r="190" spans="1:14" x14ac:dyDescent="0.2">
      <c r="A190" s="99">
        <v>396</v>
      </c>
      <c r="B190" s="99" t="s">
        <v>762</v>
      </c>
      <c r="C190" s="99" t="s">
        <v>763</v>
      </c>
      <c r="D190" s="99">
        <v>68.531020060399996</v>
      </c>
      <c r="E190" s="99">
        <v>-149.54062336999999</v>
      </c>
      <c r="F190" s="99" t="s">
        <v>421</v>
      </c>
      <c r="G190" s="99" t="s">
        <v>432</v>
      </c>
      <c r="H190" s="99" t="s">
        <v>762</v>
      </c>
      <c r="I190" s="99" t="s">
        <v>421</v>
      </c>
      <c r="J190" s="99" t="s">
        <v>714</v>
      </c>
      <c r="K190" s="99" t="s">
        <v>421</v>
      </c>
      <c r="L190" s="99" t="s">
        <v>715</v>
      </c>
      <c r="M190" s="105" t="str">
        <f t="shared" si="2"/>
        <v>View on Google Map</v>
      </c>
      <c r="N190" s="99">
        <f t="shared" si="3"/>
        <v>90</v>
      </c>
    </row>
    <row r="191" spans="1:14" x14ac:dyDescent="0.2">
      <c r="A191" s="99">
        <v>397</v>
      </c>
      <c r="B191" s="99" t="s">
        <v>764</v>
      </c>
      <c r="C191" s="99" t="s">
        <v>765</v>
      </c>
      <c r="D191" s="99">
        <v>68.623892844400004</v>
      </c>
      <c r="E191" s="99">
        <v>-149.46955988600001</v>
      </c>
      <c r="F191" s="99" t="s">
        <v>421</v>
      </c>
      <c r="G191" s="99" t="s">
        <v>432</v>
      </c>
      <c r="H191" s="99" t="s">
        <v>764</v>
      </c>
      <c r="I191" s="99" t="s">
        <v>421</v>
      </c>
      <c r="J191" s="99" t="s">
        <v>714</v>
      </c>
      <c r="K191" s="99" t="s">
        <v>421</v>
      </c>
      <c r="L191" s="99" t="s">
        <v>715</v>
      </c>
      <c r="M191" s="105" t="str">
        <f t="shared" si="2"/>
        <v>View on Google Map</v>
      </c>
      <c r="N191" s="99">
        <f t="shared" si="3"/>
        <v>91</v>
      </c>
    </row>
    <row r="192" spans="1:14" x14ac:dyDescent="0.2">
      <c r="A192" s="99">
        <v>408</v>
      </c>
      <c r="B192" s="99" t="s">
        <v>766</v>
      </c>
      <c r="C192" s="99" t="s">
        <v>767</v>
      </c>
      <c r="D192" s="99">
        <v>68.606945965400001</v>
      </c>
      <c r="E192" s="99">
        <v>-149.195806014</v>
      </c>
      <c r="F192" s="99" t="s">
        <v>421</v>
      </c>
      <c r="G192" s="99" t="s">
        <v>432</v>
      </c>
      <c r="H192" s="99" t="s">
        <v>766</v>
      </c>
      <c r="I192" s="99" t="s">
        <v>421</v>
      </c>
      <c r="J192" s="99" t="s">
        <v>714</v>
      </c>
      <c r="K192" s="99" t="s">
        <v>421</v>
      </c>
      <c r="L192" s="99" t="s">
        <v>715</v>
      </c>
      <c r="M192" s="105" t="str">
        <f t="shared" si="2"/>
        <v>View on Google Map</v>
      </c>
      <c r="N192" s="99">
        <f t="shared" si="3"/>
        <v>92</v>
      </c>
    </row>
    <row r="193" spans="1:14" x14ac:dyDescent="0.2">
      <c r="A193" s="99">
        <v>409</v>
      </c>
      <c r="B193" s="99" t="s">
        <v>768</v>
      </c>
      <c r="C193" s="99" t="s">
        <v>769</v>
      </c>
      <c r="D193" s="99">
        <v>68.613688053999994</v>
      </c>
      <c r="E193" s="99">
        <v>-149.20287565500001</v>
      </c>
      <c r="F193" s="99" t="s">
        <v>421</v>
      </c>
      <c r="G193" s="99" t="s">
        <v>432</v>
      </c>
      <c r="H193" s="99" t="s">
        <v>768</v>
      </c>
      <c r="I193" s="99" t="s">
        <v>421</v>
      </c>
      <c r="J193" s="99" t="s">
        <v>714</v>
      </c>
      <c r="K193" s="99" t="s">
        <v>421</v>
      </c>
      <c r="L193" s="99" t="s">
        <v>715</v>
      </c>
      <c r="M193" s="105" t="str">
        <f t="shared" si="2"/>
        <v>View on Google Map</v>
      </c>
      <c r="N193" s="99">
        <f t="shared" si="3"/>
        <v>93</v>
      </c>
    </row>
    <row r="194" spans="1:14" x14ac:dyDescent="0.2">
      <c r="A194" s="99">
        <v>410</v>
      </c>
      <c r="B194" s="99" t="s">
        <v>770</v>
      </c>
      <c r="C194" s="99" t="s">
        <v>771</v>
      </c>
      <c r="D194" s="99">
        <v>68.617322837200007</v>
      </c>
      <c r="E194" s="99">
        <v>-149.21640989900001</v>
      </c>
      <c r="F194" s="99" t="s">
        <v>421</v>
      </c>
      <c r="G194" s="99" t="s">
        <v>432</v>
      </c>
      <c r="H194" s="99" t="s">
        <v>770</v>
      </c>
      <c r="I194" s="99" t="s">
        <v>421</v>
      </c>
      <c r="J194" s="99" t="s">
        <v>714</v>
      </c>
      <c r="K194" s="99" t="s">
        <v>421</v>
      </c>
      <c r="L194" s="99" t="s">
        <v>715</v>
      </c>
      <c r="M194" s="105" t="str">
        <f t="shared" si="2"/>
        <v>View on Google Map</v>
      </c>
      <c r="N194" s="99">
        <f t="shared" si="3"/>
        <v>94</v>
      </c>
    </row>
    <row r="195" spans="1:14" x14ac:dyDescent="0.2">
      <c r="A195" s="99">
        <v>411</v>
      </c>
      <c r="B195" s="99" t="s">
        <v>772</v>
      </c>
      <c r="C195" s="99" t="s">
        <v>773</v>
      </c>
      <c r="D195" s="99">
        <v>68.613551663999999</v>
      </c>
      <c r="E195" s="99">
        <v>-149.21844056</v>
      </c>
      <c r="F195" s="99" t="s">
        <v>421</v>
      </c>
      <c r="G195" s="99" t="s">
        <v>432</v>
      </c>
      <c r="H195" s="99" t="s">
        <v>772</v>
      </c>
      <c r="I195" s="99" t="s">
        <v>421</v>
      </c>
      <c r="J195" s="99" t="s">
        <v>714</v>
      </c>
      <c r="K195" s="99" t="s">
        <v>421</v>
      </c>
      <c r="L195" s="99" t="s">
        <v>715</v>
      </c>
      <c r="M195" s="105" t="str">
        <f t="shared" ref="M195:M258" si="4">HYPERLINK("http://maps.google.com/maps?q="&amp;D195&amp;","&amp;E195,"View on Google Map")</f>
        <v>View on Google Map</v>
      </c>
      <c r="N195" s="99">
        <f t="shared" si="3"/>
        <v>95</v>
      </c>
    </row>
    <row r="196" spans="1:14" x14ac:dyDescent="0.2">
      <c r="A196" s="99">
        <v>412</v>
      </c>
      <c r="B196" s="99" t="s">
        <v>774</v>
      </c>
      <c r="C196" s="99" t="s">
        <v>775</v>
      </c>
      <c r="D196" s="99">
        <v>68.609572079800003</v>
      </c>
      <c r="E196" s="99">
        <v>-149.20865205600001</v>
      </c>
      <c r="F196" s="99" t="s">
        <v>421</v>
      </c>
      <c r="G196" s="99" t="s">
        <v>432</v>
      </c>
      <c r="H196" s="99" t="s">
        <v>774</v>
      </c>
      <c r="I196" s="99" t="s">
        <v>421</v>
      </c>
      <c r="J196" s="99" t="s">
        <v>714</v>
      </c>
      <c r="K196" s="99" t="s">
        <v>421</v>
      </c>
      <c r="L196" s="99" t="s">
        <v>715</v>
      </c>
      <c r="M196" s="105" t="str">
        <f t="shared" si="4"/>
        <v>View on Google Map</v>
      </c>
      <c r="N196" s="99">
        <f t="shared" si="3"/>
        <v>96</v>
      </c>
    </row>
    <row r="197" spans="1:14" x14ac:dyDescent="0.2">
      <c r="A197" s="99">
        <v>413</v>
      </c>
      <c r="B197" s="99" t="s">
        <v>776</v>
      </c>
      <c r="C197" s="99" t="s">
        <v>777</v>
      </c>
      <c r="D197" s="99">
        <v>68.607097540200002</v>
      </c>
      <c r="E197" s="99">
        <v>-149.21482030499999</v>
      </c>
      <c r="F197" s="99" t="s">
        <v>421</v>
      </c>
      <c r="G197" s="99" t="s">
        <v>432</v>
      </c>
      <c r="H197" s="99" t="s">
        <v>776</v>
      </c>
      <c r="I197" s="99" t="s">
        <v>421</v>
      </c>
      <c r="J197" s="99" t="s">
        <v>714</v>
      </c>
      <c r="K197" s="99" t="s">
        <v>421</v>
      </c>
      <c r="L197" s="99" t="s">
        <v>715</v>
      </c>
      <c r="M197" s="105" t="str">
        <f t="shared" si="4"/>
        <v>View on Google Map</v>
      </c>
      <c r="N197" s="99">
        <f t="shared" si="3"/>
        <v>97</v>
      </c>
    </row>
    <row r="198" spans="1:14" x14ac:dyDescent="0.2">
      <c r="A198" s="99">
        <v>414</v>
      </c>
      <c r="B198" s="99" t="s">
        <v>778</v>
      </c>
      <c r="C198" s="99" t="s">
        <v>779</v>
      </c>
      <c r="D198" s="99">
        <v>68.605198711400007</v>
      </c>
      <c r="E198" s="99">
        <v>-149.27215046800001</v>
      </c>
      <c r="F198" s="99" t="s">
        <v>421</v>
      </c>
      <c r="G198" s="99" t="s">
        <v>432</v>
      </c>
      <c r="H198" s="99" t="s">
        <v>778</v>
      </c>
      <c r="I198" s="99" t="s">
        <v>421</v>
      </c>
      <c r="J198" s="99" t="s">
        <v>714</v>
      </c>
      <c r="K198" s="99" t="s">
        <v>421</v>
      </c>
      <c r="L198" s="99" t="s">
        <v>715</v>
      </c>
      <c r="M198" s="105" t="str">
        <f t="shared" si="4"/>
        <v>View on Google Map</v>
      </c>
      <c r="N198" s="99">
        <f t="shared" si="3"/>
        <v>98</v>
      </c>
    </row>
    <row r="199" spans="1:14" x14ac:dyDescent="0.2">
      <c r="A199" s="99">
        <v>415</v>
      </c>
      <c r="B199" s="99" t="s">
        <v>780</v>
      </c>
      <c r="C199" s="99" t="s">
        <v>781</v>
      </c>
      <c r="D199" s="99">
        <v>68.498375922400001</v>
      </c>
      <c r="E199" s="99">
        <v>-149.59842284699999</v>
      </c>
      <c r="F199" s="99">
        <v>947</v>
      </c>
      <c r="G199" s="99" t="s">
        <v>432</v>
      </c>
      <c r="H199" s="99" t="s">
        <v>782</v>
      </c>
      <c r="I199" s="99" t="s">
        <v>421</v>
      </c>
      <c r="J199" s="99" t="s">
        <v>714</v>
      </c>
      <c r="K199" s="99" t="s">
        <v>421</v>
      </c>
      <c r="L199" s="99" t="s">
        <v>715</v>
      </c>
      <c r="M199" s="105" t="str">
        <f t="shared" si="4"/>
        <v>View on Google Map</v>
      </c>
      <c r="N199" s="99">
        <f>VALUE(MID(B199,5,3))</f>
        <v>99</v>
      </c>
    </row>
    <row r="200" spans="1:14" x14ac:dyDescent="0.2">
      <c r="A200" s="99">
        <v>402</v>
      </c>
      <c r="B200" s="99" t="s">
        <v>783</v>
      </c>
      <c r="C200" s="99" t="s">
        <v>421</v>
      </c>
      <c r="D200" s="99" t="s">
        <v>421</v>
      </c>
      <c r="E200" s="99" t="s">
        <v>421</v>
      </c>
      <c r="F200" s="99" t="s">
        <v>421</v>
      </c>
      <c r="G200" s="99" t="s">
        <v>432</v>
      </c>
      <c r="H200" s="99" t="s">
        <v>421</v>
      </c>
      <c r="I200" s="99" t="s">
        <v>421</v>
      </c>
      <c r="J200" s="99" t="s">
        <v>447</v>
      </c>
      <c r="K200" s="99" t="s">
        <v>421</v>
      </c>
      <c r="L200" s="99" t="s">
        <v>601</v>
      </c>
      <c r="M200" s="105" t="str">
        <f t="shared" si="4"/>
        <v>View on Google Map</v>
      </c>
    </row>
    <row r="201" spans="1:14" x14ac:dyDescent="0.2">
      <c r="A201" s="99">
        <v>8</v>
      </c>
      <c r="B201" s="99" t="s">
        <v>784</v>
      </c>
      <c r="C201" s="99" t="s">
        <v>445</v>
      </c>
      <c r="D201" s="99">
        <v>69.150000000000006</v>
      </c>
      <c r="E201" s="99">
        <v>-148.83333333333334</v>
      </c>
      <c r="F201" s="99">
        <v>290</v>
      </c>
      <c r="G201" s="99" t="s">
        <v>446</v>
      </c>
      <c r="H201" s="99" t="s">
        <v>421</v>
      </c>
      <c r="I201" s="99" t="s">
        <v>421</v>
      </c>
      <c r="J201" s="99" t="s">
        <v>447</v>
      </c>
      <c r="K201" s="99" t="s">
        <v>421</v>
      </c>
      <c r="L201" s="99" t="s">
        <v>448</v>
      </c>
      <c r="M201" s="105" t="str">
        <f t="shared" si="4"/>
        <v>View on Google Map</v>
      </c>
    </row>
    <row r="202" spans="1:14" x14ac:dyDescent="0.2">
      <c r="A202" s="99">
        <v>219</v>
      </c>
      <c r="B202" s="99" t="s">
        <v>785</v>
      </c>
      <c r="C202" s="99" t="s">
        <v>421</v>
      </c>
      <c r="D202" s="99">
        <v>69.8</v>
      </c>
      <c r="E202" s="99">
        <v>-151.83333333333334</v>
      </c>
      <c r="F202" s="99">
        <v>60.365853658536601</v>
      </c>
      <c r="G202" s="99" t="s">
        <v>432</v>
      </c>
      <c r="H202" s="99" t="s">
        <v>786</v>
      </c>
      <c r="I202" s="99" t="s">
        <v>421</v>
      </c>
      <c r="J202" s="99" t="s">
        <v>447</v>
      </c>
      <c r="K202" s="99" t="s">
        <v>421</v>
      </c>
      <c r="L202" s="99" t="s">
        <v>787</v>
      </c>
      <c r="M202" s="105" t="str">
        <f t="shared" si="4"/>
        <v>View on Google Map</v>
      </c>
    </row>
    <row r="203" spans="1:14" x14ac:dyDescent="0.2">
      <c r="A203" s="99">
        <v>220</v>
      </c>
      <c r="B203" s="99" t="s">
        <v>788</v>
      </c>
      <c r="C203" s="99" t="s">
        <v>421</v>
      </c>
      <c r="D203" s="99">
        <v>69.75</v>
      </c>
      <c r="E203" s="99">
        <v>-151.5</v>
      </c>
      <c r="F203" s="99">
        <v>60.365853658536587</v>
      </c>
      <c r="G203" s="99" t="s">
        <v>432</v>
      </c>
      <c r="H203" s="99" t="s">
        <v>789</v>
      </c>
      <c r="I203" s="99" t="s">
        <v>421</v>
      </c>
      <c r="J203" s="99" t="s">
        <v>447</v>
      </c>
      <c r="K203" s="99" t="s">
        <v>421</v>
      </c>
      <c r="L203" s="99" t="s">
        <v>787</v>
      </c>
      <c r="M203" s="105" t="str">
        <f t="shared" si="4"/>
        <v>View on Google Map</v>
      </c>
    </row>
    <row r="204" spans="1:14" x14ac:dyDescent="0.2">
      <c r="A204" s="99">
        <v>221</v>
      </c>
      <c r="B204" s="99" t="s">
        <v>790</v>
      </c>
      <c r="C204" s="99" t="s">
        <v>421</v>
      </c>
      <c r="D204" s="99">
        <v>69.75</v>
      </c>
      <c r="E204" s="99">
        <v>-151.5</v>
      </c>
      <c r="F204" s="99">
        <v>30.487804878048781</v>
      </c>
      <c r="G204" s="99" t="s">
        <v>432</v>
      </c>
      <c r="H204" s="99" t="s">
        <v>791</v>
      </c>
      <c r="I204" s="99" t="s">
        <v>421</v>
      </c>
      <c r="J204" s="99" t="s">
        <v>447</v>
      </c>
      <c r="K204" s="99" t="s">
        <v>421</v>
      </c>
      <c r="L204" s="99" t="s">
        <v>787</v>
      </c>
      <c r="M204" s="105" t="str">
        <f t="shared" si="4"/>
        <v>View on Google Map</v>
      </c>
    </row>
    <row r="205" spans="1:14" x14ac:dyDescent="0.2">
      <c r="A205" s="99">
        <v>222</v>
      </c>
      <c r="B205" s="99" t="s">
        <v>792</v>
      </c>
      <c r="C205" s="99" t="s">
        <v>421</v>
      </c>
      <c r="D205" s="99">
        <v>69.7</v>
      </c>
      <c r="E205" s="99">
        <v>-151.16666666666666</v>
      </c>
      <c r="F205" s="99">
        <v>42.682926829268297</v>
      </c>
      <c r="G205" s="99" t="s">
        <v>432</v>
      </c>
      <c r="H205" s="99" t="s">
        <v>793</v>
      </c>
      <c r="I205" s="99" t="s">
        <v>421</v>
      </c>
      <c r="J205" s="99" t="s">
        <v>447</v>
      </c>
      <c r="K205" s="99" t="s">
        <v>421</v>
      </c>
      <c r="L205" s="99" t="s">
        <v>787</v>
      </c>
      <c r="M205" s="105" t="str">
        <f t="shared" si="4"/>
        <v>View on Google Map</v>
      </c>
    </row>
    <row r="206" spans="1:14" x14ac:dyDescent="0.2">
      <c r="A206" s="99">
        <v>223</v>
      </c>
      <c r="B206" s="99" t="s">
        <v>794</v>
      </c>
      <c r="C206" s="99" t="s">
        <v>421</v>
      </c>
      <c r="D206" s="99">
        <v>69.7</v>
      </c>
      <c r="E206" s="99">
        <v>-151.16666666666666</v>
      </c>
      <c r="F206" s="99">
        <v>42.682926829268297</v>
      </c>
      <c r="G206" s="99" t="s">
        <v>432</v>
      </c>
      <c r="H206" s="99" t="s">
        <v>795</v>
      </c>
      <c r="I206" s="99" t="s">
        <v>421</v>
      </c>
      <c r="J206" s="99" t="s">
        <v>447</v>
      </c>
      <c r="K206" s="99" t="s">
        <v>421</v>
      </c>
      <c r="L206" s="99" t="s">
        <v>787</v>
      </c>
      <c r="M206" s="105" t="str">
        <f t="shared" si="4"/>
        <v>View on Google Map</v>
      </c>
    </row>
    <row r="207" spans="1:14" x14ac:dyDescent="0.2">
      <c r="A207" s="99">
        <v>224</v>
      </c>
      <c r="B207" s="99" t="s">
        <v>796</v>
      </c>
      <c r="C207" s="99" t="s">
        <v>421</v>
      </c>
      <c r="D207" s="99">
        <v>69.516666666666666</v>
      </c>
      <c r="E207" s="99">
        <v>-150.86666666666667</v>
      </c>
      <c r="F207" s="99">
        <v>60.975609756097562</v>
      </c>
      <c r="G207" s="99" t="s">
        <v>432</v>
      </c>
      <c r="H207" s="99" t="s">
        <v>797</v>
      </c>
      <c r="I207" s="99" t="s">
        <v>421</v>
      </c>
      <c r="J207" s="99" t="s">
        <v>447</v>
      </c>
      <c r="K207" s="99" t="s">
        <v>421</v>
      </c>
      <c r="L207" s="99" t="s">
        <v>787</v>
      </c>
      <c r="M207" s="105" t="str">
        <f t="shared" si="4"/>
        <v>View on Google Map</v>
      </c>
    </row>
    <row r="208" spans="1:14" x14ac:dyDescent="0.2">
      <c r="A208" s="99">
        <v>225</v>
      </c>
      <c r="B208" s="99" t="s">
        <v>798</v>
      </c>
      <c r="C208" s="99" t="s">
        <v>421</v>
      </c>
      <c r="D208" s="99">
        <v>69.516666666666666</v>
      </c>
      <c r="E208" s="99">
        <v>-150.86666666666667</v>
      </c>
      <c r="F208" s="99">
        <v>60.975609756097562</v>
      </c>
      <c r="G208" s="99" t="s">
        <v>432</v>
      </c>
      <c r="H208" s="99" t="s">
        <v>799</v>
      </c>
      <c r="I208" s="99" t="s">
        <v>421</v>
      </c>
      <c r="J208" s="99" t="s">
        <v>447</v>
      </c>
      <c r="K208" s="99" t="s">
        <v>421</v>
      </c>
      <c r="L208" s="99" t="s">
        <v>787</v>
      </c>
      <c r="M208" s="105" t="str">
        <f t="shared" si="4"/>
        <v>View on Google Map</v>
      </c>
    </row>
    <row r="209" spans="1:13" x14ac:dyDescent="0.2">
      <c r="A209" s="99">
        <v>226</v>
      </c>
      <c r="B209" s="99" t="s">
        <v>800</v>
      </c>
      <c r="C209" s="99" t="s">
        <v>421</v>
      </c>
      <c r="D209" s="99">
        <v>69.25</v>
      </c>
      <c r="E209" s="99">
        <v>-150.43333333333334</v>
      </c>
      <c r="F209" s="99">
        <v>182.92682926829269</v>
      </c>
      <c r="G209" s="99" t="s">
        <v>432</v>
      </c>
      <c r="H209" s="99" t="s">
        <v>801</v>
      </c>
      <c r="I209" s="99" t="s">
        <v>421</v>
      </c>
      <c r="J209" s="99" t="s">
        <v>447</v>
      </c>
      <c r="K209" s="99" t="s">
        <v>421</v>
      </c>
      <c r="L209" s="99" t="s">
        <v>787</v>
      </c>
      <c r="M209" s="105" t="str">
        <f t="shared" si="4"/>
        <v>View on Google Map</v>
      </c>
    </row>
    <row r="210" spans="1:13" x14ac:dyDescent="0.2">
      <c r="A210" s="99">
        <v>227</v>
      </c>
      <c r="B210" s="99" t="s">
        <v>802</v>
      </c>
      <c r="C210" s="99" t="s">
        <v>421</v>
      </c>
      <c r="D210" s="99">
        <v>69.25</v>
      </c>
      <c r="E210" s="99">
        <v>-150.43333333333334</v>
      </c>
      <c r="F210" s="99">
        <v>182.92682926829269</v>
      </c>
      <c r="G210" s="99" t="s">
        <v>432</v>
      </c>
      <c r="H210" s="99" t="s">
        <v>803</v>
      </c>
      <c r="I210" s="99" t="s">
        <v>421</v>
      </c>
      <c r="J210" s="99" t="s">
        <v>447</v>
      </c>
      <c r="K210" s="99" t="s">
        <v>421</v>
      </c>
      <c r="L210" s="99" t="s">
        <v>787</v>
      </c>
      <c r="M210" s="105" t="str">
        <f t="shared" si="4"/>
        <v>View on Google Map</v>
      </c>
    </row>
    <row r="211" spans="1:13" x14ac:dyDescent="0.2">
      <c r="A211" s="99">
        <v>228</v>
      </c>
      <c r="B211" s="99" t="s">
        <v>804</v>
      </c>
      <c r="C211" s="99" t="s">
        <v>421</v>
      </c>
      <c r="D211" s="99">
        <v>69.25</v>
      </c>
      <c r="E211" s="99">
        <v>-151.16666666666666</v>
      </c>
      <c r="F211" s="99">
        <v>182.92682926829269</v>
      </c>
      <c r="G211" s="99" t="s">
        <v>432</v>
      </c>
      <c r="H211" s="99" t="s">
        <v>805</v>
      </c>
      <c r="I211" s="99" t="s">
        <v>421</v>
      </c>
      <c r="J211" s="99" t="s">
        <v>447</v>
      </c>
      <c r="K211" s="99" t="s">
        <v>421</v>
      </c>
      <c r="L211" s="99" t="s">
        <v>787</v>
      </c>
      <c r="M211" s="105" t="str">
        <f t="shared" si="4"/>
        <v>View on Google Map</v>
      </c>
    </row>
    <row r="212" spans="1:13" x14ac:dyDescent="0.2">
      <c r="A212" s="99">
        <v>229</v>
      </c>
      <c r="B212" s="99" t="s">
        <v>806</v>
      </c>
      <c r="C212" s="99" t="s">
        <v>421</v>
      </c>
      <c r="D212" s="99">
        <v>69.233333333333334</v>
      </c>
      <c r="E212" s="99">
        <v>-151.63333333333333</v>
      </c>
      <c r="F212" s="99">
        <v>178.35365853658539</v>
      </c>
      <c r="G212" s="99" t="s">
        <v>432</v>
      </c>
      <c r="H212" s="99" t="s">
        <v>807</v>
      </c>
      <c r="I212" s="99" t="s">
        <v>421</v>
      </c>
      <c r="J212" s="99" t="s">
        <v>447</v>
      </c>
      <c r="K212" s="99" t="s">
        <v>421</v>
      </c>
      <c r="L212" s="99" t="s">
        <v>787</v>
      </c>
      <c r="M212" s="105" t="str">
        <f t="shared" si="4"/>
        <v>View on Google Map</v>
      </c>
    </row>
    <row r="213" spans="1:13" x14ac:dyDescent="0.2">
      <c r="A213" s="99">
        <v>230</v>
      </c>
      <c r="B213" s="99" t="s">
        <v>808</v>
      </c>
      <c r="C213" s="99" t="s">
        <v>421</v>
      </c>
      <c r="D213" s="99">
        <v>68.900000000000006</v>
      </c>
      <c r="E213" s="99">
        <v>-151.28333333333333</v>
      </c>
      <c r="F213" s="99">
        <v>335.36585365853659</v>
      </c>
      <c r="G213" s="99" t="s">
        <v>432</v>
      </c>
      <c r="H213" s="99" t="s">
        <v>809</v>
      </c>
      <c r="I213" s="99" t="s">
        <v>421</v>
      </c>
      <c r="J213" s="99" t="s">
        <v>447</v>
      </c>
      <c r="K213" s="99" t="s">
        <v>421</v>
      </c>
      <c r="L213" s="99" t="s">
        <v>787</v>
      </c>
      <c r="M213" s="105" t="str">
        <f t="shared" si="4"/>
        <v>View on Google Map</v>
      </c>
    </row>
    <row r="214" spans="1:13" x14ac:dyDescent="0.2">
      <c r="A214" s="99">
        <v>231</v>
      </c>
      <c r="B214" s="99" t="s">
        <v>810</v>
      </c>
      <c r="C214" s="99" t="s">
        <v>421</v>
      </c>
      <c r="D214" s="99">
        <v>68.8</v>
      </c>
      <c r="E214" s="99">
        <v>-150.80000000000001</v>
      </c>
      <c r="F214" s="99">
        <v>411.58536585365857</v>
      </c>
      <c r="G214" s="99" t="s">
        <v>432</v>
      </c>
      <c r="H214" s="99" t="s">
        <v>811</v>
      </c>
      <c r="I214" s="99" t="s">
        <v>421</v>
      </c>
      <c r="J214" s="99" t="s">
        <v>447</v>
      </c>
      <c r="K214" s="99" t="s">
        <v>421</v>
      </c>
      <c r="L214" s="99" t="s">
        <v>787</v>
      </c>
      <c r="M214" s="105" t="str">
        <f t="shared" si="4"/>
        <v>View on Google Map</v>
      </c>
    </row>
    <row r="215" spans="1:13" x14ac:dyDescent="0.2">
      <c r="A215" s="99">
        <v>237</v>
      </c>
      <c r="B215" s="99" t="s">
        <v>812</v>
      </c>
      <c r="C215" s="99" t="s">
        <v>421</v>
      </c>
      <c r="D215" s="99">
        <v>68.783333333333331</v>
      </c>
      <c r="E215" s="99" t="s">
        <v>421</v>
      </c>
      <c r="F215" s="99">
        <v>681.40243902439033</v>
      </c>
      <c r="G215" s="99" t="s">
        <v>432</v>
      </c>
      <c r="H215" s="99" t="s">
        <v>813</v>
      </c>
      <c r="I215" s="99" t="s">
        <v>814</v>
      </c>
      <c r="J215" s="99" t="s">
        <v>447</v>
      </c>
      <c r="K215" s="99" t="s">
        <v>421</v>
      </c>
      <c r="L215" s="99" t="s">
        <v>787</v>
      </c>
      <c r="M215" s="105" t="str">
        <f t="shared" si="4"/>
        <v>View on Google Map</v>
      </c>
    </row>
    <row r="216" spans="1:13" x14ac:dyDescent="0.2">
      <c r="A216" s="99">
        <v>238</v>
      </c>
      <c r="B216" s="99" t="s">
        <v>815</v>
      </c>
      <c r="C216" s="99" t="s">
        <v>421</v>
      </c>
      <c r="D216" s="99">
        <v>68.783333333333331</v>
      </c>
      <c r="E216" s="99" t="s">
        <v>421</v>
      </c>
      <c r="F216" s="99">
        <v>681.40243902439033</v>
      </c>
      <c r="G216" s="99" t="s">
        <v>432</v>
      </c>
      <c r="H216" s="99" t="s">
        <v>816</v>
      </c>
      <c r="I216" s="99" t="s">
        <v>814</v>
      </c>
      <c r="J216" s="99" t="s">
        <v>447</v>
      </c>
      <c r="K216" s="99" t="s">
        <v>421</v>
      </c>
      <c r="L216" s="99" t="s">
        <v>787</v>
      </c>
      <c r="M216" s="105" t="str">
        <f t="shared" si="4"/>
        <v>View on Google Map</v>
      </c>
    </row>
    <row r="217" spans="1:13" x14ac:dyDescent="0.2">
      <c r="A217" s="99">
        <v>10</v>
      </c>
      <c r="B217" s="99" t="s">
        <v>817</v>
      </c>
      <c r="C217" s="99" t="s">
        <v>818</v>
      </c>
      <c r="D217" s="99">
        <v>68.644702925000004</v>
      </c>
      <c r="E217" s="99">
        <v>-149.41200613611099</v>
      </c>
      <c r="F217" s="99">
        <v>751.33799999999997</v>
      </c>
      <c r="G217" s="99" t="s">
        <v>446</v>
      </c>
      <c r="H217" s="99" t="s">
        <v>421</v>
      </c>
      <c r="I217" s="99" t="s">
        <v>421</v>
      </c>
      <c r="J217" s="99" t="s">
        <v>447</v>
      </c>
      <c r="K217" s="99" t="s">
        <v>421</v>
      </c>
      <c r="L217" s="99" t="s">
        <v>421</v>
      </c>
      <c r="M217" s="105" t="str">
        <f t="shared" si="4"/>
        <v>View on Google Map</v>
      </c>
    </row>
    <row r="218" spans="1:13" x14ac:dyDescent="0.2">
      <c r="A218" s="99">
        <v>486</v>
      </c>
      <c r="B218" s="99" t="s">
        <v>819</v>
      </c>
      <c r="C218" s="99" t="s">
        <v>421</v>
      </c>
      <c r="D218" s="99">
        <v>68.958333332999999</v>
      </c>
      <c r="E218" s="99">
        <v>-150.302016667</v>
      </c>
      <c r="F218" s="99">
        <v>382</v>
      </c>
      <c r="G218" s="99" t="s">
        <v>432</v>
      </c>
      <c r="H218" s="99" t="s">
        <v>421</v>
      </c>
      <c r="I218" s="99" t="s">
        <v>421</v>
      </c>
      <c r="J218" s="99" t="s">
        <v>482</v>
      </c>
      <c r="K218" s="99" t="s">
        <v>421</v>
      </c>
      <c r="L218" s="99" t="s">
        <v>429</v>
      </c>
      <c r="M218" s="105" t="str">
        <f t="shared" si="4"/>
        <v>View on Google Map</v>
      </c>
    </row>
    <row r="219" spans="1:13" x14ac:dyDescent="0.2">
      <c r="A219" s="99">
        <v>388</v>
      </c>
      <c r="B219" s="99" t="s">
        <v>820</v>
      </c>
      <c r="C219" s="99" t="s">
        <v>421</v>
      </c>
      <c r="D219" s="99">
        <v>68.556340000000006</v>
      </c>
      <c r="E219" s="99">
        <v>-149.56628000000001</v>
      </c>
      <c r="F219" s="99">
        <v>801</v>
      </c>
      <c r="G219" s="99" t="s">
        <v>432</v>
      </c>
      <c r="H219" s="99" t="s">
        <v>421</v>
      </c>
      <c r="I219" s="99" t="s">
        <v>421</v>
      </c>
      <c r="J219" s="99" t="s">
        <v>447</v>
      </c>
      <c r="K219" s="99" t="s">
        <v>421</v>
      </c>
      <c r="L219" s="99" t="s">
        <v>821</v>
      </c>
      <c r="M219" s="105" t="str">
        <f t="shared" si="4"/>
        <v>View on Google Map</v>
      </c>
    </row>
    <row r="220" spans="1:13" x14ac:dyDescent="0.2">
      <c r="A220" s="99">
        <v>450</v>
      </c>
      <c r="B220" s="99" t="s">
        <v>822</v>
      </c>
      <c r="C220" s="99" t="s">
        <v>421</v>
      </c>
      <c r="D220" s="99">
        <v>68.553610000000006</v>
      </c>
      <c r="E220" s="99">
        <v>-149.53397000000001</v>
      </c>
      <c r="F220" s="99">
        <v>820</v>
      </c>
      <c r="G220" s="99" t="s">
        <v>432</v>
      </c>
      <c r="H220" s="99" t="s">
        <v>823</v>
      </c>
      <c r="I220" s="99" t="s">
        <v>421</v>
      </c>
      <c r="J220" s="99" t="s">
        <v>433</v>
      </c>
      <c r="K220" s="99" t="s">
        <v>421</v>
      </c>
      <c r="L220" s="99" t="s">
        <v>421</v>
      </c>
      <c r="M220" s="105" t="str">
        <f t="shared" si="4"/>
        <v>View on Google Map</v>
      </c>
    </row>
    <row r="221" spans="1:13" x14ac:dyDescent="0.2">
      <c r="A221" s="99">
        <v>451</v>
      </c>
      <c r="B221" s="99" t="s">
        <v>824</v>
      </c>
      <c r="C221" s="99" t="s">
        <v>421</v>
      </c>
      <c r="D221" s="99">
        <v>68.545929999999998</v>
      </c>
      <c r="E221" s="99">
        <v>-149.54213999999999</v>
      </c>
      <c r="F221" s="99">
        <v>852</v>
      </c>
      <c r="G221" s="99" t="s">
        <v>432</v>
      </c>
      <c r="H221" s="99" t="s">
        <v>825</v>
      </c>
      <c r="I221" s="99" t="s">
        <v>421</v>
      </c>
      <c r="J221" s="99" t="s">
        <v>433</v>
      </c>
      <c r="K221" s="99" t="s">
        <v>421</v>
      </c>
      <c r="L221" s="99" t="s">
        <v>421</v>
      </c>
      <c r="M221" s="105" t="str">
        <f t="shared" si="4"/>
        <v>View on Google Map</v>
      </c>
    </row>
    <row r="222" spans="1:13" x14ac:dyDescent="0.2">
      <c r="A222" s="99">
        <v>531</v>
      </c>
      <c r="B222" s="99" t="s">
        <v>826</v>
      </c>
      <c r="C222" s="99" t="s">
        <v>827</v>
      </c>
      <c r="D222" s="99">
        <v>68.556769000000003</v>
      </c>
      <c r="E222" s="99">
        <v>-149.555385</v>
      </c>
      <c r="F222" s="99">
        <v>805</v>
      </c>
      <c r="G222" s="99" t="s">
        <v>446</v>
      </c>
      <c r="H222" s="99" t="s">
        <v>421</v>
      </c>
      <c r="I222" s="99" t="s">
        <v>421</v>
      </c>
      <c r="J222" s="99" t="s">
        <v>433</v>
      </c>
      <c r="K222" s="99" t="s">
        <v>421</v>
      </c>
      <c r="L222" s="99" t="s">
        <v>828</v>
      </c>
      <c r="M222" s="105" t="str">
        <f t="shared" si="4"/>
        <v>View on Google Map</v>
      </c>
    </row>
    <row r="223" spans="1:13" x14ac:dyDescent="0.2">
      <c r="A223" s="99">
        <v>532</v>
      </c>
      <c r="B223" s="99" t="s">
        <v>829</v>
      </c>
      <c r="C223" s="99" t="s">
        <v>827</v>
      </c>
      <c r="D223" s="99">
        <v>68.556635999999997</v>
      </c>
      <c r="E223" s="99">
        <v>-149.574457</v>
      </c>
      <c r="F223" s="99">
        <v>803</v>
      </c>
      <c r="G223" s="99" t="s">
        <v>446</v>
      </c>
      <c r="H223" s="99" t="s">
        <v>421</v>
      </c>
      <c r="I223" s="99" t="s">
        <v>421</v>
      </c>
      <c r="J223" s="99" t="s">
        <v>433</v>
      </c>
      <c r="K223" s="99" t="s">
        <v>421</v>
      </c>
      <c r="L223" s="99" t="s">
        <v>828</v>
      </c>
      <c r="M223" s="105" t="str">
        <f t="shared" si="4"/>
        <v>View on Google Map</v>
      </c>
    </row>
    <row r="224" spans="1:13" x14ac:dyDescent="0.2">
      <c r="A224" s="99">
        <v>120</v>
      </c>
      <c r="B224" s="99" t="s">
        <v>830</v>
      </c>
      <c r="C224" s="99" t="s">
        <v>421</v>
      </c>
      <c r="D224" s="99">
        <v>68.610781000000003</v>
      </c>
      <c r="E224" s="99">
        <v>-149.600742</v>
      </c>
      <c r="F224" s="99">
        <v>736</v>
      </c>
      <c r="G224" s="99" t="s">
        <v>432</v>
      </c>
      <c r="H224" s="99" t="s">
        <v>831</v>
      </c>
      <c r="I224" s="99" t="s">
        <v>421</v>
      </c>
      <c r="J224" s="99" t="s">
        <v>447</v>
      </c>
      <c r="K224" s="99">
        <v>313</v>
      </c>
      <c r="L224" s="99" t="s">
        <v>821</v>
      </c>
      <c r="M224" s="105" t="str">
        <f t="shared" si="4"/>
        <v>View on Google Map</v>
      </c>
    </row>
    <row r="225" spans="1:13" x14ac:dyDescent="0.2">
      <c r="A225" s="99">
        <v>191</v>
      </c>
      <c r="B225" s="99" t="s">
        <v>832</v>
      </c>
      <c r="C225" s="99" t="s">
        <v>833</v>
      </c>
      <c r="D225" s="99">
        <v>68.610349999999997</v>
      </c>
      <c r="E225" s="99">
        <v>-149.59976599999999</v>
      </c>
      <c r="F225" s="99">
        <v>736</v>
      </c>
      <c r="G225" s="99" t="s">
        <v>446</v>
      </c>
      <c r="H225" s="99" t="s">
        <v>834</v>
      </c>
      <c r="I225" s="99" t="s">
        <v>835</v>
      </c>
      <c r="J225" s="99" t="s">
        <v>447</v>
      </c>
      <c r="K225" s="99" t="s">
        <v>421</v>
      </c>
      <c r="L225" s="99" t="s">
        <v>836</v>
      </c>
      <c r="M225" s="105" t="str">
        <f t="shared" si="4"/>
        <v>View on Google Map</v>
      </c>
    </row>
    <row r="226" spans="1:13" x14ac:dyDescent="0.2">
      <c r="A226" s="99">
        <v>243</v>
      </c>
      <c r="B226" s="99" t="s">
        <v>837</v>
      </c>
      <c r="C226" s="99" t="s">
        <v>421</v>
      </c>
      <c r="D226" s="99">
        <v>68.611682999999999</v>
      </c>
      <c r="E226" s="99">
        <v>-149.599254</v>
      </c>
      <c r="F226" s="99">
        <v>736</v>
      </c>
      <c r="G226" s="99" t="s">
        <v>446</v>
      </c>
      <c r="H226" s="99" t="s">
        <v>838</v>
      </c>
      <c r="I226" s="99" t="s">
        <v>839</v>
      </c>
      <c r="J226" s="99" t="s">
        <v>447</v>
      </c>
      <c r="K226" s="99" t="s">
        <v>421</v>
      </c>
      <c r="L226" s="99" t="s">
        <v>836</v>
      </c>
      <c r="M226" s="105" t="str">
        <f t="shared" si="4"/>
        <v>View on Google Map</v>
      </c>
    </row>
    <row r="227" spans="1:13" x14ac:dyDescent="0.2">
      <c r="A227" s="99">
        <v>111</v>
      </c>
      <c r="B227" s="99" t="s">
        <v>840</v>
      </c>
      <c r="C227" s="99" t="s">
        <v>421</v>
      </c>
      <c r="D227" s="99">
        <v>68.568713078900004</v>
      </c>
      <c r="E227" s="99">
        <v>-149.58807625</v>
      </c>
      <c r="F227" s="99">
        <v>785</v>
      </c>
      <c r="G227" s="99" t="s">
        <v>432</v>
      </c>
      <c r="H227" s="99" t="s">
        <v>841</v>
      </c>
      <c r="I227" s="99" t="s">
        <v>842</v>
      </c>
      <c r="J227" s="99" t="s">
        <v>447</v>
      </c>
      <c r="K227" s="99" t="s">
        <v>421</v>
      </c>
      <c r="L227" s="99" t="s">
        <v>821</v>
      </c>
      <c r="M227" s="105" t="str">
        <f t="shared" si="4"/>
        <v>View on Google Map</v>
      </c>
    </row>
    <row r="228" spans="1:13" x14ac:dyDescent="0.2">
      <c r="A228" s="99">
        <v>175</v>
      </c>
      <c r="B228" s="99" t="s">
        <v>843</v>
      </c>
      <c r="C228" s="99" t="s">
        <v>421</v>
      </c>
      <c r="D228" s="99">
        <v>68.573999999999998</v>
      </c>
      <c r="E228" s="99">
        <v>-149.58356599999999</v>
      </c>
      <c r="F228" s="99">
        <v>774</v>
      </c>
      <c r="G228" s="99" t="s">
        <v>446</v>
      </c>
      <c r="H228" s="99" t="s">
        <v>844</v>
      </c>
      <c r="I228" s="99" t="s">
        <v>845</v>
      </c>
      <c r="J228" s="99" t="s">
        <v>447</v>
      </c>
      <c r="K228" s="99" t="s">
        <v>421</v>
      </c>
      <c r="L228" s="99" t="s">
        <v>836</v>
      </c>
      <c r="M228" s="105" t="str">
        <f t="shared" si="4"/>
        <v>View on Google Map</v>
      </c>
    </row>
    <row r="229" spans="1:13" x14ac:dyDescent="0.2">
      <c r="A229" s="99">
        <v>174</v>
      </c>
      <c r="B229" s="99" t="s">
        <v>846</v>
      </c>
      <c r="C229" s="99" t="s">
        <v>421</v>
      </c>
      <c r="D229" s="99">
        <v>68.572295999999994</v>
      </c>
      <c r="E229" s="99">
        <v>-149.58101400000001</v>
      </c>
      <c r="F229" s="99">
        <v>785</v>
      </c>
      <c r="G229" s="99" t="s">
        <v>446</v>
      </c>
      <c r="H229" s="99" t="s">
        <v>847</v>
      </c>
      <c r="I229" s="99" t="s">
        <v>848</v>
      </c>
      <c r="J229" s="99" t="s">
        <v>447</v>
      </c>
      <c r="K229" s="99" t="s">
        <v>421</v>
      </c>
      <c r="L229" s="99" t="s">
        <v>836</v>
      </c>
      <c r="M229" s="105" t="str">
        <f t="shared" si="4"/>
        <v>View on Google Map</v>
      </c>
    </row>
    <row r="230" spans="1:13" x14ac:dyDescent="0.2">
      <c r="A230" s="99">
        <v>112</v>
      </c>
      <c r="B230" s="99" t="s">
        <v>849</v>
      </c>
      <c r="C230" s="99" t="s">
        <v>421</v>
      </c>
      <c r="D230" s="99">
        <v>68.571319563299994</v>
      </c>
      <c r="E230" s="99">
        <v>-149.56588161799999</v>
      </c>
      <c r="F230" s="99">
        <v>785</v>
      </c>
      <c r="G230" s="99" t="s">
        <v>432</v>
      </c>
      <c r="H230" s="99" t="s">
        <v>850</v>
      </c>
      <c r="I230" s="99" t="s">
        <v>851</v>
      </c>
      <c r="J230" s="99" t="s">
        <v>447</v>
      </c>
      <c r="K230" s="99" t="s">
        <v>421</v>
      </c>
      <c r="L230" s="99" t="s">
        <v>821</v>
      </c>
      <c r="M230" s="105" t="str">
        <f t="shared" si="4"/>
        <v>View on Google Map</v>
      </c>
    </row>
    <row r="231" spans="1:13" x14ac:dyDescent="0.2">
      <c r="A231" s="99">
        <v>176</v>
      </c>
      <c r="B231" s="99" t="s">
        <v>852</v>
      </c>
      <c r="C231" s="99" t="s">
        <v>421</v>
      </c>
      <c r="D231" s="99">
        <v>68.574783330000002</v>
      </c>
      <c r="E231" s="99">
        <v>-149.58205000000001</v>
      </c>
      <c r="F231" s="99">
        <v>774</v>
      </c>
      <c r="G231" s="99" t="s">
        <v>446</v>
      </c>
      <c r="H231" s="99" t="s">
        <v>853</v>
      </c>
      <c r="I231" s="99" t="s">
        <v>854</v>
      </c>
      <c r="J231" s="99" t="s">
        <v>447</v>
      </c>
      <c r="K231" s="99" t="s">
        <v>421</v>
      </c>
      <c r="L231" s="99" t="s">
        <v>836</v>
      </c>
      <c r="M231" s="105" t="str">
        <f t="shared" si="4"/>
        <v>View on Google Map</v>
      </c>
    </row>
    <row r="232" spans="1:13" x14ac:dyDescent="0.2">
      <c r="A232" s="99">
        <v>173</v>
      </c>
      <c r="B232" s="99" t="s">
        <v>855</v>
      </c>
      <c r="C232" s="99" t="s">
        <v>421</v>
      </c>
      <c r="D232" s="99">
        <v>68.572546000000003</v>
      </c>
      <c r="E232" s="99">
        <v>-149.570268</v>
      </c>
      <c r="F232" s="99">
        <v>785</v>
      </c>
      <c r="G232" s="99" t="s">
        <v>446</v>
      </c>
      <c r="H232" s="99" t="s">
        <v>856</v>
      </c>
      <c r="I232" s="99" t="s">
        <v>857</v>
      </c>
      <c r="J232" s="99" t="s">
        <v>447</v>
      </c>
      <c r="K232" s="99" t="s">
        <v>421</v>
      </c>
      <c r="L232" s="99" t="s">
        <v>836</v>
      </c>
      <c r="M232" s="105" t="str">
        <f t="shared" si="4"/>
        <v>View on Google Map</v>
      </c>
    </row>
    <row r="233" spans="1:13" x14ac:dyDescent="0.2">
      <c r="A233" s="99">
        <v>113</v>
      </c>
      <c r="B233" s="99" t="s">
        <v>858</v>
      </c>
      <c r="C233" s="99" t="s">
        <v>421</v>
      </c>
      <c r="D233" s="99">
        <v>68.575536630100004</v>
      </c>
      <c r="E233" s="99">
        <v>-149.583644456</v>
      </c>
      <c r="F233" s="99">
        <v>774</v>
      </c>
      <c r="G233" s="99" t="s">
        <v>432</v>
      </c>
      <c r="H233" s="99" t="s">
        <v>859</v>
      </c>
      <c r="I233" s="99" t="s">
        <v>860</v>
      </c>
      <c r="J233" s="99" t="s">
        <v>447</v>
      </c>
      <c r="K233" s="99" t="s">
        <v>421</v>
      </c>
      <c r="L233" s="99" t="s">
        <v>821</v>
      </c>
      <c r="M233" s="105" t="str">
        <f t="shared" si="4"/>
        <v>View on Google Map</v>
      </c>
    </row>
    <row r="234" spans="1:13" x14ac:dyDescent="0.2">
      <c r="A234" s="99">
        <v>177</v>
      </c>
      <c r="B234" s="99" t="s">
        <v>861</v>
      </c>
      <c r="C234" s="99" t="s">
        <v>421</v>
      </c>
      <c r="D234" s="99">
        <v>68.577539999999999</v>
      </c>
      <c r="E234" s="99">
        <v>-149.58200299999999</v>
      </c>
      <c r="F234" s="99">
        <v>774</v>
      </c>
      <c r="G234" s="99" t="s">
        <v>446</v>
      </c>
      <c r="H234" s="99" t="s">
        <v>862</v>
      </c>
      <c r="I234" s="99" t="s">
        <v>863</v>
      </c>
      <c r="J234" s="99" t="s">
        <v>447</v>
      </c>
      <c r="K234" s="99" t="s">
        <v>421</v>
      </c>
      <c r="L234" s="99" t="s">
        <v>836</v>
      </c>
      <c r="M234" s="105" t="str">
        <f t="shared" si="4"/>
        <v>View on Google Map</v>
      </c>
    </row>
    <row r="235" spans="1:13" x14ac:dyDescent="0.2">
      <c r="A235" s="99">
        <v>114</v>
      </c>
      <c r="B235" s="99" t="s">
        <v>864</v>
      </c>
      <c r="C235" s="99" t="s">
        <v>421</v>
      </c>
      <c r="D235" s="99">
        <v>68.579567150000003</v>
      </c>
      <c r="E235" s="99">
        <v>-149.58405938000001</v>
      </c>
      <c r="F235" s="99">
        <v>770</v>
      </c>
      <c r="G235" s="99" t="s">
        <v>432</v>
      </c>
      <c r="H235" s="99" t="s">
        <v>865</v>
      </c>
      <c r="I235" s="99" t="s">
        <v>866</v>
      </c>
      <c r="J235" s="99" t="s">
        <v>447</v>
      </c>
      <c r="K235" s="99" t="s">
        <v>421</v>
      </c>
      <c r="L235" s="99" t="s">
        <v>821</v>
      </c>
      <c r="M235" s="105" t="str">
        <f t="shared" si="4"/>
        <v>View on Google Map</v>
      </c>
    </row>
    <row r="236" spans="1:13" x14ac:dyDescent="0.2">
      <c r="A236" s="99">
        <v>179</v>
      </c>
      <c r="B236" s="99" t="s">
        <v>867</v>
      </c>
      <c r="C236" s="99" t="s">
        <v>421</v>
      </c>
      <c r="D236" s="99">
        <v>68.584233330000004</v>
      </c>
      <c r="E236" s="99">
        <v>-149.58359999999999</v>
      </c>
      <c r="F236" s="99">
        <v>770</v>
      </c>
      <c r="G236" s="99" t="s">
        <v>446</v>
      </c>
      <c r="H236" s="99" t="s">
        <v>868</v>
      </c>
      <c r="I236" s="99" t="s">
        <v>869</v>
      </c>
      <c r="J236" s="99" t="s">
        <v>447</v>
      </c>
      <c r="K236" s="99" t="s">
        <v>421</v>
      </c>
      <c r="L236" s="99" t="s">
        <v>836</v>
      </c>
      <c r="M236" s="105" t="str">
        <f t="shared" si="4"/>
        <v>View on Google Map</v>
      </c>
    </row>
    <row r="237" spans="1:13" x14ac:dyDescent="0.2">
      <c r="A237" s="99">
        <v>178</v>
      </c>
      <c r="B237" s="99" t="s">
        <v>870</v>
      </c>
      <c r="C237" s="99" t="s">
        <v>421</v>
      </c>
      <c r="D237" s="99">
        <v>68.581429999999997</v>
      </c>
      <c r="E237" s="99">
        <v>-149.58609999999999</v>
      </c>
      <c r="F237" s="99">
        <v>770</v>
      </c>
      <c r="G237" s="99" t="s">
        <v>446</v>
      </c>
      <c r="H237" s="99" t="s">
        <v>871</v>
      </c>
      <c r="I237" s="99" t="s">
        <v>872</v>
      </c>
      <c r="J237" s="99" t="s">
        <v>447</v>
      </c>
      <c r="K237" s="99" t="s">
        <v>421</v>
      </c>
      <c r="L237" s="99" t="s">
        <v>836</v>
      </c>
      <c r="M237" s="105" t="str">
        <f t="shared" si="4"/>
        <v>View on Google Map</v>
      </c>
    </row>
    <row r="238" spans="1:13" x14ac:dyDescent="0.2">
      <c r="A238" s="99">
        <v>115</v>
      </c>
      <c r="B238" s="99" t="s">
        <v>873</v>
      </c>
      <c r="C238" s="99" t="s">
        <v>421</v>
      </c>
      <c r="D238" s="99">
        <v>68.587387439099999</v>
      </c>
      <c r="E238" s="99">
        <v>-149.589625877</v>
      </c>
      <c r="F238" s="99">
        <v>767</v>
      </c>
      <c r="G238" s="99" t="s">
        <v>432</v>
      </c>
      <c r="H238" s="99" t="s">
        <v>874</v>
      </c>
      <c r="I238" s="99" t="s">
        <v>875</v>
      </c>
      <c r="J238" s="99" t="s">
        <v>447</v>
      </c>
      <c r="K238" s="99" t="s">
        <v>421</v>
      </c>
      <c r="L238" s="99" t="s">
        <v>821</v>
      </c>
      <c r="M238" s="105" t="str">
        <f t="shared" si="4"/>
        <v>View on Google Map</v>
      </c>
    </row>
    <row r="239" spans="1:13" x14ac:dyDescent="0.2">
      <c r="A239" s="99">
        <v>181</v>
      </c>
      <c r="B239" s="99" t="s">
        <v>876</v>
      </c>
      <c r="C239" s="99" t="s">
        <v>421</v>
      </c>
      <c r="D239" s="99">
        <v>68.594916670000003</v>
      </c>
      <c r="E239" s="99">
        <v>-149.58631600000001</v>
      </c>
      <c r="F239" s="99">
        <v>754</v>
      </c>
      <c r="G239" s="99" t="s">
        <v>446</v>
      </c>
      <c r="H239" s="99" t="s">
        <v>877</v>
      </c>
      <c r="I239" s="99" t="s">
        <v>878</v>
      </c>
      <c r="J239" s="99" t="s">
        <v>447</v>
      </c>
      <c r="K239" s="99" t="s">
        <v>421</v>
      </c>
      <c r="L239" s="99" t="s">
        <v>836</v>
      </c>
      <c r="M239" s="105" t="str">
        <f t="shared" si="4"/>
        <v>View on Google Map</v>
      </c>
    </row>
    <row r="240" spans="1:13" x14ac:dyDescent="0.2">
      <c r="A240" s="99">
        <v>180</v>
      </c>
      <c r="B240" s="99" t="s">
        <v>879</v>
      </c>
      <c r="C240" s="99" t="s">
        <v>421</v>
      </c>
      <c r="D240" s="99">
        <v>68.589087000000006</v>
      </c>
      <c r="E240" s="99">
        <v>-149.58921900000001</v>
      </c>
      <c r="F240" s="99">
        <v>767</v>
      </c>
      <c r="G240" s="99" t="s">
        <v>446</v>
      </c>
      <c r="H240" s="99" t="s">
        <v>880</v>
      </c>
      <c r="I240" s="99" t="s">
        <v>881</v>
      </c>
      <c r="J240" s="99" t="s">
        <v>447</v>
      </c>
      <c r="K240" s="99" t="s">
        <v>421</v>
      </c>
      <c r="L240" s="99" t="s">
        <v>836</v>
      </c>
      <c r="M240" s="105" t="str">
        <f t="shared" si="4"/>
        <v>View on Google Map</v>
      </c>
    </row>
    <row r="241" spans="1:13" x14ac:dyDescent="0.2">
      <c r="A241" s="99">
        <v>116</v>
      </c>
      <c r="B241" s="99" t="s">
        <v>882</v>
      </c>
      <c r="C241" s="99" t="s">
        <v>421</v>
      </c>
      <c r="D241" s="99">
        <v>68.596592403900004</v>
      </c>
      <c r="E241" s="99">
        <v>-149.59264335</v>
      </c>
      <c r="F241" s="99">
        <v>754</v>
      </c>
      <c r="G241" s="99" t="s">
        <v>432</v>
      </c>
      <c r="H241" s="99" t="s">
        <v>883</v>
      </c>
      <c r="I241" s="99" t="s">
        <v>884</v>
      </c>
      <c r="J241" s="99" t="s">
        <v>447</v>
      </c>
      <c r="K241" s="99" t="s">
        <v>421</v>
      </c>
      <c r="L241" s="99" t="s">
        <v>821</v>
      </c>
      <c r="M241" s="105" t="str">
        <f t="shared" si="4"/>
        <v>View on Google Map</v>
      </c>
    </row>
    <row r="242" spans="1:13" x14ac:dyDescent="0.2">
      <c r="A242" s="99">
        <v>431</v>
      </c>
      <c r="B242" s="99" t="s">
        <v>885</v>
      </c>
      <c r="C242" s="99" t="s">
        <v>421</v>
      </c>
      <c r="D242" s="99">
        <v>68.582061999999993</v>
      </c>
      <c r="E242" s="99">
        <v>-149.62293199999999</v>
      </c>
      <c r="F242" s="99">
        <v>806</v>
      </c>
      <c r="G242" s="99" t="s">
        <v>432</v>
      </c>
      <c r="H242" s="99" t="s">
        <v>886</v>
      </c>
      <c r="I242" s="99" t="s">
        <v>887</v>
      </c>
      <c r="J242" s="99" t="s">
        <v>447</v>
      </c>
      <c r="K242" s="99" t="s">
        <v>421</v>
      </c>
      <c r="L242" s="99" t="s">
        <v>821</v>
      </c>
      <c r="M242" s="105" t="str">
        <f t="shared" si="4"/>
        <v>View on Google Map</v>
      </c>
    </row>
    <row r="243" spans="1:13" x14ac:dyDescent="0.2">
      <c r="A243" s="99">
        <v>444</v>
      </c>
      <c r="B243" s="99" t="s">
        <v>888</v>
      </c>
      <c r="C243" s="99" t="s">
        <v>421</v>
      </c>
      <c r="D243" s="99">
        <v>68.578643</v>
      </c>
      <c r="E243" s="99">
        <v>-149.62110200000001</v>
      </c>
      <c r="F243" s="99">
        <v>808</v>
      </c>
      <c r="G243" s="99" t="s">
        <v>446</v>
      </c>
      <c r="H243" s="99" t="s">
        <v>889</v>
      </c>
      <c r="I243" s="99" t="s">
        <v>890</v>
      </c>
      <c r="J243" s="99" t="s">
        <v>447</v>
      </c>
      <c r="K243" s="99" t="s">
        <v>421</v>
      </c>
      <c r="L243" s="99" t="s">
        <v>836</v>
      </c>
      <c r="M243" s="105" t="str">
        <f t="shared" si="4"/>
        <v>View on Google Map</v>
      </c>
    </row>
    <row r="244" spans="1:13" x14ac:dyDescent="0.2">
      <c r="A244" s="99">
        <v>535</v>
      </c>
      <c r="B244" s="99" t="s">
        <v>891</v>
      </c>
      <c r="C244" s="99" t="s">
        <v>892</v>
      </c>
      <c r="D244" s="99">
        <v>68.585839000000007</v>
      </c>
      <c r="E244" s="99">
        <v>-149.62222299999999</v>
      </c>
      <c r="F244" s="99">
        <v>805</v>
      </c>
      <c r="G244" s="99" t="s">
        <v>446</v>
      </c>
      <c r="H244" s="99" t="s">
        <v>421</v>
      </c>
      <c r="I244" s="99" t="s">
        <v>421</v>
      </c>
      <c r="J244" s="99" t="s">
        <v>433</v>
      </c>
      <c r="K244" s="99" t="s">
        <v>421</v>
      </c>
      <c r="L244" s="99" t="s">
        <v>893</v>
      </c>
      <c r="M244" s="105" t="str">
        <f t="shared" si="4"/>
        <v>View on Google Map</v>
      </c>
    </row>
    <row r="245" spans="1:13" x14ac:dyDescent="0.2">
      <c r="A245" s="99">
        <v>536</v>
      </c>
      <c r="B245" s="99" t="s">
        <v>894</v>
      </c>
      <c r="C245" s="99" t="s">
        <v>892</v>
      </c>
      <c r="D245" s="99">
        <v>68.591329999999999</v>
      </c>
      <c r="E245" s="99">
        <v>-149.61154199999999</v>
      </c>
      <c r="F245" s="99">
        <v>775</v>
      </c>
      <c r="G245" s="99" t="s">
        <v>446</v>
      </c>
      <c r="H245" s="99" t="s">
        <v>421</v>
      </c>
      <c r="I245" s="99" t="s">
        <v>421</v>
      </c>
      <c r="J245" s="99" t="s">
        <v>433</v>
      </c>
      <c r="K245" s="99" t="s">
        <v>421</v>
      </c>
      <c r="L245" s="99" t="s">
        <v>893</v>
      </c>
      <c r="M245" s="105" t="str">
        <f t="shared" si="4"/>
        <v>View on Google Map</v>
      </c>
    </row>
    <row r="246" spans="1:13" x14ac:dyDescent="0.2">
      <c r="A246" s="99">
        <v>445</v>
      </c>
      <c r="B246" s="99" t="s">
        <v>895</v>
      </c>
      <c r="C246" s="99" t="s">
        <v>421</v>
      </c>
      <c r="D246" s="99">
        <v>68.583569999999995</v>
      </c>
      <c r="E246" s="99">
        <v>-149.62384</v>
      </c>
      <c r="F246" s="99">
        <v>808</v>
      </c>
      <c r="G246" s="99" t="s">
        <v>446</v>
      </c>
      <c r="H246" s="99" t="s">
        <v>896</v>
      </c>
      <c r="I246" s="99" t="s">
        <v>897</v>
      </c>
      <c r="J246" s="99" t="s">
        <v>447</v>
      </c>
      <c r="K246" s="99" t="s">
        <v>421</v>
      </c>
      <c r="L246" s="99" t="s">
        <v>836</v>
      </c>
      <c r="M246" s="105" t="str">
        <f t="shared" si="4"/>
        <v>View on Google Map</v>
      </c>
    </row>
    <row r="247" spans="1:13" x14ac:dyDescent="0.2">
      <c r="A247" s="99">
        <v>182</v>
      </c>
      <c r="B247" s="99" t="s">
        <v>898</v>
      </c>
      <c r="C247" s="99" t="s">
        <v>421</v>
      </c>
      <c r="D247" s="99">
        <v>68.596883329999997</v>
      </c>
      <c r="E247" s="99">
        <v>-149.60124999999999</v>
      </c>
      <c r="F247" s="99">
        <v>754</v>
      </c>
      <c r="G247" s="99" t="s">
        <v>446</v>
      </c>
      <c r="H247" s="99" t="s">
        <v>899</v>
      </c>
      <c r="I247" s="99" t="s">
        <v>900</v>
      </c>
      <c r="J247" s="99" t="s">
        <v>447</v>
      </c>
      <c r="K247" s="99" t="s">
        <v>421</v>
      </c>
      <c r="L247" s="99" t="s">
        <v>836</v>
      </c>
      <c r="M247" s="105" t="str">
        <f t="shared" si="4"/>
        <v>View on Google Map</v>
      </c>
    </row>
    <row r="248" spans="1:13" x14ac:dyDescent="0.2">
      <c r="A248" s="99">
        <v>183</v>
      </c>
      <c r="B248" s="99" t="s">
        <v>901</v>
      </c>
      <c r="C248" s="99" t="s">
        <v>421</v>
      </c>
      <c r="D248" s="99">
        <v>68.598684000000006</v>
      </c>
      <c r="E248" s="99">
        <v>-149.599853</v>
      </c>
      <c r="F248" s="99">
        <v>754</v>
      </c>
      <c r="G248" s="99" t="s">
        <v>446</v>
      </c>
      <c r="H248" s="99" t="s">
        <v>902</v>
      </c>
      <c r="I248" s="99" t="s">
        <v>903</v>
      </c>
      <c r="J248" s="99" t="s">
        <v>447</v>
      </c>
      <c r="K248" s="99" t="s">
        <v>421</v>
      </c>
      <c r="L248" s="99" t="s">
        <v>836</v>
      </c>
      <c r="M248" s="105" t="str">
        <f t="shared" si="4"/>
        <v>View on Google Map</v>
      </c>
    </row>
    <row r="249" spans="1:13" x14ac:dyDescent="0.2">
      <c r="A249" s="99">
        <v>117</v>
      </c>
      <c r="B249" s="99" t="s">
        <v>904</v>
      </c>
      <c r="C249" s="99" t="s">
        <v>421</v>
      </c>
      <c r="D249" s="99">
        <v>68.600874798199996</v>
      </c>
      <c r="E249" s="99">
        <v>-149.596582063</v>
      </c>
      <c r="F249" s="99">
        <v>742</v>
      </c>
      <c r="G249" s="99" t="s">
        <v>432</v>
      </c>
      <c r="H249" s="99" t="s">
        <v>905</v>
      </c>
      <c r="I249" s="99" t="s">
        <v>906</v>
      </c>
      <c r="J249" s="99" t="s">
        <v>447</v>
      </c>
      <c r="K249" s="99" t="s">
        <v>421</v>
      </c>
      <c r="L249" s="99" t="s">
        <v>821</v>
      </c>
      <c r="M249" s="105" t="str">
        <f t="shared" si="4"/>
        <v>View on Google Map</v>
      </c>
    </row>
    <row r="250" spans="1:13" x14ac:dyDescent="0.2">
      <c r="A250" s="99">
        <v>187</v>
      </c>
      <c r="B250" s="99" t="s">
        <v>907</v>
      </c>
      <c r="C250" s="99" t="s">
        <v>421</v>
      </c>
      <c r="D250" s="99">
        <v>68.618183329999994</v>
      </c>
      <c r="E250" s="99">
        <v>-149.596766</v>
      </c>
      <c r="F250" s="99">
        <v>728</v>
      </c>
      <c r="G250" s="99" t="s">
        <v>446</v>
      </c>
      <c r="H250" s="99" t="s">
        <v>908</v>
      </c>
      <c r="I250" s="99" t="s">
        <v>909</v>
      </c>
      <c r="J250" s="99" t="s">
        <v>447</v>
      </c>
      <c r="K250" s="99" t="s">
        <v>421</v>
      </c>
      <c r="L250" s="99" t="s">
        <v>836</v>
      </c>
      <c r="M250" s="105" t="str">
        <f t="shared" si="4"/>
        <v>View on Google Map</v>
      </c>
    </row>
    <row r="251" spans="1:13" x14ac:dyDescent="0.2">
      <c r="A251" s="99">
        <v>184</v>
      </c>
      <c r="B251" s="99" t="s">
        <v>910</v>
      </c>
      <c r="C251" s="99" t="s">
        <v>421</v>
      </c>
      <c r="D251" s="99">
        <v>68.601830000000007</v>
      </c>
      <c r="E251" s="99">
        <v>-149.59671299999999</v>
      </c>
      <c r="F251" s="99">
        <v>742</v>
      </c>
      <c r="G251" s="99" t="s">
        <v>446</v>
      </c>
      <c r="H251" s="99" t="s">
        <v>911</v>
      </c>
      <c r="I251" s="99" t="s">
        <v>912</v>
      </c>
      <c r="J251" s="99" t="s">
        <v>447</v>
      </c>
      <c r="K251" s="99" t="s">
        <v>421</v>
      </c>
      <c r="L251" s="99" t="s">
        <v>836</v>
      </c>
      <c r="M251" s="105" t="str">
        <f t="shared" si="4"/>
        <v>View on Google Map</v>
      </c>
    </row>
    <row r="252" spans="1:13" x14ac:dyDescent="0.2">
      <c r="A252" s="99">
        <v>118</v>
      </c>
      <c r="B252" s="99" t="s">
        <v>913</v>
      </c>
      <c r="C252" s="99" t="s">
        <v>421</v>
      </c>
      <c r="D252" s="99">
        <v>68.6101575207</v>
      </c>
      <c r="E252" s="99">
        <v>-149.582211513</v>
      </c>
      <c r="F252" s="99">
        <v>744</v>
      </c>
      <c r="G252" s="99" t="s">
        <v>432</v>
      </c>
      <c r="H252" s="99" t="s">
        <v>914</v>
      </c>
      <c r="I252" s="99" t="s">
        <v>915</v>
      </c>
      <c r="J252" s="99" t="s">
        <v>447</v>
      </c>
      <c r="K252" s="99" t="s">
        <v>421</v>
      </c>
      <c r="L252" s="99" t="s">
        <v>821</v>
      </c>
      <c r="M252" s="105" t="str">
        <f t="shared" si="4"/>
        <v>View on Google Map</v>
      </c>
    </row>
    <row r="253" spans="1:13" x14ac:dyDescent="0.2">
      <c r="A253" s="99">
        <v>172</v>
      </c>
      <c r="B253" s="99" t="s">
        <v>916</v>
      </c>
      <c r="C253" s="99" t="s">
        <v>421</v>
      </c>
      <c r="D253" s="99">
        <v>68.573666666666668</v>
      </c>
      <c r="E253" s="99">
        <v>-149.53716666666699</v>
      </c>
      <c r="F253" s="99">
        <v>808</v>
      </c>
      <c r="G253" s="99" t="s">
        <v>446</v>
      </c>
      <c r="H253" s="99" t="s">
        <v>917</v>
      </c>
      <c r="I253" s="99" t="s">
        <v>918</v>
      </c>
      <c r="J253" s="99" t="s">
        <v>447</v>
      </c>
      <c r="K253" s="99" t="s">
        <v>421</v>
      </c>
      <c r="L253" s="99" t="s">
        <v>836</v>
      </c>
      <c r="M253" s="105" t="str">
        <f t="shared" si="4"/>
        <v>View on Google Map</v>
      </c>
    </row>
    <row r="254" spans="1:13" x14ac:dyDescent="0.2">
      <c r="A254" s="99">
        <v>533</v>
      </c>
      <c r="B254" s="99" t="s">
        <v>919</v>
      </c>
      <c r="C254" s="99" t="s">
        <v>892</v>
      </c>
      <c r="D254" s="99">
        <v>68.599999999999994</v>
      </c>
      <c r="E254" s="99">
        <v>-149.57599999999999</v>
      </c>
      <c r="F254" s="99">
        <v>762</v>
      </c>
      <c r="G254" s="99" t="s">
        <v>446</v>
      </c>
      <c r="H254" s="99" t="s">
        <v>421</v>
      </c>
      <c r="I254" s="99" t="s">
        <v>421</v>
      </c>
      <c r="J254" s="99" t="s">
        <v>433</v>
      </c>
      <c r="K254" s="99" t="s">
        <v>421</v>
      </c>
      <c r="L254" s="99" t="s">
        <v>893</v>
      </c>
      <c r="M254" s="105" t="str">
        <f t="shared" si="4"/>
        <v>View on Google Map</v>
      </c>
    </row>
    <row r="255" spans="1:13" x14ac:dyDescent="0.2">
      <c r="A255" s="99">
        <v>534</v>
      </c>
      <c r="B255" s="99" t="s">
        <v>920</v>
      </c>
      <c r="C255" s="99" t="s">
        <v>892</v>
      </c>
      <c r="D255" s="99">
        <v>68.601493000000005</v>
      </c>
      <c r="E255" s="99">
        <v>-149.579071</v>
      </c>
      <c r="F255" s="99">
        <v>760</v>
      </c>
      <c r="G255" s="99" t="s">
        <v>446</v>
      </c>
      <c r="H255" s="99" t="s">
        <v>421</v>
      </c>
      <c r="I255" s="99" t="s">
        <v>421</v>
      </c>
      <c r="J255" s="99" t="s">
        <v>433</v>
      </c>
      <c r="K255" s="99" t="s">
        <v>421</v>
      </c>
      <c r="L255" s="99" t="s">
        <v>893</v>
      </c>
      <c r="M255" s="105" t="str">
        <f t="shared" si="4"/>
        <v>View on Google Map</v>
      </c>
    </row>
    <row r="256" spans="1:13" x14ac:dyDescent="0.2">
      <c r="A256" s="99">
        <v>185</v>
      </c>
      <c r="B256" s="99" t="s">
        <v>921</v>
      </c>
      <c r="C256" s="99" t="s">
        <v>421</v>
      </c>
      <c r="D256" s="99">
        <v>68.60853333</v>
      </c>
      <c r="E256" s="99">
        <v>-149.58763300000001</v>
      </c>
      <c r="F256" s="99">
        <v>744</v>
      </c>
      <c r="G256" s="99" t="s">
        <v>446</v>
      </c>
      <c r="H256" s="99" t="s">
        <v>922</v>
      </c>
      <c r="I256" s="99" t="s">
        <v>923</v>
      </c>
      <c r="J256" s="99" t="s">
        <v>447</v>
      </c>
      <c r="K256" s="99" t="s">
        <v>421</v>
      </c>
      <c r="L256" s="99" t="s">
        <v>836</v>
      </c>
      <c r="M256" s="105" t="str">
        <f t="shared" si="4"/>
        <v>View on Google Map</v>
      </c>
    </row>
    <row r="257" spans="1:13" x14ac:dyDescent="0.2">
      <c r="A257" s="99">
        <v>547</v>
      </c>
      <c r="B257" s="99" t="s">
        <v>924</v>
      </c>
      <c r="C257" s="99" t="s">
        <v>925</v>
      </c>
      <c r="D257" s="99">
        <v>68.611012000000002</v>
      </c>
      <c r="E257" s="99">
        <v>-149.57365200000001</v>
      </c>
      <c r="F257" s="99">
        <v>744</v>
      </c>
      <c r="G257" s="99" t="s">
        <v>446</v>
      </c>
      <c r="H257" s="99" t="s">
        <v>421</v>
      </c>
      <c r="I257" s="99" t="s">
        <v>421</v>
      </c>
      <c r="J257" s="99" t="s">
        <v>926</v>
      </c>
      <c r="K257" s="99" t="s">
        <v>421</v>
      </c>
      <c r="L257" s="99" t="s">
        <v>927</v>
      </c>
      <c r="M257" s="105" t="str">
        <f t="shared" si="4"/>
        <v>View on Google Map</v>
      </c>
    </row>
    <row r="258" spans="1:13" x14ac:dyDescent="0.2">
      <c r="A258" s="99">
        <v>548</v>
      </c>
      <c r="B258" s="99" t="s">
        <v>928</v>
      </c>
      <c r="C258" s="99" t="s">
        <v>925</v>
      </c>
      <c r="D258" s="99">
        <v>68.612117999999995</v>
      </c>
      <c r="E258" s="99">
        <v>-149.576359</v>
      </c>
      <c r="F258" s="99">
        <v>744</v>
      </c>
      <c r="G258" s="99" t="s">
        <v>446</v>
      </c>
      <c r="H258" s="99" t="s">
        <v>421</v>
      </c>
      <c r="I258" s="99" t="s">
        <v>421</v>
      </c>
      <c r="J258" s="99" t="s">
        <v>926</v>
      </c>
      <c r="K258" s="99" t="s">
        <v>421</v>
      </c>
      <c r="L258" s="99" t="s">
        <v>927</v>
      </c>
      <c r="M258" s="105" t="str">
        <f t="shared" si="4"/>
        <v>View on Google Map</v>
      </c>
    </row>
    <row r="259" spans="1:13" x14ac:dyDescent="0.2">
      <c r="A259" s="99">
        <v>546</v>
      </c>
      <c r="B259" s="99" t="s">
        <v>929</v>
      </c>
      <c r="C259" s="99" t="s">
        <v>925</v>
      </c>
      <c r="D259" s="99">
        <v>68.608949999999993</v>
      </c>
      <c r="E259" s="99">
        <v>-149.57907399999999</v>
      </c>
      <c r="F259" s="99">
        <v>744</v>
      </c>
      <c r="G259" s="99" t="s">
        <v>446</v>
      </c>
      <c r="H259" s="99" t="s">
        <v>421</v>
      </c>
      <c r="I259" s="99" t="s">
        <v>421</v>
      </c>
      <c r="J259" s="99" t="s">
        <v>926</v>
      </c>
      <c r="K259" s="99" t="s">
        <v>421</v>
      </c>
      <c r="L259" s="99" t="s">
        <v>927</v>
      </c>
      <c r="M259" s="105" t="str">
        <f t="shared" ref="M259:M322" si="5">HYPERLINK("http://maps.google.com/maps?q="&amp;D259&amp;","&amp;E259,"View on Google Map")</f>
        <v>View on Google Map</v>
      </c>
    </row>
    <row r="260" spans="1:13" x14ac:dyDescent="0.2">
      <c r="A260" s="99">
        <v>545</v>
      </c>
      <c r="B260" s="99" t="s">
        <v>930</v>
      </c>
      <c r="C260" s="99" t="s">
        <v>925</v>
      </c>
      <c r="D260" s="99">
        <v>68.609307999999999</v>
      </c>
      <c r="E260" s="99">
        <v>-149.57375200000001</v>
      </c>
      <c r="F260" s="99">
        <v>744</v>
      </c>
      <c r="G260" s="99" t="s">
        <v>446</v>
      </c>
      <c r="H260" s="99" t="s">
        <v>421</v>
      </c>
      <c r="I260" s="99" t="s">
        <v>421</v>
      </c>
      <c r="J260" s="99" t="s">
        <v>926</v>
      </c>
      <c r="K260" s="99" t="s">
        <v>421</v>
      </c>
      <c r="L260" s="99" t="s">
        <v>927</v>
      </c>
      <c r="M260" s="105" t="str">
        <f t="shared" si="5"/>
        <v>View on Google Map</v>
      </c>
    </row>
    <row r="261" spans="1:13" x14ac:dyDescent="0.2">
      <c r="A261" s="99">
        <v>549</v>
      </c>
      <c r="B261" s="99" t="s">
        <v>931</v>
      </c>
      <c r="C261" s="99" t="s">
        <v>421</v>
      </c>
      <c r="D261" s="99" t="s">
        <v>421</v>
      </c>
      <c r="E261" s="99" t="s">
        <v>421</v>
      </c>
      <c r="F261" s="99" t="s">
        <v>421</v>
      </c>
      <c r="G261" s="99" t="s">
        <v>446</v>
      </c>
      <c r="H261" s="99" t="s">
        <v>421</v>
      </c>
      <c r="I261" s="99" t="s">
        <v>421</v>
      </c>
      <c r="J261" s="99" t="s">
        <v>433</v>
      </c>
      <c r="K261" s="99" t="s">
        <v>421</v>
      </c>
      <c r="L261" s="99" t="s">
        <v>932</v>
      </c>
      <c r="M261" s="105" t="str">
        <f t="shared" si="5"/>
        <v>View on Google Map</v>
      </c>
    </row>
    <row r="262" spans="1:13" x14ac:dyDescent="0.2">
      <c r="A262" s="99">
        <v>188</v>
      </c>
      <c r="B262" s="99" t="s">
        <v>933</v>
      </c>
      <c r="C262" s="99" t="s">
        <v>421</v>
      </c>
      <c r="D262" s="99">
        <v>68.61838333</v>
      </c>
      <c r="E262" s="99">
        <v>-149.59649999999999</v>
      </c>
      <c r="F262" s="99">
        <v>728</v>
      </c>
      <c r="G262" s="99" t="s">
        <v>446</v>
      </c>
      <c r="H262" s="99" t="s">
        <v>934</v>
      </c>
      <c r="I262" s="99" t="s">
        <v>935</v>
      </c>
      <c r="J262" s="99" t="s">
        <v>447</v>
      </c>
      <c r="K262" s="99" t="s">
        <v>421</v>
      </c>
      <c r="L262" s="99" t="s">
        <v>836</v>
      </c>
      <c r="M262" s="105" t="str">
        <f t="shared" si="5"/>
        <v>View on Google Map</v>
      </c>
    </row>
    <row r="263" spans="1:13" x14ac:dyDescent="0.2">
      <c r="A263" s="99">
        <v>541</v>
      </c>
      <c r="B263" s="99" t="s">
        <v>936</v>
      </c>
      <c r="C263" s="99" t="s">
        <v>925</v>
      </c>
      <c r="D263" s="99">
        <v>68.609846000000005</v>
      </c>
      <c r="E263" s="99">
        <v>-149.58295100000001</v>
      </c>
      <c r="F263" s="99">
        <v>744</v>
      </c>
      <c r="G263" s="99" t="s">
        <v>432</v>
      </c>
      <c r="H263" s="99" t="s">
        <v>421</v>
      </c>
      <c r="I263" s="99" t="s">
        <v>421</v>
      </c>
      <c r="J263" s="99" t="s">
        <v>926</v>
      </c>
      <c r="K263" s="99" t="s">
        <v>421</v>
      </c>
      <c r="L263" s="99" t="s">
        <v>927</v>
      </c>
      <c r="M263" s="105" t="str">
        <f t="shared" si="5"/>
        <v>View on Google Map</v>
      </c>
    </row>
    <row r="264" spans="1:13" x14ac:dyDescent="0.2">
      <c r="A264" s="99">
        <v>539</v>
      </c>
      <c r="B264" s="99" t="s">
        <v>937</v>
      </c>
      <c r="C264" s="99" t="s">
        <v>925</v>
      </c>
      <c r="D264" s="99">
        <v>68.610575999999995</v>
      </c>
      <c r="E264" s="99">
        <v>-149.576018</v>
      </c>
      <c r="F264" s="99">
        <v>744</v>
      </c>
      <c r="G264" s="99" t="s">
        <v>432</v>
      </c>
      <c r="H264" s="99" t="s">
        <v>421</v>
      </c>
      <c r="I264" s="99" t="s">
        <v>421</v>
      </c>
      <c r="J264" s="99" t="s">
        <v>926</v>
      </c>
      <c r="K264" s="99" t="s">
        <v>421</v>
      </c>
      <c r="L264" s="99" t="s">
        <v>927</v>
      </c>
      <c r="M264" s="105" t="str">
        <f t="shared" si="5"/>
        <v>View on Google Map</v>
      </c>
    </row>
    <row r="265" spans="1:13" x14ac:dyDescent="0.2">
      <c r="A265" s="99">
        <v>538</v>
      </c>
      <c r="B265" s="99" t="s">
        <v>938</v>
      </c>
      <c r="C265" s="99" t="s">
        <v>925</v>
      </c>
      <c r="D265" s="99">
        <v>68.610889</v>
      </c>
      <c r="E265" s="99">
        <v>-149.576108</v>
      </c>
      <c r="F265" s="99">
        <v>744</v>
      </c>
      <c r="G265" s="99" t="s">
        <v>446</v>
      </c>
      <c r="H265" s="99" t="s">
        <v>421</v>
      </c>
      <c r="I265" s="99" t="s">
        <v>421</v>
      </c>
      <c r="J265" s="99" t="s">
        <v>926</v>
      </c>
      <c r="K265" s="99" t="s">
        <v>421</v>
      </c>
      <c r="L265" s="99" t="s">
        <v>927</v>
      </c>
      <c r="M265" s="105" t="str">
        <f t="shared" si="5"/>
        <v>View on Google Map</v>
      </c>
    </row>
    <row r="266" spans="1:13" x14ac:dyDescent="0.2">
      <c r="A266" s="99">
        <v>544</v>
      </c>
      <c r="B266" s="99" t="s">
        <v>939</v>
      </c>
      <c r="C266" s="99" t="s">
        <v>925</v>
      </c>
      <c r="D266" s="99">
        <v>68.610529</v>
      </c>
      <c r="E266" s="99">
        <v>-149.58864199999999</v>
      </c>
      <c r="F266" s="99">
        <v>744</v>
      </c>
      <c r="G266" s="99" t="s">
        <v>432</v>
      </c>
      <c r="H266" s="99" t="s">
        <v>421</v>
      </c>
      <c r="I266" s="99" t="s">
        <v>421</v>
      </c>
      <c r="J266" s="99" t="s">
        <v>926</v>
      </c>
      <c r="K266" s="99" t="s">
        <v>421</v>
      </c>
      <c r="L266" s="99" t="s">
        <v>927</v>
      </c>
      <c r="M266" s="105" t="str">
        <f t="shared" si="5"/>
        <v>View on Google Map</v>
      </c>
    </row>
    <row r="267" spans="1:13" x14ac:dyDescent="0.2">
      <c r="A267" s="99">
        <v>540</v>
      </c>
      <c r="B267" s="99" t="s">
        <v>940</v>
      </c>
      <c r="C267" s="99" t="s">
        <v>925</v>
      </c>
      <c r="D267" s="99">
        <v>68.609842</v>
      </c>
      <c r="E267" s="99">
        <v>-149.575346</v>
      </c>
      <c r="F267" s="99">
        <v>744</v>
      </c>
      <c r="G267" s="99" t="s">
        <v>432</v>
      </c>
      <c r="H267" s="99" t="s">
        <v>421</v>
      </c>
      <c r="I267" s="99" t="s">
        <v>421</v>
      </c>
      <c r="J267" s="99" t="s">
        <v>926</v>
      </c>
      <c r="K267" s="99" t="s">
        <v>421</v>
      </c>
      <c r="L267" s="99" t="s">
        <v>927</v>
      </c>
      <c r="M267" s="105" t="str">
        <f t="shared" si="5"/>
        <v>View on Google Map</v>
      </c>
    </row>
    <row r="268" spans="1:13" x14ac:dyDescent="0.2">
      <c r="A268" s="99">
        <v>542</v>
      </c>
      <c r="B268" s="99" t="s">
        <v>941</v>
      </c>
      <c r="C268" s="99" t="s">
        <v>925</v>
      </c>
      <c r="D268" s="99">
        <v>68.609202999999994</v>
      </c>
      <c r="E268" s="99">
        <v>-149.588257</v>
      </c>
      <c r="F268" s="99">
        <v>744</v>
      </c>
      <c r="G268" s="99" t="s">
        <v>432</v>
      </c>
      <c r="H268" s="99" t="s">
        <v>421</v>
      </c>
      <c r="I268" s="99" t="s">
        <v>421</v>
      </c>
      <c r="J268" s="99" t="s">
        <v>926</v>
      </c>
      <c r="K268" s="99" t="s">
        <v>421</v>
      </c>
      <c r="L268" s="99" t="s">
        <v>927</v>
      </c>
      <c r="M268" s="105" t="str">
        <f t="shared" si="5"/>
        <v>View on Google Map</v>
      </c>
    </row>
    <row r="269" spans="1:13" x14ac:dyDescent="0.2">
      <c r="A269" s="99">
        <v>543</v>
      </c>
      <c r="B269" s="99" t="s">
        <v>942</v>
      </c>
      <c r="C269" s="99" t="s">
        <v>925</v>
      </c>
      <c r="D269" s="99">
        <v>68.610028</v>
      </c>
      <c r="E269" s="99">
        <v>-149.588391</v>
      </c>
      <c r="F269" s="99">
        <v>744</v>
      </c>
      <c r="G269" s="99" t="s">
        <v>432</v>
      </c>
      <c r="H269" s="99" t="s">
        <v>421</v>
      </c>
      <c r="I269" s="99" t="s">
        <v>421</v>
      </c>
      <c r="J269" s="99" t="s">
        <v>926</v>
      </c>
      <c r="K269" s="99" t="s">
        <v>421</v>
      </c>
      <c r="L269" s="99" t="s">
        <v>927</v>
      </c>
      <c r="M269" s="105" t="str">
        <f t="shared" si="5"/>
        <v>View on Google Map</v>
      </c>
    </row>
    <row r="270" spans="1:13" x14ac:dyDescent="0.2">
      <c r="A270" s="99">
        <v>537</v>
      </c>
      <c r="B270" s="99" t="s">
        <v>943</v>
      </c>
      <c r="C270" s="99" t="s">
        <v>925</v>
      </c>
      <c r="D270" s="99">
        <v>68.611514</v>
      </c>
      <c r="E270" s="99">
        <v>-149.577617</v>
      </c>
      <c r="F270" s="99">
        <v>744</v>
      </c>
      <c r="G270" s="99" t="s">
        <v>446</v>
      </c>
      <c r="H270" s="99" t="s">
        <v>421</v>
      </c>
      <c r="I270" s="99" t="s">
        <v>421</v>
      </c>
      <c r="J270" s="99" t="s">
        <v>926</v>
      </c>
      <c r="K270" s="99" t="s">
        <v>421</v>
      </c>
      <c r="L270" s="99" t="s">
        <v>927</v>
      </c>
      <c r="M270" s="105" t="str">
        <f t="shared" si="5"/>
        <v>View on Google Map</v>
      </c>
    </row>
    <row r="271" spans="1:13" x14ac:dyDescent="0.2">
      <c r="A271" s="99">
        <v>15</v>
      </c>
      <c r="B271" s="99" t="s">
        <v>944</v>
      </c>
      <c r="C271" s="99" t="s">
        <v>421</v>
      </c>
      <c r="D271" s="99" t="s">
        <v>421</v>
      </c>
      <c r="E271" s="99" t="s">
        <v>421</v>
      </c>
      <c r="F271" s="99">
        <v>744</v>
      </c>
      <c r="G271" s="99" t="s">
        <v>446</v>
      </c>
      <c r="H271" s="99" t="s">
        <v>945</v>
      </c>
      <c r="I271" s="99" t="s">
        <v>946</v>
      </c>
      <c r="J271" s="99" t="s">
        <v>447</v>
      </c>
      <c r="K271" s="99">
        <v>186</v>
      </c>
      <c r="L271" s="99" t="s">
        <v>421</v>
      </c>
      <c r="M271" s="105" t="str">
        <f t="shared" si="5"/>
        <v>View on Google Map</v>
      </c>
    </row>
    <row r="272" spans="1:13" x14ac:dyDescent="0.2">
      <c r="A272" s="99">
        <v>305</v>
      </c>
      <c r="B272" s="99" t="s">
        <v>947</v>
      </c>
      <c r="C272" s="99" t="s">
        <v>948</v>
      </c>
      <c r="D272" s="99" t="s">
        <v>421</v>
      </c>
      <c r="E272" s="99" t="s">
        <v>421</v>
      </c>
      <c r="F272" s="99" t="s">
        <v>421</v>
      </c>
      <c r="G272" s="99" t="s">
        <v>446</v>
      </c>
      <c r="H272" s="99" t="s">
        <v>949</v>
      </c>
      <c r="I272" s="99" t="s">
        <v>950</v>
      </c>
      <c r="J272" s="99" t="s">
        <v>447</v>
      </c>
      <c r="K272" s="99" t="s">
        <v>421</v>
      </c>
      <c r="L272" s="99" t="s">
        <v>836</v>
      </c>
      <c r="M272" s="105" t="str">
        <f t="shared" si="5"/>
        <v>View on Google Map</v>
      </c>
    </row>
    <row r="273" spans="1:13" x14ac:dyDescent="0.2">
      <c r="A273" s="99">
        <v>119</v>
      </c>
      <c r="B273" s="99" t="s">
        <v>951</v>
      </c>
      <c r="C273" s="99" t="s">
        <v>421</v>
      </c>
      <c r="D273" s="99">
        <v>68.618964513199998</v>
      </c>
      <c r="E273" s="99">
        <v>-149.59549733099999</v>
      </c>
      <c r="F273" s="99">
        <v>728</v>
      </c>
      <c r="G273" s="99" t="s">
        <v>432</v>
      </c>
      <c r="H273" s="99" t="s">
        <v>952</v>
      </c>
      <c r="I273" s="99" t="s">
        <v>953</v>
      </c>
      <c r="J273" s="99" t="s">
        <v>447</v>
      </c>
      <c r="K273" s="99" t="s">
        <v>421</v>
      </c>
      <c r="L273" s="99" t="s">
        <v>821</v>
      </c>
      <c r="M273" s="105" t="str">
        <f t="shared" si="5"/>
        <v>View on Google Map</v>
      </c>
    </row>
    <row r="274" spans="1:13" x14ac:dyDescent="0.2">
      <c r="A274" s="99">
        <v>244</v>
      </c>
      <c r="B274" s="99" t="s">
        <v>954</v>
      </c>
      <c r="C274" s="99" t="s">
        <v>421</v>
      </c>
      <c r="D274" s="99">
        <v>68.619383330000005</v>
      </c>
      <c r="E274" s="99">
        <v>-149.59528299999999</v>
      </c>
      <c r="F274" s="99">
        <v>728</v>
      </c>
      <c r="G274" s="99" t="s">
        <v>446</v>
      </c>
      <c r="H274" s="99" t="s">
        <v>955</v>
      </c>
      <c r="I274" s="99" t="s">
        <v>956</v>
      </c>
      <c r="J274" s="99" t="s">
        <v>447</v>
      </c>
      <c r="K274" s="99" t="s">
        <v>421</v>
      </c>
      <c r="L274" s="99" t="s">
        <v>836</v>
      </c>
      <c r="M274" s="105" t="str">
        <f t="shared" si="5"/>
        <v>View on Google Map</v>
      </c>
    </row>
    <row r="275" spans="1:13" x14ac:dyDescent="0.2">
      <c r="B275" s="99" t="s">
        <v>957</v>
      </c>
      <c r="C275" s="99" t="s">
        <v>818</v>
      </c>
      <c r="D275" s="99">
        <v>68.544377999999995</v>
      </c>
      <c r="E275" s="99">
        <v>-149.521467</v>
      </c>
      <c r="G275" s="99" t="s">
        <v>958</v>
      </c>
      <c r="J275" s="24" t="s">
        <v>447</v>
      </c>
      <c r="M275" s="105" t="str">
        <f t="shared" si="5"/>
        <v>View on Google Map</v>
      </c>
    </row>
    <row r="276" spans="1:13" x14ac:dyDescent="0.2">
      <c r="B276" s="99" t="s">
        <v>959</v>
      </c>
      <c r="C276" s="99" t="s">
        <v>818</v>
      </c>
      <c r="D276" s="99">
        <v>68.548204999999996</v>
      </c>
      <c r="E276" s="99">
        <v>-149.52195</v>
      </c>
      <c r="G276" s="99" t="s">
        <v>958</v>
      </c>
      <c r="J276" s="24" t="s">
        <v>447</v>
      </c>
      <c r="M276" s="105" t="str">
        <f t="shared" si="5"/>
        <v>View on Google Map</v>
      </c>
    </row>
    <row r="277" spans="1:13" x14ac:dyDescent="0.2">
      <c r="B277" s="99" t="s">
        <v>960</v>
      </c>
      <c r="C277" s="99" t="s">
        <v>818</v>
      </c>
      <c r="D277" s="99">
        <v>68.548062999999999</v>
      </c>
      <c r="E277" s="99">
        <v>-149.521309</v>
      </c>
      <c r="G277" s="99" t="s">
        <v>958</v>
      </c>
      <c r="J277" s="24" t="s">
        <v>447</v>
      </c>
      <c r="M277" s="105" t="str">
        <f t="shared" si="5"/>
        <v>View on Google Map</v>
      </c>
    </row>
    <row r="278" spans="1:13" x14ac:dyDescent="0.2">
      <c r="B278" s="99" t="s">
        <v>961</v>
      </c>
      <c r="C278" s="99" t="s">
        <v>818</v>
      </c>
      <c r="D278" s="99">
        <v>68.544113999999993</v>
      </c>
      <c r="E278" s="99">
        <v>-149.52220800000001</v>
      </c>
      <c r="G278" s="99" t="s">
        <v>958</v>
      </c>
      <c r="J278" s="24" t="s">
        <v>447</v>
      </c>
      <c r="M278" s="105" t="str">
        <f t="shared" si="5"/>
        <v>View on Google Map</v>
      </c>
    </row>
    <row r="279" spans="1:13" x14ac:dyDescent="0.2">
      <c r="B279" s="99" t="s">
        <v>962</v>
      </c>
      <c r="C279" s="99" t="s">
        <v>818</v>
      </c>
      <c r="D279" s="99">
        <v>68.547873999999993</v>
      </c>
      <c r="E279" s="99">
        <v>-149.52158900000001</v>
      </c>
      <c r="G279" s="99" t="s">
        <v>958</v>
      </c>
      <c r="J279" s="24" t="s">
        <v>447</v>
      </c>
      <c r="M279" s="105" t="str">
        <f t="shared" si="5"/>
        <v>View on Google Map</v>
      </c>
    </row>
    <row r="280" spans="1:13" x14ac:dyDescent="0.2">
      <c r="B280" s="99" t="s">
        <v>963</v>
      </c>
      <c r="C280" s="99" t="s">
        <v>818</v>
      </c>
      <c r="D280" s="99">
        <v>68.616620304999998</v>
      </c>
      <c r="E280" s="99">
        <v>-149.31797396100001</v>
      </c>
      <c r="F280" s="99">
        <v>880.55700000000002</v>
      </c>
      <c r="G280" s="99" t="s">
        <v>958</v>
      </c>
      <c r="J280" s="24" t="s">
        <v>447</v>
      </c>
      <c r="M280" s="105" t="str">
        <f t="shared" si="5"/>
        <v>View on Google Map</v>
      </c>
    </row>
    <row r="281" spans="1:13" x14ac:dyDescent="0.2">
      <c r="B281" s="99" t="s">
        <v>964</v>
      </c>
      <c r="C281" s="99" t="s">
        <v>818</v>
      </c>
      <c r="D281" s="99">
        <v>68.618287679000005</v>
      </c>
      <c r="E281" s="99">
        <v>-149.318578011</v>
      </c>
      <c r="F281" s="99">
        <v>877.59500000000003</v>
      </c>
      <c r="G281" s="99" t="s">
        <v>958</v>
      </c>
      <c r="J281" s="24" t="s">
        <v>447</v>
      </c>
      <c r="M281" s="105" t="str">
        <f t="shared" si="5"/>
        <v>View on Google Map</v>
      </c>
    </row>
    <row r="282" spans="1:13" x14ac:dyDescent="0.2">
      <c r="B282" s="99" t="s">
        <v>965</v>
      </c>
      <c r="C282" s="99" t="s">
        <v>818</v>
      </c>
      <c r="D282" s="99">
        <v>68.619548409999993</v>
      </c>
      <c r="E282" s="99">
        <v>-149.31832187699999</v>
      </c>
      <c r="F282" s="99">
        <v>875.59299999999996</v>
      </c>
      <c r="G282" s="99" t="s">
        <v>958</v>
      </c>
      <c r="J282" s="24" t="s">
        <v>447</v>
      </c>
      <c r="M282" s="105" t="str">
        <f t="shared" si="5"/>
        <v>View on Google Map</v>
      </c>
    </row>
    <row r="283" spans="1:13" x14ac:dyDescent="0.2">
      <c r="B283" s="99" t="s">
        <v>966</v>
      </c>
      <c r="C283" s="99" t="s">
        <v>818</v>
      </c>
      <c r="D283" s="99">
        <v>68.621317497999996</v>
      </c>
      <c r="E283" s="99">
        <v>-149.31921364300001</v>
      </c>
      <c r="F283" s="99">
        <v>874.15200000000004</v>
      </c>
      <c r="G283" s="99" t="s">
        <v>958</v>
      </c>
      <c r="J283" s="24" t="s">
        <v>447</v>
      </c>
      <c r="M283" s="105" t="str">
        <f t="shared" si="5"/>
        <v>View on Google Map</v>
      </c>
    </row>
    <row r="284" spans="1:13" x14ac:dyDescent="0.2">
      <c r="A284" s="99">
        <v>11</v>
      </c>
      <c r="B284" s="99" t="s">
        <v>967</v>
      </c>
      <c r="C284" s="99" t="s">
        <v>421</v>
      </c>
      <c r="D284" s="99" t="s">
        <v>421</v>
      </c>
      <c r="E284" s="99" t="s">
        <v>421</v>
      </c>
      <c r="F284" s="99">
        <v>884</v>
      </c>
      <c r="G284" s="99" t="s">
        <v>446</v>
      </c>
      <c r="H284" s="99" t="s">
        <v>968</v>
      </c>
      <c r="I284" s="99" t="s">
        <v>969</v>
      </c>
      <c r="J284" s="99" t="s">
        <v>447</v>
      </c>
      <c r="K284" s="99" t="s">
        <v>421</v>
      </c>
      <c r="L284" s="99" t="s">
        <v>421</v>
      </c>
      <c r="M284" s="105" t="str">
        <f t="shared" si="5"/>
        <v>View on Google Map</v>
      </c>
    </row>
    <row r="285" spans="1:13" x14ac:dyDescent="0.2">
      <c r="B285" s="99" t="s">
        <v>970</v>
      </c>
      <c r="C285" s="99" t="s">
        <v>818</v>
      </c>
      <c r="D285" s="99">
        <v>68.625256622999999</v>
      </c>
      <c r="E285" s="99">
        <v>-149.32463380199999</v>
      </c>
      <c r="F285" s="99">
        <v>862.80799999999999</v>
      </c>
      <c r="G285" s="99" t="s">
        <v>958</v>
      </c>
      <c r="J285" s="24" t="s">
        <v>447</v>
      </c>
      <c r="M285" s="105" t="str">
        <f t="shared" si="5"/>
        <v>View on Google Map</v>
      </c>
    </row>
    <row r="286" spans="1:13" x14ac:dyDescent="0.2">
      <c r="B286" s="99" t="s">
        <v>971</v>
      </c>
      <c r="C286" s="99" t="s">
        <v>818</v>
      </c>
      <c r="D286" s="99">
        <v>68.641922837999999</v>
      </c>
      <c r="E286" s="99">
        <v>-149.342972559</v>
      </c>
      <c r="F286" s="99">
        <v>834.62599999999998</v>
      </c>
      <c r="G286" s="99" t="s">
        <v>958</v>
      </c>
      <c r="J286" s="24" t="s">
        <v>447</v>
      </c>
      <c r="M286" s="105" t="str">
        <f t="shared" si="5"/>
        <v>View on Google Map</v>
      </c>
    </row>
    <row r="287" spans="1:13" x14ac:dyDescent="0.2">
      <c r="A287" s="99">
        <v>1141</v>
      </c>
      <c r="B287" s="99" t="s">
        <v>972</v>
      </c>
      <c r="C287" s="99" t="s">
        <v>421</v>
      </c>
      <c r="D287" s="99" t="s">
        <v>421</v>
      </c>
      <c r="E287" s="99" t="s">
        <v>421</v>
      </c>
      <c r="F287" s="99" t="s">
        <v>421</v>
      </c>
      <c r="G287" s="99" t="s">
        <v>422</v>
      </c>
      <c r="H287" s="99" t="s">
        <v>973</v>
      </c>
      <c r="I287" s="99" t="s">
        <v>421</v>
      </c>
      <c r="J287" s="99" t="s">
        <v>447</v>
      </c>
      <c r="K287" s="99" t="s">
        <v>421</v>
      </c>
      <c r="L287" s="99" t="s">
        <v>421</v>
      </c>
      <c r="M287" s="105" t="str">
        <f t="shared" si="5"/>
        <v>View on Google Map</v>
      </c>
    </row>
    <row r="288" spans="1:13" x14ac:dyDescent="0.2">
      <c r="A288" s="99">
        <v>1142</v>
      </c>
      <c r="B288" s="99" t="s">
        <v>974</v>
      </c>
      <c r="C288" s="99" t="s">
        <v>421</v>
      </c>
      <c r="D288" s="99" t="s">
        <v>421</v>
      </c>
      <c r="E288" s="99" t="s">
        <v>421</v>
      </c>
      <c r="F288" s="99" t="s">
        <v>421</v>
      </c>
      <c r="G288" s="99" t="s">
        <v>446</v>
      </c>
      <c r="H288" s="99" t="s">
        <v>975</v>
      </c>
      <c r="I288" s="99" t="s">
        <v>421</v>
      </c>
      <c r="J288" s="99" t="s">
        <v>976</v>
      </c>
      <c r="K288" s="99" t="s">
        <v>421</v>
      </c>
      <c r="L288" s="99" t="s">
        <v>421</v>
      </c>
      <c r="M288" s="105" t="str">
        <f t="shared" si="5"/>
        <v>View on Google Map</v>
      </c>
    </row>
    <row r="289" spans="1:13" x14ac:dyDescent="0.2">
      <c r="A289" s="99">
        <v>1143</v>
      </c>
      <c r="B289" s="99" t="s">
        <v>977</v>
      </c>
      <c r="C289" s="99" t="s">
        <v>421</v>
      </c>
      <c r="D289" s="99" t="s">
        <v>421</v>
      </c>
      <c r="E289" s="99" t="s">
        <v>421</v>
      </c>
      <c r="F289" s="99" t="s">
        <v>421</v>
      </c>
      <c r="G289" s="99" t="s">
        <v>446</v>
      </c>
      <c r="H289" s="99" t="s">
        <v>421</v>
      </c>
      <c r="I289" s="99" t="s">
        <v>421</v>
      </c>
      <c r="J289" s="99" t="s">
        <v>976</v>
      </c>
      <c r="K289" s="99" t="s">
        <v>421</v>
      </c>
      <c r="L289" s="99" t="s">
        <v>421</v>
      </c>
      <c r="M289" s="105" t="str">
        <f t="shared" si="5"/>
        <v>View on Google Map</v>
      </c>
    </row>
    <row r="290" spans="1:13" x14ac:dyDescent="0.2">
      <c r="A290" s="99">
        <v>1140</v>
      </c>
      <c r="B290" s="99" t="s">
        <v>978</v>
      </c>
      <c r="C290" s="99" t="s">
        <v>421</v>
      </c>
      <c r="D290" s="99" t="s">
        <v>421</v>
      </c>
      <c r="E290" s="99" t="s">
        <v>421</v>
      </c>
      <c r="F290" s="99" t="s">
        <v>421</v>
      </c>
      <c r="G290" s="99" t="s">
        <v>422</v>
      </c>
      <c r="H290" s="99" t="s">
        <v>979</v>
      </c>
      <c r="I290" s="99" t="s">
        <v>980</v>
      </c>
      <c r="J290" s="99" t="s">
        <v>447</v>
      </c>
      <c r="K290" s="99" t="s">
        <v>421</v>
      </c>
      <c r="L290" s="99" t="s">
        <v>421</v>
      </c>
      <c r="M290" s="105" t="str">
        <f t="shared" si="5"/>
        <v>View on Google Map</v>
      </c>
    </row>
    <row r="291" spans="1:13" x14ac:dyDescent="0.2">
      <c r="A291" s="99">
        <v>1173</v>
      </c>
      <c r="B291" s="99" t="s">
        <v>981</v>
      </c>
      <c r="C291" s="99" t="s">
        <v>421</v>
      </c>
      <c r="D291" s="99" t="s">
        <v>421</v>
      </c>
      <c r="E291" s="99" t="s">
        <v>421</v>
      </c>
      <c r="F291" s="99" t="s">
        <v>421</v>
      </c>
      <c r="G291" s="99" t="s">
        <v>422</v>
      </c>
      <c r="H291" s="99" t="s">
        <v>982</v>
      </c>
      <c r="I291" s="99" t="s">
        <v>421</v>
      </c>
      <c r="J291" s="99" t="s">
        <v>428</v>
      </c>
      <c r="K291" s="99" t="s">
        <v>421</v>
      </c>
      <c r="L291" s="99" t="s">
        <v>429</v>
      </c>
      <c r="M291" s="105" t="str">
        <f t="shared" si="5"/>
        <v>View on Google Map</v>
      </c>
    </row>
    <row r="292" spans="1:13" x14ac:dyDescent="0.2">
      <c r="A292" s="99">
        <v>1144</v>
      </c>
      <c r="B292" s="99" t="s">
        <v>983</v>
      </c>
      <c r="C292" s="99" t="s">
        <v>421</v>
      </c>
      <c r="D292" s="99" t="s">
        <v>421</v>
      </c>
      <c r="E292" s="99" t="s">
        <v>421</v>
      </c>
      <c r="F292" s="99" t="s">
        <v>421</v>
      </c>
      <c r="G292" s="99" t="s">
        <v>446</v>
      </c>
      <c r="H292" s="99" t="s">
        <v>983</v>
      </c>
      <c r="I292" s="99" t="s">
        <v>421</v>
      </c>
      <c r="J292" s="99" t="s">
        <v>976</v>
      </c>
      <c r="K292" s="99" t="s">
        <v>421</v>
      </c>
      <c r="L292" s="99" t="s">
        <v>421</v>
      </c>
      <c r="M292" s="105" t="str">
        <f t="shared" si="5"/>
        <v>View on Google Map</v>
      </c>
    </row>
    <row r="293" spans="1:13" x14ac:dyDescent="0.2">
      <c r="A293" s="99">
        <v>1145</v>
      </c>
      <c r="B293" s="99" t="s">
        <v>984</v>
      </c>
      <c r="C293" s="99" t="s">
        <v>421</v>
      </c>
      <c r="D293" s="99" t="s">
        <v>421</v>
      </c>
      <c r="E293" s="99" t="s">
        <v>421</v>
      </c>
      <c r="F293" s="99" t="s">
        <v>421</v>
      </c>
      <c r="G293" s="99" t="s">
        <v>446</v>
      </c>
      <c r="H293" s="99" t="s">
        <v>984</v>
      </c>
      <c r="I293" s="99" t="s">
        <v>421</v>
      </c>
      <c r="J293" s="99" t="s">
        <v>976</v>
      </c>
      <c r="K293" s="99" t="s">
        <v>421</v>
      </c>
      <c r="L293" s="99" t="s">
        <v>421</v>
      </c>
      <c r="M293" s="105" t="str">
        <f t="shared" si="5"/>
        <v>View on Google Map</v>
      </c>
    </row>
    <row r="294" spans="1:13" x14ac:dyDescent="0.2">
      <c r="A294" s="99">
        <v>1146</v>
      </c>
      <c r="B294" s="99" t="s">
        <v>985</v>
      </c>
      <c r="C294" s="99" t="s">
        <v>421</v>
      </c>
      <c r="D294" s="99" t="s">
        <v>421</v>
      </c>
      <c r="E294" s="99" t="s">
        <v>421</v>
      </c>
      <c r="F294" s="99" t="s">
        <v>421</v>
      </c>
      <c r="G294" s="99" t="s">
        <v>422</v>
      </c>
      <c r="H294" s="99" t="s">
        <v>985</v>
      </c>
      <c r="I294" s="99" t="s">
        <v>421</v>
      </c>
      <c r="J294" s="99" t="s">
        <v>976</v>
      </c>
      <c r="K294" s="99" t="s">
        <v>421</v>
      </c>
      <c r="L294" s="99" t="s">
        <v>421</v>
      </c>
      <c r="M294" s="105" t="str">
        <f t="shared" si="5"/>
        <v>View on Google Map</v>
      </c>
    </row>
    <row r="295" spans="1:13" x14ac:dyDescent="0.2">
      <c r="A295" s="99">
        <v>1147</v>
      </c>
      <c r="B295" s="99" t="s">
        <v>986</v>
      </c>
      <c r="C295" s="99" t="s">
        <v>421</v>
      </c>
      <c r="D295" s="99" t="s">
        <v>421</v>
      </c>
      <c r="E295" s="99" t="s">
        <v>421</v>
      </c>
      <c r="F295" s="99" t="s">
        <v>421</v>
      </c>
      <c r="G295" s="99" t="s">
        <v>422</v>
      </c>
      <c r="H295" s="99" t="s">
        <v>986</v>
      </c>
      <c r="I295" s="99" t="s">
        <v>421</v>
      </c>
      <c r="J295" s="99" t="s">
        <v>976</v>
      </c>
      <c r="K295" s="99" t="s">
        <v>421</v>
      </c>
      <c r="L295" s="99" t="s">
        <v>421</v>
      </c>
      <c r="M295" s="105" t="str">
        <f t="shared" si="5"/>
        <v>View on Google Map</v>
      </c>
    </row>
    <row r="296" spans="1:13" x14ac:dyDescent="0.2">
      <c r="A296" s="99">
        <v>1148</v>
      </c>
      <c r="B296" s="99" t="s">
        <v>987</v>
      </c>
      <c r="C296" s="99" t="s">
        <v>421</v>
      </c>
      <c r="D296" s="99" t="s">
        <v>421</v>
      </c>
      <c r="E296" s="99" t="s">
        <v>421</v>
      </c>
      <c r="F296" s="99" t="s">
        <v>421</v>
      </c>
      <c r="G296" s="99" t="s">
        <v>422</v>
      </c>
      <c r="H296" s="99" t="s">
        <v>987</v>
      </c>
      <c r="I296" s="99" t="s">
        <v>988</v>
      </c>
      <c r="J296" s="99" t="s">
        <v>976</v>
      </c>
      <c r="K296" s="99" t="s">
        <v>421</v>
      </c>
      <c r="L296" s="99" t="s">
        <v>421</v>
      </c>
      <c r="M296" s="105" t="str">
        <f t="shared" si="5"/>
        <v>View on Google Map</v>
      </c>
    </row>
    <row r="297" spans="1:13" x14ac:dyDescent="0.2">
      <c r="A297" s="99">
        <v>1149</v>
      </c>
      <c r="B297" s="99" t="s">
        <v>989</v>
      </c>
      <c r="C297" s="99" t="s">
        <v>421</v>
      </c>
      <c r="D297" s="99" t="s">
        <v>421</v>
      </c>
      <c r="E297" s="99" t="s">
        <v>421</v>
      </c>
      <c r="F297" s="99" t="s">
        <v>421</v>
      </c>
      <c r="G297" s="99" t="s">
        <v>422</v>
      </c>
      <c r="H297" s="99" t="s">
        <v>989</v>
      </c>
      <c r="I297" s="99" t="s">
        <v>990</v>
      </c>
      <c r="J297" s="99" t="s">
        <v>976</v>
      </c>
      <c r="K297" s="99" t="s">
        <v>421</v>
      </c>
      <c r="L297" s="99" t="s">
        <v>421</v>
      </c>
      <c r="M297" s="105" t="str">
        <f t="shared" si="5"/>
        <v>View on Google Map</v>
      </c>
    </row>
    <row r="298" spans="1:13" x14ac:dyDescent="0.2">
      <c r="A298" s="99">
        <v>1150</v>
      </c>
      <c r="B298" s="99" t="s">
        <v>991</v>
      </c>
      <c r="C298" s="99" t="s">
        <v>421</v>
      </c>
      <c r="D298" s="99" t="s">
        <v>421</v>
      </c>
      <c r="E298" s="99" t="s">
        <v>421</v>
      </c>
      <c r="F298" s="99" t="s">
        <v>421</v>
      </c>
      <c r="G298" s="99" t="s">
        <v>422</v>
      </c>
      <c r="H298" s="99" t="s">
        <v>991</v>
      </c>
      <c r="I298" s="99" t="s">
        <v>992</v>
      </c>
      <c r="J298" s="99" t="s">
        <v>976</v>
      </c>
      <c r="K298" s="99" t="s">
        <v>421</v>
      </c>
      <c r="L298" s="99" t="s">
        <v>421</v>
      </c>
      <c r="M298" s="105" t="str">
        <f t="shared" si="5"/>
        <v>View on Google Map</v>
      </c>
    </row>
    <row r="299" spans="1:13" x14ac:dyDescent="0.2">
      <c r="A299" s="99">
        <v>1151</v>
      </c>
      <c r="B299" s="99" t="s">
        <v>993</v>
      </c>
      <c r="C299" s="99" t="s">
        <v>421</v>
      </c>
      <c r="D299" s="99" t="s">
        <v>421</v>
      </c>
      <c r="E299" s="99" t="s">
        <v>421</v>
      </c>
      <c r="F299" s="99" t="s">
        <v>421</v>
      </c>
      <c r="G299" s="99" t="s">
        <v>422</v>
      </c>
      <c r="H299" s="99" t="s">
        <v>993</v>
      </c>
      <c r="I299" s="99" t="s">
        <v>994</v>
      </c>
      <c r="J299" s="99" t="s">
        <v>976</v>
      </c>
      <c r="K299" s="99" t="s">
        <v>421</v>
      </c>
      <c r="L299" s="99" t="s">
        <v>421</v>
      </c>
      <c r="M299" s="105" t="str">
        <f t="shared" si="5"/>
        <v>View on Google Map</v>
      </c>
    </row>
    <row r="300" spans="1:13" x14ac:dyDescent="0.2">
      <c r="A300" s="99">
        <v>1152</v>
      </c>
      <c r="B300" s="99" t="s">
        <v>995</v>
      </c>
      <c r="C300" s="99" t="s">
        <v>421</v>
      </c>
      <c r="D300" s="99" t="s">
        <v>421</v>
      </c>
      <c r="E300" s="99" t="s">
        <v>421</v>
      </c>
      <c r="F300" s="99" t="s">
        <v>421</v>
      </c>
      <c r="G300" s="99" t="s">
        <v>422</v>
      </c>
      <c r="H300" s="99" t="s">
        <v>995</v>
      </c>
      <c r="I300" s="99" t="s">
        <v>996</v>
      </c>
      <c r="J300" s="99" t="s">
        <v>976</v>
      </c>
      <c r="K300" s="99" t="s">
        <v>421</v>
      </c>
      <c r="L300" s="99" t="s">
        <v>421</v>
      </c>
      <c r="M300" s="105" t="str">
        <f t="shared" si="5"/>
        <v>View on Google Map</v>
      </c>
    </row>
    <row r="301" spans="1:13" x14ac:dyDescent="0.2">
      <c r="A301" s="99">
        <v>1153</v>
      </c>
      <c r="B301" s="99" t="s">
        <v>997</v>
      </c>
      <c r="C301" s="99" t="s">
        <v>421</v>
      </c>
      <c r="D301" s="99" t="s">
        <v>421</v>
      </c>
      <c r="E301" s="99" t="s">
        <v>421</v>
      </c>
      <c r="F301" s="99" t="s">
        <v>421</v>
      </c>
      <c r="G301" s="99" t="s">
        <v>422</v>
      </c>
      <c r="H301" s="99" t="s">
        <v>997</v>
      </c>
      <c r="I301" s="99" t="s">
        <v>998</v>
      </c>
      <c r="J301" s="99" t="s">
        <v>976</v>
      </c>
      <c r="K301" s="99" t="s">
        <v>421</v>
      </c>
      <c r="L301" s="99" t="s">
        <v>421</v>
      </c>
      <c r="M301" s="105" t="str">
        <f t="shared" si="5"/>
        <v>View on Google Map</v>
      </c>
    </row>
    <row r="302" spans="1:13" x14ac:dyDescent="0.2">
      <c r="A302" s="99">
        <v>1154</v>
      </c>
      <c r="B302" s="99" t="s">
        <v>999</v>
      </c>
      <c r="C302" s="99" t="s">
        <v>421</v>
      </c>
      <c r="D302" s="99" t="s">
        <v>421</v>
      </c>
      <c r="E302" s="99" t="s">
        <v>421</v>
      </c>
      <c r="F302" s="99" t="s">
        <v>421</v>
      </c>
      <c r="G302" s="99" t="s">
        <v>422</v>
      </c>
      <c r="H302" s="99" t="s">
        <v>999</v>
      </c>
      <c r="I302" s="99" t="s">
        <v>1000</v>
      </c>
      <c r="J302" s="99" t="s">
        <v>976</v>
      </c>
      <c r="K302" s="99" t="s">
        <v>421</v>
      </c>
      <c r="L302" s="99" t="s">
        <v>421</v>
      </c>
      <c r="M302" s="105" t="str">
        <f t="shared" si="5"/>
        <v>View on Google Map</v>
      </c>
    </row>
    <row r="303" spans="1:13" x14ac:dyDescent="0.2">
      <c r="A303" s="99">
        <v>1155</v>
      </c>
      <c r="B303" s="99" t="s">
        <v>1001</v>
      </c>
      <c r="C303" s="99" t="s">
        <v>421</v>
      </c>
      <c r="D303" s="99" t="s">
        <v>421</v>
      </c>
      <c r="E303" s="99" t="s">
        <v>421</v>
      </c>
      <c r="F303" s="99" t="s">
        <v>421</v>
      </c>
      <c r="G303" s="99" t="s">
        <v>422</v>
      </c>
      <c r="H303" s="99" t="s">
        <v>1001</v>
      </c>
      <c r="I303" s="99" t="s">
        <v>1002</v>
      </c>
      <c r="J303" s="99" t="s">
        <v>976</v>
      </c>
      <c r="K303" s="99" t="s">
        <v>421</v>
      </c>
      <c r="L303" s="99" t="s">
        <v>421</v>
      </c>
      <c r="M303" s="105" t="str">
        <f t="shared" si="5"/>
        <v>View on Google Map</v>
      </c>
    </row>
    <row r="304" spans="1:13" x14ac:dyDescent="0.2">
      <c r="A304" s="99">
        <v>1156</v>
      </c>
      <c r="B304" s="99" t="s">
        <v>1003</v>
      </c>
      <c r="C304" s="99" t="s">
        <v>421</v>
      </c>
      <c r="D304" s="99" t="s">
        <v>421</v>
      </c>
      <c r="E304" s="99" t="s">
        <v>421</v>
      </c>
      <c r="F304" s="99" t="s">
        <v>421</v>
      </c>
      <c r="G304" s="99" t="s">
        <v>422</v>
      </c>
      <c r="H304" s="99" t="s">
        <v>1003</v>
      </c>
      <c r="I304" s="99" t="s">
        <v>1004</v>
      </c>
      <c r="J304" s="99" t="s">
        <v>976</v>
      </c>
      <c r="K304" s="99" t="s">
        <v>421</v>
      </c>
      <c r="L304" s="99" t="s">
        <v>421</v>
      </c>
      <c r="M304" s="105" t="str">
        <f t="shared" si="5"/>
        <v>View on Google Map</v>
      </c>
    </row>
    <row r="305" spans="1:13" x14ac:dyDescent="0.2">
      <c r="A305" s="99">
        <v>1157</v>
      </c>
      <c r="B305" s="99" t="s">
        <v>1005</v>
      </c>
      <c r="C305" s="99" t="s">
        <v>421</v>
      </c>
      <c r="D305" s="99" t="s">
        <v>421</v>
      </c>
      <c r="E305" s="99" t="s">
        <v>421</v>
      </c>
      <c r="F305" s="99" t="s">
        <v>421</v>
      </c>
      <c r="G305" s="99" t="s">
        <v>422</v>
      </c>
      <c r="H305" s="99" t="s">
        <v>1005</v>
      </c>
      <c r="I305" s="99" t="s">
        <v>1006</v>
      </c>
      <c r="J305" s="99" t="s">
        <v>976</v>
      </c>
      <c r="K305" s="99" t="s">
        <v>421</v>
      </c>
      <c r="L305" s="99" t="s">
        <v>421</v>
      </c>
      <c r="M305" s="105" t="str">
        <f t="shared" si="5"/>
        <v>View on Google Map</v>
      </c>
    </row>
    <row r="306" spans="1:13" x14ac:dyDescent="0.2">
      <c r="A306" s="99">
        <v>1158</v>
      </c>
      <c r="B306" s="99" t="s">
        <v>1007</v>
      </c>
      <c r="C306" s="99" t="s">
        <v>421</v>
      </c>
      <c r="D306" s="99" t="s">
        <v>421</v>
      </c>
      <c r="E306" s="99" t="s">
        <v>421</v>
      </c>
      <c r="F306" s="99" t="s">
        <v>421</v>
      </c>
      <c r="G306" s="99" t="s">
        <v>422</v>
      </c>
      <c r="H306" s="99" t="s">
        <v>1007</v>
      </c>
      <c r="I306" s="99" t="s">
        <v>1008</v>
      </c>
      <c r="J306" s="99" t="s">
        <v>976</v>
      </c>
      <c r="K306" s="99" t="s">
        <v>421</v>
      </c>
      <c r="L306" s="99" t="s">
        <v>421</v>
      </c>
      <c r="M306" s="105" t="str">
        <f t="shared" si="5"/>
        <v>View on Google Map</v>
      </c>
    </row>
    <row r="307" spans="1:13" x14ac:dyDescent="0.2">
      <c r="A307" s="99">
        <v>1159</v>
      </c>
      <c r="B307" s="99" t="s">
        <v>1009</v>
      </c>
      <c r="C307" s="99" t="s">
        <v>421</v>
      </c>
      <c r="D307" s="99" t="s">
        <v>421</v>
      </c>
      <c r="E307" s="99" t="s">
        <v>421</v>
      </c>
      <c r="F307" s="99" t="s">
        <v>421</v>
      </c>
      <c r="G307" s="99" t="s">
        <v>422</v>
      </c>
      <c r="H307" s="99" t="s">
        <v>1009</v>
      </c>
      <c r="I307" s="99" t="s">
        <v>1010</v>
      </c>
      <c r="J307" s="99" t="s">
        <v>976</v>
      </c>
      <c r="K307" s="99" t="s">
        <v>421</v>
      </c>
      <c r="L307" s="99" t="s">
        <v>421</v>
      </c>
      <c r="M307" s="105" t="str">
        <f t="shared" si="5"/>
        <v>View on Google Map</v>
      </c>
    </row>
    <row r="308" spans="1:13" x14ac:dyDescent="0.2">
      <c r="A308" s="99">
        <v>1160</v>
      </c>
      <c r="B308" s="99" t="s">
        <v>1011</v>
      </c>
      <c r="C308" s="99" t="s">
        <v>421</v>
      </c>
      <c r="D308" s="99" t="s">
        <v>421</v>
      </c>
      <c r="E308" s="99" t="s">
        <v>421</v>
      </c>
      <c r="F308" s="99" t="s">
        <v>421</v>
      </c>
      <c r="G308" s="99" t="s">
        <v>422</v>
      </c>
      <c r="H308" s="99" t="s">
        <v>1011</v>
      </c>
      <c r="I308" s="99" t="s">
        <v>1012</v>
      </c>
      <c r="J308" s="99" t="s">
        <v>976</v>
      </c>
      <c r="K308" s="99" t="s">
        <v>421</v>
      </c>
      <c r="L308" s="99" t="s">
        <v>421</v>
      </c>
      <c r="M308" s="105" t="str">
        <f t="shared" si="5"/>
        <v>View on Google Map</v>
      </c>
    </row>
    <row r="309" spans="1:13" x14ac:dyDescent="0.2">
      <c r="A309" s="99">
        <v>1161</v>
      </c>
      <c r="B309" s="99" t="s">
        <v>1013</v>
      </c>
      <c r="C309" s="99" t="s">
        <v>421</v>
      </c>
      <c r="D309" s="99" t="s">
        <v>421</v>
      </c>
      <c r="E309" s="99" t="s">
        <v>421</v>
      </c>
      <c r="F309" s="99" t="s">
        <v>421</v>
      </c>
      <c r="G309" s="99" t="s">
        <v>422</v>
      </c>
      <c r="H309" s="99" t="s">
        <v>1013</v>
      </c>
      <c r="I309" s="99" t="s">
        <v>1014</v>
      </c>
      <c r="J309" s="99" t="s">
        <v>976</v>
      </c>
      <c r="K309" s="99" t="s">
        <v>421</v>
      </c>
      <c r="L309" s="99" t="s">
        <v>421</v>
      </c>
      <c r="M309" s="105" t="str">
        <f t="shared" si="5"/>
        <v>View on Google Map</v>
      </c>
    </row>
    <row r="310" spans="1:13" x14ac:dyDescent="0.2">
      <c r="A310" s="99">
        <v>1162</v>
      </c>
      <c r="B310" s="99" t="s">
        <v>1015</v>
      </c>
      <c r="C310" s="99" t="s">
        <v>421</v>
      </c>
      <c r="D310" s="99" t="s">
        <v>421</v>
      </c>
      <c r="E310" s="99" t="s">
        <v>421</v>
      </c>
      <c r="F310" s="99" t="s">
        <v>421</v>
      </c>
      <c r="G310" s="99" t="s">
        <v>422</v>
      </c>
      <c r="H310" s="99" t="s">
        <v>1015</v>
      </c>
      <c r="I310" s="99" t="s">
        <v>1016</v>
      </c>
      <c r="J310" s="99" t="s">
        <v>976</v>
      </c>
      <c r="K310" s="99" t="s">
        <v>421</v>
      </c>
      <c r="L310" s="99" t="s">
        <v>421</v>
      </c>
      <c r="M310" s="105" t="str">
        <f t="shared" si="5"/>
        <v>View on Google Map</v>
      </c>
    </row>
    <row r="311" spans="1:13" x14ac:dyDescent="0.2">
      <c r="A311" s="99">
        <v>1163</v>
      </c>
      <c r="B311" s="99" t="s">
        <v>1017</v>
      </c>
      <c r="C311" s="99" t="s">
        <v>421</v>
      </c>
      <c r="D311" s="99" t="s">
        <v>421</v>
      </c>
      <c r="E311" s="99" t="s">
        <v>421</v>
      </c>
      <c r="F311" s="99" t="s">
        <v>421</v>
      </c>
      <c r="G311" s="99" t="s">
        <v>422</v>
      </c>
      <c r="H311" s="99" t="s">
        <v>1017</v>
      </c>
      <c r="I311" s="99" t="s">
        <v>1018</v>
      </c>
      <c r="J311" s="99" t="s">
        <v>976</v>
      </c>
      <c r="K311" s="99" t="s">
        <v>421</v>
      </c>
      <c r="L311" s="99" t="s">
        <v>421</v>
      </c>
      <c r="M311" s="105" t="str">
        <f t="shared" si="5"/>
        <v>View on Google Map</v>
      </c>
    </row>
    <row r="312" spans="1:13" x14ac:dyDescent="0.2">
      <c r="A312" s="99">
        <v>1164</v>
      </c>
      <c r="B312" s="99" t="s">
        <v>1019</v>
      </c>
      <c r="C312" s="99" t="s">
        <v>421</v>
      </c>
      <c r="D312" s="99" t="s">
        <v>421</v>
      </c>
      <c r="E312" s="99" t="s">
        <v>421</v>
      </c>
      <c r="F312" s="99" t="s">
        <v>421</v>
      </c>
      <c r="G312" s="99" t="s">
        <v>422</v>
      </c>
      <c r="H312" s="99" t="s">
        <v>1019</v>
      </c>
      <c r="I312" s="99" t="s">
        <v>1020</v>
      </c>
      <c r="J312" s="99" t="s">
        <v>976</v>
      </c>
      <c r="K312" s="99" t="s">
        <v>421</v>
      </c>
      <c r="L312" s="99" t="s">
        <v>421</v>
      </c>
      <c r="M312" s="105" t="str">
        <f t="shared" si="5"/>
        <v>View on Google Map</v>
      </c>
    </row>
    <row r="313" spans="1:13" x14ac:dyDescent="0.2">
      <c r="A313" s="99">
        <v>1165</v>
      </c>
      <c r="B313" s="99" t="s">
        <v>1021</v>
      </c>
      <c r="C313" s="99" t="s">
        <v>421</v>
      </c>
      <c r="D313" s="99" t="s">
        <v>421</v>
      </c>
      <c r="E313" s="99" t="s">
        <v>421</v>
      </c>
      <c r="F313" s="99" t="s">
        <v>421</v>
      </c>
      <c r="G313" s="99" t="s">
        <v>422</v>
      </c>
      <c r="H313" s="99" t="s">
        <v>1021</v>
      </c>
      <c r="I313" s="99" t="s">
        <v>421</v>
      </c>
      <c r="J313" s="99" t="s">
        <v>976</v>
      </c>
      <c r="K313" s="99" t="s">
        <v>421</v>
      </c>
      <c r="L313" s="99" t="s">
        <v>421</v>
      </c>
      <c r="M313" s="105" t="str">
        <f t="shared" si="5"/>
        <v>View on Google Map</v>
      </c>
    </row>
    <row r="314" spans="1:13" x14ac:dyDescent="0.2">
      <c r="A314" s="99">
        <v>1166</v>
      </c>
      <c r="B314" s="99" t="s">
        <v>1022</v>
      </c>
      <c r="C314" s="99" t="s">
        <v>421</v>
      </c>
      <c r="D314" s="99" t="s">
        <v>421</v>
      </c>
      <c r="E314" s="99" t="s">
        <v>421</v>
      </c>
      <c r="F314" s="99" t="s">
        <v>421</v>
      </c>
      <c r="G314" s="99" t="s">
        <v>422</v>
      </c>
      <c r="H314" s="99" t="s">
        <v>1022</v>
      </c>
      <c r="I314" s="99" t="s">
        <v>421</v>
      </c>
      <c r="J314" s="99" t="s">
        <v>976</v>
      </c>
      <c r="K314" s="99" t="s">
        <v>421</v>
      </c>
      <c r="L314" s="99" t="s">
        <v>421</v>
      </c>
      <c r="M314" s="105" t="str">
        <f t="shared" si="5"/>
        <v>View on Google Map</v>
      </c>
    </row>
    <row r="315" spans="1:13" x14ac:dyDescent="0.2">
      <c r="A315" s="99">
        <v>1167</v>
      </c>
      <c r="B315" s="99" t="s">
        <v>1023</v>
      </c>
      <c r="C315" s="99" t="s">
        <v>1024</v>
      </c>
      <c r="D315" s="99" t="s">
        <v>421</v>
      </c>
      <c r="E315" s="99" t="s">
        <v>421</v>
      </c>
      <c r="F315" s="99" t="s">
        <v>421</v>
      </c>
      <c r="G315" s="99" t="s">
        <v>422</v>
      </c>
      <c r="H315" s="99" t="s">
        <v>1023</v>
      </c>
      <c r="I315" s="99" t="s">
        <v>421</v>
      </c>
      <c r="J315" s="99" t="s">
        <v>423</v>
      </c>
      <c r="K315" s="99" t="s">
        <v>421</v>
      </c>
      <c r="L315" s="99" t="s">
        <v>421</v>
      </c>
      <c r="M315" s="105" t="str">
        <f t="shared" si="5"/>
        <v>View on Google Map</v>
      </c>
    </row>
    <row r="316" spans="1:13" x14ac:dyDescent="0.2">
      <c r="A316" s="99">
        <v>1168</v>
      </c>
      <c r="B316" s="99" t="s">
        <v>1025</v>
      </c>
      <c r="C316" s="99" t="s">
        <v>1024</v>
      </c>
      <c r="D316" s="99" t="s">
        <v>421</v>
      </c>
      <c r="E316" s="99" t="s">
        <v>421</v>
      </c>
      <c r="F316" s="99" t="s">
        <v>421</v>
      </c>
      <c r="G316" s="99" t="s">
        <v>422</v>
      </c>
      <c r="H316" s="99" t="s">
        <v>1025</v>
      </c>
      <c r="I316" s="99" t="s">
        <v>421</v>
      </c>
      <c r="J316" s="99" t="s">
        <v>423</v>
      </c>
      <c r="K316" s="99" t="s">
        <v>421</v>
      </c>
      <c r="L316" s="99" t="s">
        <v>421</v>
      </c>
      <c r="M316" s="105" t="str">
        <f t="shared" si="5"/>
        <v>View on Google Map</v>
      </c>
    </row>
    <row r="317" spans="1:13" x14ac:dyDescent="0.2">
      <c r="A317" s="99">
        <v>125</v>
      </c>
      <c r="B317" s="99" t="s">
        <v>1026</v>
      </c>
      <c r="C317" s="99" t="s">
        <v>421</v>
      </c>
      <c r="D317" s="99">
        <v>68.52364</v>
      </c>
      <c r="E317" s="99">
        <v>-149.48141000000001</v>
      </c>
      <c r="F317" s="99">
        <v>881</v>
      </c>
      <c r="G317" s="99" t="s">
        <v>432</v>
      </c>
      <c r="H317" s="99" t="s">
        <v>1027</v>
      </c>
      <c r="I317" s="99" t="s">
        <v>421</v>
      </c>
      <c r="J317" s="99" t="s">
        <v>447</v>
      </c>
      <c r="K317" s="99" t="s">
        <v>421</v>
      </c>
      <c r="L317" s="99" t="s">
        <v>448</v>
      </c>
      <c r="M317" s="105" t="str">
        <f t="shared" si="5"/>
        <v>View on Google Map</v>
      </c>
    </row>
    <row r="318" spans="1:13" x14ac:dyDescent="0.2">
      <c r="A318" s="99">
        <v>110</v>
      </c>
      <c r="B318" s="99" t="s">
        <v>1028</v>
      </c>
      <c r="C318" s="99" t="s">
        <v>421</v>
      </c>
      <c r="D318" s="99">
        <v>68.687380000000005</v>
      </c>
      <c r="E318" s="99">
        <v>-149.67458999999999</v>
      </c>
      <c r="F318" s="99">
        <v>747</v>
      </c>
      <c r="G318" s="99" t="s">
        <v>432</v>
      </c>
      <c r="H318" s="99" t="s">
        <v>1029</v>
      </c>
      <c r="I318" s="99" t="s">
        <v>421</v>
      </c>
      <c r="J318" s="99" t="s">
        <v>447</v>
      </c>
      <c r="K318" s="99" t="s">
        <v>421</v>
      </c>
      <c r="L318" s="99" t="s">
        <v>421</v>
      </c>
      <c r="M318" s="105" t="str">
        <f t="shared" si="5"/>
        <v>View on Google Map</v>
      </c>
    </row>
    <row r="319" spans="1:13" x14ac:dyDescent="0.2">
      <c r="A319" s="99">
        <v>159</v>
      </c>
      <c r="B319" s="99" t="s">
        <v>1030</v>
      </c>
      <c r="C319" s="99" t="s">
        <v>421</v>
      </c>
      <c r="D319" s="99">
        <v>68.38333333333334</v>
      </c>
      <c r="E319" s="99">
        <v>-149.91666666666666</v>
      </c>
      <c r="F319" s="99">
        <v>681</v>
      </c>
      <c r="G319" s="99" t="s">
        <v>432</v>
      </c>
      <c r="H319" s="99" t="s">
        <v>1031</v>
      </c>
      <c r="I319" s="99" t="s">
        <v>421</v>
      </c>
      <c r="J319" s="99" t="s">
        <v>447</v>
      </c>
      <c r="K319" s="99" t="s">
        <v>421</v>
      </c>
      <c r="L319" s="99" t="s">
        <v>448</v>
      </c>
      <c r="M319" s="105" t="str">
        <f t="shared" si="5"/>
        <v>View on Google Map</v>
      </c>
    </row>
    <row r="320" spans="1:13" x14ac:dyDescent="0.2">
      <c r="B320" s="99" t="s">
        <v>1032</v>
      </c>
      <c r="C320" s="99" t="s">
        <v>1033</v>
      </c>
      <c r="D320" s="99">
        <v>68.590049999999991</v>
      </c>
      <c r="E320" s="99">
        <v>-149.72444166666699</v>
      </c>
      <c r="G320" s="99" t="s">
        <v>958</v>
      </c>
      <c r="J320" s="24" t="s">
        <v>447</v>
      </c>
      <c r="M320" s="105" t="str">
        <f t="shared" si="5"/>
        <v>View on Google Map</v>
      </c>
    </row>
    <row r="321" spans="1:13" x14ac:dyDescent="0.2">
      <c r="B321" s="99" t="s">
        <v>1034</v>
      </c>
      <c r="C321" s="99" t="s">
        <v>1033</v>
      </c>
      <c r="D321" s="99">
        <v>68.590219444444443</v>
      </c>
      <c r="E321" s="99">
        <v>-149.725272222222</v>
      </c>
      <c r="G321" s="99" t="s">
        <v>958</v>
      </c>
      <c r="J321" s="24" t="s">
        <v>447</v>
      </c>
      <c r="M321" s="105" t="str">
        <f t="shared" si="5"/>
        <v>View on Google Map</v>
      </c>
    </row>
    <row r="322" spans="1:13" x14ac:dyDescent="0.2">
      <c r="A322" s="99">
        <v>32</v>
      </c>
      <c r="B322" s="99" t="s">
        <v>1035</v>
      </c>
      <c r="C322" s="99" t="s">
        <v>421</v>
      </c>
      <c r="D322" s="99">
        <v>68.933499999999995</v>
      </c>
      <c r="E322" s="99">
        <v>-150.30600000000001</v>
      </c>
      <c r="F322" s="99" t="s">
        <v>421</v>
      </c>
      <c r="G322" s="99" t="s">
        <v>446</v>
      </c>
      <c r="H322" s="99" t="s">
        <v>1036</v>
      </c>
      <c r="I322" s="99" t="s">
        <v>421</v>
      </c>
      <c r="J322" s="99" t="s">
        <v>482</v>
      </c>
      <c r="K322" s="99" t="s">
        <v>421</v>
      </c>
      <c r="L322" s="99" t="s">
        <v>429</v>
      </c>
      <c r="M322" s="105" t="str">
        <f t="shared" si="5"/>
        <v>View on Google Map</v>
      </c>
    </row>
    <row r="323" spans="1:13" x14ac:dyDescent="0.2">
      <c r="A323" s="99">
        <v>33</v>
      </c>
      <c r="B323" s="99" t="s">
        <v>1037</v>
      </c>
      <c r="C323" s="99" t="s">
        <v>421</v>
      </c>
      <c r="D323" s="99">
        <v>68.908000000000001</v>
      </c>
      <c r="E323" s="99">
        <v>-150.114</v>
      </c>
      <c r="F323" s="99" t="s">
        <v>421</v>
      </c>
      <c r="G323" s="99" t="s">
        <v>446</v>
      </c>
      <c r="H323" s="99" t="s">
        <v>1038</v>
      </c>
      <c r="I323" s="99" t="s">
        <v>421</v>
      </c>
      <c r="J323" s="99" t="s">
        <v>482</v>
      </c>
      <c r="K323" s="99" t="s">
        <v>421</v>
      </c>
      <c r="L323" s="99" t="s">
        <v>429</v>
      </c>
      <c r="M323" s="105" t="str">
        <f t="shared" ref="M323:M386" si="6">HYPERLINK("http://maps.google.com/maps?q="&amp;D323&amp;","&amp;E323,"View on Google Map")</f>
        <v>View on Google Map</v>
      </c>
    </row>
    <row r="324" spans="1:13" x14ac:dyDescent="0.2">
      <c r="A324" s="99">
        <v>1</v>
      </c>
      <c r="B324" s="99" t="s">
        <v>1039</v>
      </c>
      <c r="C324" s="99" t="s">
        <v>1040</v>
      </c>
      <c r="D324" s="99">
        <v>68.639103747222222</v>
      </c>
      <c r="E324" s="99">
        <v>-149.39432556944399</v>
      </c>
      <c r="F324" s="99">
        <v>750.56600000000003</v>
      </c>
      <c r="G324" s="99" t="s">
        <v>958</v>
      </c>
      <c r="J324" s="24" t="s">
        <v>447</v>
      </c>
      <c r="M324" s="105" t="str">
        <f t="shared" si="6"/>
        <v>View on Google Map</v>
      </c>
    </row>
    <row r="325" spans="1:13" x14ac:dyDescent="0.2">
      <c r="A325" s="99">
        <v>1</v>
      </c>
      <c r="B325" s="99" t="s">
        <v>1041</v>
      </c>
      <c r="C325" s="99" t="s">
        <v>1033</v>
      </c>
      <c r="D325" s="99">
        <v>68.638060455555561</v>
      </c>
      <c r="E325" s="99">
        <v>-149.391843363889</v>
      </c>
      <c r="F325" s="99">
        <v>750.601</v>
      </c>
      <c r="G325" s="99" t="s">
        <v>958</v>
      </c>
      <c r="J325" s="24" t="s">
        <v>447</v>
      </c>
      <c r="M325" s="105" t="str">
        <f t="shared" si="6"/>
        <v>View on Google Map</v>
      </c>
    </row>
    <row r="326" spans="1:13" x14ac:dyDescent="0.2">
      <c r="A326" s="99">
        <v>1</v>
      </c>
      <c r="B326" s="99" t="s">
        <v>1042</v>
      </c>
      <c r="C326" s="99" t="s">
        <v>1043</v>
      </c>
      <c r="D326" s="99">
        <v>68.640747866666672</v>
      </c>
      <c r="E326" s="99">
        <v>-149.40056111111099</v>
      </c>
      <c r="F326" s="99">
        <v>747.74400000000003</v>
      </c>
      <c r="G326" s="99" t="s">
        <v>958</v>
      </c>
      <c r="J326" s="24" t="s">
        <v>447</v>
      </c>
      <c r="M326" s="105" t="str">
        <f t="shared" si="6"/>
        <v>View on Google Map</v>
      </c>
    </row>
    <row r="327" spans="1:13" x14ac:dyDescent="0.2">
      <c r="A327" s="99">
        <v>1</v>
      </c>
      <c r="B327" s="99" t="s">
        <v>1044</v>
      </c>
      <c r="C327" s="99" t="s">
        <v>1033</v>
      </c>
      <c r="D327" s="99">
        <v>68.638399647222229</v>
      </c>
      <c r="E327" s="99">
        <v>-149.38922950555599</v>
      </c>
      <c r="F327" s="99">
        <v>752.79899999999998</v>
      </c>
      <c r="G327" s="99" t="s">
        <v>958</v>
      </c>
      <c r="J327" s="24" t="s">
        <v>447</v>
      </c>
      <c r="M327" s="105" t="str">
        <f t="shared" si="6"/>
        <v>View on Google Map</v>
      </c>
    </row>
    <row r="328" spans="1:13" x14ac:dyDescent="0.2">
      <c r="A328" s="99">
        <v>1</v>
      </c>
      <c r="B328" s="99" t="s">
        <v>1045</v>
      </c>
      <c r="C328" s="99" t="s">
        <v>1033</v>
      </c>
      <c r="D328" s="99">
        <v>68.637445127777781</v>
      </c>
      <c r="E328" s="99">
        <v>-149.386685694444</v>
      </c>
      <c r="F328" s="99">
        <v>753.32</v>
      </c>
      <c r="G328" s="99" t="s">
        <v>958</v>
      </c>
      <c r="J328" s="24" t="s">
        <v>447</v>
      </c>
      <c r="M328" s="105" t="str">
        <f t="shared" si="6"/>
        <v>View on Google Map</v>
      </c>
    </row>
    <row r="329" spans="1:13" x14ac:dyDescent="0.2">
      <c r="A329" s="99">
        <v>1</v>
      </c>
      <c r="B329" s="99" t="s">
        <v>1046</v>
      </c>
      <c r="C329" s="99" t="s">
        <v>818</v>
      </c>
      <c r="D329" s="99">
        <v>68.642054250000001</v>
      </c>
      <c r="E329" s="99">
        <v>-149.40350056666699</v>
      </c>
      <c r="F329" s="99">
        <v>746.26800000000003</v>
      </c>
      <c r="G329" s="99" t="s">
        <v>958</v>
      </c>
      <c r="J329" s="24" t="s">
        <v>447</v>
      </c>
      <c r="M329" s="105" t="str">
        <f t="shared" si="6"/>
        <v>View on Google Map</v>
      </c>
    </row>
    <row r="330" spans="1:13" x14ac:dyDescent="0.2">
      <c r="A330" s="99">
        <v>1</v>
      </c>
      <c r="B330" s="99" t="s">
        <v>1047</v>
      </c>
      <c r="C330" s="99" t="s">
        <v>1048</v>
      </c>
      <c r="D330" s="99">
        <v>68.641460652777781</v>
      </c>
      <c r="E330" s="99">
        <v>-149.40187098888899</v>
      </c>
      <c r="F330" s="99">
        <v>747.17499999999995</v>
      </c>
      <c r="G330" s="99" t="s">
        <v>958</v>
      </c>
      <c r="J330" s="24" t="s">
        <v>447</v>
      </c>
      <c r="M330" s="105" t="str">
        <f t="shared" si="6"/>
        <v>View on Google Map</v>
      </c>
    </row>
    <row r="331" spans="1:13" x14ac:dyDescent="0.2">
      <c r="A331" s="99">
        <v>1</v>
      </c>
      <c r="B331" s="99" t="s">
        <v>1049</v>
      </c>
      <c r="C331" s="99" t="s">
        <v>818</v>
      </c>
      <c r="D331" s="99">
        <v>68.643159841666673</v>
      </c>
      <c r="E331" s="99">
        <v>-149.40326701388901</v>
      </c>
      <c r="F331" s="99">
        <v>746.55200000000002</v>
      </c>
      <c r="G331" s="99" t="s">
        <v>958</v>
      </c>
      <c r="J331" s="24" t="s">
        <v>447</v>
      </c>
      <c r="M331" s="105" t="str">
        <f t="shared" si="6"/>
        <v>View on Google Map</v>
      </c>
    </row>
    <row r="332" spans="1:13" x14ac:dyDescent="0.2">
      <c r="A332" s="99">
        <v>1</v>
      </c>
      <c r="B332" s="99" t="s">
        <v>1050</v>
      </c>
      <c r="C332" s="99" t="s">
        <v>1043</v>
      </c>
      <c r="D332" s="99">
        <v>68.636731430555557</v>
      </c>
      <c r="E332" s="99">
        <v>-149.38318683611101</v>
      </c>
      <c r="F332" s="99">
        <v>755.19299999999998</v>
      </c>
      <c r="G332" s="99" t="s">
        <v>958</v>
      </c>
      <c r="J332" s="24" t="s">
        <v>447</v>
      </c>
      <c r="M332" s="105" t="str">
        <f t="shared" si="6"/>
        <v>View on Google Map</v>
      </c>
    </row>
    <row r="333" spans="1:13" x14ac:dyDescent="0.2">
      <c r="A333" s="99">
        <v>1</v>
      </c>
      <c r="B333" s="99" t="s">
        <v>1051</v>
      </c>
      <c r="C333" s="99" t="s">
        <v>1043</v>
      </c>
      <c r="D333" s="99">
        <v>68.643629936111111</v>
      </c>
      <c r="E333" s="99">
        <v>-149.40249773333301</v>
      </c>
      <c r="F333" s="99">
        <v>745.85199999999998</v>
      </c>
      <c r="G333" s="99" t="s">
        <v>958</v>
      </c>
      <c r="J333" s="24" t="s">
        <v>447</v>
      </c>
      <c r="M333" s="105" t="str">
        <f t="shared" si="6"/>
        <v>View on Google Map</v>
      </c>
    </row>
    <row r="334" spans="1:13" x14ac:dyDescent="0.2">
      <c r="A334" s="99">
        <v>1</v>
      </c>
      <c r="B334" s="99" t="s">
        <v>1052</v>
      </c>
      <c r="C334" s="99" t="s">
        <v>1033</v>
      </c>
      <c r="D334" s="99">
        <v>68.644659113888892</v>
      </c>
      <c r="E334" s="99">
        <v>-149.405160461111</v>
      </c>
      <c r="F334" s="99">
        <v>744.06100000000004</v>
      </c>
      <c r="G334" s="99" t="s">
        <v>958</v>
      </c>
      <c r="J334" s="24" t="s">
        <v>447</v>
      </c>
      <c r="M334" s="105" t="str">
        <f t="shared" si="6"/>
        <v>View on Google Map</v>
      </c>
    </row>
    <row r="335" spans="1:13" x14ac:dyDescent="0.2">
      <c r="A335" s="99">
        <v>1</v>
      </c>
      <c r="B335" s="99" t="s">
        <v>1053</v>
      </c>
      <c r="C335" s="99" t="s">
        <v>818</v>
      </c>
      <c r="D335" s="99">
        <v>68.646338200000002</v>
      </c>
      <c r="E335" s="99">
        <v>-149.41002641666699</v>
      </c>
      <c r="F335" s="99">
        <v>741.68899999999996</v>
      </c>
      <c r="G335" s="99" t="s">
        <v>958</v>
      </c>
      <c r="J335" s="24" t="s">
        <v>447</v>
      </c>
      <c r="M335" s="105" t="str">
        <f t="shared" si="6"/>
        <v>View on Google Map</v>
      </c>
    </row>
    <row r="336" spans="1:13" x14ac:dyDescent="0.2">
      <c r="A336" s="99">
        <v>1</v>
      </c>
      <c r="B336" s="99" t="s">
        <v>1054</v>
      </c>
      <c r="C336" s="99" t="s">
        <v>1055</v>
      </c>
      <c r="D336" s="99">
        <v>68.646228841666669</v>
      </c>
      <c r="E336" s="99">
        <v>-149.40909021388899</v>
      </c>
      <c r="F336" s="99">
        <v>742.04</v>
      </c>
      <c r="G336" s="99" t="s">
        <v>958</v>
      </c>
      <c r="J336" s="24" t="s">
        <v>447</v>
      </c>
      <c r="M336" s="105" t="str">
        <f t="shared" si="6"/>
        <v>View on Google Map</v>
      </c>
    </row>
    <row r="337" spans="1:13" x14ac:dyDescent="0.2">
      <c r="A337" s="99">
        <v>1</v>
      </c>
      <c r="B337" s="99" t="s">
        <v>1056</v>
      </c>
      <c r="C337" s="99" t="s">
        <v>1033</v>
      </c>
      <c r="D337" s="99">
        <v>68.647812641666675</v>
      </c>
      <c r="E337" s="99">
        <v>-149.41565431111101</v>
      </c>
      <c r="F337" s="99">
        <v>738.87300000000005</v>
      </c>
      <c r="G337" s="99" t="s">
        <v>958</v>
      </c>
      <c r="J337" s="24" t="s">
        <v>447</v>
      </c>
      <c r="M337" s="105" t="str">
        <f t="shared" si="6"/>
        <v>View on Google Map</v>
      </c>
    </row>
    <row r="338" spans="1:13" x14ac:dyDescent="0.2">
      <c r="A338" s="99">
        <v>1</v>
      </c>
      <c r="B338" s="99" t="s">
        <v>1057</v>
      </c>
      <c r="C338" s="99" t="s">
        <v>818</v>
      </c>
      <c r="D338" s="99">
        <v>68.649547222222225</v>
      </c>
      <c r="E338" s="99">
        <v>-149.41615246388901</v>
      </c>
      <c r="F338" s="99">
        <v>737.07399999999996</v>
      </c>
      <c r="G338" s="99" t="s">
        <v>958</v>
      </c>
      <c r="J338" s="24" t="s">
        <v>447</v>
      </c>
      <c r="M338" s="105" t="str">
        <f t="shared" si="6"/>
        <v>View on Google Map</v>
      </c>
    </row>
    <row r="339" spans="1:13" x14ac:dyDescent="0.2">
      <c r="A339" s="99">
        <v>1</v>
      </c>
      <c r="B339" s="99" t="s">
        <v>1058</v>
      </c>
      <c r="C339" s="99" t="s">
        <v>1043</v>
      </c>
      <c r="D339" s="99">
        <v>68.65164966388889</v>
      </c>
      <c r="E339" s="99">
        <v>-149.41647778611099</v>
      </c>
      <c r="F339" s="99">
        <v>735.41800000000001</v>
      </c>
      <c r="G339" s="99" t="s">
        <v>958</v>
      </c>
      <c r="J339" s="24" t="s">
        <v>447</v>
      </c>
      <c r="M339" s="105" t="str">
        <f t="shared" si="6"/>
        <v>View on Google Map</v>
      </c>
    </row>
    <row r="340" spans="1:13" x14ac:dyDescent="0.2">
      <c r="A340" s="99">
        <v>1</v>
      </c>
      <c r="B340" s="99" t="s">
        <v>1059</v>
      </c>
      <c r="C340" s="99" t="s">
        <v>818</v>
      </c>
      <c r="D340" s="99">
        <v>68.652284541666674</v>
      </c>
      <c r="E340" s="99">
        <v>-149.41517665000001</v>
      </c>
      <c r="F340" s="99">
        <v>734.78499999999997</v>
      </c>
      <c r="G340" s="99" t="s">
        <v>958</v>
      </c>
      <c r="J340" s="24" t="s">
        <v>447</v>
      </c>
      <c r="M340" s="105" t="str">
        <f t="shared" si="6"/>
        <v>View on Google Map</v>
      </c>
    </row>
    <row r="341" spans="1:13" x14ac:dyDescent="0.2">
      <c r="A341" s="99">
        <v>1</v>
      </c>
      <c r="B341" s="99" t="s">
        <v>1060</v>
      </c>
      <c r="C341" s="99" t="s">
        <v>1033</v>
      </c>
      <c r="D341" s="99">
        <v>68.653667241666668</v>
      </c>
      <c r="E341" s="99">
        <v>-149.420855111111</v>
      </c>
      <c r="F341" s="99">
        <v>732.173</v>
      </c>
      <c r="G341" s="99" t="s">
        <v>958</v>
      </c>
      <c r="J341" s="24" t="s">
        <v>447</v>
      </c>
      <c r="M341" s="105" t="str">
        <f t="shared" si="6"/>
        <v>View on Google Map</v>
      </c>
    </row>
    <row r="342" spans="1:13" x14ac:dyDescent="0.2">
      <c r="A342" s="99">
        <v>1</v>
      </c>
      <c r="B342" s="99" t="s">
        <v>1061</v>
      </c>
      <c r="C342" s="99" t="s">
        <v>818</v>
      </c>
      <c r="D342" s="99">
        <v>68.658785577777778</v>
      </c>
      <c r="E342" s="99">
        <v>-149.42446433055599</v>
      </c>
      <c r="F342" s="99">
        <v>726.91899999999998</v>
      </c>
      <c r="G342" s="99" t="s">
        <v>958</v>
      </c>
      <c r="J342" s="24" t="s">
        <v>447</v>
      </c>
      <c r="M342" s="105" t="str">
        <f t="shared" si="6"/>
        <v>View on Google Map</v>
      </c>
    </row>
    <row r="343" spans="1:13" x14ac:dyDescent="0.2">
      <c r="A343" s="99">
        <v>1</v>
      </c>
      <c r="B343" s="99" t="s">
        <v>1062</v>
      </c>
      <c r="C343" s="99" t="s">
        <v>1063</v>
      </c>
      <c r="D343" s="99">
        <v>68.638340663999998</v>
      </c>
      <c r="E343" s="99">
        <v>-149.39350505600001</v>
      </c>
      <c r="G343" s="99" t="s">
        <v>958</v>
      </c>
      <c r="J343" s="24" t="s">
        <v>447</v>
      </c>
      <c r="M343" s="105" t="str">
        <f t="shared" si="6"/>
        <v>View on Google Map</v>
      </c>
    </row>
    <row r="344" spans="1:13" x14ac:dyDescent="0.2">
      <c r="A344" s="99">
        <v>1</v>
      </c>
      <c r="B344" s="24" t="s">
        <v>1064</v>
      </c>
      <c r="C344" s="24" t="s">
        <v>1064</v>
      </c>
      <c r="D344" s="99">
        <v>68.647525999999999</v>
      </c>
      <c r="E344" s="99">
        <v>-149.411416</v>
      </c>
      <c r="F344" s="99">
        <v>731</v>
      </c>
      <c r="G344" s="99" t="s">
        <v>446</v>
      </c>
      <c r="H344" s="99" t="s">
        <v>1065</v>
      </c>
      <c r="I344" s="99" t="s">
        <v>421</v>
      </c>
      <c r="J344" s="99" t="s">
        <v>447</v>
      </c>
      <c r="K344" s="99" t="s">
        <v>421</v>
      </c>
      <c r="L344" s="99" t="s">
        <v>421</v>
      </c>
      <c r="M344" s="105" t="str">
        <f t="shared" si="6"/>
        <v>View on Google Map</v>
      </c>
    </row>
    <row r="345" spans="1:13" x14ac:dyDescent="0.2">
      <c r="A345" s="99">
        <v>19</v>
      </c>
      <c r="B345" s="99" t="s">
        <v>1066</v>
      </c>
      <c r="C345" s="99" t="s">
        <v>421</v>
      </c>
      <c r="D345" s="99">
        <v>68.967611000000005</v>
      </c>
      <c r="E345" s="99">
        <v>-149.705342</v>
      </c>
      <c r="F345" s="99">
        <v>411</v>
      </c>
      <c r="G345" s="99" t="s">
        <v>446</v>
      </c>
      <c r="H345" s="99" t="s">
        <v>1067</v>
      </c>
      <c r="I345" s="99" t="s">
        <v>421</v>
      </c>
      <c r="J345" s="99" t="s">
        <v>447</v>
      </c>
      <c r="K345" s="99" t="s">
        <v>421</v>
      </c>
      <c r="L345" s="99" t="s">
        <v>421</v>
      </c>
      <c r="M345" s="105" t="str">
        <f t="shared" si="6"/>
        <v>View on Google Map</v>
      </c>
    </row>
    <row r="346" spans="1:13" x14ac:dyDescent="0.2">
      <c r="A346" s="99">
        <v>16</v>
      </c>
      <c r="B346" s="99" t="s">
        <v>1068</v>
      </c>
      <c r="C346" s="99" t="s">
        <v>421</v>
      </c>
      <c r="D346" s="99" t="s">
        <v>421</v>
      </c>
      <c r="E346" s="99" t="s">
        <v>421</v>
      </c>
      <c r="F346" s="99" t="s">
        <v>421</v>
      </c>
      <c r="G346" s="99" t="s">
        <v>446</v>
      </c>
      <c r="H346" s="99" t="s">
        <v>421</v>
      </c>
      <c r="I346" s="99" t="s">
        <v>421</v>
      </c>
      <c r="J346" s="99" t="s">
        <v>447</v>
      </c>
      <c r="K346" s="99" t="s">
        <v>421</v>
      </c>
      <c r="L346" s="99" t="s">
        <v>421</v>
      </c>
      <c r="M346" s="105" t="str">
        <f t="shared" si="6"/>
        <v>View on Google Map</v>
      </c>
    </row>
    <row r="347" spans="1:13" x14ac:dyDescent="0.2">
      <c r="A347" s="99">
        <v>1198</v>
      </c>
      <c r="B347" s="99" t="s">
        <v>1069</v>
      </c>
      <c r="C347" s="99" t="s">
        <v>605</v>
      </c>
      <c r="D347" s="99">
        <v>69.297460909999998</v>
      </c>
      <c r="E347" s="99">
        <v>-150.32340117999999</v>
      </c>
      <c r="F347" s="99" t="s">
        <v>421</v>
      </c>
      <c r="G347" s="99" t="s">
        <v>422</v>
      </c>
      <c r="H347" s="99" t="s">
        <v>421</v>
      </c>
      <c r="I347" s="99" t="s">
        <v>421</v>
      </c>
      <c r="J347" s="99" t="s">
        <v>428</v>
      </c>
      <c r="K347" s="99" t="s">
        <v>421</v>
      </c>
      <c r="L347" s="99" t="s">
        <v>429</v>
      </c>
      <c r="M347" s="105" t="str">
        <f t="shared" si="6"/>
        <v>View on Google Map</v>
      </c>
    </row>
    <row r="348" spans="1:13" x14ac:dyDescent="0.2">
      <c r="A348" s="99">
        <v>135</v>
      </c>
      <c r="B348" s="99" t="s">
        <v>1070</v>
      </c>
      <c r="C348" s="99" t="s">
        <v>421</v>
      </c>
      <c r="D348" s="99">
        <v>70.333333333333329</v>
      </c>
      <c r="E348" s="99">
        <v>-148.80000000000001</v>
      </c>
      <c r="F348" s="99">
        <v>4</v>
      </c>
      <c r="G348" s="99" t="s">
        <v>432</v>
      </c>
      <c r="H348" s="99" t="s">
        <v>1071</v>
      </c>
      <c r="I348" s="99" t="s">
        <v>421</v>
      </c>
      <c r="J348" s="99" t="s">
        <v>447</v>
      </c>
      <c r="K348" s="99" t="s">
        <v>421</v>
      </c>
      <c r="L348" s="99" t="s">
        <v>448</v>
      </c>
      <c r="M348" s="105" t="str">
        <f t="shared" si="6"/>
        <v>View on Google Map</v>
      </c>
    </row>
    <row r="349" spans="1:13" x14ac:dyDescent="0.2">
      <c r="A349" s="99">
        <v>126</v>
      </c>
      <c r="B349" s="99" t="s">
        <v>1072</v>
      </c>
      <c r="C349" s="99" t="s">
        <v>421</v>
      </c>
      <c r="D349" s="99">
        <v>68.733333333333334</v>
      </c>
      <c r="E349" s="99">
        <v>-148.93333333333334</v>
      </c>
      <c r="F349" s="99">
        <v>556</v>
      </c>
      <c r="G349" s="99" t="s">
        <v>432</v>
      </c>
      <c r="H349" s="99" t="s">
        <v>1073</v>
      </c>
      <c r="I349" s="99" t="s">
        <v>421</v>
      </c>
      <c r="J349" s="99" t="s">
        <v>447</v>
      </c>
      <c r="K349" s="99" t="s">
        <v>421</v>
      </c>
      <c r="L349" s="99" t="s">
        <v>448</v>
      </c>
      <c r="M349" s="105" t="str">
        <f t="shared" si="6"/>
        <v>View on Google Map</v>
      </c>
    </row>
    <row r="350" spans="1:13" x14ac:dyDescent="0.2">
      <c r="A350" s="99">
        <v>134</v>
      </c>
      <c r="B350" s="99" t="s">
        <v>1074</v>
      </c>
      <c r="C350" s="99" t="s">
        <v>421</v>
      </c>
      <c r="D350" s="99">
        <v>70.349999999999994</v>
      </c>
      <c r="E350" s="99">
        <v>-148.58333333333334</v>
      </c>
      <c r="F350" s="99">
        <v>2</v>
      </c>
      <c r="G350" s="99" t="s">
        <v>432</v>
      </c>
      <c r="H350" s="99" t="s">
        <v>1075</v>
      </c>
      <c r="I350" s="99" t="s">
        <v>421</v>
      </c>
      <c r="J350" s="99" t="s">
        <v>447</v>
      </c>
      <c r="K350" s="99" t="s">
        <v>421</v>
      </c>
      <c r="L350" s="99" t="s">
        <v>448</v>
      </c>
      <c r="M350" s="105" t="str">
        <f t="shared" si="6"/>
        <v>View on Google Map</v>
      </c>
    </row>
    <row r="351" spans="1:13" x14ac:dyDescent="0.2">
      <c r="A351" s="99">
        <v>128</v>
      </c>
      <c r="B351" s="99" t="s">
        <v>1076</v>
      </c>
      <c r="C351" s="99" t="s">
        <v>421</v>
      </c>
      <c r="D351" s="99">
        <v>69.033333333333331</v>
      </c>
      <c r="E351" s="99">
        <v>-148.85</v>
      </c>
      <c r="F351" s="99">
        <v>319</v>
      </c>
      <c r="G351" s="99" t="s">
        <v>432</v>
      </c>
      <c r="H351" s="99" t="s">
        <v>1077</v>
      </c>
      <c r="I351" s="99" t="s">
        <v>421</v>
      </c>
      <c r="J351" s="99" t="s">
        <v>447</v>
      </c>
      <c r="K351" s="99" t="s">
        <v>421</v>
      </c>
      <c r="L351" s="99" t="s">
        <v>448</v>
      </c>
      <c r="M351" s="105" t="str">
        <f t="shared" si="6"/>
        <v>View on Google Map</v>
      </c>
    </row>
    <row r="352" spans="1:13" x14ac:dyDescent="0.2">
      <c r="A352" s="99">
        <v>139</v>
      </c>
      <c r="B352" s="99" t="s">
        <v>1078</v>
      </c>
      <c r="C352" s="99" t="s">
        <v>421</v>
      </c>
      <c r="D352" s="99">
        <v>70.216666666666669</v>
      </c>
      <c r="E352" s="99">
        <v>-142.46666666666701</v>
      </c>
      <c r="F352" s="99">
        <v>15</v>
      </c>
      <c r="G352" s="99" t="s">
        <v>432</v>
      </c>
      <c r="H352" s="99" t="s">
        <v>1079</v>
      </c>
      <c r="I352" s="99" t="s">
        <v>1080</v>
      </c>
      <c r="J352" s="99" t="s">
        <v>447</v>
      </c>
      <c r="K352" s="99" t="s">
        <v>421</v>
      </c>
      <c r="L352" s="99" t="s">
        <v>448</v>
      </c>
      <c r="M352" s="105" t="str">
        <f t="shared" si="6"/>
        <v>View on Google Map</v>
      </c>
    </row>
    <row r="353" spans="1:14" x14ac:dyDescent="0.2">
      <c r="A353" s="99">
        <v>127</v>
      </c>
      <c r="B353" s="99" t="s">
        <v>1081</v>
      </c>
      <c r="C353" s="99" t="s">
        <v>421</v>
      </c>
      <c r="D353" s="99">
        <v>68.733333333333334</v>
      </c>
      <c r="E353" s="99">
        <v>-148.96666666666667</v>
      </c>
      <c r="F353" s="99">
        <v>597</v>
      </c>
      <c r="G353" s="99" t="s">
        <v>432</v>
      </c>
      <c r="H353" s="99" t="s">
        <v>1082</v>
      </c>
      <c r="I353" s="99" t="s">
        <v>421</v>
      </c>
      <c r="J353" s="99" t="s">
        <v>447</v>
      </c>
      <c r="K353" s="99" t="s">
        <v>421</v>
      </c>
      <c r="L353" s="99" t="s">
        <v>448</v>
      </c>
      <c r="M353" s="105" t="str">
        <f t="shared" si="6"/>
        <v>View on Google Map</v>
      </c>
    </row>
    <row r="354" spans="1:14" x14ac:dyDescent="0.2">
      <c r="A354" s="99">
        <v>133</v>
      </c>
      <c r="B354" s="99" t="s">
        <v>1083</v>
      </c>
      <c r="C354" s="99" t="s">
        <v>421</v>
      </c>
      <c r="D354" s="99">
        <v>70.36666666666666</v>
      </c>
      <c r="E354" s="99">
        <v>-148.5</v>
      </c>
      <c r="F354" s="99">
        <v>2</v>
      </c>
      <c r="G354" s="99" t="s">
        <v>432</v>
      </c>
      <c r="H354" s="99" t="s">
        <v>1084</v>
      </c>
      <c r="I354" s="99" t="s">
        <v>421</v>
      </c>
      <c r="J354" s="99" t="s">
        <v>447</v>
      </c>
      <c r="K354" s="99" t="s">
        <v>421</v>
      </c>
      <c r="L354" s="99" t="s">
        <v>448</v>
      </c>
      <c r="M354" s="105" t="str">
        <f t="shared" si="6"/>
        <v>View on Google Map</v>
      </c>
    </row>
    <row r="355" spans="1:14" x14ac:dyDescent="0.2">
      <c r="A355" s="99">
        <v>140</v>
      </c>
      <c r="B355" s="99" t="s">
        <v>1085</v>
      </c>
      <c r="C355" s="99" t="s">
        <v>421</v>
      </c>
      <c r="D355" s="99">
        <v>69.583333333333329</v>
      </c>
      <c r="E355" s="99">
        <v>-148.63333333333301</v>
      </c>
      <c r="F355" s="99">
        <v>145</v>
      </c>
      <c r="G355" s="99" t="s">
        <v>432</v>
      </c>
      <c r="H355" s="99" t="s">
        <v>1086</v>
      </c>
      <c r="I355" s="99" t="s">
        <v>1087</v>
      </c>
      <c r="J355" s="99" t="s">
        <v>447</v>
      </c>
      <c r="K355" s="99" t="s">
        <v>421</v>
      </c>
      <c r="L355" s="99" t="s">
        <v>448</v>
      </c>
      <c r="M355" s="105" t="str">
        <f t="shared" si="6"/>
        <v>View on Google Map</v>
      </c>
    </row>
    <row r="356" spans="1:14" x14ac:dyDescent="0.2">
      <c r="A356" s="99">
        <v>247</v>
      </c>
      <c r="B356" s="99" t="s">
        <v>1088</v>
      </c>
      <c r="C356" s="99" t="s">
        <v>1089</v>
      </c>
      <c r="D356" s="99">
        <v>68.687318124800001</v>
      </c>
      <c r="E356" s="99">
        <v>-150.043661294</v>
      </c>
      <c r="F356" s="99">
        <v>670</v>
      </c>
      <c r="G356" s="99" t="s">
        <v>432</v>
      </c>
      <c r="H356" s="99" t="s">
        <v>1090</v>
      </c>
      <c r="I356" s="99" t="s">
        <v>421</v>
      </c>
      <c r="J356" s="99" t="s">
        <v>714</v>
      </c>
      <c r="K356" s="99" t="s">
        <v>421</v>
      </c>
      <c r="L356" s="99" t="s">
        <v>715</v>
      </c>
      <c r="M356" s="105" t="str">
        <f t="shared" si="6"/>
        <v>View on Google Map</v>
      </c>
      <c r="N356" s="99">
        <f t="shared" ref="N356:N419" si="7">VALUE(MID(H356,5,3))</f>
        <v>1</v>
      </c>
    </row>
    <row r="357" spans="1:14" x14ac:dyDescent="0.2">
      <c r="A357" s="99">
        <v>248</v>
      </c>
      <c r="B357" s="99" t="s">
        <v>1091</v>
      </c>
      <c r="C357" s="99" t="s">
        <v>1092</v>
      </c>
      <c r="D357" s="99">
        <v>68.691799913400004</v>
      </c>
      <c r="E357" s="99">
        <v>-150.04995633499999</v>
      </c>
      <c r="F357" s="99">
        <v>670</v>
      </c>
      <c r="G357" s="99" t="s">
        <v>432</v>
      </c>
      <c r="H357" s="99" t="s">
        <v>1093</v>
      </c>
      <c r="I357" s="99" t="s">
        <v>421</v>
      </c>
      <c r="J357" s="99" t="s">
        <v>714</v>
      </c>
      <c r="K357" s="99" t="s">
        <v>421</v>
      </c>
      <c r="L357" s="99" t="s">
        <v>715</v>
      </c>
      <c r="M357" s="105" t="str">
        <f t="shared" si="6"/>
        <v>View on Google Map</v>
      </c>
      <c r="N357" s="99">
        <f t="shared" si="7"/>
        <v>2</v>
      </c>
    </row>
    <row r="358" spans="1:14" x14ac:dyDescent="0.2">
      <c r="A358" s="99">
        <v>249</v>
      </c>
      <c r="B358" s="99" t="s">
        <v>1094</v>
      </c>
      <c r="C358" s="99" t="s">
        <v>1095</v>
      </c>
      <c r="D358" s="99">
        <v>68.692272706200001</v>
      </c>
      <c r="E358" s="99">
        <v>-150.05393183499999</v>
      </c>
      <c r="F358" s="99">
        <v>670</v>
      </c>
      <c r="G358" s="99" t="s">
        <v>432</v>
      </c>
      <c r="H358" s="99" t="s">
        <v>1096</v>
      </c>
      <c r="I358" s="99" t="s">
        <v>421</v>
      </c>
      <c r="J358" s="99" t="s">
        <v>714</v>
      </c>
      <c r="K358" s="99" t="s">
        <v>421</v>
      </c>
      <c r="L358" s="99" t="s">
        <v>715</v>
      </c>
      <c r="M358" s="105" t="str">
        <f t="shared" si="6"/>
        <v>View on Google Map</v>
      </c>
      <c r="N358" s="99">
        <f t="shared" si="7"/>
        <v>3</v>
      </c>
    </row>
    <row r="359" spans="1:14" x14ac:dyDescent="0.2">
      <c r="A359" s="99">
        <v>250</v>
      </c>
      <c r="B359" s="99" t="s">
        <v>1097</v>
      </c>
      <c r="C359" s="99" t="s">
        <v>1098</v>
      </c>
      <c r="D359" s="99">
        <v>68.694180615799993</v>
      </c>
      <c r="E359" s="99">
        <v>-150.05828837300001</v>
      </c>
      <c r="F359" s="99">
        <v>670</v>
      </c>
      <c r="G359" s="99" t="s">
        <v>432</v>
      </c>
      <c r="H359" s="99" t="s">
        <v>1099</v>
      </c>
      <c r="I359" s="99" t="s">
        <v>421</v>
      </c>
      <c r="J359" s="99" t="s">
        <v>714</v>
      </c>
      <c r="K359" s="99" t="s">
        <v>421</v>
      </c>
      <c r="L359" s="99" t="s">
        <v>715</v>
      </c>
      <c r="M359" s="105" t="str">
        <f t="shared" si="6"/>
        <v>View on Google Map</v>
      </c>
      <c r="N359" s="99">
        <f t="shared" si="7"/>
        <v>4</v>
      </c>
    </row>
    <row r="360" spans="1:14" x14ac:dyDescent="0.2">
      <c r="A360" s="99">
        <v>251</v>
      </c>
      <c r="B360" s="99" t="s">
        <v>1100</v>
      </c>
      <c r="C360" s="99" t="s">
        <v>1101</v>
      </c>
      <c r="D360" s="99">
        <v>68.7077131315</v>
      </c>
      <c r="E360" s="99">
        <v>-150.04654580600001</v>
      </c>
      <c r="F360" s="99">
        <v>580</v>
      </c>
      <c r="G360" s="99" t="s">
        <v>432</v>
      </c>
      <c r="H360" s="99" t="s">
        <v>1102</v>
      </c>
      <c r="I360" s="99" t="s">
        <v>421</v>
      </c>
      <c r="J360" s="99" t="s">
        <v>714</v>
      </c>
      <c r="K360" s="99" t="s">
        <v>421</v>
      </c>
      <c r="L360" s="99" t="s">
        <v>715</v>
      </c>
      <c r="M360" s="105" t="str">
        <f t="shared" si="6"/>
        <v>View on Google Map</v>
      </c>
      <c r="N360" s="99">
        <f t="shared" si="7"/>
        <v>5</v>
      </c>
    </row>
    <row r="361" spans="1:14" x14ac:dyDescent="0.2">
      <c r="A361" s="99">
        <v>252</v>
      </c>
      <c r="B361" s="99" t="s">
        <v>1103</v>
      </c>
      <c r="C361" s="99" t="s">
        <v>1104</v>
      </c>
      <c r="D361" s="99">
        <v>68.713583961699996</v>
      </c>
      <c r="E361" s="99">
        <v>-150.03096474</v>
      </c>
      <c r="F361" s="99">
        <v>550</v>
      </c>
      <c r="G361" s="99" t="s">
        <v>432</v>
      </c>
      <c r="H361" s="99" t="s">
        <v>1105</v>
      </c>
      <c r="I361" s="99" t="s">
        <v>421</v>
      </c>
      <c r="J361" s="99" t="s">
        <v>714</v>
      </c>
      <c r="K361" s="99" t="s">
        <v>421</v>
      </c>
      <c r="L361" s="99" t="s">
        <v>715</v>
      </c>
      <c r="M361" s="105" t="str">
        <f t="shared" si="6"/>
        <v>View on Google Map</v>
      </c>
      <c r="N361" s="99">
        <f t="shared" si="7"/>
        <v>6</v>
      </c>
    </row>
    <row r="362" spans="1:14" x14ac:dyDescent="0.2">
      <c r="A362" s="99">
        <v>253</v>
      </c>
      <c r="B362" s="99" t="s">
        <v>1106</v>
      </c>
      <c r="C362" s="99" t="s">
        <v>1107</v>
      </c>
      <c r="D362" s="99">
        <v>68.717696468200003</v>
      </c>
      <c r="E362" s="99">
        <v>-150.03558023400001</v>
      </c>
      <c r="F362" s="99">
        <v>550</v>
      </c>
      <c r="G362" s="99" t="s">
        <v>432</v>
      </c>
      <c r="H362" s="99" t="s">
        <v>1108</v>
      </c>
      <c r="I362" s="99" t="s">
        <v>421</v>
      </c>
      <c r="J362" s="99" t="s">
        <v>714</v>
      </c>
      <c r="K362" s="99" t="s">
        <v>421</v>
      </c>
      <c r="L362" s="99" t="s">
        <v>715</v>
      </c>
      <c r="M362" s="105" t="str">
        <f t="shared" si="6"/>
        <v>View on Google Map</v>
      </c>
      <c r="N362" s="99">
        <f t="shared" si="7"/>
        <v>7</v>
      </c>
    </row>
    <row r="363" spans="1:14" x14ac:dyDescent="0.2">
      <c r="A363" s="99">
        <v>254</v>
      </c>
      <c r="B363" s="99" t="s">
        <v>1109</v>
      </c>
      <c r="C363" s="99" t="s">
        <v>1110</v>
      </c>
      <c r="D363" s="99">
        <v>68.724625849299997</v>
      </c>
      <c r="E363" s="99">
        <v>-150.02664640699999</v>
      </c>
      <c r="F363" s="99">
        <v>520</v>
      </c>
      <c r="G363" s="99" t="s">
        <v>432</v>
      </c>
      <c r="H363" s="99" t="s">
        <v>1111</v>
      </c>
      <c r="I363" s="99" t="s">
        <v>421</v>
      </c>
      <c r="J363" s="99" t="s">
        <v>714</v>
      </c>
      <c r="K363" s="99" t="s">
        <v>421</v>
      </c>
      <c r="L363" s="99" t="s">
        <v>715</v>
      </c>
      <c r="M363" s="105" t="str">
        <f t="shared" si="6"/>
        <v>View on Google Map</v>
      </c>
      <c r="N363" s="99">
        <f t="shared" si="7"/>
        <v>8</v>
      </c>
    </row>
    <row r="364" spans="1:14" x14ac:dyDescent="0.2">
      <c r="A364" s="99">
        <v>255</v>
      </c>
      <c r="B364" s="99" t="s">
        <v>1112</v>
      </c>
      <c r="C364" s="99" t="s">
        <v>1113</v>
      </c>
      <c r="D364" s="99">
        <v>68.728073916699998</v>
      </c>
      <c r="E364" s="99">
        <v>-150.03359923599999</v>
      </c>
      <c r="F364" s="99">
        <v>520</v>
      </c>
      <c r="G364" s="99" t="s">
        <v>432</v>
      </c>
      <c r="H364" s="99" t="s">
        <v>1114</v>
      </c>
      <c r="I364" s="99" t="s">
        <v>421</v>
      </c>
      <c r="J364" s="99" t="s">
        <v>714</v>
      </c>
      <c r="K364" s="99" t="s">
        <v>421</v>
      </c>
      <c r="L364" s="99" t="s">
        <v>715</v>
      </c>
      <c r="M364" s="105" t="str">
        <f t="shared" si="6"/>
        <v>View on Google Map</v>
      </c>
      <c r="N364" s="99">
        <f t="shared" si="7"/>
        <v>9</v>
      </c>
    </row>
    <row r="365" spans="1:14" x14ac:dyDescent="0.2">
      <c r="A365" s="99">
        <v>256</v>
      </c>
      <c r="B365" s="99" t="s">
        <v>1115</v>
      </c>
      <c r="C365" s="99" t="s">
        <v>1116</v>
      </c>
      <c r="D365" s="99">
        <v>68.701700654700005</v>
      </c>
      <c r="E365" s="99">
        <v>-149.74902999599999</v>
      </c>
      <c r="F365" s="99">
        <v>760</v>
      </c>
      <c r="G365" s="99" t="s">
        <v>432</v>
      </c>
      <c r="H365" s="99" t="s">
        <v>1117</v>
      </c>
      <c r="I365" s="99" t="s">
        <v>421</v>
      </c>
      <c r="J365" s="99" t="s">
        <v>714</v>
      </c>
      <c r="K365" s="99" t="s">
        <v>421</v>
      </c>
      <c r="L365" s="99" t="s">
        <v>715</v>
      </c>
      <c r="M365" s="105" t="str">
        <f t="shared" si="6"/>
        <v>View on Google Map</v>
      </c>
      <c r="N365" s="99">
        <f t="shared" si="7"/>
        <v>10</v>
      </c>
    </row>
    <row r="366" spans="1:14" x14ac:dyDescent="0.2">
      <c r="A366" s="99">
        <v>257</v>
      </c>
      <c r="B366" s="99" t="s">
        <v>1118</v>
      </c>
      <c r="C366" s="99" t="s">
        <v>1119</v>
      </c>
      <c r="D366" s="99">
        <v>68.701945515000006</v>
      </c>
      <c r="E366" s="99">
        <v>-149.745520981</v>
      </c>
      <c r="F366" s="99">
        <v>760</v>
      </c>
      <c r="G366" s="99" t="s">
        <v>432</v>
      </c>
      <c r="H366" s="99" t="s">
        <v>1120</v>
      </c>
      <c r="I366" s="99" t="s">
        <v>421</v>
      </c>
      <c r="J366" s="99" t="s">
        <v>714</v>
      </c>
      <c r="K366" s="99" t="s">
        <v>421</v>
      </c>
      <c r="L366" s="99" t="s">
        <v>715</v>
      </c>
      <c r="M366" s="105" t="str">
        <f t="shared" si="6"/>
        <v>View on Google Map</v>
      </c>
      <c r="N366" s="99">
        <f t="shared" si="7"/>
        <v>11</v>
      </c>
    </row>
    <row r="367" spans="1:14" x14ac:dyDescent="0.2">
      <c r="A367" s="99">
        <v>258</v>
      </c>
      <c r="B367" s="99" t="s">
        <v>1121</v>
      </c>
      <c r="C367" s="99" t="s">
        <v>1122</v>
      </c>
      <c r="D367" s="99">
        <v>68.704802601699996</v>
      </c>
      <c r="E367" s="99">
        <v>-149.73409678600001</v>
      </c>
      <c r="F367" s="99">
        <v>730</v>
      </c>
      <c r="G367" s="99" t="s">
        <v>432</v>
      </c>
      <c r="H367" s="99" t="s">
        <v>1123</v>
      </c>
      <c r="I367" s="99" t="s">
        <v>421</v>
      </c>
      <c r="J367" s="99" t="s">
        <v>714</v>
      </c>
      <c r="K367" s="99" t="s">
        <v>421</v>
      </c>
      <c r="L367" s="99" t="s">
        <v>715</v>
      </c>
      <c r="M367" s="105" t="str">
        <f t="shared" si="6"/>
        <v>View on Google Map</v>
      </c>
      <c r="N367" s="99">
        <f t="shared" si="7"/>
        <v>12</v>
      </c>
    </row>
    <row r="368" spans="1:14" x14ac:dyDescent="0.2">
      <c r="A368" s="99">
        <v>259</v>
      </c>
      <c r="B368" s="99" t="s">
        <v>1124</v>
      </c>
      <c r="C368" s="99" t="s">
        <v>1125</v>
      </c>
      <c r="D368" s="99">
        <v>68.703579720799993</v>
      </c>
      <c r="E368" s="99">
        <v>-149.717697128</v>
      </c>
      <c r="F368" s="99">
        <v>690</v>
      </c>
      <c r="G368" s="99" t="s">
        <v>432</v>
      </c>
      <c r="H368" s="99" t="s">
        <v>1126</v>
      </c>
      <c r="I368" s="99" t="s">
        <v>421</v>
      </c>
      <c r="J368" s="99" t="s">
        <v>714</v>
      </c>
      <c r="K368" s="99" t="s">
        <v>421</v>
      </c>
      <c r="L368" s="99" t="s">
        <v>715</v>
      </c>
      <c r="M368" s="105" t="str">
        <f t="shared" si="6"/>
        <v>View on Google Map</v>
      </c>
      <c r="N368" s="99">
        <f t="shared" si="7"/>
        <v>13</v>
      </c>
    </row>
    <row r="369" spans="1:14" x14ac:dyDescent="0.2">
      <c r="A369" s="99">
        <v>260</v>
      </c>
      <c r="B369" s="99" t="s">
        <v>1127</v>
      </c>
      <c r="C369" s="99" t="s">
        <v>1128</v>
      </c>
      <c r="D369" s="99">
        <v>68.702004088500004</v>
      </c>
      <c r="E369" s="99">
        <v>-149.71011160800001</v>
      </c>
      <c r="F369" s="99">
        <v>650</v>
      </c>
      <c r="G369" s="99" t="s">
        <v>432</v>
      </c>
      <c r="H369" s="99" t="s">
        <v>1129</v>
      </c>
      <c r="I369" s="99" t="s">
        <v>421</v>
      </c>
      <c r="J369" s="99" t="s">
        <v>714</v>
      </c>
      <c r="K369" s="99" t="s">
        <v>421</v>
      </c>
      <c r="L369" s="99" t="s">
        <v>715</v>
      </c>
      <c r="M369" s="105" t="str">
        <f t="shared" si="6"/>
        <v>View on Google Map</v>
      </c>
      <c r="N369" s="99">
        <f t="shared" si="7"/>
        <v>14</v>
      </c>
    </row>
    <row r="370" spans="1:14" x14ac:dyDescent="0.2">
      <c r="A370" s="99">
        <v>261</v>
      </c>
      <c r="B370" s="99" t="s">
        <v>1130</v>
      </c>
      <c r="C370" s="99" t="s">
        <v>1131</v>
      </c>
      <c r="D370" s="99">
        <v>68.707978848899998</v>
      </c>
      <c r="E370" s="99">
        <v>-149.715105897</v>
      </c>
      <c r="F370" s="99">
        <v>650</v>
      </c>
      <c r="G370" s="99" t="s">
        <v>432</v>
      </c>
      <c r="H370" s="99" t="s">
        <v>1132</v>
      </c>
      <c r="I370" s="99" t="s">
        <v>421</v>
      </c>
      <c r="J370" s="99" t="s">
        <v>714</v>
      </c>
      <c r="K370" s="99" t="s">
        <v>421</v>
      </c>
      <c r="L370" s="99" t="s">
        <v>715</v>
      </c>
      <c r="M370" s="105" t="str">
        <f t="shared" si="6"/>
        <v>View on Google Map</v>
      </c>
      <c r="N370" s="99">
        <f t="shared" si="7"/>
        <v>15</v>
      </c>
    </row>
    <row r="371" spans="1:14" x14ac:dyDescent="0.2">
      <c r="A371" s="99">
        <v>262</v>
      </c>
      <c r="B371" s="99" t="s">
        <v>1133</v>
      </c>
      <c r="C371" s="99" t="s">
        <v>1134</v>
      </c>
      <c r="D371" s="99">
        <v>68.707847844300005</v>
      </c>
      <c r="E371" s="99">
        <v>-149.69962200099999</v>
      </c>
      <c r="F371" s="99">
        <v>650</v>
      </c>
      <c r="G371" s="99" t="s">
        <v>432</v>
      </c>
      <c r="H371" s="99" t="s">
        <v>1135</v>
      </c>
      <c r="I371" s="99" t="s">
        <v>421</v>
      </c>
      <c r="J371" s="99" t="s">
        <v>714</v>
      </c>
      <c r="K371" s="99" t="s">
        <v>421</v>
      </c>
      <c r="L371" s="99" t="s">
        <v>715</v>
      </c>
      <c r="M371" s="105" t="str">
        <f t="shared" si="6"/>
        <v>View on Google Map</v>
      </c>
      <c r="N371" s="99">
        <f t="shared" si="7"/>
        <v>16</v>
      </c>
    </row>
    <row r="372" spans="1:14" x14ac:dyDescent="0.2">
      <c r="A372" s="99">
        <v>263</v>
      </c>
      <c r="B372" s="99" t="s">
        <v>1136</v>
      </c>
      <c r="C372" s="99" t="s">
        <v>1137</v>
      </c>
      <c r="D372" s="99">
        <v>68.7041606871</v>
      </c>
      <c r="E372" s="99">
        <v>-149.68743035400001</v>
      </c>
      <c r="F372" s="99">
        <v>650</v>
      </c>
      <c r="G372" s="99" t="s">
        <v>432</v>
      </c>
      <c r="H372" s="99" t="s">
        <v>1138</v>
      </c>
      <c r="I372" s="99" t="s">
        <v>421</v>
      </c>
      <c r="J372" s="99" t="s">
        <v>714</v>
      </c>
      <c r="K372" s="99" t="s">
        <v>421</v>
      </c>
      <c r="L372" s="99" t="s">
        <v>715</v>
      </c>
      <c r="M372" s="105" t="str">
        <f t="shared" si="6"/>
        <v>View on Google Map</v>
      </c>
      <c r="N372" s="99">
        <f t="shared" si="7"/>
        <v>17</v>
      </c>
    </row>
    <row r="373" spans="1:14" x14ac:dyDescent="0.2">
      <c r="A373" s="99">
        <v>264</v>
      </c>
      <c r="B373" s="99" t="s">
        <v>1139</v>
      </c>
      <c r="C373" s="99" t="s">
        <v>1140</v>
      </c>
      <c r="D373" s="99">
        <v>68.699385523999993</v>
      </c>
      <c r="E373" s="99">
        <v>-149.69396666399999</v>
      </c>
      <c r="F373" s="99">
        <v>650</v>
      </c>
      <c r="G373" s="99" t="s">
        <v>432</v>
      </c>
      <c r="H373" s="99" t="s">
        <v>1141</v>
      </c>
      <c r="I373" s="99" t="s">
        <v>421</v>
      </c>
      <c r="J373" s="99" t="s">
        <v>714</v>
      </c>
      <c r="K373" s="99" t="s">
        <v>421</v>
      </c>
      <c r="L373" s="99" t="s">
        <v>715</v>
      </c>
      <c r="M373" s="105" t="str">
        <f t="shared" si="6"/>
        <v>View on Google Map</v>
      </c>
      <c r="N373" s="99">
        <f t="shared" si="7"/>
        <v>18</v>
      </c>
    </row>
    <row r="374" spans="1:14" x14ac:dyDescent="0.2">
      <c r="A374" s="99">
        <v>265</v>
      </c>
      <c r="B374" s="99" t="s">
        <v>1142</v>
      </c>
      <c r="C374" s="99" t="s">
        <v>1143</v>
      </c>
      <c r="D374" s="99">
        <v>68.7022801743</v>
      </c>
      <c r="E374" s="99">
        <v>-149.70382138400001</v>
      </c>
      <c r="F374" s="99">
        <v>650</v>
      </c>
      <c r="G374" s="99" t="s">
        <v>432</v>
      </c>
      <c r="H374" s="99" t="s">
        <v>1144</v>
      </c>
      <c r="I374" s="99" t="s">
        <v>421</v>
      </c>
      <c r="J374" s="99" t="s">
        <v>714</v>
      </c>
      <c r="K374" s="99" t="s">
        <v>421</v>
      </c>
      <c r="L374" s="99" t="s">
        <v>715</v>
      </c>
      <c r="M374" s="105" t="str">
        <f t="shared" si="6"/>
        <v>View on Google Map</v>
      </c>
      <c r="N374" s="99">
        <f t="shared" si="7"/>
        <v>19</v>
      </c>
    </row>
    <row r="375" spans="1:14" x14ac:dyDescent="0.2">
      <c r="A375" s="99">
        <v>266</v>
      </c>
      <c r="B375" s="99" t="s">
        <v>1145</v>
      </c>
      <c r="C375" s="99" t="s">
        <v>1146</v>
      </c>
      <c r="D375" s="99">
        <v>68.691324054399999</v>
      </c>
      <c r="E375" s="99">
        <v>-149.78520674699999</v>
      </c>
      <c r="F375" s="99">
        <v>650</v>
      </c>
      <c r="G375" s="99" t="s">
        <v>432</v>
      </c>
      <c r="H375" s="99" t="s">
        <v>1147</v>
      </c>
      <c r="I375" s="99" t="s">
        <v>421</v>
      </c>
      <c r="J375" s="99" t="s">
        <v>714</v>
      </c>
      <c r="K375" s="99" t="s">
        <v>421</v>
      </c>
      <c r="L375" s="99" t="s">
        <v>715</v>
      </c>
      <c r="M375" s="105" t="str">
        <f t="shared" si="6"/>
        <v>View on Google Map</v>
      </c>
      <c r="N375" s="99">
        <f t="shared" si="7"/>
        <v>20</v>
      </c>
    </row>
    <row r="376" spans="1:14" x14ac:dyDescent="0.2">
      <c r="A376" s="99">
        <v>267</v>
      </c>
      <c r="B376" s="99" t="s">
        <v>1148</v>
      </c>
      <c r="C376" s="99" t="s">
        <v>1149</v>
      </c>
      <c r="D376" s="99">
        <v>68.682528721799997</v>
      </c>
      <c r="E376" s="99">
        <v>-149.77156908800001</v>
      </c>
      <c r="F376" s="99">
        <v>630</v>
      </c>
      <c r="G376" s="99" t="s">
        <v>432</v>
      </c>
      <c r="H376" s="99" t="s">
        <v>1150</v>
      </c>
      <c r="I376" s="99" t="s">
        <v>421</v>
      </c>
      <c r="J376" s="99" t="s">
        <v>714</v>
      </c>
      <c r="K376" s="99" t="s">
        <v>421</v>
      </c>
      <c r="L376" s="99" t="s">
        <v>715</v>
      </c>
      <c r="M376" s="105" t="str">
        <f t="shared" si="6"/>
        <v>View on Google Map</v>
      </c>
      <c r="N376" s="99">
        <f t="shared" si="7"/>
        <v>21</v>
      </c>
    </row>
    <row r="377" spans="1:14" x14ac:dyDescent="0.2">
      <c r="A377" s="99">
        <v>268</v>
      </c>
      <c r="B377" s="99" t="s">
        <v>1151</v>
      </c>
      <c r="C377" s="99" t="s">
        <v>1152</v>
      </c>
      <c r="D377" s="99">
        <v>68.6833666064</v>
      </c>
      <c r="E377" s="99">
        <v>-149.78602037900001</v>
      </c>
      <c r="F377" s="99">
        <v>620</v>
      </c>
      <c r="G377" s="99" t="s">
        <v>432</v>
      </c>
      <c r="H377" s="99" t="s">
        <v>1153</v>
      </c>
      <c r="I377" s="99" t="s">
        <v>421</v>
      </c>
      <c r="J377" s="99" t="s">
        <v>714</v>
      </c>
      <c r="K377" s="99" t="s">
        <v>421</v>
      </c>
      <c r="L377" s="99" t="s">
        <v>715</v>
      </c>
      <c r="M377" s="105" t="str">
        <f t="shared" si="6"/>
        <v>View on Google Map</v>
      </c>
      <c r="N377" s="99">
        <f t="shared" si="7"/>
        <v>22</v>
      </c>
    </row>
    <row r="378" spans="1:14" x14ac:dyDescent="0.2">
      <c r="A378" s="99">
        <v>269</v>
      </c>
      <c r="B378" s="99" t="s">
        <v>1154</v>
      </c>
      <c r="C378" s="99" t="s">
        <v>1155</v>
      </c>
      <c r="D378" s="99">
        <v>68.685049484000004</v>
      </c>
      <c r="E378" s="99">
        <v>-149.801322572</v>
      </c>
      <c r="F378" s="99">
        <v>590</v>
      </c>
      <c r="G378" s="99" t="s">
        <v>432</v>
      </c>
      <c r="H378" s="99" t="s">
        <v>1156</v>
      </c>
      <c r="I378" s="99" t="s">
        <v>421</v>
      </c>
      <c r="J378" s="99" t="s">
        <v>714</v>
      </c>
      <c r="K378" s="99" t="s">
        <v>421</v>
      </c>
      <c r="L378" s="99" t="s">
        <v>715</v>
      </c>
      <c r="M378" s="105" t="str">
        <f t="shared" si="6"/>
        <v>View on Google Map</v>
      </c>
      <c r="N378" s="99">
        <f t="shared" si="7"/>
        <v>23</v>
      </c>
    </row>
    <row r="379" spans="1:14" x14ac:dyDescent="0.2">
      <c r="A379" s="99">
        <v>270</v>
      </c>
      <c r="B379" s="99" t="s">
        <v>1157</v>
      </c>
      <c r="C379" s="99" t="s">
        <v>1158</v>
      </c>
      <c r="D379" s="99">
        <v>68.6853960145</v>
      </c>
      <c r="E379" s="99">
        <v>-149.80798693200001</v>
      </c>
      <c r="F379" s="99">
        <v>590</v>
      </c>
      <c r="G379" s="99" t="s">
        <v>432</v>
      </c>
      <c r="H379" s="99" t="s">
        <v>1159</v>
      </c>
      <c r="I379" s="99" t="s">
        <v>421</v>
      </c>
      <c r="J379" s="99" t="s">
        <v>714</v>
      </c>
      <c r="K379" s="99" t="s">
        <v>421</v>
      </c>
      <c r="L379" s="99" t="s">
        <v>715</v>
      </c>
      <c r="M379" s="105" t="str">
        <f t="shared" si="6"/>
        <v>View on Google Map</v>
      </c>
      <c r="N379" s="99">
        <f t="shared" si="7"/>
        <v>24</v>
      </c>
    </row>
    <row r="380" spans="1:14" x14ac:dyDescent="0.2">
      <c r="A380" s="99">
        <v>271</v>
      </c>
      <c r="B380" s="99" t="s">
        <v>1160</v>
      </c>
      <c r="C380" s="99" t="s">
        <v>1161</v>
      </c>
      <c r="D380" s="99">
        <v>68.682885549900007</v>
      </c>
      <c r="E380" s="99">
        <v>-149.809163652</v>
      </c>
      <c r="F380" s="99">
        <v>590</v>
      </c>
      <c r="G380" s="99" t="s">
        <v>432</v>
      </c>
      <c r="H380" s="99" t="s">
        <v>1162</v>
      </c>
      <c r="I380" s="99" t="s">
        <v>421</v>
      </c>
      <c r="J380" s="99" t="s">
        <v>714</v>
      </c>
      <c r="K380" s="99" t="s">
        <v>421</v>
      </c>
      <c r="L380" s="99" t="s">
        <v>715</v>
      </c>
      <c r="M380" s="105" t="str">
        <f t="shared" si="6"/>
        <v>View on Google Map</v>
      </c>
      <c r="N380" s="99">
        <f t="shared" si="7"/>
        <v>25</v>
      </c>
    </row>
    <row r="381" spans="1:14" x14ac:dyDescent="0.2">
      <c r="A381" s="99">
        <v>272</v>
      </c>
      <c r="B381" s="99" t="s">
        <v>1163</v>
      </c>
      <c r="C381" s="99" t="s">
        <v>1164</v>
      </c>
      <c r="D381" s="99">
        <v>68.682270906200003</v>
      </c>
      <c r="E381" s="99">
        <v>-149.81202356599999</v>
      </c>
      <c r="F381" s="99" t="s">
        <v>421</v>
      </c>
      <c r="G381" s="99" t="s">
        <v>432</v>
      </c>
      <c r="H381" s="99" t="s">
        <v>1165</v>
      </c>
      <c r="I381" s="99" t="s">
        <v>421</v>
      </c>
      <c r="J381" s="99" t="s">
        <v>714</v>
      </c>
      <c r="K381" s="99" t="s">
        <v>421</v>
      </c>
      <c r="L381" s="99" t="s">
        <v>715</v>
      </c>
      <c r="M381" s="105" t="str">
        <f t="shared" si="6"/>
        <v>View on Google Map</v>
      </c>
      <c r="N381" s="99">
        <f t="shared" si="7"/>
        <v>26</v>
      </c>
    </row>
    <row r="382" spans="1:14" x14ac:dyDescent="0.2">
      <c r="A382" s="99">
        <v>315</v>
      </c>
      <c r="B382" s="99" t="s">
        <v>1166</v>
      </c>
      <c r="C382" s="99" t="s">
        <v>1167</v>
      </c>
      <c r="D382" s="99">
        <v>68.568206306199997</v>
      </c>
      <c r="E382" s="99">
        <v>-149.167395043</v>
      </c>
      <c r="F382" s="99" t="s">
        <v>421</v>
      </c>
      <c r="G382" s="99" t="s">
        <v>432</v>
      </c>
      <c r="H382" s="99" t="s">
        <v>1168</v>
      </c>
      <c r="I382" s="99" t="s">
        <v>421</v>
      </c>
      <c r="J382" s="99" t="s">
        <v>714</v>
      </c>
      <c r="K382" s="99" t="s">
        <v>421</v>
      </c>
      <c r="L382" s="99" t="s">
        <v>715</v>
      </c>
      <c r="M382" s="105" t="str">
        <f t="shared" si="6"/>
        <v>View on Google Map</v>
      </c>
      <c r="N382" s="99">
        <f t="shared" si="7"/>
        <v>27</v>
      </c>
    </row>
    <row r="383" spans="1:14" x14ac:dyDescent="0.2">
      <c r="A383" s="99">
        <v>316</v>
      </c>
      <c r="B383" s="99" t="s">
        <v>1169</v>
      </c>
      <c r="C383" s="99" t="s">
        <v>1170</v>
      </c>
      <c r="D383" s="99">
        <v>68.563566134699997</v>
      </c>
      <c r="E383" s="99">
        <v>-149.17548626199999</v>
      </c>
      <c r="F383" s="99" t="s">
        <v>421</v>
      </c>
      <c r="G383" s="99" t="s">
        <v>432</v>
      </c>
      <c r="H383" s="99" t="s">
        <v>1171</v>
      </c>
      <c r="I383" s="99" t="s">
        <v>421</v>
      </c>
      <c r="J383" s="99" t="s">
        <v>714</v>
      </c>
      <c r="K383" s="99" t="s">
        <v>421</v>
      </c>
      <c r="L383" s="99" t="s">
        <v>715</v>
      </c>
      <c r="M383" s="105" t="str">
        <f t="shared" si="6"/>
        <v>View on Google Map</v>
      </c>
      <c r="N383" s="99">
        <f t="shared" si="7"/>
        <v>28</v>
      </c>
    </row>
    <row r="384" spans="1:14" x14ac:dyDescent="0.2">
      <c r="A384" s="99">
        <v>317</v>
      </c>
      <c r="B384" s="99" t="s">
        <v>1172</v>
      </c>
      <c r="C384" s="99" t="s">
        <v>1173</v>
      </c>
      <c r="D384" s="99">
        <v>68.567753827800004</v>
      </c>
      <c r="E384" s="99">
        <v>-149.18255546</v>
      </c>
      <c r="F384" s="99" t="s">
        <v>421</v>
      </c>
      <c r="G384" s="99" t="s">
        <v>432</v>
      </c>
      <c r="H384" s="99" t="s">
        <v>1174</v>
      </c>
      <c r="I384" s="99" t="s">
        <v>421</v>
      </c>
      <c r="J384" s="99" t="s">
        <v>714</v>
      </c>
      <c r="K384" s="99" t="s">
        <v>421</v>
      </c>
      <c r="L384" s="99" t="s">
        <v>715</v>
      </c>
      <c r="M384" s="105" t="str">
        <f t="shared" si="6"/>
        <v>View on Google Map</v>
      </c>
      <c r="N384" s="99">
        <f t="shared" si="7"/>
        <v>29</v>
      </c>
    </row>
    <row r="385" spans="1:14" x14ac:dyDescent="0.2">
      <c r="A385" s="99">
        <v>318</v>
      </c>
      <c r="B385" s="99" t="s">
        <v>1175</v>
      </c>
      <c r="C385" s="99" t="s">
        <v>1176</v>
      </c>
      <c r="D385" s="99">
        <v>68.575143231300004</v>
      </c>
      <c r="E385" s="99">
        <v>-149.187493434</v>
      </c>
      <c r="F385" s="99">
        <v>899</v>
      </c>
      <c r="G385" s="99" t="s">
        <v>432</v>
      </c>
      <c r="H385" s="99" t="s">
        <v>1177</v>
      </c>
      <c r="I385" s="99" t="s">
        <v>421</v>
      </c>
      <c r="J385" s="99" t="s">
        <v>714</v>
      </c>
      <c r="K385" s="99" t="s">
        <v>421</v>
      </c>
      <c r="L385" s="99" t="s">
        <v>715</v>
      </c>
      <c r="M385" s="105" t="str">
        <f t="shared" si="6"/>
        <v>View on Google Map</v>
      </c>
      <c r="N385" s="99">
        <f t="shared" si="7"/>
        <v>30</v>
      </c>
    </row>
    <row r="386" spans="1:14" x14ac:dyDescent="0.2">
      <c r="A386" s="99">
        <v>319</v>
      </c>
      <c r="B386" s="99" t="s">
        <v>1178</v>
      </c>
      <c r="C386" s="99" t="s">
        <v>1179</v>
      </c>
      <c r="D386" s="99">
        <v>68.575979722100001</v>
      </c>
      <c r="E386" s="99">
        <v>-149.19939190100001</v>
      </c>
      <c r="F386" s="99" t="s">
        <v>421</v>
      </c>
      <c r="G386" s="99" t="s">
        <v>432</v>
      </c>
      <c r="H386" s="99" t="s">
        <v>1180</v>
      </c>
      <c r="I386" s="99" t="s">
        <v>421</v>
      </c>
      <c r="J386" s="99" t="s">
        <v>714</v>
      </c>
      <c r="K386" s="99" t="s">
        <v>421</v>
      </c>
      <c r="L386" s="99" t="s">
        <v>715</v>
      </c>
      <c r="M386" s="105" t="str">
        <f t="shared" si="6"/>
        <v>View on Google Map</v>
      </c>
      <c r="N386" s="99">
        <f t="shared" si="7"/>
        <v>31</v>
      </c>
    </row>
    <row r="387" spans="1:14" x14ac:dyDescent="0.2">
      <c r="A387" s="99">
        <v>320</v>
      </c>
      <c r="B387" s="99" t="s">
        <v>1181</v>
      </c>
      <c r="C387" s="99" t="s">
        <v>1182</v>
      </c>
      <c r="D387" s="99">
        <v>68.576887217199996</v>
      </c>
      <c r="E387" s="99">
        <v>-149.17782305899999</v>
      </c>
      <c r="F387" s="99">
        <v>891</v>
      </c>
      <c r="G387" s="99" t="s">
        <v>432</v>
      </c>
      <c r="H387" s="99" t="s">
        <v>1183</v>
      </c>
      <c r="I387" s="99" t="s">
        <v>421</v>
      </c>
      <c r="J387" s="99" t="s">
        <v>714</v>
      </c>
      <c r="K387" s="99" t="s">
        <v>421</v>
      </c>
      <c r="L387" s="99" t="s">
        <v>715</v>
      </c>
      <c r="M387" s="105" t="str">
        <f t="shared" ref="M387:M450" si="8">HYPERLINK("http://maps.google.com/maps?q="&amp;D387&amp;","&amp;E387,"View on Google Map")</f>
        <v>View on Google Map</v>
      </c>
      <c r="N387" s="99">
        <f t="shared" si="7"/>
        <v>32</v>
      </c>
    </row>
    <row r="388" spans="1:14" x14ac:dyDescent="0.2">
      <c r="A388" s="99">
        <v>321</v>
      </c>
      <c r="B388" s="99" t="s">
        <v>1184</v>
      </c>
      <c r="C388" s="99" t="s">
        <v>1185</v>
      </c>
      <c r="D388" s="99">
        <v>68.581215404199995</v>
      </c>
      <c r="E388" s="99">
        <v>-149.17874205800001</v>
      </c>
      <c r="F388" s="99">
        <v>891</v>
      </c>
      <c r="G388" s="99" t="s">
        <v>432</v>
      </c>
      <c r="H388" s="99" t="s">
        <v>1186</v>
      </c>
      <c r="I388" s="99" t="s">
        <v>421</v>
      </c>
      <c r="J388" s="99" t="s">
        <v>714</v>
      </c>
      <c r="K388" s="99" t="s">
        <v>421</v>
      </c>
      <c r="L388" s="99" t="s">
        <v>715</v>
      </c>
      <c r="M388" s="105" t="str">
        <f t="shared" si="8"/>
        <v>View on Google Map</v>
      </c>
      <c r="N388" s="99">
        <f t="shared" si="7"/>
        <v>33</v>
      </c>
    </row>
    <row r="389" spans="1:14" x14ac:dyDescent="0.2">
      <c r="A389" s="99">
        <v>322</v>
      </c>
      <c r="B389" s="99" t="s">
        <v>1187</v>
      </c>
      <c r="C389" s="99" t="s">
        <v>1188</v>
      </c>
      <c r="D389" s="99">
        <v>68.587382761699999</v>
      </c>
      <c r="E389" s="99">
        <v>-149.144248847</v>
      </c>
      <c r="F389" s="99" t="s">
        <v>421</v>
      </c>
      <c r="G389" s="99" t="s">
        <v>432</v>
      </c>
      <c r="H389" s="99" t="s">
        <v>1189</v>
      </c>
      <c r="I389" s="99" t="s">
        <v>421</v>
      </c>
      <c r="J389" s="99" t="s">
        <v>714</v>
      </c>
      <c r="K389" s="99" t="s">
        <v>421</v>
      </c>
      <c r="L389" s="99" t="s">
        <v>715</v>
      </c>
      <c r="M389" s="105" t="str">
        <f t="shared" si="8"/>
        <v>View on Google Map</v>
      </c>
      <c r="N389" s="99">
        <f t="shared" si="7"/>
        <v>34</v>
      </c>
    </row>
    <row r="390" spans="1:14" x14ac:dyDescent="0.2">
      <c r="A390" s="99">
        <v>323</v>
      </c>
      <c r="B390" s="99" t="s">
        <v>1190</v>
      </c>
      <c r="C390" s="99" t="s">
        <v>1191</v>
      </c>
      <c r="D390" s="99">
        <v>68.548407480700007</v>
      </c>
      <c r="E390" s="99">
        <v>-150.03700547700001</v>
      </c>
      <c r="F390" s="99" t="s">
        <v>421</v>
      </c>
      <c r="G390" s="99" t="s">
        <v>432</v>
      </c>
      <c r="H390" s="99" t="s">
        <v>1192</v>
      </c>
      <c r="I390" s="99" t="s">
        <v>421</v>
      </c>
      <c r="J390" s="99" t="s">
        <v>714</v>
      </c>
      <c r="K390" s="99" t="s">
        <v>421</v>
      </c>
      <c r="L390" s="99" t="s">
        <v>715</v>
      </c>
      <c r="M390" s="105" t="str">
        <f t="shared" si="8"/>
        <v>View on Google Map</v>
      </c>
      <c r="N390" s="99">
        <f t="shared" si="7"/>
        <v>35</v>
      </c>
    </row>
    <row r="391" spans="1:14" x14ac:dyDescent="0.2">
      <c r="A391" s="99">
        <v>324</v>
      </c>
      <c r="B391" s="99" t="s">
        <v>1193</v>
      </c>
      <c r="C391" s="99" t="s">
        <v>1194</v>
      </c>
      <c r="D391" s="99">
        <v>68.550052273099993</v>
      </c>
      <c r="E391" s="99">
        <v>-150.02948327199999</v>
      </c>
      <c r="F391" s="99" t="s">
        <v>421</v>
      </c>
      <c r="G391" s="99" t="s">
        <v>432</v>
      </c>
      <c r="H391" s="99" t="s">
        <v>1195</v>
      </c>
      <c r="I391" s="99" t="s">
        <v>421</v>
      </c>
      <c r="J391" s="99" t="s">
        <v>714</v>
      </c>
      <c r="K391" s="99" t="s">
        <v>421</v>
      </c>
      <c r="L391" s="99" t="s">
        <v>715</v>
      </c>
      <c r="M391" s="105" t="str">
        <f t="shared" si="8"/>
        <v>View on Google Map</v>
      </c>
      <c r="N391" s="99">
        <f t="shared" si="7"/>
        <v>36</v>
      </c>
    </row>
    <row r="392" spans="1:14" x14ac:dyDescent="0.2">
      <c r="A392" s="99">
        <v>325</v>
      </c>
      <c r="B392" s="99" t="s">
        <v>1196</v>
      </c>
      <c r="C392" s="99" t="s">
        <v>1197</v>
      </c>
      <c r="D392" s="99">
        <v>68.5460242857</v>
      </c>
      <c r="E392" s="99">
        <v>-150.02463014</v>
      </c>
      <c r="F392" s="99" t="s">
        <v>421</v>
      </c>
      <c r="G392" s="99" t="s">
        <v>432</v>
      </c>
      <c r="H392" s="99" t="s">
        <v>1198</v>
      </c>
      <c r="I392" s="99" t="s">
        <v>421</v>
      </c>
      <c r="J392" s="99" t="s">
        <v>714</v>
      </c>
      <c r="K392" s="99" t="s">
        <v>421</v>
      </c>
      <c r="L392" s="99" t="s">
        <v>715</v>
      </c>
      <c r="M392" s="105" t="str">
        <f t="shared" si="8"/>
        <v>View on Google Map</v>
      </c>
      <c r="N392" s="99">
        <f t="shared" si="7"/>
        <v>37</v>
      </c>
    </row>
    <row r="393" spans="1:14" x14ac:dyDescent="0.2">
      <c r="A393" s="99">
        <v>326</v>
      </c>
      <c r="B393" s="99" t="s">
        <v>1199</v>
      </c>
      <c r="C393" s="99" t="s">
        <v>1200</v>
      </c>
      <c r="D393" s="99">
        <v>68.550135830100004</v>
      </c>
      <c r="E393" s="99">
        <v>-150.01499602000001</v>
      </c>
      <c r="F393" s="99" t="s">
        <v>421</v>
      </c>
      <c r="G393" s="99" t="s">
        <v>432</v>
      </c>
      <c r="H393" s="99" t="s">
        <v>1201</v>
      </c>
      <c r="I393" s="99" t="s">
        <v>421</v>
      </c>
      <c r="J393" s="99" t="s">
        <v>714</v>
      </c>
      <c r="K393" s="99" t="s">
        <v>421</v>
      </c>
      <c r="L393" s="99" t="s">
        <v>715</v>
      </c>
      <c r="M393" s="105" t="str">
        <f t="shared" si="8"/>
        <v>View on Google Map</v>
      </c>
      <c r="N393" s="99">
        <f t="shared" si="7"/>
        <v>38</v>
      </c>
    </row>
    <row r="394" spans="1:14" x14ac:dyDescent="0.2">
      <c r="A394" s="99">
        <v>327</v>
      </c>
      <c r="B394" s="99" t="s">
        <v>1202</v>
      </c>
      <c r="C394" s="99" t="s">
        <v>1203</v>
      </c>
      <c r="D394" s="99">
        <v>68.556356553000001</v>
      </c>
      <c r="E394" s="99">
        <v>-150.01283142599999</v>
      </c>
      <c r="F394" s="99" t="s">
        <v>421</v>
      </c>
      <c r="G394" s="99" t="s">
        <v>432</v>
      </c>
      <c r="H394" s="99" t="s">
        <v>1204</v>
      </c>
      <c r="I394" s="99" t="s">
        <v>421</v>
      </c>
      <c r="J394" s="99" t="s">
        <v>714</v>
      </c>
      <c r="K394" s="99" t="s">
        <v>421</v>
      </c>
      <c r="L394" s="99" t="s">
        <v>715</v>
      </c>
      <c r="M394" s="105" t="str">
        <f t="shared" si="8"/>
        <v>View on Google Map</v>
      </c>
      <c r="N394" s="99">
        <f t="shared" si="7"/>
        <v>39</v>
      </c>
    </row>
    <row r="395" spans="1:14" x14ac:dyDescent="0.2">
      <c r="A395" s="99">
        <v>328</v>
      </c>
      <c r="B395" s="99" t="s">
        <v>1205</v>
      </c>
      <c r="C395" s="99" t="s">
        <v>1206</v>
      </c>
      <c r="D395" s="99">
        <v>68.565564884200001</v>
      </c>
      <c r="E395" s="99">
        <v>-150.00164362699999</v>
      </c>
      <c r="F395" s="99" t="s">
        <v>421</v>
      </c>
      <c r="G395" s="99" t="s">
        <v>432</v>
      </c>
      <c r="H395" s="99" t="s">
        <v>1207</v>
      </c>
      <c r="I395" s="99" t="s">
        <v>421</v>
      </c>
      <c r="J395" s="99" t="s">
        <v>714</v>
      </c>
      <c r="K395" s="99" t="s">
        <v>421</v>
      </c>
      <c r="L395" s="99" t="s">
        <v>715</v>
      </c>
      <c r="M395" s="105" t="str">
        <f t="shared" si="8"/>
        <v>View on Google Map</v>
      </c>
      <c r="N395" s="99">
        <f t="shared" si="7"/>
        <v>40</v>
      </c>
    </row>
    <row r="396" spans="1:14" x14ac:dyDescent="0.2">
      <c r="A396" s="99">
        <v>329</v>
      </c>
      <c r="B396" s="99" t="s">
        <v>1208</v>
      </c>
      <c r="C396" s="99" t="s">
        <v>1209</v>
      </c>
      <c r="D396" s="99">
        <v>68.567838099200003</v>
      </c>
      <c r="E396" s="99">
        <v>-149.99849875500001</v>
      </c>
      <c r="F396" s="99" t="s">
        <v>421</v>
      </c>
      <c r="G396" s="99" t="s">
        <v>432</v>
      </c>
      <c r="H396" s="99" t="s">
        <v>1210</v>
      </c>
      <c r="I396" s="99" t="s">
        <v>421</v>
      </c>
      <c r="J396" s="99" t="s">
        <v>714</v>
      </c>
      <c r="K396" s="99" t="s">
        <v>421</v>
      </c>
      <c r="L396" s="99" t="s">
        <v>715</v>
      </c>
      <c r="M396" s="105" t="str">
        <f t="shared" si="8"/>
        <v>View on Google Map</v>
      </c>
      <c r="N396" s="99">
        <f t="shared" si="7"/>
        <v>41</v>
      </c>
    </row>
    <row r="397" spans="1:14" x14ac:dyDescent="0.2">
      <c r="A397" s="99">
        <v>330</v>
      </c>
      <c r="B397" s="99" t="s">
        <v>1211</v>
      </c>
      <c r="C397" s="99" t="s">
        <v>1212</v>
      </c>
      <c r="D397" s="99">
        <v>68.5855663241</v>
      </c>
      <c r="E397" s="99">
        <v>-149.98167511</v>
      </c>
      <c r="F397" s="99" t="s">
        <v>421</v>
      </c>
      <c r="G397" s="99" t="s">
        <v>432</v>
      </c>
      <c r="H397" s="99" t="s">
        <v>1213</v>
      </c>
      <c r="I397" s="99" t="s">
        <v>421</v>
      </c>
      <c r="J397" s="99" t="s">
        <v>714</v>
      </c>
      <c r="K397" s="99" t="s">
        <v>421</v>
      </c>
      <c r="L397" s="99" t="s">
        <v>715</v>
      </c>
      <c r="M397" s="105" t="str">
        <f t="shared" si="8"/>
        <v>View on Google Map</v>
      </c>
      <c r="N397" s="99">
        <f t="shared" si="7"/>
        <v>42</v>
      </c>
    </row>
    <row r="398" spans="1:14" x14ac:dyDescent="0.2">
      <c r="A398" s="99">
        <v>331</v>
      </c>
      <c r="B398" s="99" t="s">
        <v>1214</v>
      </c>
      <c r="C398" s="99" t="s">
        <v>1215</v>
      </c>
      <c r="D398" s="99">
        <v>68.534049837699996</v>
      </c>
      <c r="E398" s="99">
        <v>-149.157309078</v>
      </c>
      <c r="F398" s="99">
        <v>926</v>
      </c>
      <c r="G398" s="99" t="s">
        <v>432</v>
      </c>
      <c r="H398" s="99" t="s">
        <v>1216</v>
      </c>
      <c r="I398" s="99" t="s">
        <v>421</v>
      </c>
      <c r="J398" s="99" t="s">
        <v>714</v>
      </c>
      <c r="K398" s="99" t="s">
        <v>421</v>
      </c>
      <c r="L398" s="99" t="s">
        <v>715</v>
      </c>
      <c r="M398" s="105" t="str">
        <f t="shared" si="8"/>
        <v>View on Google Map</v>
      </c>
      <c r="N398" s="99">
        <f t="shared" si="7"/>
        <v>43</v>
      </c>
    </row>
    <row r="399" spans="1:14" x14ac:dyDescent="0.2">
      <c r="A399" s="99">
        <v>332</v>
      </c>
      <c r="B399" s="99" t="s">
        <v>1217</v>
      </c>
      <c r="C399" s="99" t="s">
        <v>1218</v>
      </c>
      <c r="D399" s="99">
        <v>68.533584622000006</v>
      </c>
      <c r="E399" s="99">
        <v>-149.16705049699999</v>
      </c>
      <c r="F399" s="99" t="s">
        <v>421</v>
      </c>
      <c r="G399" s="99" t="s">
        <v>432</v>
      </c>
      <c r="H399" s="99" t="s">
        <v>1219</v>
      </c>
      <c r="I399" s="99" t="s">
        <v>421</v>
      </c>
      <c r="J399" s="99" t="s">
        <v>714</v>
      </c>
      <c r="K399" s="99" t="s">
        <v>421</v>
      </c>
      <c r="L399" s="99" t="s">
        <v>715</v>
      </c>
      <c r="M399" s="105" t="str">
        <f t="shared" si="8"/>
        <v>View on Google Map</v>
      </c>
      <c r="N399" s="99">
        <f t="shared" si="7"/>
        <v>44</v>
      </c>
    </row>
    <row r="400" spans="1:14" x14ac:dyDescent="0.2">
      <c r="A400" s="99">
        <v>333</v>
      </c>
      <c r="B400" s="99" t="s">
        <v>1220</v>
      </c>
      <c r="C400" s="99" t="s">
        <v>1221</v>
      </c>
      <c r="D400" s="99">
        <v>68.533269411600003</v>
      </c>
      <c r="E400" s="99">
        <v>-149.19565723900001</v>
      </c>
      <c r="F400" s="99">
        <v>899</v>
      </c>
      <c r="G400" s="99" t="s">
        <v>432</v>
      </c>
      <c r="H400" s="99" t="s">
        <v>1222</v>
      </c>
      <c r="I400" s="99" t="s">
        <v>421</v>
      </c>
      <c r="J400" s="99" t="s">
        <v>714</v>
      </c>
      <c r="K400" s="99" t="s">
        <v>421</v>
      </c>
      <c r="L400" s="99" t="s">
        <v>715</v>
      </c>
      <c r="M400" s="105" t="str">
        <f t="shared" si="8"/>
        <v>View on Google Map</v>
      </c>
      <c r="N400" s="99">
        <f t="shared" si="7"/>
        <v>45</v>
      </c>
    </row>
    <row r="401" spans="1:14" x14ac:dyDescent="0.2">
      <c r="A401" s="99">
        <v>335</v>
      </c>
      <c r="B401" s="99" t="s">
        <v>1223</v>
      </c>
      <c r="C401" s="99" t="s">
        <v>1224</v>
      </c>
      <c r="D401" s="99">
        <v>68.516771954500001</v>
      </c>
      <c r="E401" s="99">
        <v>-150.05742084799999</v>
      </c>
      <c r="F401" s="99" t="s">
        <v>421</v>
      </c>
      <c r="G401" s="99" t="s">
        <v>432</v>
      </c>
      <c r="H401" s="99" t="s">
        <v>1225</v>
      </c>
      <c r="I401" s="99" t="s">
        <v>421</v>
      </c>
      <c r="J401" s="99" t="s">
        <v>714</v>
      </c>
      <c r="K401" s="99" t="s">
        <v>421</v>
      </c>
      <c r="L401" s="99" t="s">
        <v>715</v>
      </c>
      <c r="M401" s="105" t="str">
        <f t="shared" si="8"/>
        <v>View on Google Map</v>
      </c>
      <c r="N401" s="99">
        <f t="shared" si="7"/>
        <v>47</v>
      </c>
    </row>
    <row r="402" spans="1:14" x14ac:dyDescent="0.2">
      <c r="A402" s="99">
        <v>336</v>
      </c>
      <c r="B402" s="99" t="s">
        <v>1226</v>
      </c>
      <c r="C402" s="99" t="s">
        <v>1227</v>
      </c>
      <c r="D402" s="99">
        <v>68.531484729400006</v>
      </c>
      <c r="E402" s="99">
        <v>-150.04821666999999</v>
      </c>
      <c r="F402" s="99" t="s">
        <v>421</v>
      </c>
      <c r="G402" s="99" t="s">
        <v>432</v>
      </c>
      <c r="H402" s="99" t="s">
        <v>1228</v>
      </c>
      <c r="I402" s="99" t="s">
        <v>421</v>
      </c>
      <c r="J402" s="99" t="s">
        <v>714</v>
      </c>
      <c r="K402" s="99" t="s">
        <v>421</v>
      </c>
      <c r="L402" s="99" t="s">
        <v>715</v>
      </c>
      <c r="M402" s="105" t="str">
        <f t="shared" si="8"/>
        <v>View on Google Map</v>
      </c>
      <c r="N402" s="99">
        <f t="shared" si="7"/>
        <v>48</v>
      </c>
    </row>
    <row r="403" spans="1:14" x14ac:dyDescent="0.2">
      <c r="A403" s="99">
        <v>337</v>
      </c>
      <c r="B403" s="99" t="s">
        <v>1229</v>
      </c>
      <c r="C403" s="99" t="s">
        <v>1230</v>
      </c>
      <c r="D403" s="99">
        <v>68.525496449800002</v>
      </c>
      <c r="E403" s="99">
        <v>-150.03164010200001</v>
      </c>
      <c r="F403" s="99" t="s">
        <v>421</v>
      </c>
      <c r="G403" s="99" t="s">
        <v>432</v>
      </c>
      <c r="H403" s="99" t="s">
        <v>1231</v>
      </c>
      <c r="I403" s="99" t="s">
        <v>421</v>
      </c>
      <c r="J403" s="99" t="s">
        <v>714</v>
      </c>
      <c r="K403" s="99" t="s">
        <v>421</v>
      </c>
      <c r="L403" s="99" t="s">
        <v>715</v>
      </c>
      <c r="M403" s="105" t="str">
        <f t="shared" si="8"/>
        <v>View on Google Map</v>
      </c>
      <c r="N403" s="99">
        <f t="shared" si="7"/>
        <v>49</v>
      </c>
    </row>
    <row r="404" spans="1:14" x14ac:dyDescent="0.2">
      <c r="A404" s="99">
        <v>338</v>
      </c>
      <c r="B404" s="99" t="s">
        <v>1232</v>
      </c>
      <c r="C404" s="99" t="s">
        <v>1233</v>
      </c>
      <c r="D404" s="99">
        <v>68.522395926599998</v>
      </c>
      <c r="E404" s="99">
        <v>-150.02260567299999</v>
      </c>
      <c r="F404" s="99" t="s">
        <v>421</v>
      </c>
      <c r="G404" s="99" t="s">
        <v>432</v>
      </c>
      <c r="H404" s="99" t="s">
        <v>1234</v>
      </c>
      <c r="I404" s="99" t="s">
        <v>421</v>
      </c>
      <c r="J404" s="99" t="s">
        <v>714</v>
      </c>
      <c r="K404" s="99" t="s">
        <v>421</v>
      </c>
      <c r="L404" s="99" t="s">
        <v>715</v>
      </c>
      <c r="M404" s="105" t="str">
        <f t="shared" si="8"/>
        <v>View on Google Map</v>
      </c>
      <c r="N404" s="99">
        <f t="shared" si="7"/>
        <v>50</v>
      </c>
    </row>
    <row r="405" spans="1:14" x14ac:dyDescent="0.2">
      <c r="A405" s="99">
        <v>339</v>
      </c>
      <c r="B405" s="99" t="s">
        <v>1235</v>
      </c>
      <c r="C405" s="99" t="s">
        <v>1236</v>
      </c>
      <c r="D405" s="99">
        <v>68.574095052399997</v>
      </c>
      <c r="E405" s="99">
        <v>-149.97662969199999</v>
      </c>
      <c r="F405" s="99" t="s">
        <v>421</v>
      </c>
      <c r="G405" s="99" t="s">
        <v>432</v>
      </c>
      <c r="H405" s="99" t="s">
        <v>1237</v>
      </c>
      <c r="I405" s="99" t="s">
        <v>421</v>
      </c>
      <c r="J405" s="99" t="s">
        <v>714</v>
      </c>
      <c r="K405" s="99" t="s">
        <v>421</v>
      </c>
      <c r="L405" s="99" t="s">
        <v>715</v>
      </c>
      <c r="M405" s="105" t="str">
        <f t="shared" si="8"/>
        <v>View on Google Map</v>
      </c>
      <c r="N405" s="99">
        <f t="shared" si="7"/>
        <v>51</v>
      </c>
    </row>
    <row r="406" spans="1:14" x14ac:dyDescent="0.2">
      <c r="A406" s="99">
        <v>340</v>
      </c>
      <c r="B406" s="99" t="s">
        <v>1238</v>
      </c>
      <c r="C406" s="99" t="s">
        <v>1239</v>
      </c>
      <c r="D406" s="99">
        <v>68.571671305899997</v>
      </c>
      <c r="E406" s="99">
        <v>-149.972667672</v>
      </c>
      <c r="F406" s="99" t="s">
        <v>421</v>
      </c>
      <c r="G406" s="99" t="s">
        <v>432</v>
      </c>
      <c r="H406" s="99" t="s">
        <v>1240</v>
      </c>
      <c r="I406" s="99" t="s">
        <v>421</v>
      </c>
      <c r="J406" s="99" t="s">
        <v>714</v>
      </c>
      <c r="K406" s="99" t="s">
        <v>421</v>
      </c>
      <c r="L406" s="99" t="s">
        <v>715</v>
      </c>
      <c r="M406" s="105" t="str">
        <f t="shared" si="8"/>
        <v>View on Google Map</v>
      </c>
      <c r="N406" s="99">
        <f t="shared" si="7"/>
        <v>52</v>
      </c>
    </row>
    <row r="407" spans="1:14" x14ac:dyDescent="0.2">
      <c r="A407" s="99">
        <v>341</v>
      </c>
      <c r="B407" s="99" t="s">
        <v>1241</v>
      </c>
      <c r="C407" s="99" t="s">
        <v>1242</v>
      </c>
      <c r="D407" s="99">
        <v>68.562791718200003</v>
      </c>
      <c r="E407" s="99">
        <v>-149.977791473</v>
      </c>
      <c r="F407" s="99" t="s">
        <v>421</v>
      </c>
      <c r="G407" s="99" t="s">
        <v>432</v>
      </c>
      <c r="H407" s="99" t="s">
        <v>1243</v>
      </c>
      <c r="I407" s="99" t="s">
        <v>421</v>
      </c>
      <c r="J407" s="99" t="s">
        <v>714</v>
      </c>
      <c r="K407" s="99" t="s">
        <v>421</v>
      </c>
      <c r="L407" s="99" t="s">
        <v>715</v>
      </c>
      <c r="M407" s="105" t="str">
        <f t="shared" si="8"/>
        <v>View on Google Map</v>
      </c>
      <c r="N407" s="99">
        <f t="shared" si="7"/>
        <v>53</v>
      </c>
    </row>
    <row r="408" spans="1:14" x14ac:dyDescent="0.2">
      <c r="A408" s="99">
        <v>342</v>
      </c>
      <c r="B408" s="99" t="s">
        <v>1244</v>
      </c>
      <c r="C408" s="99" t="s">
        <v>1245</v>
      </c>
      <c r="D408" s="99">
        <v>68.556077412199997</v>
      </c>
      <c r="E408" s="99">
        <v>-149.93361884199999</v>
      </c>
      <c r="F408" s="99" t="s">
        <v>421</v>
      </c>
      <c r="G408" s="99" t="s">
        <v>432</v>
      </c>
      <c r="H408" s="99" t="s">
        <v>1246</v>
      </c>
      <c r="I408" s="99" t="s">
        <v>421</v>
      </c>
      <c r="J408" s="99" t="s">
        <v>714</v>
      </c>
      <c r="K408" s="99" t="s">
        <v>421</v>
      </c>
      <c r="L408" s="99" t="s">
        <v>715</v>
      </c>
      <c r="M408" s="105" t="str">
        <f t="shared" si="8"/>
        <v>View on Google Map</v>
      </c>
      <c r="N408" s="99">
        <f t="shared" si="7"/>
        <v>54</v>
      </c>
    </row>
    <row r="409" spans="1:14" x14ac:dyDescent="0.2">
      <c r="A409" s="99">
        <v>343</v>
      </c>
      <c r="B409" s="99" t="s">
        <v>1247</v>
      </c>
      <c r="C409" s="99" t="s">
        <v>1248</v>
      </c>
      <c r="D409" s="99">
        <v>68.567959712100006</v>
      </c>
      <c r="E409" s="99">
        <v>-149.89938475599999</v>
      </c>
      <c r="F409" s="99" t="s">
        <v>421</v>
      </c>
      <c r="G409" s="99" t="s">
        <v>432</v>
      </c>
      <c r="H409" s="99" t="s">
        <v>1249</v>
      </c>
      <c r="I409" s="99" t="s">
        <v>421</v>
      </c>
      <c r="J409" s="99" t="s">
        <v>714</v>
      </c>
      <c r="K409" s="99" t="s">
        <v>421</v>
      </c>
      <c r="L409" s="99" t="s">
        <v>715</v>
      </c>
      <c r="M409" s="105" t="str">
        <f t="shared" si="8"/>
        <v>View on Google Map</v>
      </c>
      <c r="N409" s="99">
        <f t="shared" si="7"/>
        <v>55</v>
      </c>
    </row>
    <row r="410" spans="1:14" x14ac:dyDescent="0.2">
      <c r="A410" s="99">
        <v>344</v>
      </c>
      <c r="B410" s="99" t="s">
        <v>1250</v>
      </c>
      <c r="C410" s="99" t="s">
        <v>1251</v>
      </c>
      <c r="D410" s="99">
        <v>68.615854386999999</v>
      </c>
      <c r="E410" s="99">
        <v>-149.123111674</v>
      </c>
      <c r="F410" s="99" t="s">
        <v>421</v>
      </c>
      <c r="G410" s="99" t="s">
        <v>432</v>
      </c>
      <c r="H410" s="99" t="s">
        <v>1252</v>
      </c>
      <c r="I410" s="99" t="s">
        <v>421</v>
      </c>
      <c r="J410" s="99" t="s">
        <v>714</v>
      </c>
      <c r="K410" s="99" t="s">
        <v>421</v>
      </c>
      <c r="L410" s="99" t="s">
        <v>715</v>
      </c>
      <c r="M410" s="105" t="str">
        <f t="shared" si="8"/>
        <v>View on Google Map</v>
      </c>
      <c r="N410" s="99">
        <f t="shared" si="7"/>
        <v>56</v>
      </c>
    </row>
    <row r="411" spans="1:14" x14ac:dyDescent="0.2">
      <c r="A411" s="99">
        <v>345</v>
      </c>
      <c r="B411" s="99" t="s">
        <v>1253</v>
      </c>
      <c r="C411" s="99" t="s">
        <v>1254</v>
      </c>
      <c r="D411" s="99">
        <v>68.622759303600006</v>
      </c>
      <c r="E411" s="99">
        <v>-149.15087640600001</v>
      </c>
      <c r="F411" s="99">
        <v>861</v>
      </c>
      <c r="G411" s="99" t="s">
        <v>432</v>
      </c>
      <c r="H411" s="99" t="s">
        <v>1255</v>
      </c>
      <c r="I411" s="99" t="s">
        <v>421</v>
      </c>
      <c r="J411" s="99" t="s">
        <v>714</v>
      </c>
      <c r="K411" s="99" t="s">
        <v>421</v>
      </c>
      <c r="L411" s="99" t="s">
        <v>715</v>
      </c>
      <c r="M411" s="105" t="str">
        <f t="shared" si="8"/>
        <v>View on Google Map</v>
      </c>
      <c r="N411" s="99">
        <f t="shared" si="7"/>
        <v>57</v>
      </c>
    </row>
    <row r="412" spans="1:14" x14ac:dyDescent="0.2">
      <c r="A412" s="99">
        <v>346</v>
      </c>
      <c r="B412" s="99" t="s">
        <v>1256</v>
      </c>
      <c r="C412" s="99" t="s">
        <v>1257</v>
      </c>
      <c r="D412" s="99">
        <v>68.625381351599998</v>
      </c>
      <c r="E412" s="99">
        <v>-149.13918719200001</v>
      </c>
      <c r="F412" s="99">
        <v>877</v>
      </c>
      <c r="G412" s="99" t="s">
        <v>432</v>
      </c>
      <c r="H412" s="99" t="s">
        <v>1258</v>
      </c>
      <c r="I412" s="99" t="s">
        <v>421</v>
      </c>
      <c r="J412" s="99" t="s">
        <v>714</v>
      </c>
      <c r="K412" s="99" t="s">
        <v>421</v>
      </c>
      <c r="L412" s="99" t="s">
        <v>715</v>
      </c>
      <c r="M412" s="105" t="str">
        <f t="shared" si="8"/>
        <v>View on Google Map</v>
      </c>
      <c r="N412" s="99">
        <f t="shared" si="7"/>
        <v>58</v>
      </c>
    </row>
    <row r="413" spans="1:14" x14ac:dyDescent="0.2">
      <c r="A413" s="99">
        <v>347</v>
      </c>
      <c r="B413" s="99" t="s">
        <v>1259</v>
      </c>
      <c r="C413" s="99" t="s">
        <v>1260</v>
      </c>
      <c r="D413" s="99">
        <v>68.630955107899993</v>
      </c>
      <c r="E413" s="99">
        <v>-149.161535972</v>
      </c>
      <c r="F413" s="99">
        <v>858</v>
      </c>
      <c r="G413" s="99" t="s">
        <v>432</v>
      </c>
      <c r="H413" s="99" t="s">
        <v>1261</v>
      </c>
      <c r="I413" s="99" t="s">
        <v>421</v>
      </c>
      <c r="J413" s="99" t="s">
        <v>714</v>
      </c>
      <c r="K413" s="99" t="s">
        <v>421</v>
      </c>
      <c r="L413" s="99" t="s">
        <v>715</v>
      </c>
      <c r="M413" s="105" t="str">
        <f t="shared" si="8"/>
        <v>View on Google Map</v>
      </c>
      <c r="N413" s="99">
        <f t="shared" si="7"/>
        <v>59</v>
      </c>
    </row>
    <row r="414" spans="1:14" x14ac:dyDescent="0.2">
      <c r="A414" s="99">
        <v>348</v>
      </c>
      <c r="B414" s="99" t="s">
        <v>1262</v>
      </c>
      <c r="C414" s="99" t="s">
        <v>1263</v>
      </c>
      <c r="D414" s="99">
        <v>68.636431312400006</v>
      </c>
      <c r="E414" s="99">
        <v>-149.14390222200001</v>
      </c>
      <c r="F414" s="99" t="s">
        <v>421</v>
      </c>
      <c r="G414" s="99" t="s">
        <v>432</v>
      </c>
      <c r="H414" s="99" t="s">
        <v>1264</v>
      </c>
      <c r="I414" s="99" t="s">
        <v>421</v>
      </c>
      <c r="J414" s="99" t="s">
        <v>714</v>
      </c>
      <c r="K414" s="99" t="s">
        <v>421</v>
      </c>
      <c r="L414" s="99" t="s">
        <v>715</v>
      </c>
      <c r="M414" s="105" t="str">
        <f t="shared" si="8"/>
        <v>View on Google Map</v>
      </c>
      <c r="N414" s="99">
        <f t="shared" si="7"/>
        <v>60</v>
      </c>
    </row>
    <row r="415" spans="1:14" x14ac:dyDescent="0.2">
      <c r="A415" s="99">
        <v>349</v>
      </c>
      <c r="B415" s="99" t="s">
        <v>1265</v>
      </c>
      <c r="C415" s="99" t="s">
        <v>1266</v>
      </c>
      <c r="D415" s="99">
        <v>68.638723598300004</v>
      </c>
      <c r="E415" s="99">
        <v>-149.17862426400001</v>
      </c>
      <c r="F415" s="99" t="s">
        <v>421</v>
      </c>
      <c r="G415" s="99" t="s">
        <v>432</v>
      </c>
      <c r="H415" s="99" t="s">
        <v>1267</v>
      </c>
      <c r="I415" s="99" t="s">
        <v>421</v>
      </c>
      <c r="J415" s="99" t="s">
        <v>714</v>
      </c>
      <c r="K415" s="99" t="s">
        <v>421</v>
      </c>
      <c r="L415" s="99" t="s">
        <v>715</v>
      </c>
      <c r="M415" s="105" t="str">
        <f t="shared" si="8"/>
        <v>View on Google Map</v>
      </c>
      <c r="N415" s="99">
        <f t="shared" si="7"/>
        <v>61</v>
      </c>
    </row>
    <row r="416" spans="1:14" x14ac:dyDescent="0.2">
      <c r="A416" s="99">
        <v>350</v>
      </c>
      <c r="B416" s="99" t="s">
        <v>1268</v>
      </c>
      <c r="C416" s="99" t="s">
        <v>1269</v>
      </c>
      <c r="D416" s="99">
        <v>68.634874735899999</v>
      </c>
      <c r="E416" s="99">
        <v>-149.193728236</v>
      </c>
      <c r="F416" s="99" t="s">
        <v>421</v>
      </c>
      <c r="G416" s="99" t="s">
        <v>432</v>
      </c>
      <c r="H416" s="99" t="s">
        <v>1270</v>
      </c>
      <c r="I416" s="99" t="s">
        <v>421</v>
      </c>
      <c r="J416" s="99" t="s">
        <v>714</v>
      </c>
      <c r="K416" s="99" t="s">
        <v>421</v>
      </c>
      <c r="L416" s="99" t="s">
        <v>715</v>
      </c>
      <c r="M416" s="105" t="str">
        <f t="shared" si="8"/>
        <v>View on Google Map</v>
      </c>
      <c r="N416" s="99">
        <f t="shared" si="7"/>
        <v>62</v>
      </c>
    </row>
    <row r="417" spans="1:14" x14ac:dyDescent="0.2">
      <c r="A417" s="99">
        <v>351</v>
      </c>
      <c r="B417" s="99" t="s">
        <v>1271</v>
      </c>
      <c r="C417" s="99" t="s">
        <v>1272</v>
      </c>
      <c r="D417" s="99">
        <v>68.630921065799996</v>
      </c>
      <c r="E417" s="99">
        <v>-149.19135200100001</v>
      </c>
      <c r="F417" s="99" t="s">
        <v>421</v>
      </c>
      <c r="G417" s="99" t="s">
        <v>432</v>
      </c>
      <c r="H417" s="99" t="s">
        <v>1273</v>
      </c>
      <c r="I417" s="99" t="s">
        <v>421</v>
      </c>
      <c r="J417" s="99" t="s">
        <v>714</v>
      </c>
      <c r="K417" s="99" t="s">
        <v>421</v>
      </c>
      <c r="L417" s="99" t="s">
        <v>715</v>
      </c>
      <c r="M417" s="105" t="str">
        <f t="shared" si="8"/>
        <v>View on Google Map</v>
      </c>
      <c r="N417" s="99">
        <f t="shared" si="7"/>
        <v>63</v>
      </c>
    </row>
    <row r="418" spans="1:14" x14ac:dyDescent="0.2">
      <c r="A418" s="99">
        <v>352</v>
      </c>
      <c r="B418" s="99" t="s">
        <v>1274</v>
      </c>
      <c r="C418" s="99" t="s">
        <v>1275</v>
      </c>
      <c r="D418" s="99">
        <v>68.635774522800006</v>
      </c>
      <c r="E418" s="99">
        <v>-149.20688041899999</v>
      </c>
      <c r="F418" s="99" t="s">
        <v>421</v>
      </c>
      <c r="G418" s="99" t="s">
        <v>432</v>
      </c>
      <c r="H418" s="99" t="s">
        <v>1276</v>
      </c>
      <c r="I418" s="99" t="s">
        <v>421</v>
      </c>
      <c r="J418" s="99" t="s">
        <v>714</v>
      </c>
      <c r="K418" s="99" t="s">
        <v>421</v>
      </c>
      <c r="L418" s="99" t="s">
        <v>715</v>
      </c>
      <c r="M418" s="105" t="str">
        <f t="shared" si="8"/>
        <v>View on Google Map</v>
      </c>
      <c r="N418" s="99">
        <f t="shared" si="7"/>
        <v>64</v>
      </c>
    </row>
    <row r="419" spans="1:14" x14ac:dyDescent="0.2">
      <c r="A419" s="99">
        <v>353</v>
      </c>
      <c r="B419" s="99" t="s">
        <v>1277</v>
      </c>
      <c r="C419" s="99" t="s">
        <v>1278</v>
      </c>
      <c r="D419" s="99">
        <v>68.585080002200002</v>
      </c>
      <c r="E419" s="99">
        <v>-149.208359645</v>
      </c>
      <c r="F419" s="99">
        <v>898</v>
      </c>
      <c r="G419" s="99" t="s">
        <v>432</v>
      </c>
      <c r="H419" s="99" t="s">
        <v>1279</v>
      </c>
      <c r="I419" s="99" t="s">
        <v>421</v>
      </c>
      <c r="J419" s="99" t="s">
        <v>714</v>
      </c>
      <c r="K419" s="99" t="s">
        <v>421</v>
      </c>
      <c r="L419" s="99" t="s">
        <v>715</v>
      </c>
      <c r="M419" s="105" t="str">
        <f t="shared" si="8"/>
        <v>View on Google Map</v>
      </c>
      <c r="N419" s="99">
        <f t="shared" si="7"/>
        <v>65</v>
      </c>
    </row>
    <row r="420" spans="1:14" x14ac:dyDescent="0.2">
      <c r="A420" s="99">
        <v>354</v>
      </c>
      <c r="B420" s="99" t="s">
        <v>1280</v>
      </c>
      <c r="C420" s="99" t="s">
        <v>1281</v>
      </c>
      <c r="D420" s="99">
        <v>68.583148055099997</v>
      </c>
      <c r="E420" s="99">
        <v>-149.19950362399999</v>
      </c>
      <c r="F420" s="99">
        <v>896</v>
      </c>
      <c r="G420" s="99" t="s">
        <v>432</v>
      </c>
      <c r="H420" s="99" t="s">
        <v>1282</v>
      </c>
      <c r="I420" s="99" t="s">
        <v>421</v>
      </c>
      <c r="J420" s="99" t="s">
        <v>714</v>
      </c>
      <c r="K420" s="99" t="s">
        <v>421</v>
      </c>
      <c r="L420" s="99" t="s">
        <v>715</v>
      </c>
      <c r="M420" s="105" t="str">
        <f t="shared" si="8"/>
        <v>View on Google Map</v>
      </c>
      <c r="N420" s="99">
        <f t="shared" ref="N420:N434" si="9">VALUE(MID(H420,5,3))</f>
        <v>66</v>
      </c>
    </row>
    <row r="421" spans="1:14" x14ac:dyDescent="0.2">
      <c r="A421" s="99">
        <v>355</v>
      </c>
      <c r="B421" s="99" t="s">
        <v>1283</v>
      </c>
      <c r="C421" s="99" t="s">
        <v>1284</v>
      </c>
      <c r="D421" s="99">
        <v>68.589302268899999</v>
      </c>
      <c r="E421" s="99">
        <v>-149.18432651699999</v>
      </c>
      <c r="F421" s="99">
        <v>880</v>
      </c>
      <c r="G421" s="99" t="s">
        <v>432</v>
      </c>
      <c r="H421" s="99" t="s">
        <v>1285</v>
      </c>
      <c r="I421" s="99" t="s">
        <v>421</v>
      </c>
      <c r="J421" s="99" t="s">
        <v>714</v>
      </c>
      <c r="K421" s="99" t="s">
        <v>421</v>
      </c>
      <c r="L421" s="99" t="s">
        <v>715</v>
      </c>
      <c r="M421" s="105" t="str">
        <f t="shared" si="8"/>
        <v>View on Google Map</v>
      </c>
      <c r="N421" s="99">
        <f t="shared" si="9"/>
        <v>67</v>
      </c>
    </row>
    <row r="422" spans="1:14" x14ac:dyDescent="0.2">
      <c r="A422" s="99">
        <v>357</v>
      </c>
      <c r="B422" s="99" t="s">
        <v>1286</v>
      </c>
      <c r="C422" s="99" t="s">
        <v>1287</v>
      </c>
      <c r="D422" s="99">
        <v>68.595953562800005</v>
      </c>
      <c r="E422" s="99">
        <v>-149.161045868</v>
      </c>
      <c r="F422" s="99" t="s">
        <v>421</v>
      </c>
      <c r="G422" s="99" t="s">
        <v>432</v>
      </c>
      <c r="H422" s="99" t="s">
        <v>1288</v>
      </c>
      <c r="I422" s="99" t="s">
        <v>421</v>
      </c>
      <c r="J422" s="99" t="s">
        <v>714</v>
      </c>
      <c r="K422" s="99" t="s">
        <v>421</v>
      </c>
      <c r="L422" s="99" t="s">
        <v>715</v>
      </c>
      <c r="M422" s="105" t="str">
        <f t="shared" si="8"/>
        <v>View on Google Map</v>
      </c>
      <c r="N422" s="99">
        <f t="shared" si="9"/>
        <v>69</v>
      </c>
    </row>
    <row r="423" spans="1:14" x14ac:dyDescent="0.2">
      <c r="A423" s="99">
        <v>358</v>
      </c>
      <c r="B423" s="99" t="s">
        <v>1289</v>
      </c>
      <c r="C423" s="99" t="s">
        <v>1290</v>
      </c>
      <c r="D423" s="99">
        <v>68.590721600400002</v>
      </c>
      <c r="E423" s="99">
        <v>-149.17612158099999</v>
      </c>
      <c r="F423" s="99" t="s">
        <v>421</v>
      </c>
      <c r="G423" s="99" t="s">
        <v>432</v>
      </c>
      <c r="H423" s="99" t="s">
        <v>1291</v>
      </c>
      <c r="I423" s="99" t="s">
        <v>421</v>
      </c>
      <c r="J423" s="99" t="s">
        <v>714</v>
      </c>
      <c r="K423" s="99" t="s">
        <v>421</v>
      </c>
      <c r="L423" s="99" t="s">
        <v>715</v>
      </c>
      <c r="M423" s="105" t="str">
        <f t="shared" si="8"/>
        <v>View on Google Map</v>
      </c>
      <c r="N423" s="99">
        <f t="shared" si="9"/>
        <v>70</v>
      </c>
    </row>
    <row r="424" spans="1:14" x14ac:dyDescent="0.2">
      <c r="A424" s="99">
        <v>359</v>
      </c>
      <c r="B424" s="99" t="s">
        <v>1292</v>
      </c>
      <c r="C424" s="99" t="s">
        <v>1293</v>
      </c>
      <c r="D424" s="99">
        <v>68.600362864999994</v>
      </c>
      <c r="E424" s="99">
        <v>-149.14055367099999</v>
      </c>
      <c r="F424" s="99" t="s">
        <v>421</v>
      </c>
      <c r="G424" s="99" t="s">
        <v>432</v>
      </c>
      <c r="H424" s="99" t="s">
        <v>1294</v>
      </c>
      <c r="I424" s="99" t="s">
        <v>421</v>
      </c>
      <c r="J424" s="99" t="s">
        <v>714</v>
      </c>
      <c r="K424" s="99" t="s">
        <v>421</v>
      </c>
      <c r="L424" s="99" t="s">
        <v>715</v>
      </c>
      <c r="M424" s="105" t="str">
        <f t="shared" si="8"/>
        <v>View on Google Map</v>
      </c>
      <c r="N424" s="99">
        <f t="shared" si="9"/>
        <v>71</v>
      </c>
    </row>
    <row r="425" spans="1:14" x14ac:dyDescent="0.2">
      <c r="A425" s="99">
        <v>360</v>
      </c>
      <c r="B425" s="99" t="s">
        <v>1295</v>
      </c>
      <c r="C425" s="99" t="s">
        <v>1296</v>
      </c>
      <c r="D425" s="99">
        <v>68.610380375800005</v>
      </c>
      <c r="E425" s="99">
        <v>-149.15074315300001</v>
      </c>
      <c r="F425" s="99" t="s">
        <v>421</v>
      </c>
      <c r="G425" s="99" t="s">
        <v>432</v>
      </c>
      <c r="H425" s="99" t="s">
        <v>1297</v>
      </c>
      <c r="I425" s="99" t="s">
        <v>421</v>
      </c>
      <c r="J425" s="99" t="s">
        <v>714</v>
      </c>
      <c r="K425" s="99" t="s">
        <v>421</v>
      </c>
      <c r="L425" s="99" t="s">
        <v>715</v>
      </c>
      <c r="M425" s="105" t="str">
        <f t="shared" si="8"/>
        <v>View on Google Map</v>
      </c>
      <c r="N425" s="99">
        <f t="shared" si="9"/>
        <v>72</v>
      </c>
    </row>
    <row r="426" spans="1:14" x14ac:dyDescent="0.2">
      <c r="A426" s="99">
        <v>361</v>
      </c>
      <c r="B426" s="99" t="s">
        <v>1298</v>
      </c>
      <c r="C426" s="99" t="s">
        <v>1299</v>
      </c>
      <c r="D426" s="99">
        <v>68.6163784405</v>
      </c>
      <c r="E426" s="99">
        <v>-149.16060521700001</v>
      </c>
      <c r="F426" s="99" t="s">
        <v>421</v>
      </c>
      <c r="G426" s="99" t="s">
        <v>432</v>
      </c>
      <c r="H426" s="99" t="s">
        <v>1300</v>
      </c>
      <c r="I426" s="99" t="s">
        <v>421</v>
      </c>
      <c r="J426" s="99" t="s">
        <v>714</v>
      </c>
      <c r="K426" s="99" t="s">
        <v>421</v>
      </c>
      <c r="L426" s="99" t="s">
        <v>715</v>
      </c>
      <c r="M426" s="105" t="str">
        <f t="shared" si="8"/>
        <v>View on Google Map</v>
      </c>
      <c r="N426" s="99">
        <f t="shared" si="9"/>
        <v>73</v>
      </c>
    </row>
    <row r="427" spans="1:14" x14ac:dyDescent="0.2">
      <c r="A427" s="99">
        <v>362</v>
      </c>
      <c r="B427" s="99" t="s">
        <v>1301</v>
      </c>
      <c r="C427" s="99" t="s">
        <v>1302</v>
      </c>
      <c r="D427" s="99">
        <v>68.617934232500005</v>
      </c>
      <c r="E427" s="99">
        <v>-149.18594585299999</v>
      </c>
      <c r="F427" s="99" t="s">
        <v>421</v>
      </c>
      <c r="G427" s="99" t="s">
        <v>432</v>
      </c>
      <c r="H427" s="99" t="s">
        <v>1303</v>
      </c>
      <c r="I427" s="99" t="s">
        <v>421</v>
      </c>
      <c r="J427" s="99" t="s">
        <v>714</v>
      </c>
      <c r="K427" s="99" t="s">
        <v>421</v>
      </c>
      <c r="L427" s="99" t="s">
        <v>715</v>
      </c>
      <c r="M427" s="105" t="str">
        <f t="shared" si="8"/>
        <v>View on Google Map</v>
      </c>
      <c r="N427" s="99">
        <f t="shared" si="9"/>
        <v>74</v>
      </c>
    </row>
    <row r="428" spans="1:14" x14ac:dyDescent="0.2">
      <c r="A428" s="99">
        <v>363</v>
      </c>
      <c r="B428" s="99" t="s">
        <v>1304</v>
      </c>
      <c r="C428" s="99" t="s">
        <v>1305</v>
      </c>
      <c r="D428" s="99">
        <v>68.614396448299999</v>
      </c>
      <c r="E428" s="99">
        <v>-149.19403818800001</v>
      </c>
      <c r="F428" s="99" t="s">
        <v>421</v>
      </c>
      <c r="G428" s="99" t="s">
        <v>432</v>
      </c>
      <c r="H428" s="99" t="s">
        <v>1306</v>
      </c>
      <c r="I428" s="99" t="s">
        <v>421</v>
      </c>
      <c r="J428" s="99" t="s">
        <v>714</v>
      </c>
      <c r="K428" s="99" t="s">
        <v>421</v>
      </c>
      <c r="L428" s="99" t="s">
        <v>715</v>
      </c>
      <c r="M428" s="105" t="str">
        <f t="shared" si="8"/>
        <v>View on Google Map</v>
      </c>
      <c r="N428" s="99">
        <f t="shared" si="9"/>
        <v>75</v>
      </c>
    </row>
    <row r="429" spans="1:14" x14ac:dyDescent="0.2">
      <c r="A429" s="99">
        <v>364</v>
      </c>
      <c r="B429" s="99" t="s">
        <v>1307</v>
      </c>
      <c r="C429" s="99" t="s">
        <v>1308</v>
      </c>
      <c r="D429" s="99">
        <v>68.694256581000005</v>
      </c>
      <c r="E429" s="99">
        <v>-149.73679655699999</v>
      </c>
      <c r="F429" s="99" t="s">
        <v>421</v>
      </c>
      <c r="G429" s="99" t="s">
        <v>432</v>
      </c>
      <c r="H429" s="99" t="s">
        <v>1309</v>
      </c>
      <c r="I429" s="99" t="s">
        <v>421</v>
      </c>
      <c r="J429" s="99" t="s">
        <v>714</v>
      </c>
      <c r="K429" s="99" t="s">
        <v>421</v>
      </c>
      <c r="L429" s="99" t="s">
        <v>715</v>
      </c>
      <c r="M429" s="105" t="str">
        <f t="shared" si="8"/>
        <v>View on Google Map</v>
      </c>
      <c r="N429" s="99">
        <f t="shared" si="9"/>
        <v>76</v>
      </c>
    </row>
    <row r="430" spans="1:14" x14ac:dyDescent="0.2">
      <c r="A430" s="99">
        <v>365</v>
      </c>
      <c r="B430" s="99" t="s">
        <v>1310</v>
      </c>
      <c r="C430" s="99" t="s">
        <v>1311</v>
      </c>
      <c r="D430" s="99">
        <v>68.696056827099994</v>
      </c>
      <c r="E430" s="99">
        <v>-149.73131395300001</v>
      </c>
      <c r="F430" s="99" t="s">
        <v>421</v>
      </c>
      <c r="G430" s="99" t="s">
        <v>432</v>
      </c>
      <c r="H430" s="99" t="s">
        <v>1312</v>
      </c>
      <c r="I430" s="99" t="s">
        <v>421</v>
      </c>
      <c r="J430" s="99" t="s">
        <v>714</v>
      </c>
      <c r="K430" s="99" t="s">
        <v>421</v>
      </c>
      <c r="L430" s="99" t="s">
        <v>715</v>
      </c>
      <c r="M430" s="105" t="str">
        <f t="shared" si="8"/>
        <v>View on Google Map</v>
      </c>
      <c r="N430" s="99">
        <f t="shared" si="9"/>
        <v>77</v>
      </c>
    </row>
    <row r="431" spans="1:14" x14ac:dyDescent="0.2">
      <c r="A431" s="99">
        <v>366</v>
      </c>
      <c r="B431" s="99" t="s">
        <v>1313</v>
      </c>
      <c r="C431" s="99" t="s">
        <v>1314</v>
      </c>
      <c r="D431" s="99">
        <v>68.696468206399999</v>
      </c>
      <c r="E431" s="99">
        <v>-149.708828248</v>
      </c>
      <c r="F431" s="99" t="s">
        <v>421</v>
      </c>
      <c r="G431" s="99" t="s">
        <v>432</v>
      </c>
      <c r="H431" s="99" t="s">
        <v>1315</v>
      </c>
      <c r="I431" s="99" t="s">
        <v>421</v>
      </c>
      <c r="J431" s="99" t="s">
        <v>714</v>
      </c>
      <c r="K431" s="99" t="s">
        <v>421</v>
      </c>
      <c r="L431" s="99" t="s">
        <v>715</v>
      </c>
      <c r="M431" s="105" t="str">
        <f t="shared" si="8"/>
        <v>View on Google Map</v>
      </c>
      <c r="N431" s="99">
        <f t="shared" si="9"/>
        <v>78</v>
      </c>
    </row>
    <row r="432" spans="1:14" x14ac:dyDescent="0.2">
      <c r="A432" s="99">
        <v>367</v>
      </c>
      <c r="B432" s="99" t="s">
        <v>1316</v>
      </c>
      <c r="C432" s="99" t="s">
        <v>1317</v>
      </c>
      <c r="D432" s="99">
        <v>68.688141157800004</v>
      </c>
      <c r="E432" s="99">
        <v>-149.73555264800001</v>
      </c>
      <c r="F432" s="99" t="s">
        <v>421</v>
      </c>
      <c r="G432" s="99" t="s">
        <v>432</v>
      </c>
      <c r="H432" s="99" t="s">
        <v>1318</v>
      </c>
      <c r="I432" s="99" t="s">
        <v>421</v>
      </c>
      <c r="J432" s="99" t="s">
        <v>714</v>
      </c>
      <c r="K432" s="99" t="s">
        <v>421</v>
      </c>
      <c r="L432" s="99" t="s">
        <v>715</v>
      </c>
      <c r="M432" s="105" t="str">
        <f t="shared" si="8"/>
        <v>View on Google Map</v>
      </c>
      <c r="N432" s="99">
        <f t="shared" si="9"/>
        <v>79</v>
      </c>
    </row>
    <row r="433" spans="1:14" x14ac:dyDescent="0.2">
      <c r="A433" s="99">
        <v>368</v>
      </c>
      <c r="B433" s="99" t="s">
        <v>1319</v>
      </c>
      <c r="C433" s="99" t="s">
        <v>1320</v>
      </c>
      <c r="D433" s="99">
        <v>68.682810930000002</v>
      </c>
      <c r="E433" s="99">
        <v>-149.73974315500001</v>
      </c>
      <c r="F433" s="99" t="s">
        <v>421</v>
      </c>
      <c r="G433" s="99" t="s">
        <v>432</v>
      </c>
      <c r="H433" s="99" t="s">
        <v>1321</v>
      </c>
      <c r="I433" s="99" t="s">
        <v>421</v>
      </c>
      <c r="J433" s="99" t="s">
        <v>714</v>
      </c>
      <c r="K433" s="99" t="s">
        <v>421</v>
      </c>
      <c r="L433" s="99" t="s">
        <v>715</v>
      </c>
      <c r="M433" s="105" t="str">
        <f t="shared" si="8"/>
        <v>View on Google Map</v>
      </c>
      <c r="N433" s="99">
        <f t="shared" si="9"/>
        <v>80</v>
      </c>
    </row>
    <row r="434" spans="1:14" x14ac:dyDescent="0.2">
      <c r="A434" s="99">
        <v>369</v>
      </c>
      <c r="B434" s="99" t="s">
        <v>1322</v>
      </c>
      <c r="C434" s="99" t="s">
        <v>1323</v>
      </c>
      <c r="D434" s="99">
        <v>68.682815967099998</v>
      </c>
      <c r="E434" s="99">
        <v>-149.759701116</v>
      </c>
      <c r="F434" s="99" t="s">
        <v>421</v>
      </c>
      <c r="G434" s="99" t="s">
        <v>432</v>
      </c>
      <c r="H434" s="99" t="s">
        <v>1324</v>
      </c>
      <c r="I434" s="99" t="s">
        <v>421</v>
      </c>
      <c r="J434" s="99" t="s">
        <v>714</v>
      </c>
      <c r="K434" s="99" t="s">
        <v>421</v>
      </c>
      <c r="L434" s="99" t="s">
        <v>715</v>
      </c>
      <c r="M434" s="105" t="str">
        <f t="shared" si="8"/>
        <v>View on Google Map</v>
      </c>
      <c r="N434" s="99">
        <f t="shared" si="9"/>
        <v>81</v>
      </c>
    </row>
    <row r="435" spans="1:14" x14ac:dyDescent="0.2">
      <c r="A435" s="99">
        <v>1225</v>
      </c>
      <c r="B435" s="99" t="s">
        <v>1325</v>
      </c>
      <c r="C435" s="24" t="s">
        <v>1326</v>
      </c>
      <c r="D435" s="99">
        <v>68.641727000000003</v>
      </c>
      <c r="E435" s="99">
        <v>-149.58665300000001</v>
      </c>
      <c r="F435" s="99">
        <v>724</v>
      </c>
      <c r="G435" s="99" t="s">
        <v>422</v>
      </c>
      <c r="H435" s="99" t="s">
        <v>421</v>
      </c>
      <c r="I435" s="99" t="s">
        <v>421</v>
      </c>
      <c r="J435" s="99" t="s">
        <v>447</v>
      </c>
      <c r="K435" s="99" t="s">
        <v>421</v>
      </c>
      <c r="L435" s="99" t="s">
        <v>421</v>
      </c>
      <c r="M435" s="105" t="str">
        <f t="shared" si="8"/>
        <v>View on Google Map</v>
      </c>
    </row>
    <row r="436" spans="1:14" x14ac:dyDescent="0.2">
      <c r="B436" s="99" t="s">
        <v>1327</v>
      </c>
      <c r="C436" s="107" t="s">
        <v>1328</v>
      </c>
      <c r="D436" s="99">
        <v>68.622865000000004</v>
      </c>
      <c r="E436" s="99">
        <v>-149.60854499999999</v>
      </c>
      <c r="F436" s="99">
        <v>758</v>
      </c>
      <c r="G436" s="99" t="s">
        <v>422</v>
      </c>
      <c r="J436" s="99" t="s">
        <v>447</v>
      </c>
      <c r="M436" s="105" t="str">
        <f t="shared" si="8"/>
        <v>View on Google Map</v>
      </c>
    </row>
    <row r="437" spans="1:14" x14ac:dyDescent="0.2">
      <c r="A437" s="99">
        <v>1220</v>
      </c>
      <c r="B437" s="99" t="s">
        <v>1329</v>
      </c>
      <c r="C437" s="24" t="s">
        <v>1330</v>
      </c>
      <c r="D437" s="99">
        <v>68.624410999999995</v>
      </c>
      <c r="E437" s="99">
        <v>-149.609589</v>
      </c>
      <c r="F437" s="99">
        <v>750</v>
      </c>
      <c r="G437" s="99" t="s">
        <v>422</v>
      </c>
      <c r="H437" s="99" t="s">
        <v>421</v>
      </c>
      <c r="I437" s="99" t="s">
        <v>421</v>
      </c>
      <c r="J437" s="99" t="s">
        <v>447</v>
      </c>
      <c r="K437" s="99" t="s">
        <v>421</v>
      </c>
      <c r="L437" s="99" t="s">
        <v>421</v>
      </c>
      <c r="M437" s="105" t="str">
        <f t="shared" si="8"/>
        <v>View on Google Map</v>
      </c>
    </row>
    <row r="438" spans="1:14" x14ac:dyDescent="0.2">
      <c r="A438" s="99">
        <v>1222</v>
      </c>
      <c r="B438" s="99" t="s">
        <v>1331</v>
      </c>
      <c r="C438" s="24" t="s">
        <v>1332</v>
      </c>
      <c r="D438" s="99">
        <v>68.629636000000005</v>
      </c>
      <c r="E438" s="99">
        <v>-149.57565600000001</v>
      </c>
      <c r="F438" s="99">
        <v>755</v>
      </c>
      <c r="G438" s="99" t="s">
        <v>422</v>
      </c>
      <c r="H438" s="99" t="s">
        <v>421</v>
      </c>
      <c r="I438" s="99" t="s">
        <v>421</v>
      </c>
      <c r="J438" s="99" t="s">
        <v>447</v>
      </c>
      <c r="K438" s="99" t="s">
        <v>421</v>
      </c>
      <c r="L438" s="99" t="s">
        <v>421</v>
      </c>
      <c r="M438" s="105" t="str">
        <f t="shared" si="8"/>
        <v>View on Google Map</v>
      </c>
    </row>
    <row r="439" spans="1:14" x14ac:dyDescent="0.2">
      <c r="A439" s="99">
        <v>1228</v>
      </c>
      <c r="B439" s="99" t="s">
        <v>1333</v>
      </c>
      <c r="C439" s="24" t="s">
        <v>1334</v>
      </c>
      <c r="D439" s="99">
        <v>68.634530999999996</v>
      </c>
      <c r="E439" s="99">
        <v>-149.64205799999999</v>
      </c>
      <c r="F439" s="99">
        <v>748</v>
      </c>
      <c r="G439" s="99" t="s">
        <v>422</v>
      </c>
      <c r="H439" s="99" t="s">
        <v>421</v>
      </c>
      <c r="I439" s="99" t="s">
        <v>421</v>
      </c>
      <c r="J439" s="99" t="s">
        <v>447</v>
      </c>
      <c r="K439" s="99" t="s">
        <v>421</v>
      </c>
      <c r="L439" s="99" t="s">
        <v>421</v>
      </c>
      <c r="M439" s="105" t="str">
        <f t="shared" si="8"/>
        <v>View on Google Map</v>
      </c>
    </row>
    <row r="440" spans="1:14" x14ac:dyDescent="0.2">
      <c r="A440" s="99">
        <v>1227</v>
      </c>
      <c r="B440" s="99" t="s">
        <v>1335</v>
      </c>
      <c r="C440" s="24" t="s">
        <v>1336</v>
      </c>
      <c r="D440" s="99">
        <v>68.634039000000001</v>
      </c>
      <c r="E440" s="99">
        <v>-149.63704899999999</v>
      </c>
      <c r="F440" s="99">
        <v>750</v>
      </c>
      <c r="G440" s="99" t="s">
        <v>422</v>
      </c>
      <c r="H440" s="99" t="s">
        <v>421</v>
      </c>
      <c r="I440" s="99" t="s">
        <v>421</v>
      </c>
      <c r="J440" s="99" t="s">
        <v>447</v>
      </c>
      <c r="K440" s="99" t="s">
        <v>421</v>
      </c>
      <c r="L440" s="99" t="s">
        <v>421</v>
      </c>
      <c r="M440" s="105" t="str">
        <f t="shared" si="8"/>
        <v>View on Google Map</v>
      </c>
    </row>
    <row r="441" spans="1:14" x14ac:dyDescent="0.2">
      <c r="A441" s="99">
        <v>1223</v>
      </c>
      <c r="B441" s="99" t="s">
        <v>1337</v>
      </c>
      <c r="C441" s="24" t="s">
        <v>1338</v>
      </c>
      <c r="D441" s="99">
        <v>68.635624000000007</v>
      </c>
      <c r="E441" s="99">
        <v>-149.587064</v>
      </c>
      <c r="F441" s="99">
        <v>745</v>
      </c>
      <c r="G441" s="99" t="s">
        <v>422</v>
      </c>
      <c r="H441" s="99" t="s">
        <v>421</v>
      </c>
      <c r="I441" s="99" t="s">
        <v>421</v>
      </c>
      <c r="J441" s="99" t="s">
        <v>447</v>
      </c>
      <c r="K441" s="99" t="s">
        <v>421</v>
      </c>
      <c r="L441" s="99" t="s">
        <v>421</v>
      </c>
      <c r="M441" s="105" t="str">
        <f t="shared" si="8"/>
        <v>View on Google Map</v>
      </c>
    </row>
    <row r="442" spans="1:14" x14ac:dyDescent="0.2">
      <c r="A442" s="99">
        <v>1224</v>
      </c>
      <c r="B442" s="99" t="s">
        <v>1339</v>
      </c>
      <c r="C442" s="24" t="s">
        <v>1340</v>
      </c>
      <c r="D442" s="99">
        <v>68.638692000000006</v>
      </c>
      <c r="E442" s="99">
        <v>-149.567789</v>
      </c>
      <c r="F442" s="99">
        <v>731</v>
      </c>
      <c r="G442" s="99" t="s">
        <v>422</v>
      </c>
      <c r="H442" s="99" t="s">
        <v>421</v>
      </c>
      <c r="I442" s="99" t="s">
        <v>421</v>
      </c>
      <c r="J442" s="99" t="s">
        <v>447</v>
      </c>
      <c r="K442" s="99" t="s">
        <v>421</v>
      </c>
      <c r="L442" s="99" t="s">
        <v>421</v>
      </c>
      <c r="M442" s="105" t="str">
        <f t="shared" si="8"/>
        <v>View on Google Map</v>
      </c>
    </row>
    <row r="443" spans="1:14" x14ac:dyDescent="0.2">
      <c r="A443" s="99">
        <v>1221</v>
      </c>
      <c r="B443" s="99" t="s">
        <v>1341</v>
      </c>
      <c r="C443" s="24" t="s">
        <v>1342</v>
      </c>
      <c r="D443" s="99">
        <v>68.625440999999995</v>
      </c>
      <c r="E443" s="99">
        <v>-149.60287299999999</v>
      </c>
      <c r="F443" s="99">
        <v>717</v>
      </c>
      <c r="G443" s="99" t="s">
        <v>422</v>
      </c>
      <c r="H443" s="99" t="s">
        <v>421</v>
      </c>
      <c r="I443" s="99" t="s">
        <v>421</v>
      </c>
      <c r="J443" s="99" t="s">
        <v>447</v>
      </c>
      <c r="K443" s="99" t="s">
        <v>421</v>
      </c>
      <c r="L443" s="99" t="s">
        <v>421</v>
      </c>
      <c r="M443" s="105" t="str">
        <f t="shared" si="8"/>
        <v>View on Google Map</v>
      </c>
    </row>
    <row r="444" spans="1:14" x14ac:dyDescent="0.2">
      <c r="A444" s="99">
        <v>1226</v>
      </c>
      <c r="B444" s="24" t="s">
        <v>1343</v>
      </c>
      <c r="C444" s="24" t="s">
        <v>1344</v>
      </c>
      <c r="D444" s="99">
        <v>68.647621999999998</v>
      </c>
      <c r="E444" s="99">
        <v>-149.57729800000001</v>
      </c>
      <c r="F444" s="99">
        <v>719</v>
      </c>
      <c r="G444" s="99" t="s">
        <v>422</v>
      </c>
      <c r="H444" s="99" t="s">
        <v>421</v>
      </c>
      <c r="I444" s="99" t="s">
        <v>421</v>
      </c>
      <c r="J444" s="99" t="s">
        <v>447</v>
      </c>
      <c r="K444" s="99" t="s">
        <v>421</v>
      </c>
      <c r="L444" s="99" t="s">
        <v>421</v>
      </c>
      <c r="M444" s="105" t="str">
        <f t="shared" si="8"/>
        <v>View on Google Map</v>
      </c>
    </row>
    <row r="445" spans="1:14" x14ac:dyDescent="0.2">
      <c r="A445" s="99">
        <v>487</v>
      </c>
      <c r="B445" s="99" t="s">
        <v>1345</v>
      </c>
      <c r="C445" s="99" t="s">
        <v>421</v>
      </c>
      <c r="D445" s="99">
        <v>68.961583332999993</v>
      </c>
      <c r="E445" s="99">
        <v>-150.20961666700001</v>
      </c>
      <c r="F445" s="99">
        <v>380</v>
      </c>
      <c r="G445" s="99" t="s">
        <v>432</v>
      </c>
      <c r="H445" s="99" t="s">
        <v>421</v>
      </c>
      <c r="I445" s="99" t="s">
        <v>421</v>
      </c>
      <c r="J445" s="99" t="s">
        <v>482</v>
      </c>
      <c r="K445" s="99" t="s">
        <v>421</v>
      </c>
      <c r="L445" s="99" t="s">
        <v>429</v>
      </c>
      <c r="M445" s="105" t="str">
        <f t="shared" si="8"/>
        <v>View on Google Map</v>
      </c>
    </row>
    <row r="446" spans="1:14" x14ac:dyDescent="0.2">
      <c r="A446" s="99">
        <v>23</v>
      </c>
      <c r="B446" s="99" t="s">
        <v>1346</v>
      </c>
      <c r="C446" s="99" t="s">
        <v>421</v>
      </c>
      <c r="D446" s="99" t="s">
        <v>421</v>
      </c>
      <c r="E446" s="99" t="s">
        <v>421</v>
      </c>
      <c r="F446" s="99" t="s">
        <v>421</v>
      </c>
      <c r="G446" s="99" t="s">
        <v>446</v>
      </c>
      <c r="H446" s="99" t="s">
        <v>421</v>
      </c>
      <c r="I446" s="99" t="s">
        <v>421</v>
      </c>
      <c r="J446" s="99" t="s">
        <v>447</v>
      </c>
      <c r="K446" s="99" t="s">
        <v>421</v>
      </c>
      <c r="L446" s="99" t="s">
        <v>421</v>
      </c>
      <c r="M446" s="105" t="str">
        <f t="shared" si="8"/>
        <v>View on Google Map</v>
      </c>
    </row>
    <row r="447" spans="1:14" x14ac:dyDescent="0.2">
      <c r="A447" s="99">
        <v>529</v>
      </c>
      <c r="B447" s="99" t="s">
        <v>1347</v>
      </c>
      <c r="C447" s="99" t="s">
        <v>827</v>
      </c>
      <c r="D447" s="99">
        <v>68.672934999999995</v>
      </c>
      <c r="E447" s="99">
        <v>-149.61752300000001</v>
      </c>
      <c r="F447" s="99">
        <v>708</v>
      </c>
      <c r="G447" s="99" t="s">
        <v>432</v>
      </c>
      <c r="H447" s="99" t="s">
        <v>421</v>
      </c>
      <c r="I447" s="99" t="s">
        <v>421</v>
      </c>
      <c r="J447" s="99" t="s">
        <v>433</v>
      </c>
      <c r="K447" s="99" t="s">
        <v>421</v>
      </c>
      <c r="L447" s="99" t="s">
        <v>828</v>
      </c>
      <c r="M447" s="105" t="str">
        <f t="shared" si="8"/>
        <v>View on Google Map</v>
      </c>
    </row>
    <row r="448" spans="1:14" x14ac:dyDescent="0.2">
      <c r="A448" s="99">
        <v>494</v>
      </c>
      <c r="B448" s="99" t="s">
        <v>1348</v>
      </c>
      <c r="C448" s="99" t="s">
        <v>421</v>
      </c>
      <c r="D448" s="99">
        <v>68.673756999999995</v>
      </c>
      <c r="E448" s="99">
        <v>-149.618268</v>
      </c>
      <c r="F448" s="99">
        <v>701</v>
      </c>
      <c r="G448" s="99" t="s">
        <v>446</v>
      </c>
      <c r="H448" s="99" t="s">
        <v>421</v>
      </c>
      <c r="I448" s="99" t="s">
        <v>421</v>
      </c>
      <c r="J448" s="99" t="s">
        <v>1349</v>
      </c>
      <c r="K448" s="99" t="s">
        <v>421</v>
      </c>
      <c r="L448" s="99" t="s">
        <v>828</v>
      </c>
      <c r="M448" s="105" t="str">
        <f t="shared" si="8"/>
        <v>View on Google Map</v>
      </c>
    </row>
    <row r="449" spans="1:13" x14ac:dyDescent="0.2">
      <c r="A449" s="99">
        <v>189</v>
      </c>
      <c r="B449" s="99" t="s">
        <v>1350</v>
      </c>
      <c r="C449" s="99" t="s">
        <v>421</v>
      </c>
      <c r="D449" s="99">
        <v>68.622</v>
      </c>
      <c r="E449" s="99">
        <v>-149.590666</v>
      </c>
      <c r="F449" s="99">
        <v>725</v>
      </c>
      <c r="G449" s="99" t="s">
        <v>446</v>
      </c>
      <c r="H449" s="99" t="s">
        <v>1351</v>
      </c>
      <c r="I449" s="99" t="s">
        <v>1352</v>
      </c>
      <c r="J449" s="99" t="s">
        <v>447</v>
      </c>
      <c r="K449" s="99" t="s">
        <v>421</v>
      </c>
      <c r="L449" s="99" t="s">
        <v>836</v>
      </c>
      <c r="M449" s="105" t="str">
        <f t="shared" si="8"/>
        <v>View on Google Map</v>
      </c>
    </row>
    <row r="450" spans="1:13" x14ac:dyDescent="0.2">
      <c r="A450" s="99">
        <v>273</v>
      </c>
      <c r="B450" s="99" t="s">
        <v>1353</v>
      </c>
      <c r="C450" s="99" t="s">
        <v>421</v>
      </c>
      <c r="D450" s="99">
        <v>68.620166670000003</v>
      </c>
      <c r="E450" s="99">
        <v>-149.56816599999999</v>
      </c>
      <c r="F450" s="99">
        <v>739</v>
      </c>
      <c r="G450" s="99" t="s">
        <v>446</v>
      </c>
      <c r="H450" s="99" t="s">
        <v>1354</v>
      </c>
      <c r="I450" s="99" t="s">
        <v>1355</v>
      </c>
      <c r="J450" s="99" t="s">
        <v>447</v>
      </c>
      <c r="K450" s="99" t="s">
        <v>421</v>
      </c>
      <c r="L450" s="99" t="s">
        <v>836</v>
      </c>
      <c r="M450" s="105" t="str">
        <f t="shared" si="8"/>
        <v>View on Google Map</v>
      </c>
    </row>
    <row r="451" spans="1:13" x14ac:dyDescent="0.2">
      <c r="A451" s="99">
        <v>1175</v>
      </c>
      <c r="B451" s="99" t="s">
        <v>1356</v>
      </c>
      <c r="C451" s="99" t="s">
        <v>421</v>
      </c>
      <c r="D451" s="99">
        <v>68.951925000000003</v>
      </c>
      <c r="E451" s="99">
        <v>-150.20976669999999</v>
      </c>
      <c r="F451" s="99" t="s">
        <v>421</v>
      </c>
      <c r="G451" s="99" t="s">
        <v>446</v>
      </c>
      <c r="H451" s="99" t="s">
        <v>421</v>
      </c>
      <c r="I451" s="99" t="s">
        <v>421</v>
      </c>
      <c r="J451" s="99" t="s">
        <v>976</v>
      </c>
      <c r="K451" s="99" t="s">
        <v>421</v>
      </c>
      <c r="L451" s="99" t="s">
        <v>421</v>
      </c>
      <c r="M451" s="105" t="str">
        <f t="shared" ref="M451:M514" si="10">HYPERLINK("http://maps.google.com/maps?q="&amp;D451&amp;","&amp;E451,"View on Google Map")</f>
        <v>View on Google Map</v>
      </c>
    </row>
    <row r="452" spans="1:13" x14ac:dyDescent="0.2">
      <c r="A452" s="99">
        <v>103</v>
      </c>
      <c r="B452" s="99" t="s">
        <v>1357</v>
      </c>
      <c r="C452" s="99" t="s">
        <v>421</v>
      </c>
      <c r="D452" s="99">
        <v>68.639893935800004</v>
      </c>
      <c r="E452" s="99">
        <v>-149.606965643</v>
      </c>
      <c r="F452" s="99">
        <v>731</v>
      </c>
      <c r="G452" s="99" t="s">
        <v>432</v>
      </c>
      <c r="H452" s="99" t="s">
        <v>1358</v>
      </c>
      <c r="I452" s="99" t="s">
        <v>1359</v>
      </c>
      <c r="J452" s="99" t="s">
        <v>447</v>
      </c>
      <c r="K452" s="99" t="s">
        <v>421</v>
      </c>
      <c r="L452" s="99" t="s">
        <v>421</v>
      </c>
      <c r="M452" s="105" t="str">
        <f t="shared" si="10"/>
        <v>View on Google Map</v>
      </c>
    </row>
    <row r="453" spans="1:13" x14ac:dyDescent="0.2">
      <c r="A453" s="99">
        <v>104</v>
      </c>
      <c r="B453" s="99" t="s">
        <v>1360</v>
      </c>
      <c r="C453" s="99" t="s">
        <v>421</v>
      </c>
      <c r="D453" s="99">
        <v>68.640947234500004</v>
      </c>
      <c r="E453" s="99">
        <v>-149.625086307</v>
      </c>
      <c r="F453" s="99">
        <v>724</v>
      </c>
      <c r="G453" s="99" t="s">
        <v>432</v>
      </c>
      <c r="H453" s="99" t="s">
        <v>1361</v>
      </c>
      <c r="I453" s="99" t="s">
        <v>1362</v>
      </c>
      <c r="J453" s="99" t="s">
        <v>447</v>
      </c>
      <c r="K453" s="99" t="s">
        <v>421</v>
      </c>
      <c r="L453" s="99" t="s">
        <v>421</v>
      </c>
      <c r="M453" s="105" t="str">
        <f t="shared" si="10"/>
        <v>View on Google Map</v>
      </c>
    </row>
    <row r="454" spans="1:13" x14ac:dyDescent="0.2">
      <c r="A454" s="99">
        <v>105</v>
      </c>
      <c r="B454" s="99" t="s">
        <v>1363</v>
      </c>
      <c r="C454" s="99" t="s">
        <v>421</v>
      </c>
      <c r="D454" s="99">
        <v>68.642385337299999</v>
      </c>
      <c r="E454" s="99">
        <v>-149.630769851</v>
      </c>
      <c r="F454" s="99" t="s">
        <v>421</v>
      </c>
      <c r="G454" s="99" t="s">
        <v>432</v>
      </c>
      <c r="H454" s="99" t="s">
        <v>1364</v>
      </c>
      <c r="I454" s="99" t="s">
        <v>421</v>
      </c>
      <c r="J454" s="99" t="s">
        <v>447</v>
      </c>
      <c r="K454" s="99" t="s">
        <v>421</v>
      </c>
      <c r="L454" s="99" t="s">
        <v>421</v>
      </c>
      <c r="M454" s="105" t="str">
        <f t="shared" si="10"/>
        <v>View on Google Map</v>
      </c>
    </row>
    <row r="455" spans="1:13" x14ac:dyDescent="0.2">
      <c r="A455" s="99">
        <v>245</v>
      </c>
      <c r="B455" s="99" t="s">
        <v>1365</v>
      </c>
      <c r="C455" s="99" t="s">
        <v>421</v>
      </c>
      <c r="D455" s="99">
        <v>68.645120702900002</v>
      </c>
      <c r="E455" s="99">
        <v>-149.64028014900001</v>
      </c>
      <c r="F455" s="99" t="s">
        <v>421</v>
      </c>
      <c r="G455" s="99" t="s">
        <v>432</v>
      </c>
      <c r="H455" s="99" t="s">
        <v>1366</v>
      </c>
      <c r="I455" s="99" t="s">
        <v>421</v>
      </c>
      <c r="J455" s="99" t="s">
        <v>447</v>
      </c>
      <c r="K455" s="99" t="s">
        <v>421</v>
      </c>
      <c r="L455" s="99" t="s">
        <v>421</v>
      </c>
      <c r="M455" s="105" t="str">
        <f t="shared" si="10"/>
        <v>View on Google Map</v>
      </c>
    </row>
    <row r="456" spans="1:13" x14ac:dyDescent="0.2">
      <c r="A456" s="99">
        <v>240</v>
      </c>
      <c r="B456" s="99" t="s">
        <v>1367</v>
      </c>
      <c r="C456" s="99" t="s">
        <v>421</v>
      </c>
      <c r="D456" s="99">
        <v>68.645428204500007</v>
      </c>
      <c r="E456" s="99">
        <v>-149.62885531000001</v>
      </c>
      <c r="F456" s="99" t="s">
        <v>421</v>
      </c>
      <c r="G456" s="99" t="s">
        <v>432</v>
      </c>
      <c r="H456" s="99" t="s">
        <v>1368</v>
      </c>
      <c r="I456" s="99" t="s">
        <v>421</v>
      </c>
      <c r="J456" s="99" t="s">
        <v>447</v>
      </c>
      <c r="K456" s="99" t="s">
        <v>421</v>
      </c>
      <c r="L456" s="99" t="s">
        <v>421</v>
      </c>
      <c r="M456" s="105" t="str">
        <f t="shared" si="10"/>
        <v>View on Google Map</v>
      </c>
    </row>
    <row r="457" spans="1:13" x14ac:dyDescent="0.2">
      <c r="A457" s="99">
        <v>508</v>
      </c>
      <c r="B457" s="99" t="s">
        <v>1369</v>
      </c>
      <c r="C457" s="99" t="s">
        <v>431</v>
      </c>
      <c r="D457" s="99">
        <v>68.396288999999996</v>
      </c>
      <c r="E457" s="99">
        <v>-150.58781500000001</v>
      </c>
      <c r="F457" s="99">
        <v>841</v>
      </c>
      <c r="G457" s="99" t="s">
        <v>432</v>
      </c>
      <c r="H457" s="99" t="s">
        <v>434</v>
      </c>
      <c r="I457" s="99" t="s">
        <v>421</v>
      </c>
      <c r="J457" s="99" t="s">
        <v>433</v>
      </c>
      <c r="K457" s="99" t="s">
        <v>421</v>
      </c>
      <c r="L457" s="99" t="s">
        <v>434</v>
      </c>
      <c r="M457" s="105" t="str">
        <f t="shared" si="10"/>
        <v>View on Google Map</v>
      </c>
    </row>
    <row r="458" spans="1:13" x14ac:dyDescent="0.2">
      <c r="A458" s="99">
        <v>513</v>
      </c>
      <c r="B458" s="99" t="s">
        <v>1370</v>
      </c>
      <c r="C458" s="99" t="s">
        <v>431</v>
      </c>
      <c r="D458" s="99">
        <v>68.362488999999997</v>
      </c>
      <c r="E458" s="99">
        <v>-151.70717300000001</v>
      </c>
      <c r="F458" s="99">
        <v>792</v>
      </c>
      <c r="G458" s="99" t="s">
        <v>432</v>
      </c>
      <c r="H458" s="99" t="s">
        <v>421</v>
      </c>
      <c r="I458" s="99" t="s">
        <v>421</v>
      </c>
      <c r="J458" s="99" t="s">
        <v>433</v>
      </c>
      <c r="K458" s="99" t="s">
        <v>421</v>
      </c>
      <c r="L458" s="99" t="s">
        <v>434</v>
      </c>
      <c r="M458" s="105" t="str">
        <f t="shared" si="10"/>
        <v>View on Google Map</v>
      </c>
    </row>
    <row r="459" spans="1:13" x14ac:dyDescent="0.2">
      <c r="A459" s="99">
        <v>512</v>
      </c>
      <c r="B459" s="99" t="s">
        <v>1371</v>
      </c>
      <c r="C459" s="99" t="s">
        <v>431</v>
      </c>
      <c r="D459" s="99">
        <v>68.351332999999997</v>
      </c>
      <c r="E459" s="99">
        <v>-151.702167</v>
      </c>
      <c r="F459" s="99">
        <v>789</v>
      </c>
      <c r="G459" s="99" t="s">
        <v>432</v>
      </c>
      <c r="H459" s="99" t="s">
        <v>421</v>
      </c>
      <c r="I459" s="99" t="s">
        <v>421</v>
      </c>
      <c r="J459" s="99" t="s">
        <v>433</v>
      </c>
      <c r="K459" s="99" t="s">
        <v>421</v>
      </c>
      <c r="L459" s="99" t="s">
        <v>434</v>
      </c>
      <c r="M459" s="105" t="str">
        <f t="shared" si="10"/>
        <v>View on Google Map</v>
      </c>
    </row>
    <row r="460" spans="1:13" x14ac:dyDescent="0.2">
      <c r="A460" s="99">
        <v>511</v>
      </c>
      <c r="B460" s="99" t="s">
        <v>1372</v>
      </c>
      <c r="C460" s="99" t="s">
        <v>431</v>
      </c>
      <c r="D460" s="99">
        <v>68.347333000000006</v>
      </c>
      <c r="E460" s="99">
        <v>-151.70316700000001</v>
      </c>
      <c r="F460" s="99">
        <v>798</v>
      </c>
      <c r="G460" s="99" t="s">
        <v>432</v>
      </c>
      <c r="H460" s="99" t="s">
        <v>421</v>
      </c>
      <c r="I460" s="99" t="s">
        <v>421</v>
      </c>
      <c r="J460" s="99" t="s">
        <v>433</v>
      </c>
      <c r="K460" s="99" t="s">
        <v>421</v>
      </c>
      <c r="L460" s="99" t="s">
        <v>434</v>
      </c>
      <c r="M460" s="105" t="str">
        <f t="shared" si="10"/>
        <v>View on Google Map</v>
      </c>
    </row>
    <row r="461" spans="1:13" x14ac:dyDescent="0.2">
      <c r="A461" s="99">
        <v>510</v>
      </c>
      <c r="B461" s="99" t="s">
        <v>1373</v>
      </c>
      <c r="C461" s="99" t="s">
        <v>431</v>
      </c>
      <c r="D461" s="99">
        <v>68.351332999999997</v>
      </c>
      <c r="E461" s="99">
        <v>-151.702167</v>
      </c>
      <c r="F461" s="99">
        <v>810</v>
      </c>
      <c r="G461" s="99" t="s">
        <v>432</v>
      </c>
      <c r="H461" s="99" t="s">
        <v>421</v>
      </c>
      <c r="I461" s="99" t="s">
        <v>421</v>
      </c>
      <c r="J461" s="99" t="s">
        <v>433</v>
      </c>
      <c r="K461" s="99" t="s">
        <v>421</v>
      </c>
      <c r="L461" s="99" t="s">
        <v>434</v>
      </c>
      <c r="M461" s="105" t="str">
        <f t="shared" si="10"/>
        <v>View on Google Map</v>
      </c>
    </row>
    <row r="462" spans="1:13" x14ac:dyDescent="0.2">
      <c r="A462" s="99">
        <v>233</v>
      </c>
      <c r="B462" s="99" t="s">
        <v>1374</v>
      </c>
      <c r="C462" s="99" t="s">
        <v>421</v>
      </c>
      <c r="D462" s="99">
        <v>68.643783170000006</v>
      </c>
      <c r="E462" s="99">
        <v>-149.58949436200001</v>
      </c>
      <c r="F462" s="99">
        <v>716</v>
      </c>
      <c r="G462" s="99" t="s">
        <v>432</v>
      </c>
      <c r="H462" s="99" t="s">
        <v>1375</v>
      </c>
      <c r="I462" s="99" t="s">
        <v>421</v>
      </c>
      <c r="J462" s="99" t="s">
        <v>447</v>
      </c>
      <c r="K462" s="99" t="s">
        <v>421</v>
      </c>
      <c r="L462" s="99" t="s">
        <v>421</v>
      </c>
      <c r="M462" s="105" t="str">
        <f t="shared" si="10"/>
        <v>View on Google Map</v>
      </c>
    </row>
    <row r="463" spans="1:13" x14ac:dyDescent="0.2">
      <c r="A463" s="99">
        <v>147</v>
      </c>
      <c r="B463" s="99" t="s">
        <v>1376</v>
      </c>
      <c r="C463" s="99" t="s">
        <v>421</v>
      </c>
      <c r="D463" s="99">
        <v>68.646325005500003</v>
      </c>
      <c r="E463" s="99">
        <v>-149.58272243900001</v>
      </c>
      <c r="F463" s="99">
        <v>716</v>
      </c>
      <c r="G463" s="99" t="s">
        <v>432</v>
      </c>
      <c r="H463" s="99" t="s">
        <v>1377</v>
      </c>
      <c r="I463" s="99" t="s">
        <v>421</v>
      </c>
      <c r="J463" s="99" t="s">
        <v>447</v>
      </c>
      <c r="K463" s="99" t="s">
        <v>421</v>
      </c>
      <c r="L463" s="99" t="s">
        <v>421</v>
      </c>
      <c r="M463" s="105" t="str">
        <f t="shared" si="10"/>
        <v>View on Google Map</v>
      </c>
    </row>
    <row r="464" spans="1:13" x14ac:dyDescent="0.2">
      <c r="A464" s="99">
        <v>234</v>
      </c>
      <c r="B464" s="99" t="s">
        <v>1378</v>
      </c>
      <c r="C464" s="99" t="s">
        <v>421</v>
      </c>
      <c r="D464" s="99">
        <v>68.650192520999994</v>
      </c>
      <c r="E464" s="99">
        <v>-149.58255972500001</v>
      </c>
      <c r="F464" s="99">
        <v>731</v>
      </c>
      <c r="G464" s="99" t="s">
        <v>432</v>
      </c>
      <c r="H464" s="99" t="s">
        <v>1379</v>
      </c>
      <c r="I464" s="99" t="s">
        <v>421</v>
      </c>
      <c r="J464" s="99" t="s">
        <v>447</v>
      </c>
      <c r="K464" s="99" t="s">
        <v>421</v>
      </c>
      <c r="L464" s="99" t="s">
        <v>421</v>
      </c>
      <c r="M464" s="105" t="str">
        <f t="shared" si="10"/>
        <v>View on Google Map</v>
      </c>
    </row>
    <row r="465" spans="1:13" x14ac:dyDescent="0.2">
      <c r="A465" s="99">
        <v>306</v>
      </c>
      <c r="B465" s="99" t="s">
        <v>1380</v>
      </c>
      <c r="C465" s="99" t="s">
        <v>421</v>
      </c>
      <c r="D465" s="99" t="s">
        <v>421</v>
      </c>
      <c r="E465" s="99" t="s">
        <v>421</v>
      </c>
      <c r="F465" s="99">
        <v>731</v>
      </c>
      <c r="G465" s="99" t="s">
        <v>432</v>
      </c>
      <c r="H465" s="99" t="s">
        <v>1381</v>
      </c>
      <c r="I465" s="99" t="s">
        <v>421</v>
      </c>
      <c r="J465" s="99" t="s">
        <v>447</v>
      </c>
      <c r="K465" s="99" t="s">
        <v>421</v>
      </c>
      <c r="L465" s="99" t="s">
        <v>421</v>
      </c>
      <c r="M465" s="105" t="str">
        <f t="shared" si="10"/>
        <v>View on Google Map</v>
      </c>
    </row>
    <row r="466" spans="1:13" x14ac:dyDescent="0.2">
      <c r="A466" s="99">
        <v>235</v>
      </c>
      <c r="B466" s="99" t="s">
        <v>1382</v>
      </c>
      <c r="C466" s="99" t="s">
        <v>421</v>
      </c>
      <c r="D466" s="99" t="s">
        <v>421</v>
      </c>
      <c r="E466" s="99" t="s">
        <v>421</v>
      </c>
      <c r="F466" s="99">
        <v>716</v>
      </c>
      <c r="G466" s="99" t="s">
        <v>432</v>
      </c>
      <c r="H466" s="99" t="s">
        <v>1383</v>
      </c>
      <c r="I466" s="99" t="s">
        <v>421</v>
      </c>
      <c r="J466" s="99" t="s">
        <v>447</v>
      </c>
      <c r="K466" s="99" t="s">
        <v>421</v>
      </c>
      <c r="L466" s="99" t="s">
        <v>421</v>
      </c>
      <c r="M466" s="105" t="str">
        <f t="shared" si="10"/>
        <v>View on Google Map</v>
      </c>
    </row>
    <row r="467" spans="1:13" x14ac:dyDescent="0.2">
      <c r="A467" s="99">
        <v>307</v>
      </c>
      <c r="B467" s="99" t="s">
        <v>1384</v>
      </c>
      <c r="C467" s="99" t="s">
        <v>421</v>
      </c>
      <c r="D467" s="99" t="s">
        <v>421</v>
      </c>
      <c r="E467" s="99" t="s">
        <v>421</v>
      </c>
      <c r="F467" s="99">
        <v>716</v>
      </c>
      <c r="G467" s="99" t="s">
        <v>432</v>
      </c>
      <c r="H467" s="99" t="s">
        <v>1385</v>
      </c>
      <c r="I467" s="99" t="s">
        <v>421</v>
      </c>
      <c r="J467" s="99" t="s">
        <v>447</v>
      </c>
      <c r="K467" s="99" t="s">
        <v>421</v>
      </c>
      <c r="L467" s="99" t="s">
        <v>421</v>
      </c>
      <c r="M467" s="105" t="str">
        <f t="shared" si="10"/>
        <v>View on Google Map</v>
      </c>
    </row>
    <row r="468" spans="1:13" x14ac:dyDescent="0.2">
      <c r="A468" s="99">
        <v>236</v>
      </c>
      <c r="B468" s="99" t="s">
        <v>1386</v>
      </c>
      <c r="C468" s="99" t="s">
        <v>421</v>
      </c>
      <c r="D468" s="99">
        <v>68.653572283900004</v>
      </c>
      <c r="E468" s="99">
        <v>-149.58091106399999</v>
      </c>
      <c r="F468" s="99">
        <v>731</v>
      </c>
      <c r="G468" s="99" t="s">
        <v>432</v>
      </c>
      <c r="H468" s="99" t="s">
        <v>1387</v>
      </c>
      <c r="I468" s="99" t="s">
        <v>421</v>
      </c>
      <c r="J468" s="99" t="s">
        <v>447</v>
      </c>
      <c r="K468" s="99" t="s">
        <v>421</v>
      </c>
      <c r="L468" s="99" t="s">
        <v>421</v>
      </c>
      <c r="M468" s="105" t="str">
        <f t="shared" si="10"/>
        <v>View on Google Map</v>
      </c>
    </row>
    <row r="469" spans="1:13" x14ac:dyDescent="0.2">
      <c r="A469" s="99">
        <v>308</v>
      </c>
      <c r="B469" s="99" t="s">
        <v>1388</v>
      </c>
      <c r="C469" s="99" t="s">
        <v>421</v>
      </c>
      <c r="D469" s="99">
        <v>68.652551279199997</v>
      </c>
      <c r="E469" s="99">
        <v>-149.58676006799999</v>
      </c>
      <c r="F469" s="99">
        <v>731</v>
      </c>
      <c r="G469" s="99" t="s">
        <v>432</v>
      </c>
      <c r="H469" s="99" t="s">
        <v>1389</v>
      </c>
      <c r="I469" s="99" t="s">
        <v>421</v>
      </c>
      <c r="J469" s="99" t="s">
        <v>447</v>
      </c>
      <c r="K469" s="99" t="s">
        <v>421</v>
      </c>
      <c r="L469" s="99" t="s">
        <v>421</v>
      </c>
      <c r="M469" s="105" t="str">
        <f t="shared" si="10"/>
        <v>View on Google Map</v>
      </c>
    </row>
    <row r="470" spans="1:13" x14ac:dyDescent="0.2">
      <c r="A470" s="99">
        <v>446</v>
      </c>
      <c r="B470" s="99" t="s">
        <v>1390</v>
      </c>
      <c r="C470" s="99" t="s">
        <v>421</v>
      </c>
      <c r="D470" s="99">
        <v>68.653536133599999</v>
      </c>
      <c r="E470" s="99">
        <v>-149.59622183299999</v>
      </c>
      <c r="F470" s="99">
        <v>747</v>
      </c>
      <c r="G470" s="99" t="s">
        <v>432</v>
      </c>
      <c r="H470" s="99" t="s">
        <v>1391</v>
      </c>
      <c r="I470" s="99" t="s">
        <v>421</v>
      </c>
      <c r="J470" s="99" t="s">
        <v>447</v>
      </c>
      <c r="K470" s="99" t="s">
        <v>421</v>
      </c>
      <c r="L470" s="99" t="s">
        <v>421</v>
      </c>
      <c r="M470" s="105" t="str">
        <f t="shared" si="10"/>
        <v>View on Google Map</v>
      </c>
    </row>
    <row r="471" spans="1:13" x14ac:dyDescent="0.2">
      <c r="A471" s="99">
        <v>447</v>
      </c>
      <c r="B471" s="99" t="s">
        <v>1392</v>
      </c>
      <c r="C471" s="99" t="s">
        <v>421</v>
      </c>
      <c r="D471" s="99">
        <v>68.652588284900006</v>
      </c>
      <c r="E471" s="99">
        <v>-149.60764069300001</v>
      </c>
      <c r="F471" s="99" t="s">
        <v>421</v>
      </c>
      <c r="G471" s="99" t="s">
        <v>432</v>
      </c>
      <c r="H471" s="99" t="s">
        <v>1393</v>
      </c>
      <c r="I471" s="99" t="s">
        <v>421</v>
      </c>
      <c r="J471" s="99" t="s">
        <v>447</v>
      </c>
      <c r="K471" s="99" t="s">
        <v>421</v>
      </c>
      <c r="L471" s="99" t="s">
        <v>421</v>
      </c>
      <c r="M471" s="105" t="str">
        <f t="shared" si="10"/>
        <v>View on Google Map</v>
      </c>
    </row>
    <row r="472" spans="1:13" x14ac:dyDescent="0.2">
      <c r="A472" s="99">
        <v>504</v>
      </c>
      <c r="B472" s="99" t="s">
        <v>1394</v>
      </c>
      <c r="C472" s="99" t="s">
        <v>421</v>
      </c>
      <c r="D472" s="99">
        <v>68.647407723699999</v>
      </c>
      <c r="E472" s="99">
        <v>-149.60936597400001</v>
      </c>
      <c r="F472" s="99">
        <v>731</v>
      </c>
      <c r="G472" s="99" t="s">
        <v>432</v>
      </c>
      <c r="H472" s="99" t="s">
        <v>421</v>
      </c>
      <c r="I472" s="99" t="s">
        <v>421</v>
      </c>
      <c r="J472" s="99" t="s">
        <v>447</v>
      </c>
      <c r="K472" s="99" t="s">
        <v>421</v>
      </c>
      <c r="L472" s="99" t="s">
        <v>421</v>
      </c>
      <c r="M472" s="105" t="str">
        <f t="shared" si="10"/>
        <v>View on Google Map</v>
      </c>
    </row>
    <row r="473" spans="1:13" x14ac:dyDescent="0.2">
      <c r="A473" s="99">
        <v>108</v>
      </c>
      <c r="B473" s="99" t="s">
        <v>1395</v>
      </c>
      <c r="C473" s="99" t="s">
        <v>421</v>
      </c>
      <c r="D473" s="99">
        <v>68.650000000000006</v>
      </c>
      <c r="E473" s="99">
        <v>-149.61666666666667</v>
      </c>
      <c r="F473" s="99">
        <v>699</v>
      </c>
      <c r="G473" s="99" t="s">
        <v>432</v>
      </c>
      <c r="H473" s="99" t="s">
        <v>1396</v>
      </c>
      <c r="I473" s="99" t="s">
        <v>421</v>
      </c>
      <c r="J473" s="99" t="s">
        <v>447</v>
      </c>
      <c r="K473" s="99" t="s">
        <v>421</v>
      </c>
      <c r="L473" s="99" t="s">
        <v>421</v>
      </c>
      <c r="M473" s="105" t="str">
        <f t="shared" si="10"/>
        <v>View on Google Map</v>
      </c>
    </row>
    <row r="474" spans="1:13" x14ac:dyDescent="0.2">
      <c r="A474" s="99">
        <v>309</v>
      </c>
      <c r="B474" s="99" t="s">
        <v>1397</v>
      </c>
      <c r="C474" s="99" t="s">
        <v>421</v>
      </c>
      <c r="D474" s="99" t="s">
        <v>421</v>
      </c>
      <c r="E474" s="99" t="s">
        <v>421</v>
      </c>
      <c r="F474" s="99" t="s">
        <v>421</v>
      </c>
      <c r="G474" s="99" t="s">
        <v>432</v>
      </c>
      <c r="H474" s="99" t="s">
        <v>1398</v>
      </c>
      <c r="I474" s="99" t="s">
        <v>421</v>
      </c>
      <c r="J474" s="99" t="s">
        <v>447</v>
      </c>
      <c r="K474" s="99" t="s">
        <v>421</v>
      </c>
      <c r="L474" s="99" t="s">
        <v>421</v>
      </c>
      <c r="M474" s="105" t="str">
        <f t="shared" si="10"/>
        <v>View on Google Map</v>
      </c>
    </row>
    <row r="475" spans="1:13" x14ac:dyDescent="0.2">
      <c r="A475" s="99">
        <v>109</v>
      </c>
      <c r="B475" s="99" t="s">
        <v>1399</v>
      </c>
      <c r="C475" s="99" t="s">
        <v>421</v>
      </c>
      <c r="D475" s="99">
        <v>68.683333333333337</v>
      </c>
      <c r="E475" s="99">
        <v>-149.61666666666667</v>
      </c>
      <c r="F475" s="99">
        <v>701</v>
      </c>
      <c r="G475" s="99" t="s">
        <v>432</v>
      </c>
      <c r="H475" s="99" t="s">
        <v>1400</v>
      </c>
      <c r="I475" s="99" t="s">
        <v>421</v>
      </c>
      <c r="J475" s="99" t="s">
        <v>447</v>
      </c>
      <c r="K475" s="99" t="s">
        <v>421</v>
      </c>
      <c r="L475" s="99" t="s">
        <v>421</v>
      </c>
      <c r="M475" s="105" t="str">
        <f t="shared" si="10"/>
        <v>View on Google Map</v>
      </c>
    </row>
    <row r="476" spans="1:13" x14ac:dyDescent="0.2">
      <c r="A476" s="99">
        <v>497</v>
      </c>
      <c r="B476" s="99" t="s">
        <v>1401</v>
      </c>
      <c r="C476" s="99" t="s">
        <v>1402</v>
      </c>
      <c r="D476" s="99">
        <v>68.674931999999998</v>
      </c>
      <c r="E476" s="99">
        <v>-149.625439</v>
      </c>
      <c r="F476" s="99">
        <v>701</v>
      </c>
      <c r="G476" s="99" t="s">
        <v>432</v>
      </c>
      <c r="H476" s="99" t="s">
        <v>421</v>
      </c>
      <c r="I476" s="99" t="s">
        <v>421</v>
      </c>
      <c r="J476" s="99" t="s">
        <v>1349</v>
      </c>
      <c r="K476" s="99" t="s">
        <v>421</v>
      </c>
      <c r="L476" s="99" t="s">
        <v>828</v>
      </c>
      <c r="M476" s="105" t="str">
        <f t="shared" si="10"/>
        <v>View on Google Map</v>
      </c>
    </row>
    <row r="477" spans="1:13" x14ac:dyDescent="0.2">
      <c r="A477" s="99">
        <v>498</v>
      </c>
      <c r="B477" s="99" t="s">
        <v>1403</v>
      </c>
      <c r="C477" s="99" t="s">
        <v>421</v>
      </c>
      <c r="D477" s="99">
        <v>68.677723</v>
      </c>
      <c r="E477" s="99">
        <v>-149.62402800000001</v>
      </c>
      <c r="F477" s="99">
        <v>701</v>
      </c>
      <c r="G477" s="99" t="s">
        <v>446</v>
      </c>
      <c r="H477" s="99" t="s">
        <v>421</v>
      </c>
      <c r="I477" s="99" t="s">
        <v>421</v>
      </c>
      <c r="J477" s="99" t="s">
        <v>1349</v>
      </c>
      <c r="K477" s="99" t="s">
        <v>421</v>
      </c>
      <c r="L477" s="99" t="s">
        <v>828</v>
      </c>
      <c r="M477" s="105" t="str">
        <f t="shared" si="10"/>
        <v>View on Google Map</v>
      </c>
    </row>
    <row r="478" spans="1:13" x14ac:dyDescent="0.2">
      <c r="A478" s="99">
        <v>495</v>
      </c>
      <c r="B478" s="99" t="s">
        <v>1404</v>
      </c>
      <c r="C478" s="99" t="s">
        <v>421</v>
      </c>
      <c r="D478" s="99">
        <v>68.674121999999997</v>
      </c>
      <c r="E478" s="99">
        <v>-149.62885</v>
      </c>
      <c r="F478" s="99">
        <v>701</v>
      </c>
      <c r="G478" s="99" t="s">
        <v>446</v>
      </c>
      <c r="H478" s="99" t="s">
        <v>421</v>
      </c>
      <c r="I478" s="99" t="s">
        <v>421</v>
      </c>
      <c r="J478" s="99" t="s">
        <v>1349</v>
      </c>
      <c r="K478" s="99" t="s">
        <v>421</v>
      </c>
      <c r="L478" s="99" t="s">
        <v>828</v>
      </c>
      <c r="M478" s="105" t="str">
        <f t="shared" si="10"/>
        <v>View on Google Map</v>
      </c>
    </row>
    <row r="479" spans="1:13" x14ac:dyDescent="0.2">
      <c r="A479" s="99">
        <v>448</v>
      </c>
      <c r="B479" s="99" t="s">
        <v>1405</v>
      </c>
      <c r="C479" s="99" t="s">
        <v>421</v>
      </c>
      <c r="D479" s="99">
        <v>68.655874034999997</v>
      </c>
      <c r="E479" s="99">
        <v>-149.58555905599999</v>
      </c>
      <c r="F479" s="99" t="s">
        <v>421</v>
      </c>
      <c r="G479" s="99" t="s">
        <v>432</v>
      </c>
      <c r="H479" s="99" t="s">
        <v>1406</v>
      </c>
      <c r="I479" s="99" t="s">
        <v>421</v>
      </c>
      <c r="J479" s="99" t="s">
        <v>447</v>
      </c>
      <c r="K479" s="99" t="s">
        <v>421</v>
      </c>
      <c r="L479" s="99" t="s">
        <v>421</v>
      </c>
      <c r="M479" s="105" t="str">
        <f t="shared" si="10"/>
        <v>View on Google Map</v>
      </c>
    </row>
    <row r="480" spans="1:13" x14ac:dyDescent="0.2">
      <c r="A480" s="99">
        <v>449</v>
      </c>
      <c r="B480" s="99" t="s">
        <v>1407</v>
      </c>
      <c r="C480" s="99" t="s">
        <v>421</v>
      </c>
      <c r="D480" s="99">
        <v>68.661045276899998</v>
      </c>
      <c r="E480" s="99">
        <v>-149.586664767</v>
      </c>
      <c r="F480" s="99" t="s">
        <v>421</v>
      </c>
      <c r="G480" s="99" t="s">
        <v>432</v>
      </c>
      <c r="H480" s="99" t="s">
        <v>1408</v>
      </c>
      <c r="I480" s="99" t="s">
        <v>421</v>
      </c>
      <c r="J480" s="99" t="s">
        <v>447</v>
      </c>
      <c r="K480" s="99" t="s">
        <v>421</v>
      </c>
      <c r="L480" s="99" t="s">
        <v>421</v>
      </c>
      <c r="M480" s="105" t="str">
        <f t="shared" si="10"/>
        <v>View on Google Map</v>
      </c>
    </row>
    <row r="481" spans="1:13" x14ac:dyDescent="0.2">
      <c r="A481" s="99">
        <v>171</v>
      </c>
      <c r="B481" s="99" t="s">
        <v>1409</v>
      </c>
      <c r="C481" s="99" t="s">
        <v>421</v>
      </c>
      <c r="D481" s="99">
        <v>68.652645483100002</v>
      </c>
      <c r="E481" s="99">
        <v>-149.59947366200001</v>
      </c>
      <c r="F481" s="99">
        <v>747</v>
      </c>
      <c r="G481" s="99" t="s">
        <v>432</v>
      </c>
      <c r="H481" s="99" t="s">
        <v>1410</v>
      </c>
      <c r="I481" s="99" t="s">
        <v>1411</v>
      </c>
      <c r="J481" s="99" t="s">
        <v>447</v>
      </c>
      <c r="K481" s="99" t="s">
        <v>421</v>
      </c>
      <c r="L481" s="99" t="s">
        <v>421</v>
      </c>
      <c r="M481" s="105" t="str">
        <f t="shared" si="10"/>
        <v>View on Google Map</v>
      </c>
    </row>
    <row r="482" spans="1:13" x14ac:dyDescent="0.2">
      <c r="A482" s="99">
        <v>499</v>
      </c>
      <c r="B482" s="99" t="s">
        <v>1412</v>
      </c>
      <c r="C482" s="99" t="s">
        <v>421</v>
      </c>
      <c r="D482" s="99">
        <v>68.829610000000002</v>
      </c>
      <c r="E482" s="99">
        <v>-149.77901</v>
      </c>
      <c r="F482" s="99">
        <v>633</v>
      </c>
      <c r="G482" s="99" t="s">
        <v>432</v>
      </c>
      <c r="H482" s="99" t="s">
        <v>1413</v>
      </c>
      <c r="I482" s="99" t="s">
        <v>1414</v>
      </c>
      <c r="J482" s="99" t="s">
        <v>433</v>
      </c>
      <c r="K482" s="99" t="s">
        <v>421</v>
      </c>
      <c r="L482" s="99" t="s">
        <v>421</v>
      </c>
      <c r="M482" s="105" t="str">
        <f t="shared" si="10"/>
        <v>View on Google Map</v>
      </c>
    </row>
    <row r="483" spans="1:13" x14ac:dyDescent="0.2">
      <c r="A483" s="99">
        <v>500</v>
      </c>
      <c r="B483" s="99" t="s">
        <v>1415</v>
      </c>
      <c r="C483" s="99" t="s">
        <v>421</v>
      </c>
      <c r="D483" s="99">
        <v>68.832999999999998</v>
      </c>
      <c r="E483" s="99">
        <v>-149.76808</v>
      </c>
      <c r="F483" s="99">
        <v>624</v>
      </c>
      <c r="G483" s="99" t="s">
        <v>432</v>
      </c>
      <c r="H483" s="99" t="s">
        <v>1416</v>
      </c>
      <c r="I483" s="99" t="s">
        <v>1417</v>
      </c>
      <c r="J483" s="99" t="s">
        <v>433</v>
      </c>
      <c r="K483" s="99" t="s">
        <v>421</v>
      </c>
      <c r="L483" s="99" t="s">
        <v>421</v>
      </c>
      <c r="M483" s="105" t="str">
        <f t="shared" si="10"/>
        <v>View on Google Map</v>
      </c>
    </row>
    <row r="484" spans="1:13" x14ac:dyDescent="0.2">
      <c r="A484" s="99">
        <v>501</v>
      </c>
      <c r="B484" s="99" t="s">
        <v>1418</v>
      </c>
      <c r="C484" s="99" t="s">
        <v>421</v>
      </c>
      <c r="D484" s="99">
        <v>68.828299999999999</v>
      </c>
      <c r="E484" s="99">
        <v>-149.76473999999999</v>
      </c>
      <c r="F484" s="99">
        <v>624</v>
      </c>
      <c r="G484" s="99" t="s">
        <v>432</v>
      </c>
      <c r="H484" s="99" t="s">
        <v>1419</v>
      </c>
      <c r="I484" s="99" t="s">
        <v>1420</v>
      </c>
      <c r="J484" s="99" t="s">
        <v>433</v>
      </c>
      <c r="K484" s="99" t="s">
        <v>421</v>
      </c>
      <c r="L484" s="99" t="s">
        <v>421</v>
      </c>
      <c r="M484" s="105" t="str">
        <f t="shared" si="10"/>
        <v>View on Google Map</v>
      </c>
    </row>
    <row r="485" spans="1:13" x14ac:dyDescent="0.2">
      <c r="A485" s="99">
        <v>502</v>
      </c>
      <c r="B485" s="99" t="s">
        <v>1421</v>
      </c>
      <c r="C485" s="99" t="s">
        <v>421</v>
      </c>
      <c r="D485" s="99">
        <v>68.826520000000002</v>
      </c>
      <c r="E485" s="99">
        <v>-149.75897000000001</v>
      </c>
      <c r="F485" s="99">
        <v>592</v>
      </c>
      <c r="G485" s="99" t="s">
        <v>432</v>
      </c>
      <c r="H485" s="99" t="s">
        <v>1422</v>
      </c>
      <c r="I485" s="99" t="s">
        <v>1423</v>
      </c>
      <c r="J485" s="99" t="s">
        <v>433</v>
      </c>
      <c r="K485" s="99" t="s">
        <v>421</v>
      </c>
      <c r="L485" s="99" t="s">
        <v>421</v>
      </c>
      <c r="M485" s="105" t="str">
        <f t="shared" si="10"/>
        <v>View on Google Map</v>
      </c>
    </row>
    <row r="486" spans="1:13" x14ac:dyDescent="0.2">
      <c r="A486" s="99">
        <v>503</v>
      </c>
      <c r="B486" s="99" t="s">
        <v>1424</v>
      </c>
      <c r="C486" s="99" t="s">
        <v>421</v>
      </c>
      <c r="D486" s="99">
        <v>68.827259999999995</v>
      </c>
      <c r="E486" s="99">
        <v>-149.75089</v>
      </c>
      <c r="F486" s="99">
        <v>592</v>
      </c>
      <c r="G486" s="99" t="s">
        <v>432</v>
      </c>
      <c r="H486" s="99" t="s">
        <v>1425</v>
      </c>
      <c r="I486" s="99" t="s">
        <v>1426</v>
      </c>
      <c r="J486" s="99" t="s">
        <v>433</v>
      </c>
      <c r="K486" s="99" t="s">
        <v>421</v>
      </c>
      <c r="L486" s="99" t="s">
        <v>421</v>
      </c>
      <c r="M486" s="105" t="str">
        <f t="shared" si="10"/>
        <v>View on Google Map</v>
      </c>
    </row>
    <row r="487" spans="1:13" x14ac:dyDescent="0.2">
      <c r="A487" s="99">
        <v>488</v>
      </c>
      <c r="B487" s="99" t="s">
        <v>1427</v>
      </c>
      <c r="C487" s="99" t="s">
        <v>421</v>
      </c>
      <c r="D487" s="99">
        <v>69.329949999999997</v>
      </c>
      <c r="E487" s="99">
        <v>-150.95275000000001</v>
      </c>
      <c r="F487" s="99">
        <v>127</v>
      </c>
      <c r="G487" s="99" t="s">
        <v>432</v>
      </c>
      <c r="H487" s="99" t="s">
        <v>421</v>
      </c>
      <c r="I487" s="99" t="s">
        <v>421</v>
      </c>
      <c r="J487" s="99" t="s">
        <v>482</v>
      </c>
      <c r="K487" s="99" t="s">
        <v>421</v>
      </c>
      <c r="L487" s="99" t="s">
        <v>429</v>
      </c>
      <c r="M487" s="105" t="str">
        <f t="shared" si="10"/>
        <v>View on Google Map</v>
      </c>
    </row>
    <row r="488" spans="1:13" x14ac:dyDescent="0.2">
      <c r="A488" s="99">
        <v>489</v>
      </c>
      <c r="B488" s="99" t="s">
        <v>1428</v>
      </c>
      <c r="C488" s="99" t="s">
        <v>421</v>
      </c>
      <c r="D488" s="99" t="s">
        <v>421</v>
      </c>
      <c r="E488" s="99" t="s">
        <v>421</v>
      </c>
      <c r="F488" s="99">
        <v>127</v>
      </c>
      <c r="G488" s="99" t="s">
        <v>446</v>
      </c>
      <c r="H488" s="99" t="s">
        <v>421</v>
      </c>
      <c r="I488" s="99" t="s">
        <v>421</v>
      </c>
      <c r="J488" s="99" t="s">
        <v>482</v>
      </c>
      <c r="K488" s="99" t="s">
        <v>421</v>
      </c>
      <c r="L488" s="99" t="s">
        <v>429</v>
      </c>
      <c r="M488" s="105" t="str">
        <f t="shared" si="10"/>
        <v>View on Google Map</v>
      </c>
    </row>
    <row r="489" spans="1:13" x14ac:dyDescent="0.2">
      <c r="A489" s="99">
        <v>490</v>
      </c>
      <c r="B489" s="99" t="s">
        <v>1429</v>
      </c>
      <c r="C489" s="99" t="s">
        <v>421</v>
      </c>
      <c r="D489" s="99" t="s">
        <v>421</v>
      </c>
      <c r="E489" s="99" t="s">
        <v>421</v>
      </c>
      <c r="F489" s="99">
        <v>127</v>
      </c>
      <c r="G489" s="99" t="s">
        <v>432</v>
      </c>
      <c r="H489" s="99" t="s">
        <v>421</v>
      </c>
      <c r="I489" s="99" t="s">
        <v>421</v>
      </c>
      <c r="J489" s="99" t="s">
        <v>482</v>
      </c>
      <c r="K489" s="99" t="s">
        <v>421</v>
      </c>
      <c r="L489" s="99" t="s">
        <v>429</v>
      </c>
      <c r="M489" s="105" t="str">
        <f t="shared" si="10"/>
        <v>View on Google Map</v>
      </c>
    </row>
    <row r="490" spans="1:13" x14ac:dyDescent="0.2">
      <c r="A490" s="99">
        <v>34</v>
      </c>
      <c r="B490" s="99" t="s">
        <v>1430</v>
      </c>
      <c r="C490" s="99" t="s">
        <v>421</v>
      </c>
      <c r="D490" s="99">
        <v>69.057400000000001</v>
      </c>
      <c r="E490" s="99">
        <v>-150.39599999999999</v>
      </c>
      <c r="F490" s="99">
        <v>274</v>
      </c>
      <c r="G490" s="99" t="s">
        <v>446</v>
      </c>
      <c r="H490" s="99" t="s">
        <v>421</v>
      </c>
      <c r="I490" s="99" t="s">
        <v>421</v>
      </c>
      <c r="J490" s="99" t="s">
        <v>482</v>
      </c>
      <c r="K490" s="99" t="s">
        <v>421</v>
      </c>
      <c r="L490" s="99" t="s">
        <v>429</v>
      </c>
      <c r="M490" s="105" t="str">
        <f t="shared" si="10"/>
        <v>View on Google Map</v>
      </c>
    </row>
    <row r="491" spans="1:13" x14ac:dyDescent="0.2">
      <c r="A491" s="99">
        <v>45</v>
      </c>
      <c r="B491" s="99" t="s">
        <v>1431</v>
      </c>
      <c r="C491" s="99" t="s">
        <v>421</v>
      </c>
      <c r="D491" s="99">
        <v>69.063298000000003</v>
      </c>
      <c r="E491" s="99">
        <v>-150.394711</v>
      </c>
      <c r="F491" s="99" t="s">
        <v>421</v>
      </c>
      <c r="G491" s="99" t="s">
        <v>446</v>
      </c>
      <c r="H491" s="99" t="s">
        <v>421</v>
      </c>
      <c r="I491" s="99" t="s">
        <v>421</v>
      </c>
      <c r="J491" s="99" t="s">
        <v>1432</v>
      </c>
      <c r="K491" s="99" t="s">
        <v>421</v>
      </c>
      <c r="L491" s="99" t="s">
        <v>429</v>
      </c>
      <c r="M491" s="105" t="str">
        <f t="shared" si="10"/>
        <v>View on Google Map</v>
      </c>
    </row>
    <row r="492" spans="1:13" x14ac:dyDescent="0.2">
      <c r="B492" s="99" t="s">
        <v>1433</v>
      </c>
      <c r="C492" s="99" t="s">
        <v>1434</v>
      </c>
      <c r="D492" s="99">
        <v>69.138333333333335</v>
      </c>
      <c r="E492" s="99">
        <v>-150.64916666666701</v>
      </c>
      <c r="G492" s="99" t="s">
        <v>440</v>
      </c>
      <c r="J492" s="99" t="s">
        <v>428</v>
      </c>
      <c r="L492" s="99" t="s">
        <v>429</v>
      </c>
      <c r="M492" s="105" t="str">
        <f t="shared" si="10"/>
        <v>View on Google Map</v>
      </c>
    </row>
    <row r="493" spans="1:13" x14ac:dyDescent="0.2">
      <c r="B493" s="99" t="s">
        <v>1435</v>
      </c>
      <c r="C493" s="99" t="s">
        <v>818</v>
      </c>
      <c r="D493" s="99">
        <v>69.152500000000003</v>
      </c>
      <c r="E493" s="99">
        <v>-150.706111111111</v>
      </c>
      <c r="G493" s="99" t="s">
        <v>440</v>
      </c>
      <c r="J493" s="99" t="s">
        <v>428</v>
      </c>
      <c r="L493" s="99" t="s">
        <v>429</v>
      </c>
      <c r="M493" s="105" t="str">
        <f t="shared" si="10"/>
        <v>View on Google Map</v>
      </c>
    </row>
    <row r="494" spans="1:13" x14ac:dyDescent="0.2">
      <c r="A494" s="99">
        <v>35</v>
      </c>
      <c r="B494" s="99" t="s">
        <v>1436</v>
      </c>
      <c r="C494" s="99" t="s">
        <v>421</v>
      </c>
      <c r="D494" s="99">
        <v>69.063333333333333</v>
      </c>
      <c r="E494" s="99">
        <v>-150.39333333333335</v>
      </c>
      <c r="F494" s="99">
        <v>281</v>
      </c>
      <c r="G494" s="99" t="s">
        <v>446</v>
      </c>
      <c r="H494" s="99" t="s">
        <v>421</v>
      </c>
      <c r="I494" s="99" t="s">
        <v>421</v>
      </c>
      <c r="J494" s="99" t="s">
        <v>482</v>
      </c>
      <c r="K494" s="99" t="s">
        <v>421</v>
      </c>
      <c r="L494" s="99" t="s">
        <v>429</v>
      </c>
      <c r="M494" s="105" t="str">
        <f t="shared" si="10"/>
        <v>View on Google Map</v>
      </c>
    </row>
    <row r="495" spans="1:13" x14ac:dyDescent="0.2">
      <c r="A495" s="99">
        <v>161</v>
      </c>
      <c r="B495" s="99" t="s">
        <v>1437</v>
      </c>
      <c r="C495" s="99" t="s">
        <v>1438</v>
      </c>
      <c r="D495" s="99">
        <v>68.599999999999994</v>
      </c>
      <c r="E495" s="99">
        <v>-149.18333333333334</v>
      </c>
      <c r="F495" s="99">
        <v>876</v>
      </c>
      <c r="G495" s="99" t="s">
        <v>432</v>
      </c>
      <c r="H495" s="99" t="s">
        <v>1439</v>
      </c>
      <c r="I495" s="99" t="s">
        <v>421</v>
      </c>
      <c r="J495" s="99" t="s">
        <v>447</v>
      </c>
      <c r="K495" s="99" t="s">
        <v>421</v>
      </c>
      <c r="L495" s="99" t="s">
        <v>448</v>
      </c>
      <c r="M495" s="105" t="str">
        <f t="shared" si="10"/>
        <v>View on Google Map</v>
      </c>
    </row>
    <row r="496" spans="1:13" x14ac:dyDescent="0.2">
      <c r="A496" s="99">
        <v>162</v>
      </c>
      <c r="B496" s="99" t="s">
        <v>1440</v>
      </c>
      <c r="C496" s="99" t="s">
        <v>1438</v>
      </c>
      <c r="D496" s="99">
        <v>68.583333333333329</v>
      </c>
      <c r="E496" s="99">
        <v>-149.19999999999999</v>
      </c>
      <c r="F496" s="99">
        <v>892</v>
      </c>
      <c r="G496" s="99" t="s">
        <v>432</v>
      </c>
      <c r="H496" s="99" t="s">
        <v>1441</v>
      </c>
      <c r="I496" s="99" t="s">
        <v>421</v>
      </c>
      <c r="J496" s="99" t="s">
        <v>447</v>
      </c>
      <c r="K496" s="99" t="s">
        <v>421</v>
      </c>
      <c r="L496" s="99" t="s">
        <v>448</v>
      </c>
      <c r="M496" s="105" t="str">
        <f t="shared" si="10"/>
        <v>View on Google Map</v>
      </c>
    </row>
    <row r="497" spans="1:13" x14ac:dyDescent="0.2">
      <c r="A497" s="99">
        <v>163</v>
      </c>
      <c r="B497" s="99" t="s">
        <v>1442</v>
      </c>
      <c r="C497" s="99" t="s">
        <v>1438</v>
      </c>
      <c r="D497" s="99">
        <v>68.599999999999994</v>
      </c>
      <c r="E497" s="99">
        <v>-149.16666666666666</v>
      </c>
      <c r="F497" s="99">
        <v>876</v>
      </c>
      <c r="G497" s="99" t="s">
        <v>432</v>
      </c>
      <c r="H497" s="99" t="s">
        <v>1443</v>
      </c>
      <c r="I497" s="99" t="s">
        <v>421</v>
      </c>
      <c r="J497" s="99" t="s">
        <v>447</v>
      </c>
      <c r="K497" s="99" t="s">
        <v>421</v>
      </c>
      <c r="L497" s="99" t="s">
        <v>448</v>
      </c>
      <c r="M497" s="105" t="str">
        <f t="shared" si="10"/>
        <v>View on Google Map</v>
      </c>
    </row>
    <row r="498" spans="1:13" x14ac:dyDescent="0.2">
      <c r="A498" s="99">
        <v>5</v>
      </c>
      <c r="B498" s="99" t="s">
        <v>1444</v>
      </c>
      <c r="C498" s="99" t="s">
        <v>1033</v>
      </c>
      <c r="D498" s="99">
        <v>68.671486221999999</v>
      </c>
      <c r="E498" s="99">
        <v>-149.1281271</v>
      </c>
      <c r="F498" s="99">
        <v>761.75599999999997</v>
      </c>
      <c r="G498" s="99" t="s">
        <v>958</v>
      </c>
      <c r="J498" s="24" t="s">
        <v>447</v>
      </c>
      <c r="M498" s="105" t="str">
        <f t="shared" si="10"/>
        <v>View on Google Map</v>
      </c>
    </row>
    <row r="499" spans="1:13" x14ac:dyDescent="0.2">
      <c r="A499" s="99">
        <v>5</v>
      </c>
      <c r="B499" s="99" t="s">
        <v>1445</v>
      </c>
      <c r="C499" s="99" t="s">
        <v>1033</v>
      </c>
      <c r="D499" s="99">
        <v>68.671371694000001</v>
      </c>
      <c r="E499" s="99">
        <v>-149.131155484</v>
      </c>
      <c r="F499" s="99">
        <v>763.88099999999997</v>
      </c>
      <c r="G499" s="99" t="s">
        <v>958</v>
      </c>
      <c r="J499" s="24" t="s">
        <v>447</v>
      </c>
      <c r="M499" s="105" t="str">
        <f t="shared" si="10"/>
        <v>View on Google Map</v>
      </c>
    </row>
    <row r="500" spans="1:13" x14ac:dyDescent="0.2">
      <c r="A500" s="99">
        <v>5</v>
      </c>
      <c r="B500" s="99" t="s">
        <v>1446</v>
      </c>
      <c r="C500" s="99" t="s">
        <v>1033</v>
      </c>
      <c r="D500" s="99">
        <v>68.671018009999997</v>
      </c>
      <c r="E500" s="99">
        <v>-149.13789268599999</v>
      </c>
      <c r="F500" s="99">
        <v>764.53700000000003</v>
      </c>
      <c r="G500" s="99" t="s">
        <v>958</v>
      </c>
      <c r="J500" s="24" t="s">
        <v>447</v>
      </c>
      <c r="M500" s="105" t="str">
        <f t="shared" si="10"/>
        <v>View on Google Map</v>
      </c>
    </row>
    <row r="501" spans="1:13" x14ac:dyDescent="0.2">
      <c r="A501" s="99">
        <v>5</v>
      </c>
      <c r="B501" s="99" t="s">
        <v>1447</v>
      </c>
      <c r="C501" s="99" t="s">
        <v>1043</v>
      </c>
      <c r="D501" s="99">
        <v>68.677193270000004</v>
      </c>
      <c r="E501" s="99">
        <v>-149.121792258</v>
      </c>
      <c r="F501" s="99">
        <v>763.74300000000005</v>
      </c>
      <c r="G501" s="99" t="s">
        <v>958</v>
      </c>
      <c r="J501" s="24" t="s">
        <v>447</v>
      </c>
      <c r="M501" s="105" t="str">
        <f t="shared" si="10"/>
        <v>View on Google Map</v>
      </c>
    </row>
    <row r="502" spans="1:13" x14ac:dyDescent="0.2">
      <c r="A502" s="99">
        <v>5</v>
      </c>
      <c r="B502" s="99" t="s">
        <v>1448</v>
      </c>
      <c r="C502" s="99" t="s">
        <v>1043</v>
      </c>
      <c r="D502" s="99">
        <v>68.679780992000005</v>
      </c>
      <c r="E502" s="99">
        <v>-149.114206438</v>
      </c>
      <c r="F502" s="99">
        <v>762.678</v>
      </c>
      <c r="G502" s="99" t="s">
        <v>958</v>
      </c>
      <c r="J502" s="24" t="s">
        <v>447</v>
      </c>
      <c r="M502" s="105" t="str">
        <f t="shared" si="10"/>
        <v>View on Google Map</v>
      </c>
    </row>
    <row r="503" spans="1:13" x14ac:dyDescent="0.2">
      <c r="A503" s="99">
        <v>5</v>
      </c>
      <c r="B503" s="99" t="s">
        <v>1449</v>
      </c>
      <c r="C503" s="99" t="s">
        <v>445</v>
      </c>
      <c r="D503" s="99">
        <v>68.687399999999997</v>
      </c>
      <c r="E503" s="99">
        <v>-149.095</v>
      </c>
      <c r="F503" s="99">
        <v>754</v>
      </c>
      <c r="G503" s="99" t="s">
        <v>446</v>
      </c>
      <c r="H503" s="99" t="s">
        <v>1450</v>
      </c>
      <c r="I503" s="99" t="s">
        <v>1451</v>
      </c>
      <c r="J503" s="99" t="s">
        <v>447</v>
      </c>
      <c r="K503" s="99" t="s">
        <v>421</v>
      </c>
      <c r="L503" s="99" t="s">
        <v>448</v>
      </c>
      <c r="M503" s="105" t="str">
        <f t="shared" si="10"/>
        <v>View on Google Map</v>
      </c>
    </row>
    <row r="504" spans="1:13" x14ac:dyDescent="0.2">
      <c r="A504" s="99">
        <v>5</v>
      </c>
      <c r="B504" s="99" t="s">
        <v>1452</v>
      </c>
      <c r="C504" s="99" t="s">
        <v>1063</v>
      </c>
      <c r="D504" s="99">
        <v>68.672870447999998</v>
      </c>
      <c r="E504" s="99">
        <v>-149.124843486</v>
      </c>
      <c r="G504" s="99" t="s">
        <v>958</v>
      </c>
      <c r="J504" s="24" t="s">
        <v>447</v>
      </c>
      <c r="M504" s="105" t="str">
        <f t="shared" si="10"/>
        <v>View on Google Map</v>
      </c>
    </row>
    <row r="505" spans="1:13" x14ac:dyDescent="0.2">
      <c r="A505" s="99">
        <v>5</v>
      </c>
      <c r="B505" s="99" t="s">
        <v>1453</v>
      </c>
      <c r="C505" s="99" t="s">
        <v>1454</v>
      </c>
      <c r="D505" s="99">
        <v>68.686037823000007</v>
      </c>
      <c r="E505" s="99">
        <v>-149.0990032</v>
      </c>
      <c r="G505" s="99" t="s">
        <v>958</v>
      </c>
      <c r="J505" s="24" t="s">
        <v>447</v>
      </c>
      <c r="M505" s="105" t="str">
        <f t="shared" si="10"/>
        <v>View on Google Map</v>
      </c>
    </row>
    <row r="506" spans="1:13" x14ac:dyDescent="0.2">
      <c r="A506" s="99">
        <v>491</v>
      </c>
      <c r="B506" s="99" t="s">
        <v>1455</v>
      </c>
      <c r="C506" s="99" t="s">
        <v>421</v>
      </c>
      <c r="D506" s="99">
        <v>68.941266666999994</v>
      </c>
      <c r="E506" s="99">
        <v>-150.5068</v>
      </c>
      <c r="F506" s="99">
        <v>408</v>
      </c>
      <c r="G506" s="99" t="s">
        <v>432</v>
      </c>
      <c r="H506" s="99" t="s">
        <v>1456</v>
      </c>
      <c r="I506" s="99" t="s">
        <v>421</v>
      </c>
      <c r="J506" s="99" t="s">
        <v>482</v>
      </c>
      <c r="K506" s="99" t="s">
        <v>421</v>
      </c>
      <c r="L506" s="99" t="s">
        <v>429</v>
      </c>
      <c r="M506" s="105" t="str">
        <f t="shared" si="10"/>
        <v>View on Google Map</v>
      </c>
    </row>
    <row r="507" spans="1:13" x14ac:dyDescent="0.2">
      <c r="A507" s="99">
        <v>492</v>
      </c>
      <c r="B507" s="99" t="s">
        <v>1457</v>
      </c>
      <c r="C507" s="99" t="s">
        <v>421</v>
      </c>
      <c r="D507" s="99" t="s">
        <v>421</v>
      </c>
      <c r="E507" s="99" t="s">
        <v>421</v>
      </c>
      <c r="F507" s="99">
        <v>408</v>
      </c>
      <c r="G507" s="99" t="s">
        <v>432</v>
      </c>
      <c r="H507" s="99" t="s">
        <v>1458</v>
      </c>
      <c r="I507" s="99" t="s">
        <v>421</v>
      </c>
      <c r="J507" s="99" t="s">
        <v>482</v>
      </c>
      <c r="K507" s="99" t="s">
        <v>421</v>
      </c>
      <c r="L507" s="99" t="s">
        <v>429</v>
      </c>
      <c r="M507" s="105" t="str">
        <f t="shared" si="10"/>
        <v>View on Google Map</v>
      </c>
    </row>
    <row r="508" spans="1:13" x14ac:dyDescent="0.2">
      <c r="A508" s="99">
        <v>1172</v>
      </c>
      <c r="B508" s="99" t="s">
        <v>1459</v>
      </c>
      <c r="C508" s="99" t="s">
        <v>421</v>
      </c>
      <c r="D508" s="99">
        <v>68.99666666666667</v>
      </c>
      <c r="E508" s="99">
        <v>-150.21249999999998</v>
      </c>
      <c r="F508" s="99" t="s">
        <v>421</v>
      </c>
      <c r="G508" s="99" t="s">
        <v>422</v>
      </c>
      <c r="H508" s="99" t="s">
        <v>1460</v>
      </c>
      <c r="I508" s="99" t="s">
        <v>421</v>
      </c>
      <c r="J508" s="99" t="s">
        <v>428</v>
      </c>
      <c r="K508" s="99" t="s">
        <v>421</v>
      </c>
      <c r="L508" s="99" t="s">
        <v>429</v>
      </c>
      <c r="M508" s="105" t="str">
        <f t="shared" si="10"/>
        <v>View on Google Map</v>
      </c>
    </row>
    <row r="509" spans="1:13" x14ac:dyDescent="0.2">
      <c r="A509" s="99">
        <v>493</v>
      </c>
      <c r="B509" s="99" t="s">
        <v>1461</v>
      </c>
      <c r="C509" s="99" t="s">
        <v>421</v>
      </c>
      <c r="D509" s="99">
        <v>68.974933332999996</v>
      </c>
      <c r="E509" s="99">
        <v>-150.221066667</v>
      </c>
      <c r="F509" s="99">
        <v>364</v>
      </c>
      <c r="G509" s="99" t="s">
        <v>432</v>
      </c>
      <c r="H509" s="99" t="s">
        <v>421</v>
      </c>
      <c r="I509" s="99" t="s">
        <v>421</v>
      </c>
      <c r="J509" s="99" t="s">
        <v>482</v>
      </c>
      <c r="K509" s="99" t="s">
        <v>421</v>
      </c>
      <c r="L509" s="99" t="s">
        <v>429</v>
      </c>
      <c r="M509" s="105" t="str">
        <f t="shared" si="10"/>
        <v>View on Google Map</v>
      </c>
    </row>
    <row r="510" spans="1:13" x14ac:dyDescent="0.2">
      <c r="A510" s="99">
        <v>405</v>
      </c>
      <c r="B510" s="99" t="s">
        <v>1462</v>
      </c>
      <c r="C510" s="99" t="s">
        <v>421</v>
      </c>
      <c r="D510" s="99" t="s">
        <v>421</v>
      </c>
      <c r="E510" s="99" t="s">
        <v>421</v>
      </c>
      <c r="F510" s="99" t="s">
        <v>421</v>
      </c>
      <c r="G510" s="99" t="s">
        <v>432</v>
      </c>
      <c r="H510" s="99" t="s">
        <v>421</v>
      </c>
      <c r="I510" s="99" t="s">
        <v>421</v>
      </c>
      <c r="J510" s="99" t="s">
        <v>447</v>
      </c>
      <c r="K510" s="99" t="s">
        <v>421</v>
      </c>
      <c r="L510" s="99" t="s">
        <v>603</v>
      </c>
      <c r="M510" s="105" t="str">
        <f t="shared" si="10"/>
        <v>View on Google Map</v>
      </c>
    </row>
    <row r="511" spans="1:13" x14ac:dyDescent="0.2">
      <c r="A511" s="99">
        <v>505</v>
      </c>
      <c r="B511" s="99" t="s">
        <v>1463</v>
      </c>
      <c r="C511" s="99" t="s">
        <v>421</v>
      </c>
      <c r="D511" s="99">
        <v>68.921059</v>
      </c>
      <c r="E511" s="99">
        <v>-150.34784300000001</v>
      </c>
      <c r="F511" s="99" t="s">
        <v>421</v>
      </c>
      <c r="G511" s="99" t="s">
        <v>432</v>
      </c>
      <c r="H511" s="99" t="s">
        <v>421</v>
      </c>
      <c r="I511" s="99" t="s">
        <v>421</v>
      </c>
      <c r="J511" s="99" t="s">
        <v>482</v>
      </c>
      <c r="K511" s="99" t="s">
        <v>421</v>
      </c>
      <c r="L511" s="99" t="s">
        <v>429</v>
      </c>
      <c r="M511" s="105" t="str">
        <f t="shared" si="10"/>
        <v>View on Google Map</v>
      </c>
    </row>
    <row r="512" spans="1:13" x14ac:dyDescent="0.2">
      <c r="A512" s="99">
        <v>506</v>
      </c>
      <c r="B512" s="99" t="s">
        <v>1464</v>
      </c>
      <c r="C512" s="99" t="s">
        <v>421</v>
      </c>
      <c r="D512" s="99">
        <v>68.921186000000006</v>
      </c>
      <c r="E512" s="99">
        <v>-150.37015</v>
      </c>
      <c r="F512" s="99" t="s">
        <v>421</v>
      </c>
      <c r="G512" s="99" t="s">
        <v>432</v>
      </c>
      <c r="H512" s="99" t="s">
        <v>421</v>
      </c>
      <c r="I512" s="99" t="s">
        <v>421</v>
      </c>
      <c r="J512" s="99" t="s">
        <v>482</v>
      </c>
      <c r="K512" s="99" t="s">
        <v>421</v>
      </c>
      <c r="L512" s="99" t="s">
        <v>429</v>
      </c>
      <c r="M512" s="105" t="str">
        <f t="shared" si="10"/>
        <v>View on Google Map</v>
      </c>
    </row>
    <row r="513" spans="1:13" x14ac:dyDescent="0.2">
      <c r="A513" s="99">
        <v>507</v>
      </c>
      <c r="B513" s="99" t="s">
        <v>1465</v>
      </c>
      <c r="C513" s="99" t="s">
        <v>421</v>
      </c>
      <c r="D513" s="99">
        <v>68.936953000000003</v>
      </c>
      <c r="E513" s="99">
        <v>-150.35309699999999</v>
      </c>
      <c r="F513" s="99" t="s">
        <v>421</v>
      </c>
      <c r="G513" s="99" t="s">
        <v>432</v>
      </c>
      <c r="H513" s="99" t="s">
        <v>421</v>
      </c>
      <c r="I513" s="99" t="s">
        <v>421</v>
      </c>
      <c r="J513" s="99" t="s">
        <v>482</v>
      </c>
      <c r="K513" s="99" t="s">
        <v>421</v>
      </c>
      <c r="L513" s="99" t="s">
        <v>429</v>
      </c>
      <c r="M513" s="105" t="str">
        <f t="shared" si="10"/>
        <v>View on Google Map</v>
      </c>
    </row>
    <row r="514" spans="1:13" x14ac:dyDescent="0.2">
      <c r="A514" s="99">
        <v>12</v>
      </c>
      <c r="B514" s="99" t="s">
        <v>1466</v>
      </c>
      <c r="C514" s="99" t="s">
        <v>421</v>
      </c>
      <c r="D514" s="99" t="s">
        <v>421</v>
      </c>
      <c r="E514" s="99" t="s">
        <v>421</v>
      </c>
      <c r="F514" s="99" t="s">
        <v>421</v>
      </c>
      <c r="G514" s="99" t="s">
        <v>446</v>
      </c>
      <c r="H514" s="99" t="s">
        <v>421</v>
      </c>
      <c r="I514" s="99" t="s">
        <v>421</v>
      </c>
      <c r="J514" s="99" t="s">
        <v>447</v>
      </c>
      <c r="K514" s="99" t="s">
        <v>421</v>
      </c>
      <c r="L514" s="99" t="s">
        <v>421</v>
      </c>
      <c r="M514" s="105" t="str">
        <f t="shared" si="10"/>
        <v>View on Google Map</v>
      </c>
    </row>
    <row r="515" spans="1:13" x14ac:dyDescent="0.2">
      <c r="A515" s="99">
        <v>4</v>
      </c>
      <c r="B515" s="99" t="s">
        <v>1467</v>
      </c>
      <c r="C515" s="99" t="s">
        <v>445</v>
      </c>
      <c r="D515" s="99">
        <v>68.38333333333334</v>
      </c>
      <c r="E515" s="99">
        <v>-149.31666666666666</v>
      </c>
      <c r="F515" s="99">
        <v>869</v>
      </c>
      <c r="G515" s="99" t="s">
        <v>446</v>
      </c>
      <c r="H515" s="99" t="s">
        <v>1468</v>
      </c>
      <c r="I515" s="99" t="s">
        <v>1469</v>
      </c>
      <c r="J515" s="99" t="s">
        <v>447</v>
      </c>
      <c r="K515" s="99" t="s">
        <v>421</v>
      </c>
      <c r="L515" s="99" t="s">
        <v>448</v>
      </c>
      <c r="M515" s="105" t="str">
        <f t="shared" ref="M515:M578" si="11">HYPERLINK("http://maps.google.com/maps?q="&amp;D515&amp;","&amp;E515,"View on Google Map")</f>
        <v>View on Google Map</v>
      </c>
    </row>
    <row r="516" spans="1:13" x14ac:dyDescent="0.2">
      <c r="A516" s="99">
        <v>148</v>
      </c>
      <c r="B516" s="99" t="s">
        <v>1470</v>
      </c>
      <c r="C516" s="99" t="s">
        <v>421</v>
      </c>
      <c r="D516" s="99">
        <v>68.624535966600007</v>
      </c>
      <c r="E516" s="99">
        <v>-149.60216609099999</v>
      </c>
      <c r="F516" s="99">
        <v>720</v>
      </c>
      <c r="G516" s="99" t="s">
        <v>432</v>
      </c>
      <c r="H516" s="99" t="s">
        <v>421</v>
      </c>
      <c r="I516" s="99" t="s">
        <v>421</v>
      </c>
      <c r="J516" s="99" t="s">
        <v>447</v>
      </c>
      <c r="K516" s="99" t="s">
        <v>421</v>
      </c>
      <c r="L516" s="99" t="s">
        <v>421</v>
      </c>
      <c r="M516" s="105" t="str">
        <f t="shared" si="11"/>
        <v>View on Google Map</v>
      </c>
    </row>
    <row r="517" spans="1:13" x14ac:dyDescent="0.2">
      <c r="A517" s="99">
        <v>241</v>
      </c>
      <c r="B517" s="99" t="s">
        <v>1470</v>
      </c>
      <c r="C517" s="99" t="s">
        <v>421</v>
      </c>
      <c r="D517" s="99">
        <v>68.624535966600007</v>
      </c>
      <c r="E517" s="99">
        <v>-149.60216609099999</v>
      </c>
      <c r="F517" s="99" t="s">
        <v>421</v>
      </c>
      <c r="G517" s="99" t="s">
        <v>432</v>
      </c>
      <c r="H517" s="99" t="s">
        <v>421</v>
      </c>
      <c r="I517" s="99" t="s">
        <v>421</v>
      </c>
      <c r="J517" s="99" t="s">
        <v>447</v>
      </c>
      <c r="K517" s="99" t="s">
        <v>421</v>
      </c>
      <c r="L517" s="99" t="s">
        <v>421</v>
      </c>
      <c r="M517" s="105" t="str">
        <f t="shared" si="11"/>
        <v>View on Google Map</v>
      </c>
    </row>
    <row r="518" spans="1:13" x14ac:dyDescent="0.2">
      <c r="A518" s="99">
        <v>149</v>
      </c>
      <c r="B518" s="99" t="s">
        <v>1471</v>
      </c>
      <c r="C518" s="99" t="s">
        <v>421</v>
      </c>
      <c r="D518" s="99">
        <v>68.627169078600005</v>
      </c>
      <c r="E518" s="99">
        <v>-149.61135296200001</v>
      </c>
      <c r="F518" s="99">
        <v>720</v>
      </c>
      <c r="G518" s="99" t="s">
        <v>432</v>
      </c>
      <c r="H518" s="99" t="s">
        <v>421</v>
      </c>
      <c r="I518" s="99" t="s">
        <v>421</v>
      </c>
      <c r="J518" s="99" t="s">
        <v>447</v>
      </c>
      <c r="K518" s="99" t="s">
        <v>421</v>
      </c>
      <c r="L518" s="99" t="s">
        <v>421</v>
      </c>
      <c r="M518" s="105" t="str">
        <f t="shared" si="11"/>
        <v>View on Google Map</v>
      </c>
    </row>
    <row r="519" spans="1:13" x14ac:dyDescent="0.2">
      <c r="A519" s="99">
        <v>150</v>
      </c>
      <c r="B519" s="99" t="s">
        <v>1472</v>
      </c>
      <c r="C519" s="99" t="s">
        <v>421</v>
      </c>
      <c r="D519" s="99">
        <v>68.628818623300006</v>
      </c>
      <c r="E519" s="99">
        <v>-149.62482197599999</v>
      </c>
      <c r="F519" s="99">
        <v>720</v>
      </c>
      <c r="G519" s="99" t="s">
        <v>432</v>
      </c>
      <c r="H519" s="99" t="s">
        <v>421</v>
      </c>
      <c r="I519" s="99" t="s">
        <v>421</v>
      </c>
      <c r="J519" s="99" t="s">
        <v>447</v>
      </c>
      <c r="K519" s="99" t="s">
        <v>421</v>
      </c>
      <c r="L519" s="99" t="s">
        <v>421</v>
      </c>
      <c r="M519" s="105" t="str">
        <f t="shared" si="11"/>
        <v>View on Google Map</v>
      </c>
    </row>
    <row r="520" spans="1:13" x14ac:dyDescent="0.2">
      <c r="A520" s="99">
        <v>151</v>
      </c>
      <c r="B520" s="99" t="s">
        <v>1473</v>
      </c>
      <c r="C520" s="99" t="s">
        <v>421</v>
      </c>
      <c r="D520" s="99">
        <v>68.630949932700005</v>
      </c>
      <c r="E520" s="99">
        <v>-149.62993150400001</v>
      </c>
      <c r="F520" s="99" t="s">
        <v>421</v>
      </c>
      <c r="G520" s="99" t="s">
        <v>432</v>
      </c>
      <c r="H520" s="99" t="s">
        <v>421</v>
      </c>
      <c r="I520" s="99" t="s">
        <v>421</v>
      </c>
      <c r="J520" s="99" t="s">
        <v>447</v>
      </c>
      <c r="K520" s="99" t="s">
        <v>421</v>
      </c>
      <c r="L520" s="99" t="s">
        <v>421</v>
      </c>
      <c r="M520" s="105" t="str">
        <f t="shared" si="11"/>
        <v>View on Google Map</v>
      </c>
    </row>
    <row r="521" spans="1:13" x14ac:dyDescent="0.2">
      <c r="A521" s="99">
        <v>106</v>
      </c>
      <c r="B521" s="99" t="s">
        <v>1474</v>
      </c>
      <c r="C521" s="99" t="s">
        <v>421</v>
      </c>
      <c r="D521" s="99">
        <v>68.631431924799998</v>
      </c>
      <c r="E521" s="99">
        <v>-149.63669249099999</v>
      </c>
      <c r="F521" s="99">
        <v>725</v>
      </c>
      <c r="G521" s="99" t="s">
        <v>432</v>
      </c>
      <c r="H521" s="99" t="s">
        <v>1475</v>
      </c>
      <c r="I521" s="99" t="s">
        <v>421</v>
      </c>
      <c r="J521" s="99" t="s">
        <v>447</v>
      </c>
      <c r="K521" s="99" t="s">
        <v>421</v>
      </c>
      <c r="L521" s="99" t="s">
        <v>421</v>
      </c>
      <c r="M521" s="105" t="str">
        <f t="shared" si="11"/>
        <v>View on Google Map</v>
      </c>
    </row>
    <row r="522" spans="1:13" x14ac:dyDescent="0.2">
      <c r="A522" s="99">
        <v>107</v>
      </c>
      <c r="B522" s="99" t="s">
        <v>1476</v>
      </c>
      <c r="C522" s="99" t="s">
        <v>421</v>
      </c>
      <c r="D522" s="99">
        <v>68.629379781599994</v>
      </c>
      <c r="E522" s="99">
        <v>-149.64162329499999</v>
      </c>
      <c r="F522" s="99">
        <v>731</v>
      </c>
      <c r="G522" s="99" t="s">
        <v>432</v>
      </c>
      <c r="H522" s="99" t="s">
        <v>1477</v>
      </c>
      <c r="I522" s="99" t="s">
        <v>421</v>
      </c>
      <c r="J522" s="99" t="s">
        <v>447</v>
      </c>
      <c r="K522" s="99" t="s">
        <v>421</v>
      </c>
      <c r="L522" s="99" t="s">
        <v>421</v>
      </c>
      <c r="M522" s="105" t="str">
        <f t="shared" si="11"/>
        <v>View on Google Map</v>
      </c>
    </row>
    <row r="523" spans="1:13" x14ac:dyDescent="0.2">
      <c r="A523" s="99">
        <v>1603</v>
      </c>
      <c r="B523" s="99" t="s">
        <v>1478</v>
      </c>
      <c r="C523" s="99" t="s">
        <v>421</v>
      </c>
      <c r="D523" s="99" t="s">
        <v>421</v>
      </c>
      <c r="E523" s="99" t="s">
        <v>421</v>
      </c>
      <c r="F523" s="99" t="s">
        <v>421</v>
      </c>
      <c r="G523" s="99" t="s">
        <v>446</v>
      </c>
      <c r="H523" s="99" t="s">
        <v>1479</v>
      </c>
      <c r="I523" s="99" t="s">
        <v>1480</v>
      </c>
      <c r="J523" s="99" t="s">
        <v>447</v>
      </c>
      <c r="K523" s="99" t="s">
        <v>421</v>
      </c>
      <c r="L523" s="99" t="s">
        <v>421</v>
      </c>
      <c r="M523" s="105" t="str">
        <f t="shared" si="11"/>
        <v>View on Google Map</v>
      </c>
    </row>
    <row r="524" spans="1:13" x14ac:dyDescent="0.2">
      <c r="A524" s="99">
        <v>152</v>
      </c>
      <c r="B524" s="99" t="s">
        <v>1481</v>
      </c>
      <c r="C524" s="99" t="s">
        <v>421</v>
      </c>
      <c r="D524" s="99">
        <v>68.630062744699998</v>
      </c>
      <c r="E524" s="99">
        <v>-149.64444178900001</v>
      </c>
      <c r="F524" s="99">
        <v>731</v>
      </c>
      <c r="G524" s="99" t="s">
        <v>432</v>
      </c>
      <c r="H524" s="99" t="s">
        <v>421</v>
      </c>
      <c r="I524" s="99" t="s">
        <v>421</v>
      </c>
      <c r="J524" s="99" t="s">
        <v>447</v>
      </c>
      <c r="K524" s="99" t="s">
        <v>421</v>
      </c>
      <c r="L524" s="99" t="s">
        <v>421</v>
      </c>
      <c r="M524" s="105" t="str">
        <f t="shared" si="11"/>
        <v>View on Google Map</v>
      </c>
    </row>
    <row r="525" spans="1:13" x14ac:dyDescent="0.2">
      <c r="A525" s="99">
        <v>1601</v>
      </c>
      <c r="B525" s="99" t="s">
        <v>1482</v>
      </c>
      <c r="C525" s="99" t="s">
        <v>421</v>
      </c>
      <c r="D525" s="99" t="s">
        <v>421</v>
      </c>
      <c r="E525" s="99" t="s">
        <v>421</v>
      </c>
      <c r="F525" s="99" t="s">
        <v>421</v>
      </c>
      <c r="G525" s="99" t="s">
        <v>421</v>
      </c>
      <c r="H525" s="99" t="s">
        <v>1483</v>
      </c>
      <c r="I525" s="99" t="s">
        <v>1484</v>
      </c>
      <c r="J525" s="24" t="s">
        <v>447</v>
      </c>
      <c r="K525" s="99" t="s">
        <v>421</v>
      </c>
      <c r="L525" s="99" t="s">
        <v>421</v>
      </c>
      <c r="M525" s="105" t="str">
        <f t="shared" si="11"/>
        <v>View on Google Map</v>
      </c>
    </row>
    <row r="526" spans="1:13" x14ac:dyDescent="0.2">
      <c r="A526" s="99">
        <v>1602</v>
      </c>
      <c r="B526" s="99" t="s">
        <v>1485</v>
      </c>
      <c r="C526" s="99" t="s">
        <v>421</v>
      </c>
      <c r="D526" s="99" t="s">
        <v>421</v>
      </c>
      <c r="E526" s="99" t="s">
        <v>421</v>
      </c>
      <c r="F526" s="99" t="s">
        <v>421</v>
      </c>
      <c r="G526" s="99" t="s">
        <v>421</v>
      </c>
      <c r="H526" s="99" t="s">
        <v>1486</v>
      </c>
      <c r="I526" s="99" t="s">
        <v>1487</v>
      </c>
      <c r="J526" s="24" t="s">
        <v>447</v>
      </c>
      <c r="K526" s="99" t="s">
        <v>421</v>
      </c>
      <c r="L526" s="99" t="s">
        <v>421</v>
      </c>
      <c r="M526" s="105" t="str">
        <f t="shared" si="11"/>
        <v>View on Google Map</v>
      </c>
    </row>
    <row r="527" spans="1:13" x14ac:dyDescent="0.2">
      <c r="A527" s="99">
        <v>153</v>
      </c>
      <c r="B527" s="99" t="s">
        <v>1488</v>
      </c>
      <c r="C527" s="99" t="s">
        <v>421</v>
      </c>
      <c r="D527" s="99" t="s">
        <v>421</v>
      </c>
      <c r="E527" s="99" t="s">
        <v>421</v>
      </c>
      <c r="F527" s="99" t="s">
        <v>421</v>
      </c>
      <c r="G527" s="99" t="s">
        <v>432</v>
      </c>
      <c r="H527" s="99" t="s">
        <v>421</v>
      </c>
      <c r="I527" s="99" t="s">
        <v>421</v>
      </c>
      <c r="J527" s="99" t="s">
        <v>447</v>
      </c>
      <c r="K527" s="99" t="s">
        <v>421</v>
      </c>
      <c r="L527" s="99" t="s">
        <v>421</v>
      </c>
      <c r="M527" s="105" t="str">
        <f t="shared" si="11"/>
        <v>View on Google Map</v>
      </c>
    </row>
    <row r="528" spans="1:13" x14ac:dyDescent="0.2">
      <c r="A528" s="99">
        <v>154</v>
      </c>
      <c r="B528" s="99" t="s">
        <v>1489</v>
      </c>
      <c r="C528" s="99" t="s">
        <v>421</v>
      </c>
      <c r="D528" s="99" t="s">
        <v>421</v>
      </c>
      <c r="E528" s="99" t="s">
        <v>421</v>
      </c>
      <c r="F528" s="99" t="s">
        <v>421</v>
      </c>
      <c r="G528" s="99" t="s">
        <v>432</v>
      </c>
      <c r="H528" s="99" t="s">
        <v>421</v>
      </c>
      <c r="I528" s="99" t="s">
        <v>421</v>
      </c>
      <c r="J528" s="99" t="s">
        <v>447</v>
      </c>
      <c r="K528" s="99" t="s">
        <v>421</v>
      </c>
      <c r="L528" s="99" t="s">
        <v>421</v>
      </c>
      <c r="M528" s="105" t="str">
        <f t="shared" si="11"/>
        <v>View on Google Map</v>
      </c>
    </row>
    <row r="529" spans="1:13" x14ac:dyDescent="0.2">
      <c r="A529" s="99">
        <v>155</v>
      </c>
      <c r="B529" s="99" t="s">
        <v>1490</v>
      </c>
      <c r="C529" s="99" t="s">
        <v>421</v>
      </c>
      <c r="D529" s="99" t="s">
        <v>421</v>
      </c>
      <c r="E529" s="99" t="s">
        <v>421</v>
      </c>
      <c r="F529" s="99" t="s">
        <v>421</v>
      </c>
      <c r="G529" s="99" t="s">
        <v>432</v>
      </c>
      <c r="H529" s="99" t="s">
        <v>421</v>
      </c>
      <c r="I529" s="99" t="s">
        <v>421</v>
      </c>
      <c r="J529" s="99" t="s">
        <v>447</v>
      </c>
      <c r="K529" s="99" t="s">
        <v>421</v>
      </c>
      <c r="L529" s="99" t="s">
        <v>421</v>
      </c>
      <c r="M529" s="105" t="str">
        <f t="shared" si="11"/>
        <v>View on Google Map</v>
      </c>
    </row>
    <row r="530" spans="1:13" x14ac:dyDescent="0.2">
      <c r="A530" s="99">
        <v>156</v>
      </c>
      <c r="B530" s="99" t="s">
        <v>1491</v>
      </c>
      <c r="C530" s="99" t="s">
        <v>421</v>
      </c>
      <c r="D530" s="99">
        <v>68.630148048999999</v>
      </c>
      <c r="E530" s="99">
        <v>-149.65057914499999</v>
      </c>
      <c r="F530" s="99">
        <v>750</v>
      </c>
      <c r="G530" s="99" t="s">
        <v>432</v>
      </c>
      <c r="H530" s="99" t="s">
        <v>421</v>
      </c>
      <c r="I530" s="99" t="s">
        <v>421</v>
      </c>
      <c r="J530" s="99" t="s">
        <v>447</v>
      </c>
      <c r="K530" s="99" t="s">
        <v>421</v>
      </c>
      <c r="L530" s="99" t="s">
        <v>421</v>
      </c>
      <c r="M530" s="105" t="str">
        <f t="shared" si="11"/>
        <v>View on Google Map</v>
      </c>
    </row>
    <row r="531" spans="1:13" x14ac:dyDescent="0.2">
      <c r="A531" s="99">
        <v>157</v>
      </c>
      <c r="B531" s="99" t="s">
        <v>1492</v>
      </c>
      <c r="C531" s="99" t="s">
        <v>421</v>
      </c>
      <c r="D531" s="99">
        <v>68.629627802900004</v>
      </c>
      <c r="E531" s="99">
        <v>-149.655880887</v>
      </c>
      <c r="F531" s="99">
        <v>754</v>
      </c>
      <c r="G531" s="99" t="s">
        <v>432</v>
      </c>
      <c r="H531" s="99" t="s">
        <v>421</v>
      </c>
      <c r="I531" s="99" t="s">
        <v>421</v>
      </c>
      <c r="J531" s="99" t="s">
        <v>447</v>
      </c>
      <c r="K531" s="99" t="s">
        <v>421</v>
      </c>
      <c r="L531" s="99" t="s">
        <v>421</v>
      </c>
      <c r="M531" s="105" t="str">
        <f t="shared" si="11"/>
        <v>View on Google Map</v>
      </c>
    </row>
    <row r="532" spans="1:13" x14ac:dyDescent="0.2">
      <c r="A532" s="99">
        <v>158</v>
      </c>
      <c r="B532" s="99" t="s">
        <v>1493</v>
      </c>
      <c r="C532" s="99" t="s">
        <v>421</v>
      </c>
      <c r="D532" s="99">
        <v>68.631486568699998</v>
      </c>
      <c r="E532" s="99">
        <v>-149.65910231699999</v>
      </c>
      <c r="F532" s="99">
        <v>754</v>
      </c>
      <c r="G532" s="99" t="s">
        <v>432</v>
      </c>
      <c r="H532" s="99" t="s">
        <v>421</v>
      </c>
      <c r="I532" s="99" t="s">
        <v>421</v>
      </c>
      <c r="J532" s="99" t="s">
        <v>447</v>
      </c>
      <c r="K532" s="99" t="s">
        <v>421</v>
      </c>
      <c r="L532" s="99" t="s">
        <v>421</v>
      </c>
      <c r="M532" s="105" t="str">
        <f t="shared" si="11"/>
        <v>View on Google Map</v>
      </c>
    </row>
    <row r="533" spans="1:13" x14ac:dyDescent="0.2">
      <c r="A533" s="99">
        <v>169</v>
      </c>
      <c r="B533" s="99" t="s">
        <v>1494</v>
      </c>
      <c r="C533" s="99" t="s">
        <v>421</v>
      </c>
      <c r="D533" s="99" t="s">
        <v>421</v>
      </c>
      <c r="E533" s="99" t="s">
        <v>421</v>
      </c>
      <c r="F533" s="99" t="s">
        <v>421</v>
      </c>
      <c r="G533" s="99" t="s">
        <v>432</v>
      </c>
      <c r="H533" s="99" t="s">
        <v>421</v>
      </c>
      <c r="I533" s="99" t="s">
        <v>421</v>
      </c>
      <c r="J533" s="99" t="s">
        <v>447</v>
      </c>
      <c r="K533" s="99" t="s">
        <v>421</v>
      </c>
      <c r="L533" s="99" t="s">
        <v>421</v>
      </c>
      <c r="M533" s="105" t="str">
        <f t="shared" si="11"/>
        <v>View on Google Map</v>
      </c>
    </row>
    <row r="534" spans="1:13" x14ac:dyDescent="0.2">
      <c r="A534" s="99">
        <v>170</v>
      </c>
      <c r="B534" s="99" t="s">
        <v>1495</v>
      </c>
      <c r="C534" s="99" t="s">
        <v>421</v>
      </c>
      <c r="D534" s="99" t="s">
        <v>421</v>
      </c>
      <c r="E534" s="99" t="s">
        <v>421</v>
      </c>
      <c r="F534" s="99" t="s">
        <v>421</v>
      </c>
      <c r="G534" s="99" t="s">
        <v>432</v>
      </c>
      <c r="H534" s="99" t="s">
        <v>421</v>
      </c>
      <c r="I534" s="99" t="s">
        <v>421</v>
      </c>
      <c r="J534" s="99" t="s">
        <v>447</v>
      </c>
      <c r="K534" s="99" t="s">
        <v>421</v>
      </c>
      <c r="L534" s="99" t="s">
        <v>421</v>
      </c>
      <c r="M534" s="105" t="str">
        <f t="shared" si="11"/>
        <v>View on Google Map</v>
      </c>
    </row>
    <row r="535" spans="1:13" x14ac:dyDescent="0.2">
      <c r="A535" s="99">
        <v>136</v>
      </c>
      <c r="B535" s="99" t="s">
        <v>1496</v>
      </c>
      <c r="C535" s="99" t="s">
        <v>421</v>
      </c>
      <c r="D535" s="99">
        <v>70.233333333333334</v>
      </c>
      <c r="E535" s="99">
        <v>-148.25</v>
      </c>
      <c r="F535" s="99">
        <v>10</v>
      </c>
      <c r="G535" s="99" t="s">
        <v>432</v>
      </c>
      <c r="H535" s="99" t="s">
        <v>1497</v>
      </c>
      <c r="I535" s="99" t="s">
        <v>421</v>
      </c>
      <c r="J535" s="99" t="s">
        <v>447</v>
      </c>
      <c r="K535" s="99" t="s">
        <v>421</v>
      </c>
      <c r="L535" s="99" t="s">
        <v>448</v>
      </c>
      <c r="M535" s="105" t="str">
        <f t="shared" si="11"/>
        <v>View on Google Map</v>
      </c>
    </row>
    <row r="536" spans="1:13" x14ac:dyDescent="0.2">
      <c r="A536" s="99">
        <v>6</v>
      </c>
      <c r="B536" s="99" t="s">
        <v>1498</v>
      </c>
      <c r="C536" s="99" t="s">
        <v>421</v>
      </c>
      <c r="D536" s="99" t="s">
        <v>421</v>
      </c>
      <c r="E536" s="99" t="s">
        <v>421</v>
      </c>
      <c r="F536" s="99">
        <v>457</v>
      </c>
      <c r="G536" s="99" t="s">
        <v>446</v>
      </c>
      <c r="H536" s="99" t="s">
        <v>1499</v>
      </c>
      <c r="I536" s="99" t="s">
        <v>1500</v>
      </c>
      <c r="J536" s="99" t="s">
        <v>447</v>
      </c>
      <c r="K536" s="99" t="s">
        <v>421</v>
      </c>
      <c r="L536" s="99" t="s">
        <v>448</v>
      </c>
      <c r="M536" s="105" t="str">
        <f t="shared" si="11"/>
        <v>View on Google Map</v>
      </c>
    </row>
    <row r="537" spans="1:13" x14ac:dyDescent="0.2">
      <c r="A537" s="99">
        <v>20</v>
      </c>
      <c r="B537" s="99" t="s">
        <v>1501</v>
      </c>
      <c r="C537" s="99" t="s">
        <v>421</v>
      </c>
      <c r="D537" s="99" t="s">
        <v>421</v>
      </c>
      <c r="E537" s="99" t="s">
        <v>421</v>
      </c>
      <c r="F537" s="99" t="s">
        <v>421</v>
      </c>
      <c r="G537" s="99" t="s">
        <v>446</v>
      </c>
      <c r="H537" s="99" t="s">
        <v>421</v>
      </c>
      <c r="I537" s="99" t="s">
        <v>421</v>
      </c>
      <c r="J537" s="99" t="s">
        <v>447</v>
      </c>
      <c r="K537" s="99" t="s">
        <v>421</v>
      </c>
      <c r="L537" s="99" t="s">
        <v>421</v>
      </c>
      <c r="M537" s="105" t="str">
        <f t="shared" si="11"/>
        <v>View on Google Map</v>
      </c>
    </row>
    <row r="538" spans="1:13" x14ac:dyDescent="0.2">
      <c r="A538" s="99">
        <v>1176</v>
      </c>
      <c r="B538" s="99" t="s">
        <v>1502</v>
      </c>
      <c r="C538" s="99" t="s">
        <v>453</v>
      </c>
      <c r="D538" s="99">
        <v>68.996418329999997</v>
      </c>
      <c r="E538" s="99">
        <v>-150.27895670000001</v>
      </c>
      <c r="F538" s="99" t="s">
        <v>421</v>
      </c>
      <c r="G538" s="99" t="s">
        <v>422</v>
      </c>
      <c r="H538" s="99" t="s">
        <v>421</v>
      </c>
      <c r="I538" s="99" t="s">
        <v>421</v>
      </c>
      <c r="J538" s="99" t="s">
        <v>428</v>
      </c>
      <c r="K538" s="99" t="s">
        <v>421</v>
      </c>
      <c r="L538" s="99" t="s">
        <v>429</v>
      </c>
      <c r="M538" s="105" t="str">
        <f t="shared" si="11"/>
        <v>View on Google Map</v>
      </c>
    </row>
    <row r="539" spans="1:13" x14ac:dyDescent="0.2">
      <c r="A539" s="99">
        <v>509</v>
      </c>
      <c r="B539" s="99" t="s">
        <v>1503</v>
      </c>
      <c r="C539" s="99" t="s">
        <v>431</v>
      </c>
      <c r="D539" s="99">
        <v>68.338126000000003</v>
      </c>
      <c r="E539" s="99">
        <v>-151.061735</v>
      </c>
      <c r="F539" s="99">
        <v>840</v>
      </c>
      <c r="G539" s="99" t="s">
        <v>432</v>
      </c>
      <c r="H539" s="99" t="s">
        <v>421</v>
      </c>
      <c r="I539" s="99" t="s">
        <v>421</v>
      </c>
      <c r="J539" s="99" t="s">
        <v>433</v>
      </c>
      <c r="K539" s="99" t="s">
        <v>421</v>
      </c>
      <c r="L539" s="99" t="s">
        <v>434</v>
      </c>
      <c r="M539" s="105" t="str">
        <f t="shared" si="11"/>
        <v>View on Google Map</v>
      </c>
    </row>
    <row r="540" spans="1:13" x14ac:dyDescent="0.2">
      <c r="A540" s="99">
        <v>36</v>
      </c>
      <c r="B540" s="99" t="s">
        <v>1504</v>
      </c>
      <c r="C540" s="99" t="s">
        <v>421</v>
      </c>
      <c r="D540" s="99">
        <v>69.233333333333334</v>
      </c>
      <c r="E540" s="99">
        <v>-150.804383333</v>
      </c>
      <c r="F540" s="99">
        <v>181.97</v>
      </c>
      <c r="G540" s="99" t="s">
        <v>446</v>
      </c>
      <c r="H540" s="99" t="s">
        <v>421</v>
      </c>
      <c r="I540" s="99" t="s">
        <v>421</v>
      </c>
      <c r="J540" s="99" t="s">
        <v>482</v>
      </c>
      <c r="K540" s="99" t="s">
        <v>421</v>
      </c>
      <c r="L540" s="99" t="s">
        <v>429</v>
      </c>
      <c r="M540" s="105" t="str">
        <f t="shared" si="11"/>
        <v>View on Google Map</v>
      </c>
    </row>
    <row r="541" spans="1:13" x14ac:dyDescent="0.2">
      <c r="A541" s="99">
        <v>37</v>
      </c>
      <c r="B541" s="99" t="s">
        <v>1505</v>
      </c>
      <c r="C541" s="99" t="s">
        <v>421</v>
      </c>
      <c r="D541" s="99">
        <v>68.289683333333329</v>
      </c>
      <c r="E541" s="99">
        <v>-150.91499999999999</v>
      </c>
      <c r="F541" s="99">
        <v>392</v>
      </c>
      <c r="G541" s="99" t="s">
        <v>446</v>
      </c>
      <c r="H541" s="99" t="s">
        <v>421</v>
      </c>
      <c r="I541" s="99" t="s">
        <v>421</v>
      </c>
      <c r="J541" s="99" t="s">
        <v>482</v>
      </c>
      <c r="K541" s="99" t="s">
        <v>421</v>
      </c>
      <c r="L541" s="99" t="s">
        <v>429</v>
      </c>
      <c r="M541" s="105" t="str">
        <f t="shared" si="11"/>
        <v>View on Google Map</v>
      </c>
    </row>
    <row r="542" spans="1:13" x14ac:dyDescent="0.2">
      <c r="A542" s="99">
        <v>130</v>
      </c>
      <c r="B542" s="99" t="s">
        <v>1506</v>
      </c>
      <c r="C542" s="99" t="s">
        <v>1507</v>
      </c>
      <c r="D542" s="99">
        <v>70.083333333333329</v>
      </c>
      <c r="E542" s="99">
        <v>-148.53333333333299</v>
      </c>
      <c r="F542" s="99">
        <v>24</v>
      </c>
      <c r="G542" s="99" t="s">
        <v>432</v>
      </c>
      <c r="H542" s="99" t="s">
        <v>1508</v>
      </c>
      <c r="I542" s="99" t="s">
        <v>421</v>
      </c>
      <c r="J542" s="99" t="s">
        <v>447</v>
      </c>
      <c r="K542" s="99" t="s">
        <v>421</v>
      </c>
      <c r="L542" s="99" t="s">
        <v>448</v>
      </c>
      <c r="M542" s="105" t="str">
        <f t="shared" si="11"/>
        <v>View on Google Map</v>
      </c>
    </row>
    <row r="543" spans="1:13" x14ac:dyDescent="0.2">
      <c r="A543" s="99">
        <v>519</v>
      </c>
      <c r="B543" s="99" t="s">
        <v>1509</v>
      </c>
      <c r="C543" s="99" t="s">
        <v>431</v>
      </c>
      <c r="D543" s="99">
        <v>68.802636000000007</v>
      </c>
      <c r="E543" s="99">
        <v>-150.78539699999999</v>
      </c>
      <c r="F543" s="99">
        <v>411</v>
      </c>
      <c r="G543" s="99" t="s">
        <v>432</v>
      </c>
      <c r="H543" s="99" t="s">
        <v>421</v>
      </c>
      <c r="I543" s="99" t="s">
        <v>421</v>
      </c>
      <c r="J543" s="99" t="s">
        <v>433</v>
      </c>
      <c r="K543" s="99" t="s">
        <v>421</v>
      </c>
      <c r="L543" s="99" t="s">
        <v>434</v>
      </c>
      <c r="M543" s="105" t="str">
        <f t="shared" si="11"/>
        <v>View on Google Map</v>
      </c>
    </row>
    <row r="544" spans="1:13" x14ac:dyDescent="0.2">
      <c r="A544" s="99">
        <v>452</v>
      </c>
      <c r="B544" s="99" t="s">
        <v>1510</v>
      </c>
      <c r="C544" s="99" t="s">
        <v>421</v>
      </c>
      <c r="D544" s="99">
        <v>68.794960000000003</v>
      </c>
      <c r="E544" s="99">
        <v>-149.04813999999999</v>
      </c>
      <c r="F544" s="99">
        <v>754</v>
      </c>
      <c r="G544" s="99" t="s">
        <v>432</v>
      </c>
      <c r="H544" s="99" t="s">
        <v>421</v>
      </c>
      <c r="I544" s="99" t="s">
        <v>421</v>
      </c>
      <c r="J544" s="99" t="s">
        <v>433</v>
      </c>
      <c r="K544" s="99" t="s">
        <v>421</v>
      </c>
      <c r="L544" s="99" t="s">
        <v>421</v>
      </c>
      <c r="M544" s="105" t="str">
        <f t="shared" si="11"/>
        <v>View on Google Map</v>
      </c>
    </row>
    <row r="545" spans="1:13" x14ac:dyDescent="0.2">
      <c r="A545" s="99">
        <v>453</v>
      </c>
      <c r="B545" s="99" t="s">
        <v>1511</v>
      </c>
      <c r="C545" s="99" t="s">
        <v>421</v>
      </c>
      <c r="D545" s="99">
        <v>68.810460000000006</v>
      </c>
      <c r="E545" s="99">
        <v>-149.05207999999999</v>
      </c>
      <c r="F545" s="99">
        <v>727</v>
      </c>
      <c r="G545" s="99" t="s">
        <v>432</v>
      </c>
      <c r="H545" s="99" t="s">
        <v>421</v>
      </c>
      <c r="I545" s="99" t="s">
        <v>421</v>
      </c>
      <c r="J545" s="99" t="s">
        <v>433</v>
      </c>
      <c r="K545" s="99" t="s">
        <v>421</v>
      </c>
      <c r="L545" s="99" t="s">
        <v>421</v>
      </c>
      <c r="M545" s="105" t="str">
        <f t="shared" si="11"/>
        <v>View on Google Map</v>
      </c>
    </row>
    <row r="546" spans="1:13" x14ac:dyDescent="0.2">
      <c r="A546" s="99">
        <v>454</v>
      </c>
      <c r="B546" s="99" t="s">
        <v>1512</v>
      </c>
      <c r="C546" s="99" t="s">
        <v>421</v>
      </c>
      <c r="D546" s="99">
        <v>68.815870000000004</v>
      </c>
      <c r="E546" s="99">
        <v>-149.06173999999999</v>
      </c>
      <c r="F546" s="99">
        <v>715</v>
      </c>
      <c r="G546" s="99" t="s">
        <v>432</v>
      </c>
      <c r="H546" s="99" t="s">
        <v>421</v>
      </c>
      <c r="I546" s="99" t="s">
        <v>421</v>
      </c>
      <c r="J546" s="99" t="s">
        <v>433</v>
      </c>
      <c r="K546" s="99" t="s">
        <v>421</v>
      </c>
      <c r="L546" s="99" t="s">
        <v>421</v>
      </c>
      <c r="M546" s="105" t="str">
        <f t="shared" si="11"/>
        <v>View on Google Map</v>
      </c>
    </row>
    <row r="547" spans="1:13" x14ac:dyDescent="0.2">
      <c r="A547" s="99">
        <v>455</v>
      </c>
      <c r="B547" s="99" t="s">
        <v>1513</v>
      </c>
      <c r="C547" s="99" t="s">
        <v>421</v>
      </c>
      <c r="D547" s="99">
        <v>68.810519999999997</v>
      </c>
      <c r="E547" s="99">
        <v>-149.06282999999999</v>
      </c>
      <c r="F547" s="99">
        <v>728</v>
      </c>
      <c r="G547" s="99" t="s">
        <v>432</v>
      </c>
      <c r="H547" s="99" t="s">
        <v>421</v>
      </c>
      <c r="I547" s="99" t="s">
        <v>421</v>
      </c>
      <c r="J547" s="99" t="s">
        <v>433</v>
      </c>
      <c r="K547" s="99" t="s">
        <v>421</v>
      </c>
      <c r="L547" s="99" t="s">
        <v>421</v>
      </c>
      <c r="M547" s="105" t="str">
        <f t="shared" si="11"/>
        <v>View on Google Map</v>
      </c>
    </row>
    <row r="548" spans="1:13" x14ac:dyDescent="0.2">
      <c r="A548" s="99">
        <v>456</v>
      </c>
      <c r="B548" s="99" t="s">
        <v>1514</v>
      </c>
      <c r="C548" s="99" t="s">
        <v>421</v>
      </c>
      <c r="D548" s="99">
        <v>68.812290000000004</v>
      </c>
      <c r="E548" s="99">
        <v>-149.06899000000001</v>
      </c>
      <c r="F548" s="99">
        <v>730</v>
      </c>
      <c r="G548" s="99" t="s">
        <v>432</v>
      </c>
      <c r="H548" s="99" t="s">
        <v>421</v>
      </c>
      <c r="I548" s="99" t="s">
        <v>421</v>
      </c>
      <c r="J548" s="99" t="s">
        <v>433</v>
      </c>
      <c r="K548" s="99" t="s">
        <v>421</v>
      </c>
      <c r="L548" s="99" t="s">
        <v>421</v>
      </c>
      <c r="M548" s="105" t="str">
        <f t="shared" si="11"/>
        <v>View on Google Map</v>
      </c>
    </row>
    <row r="549" spans="1:13" x14ac:dyDescent="0.2">
      <c r="A549" s="99">
        <v>457</v>
      </c>
      <c r="B549" s="99" t="s">
        <v>1515</v>
      </c>
      <c r="C549" s="99" t="s">
        <v>421</v>
      </c>
      <c r="D549" s="99">
        <v>68.814369999999997</v>
      </c>
      <c r="E549" s="99">
        <v>-149.06774999999999</v>
      </c>
      <c r="F549" s="99">
        <v>724</v>
      </c>
      <c r="G549" s="99" t="s">
        <v>432</v>
      </c>
      <c r="H549" s="99" t="s">
        <v>421</v>
      </c>
      <c r="I549" s="99" t="s">
        <v>421</v>
      </c>
      <c r="J549" s="99" t="s">
        <v>433</v>
      </c>
      <c r="K549" s="99" t="s">
        <v>421</v>
      </c>
      <c r="L549" s="99" t="s">
        <v>421</v>
      </c>
      <c r="M549" s="105" t="str">
        <f t="shared" si="11"/>
        <v>View on Google Map</v>
      </c>
    </row>
    <row r="550" spans="1:13" x14ac:dyDescent="0.2">
      <c r="A550" s="99">
        <v>38</v>
      </c>
      <c r="B550" s="99" t="s">
        <v>1516</v>
      </c>
      <c r="C550" s="99" t="s">
        <v>421</v>
      </c>
      <c r="D550" s="99">
        <v>69.011899999999997</v>
      </c>
      <c r="E550" s="99">
        <v>-150.30000000000001</v>
      </c>
      <c r="F550" s="99">
        <v>321</v>
      </c>
      <c r="G550" s="99" t="s">
        <v>446</v>
      </c>
      <c r="H550" s="99" t="s">
        <v>1517</v>
      </c>
      <c r="I550" s="99" t="s">
        <v>1518</v>
      </c>
      <c r="J550" s="99" t="s">
        <v>482</v>
      </c>
      <c r="K550" s="99" t="s">
        <v>421</v>
      </c>
      <c r="L550" s="99" t="s">
        <v>429</v>
      </c>
      <c r="M550" s="105" t="str">
        <f t="shared" si="11"/>
        <v>View on Google Map</v>
      </c>
    </row>
    <row r="551" spans="1:13" x14ac:dyDescent="0.2">
      <c r="A551" s="99">
        <v>1211</v>
      </c>
      <c r="B551" s="99" t="s">
        <v>1519</v>
      </c>
      <c r="C551" s="99" t="s">
        <v>605</v>
      </c>
      <c r="D551" s="99">
        <v>68.996700000000004</v>
      </c>
      <c r="E551" s="99">
        <v>-150.28142</v>
      </c>
      <c r="F551" s="99" t="s">
        <v>421</v>
      </c>
      <c r="G551" s="99" t="s">
        <v>422</v>
      </c>
      <c r="H551" s="99" t="s">
        <v>421</v>
      </c>
      <c r="I551" s="99" t="s">
        <v>421</v>
      </c>
      <c r="J551" s="99" t="s">
        <v>428</v>
      </c>
      <c r="K551" s="99" t="s">
        <v>421</v>
      </c>
      <c r="L551" s="99" t="s">
        <v>429</v>
      </c>
      <c r="M551" s="105" t="str">
        <f t="shared" si="11"/>
        <v>View on Google Map</v>
      </c>
    </row>
    <row r="552" spans="1:13" x14ac:dyDescent="0.2">
      <c r="A552" s="99">
        <v>1210</v>
      </c>
      <c r="B552" s="99" t="s">
        <v>1520</v>
      </c>
      <c r="C552" s="99" t="s">
        <v>605</v>
      </c>
      <c r="D552" s="99">
        <v>68.996700000000004</v>
      </c>
      <c r="E552" s="99">
        <v>-150.28142</v>
      </c>
      <c r="F552" s="99" t="s">
        <v>421</v>
      </c>
      <c r="G552" s="99" t="s">
        <v>422</v>
      </c>
      <c r="H552" s="99" t="s">
        <v>421</v>
      </c>
      <c r="I552" s="99" t="s">
        <v>421</v>
      </c>
      <c r="J552" s="99" t="s">
        <v>428</v>
      </c>
      <c r="K552" s="99" t="s">
        <v>421</v>
      </c>
      <c r="L552" s="99" t="s">
        <v>429</v>
      </c>
      <c r="M552" s="105" t="str">
        <f t="shared" si="11"/>
        <v>View on Google Map</v>
      </c>
    </row>
    <row r="553" spans="1:13" x14ac:dyDescent="0.2">
      <c r="B553" s="99" t="s">
        <v>1521</v>
      </c>
      <c r="C553" s="99" t="s">
        <v>1434</v>
      </c>
      <c r="D553" s="99">
        <v>69.007500000000007</v>
      </c>
      <c r="E553" s="99">
        <v>-150.31388888888901</v>
      </c>
      <c r="G553" s="99" t="s">
        <v>440</v>
      </c>
      <c r="J553" s="99" t="s">
        <v>428</v>
      </c>
      <c r="L553" s="99" t="s">
        <v>429</v>
      </c>
      <c r="M553" s="105" t="str">
        <f t="shared" si="11"/>
        <v>View on Google Map</v>
      </c>
    </row>
    <row r="554" spans="1:13" x14ac:dyDescent="0.2">
      <c r="B554" s="99" t="s">
        <v>1522</v>
      </c>
      <c r="C554" s="99" t="s">
        <v>818</v>
      </c>
      <c r="D554" s="99">
        <v>69.043055555555554</v>
      </c>
      <c r="E554" s="99">
        <v>-150.42916666666699</v>
      </c>
      <c r="G554" s="99" t="s">
        <v>440</v>
      </c>
      <c r="J554" s="99" t="s">
        <v>428</v>
      </c>
      <c r="L554" s="99" t="s">
        <v>429</v>
      </c>
      <c r="M554" s="105" t="str">
        <f t="shared" si="11"/>
        <v>View on Google Map</v>
      </c>
    </row>
    <row r="555" spans="1:13" x14ac:dyDescent="0.2">
      <c r="A555" s="99">
        <v>39</v>
      </c>
      <c r="B555" s="99" t="s">
        <v>1523</v>
      </c>
      <c r="C555" s="99" t="s">
        <v>421</v>
      </c>
      <c r="D555" s="99">
        <v>68.994600000000005</v>
      </c>
      <c r="E555" s="99">
        <v>-150.30699999999999</v>
      </c>
      <c r="F555" s="99">
        <v>307</v>
      </c>
      <c r="G555" s="99" t="s">
        <v>446</v>
      </c>
      <c r="H555" s="99" t="s">
        <v>1524</v>
      </c>
      <c r="I555" s="99" t="s">
        <v>421</v>
      </c>
      <c r="J555" s="99" t="s">
        <v>482</v>
      </c>
      <c r="K555" s="99" t="s">
        <v>421</v>
      </c>
      <c r="L555" s="99" t="s">
        <v>429</v>
      </c>
      <c r="M555" s="105" t="str">
        <f t="shared" si="11"/>
        <v>View on Google Map</v>
      </c>
    </row>
    <row r="556" spans="1:13" x14ac:dyDescent="0.2">
      <c r="B556" s="99" t="s">
        <v>1525</v>
      </c>
      <c r="C556" s="99" t="s">
        <v>439</v>
      </c>
      <c r="D556" s="99">
        <v>69.570555555555558</v>
      </c>
      <c r="E556" s="99">
        <v>-150.893333333333</v>
      </c>
      <c r="G556" s="99" t="s">
        <v>440</v>
      </c>
      <c r="J556" s="99" t="s">
        <v>428</v>
      </c>
      <c r="L556" s="99" t="s">
        <v>429</v>
      </c>
      <c r="M556" s="105" t="str">
        <f t="shared" si="11"/>
        <v>View on Google Map</v>
      </c>
    </row>
    <row r="557" spans="1:13" x14ac:dyDescent="0.2">
      <c r="A557" s="99">
        <v>46</v>
      </c>
      <c r="B557" s="99" t="s">
        <v>1526</v>
      </c>
      <c r="C557" s="99" t="s">
        <v>421</v>
      </c>
      <c r="D557" s="99">
        <v>68.891069000000002</v>
      </c>
      <c r="E557" s="99">
        <v>-150.58501899999999</v>
      </c>
      <c r="F557" s="99" t="s">
        <v>421</v>
      </c>
      <c r="G557" s="99" t="s">
        <v>446</v>
      </c>
      <c r="H557" s="99" t="s">
        <v>421</v>
      </c>
      <c r="I557" s="99" t="s">
        <v>421</v>
      </c>
      <c r="J557" s="99" t="s">
        <v>1432</v>
      </c>
      <c r="K557" s="99" t="s">
        <v>421</v>
      </c>
      <c r="L557" s="99" t="s">
        <v>429</v>
      </c>
      <c r="M557" s="105" t="str">
        <f t="shared" si="11"/>
        <v>View on Google Map</v>
      </c>
    </row>
    <row r="558" spans="1:13" x14ac:dyDescent="0.2">
      <c r="A558" s="99">
        <v>47</v>
      </c>
      <c r="B558" s="99" t="s">
        <v>1527</v>
      </c>
      <c r="C558" s="99" t="s">
        <v>421</v>
      </c>
      <c r="D558" s="99">
        <v>68.966999999999999</v>
      </c>
      <c r="E558" s="99">
        <v>-150.56673000000001</v>
      </c>
      <c r="F558" s="99" t="s">
        <v>421</v>
      </c>
      <c r="G558" s="99" t="s">
        <v>446</v>
      </c>
      <c r="H558" s="99" t="s">
        <v>421</v>
      </c>
      <c r="I558" s="99" t="s">
        <v>421</v>
      </c>
      <c r="J558" s="99" t="s">
        <v>1432</v>
      </c>
      <c r="K558" s="99" t="s">
        <v>421</v>
      </c>
      <c r="L558" s="99" t="s">
        <v>429</v>
      </c>
      <c r="M558" s="105" t="str">
        <f t="shared" si="11"/>
        <v>View on Google Map</v>
      </c>
    </row>
    <row r="559" spans="1:13" x14ac:dyDescent="0.2">
      <c r="A559" s="99">
        <v>100</v>
      </c>
      <c r="B559" s="99" t="s">
        <v>1528</v>
      </c>
      <c r="C559" s="99" t="s">
        <v>1529</v>
      </c>
      <c r="D559" s="99">
        <v>68.629960999999994</v>
      </c>
      <c r="E559" s="99">
        <v>-149.61263299999999</v>
      </c>
      <c r="F559" s="99">
        <v>719</v>
      </c>
      <c r="G559" s="99" t="s">
        <v>432</v>
      </c>
      <c r="H559" s="99" t="s">
        <v>1530</v>
      </c>
      <c r="I559" s="99" t="s">
        <v>1531</v>
      </c>
      <c r="J559" s="99" t="s">
        <v>447</v>
      </c>
      <c r="K559" s="99" t="s">
        <v>421</v>
      </c>
      <c r="L559" s="99" t="s">
        <v>421</v>
      </c>
      <c r="M559" s="105" t="str">
        <f t="shared" si="11"/>
        <v>View on Google Map</v>
      </c>
    </row>
    <row r="560" spans="1:13" x14ac:dyDescent="0.2">
      <c r="A560" s="99">
        <v>523</v>
      </c>
      <c r="B560" s="99" t="s">
        <v>1532</v>
      </c>
      <c r="C560" s="99" t="s">
        <v>1533</v>
      </c>
      <c r="D560" s="99">
        <v>68.626671999999999</v>
      </c>
      <c r="E560" s="99">
        <v>-149.59784400000001</v>
      </c>
      <c r="F560" s="99">
        <v>719</v>
      </c>
      <c r="G560" s="99" t="s">
        <v>432</v>
      </c>
      <c r="H560" s="99" t="s">
        <v>421</v>
      </c>
      <c r="I560" s="99" t="s">
        <v>421</v>
      </c>
      <c r="J560" s="99" t="s">
        <v>433</v>
      </c>
      <c r="K560" s="99" t="s">
        <v>421</v>
      </c>
      <c r="L560" s="99" t="s">
        <v>1534</v>
      </c>
      <c r="M560" s="105" t="str">
        <f t="shared" si="11"/>
        <v>View on Google Map</v>
      </c>
    </row>
    <row r="561" spans="1:13" x14ac:dyDescent="0.2">
      <c r="A561" s="99">
        <v>524</v>
      </c>
      <c r="B561" s="99" t="s">
        <v>1535</v>
      </c>
      <c r="C561" s="99" t="s">
        <v>1533</v>
      </c>
      <c r="D561" s="99">
        <v>68.632586000000003</v>
      </c>
      <c r="E561" s="99">
        <v>-149.60089500000001</v>
      </c>
      <c r="F561" s="99">
        <v>719</v>
      </c>
      <c r="G561" s="99" t="s">
        <v>432</v>
      </c>
      <c r="H561" s="99" t="s">
        <v>421</v>
      </c>
      <c r="I561" s="99" t="s">
        <v>421</v>
      </c>
      <c r="J561" s="99" t="s">
        <v>433</v>
      </c>
      <c r="K561" s="99" t="s">
        <v>421</v>
      </c>
      <c r="L561" s="99" t="s">
        <v>1534</v>
      </c>
      <c r="M561" s="105" t="str">
        <f t="shared" si="11"/>
        <v>View on Google Map</v>
      </c>
    </row>
    <row r="562" spans="1:13" x14ac:dyDescent="0.2">
      <c r="A562" s="99">
        <v>525</v>
      </c>
      <c r="B562" s="99" t="s">
        <v>1536</v>
      </c>
      <c r="C562" s="99" t="s">
        <v>1533</v>
      </c>
      <c r="D562" s="99">
        <v>68.636390000000006</v>
      </c>
      <c r="E562" s="99">
        <v>-149.594774</v>
      </c>
      <c r="F562" s="99">
        <v>719</v>
      </c>
      <c r="G562" s="99" t="s">
        <v>432</v>
      </c>
      <c r="H562" s="99" t="s">
        <v>421</v>
      </c>
      <c r="I562" s="99" t="s">
        <v>421</v>
      </c>
      <c r="J562" s="99" t="s">
        <v>433</v>
      </c>
      <c r="K562" s="99" t="s">
        <v>421</v>
      </c>
      <c r="L562" s="99" t="s">
        <v>1534</v>
      </c>
      <c r="M562" s="105" t="str">
        <f t="shared" si="11"/>
        <v>View on Google Map</v>
      </c>
    </row>
    <row r="563" spans="1:13" x14ac:dyDescent="0.2">
      <c r="A563" s="99">
        <v>13</v>
      </c>
      <c r="B563" s="99" t="s">
        <v>1537</v>
      </c>
      <c r="C563" s="99" t="s">
        <v>421</v>
      </c>
      <c r="D563" s="99">
        <v>68.625600000000006</v>
      </c>
      <c r="E563" s="99">
        <v>-149.59604999999999</v>
      </c>
      <c r="F563" s="99">
        <v>719</v>
      </c>
      <c r="G563" s="99" t="s">
        <v>446</v>
      </c>
      <c r="H563" s="99" t="s">
        <v>1538</v>
      </c>
      <c r="I563" s="99" t="s">
        <v>1539</v>
      </c>
      <c r="J563" s="99" t="s">
        <v>447</v>
      </c>
      <c r="K563" s="99">
        <v>190</v>
      </c>
      <c r="L563" s="99" t="s">
        <v>836</v>
      </c>
      <c r="M563" s="105" t="str">
        <f t="shared" si="11"/>
        <v>View on Google Map</v>
      </c>
    </row>
    <row r="564" spans="1:13" x14ac:dyDescent="0.2">
      <c r="A564" s="99">
        <v>522</v>
      </c>
      <c r="B564" s="99" t="s">
        <v>1540</v>
      </c>
      <c r="C564" s="99" t="s">
        <v>1533</v>
      </c>
      <c r="D564" s="99">
        <v>68.625966000000005</v>
      </c>
      <c r="E564" s="99">
        <v>-149.59902199999999</v>
      </c>
      <c r="F564" s="99">
        <v>719</v>
      </c>
      <c r="G564" s="99" t="s">
        <v>432</v>
      </c>
      <c r="H564" s="99" t="s">
        <v>421</v>
      </c>
      <c r="I564" s="99" t="s">
        <v>421</v>
      </c>
      <c r="J564" s="99" t="s">
        <v>433</v>
      </c>
      <c r="K564" s="99" t="s">
        <v>421</v>
      </c>
      <c r="L564" s="99" t="s">
        <v>1534</v>
      </c>
      <c r="M564" s="105" t="str">
        <f t="shared" si="11"/>
        <v>View on Google Map</v>
      </c>
    </row>
    <row r="565" spans="1:13" x14ac:dyDescent="0.2">
      <c r="A565" s="99">
        <v>101</v>
      </c>
      <c r="B565" s="99" t="s">
        <v>1541</v>
      </c>
      <c r="C565" s="99" t="s">
        <v>1542</v>
      </c>
      <c r="D565" s="99" t="s">
        <v>421</v>
      </c>
      <c r="E565" s="99" t="s">
        <v>421</v>
      </c>
      <c r="F565" s="99">
        <v>719</v>
      </c>
      <c r="G565" s="99" t="s">
        <v>432</v>
      </c>
      <c r="H565" s="99" t="s">
        <v>421</v>
      </c>
      <c r="I565" s="99" t="s">
        <v>421</v>
      </c>
      <c r="J565" s="99" t="s">
        <v>447</v>
      </c>
      <c r="K565" s="99" t="s">
        <v>421</v>
      </c>
      <c r="L565" s="99" t="s">
        <v>421</v>
      </c>
      <c r="M565" s="105" t="str">
        <f t="shared" si="11"/>
        <v>View on Google Map</v>
      </c>
    </row>
    <row r="566" spans="1:13" x14ac:dyDescent="0.2">
      <c r="A566" s="99">
        <v>102</v>
      </c>
      <c r="B566" s="99" t="s">
        <v>1543</v>
      </c>
      <c r="C566" s="99" t="s">
        <v>1544</v>
      </c>
      <c r="D566" s="99">
        <v>68.638623999999993</v>
      </c>
      <c r="E566" s="99">
        <v>-149.610737</v>
      </c>
      <c r="F566" s="99">
        <v>719</v>
      </c>
      <c r="G566" s="99" t="s">
        <v>432</v>
      </c>
      <c r="H566" s="99" t="s">
        <v>1545</v>
      </c>
      <c r="I566" s="99" t="s">
        <v>1546</v>
      </c>
      <c r="J566" s="99" t="s">
        <v>447</v>
      </c>
      <c r="K566" s="99" t="s">
        <v>421</v>
      </c>
      <c r="L566" s="99" t="s">
        <v>421</v>
      </c>
      <c r="M566" s="105" t="str">
        <f t="shared" si="11"/>
        <v>View on Google Map</v>
      </c>
    </row>
    <row r="567" spans="1:13" x14ac:dyDescent="0.2">
      <c r="A567" s="99">
        <v>526</v>
      </c>
      <c r="B567" s="99" t="s">
        <v>1547</v>
      </c>
      <c r="C567" s="99" t="s">
        <v>1533</v>
      </c>
      <c r="D567" s="99">
        <v>68.633232000000007</v>
      </c>
      <c r="E567" s="99">
        <v>-149.61149</v>
      </c>
      <c r="F567" s="99">
        <v>719</v>
      </c>
      <c r="G567" s="99" t="s">
        <v>432</v>
      </c>
      <c r="H567" s="99" t="s">
        <v>421</v>
      </c>
      <c r="I567" s="99" t="s">
        <v>421</v>
      </c>
      <c r="J567" s="99" t="s">
        <v>433</v>
      </c>
      <c r="K567" s="99" t="s">
        <v>421</v>
      </c>
      <c r="L567" s="99" t="s">
        <v>1534</v>
      </c>
      <c r="M567" s="105" t="str">
        <f t="shared" si="11"/>
        <v>View on Google Map</v>
      </c>
    </row>
    <row r="568" spans="1:13" x14ac:dyDescent="0.2">
      <c r="A568" s="99">
        <v>14</v>
      </c>
      <c r="B568" s="99" t="s">
        <v>1548</v>
      </c>
      <c r="C568" s="99" t="s">
        <v>421</v>
      </c>
      <c r="D568" s="99" t="s">
        <v>421</v>
      </c>
      <c r="E568" s="99" t="s">
        <v>421</v>
      </c>
      <c r="F568" s="99">
        <v>719</v>
      </c>
      <c r="G568" s="99" t="s">
        <v>446</v>
      </c>
      <c r="H568" s="99" t="s">
        <v>1549</v>
      </c>
      <c r="I568" s="99" t="s">
        <v>421</v>
      </c>
      <c r="J568" s="99" t="s">
        <v>447</v>
      </c>
      <c r="K568" s="99" t="s">
        <v>421</v>
      </c>
      <c r="L568" s="99" t="s">
        <v>421</v>
      </c>
      <c r="M568" s="105" t="str">
        <f t="shared" si="11"/>
        <v>View on Google Map</v>
      </c>
    </row>
    <row r="569" spans="1:13" x14ac:dyDescent="0.2">
      <c r="A569" s="99">
        <v>527</v>
      </c>
      <c r="B569" s="99" t="s">
        <v>1550</v>
      </c>
      <c r="C569" s="99" t="s">
        <v>1533</v>
      </c>
      <c r="D569" s="99">
        <v>68.639894999999996</v>
      </c>
      <c r="E569" s="99">
        <v>-149.59610599999999</v>
      </c>
      <c r="F569" s="99">
        <v>719</v>
      </c>
      <c r="G569" s="99" t="s">
        <v>432</v>
      </c>
      <c r="H569" s="99" t="s">
        <v>421</v>
      </c>
      <c r="I569" s="99" t="s">
        <v>421</v>
      </c>
      <c r="J569" s="99" t="s">
        <v>433</v>
      </c>
      <c r="K569" s="99" t="s">
        <v>421</v>
      </c>
      <c r="L569" s="99" t="s">
        <v>1534</v>
      </c>
      <c r="M569" s="105" t="str">
        <f t="shared" si="11"/>
        <v>View on Google Map</v>
      </c>
    </row>
    <row r="570" spans="1:13" x14ac:dyDescent="0.2">
      <c r="A570" s="99">
        <v>9</v>
      </c>
      <c r="B570" s="99" t="s">
        <v>1551</v>
      </c>
      <c r="C570" s="99" t="s">
        <v>421</v>
      </c>
      <c r="D570" s="99" t="s">
        <v>421</v>
      </c>
      <c r="E570" s="99" t="s">
        <v>421</v>
      </c>
      <c r="F570" s="99">
        <v>823</v>
      </c>
      <c r="G570" s="99" t="s">
        <v>446</v>
      </c>
      <c r="H570" s="99" t="s">
        <v>421</v>
      </c>
      <c r="I570" s="99" t="s">
        <v>421</v>
      </c>
      <c r="J570" s="99" t="s">
        <v>447</v>
      </c>
      <c r="K570" s="99" t="s">
        <v>421</v>
      </c>
      <c r="L570" s="99" t="s">
        <v>421</v>
      </c>
      <c r="M570" s="105" t="str">
        <f t="shared" si="11"/>
        <v>View on Google Map</v>
      </c>
    </row>
    <row r="571" spans="1:13" x14ac:dyDescent="0.2">
      <c r="A571" s="99">
        <v>22</v>
      </c>
      <c r="B571" s="99" t="s">
        <v>1552</v>
      </c>
      <c r="C571" s="99" t="s">
        <v>421</v>
      </c>
      <c r="D571" s="99" t="s">
        <v>421</v>
      </c>
      <c r="E571" s="99" t="s">
        <v>421</v>
      </c>
      <c r="F571" s="99" t="s">
        <v>421</v>
      </c>
      <c r="G571" s="99" t="s">
        <v>446</v>
      </c>
      <c r="H571" s="99" t="s">
        <v>1553</v>
      </c>
      <c r="I571" s="99" t="s">
        <v>421</v>
      </c>
      <c r="J571" s="99" t="s">
        <v>447</v>
      </c>
      <c r="K571" s="99" t="s">
        <v>421</v>
      </c>
      <c r="L571" s="99" t="s">
        <v>421</v>
      </c>
      <c r="M571" s="105" t="str">
        <f t="shared" si="11"/>
        <v>View on Google Map</v>
      </c>
    </row>
    <row r="572" spans="1:13" x14ac:dyDescent="0.2">
      <c r="A572" s="99">
        <v>528</v>
      </c>
      <c r="B572" s="99" t="s">
        <v>1554</v>
      </c>
      <c r="C572" s="99" t="s">
        <v>1533</v>
      </c>
      <c r="D572" s="99">
        <v>68.634241000000003</v>
      </c>
      <c r="E572" s="99">
        <v>-149.60275899999999</v>
      </c>
      <c r="F572" s="99">
        <v>719</v>
      </c>
      <c r="G572" s="99" t="s">
        <v>432</v>
      </c>
      <c r="H572" s="99" t="s">
        <v>421</v>
      </c>
      <c r="I572" s="99" t="s">
        <v>421</v>
      </c>
      <c r="J572" s="99" t="s">
        <v>433</v>
      </c>
      <c r="K572" s="99" t="s">
        <v>421</v>
      </c>
      <c r="L572" s="99" t="s">
        <v>1534</v>
      </c>
      <c r="M572" s="105" t="str">
        <f t="shared" si="11"/>
        <v>View on Google Map</v>
      </c>
    </row>
    <row r="573" spans="1:13" x14ac:dyDescent="0.2">
      <c r="A573" s="99">
        <v>521</v>
      </c>
      <c r="B573" s="99" t="s">
        <v>1555</v>
      </c>
      <c r="C573" s="99" t="s">
        <v>1533</v>
      </c>
      <c r="D573" s="99">
        <v>68.628656000000007</v>
      </c>
      <c r="E573" s="99">
        <v>-149.59960599999999</v>
      </c>
      <c r="F573" s="99">
        <v>719</v>
      </c>
      <c r="G573" s="99" t="s">
        <v>432</v>
      </c>
      <c r="H573" s="99" t="s">
        <v>421</v>
      </c>
      <c r="I573" s="99" t="s">
        <v>421</v>
      </c>
      <c r="J573" s="99" t="s">
        <v>433</v>
      </c>
      <c r="K573" s="99" t="s">
        <v>421</v>
      </c>
      <c r="L573" s="99" t="s">
        <v>1534</v>
      </c>
      <c r="M573" s="105" t="str">
        <f t="shared" si="11"/>
        <v>View on Google Map</v>
      </c>
    </row>
    <row r="574" spans="1:13" x14ac:dyDescent="0.2">
      <c r="A574" s="99">
        <v>520</v>
      </c>
      <c r="B574" s="99" t="s">
        <v>1556</v>
      </c>
      <c r="C574" s="99" t="s">
        <v>1533</v>
      </c>
      <c r="D574" s="99">
        <v>68.633064000000005</v>
      </c>
      <c r="E574" s="99">
        <v>-149.62826999999999</v>
      </c>
      <c r="F574" s="99">
        <v>719</v>
      </c>
      <c r="G574" s="99" t="s">
        <v>432</v>
      </c>
      <c r="H574" s="99" t="s">
        <v>421</v>
      </c>
      <c r="I574" s="99" t="s">
        <v>421</v>
      </c>
      <c r="J574" s="99" t="s">
        <v>433</v>
      </c>
      <c r="K574" s="99" t="s">
        <v>421</v>
      </c>
      <c r="L574" s="99" t="s">
        <v>1534</v>
      </c>
      <c r="M574" s="105" t="str">
        <f t="shared" si="11"/>
        <v>View on Google Map</v>
      </c>
    </row>
    <row r="575" spans="1:13" x14ac:dyDescent="0.2">
      <c r="B575" s="99" t="s">
        <v>1557</v>
      </c>
      <c r="C575" s="99" t="s">
        <v>818</v>
      </c>
      <c r="D575" s="99">
        <v>68.695505999999995</v>
      </c>
      <c r="E575" s="99">
        <v>-149.207807</v>
      </c>
      <c r="G575" s="99" t="s">
        <v>958</v>
      </c>
      <c r="J575" s="24" t="s">
        <v>447</v>
      </c>
      <c r="M575" s="105" t="str">
        <f t="shared" si="11"/>
        <v>View on Google Map</v>
      </c>
    </row>
    <row r="576" spans="1:13" x14ac:dyDescent="0.2">
      <c r="B576" s="99" t="s">
        <v>1558</v>
      </c>
      <c r="C576" s="99" t="s">
        <v>818</v>
      </c>
      <c r="D576" s="99">
        <v>68.695696999999996</v>
      </c>
      <c r="E576" s="99">
        <v>-149.20482699999999</v>
      </c>
      <c r="G576" s="99" t="s">
        <v>958</v>
      </c>
      <c r="J576" s="24" t="s">
        <v>447</v>
      </c>
      <c r="M576" s="105" t="str">
        <f t="shared" si="11"/>
        <v>View on Google Map</v>
      </c>
    </row>
    <row r="577" spans="1:13" x14ac:dyDescent="0.2">
      <c r="B577" s="99" t="s">
        <v>1559</v>
      </c>
      <c r="C577" s="99" t="s">
        <v>818</v>
      </c>
      <c r="D577" s="99">
        <v>68.690700000000007</v>
      </c>
      <c r="E577" s="99">
        <v>-149.208371</v>
      </c>
      <c r="G577" s="99" t="s">
        <v>958</v>
      </c>
      <c r="J577" s="24" t="s">
        <v>447</v>
      </c>
      <c r="M577" s="105" t="str">
        <f t="shared" si="11"/>
        <v>View on Google Map</v>
      </c>
    </row>
    <row r="578" spans="1:13" x14ac:dyDescent="0.2">
      <c r="B578" s="99" t="s">
        <v>1560</v>
      </c>
      <c r="C578" s="99" t="s">
        <v>818</v>
      </c>
      <c r="D578" s="99">
        <v>68.693759</v>
      </c>
      <c r="E578" s="99">
        <v>-149.20405500000001</v>
      </c>
      <c r="G578" s="99" t="s">
        <v>958</v>
      </c>
      <c r="J578" s="24" t="s">
        <v>447</v>
      </c>
      <c r="M578" s="105" t="str">
        <f t="shared" si="11"/>
        <v>View on Google Map</v>
      </c>
    </row>
    <row r="579" spans="1:13" x14ac:dyDescent="0.2">
      <c r="A579" s="99">
        <v>901</v>
      </c>
      <c r="B579" s="99" t="s">
        <v>1561</v>
      </c>
      <c r="C579" s="99" t="s">
        <v>1562</v>
      </c>
      <c r="D579" s="99" t="s">
        <v>421</v>
      </c>
      <c r="E579" s="99" t="s">
        <v>421</v>
      </c>
      <c r="F579" s="99" t="s">
        <v>421</v>
      </c>
      <c r="G579" s="99" t="s">
        <v>421</v>
      </c>
      <c r="H579" s="99" t="s">
        <v>1563</v>
      </c>
      <c r="I579" s="99" t="s">
        <v>421</v>
      </c>
      <c r="J579" s="24" t="s">
        <v>447</v>
      </c>
      <c r="K579" s="99" t="s">
        <v>421</v>
      </c>
      <c r="L579" s="99" t="s">
        <v>421</v>
      </c>
      <c r="M579" s="105" t="str">
        <f t="shared" ref="M579:M637" si="12">HYPERLINK("http://maps.google.com/maps?q="&amp;D579&amp;","&amp;E579,"View on Google Map")</f>
        <v>View on Google Map</v>
      </c>
    </row>
    <row r="580" spans="1:13" x14ac:dyDescent="0.2">
      <c r="A580" s="99">
        <v>902</v>
      </c>
      <c r="B580" s="99" t="s">
        <v>1564</v>
      </c>
      <c r="C580" s="99" t="s">
        <v>1562</v>
      </c>
      <c r="D580" s="99" t="s">
        <v>421</v>
      </c>
      <c r="E580" s="99" t="s">
        <v>421</v>
      </c>
      <c r="F580" s="99">
        <v>757</v>
      </c>
      <c r="G580" s="99" t="s">
        <v>422</v>
      </c>
      <c r="H580" s="99" t="s">
        <v>1565</v>
      </c>
      <c r="I580" s="99" t="s">
        <v>421</v>
      </c>
      <c r="J580" s="99" t="s">
        <v>447</v>
      </c>
      <c r="K580" s="99" t="s">
        <v>421</v>
      </c>
      <c r="L580" s="99" t="s">
        <v>421</v>
      </c>
      <c r="M580" s="105" t="str">
        <f t="shared" si="12"/>
        <v>View on Google Map</v>
      </c>
    </row>
    <row r="581" spans="1:13" x14ac:dyDescent="0.2">
      <c r="A581" s="99">
        <v>903</v>
      </c>
      <c r="B581" s="99" t="s">
        <v>1566</v>
      </c>
      <c r="C581" s="99" t="s">
        <v>1562</v>
      </c>
      <c r="D581" s="99" t="s">
        <v>421</v>
      </c>
      <c r="E581" s="99" t="s">
        <v>421</v>
      </c>
      <c r="F581" s="99">
        <v>770</v>
      </c>
      <c r="G581" s="99" t="s">
        <v>422</v>
      </c>
      <c r="H581" s="99" t="s">
        <v>1567</v>
      </c>
      <c r="I581" s="99" t="s">
        <v>421</v>
      </c>
      <c r="J581" s="99" t="s">
        <v>447</v>
      </c>
      <c r="K581" s="99" t="s">
        <v>421</v>
      </c>
      <c r="L581" s="99" t="s">
        <v>421</v>
      </c>
      <c r="M581" s="105" t="str">
        <f t="shared" si="12"/>
        <v>View on Google Map</v>
      </c>
    </row>
    <row r="582" spans="1:13" x14ac:dyDescent="0.2">
      <c r="A582" s="99">
        <v>904</v>
      </c>
      <c r="B582" s="99" t="s">
        <v>1568</v>
      </c>
      <c r="C582" s="99" t="s">
        <v>1562</v>
      </c>
      <c r="D582" s="99" t="s">
        <v>421</v>
      </c>
      <c r="E582" s="99" t="s">
        <v>421</v>
      </c>
      <c r="F582" s="99">
        <v>770</v>
      </c>
      <c r="G582" s="99" t="s">
        <v>422</v>
      </c>
      <c r="H582" s="99" t="s">
        <v>1569</v>
      </c>
      <c r="I582" s="99" t="s">
        <v>421</v>
      </c>
      <c r="J582" s="99" t="s">
        <v>447</v>
      </c>
      <c r="K582" s="99" t="s">
        <v>421</v>
      </c>
      <c r="L582" s="99" t="s">
        <v>421</v>
      </c>
      <c r="M582" s="105" t="str">
        <f t="shared" si="12"/>
        <v>View on Google Map</v>
      </c>
    </row>
    <row r="583" spans="1:13" x14ac:dyDescent="0.2">
      <c r="A583" s="99">
        <v>905</v>
      </c>
      <c r="B583" s="99" t="s">
        <v>1570</v>
      </c>
      <c r="C583" s="99" t="s">
        <v>1562</v>
      </c>
      <c r="D583" s="99" t="s">
        <v>421</v>
      </c>
      <c r="E583" s="99" t="s">
        <v>421</v>
      </c>
      <c r="F583" s="99">
        <v>769</v>
      </c>
      <c r="G583" s="99" t="s">
        <v>422</v>
      </c>
      <c r="H583" s="99" t="s">
        <v>1571</v>
      </c>
      <c r="I583" s="99" t="s">
        <v>421</v>
      </c>
      <c r="J583" s="99" t="s">
        <v>447</v>
      </c>
      <c r="K583" s="99" t="s">
        <v>421</v>
      </c>
      <c r="L583" s="99" t="s">
        <v>421</v>
      </c>
      <c r="M583" s="105" t="str">
        <f t="shared" si="12"/>
        <v>View on Google Map</v>
      </c>
    </row>
    <row r="584" spans="1:13" x14ac:dyDescent="0.2">
      <c r="A584" s="99">
        <v>906</v>
      </c>
      <c r="B584" s="99" t="s">
        <v>1572</v>
      </c>
      <c r="C584" s="99" t="s">
        <v>1562</v>
      </c>
      <c r="D584" s="99" t="s">
        <v>421</v>
      </c>
      <c r="E584" s="99" t="s">
        <v>421</v>
      </c>
      <c r="F584" s="99">
        <v>769</v>
      </c>
      <c r="G584" s="99" t="s">
        <v>422</v>
      </c>
      <c r="H584" s="99" t="s">
        <v>1573</v>
      </c>
      <c r="I584" s="99" t="s">
        <v>421</v>
      </c>
      <c r="J584" s="99" t="s">
        <v>447</v>
      </c>
      <c r="K584" s="99" t="s">
        <v>421</v>
      </c>
      <c r="L584" s="99" t="s">
        <v>421</v>
      </c>
      <c r="M584" s="105" t="str">
        <f t="shared" si="12"/>
        <v>View on Google Map</v>
      </c>
    </row>
    <row r="585" spans="1:13" x14ac:dyDescent="0.2">
      <c r="A585" s="99">
        <v>907</v>
      </c>
      <c r="B585" s="99" t="s">
        <v>1574</v>
      </c>
      <c r="C585" s="99" t="s">
        <v>1562</v>
      </c>
      <c r="D585" s="99" t="s">
        <v>421</v>
      </c>
      <c r="E585" s="99" t="s">
        <v>421</v>
      </c>
      <c r="F585" s="99">
        <v>770</v>
      </c>
      <c r="G585" s="99" t="s">
        <v>422</v>
      </c>
      <c r="H585" s="99" t="s">
        <v>1575</v>
      </c>
      <c r="I585" s="99" t="s">
        <v>421</v>
      </c>
      <c r="J585" s="99" t="s">
        <v>447</v>
      </c>
      <c r="K585" s="99" t="s">
        <v>421</v>
      </c>
      <c r="L585" s="99" t="s">
        <v>421</v>
      </c>
      <c r="M585" s="105" t="str">
        <f t="shared" si="12"/>
        <v>View on Google Map</v>
      </c>
    </row>
    <row r="586" spans="1:13" x14ac:dyDescent="0.2">
      <c r="A586" s="99">
        <v>908</v>
      </c>
      <c r="B586" s="99" t="s">
        <v>1576</v>
      </c>
      <c r="C586" s="99" t="s">
        <v>1562</v>
      </c>
      <c r="D586" s="99" t="s">
        <v>421</v>
      </c>
      <c r="E586" s="99" t="s">
        <v>421</v>
      </c>
      <c r="F586" s="99">
        <v>770</v>
      </c>
      <c r="G586" s="99" t="s">
        <v>422</v>
      </c>
      <c r="H586" s="99" t="s">
        <v>1577</v>
      </c>
      <c r="I586" s="99" t="s">
        <v>421</v>
      </c>
      <c r="J586" s="99" t="s">
        <v>447</v>
      </c>
      <c r="K586" s="99" t="s">
        <v>421</v>
      </c>
      <c r="L586" s="99" t="s">
        <v>421</v>
      </c>
      <c r="M586" s="105" t="str">
        <f t="shared" si="12"/>
        <v>View on Google Map</v>
      </c>
    </row>
    <row r="587" spans="1:13" x14ac:dyDescent="0.2">
      <c r="A587" s="99">
        <v>909</v>
      </c>
      <c r="B587" s="99" t="s">
        <v>1578</v>
      </c>
      <c r="C587" s="99" t="s">
        <v>1562</v>
      </c>
      <c r="D587" s="99" t="s">
        <v>421</v>
      </c>
      <c r="E587" s="99" t="s">
        <v>421</v>
      </c>
      <c r="F587" s="99">
        <v>764</v>
      </c>
      <c r="G587" s="99" t="s">
        <v>422</v>
      </c>
      <c r="H587" s="99" t="s">
        <v>1579</v>
      </c>
      <c r="I587" s="99" t="s">
        <v>421</v>
      </c>
      <c r="J587" s="99" t="s">
        <v>447</v>
      </c>
      <c r="K587" s="99" t="s">
        <v>421</v>
      </c>
      <c r="L587" s="99" t="s">
        <v>421</v>
      </c>
      <c r="M587" s="105" t="str">
        <f t="shared" si="12"/>
        <v>View on Google Map</v>
      </c>
    </row>
    <row r="588" spans="1:13" x14ac:dyDescent="0.2">
      <c r="A588" s="99">
        <v>910</v>
      </c>
      <c r="B588" s="99" t="s">
        <v>1580</v>
      </c>
      <c r="C588" s="99" t="s">
        <v>1562</v>
      </c>
      <c r="D588" s="99" t="s">
        <v>421</v>
      </c>
      <c r="E588" s="99" t="s">
        <v>421</v>
      </c>
      <c r="F588" s="99">
        <v>764</v>
      </c>
      <c r="G588" s="99" t="s">
        <v>422</v>
      </c>
      <c r="H588" s="99" t="s">
        <v>1581</v>
      </c>
      <c r="I588" s="99" t="s">
        <v>421</v>
      </c>
      <c r="J588" s="99" t="s">
        <v>447</v>
      </c>
      <c r="K588" s="99" t="s">
        <v>421</v>
      </c>
      <c r="L588" s="99" t="s">
        <v>421</v>
      </c>
      <c r="M588" s="105" t="str">
        <f t="shared" si="12"/>
        <v>View on Google Map</v>
      </c>
    </row>
    <row r="589" spans="1:13" x14ac:dyDescent="0.2">
      <c r="A589" s="99">
        <v>911</v>
      </c>
      <c r="B589" s="99" t="s">
        <v>1582</v>
      </c>
      <c r="C589" s="99" t="s">
        <v>1562</v>
      </c>
      <c r="D589" s="99" t="s">
        <v>421</v>
      </c>
      <c r="E589" s="99" t="s">
        <v>421</v>
      </c>
      <c r="F589" s="99">
        <v>760</v>
      </c>
      <c r="G589" s="99" t="s">
        <v>422</v>
      </c>
      <c r="H589" s="99" t="s">
        <v>1583</v>
      </c>
      <c r="I589" s="99" t="s">
        <v>421</v>
      </c>
      <c r="J589" s="99" t="s">
        <v>447</v>
      </c>
      <c r="K589" s="99" t="s">
        <v>421</v>
      </c>
      <c r="L589" s="99" t="s">
        <v>421</v>
      </c>
      <c r="M589" s="105" t="str">
        <f t="shared" si="12"/>
        <v>View on Google Map</v>
      </c>
    </row>
    <row r="590" spans="1:13" x14ac:dyDescent="0.2">
      <c r="A590" s="99">
        <v>912</v>
      </c>
      <c r="B590" s="99" t="s">
        <v>1584</v>
      </c>
      <c r="C590" s="99" t="s">
        <v>1562</v>
      </c>
      <c r="D590" s="99" t="s">
        <v>421</v>
      </c>
      <c r="E590" s="99" t="s">
        <v>421</v>
      </c>
      <c r="F590" s="99">
        <v>760</v>
      </c>
      <c r="G590" s="99" t="s">
        <v>422</v>
      </c>
      <c r="H590" s="99" t="s">
        <v>1585</v>
      </c>
      <c r="I590" s="99" t="s">
        <v>421</v>
      </c>
      <c r="J590" s="99" t="s">
        <v>447</v>
      </c>
      <c r="K590" s="99" t="s">
        <v>421</v>
      </c>
      <c r="L590" s="99" t="s">
        <v>421</v>
      </c>
      <c r="M590" s="105" t="str">
        <f t="shared" si="12"/>
        <v>View on Google Map</v>
      </c>
    </row>
    <row r="591" spans="1:13" x14ac:dyDescent="0.2">
      <c r="A591" s="99">
        <v>913</v>
      </c>
      <c r="B591" s="99" t="s">
        <v>1586</v>
      </c>
      <c r="C591" s="99" t="s">
        <v>1562</v>
      </c>
      <c r="D591" s="99" t="s">
        <v>421</v>
      </c>
      <c r="E591" s="99" t="s">
        <v>421</v>
      </c>
      <c r="F591" s="99">
        <v>759</v>
      </c>
      <c r="G591" s="99" t="s">
        <v>422</v>
      </c>
      <c r="H591" s="99" t="s">
        <v>1587</v>
      </c>
      <c r="I591" s="99" t="s">
        <v>421</v>
      </c>
      <c r="J591" s="99" t="s">
        <v>447</v>
      </c>
      <c r="K591" s="99" t="s">
        <v>421</v>
      </c>
      <c r="L591" s="99" t="s">
        <v>421</v>
      </c>
      <c r="M591" s="105" t="str">
        <f t="shared" si="12"/>
        <v>View on Google Map</v>
      </c>
    </row>
    <row r="592" spans="1:13" x14ac:dyDescent="0.2">
      <c r="A592" s="99">
        <v>914</v>
      </c>
      <c r="B592" s="99" t="s">
        <v>1588</v>
      </c>
      <c r="C592" s="99" t="s">
        <v>1562</v>
      </c>
      <c r="D592" s="99" t="s">
        <v>421</v>
      </c>
      <c r="E592" s="99" t="s">
        <v>421</v>
      </c>
      <c r="F592" s="99">
        <v>758</v>
      </c>
      <c r="G592" s="99" t="s">
        <v>422</v>
      </c>
      <c r="H592" s="99" t="s">
        <v>1589</v>
      </c>
      <c r="I592" s="99" t="s">
        <v>421</v>
      </c>
      <c r="J592" s="99" t="s">
        <v>447</v>
      </c>
      <c r="K592" s="99" t="s">
        <v>421</v>
      </c>
      <c r="L592" s="99" t="s">
        <v>421</v>
      </c>
      <c r="M592" s="105" t="str">
        <f t="shared" si="12"/>
        <v>View on Google Map</v>
      </c>
    </row>
    <row r="593" spans="1:13" x14ac:dyDescent="0.2">
      <c r="A593" s="99">
        <v>915</v>
      </c>
      <c r="B593" s="99" t="s">
        <v>1590</v>
      </c>
      <c r="C593" s="99" t="s">
        <v>1591</v>
      </c>
      <c r="D593" s="99">
        <v>68.627900999999994</v>
      </c>
      <c r="E593" s="99">
        <v>-149.61295100000001</v>
      </c>
      <c r="F593" s="99">
        <v>759</v>
      </c>
      <c r="G593" s="99" t="s">
        <v>422</v>
      </c>
      <c r="H593" s="99" t="s">
        <v>1592</v>
      </c>
      <c r="I593" s="99" t="s">
        <v>1593</v>
      </c>
      <c r="J593" s="99" t="s">
        <v>447</v>
      </c>
      <c r="K593" s="99" t="s">
        <v>421</v>
      </c>
      <c r="L593" s="99" t="s">
        <v>421</v>
      </c>
      <c r="M593" s="105" t="str">
        <f t="shared" si="12"/>
        <v>View on Google Map</v>
      </c>
    </row>
    <row r="594" spans="1:13" x14ac:dyDescent="0.2">
      <c r="A594" s="99">
        <v>900</v>
      </c>
      <c r="B594" s="99" t="s">
        <v>1594</v>
      </c>
      <c r="C594" s="99" t="s">
        <v>421</v>
      </c>
      <c r="D594" s="99">
        <v>68.623487999999995</v>
      </c>
      <c r="E594" s="99">
        <v>-149.616559</v>
      </c>
      <c r="F594" s="99">
        <v>761</v>
      </c>
      <c r="G594" s="99" t="s">
        <v>422</v>
      </c>
      <c r="H594" s="99" t="s">
        <v>1595</v>
      </c>
      <c r="I594" s="99" t="s">
        <v>1596</v>
      </c>
      <c r="J594" s="99" t="s">
        <v>447</v>
      </c>
      <c r="K594" s="99" t="s">
        <v>421</v>
      </c>
      <c r="L594" s="99" t="s">
        <v>421</v>
      </c>
      <c r="M594" s="105" t="str">
        <f t="shared" si="12"/>
        <v>View on Google Map</v>
      </c>
    </row>
    <row r="595" spans="1:13" x14ac:dyDescent="0.2">
      <c r="B595" s="99" t="s">
        <v>1597</v>
      </c>
      <c r="C595" s="99" t="s">
        <v>1033</v>
      </c>
      <c r="D595" s="99">
        <v>68.549263888888888</v>
      </c>
      <c r="E595" s="99">
        <v>-149.306022222222</v>
      </c>
      <c r="G595" s="99" t="s">
        <v>958</v>
      </c>
      <c r="J595" s="24" t="s">
        <v>447</v>
      </c>
      <c r="M595" s="105" t="str">
        <f t="shared" si="12"/>
        <v>View on Google Map</v>
      </c>
    </row>
    <row r="596" spans="1:13" x14ac:dyDescent="0.2">
      <c r="B596" s="99" t="s">
        <v>1598</v>
      </c>
      <c r="C596" s="99" t="s">
        <v>1033</v>
      </c>
      <c r="D596" s="99">
        <v>68.550188888888883</v>
      </c>
      <c r="E596" s="99">
        <v>-149.310305555556</v>
      </c>
      <c r="G596" s="99" t="s">
        <v>958</v>
      </c>
      <c r="J596" s="24" t="s">
        <v>447</v>
      </c>
      <c r="M596" s="105" t="str">
        <f t="shared" si="12"/>
        <v>View on Google Map</v>
      </c>
    </row>
    <row r="597" spans="1:13" x14ac:dyDescent="0.2">
      <c r="B597" s="99" t="s">
        <v>1599</v>
      </c>
      <c r="C597" s="99" t="s">
        <v>1033</v>
      </c>
      <c r="D597" s="99">
        <v>68.549108333333336</v>
      </c>
      <c r="E597" s="99">
        <v>-149.30837777777799</v>
      </c>
      <c r="G597" s="99" t="s">
        <v>958</v>
      </c>
      <c r="J597" s="24" t="s">
        <v>447</v>
      </c>
      <c r="M597" s="105" t="str">
        <f t="shared" si="12"/>
        <v>View on Google Map</v>
      </c>
    </row>
    <row r="598" spans="1:13" x14ac:dyDescent="0.2">
      <c r="A598" s="99">
        <v>42</v>
      </c>
      <c r="B598" s="99" t="s">
        <v>1600</v>
      </c>
      <c r="C598" s="99" t="s">
        <v>421</v>
      </c>
      <c r="D598" s="99">
        <v>68.960555999999997</v>
      </c>
      <c r="E598" s="99">
        <v>-150.63055600000001</v>
      </c>
      <c r="F598" s="99" t="s">
        <v>421</v>
      </c>
      <c r="G598" s="99" t="s">
        <v>446</v>
      </c>
      <c r="H598" s="99" t="s">
        <v>1601</v>
      </c>
      <c r="I598" s="99" t="s">
        <v>421</v>
      </c>
      <c r="J598" s="99" t="s">
        <v>1432</v>
      </c>
      <c r="K598" s="99" t="s">
        <v>421</v>
      </c>
      <c r="L598" s="99" t="s">
        <v>429</v>
      </c>
      <c r="M598" s="105" t="str">
        <f t="shared" si="12"/>
        <v>View on Google Map</v>
      </c>
    </row>
    <row r="599" spans="1:13" x14ac:dyDescent="0.2">
      <c r="A599" s="99">
        <v>43</v>
      </c>
      <c r="B599" s="99" t="s">
        <v>1602</v>
      </c>
      <c r="C599" s="99" t="s">
        <v>421</v>
      </c>
      <c r="D599" s="99">
        <v>68.935101000000003</v>
      </c>
      <c r="E599" s="99">
        <v>-150.68391700000001</v>
      </c>
      <c r="F599" s="99" t="s">
        <v>421</v>
      </c>
      <c r="G599" s="99" t="s">
        <v>446</v>
      </c>
      <c r="H599" s="99" t="s">
        <v>1603</v>
      </c>
      <c r="I599" s="99" t="s">
        <v>421</v>
      </c>
      <c r="J599" s="99" t="s">
        <v>1432</v>
      </c>
      <c r="K599" s="99" t="s">
        <v>421</v>
      </c>
      <c r="L599" s="99" t="s">
        <v>429</v>
      </c>
      <c r="M599" s="105" t="str">
        <f t="shared" si="12"/>
        <v>View on Google Map</v>
      </c>
    </row>
    <row r="600" spans="1:13" x14ac:dyDescent="0.2">
      <c r="A600" s="99">
        <v>44</v>
      </c>
      <c r="B600" s="99" t="s">
        <v>1604</v>
      </c>
      <c r="C600" s="99" t="s">
        <v>421</v>
      </c>
      <c r="D600" s="99">
        <v>68.916987000000006</v>
      </c>
      <c r="E600" s="99">
        <v>-150.659291</v>
      </c>
      <c r="F600" s="99" t="s">
        <v>421</v>
      </c>
      <c r="G600" s="99" t="s">
        <v>446</v>
      </c>
      <c r="H600" s="99" t="s">
        <v>1605</v>
      </c>
      <c r="I600" s="99" t="s">
        <v>421</v>
      </c>
      <c r="J600" s="99" t="s">
        <v>1432</v>
      </c>
      <c r="K600" s="99" t="s">
        <v>421</v>
      </c>
      <c r="L600" s="99" t="s">
        <v>429</v>
      </c>
      <c r="M600" s="105" t="str">
        <f t="shared" si="12"/>
        <v>View on Google Map</v>
      </c>
    </row>
    <row r="601" spans="1:13" x14ac:dyDescent="0.2">
      <c r="B601" s="99" t="s">
        <v>1606</v>
      </c>
      <c r="C601" s="99" t="s">
        <v>1434</v>
      </c>
      <c r="D601" s="99">
        <v>69.132777777777775</v>
      </c>
      <c r="E601" s="99">
        <v>-150.710833333333</v>
      </c>
      <c r="G601" s="99" t="s">
        <v>440</v>
      </c>
      <c r="J601" s="99" t="s">
        <v>428</v>
      </c>
      <c r="L601" s="99" t="s">
        <v>429</v>
      </c>
      <c r="M601" s="105" t="str">
        <f t="shared" si="12"/>
        <v>View on Google Map</v>
      </c>
    </row>
    <row r="602" spans="1:13" x14ac:dyDescent="0.2">
      <c r="B602" s="99" t="s">
        <v>1607</v>
      </c>
      <c r="C602" s="99" t="s">
        <v>818</v>
      </c>
      <c r="D602" s="99">
        <v>69.13944444444445</v>
      </c>
      <c r="E602" s="99">
        <v>-150.68388888888899</v>
      </c>
      <c r="G602" s="99" t="s">
        <v>440</v>
      </c>
      <c r="J602" s="99" t="s">
        <v>428</v>
      </c>
      <c r="L602" s="99" t="s">
        <v>429</v>
      </c>
      <c r="M602" s="105" t="str">
        <f t="shared" si="12"/>
        <v>View on Google Map</v>
      </c>
    </row>
    <row r="603" spans="1:13" x14ac:dyDescent="0.2">
      <c r="B603" s="99" t="s">
        <v>1608</v>
      </c>
      <c r="C603" s="99" t="s">
        <v>1434</v>
      </c>
      <c r="D603" s="99">
        <v>68.960833333333341</v>
      </c>
      <c r="E603" s="99">
        <v>-150.719722222222</v>
      </c>
      <c r="G603" s="99" t="s">
        <v>440</v>
      </c>
      <c r="J603" s="99" t="s">
        <v>428</v>
      </c>
      <c r="L603" s="99" t="s">
        <v>429</v>
      </c>
      <c r="M603" s="105" t="str">
        <f t="shared" si="12"/>
        <v>View on Google Map</v>
      </c>
    </row>
    <row r="604" spans="1:13" x14ac:dyDescent="0.2">
      <c r="B604" s="99" t="s">
        <v>1609</v>
      </c>
      <c r="C604" s="99" t="s">
        <v>818</v>
      </c>
      <c r="D604" s="99">
        <v>69.055277777777775</v>
      </c>
      <c r="E604" s="99">
        <v>-150.80972222222201</v>
      </c>
      <c r="G604" s="99" t="s">
        <v>440</v>
      </c>
      <c r="J604" s="99" t="s">
        <v>428</v>
      </c>
      <c r="L604" s="99" t="s">
        <v>429</v>
      </c>
      <c r="M604" s="105" t="str">
        <f t="shared" si="12"/>
        <v>View on Google Map</v>
      </c>
    </row>
    <row r="605" spans="1:13" x14ac:dyDescent="0.2">
      <c r="A605" s="99">
        <v>932</v>
      </c>
      <c r="B605" s="99" t="s">
        <v>1610</v>
      </c>
      <c r="C605" s="99" t="s">
        <v>421</v>
      </c>
      <c r="D605" s="99" t="s">
        <v>421</v>
      </c>
      <c r="E605" s="99" t="s">
        <v>421</v>
      </c>
      <c r="F605" s="99">
        <v>750</v>
      </c>
      <c r="G605" s="99" t="s">
        <v>422</v>
      </c>
      <c r="H605" s="99" t="s">
        <v>1611</v>
      </c>
      <c r="I605" s="99" t="s">
        <v>1612</v>
      </c>
      <c r="J605" s="99" t="s">
        <v>447</v>
      </c>
      <c r="K605" s="99" t="s">
        <v>421</v>
      </c>
      <c r="L605" s="99" t="s">
        <v>421</v>
      </c>
      <c r="M605" s="105" t="str">
        <f t="shared" si="12"/>
        <v>View on Google Map</v>
      </c>
    </row>
    <row r="606" spans="1:13" x14ac:dyDescent="0.2">
      <c r="A606" s="99">
        <v>920</v>
      </c>
      <c r="B606" s="99" t="s">
        <v>1613</v>
      </c>
      <c r="C606" s="99" t="s">
        <v>421</v>
      </c>
      <c r="D606" s="99" t="s">
        <v>421</v>
      </c>
      <c r="E606" s="99" t="s">
        <v>421</v>
      </c>
      <c r="F606" s="99">
        <v>760</v>
      </c>
      <c r="G606" s="99" t="s">
        <v>422</v>
      </c>
      <c r="H606" s="99" t="s">
        <v>1614</v>
      </c>
      <c r="I606" s="99" t="s">
        <v>1615</v>
      </c>
      <c r="J606" s="99" t="s">
        <v>447</v>
      </c>
      <c r="K606" s="99" t="s">
        <v>421</v>
      </c>
      <c r="L606" s="99" t="s">
        <v>421</v>
      </c>
      <c r="M606" s="105" t="str">
        <f t="shared" si="12"/>
        <v>View on Google Map</v>
      </c>
    </row>
    <row r="607" spans="1:13" x14ac:dyDescent="0.2">
      <c r="A607" s="99">
        <v>921</v>
      </c>
      <c r="B607" s="99" t="s">
        <v>1616</v>
      </c>
      <c r="C607" s="99" t="s">
        <v>421</v>
      </c>
      <c r="D607" s="99" t="s">
        <v>421</v>
      </c>
      <c r="E607" s="99" t="s">
        <v>421</v>
      </c>
      <c r="F607" s="99">
        <v>720</v>
      </c>
      <c r="G607" s="99" t="s">
        <v>422</v>
      </c>
      <c r="H607" s="99" t="s">
        <v>1617</v>
      </c>
      <c r="I607" s="99" t="s">
        <v>1618</v>
      </c>
      <c r="J607" s="99" t="s">
        <v>447</v>
      </c>
      <c r="K607" s="99" t="s">
        <v>421</v>
      </c>
      <c r="L607" s="99" t="s">
        <v>421</v>
      </c>
      <c r="M607" s="105" t="str">
        <f t="shared" si="12"/>
        <v>View on Google Map</v>
      </c>
    </row>
    <row r="608" spans="1:13" x14ac:dyDescent="0.2">
      <c r="A608" s="99">
        <v>922</v>
      </c>
      <c r="B608" s="99" t="s">
        <v>1619</v>
      </c>
      <c r="C608" s="99" t="s">
        <v>421</v>
      </c>
      <c r="D608" s="99" t="s">
        <v>421</v>
      </c>
      <c r="E608" s="99" t="s">
        <v>421</v>
      </c>
      <c r="F608" s="99">
        <v>750</v>
      </c>
      <c r="G608" s="99" t="s">
        <v>422</v>
      </c>
      <c r="H608" s="99" t="s">
        <v>1620</v>
      </c>
      <c r="I608" s="99" t="s">
        <v>1621</v>
      </c>
      <c r="J608" s="99" t="s">
        <v>447</v>
      </c>
      <c r="K608" s="99" t="s">
        <v>421</v>
      </c>
      <c r="L608" s="99" t="s">
        <v>421</v>
      </c>
      <c r="M608" s="105" t="str">
        <f t="shared" si="12"/>
        <v>View on Google Map</v>
      </c>
    </row>
    <row r="609" spans="1:13" x14ac:dyDescent="0.2">
      <c r="A609" s="99">
        <v>923</v>
      </c>
      <c r="B609" s="99" t="s">
        <v>1622</v>
      </c>
      <c r="C609" s="99" t="s">
        <v>421</v>
      </c>
      <c r="D609" s="99" t="s">
        <v>421</v>
      </c>
      <c r="E609" s="99" t="s">
        <v>421</v>
      </c>
      <c r="F609" s="99">
        <v>750</v>
      </c>
      <c r="G609" s="99" t="s">
        <v>422</v>
      </c>
      <c r="H609" s="99" t="s">
        <v>1623</v>
      </c>
      <c r="I609" s="99" t="s">
        <v>1624</v>
      </c>
      <c r="J609" s="99" t="s">
        <v>447</v>
      </c>
      <c r="K609" s="99" t="s">
        <v>421</v>
      </c>
      <c r="L609" s="99" t="s">
        <v>421</v>
      </c>
      <c r="M609" s="105" t="str">
        <f t="shared" si="12"/>
        <v>View on Google Map</v>
      </c>
    </row>
    <row r="610" spans="1:13" x14ac:dyDescent="0.2">
      <c r="A610" s="99">
        <v>924</v>
      </c>
      <c r="B610" s="99" t="s">
        <v>1625</v>
      </c>
      <c r="C610" s="99" t="s">
        <v>421</v>
      </c>
      <c r="D610" s="99" t="s">
        <v>421</v>
      </c>
      <c r="E610" s="99" t="s">
        <v>421</v>
      </c>
      <c r="F610" s="99">
        <v>750</v>
      </c>
      <c r="G610" s="99" t="s">
        <v>422</v>
      </c>
      <c r="H610" s="99" t="s">
        <v>1626</v>
      </c>
      <c r="I610" s="99" t="s">
        <v>1627</v>
      </c>
      <c r="J610" s="99" t="s">
        <v>447</v>
      </c>
      <c r="K610" s="99" t="s">
        <v>421</v>
      </c>
      <c r="L610" s="99" t="s">
        <v>421</v>
      </c>
      <c r="M610" s="105" t="str">
        <f t="shared" si="12"/>
        <v>View on Google Map</v>
      </c>
    </row>
    <row r="611" spans="1:13" x14ac:dyDescent="0.2">
      <c r="A611" s="99">
        <v>925</v>
      </c>
      <c r="B611" s="99" t="s">
        <v>1628</v>
      </c>
      <c r="C611" s="99" t="s">
        <v>421</v>
      </c>
      <c r="D611" s="99" t="s">
        <v>421</v>
      </c>
      <c r="E611" s="99" t="s">
        <v>421</v>
      </c>
      <c r="F611" s="99">
        <v>750</v>
      </c>
      <c r="G611" s="99" t="s">
        <v>422</v>
      </c>
      <c r="H611" s="99" t="s">
        <v>1629</v>
      </c>
      <c r="I611" s="99" t="s">
        <v>1630</v>
      </c>
      <c r="J611" s="99" t="s">
        <v>447</v>
      </c>
      <c r="K611" s="99" t="s">
        <v>421</v>
      </c>
      <c r="L611" s="99" t="s">
        <v>421</v>
      </c>
      <c r="M611" s="105" t="str">
        <f t="shared" si="12"/>
        <v>View on Google Map</v>
      </c>
    </row>
    <row r="612" spans="1:13" x14ac:dyDescent="0.2">
      <c r="A612" s="99">
        <v>926</v>
      </c>
      <c r="B612" s="99" t="s">
        <v>1631</v>
      </c>
      <c r="C612" s="99" t="s">
        <v>421</v>
      </c>
      <c r="D612" s="99" t="s">
        <v>421</v>
      </c>
      <c r="E612" s="99" t="s">
        <v>421</v>
      </c>
      <c r="F612" s="99">
        <v>750</v>
      </c>
      <c r="G612" s="99" t="s">
        <v>422</v>
      </c>
      <c r="H612" s="99" t="s">
        <v>1632</v>
      </c>
      <c r="I612" s="99" t="s">
        <v>1633</v>
      </c>
      <c r="J612" s="99" t="s">
        <v>447</v>
      </c>
      <c r="K612" s="99" t="s">
        <v>421</v>
      </c>
      <c r="L612" s="99" t="s">
        <v>421</v>
      </c>
      <c r="M612" s="105" t="str">
        <f t="shared" si="12"/>
        <v>View on Google Map</v>
      </c>
    </row>
    <row r="613" spans="1:13" x14ac:dyDescent="0.2">
      <c r="A613" s="99">
        <v>927</v>
      </c>
      <c r="B613" s="99" t="s">
        <v>1634</v>
      </c>
      <c r="C613" s="99" t="s">
        <v>421</v>
      </c>
      <c r="D613" s="99" t="s">
        <v>421</v>
      </c>
      <c r="E613" s="99" t="s">
        <v>421</v>
      </c>
      <c r="F613" s="99">
        <v>750</v>
      </c>
      <c r="G613" s="99" t="s">
        <v>422</v>
      </c>
      <c r="H613" s="99" t="s">
        <v>1635</v>
      </c>
      <c r="I613" s="99" t="s">
        <v>1636</v>
      </c>
      <c r="J613" s="99" t="s">
        <v>447</v>
      </c>
      <c r="K613" s="99" t="s">
        <v>421</v>
      </c>
      <c r="L613" s="99" t="s">
        <v>421</v>
      </c>
      <c r="M613" s="105" t="str">
        <f t="shared" si="12"/>
        <v>View on Google Map</v>
      </c>
    </row>
    <row r="614" spans="1:13" x14ac:dyDescent="0.2">
      <c r="A614" s="99">
        <v>928</v>
      </c>
      <c r="B614" s="99" t="s">
        <v>1637</v>
      </c>
      <c r="C614" s="99" t="s">
        <v>421</v>
      </c>
      <c r="D614" s="99" t="s">
        <v>421</v>
      </c>
      <c r="E614" s="99" t="s">
        <v>421</v>
      </c>
      <c r="F614" s="99">
        <v>750</v>
      </c>
      <c r="G614" s="99" t="s">
        <v>422</v>
      </c>
      <c r="H614" s="99" t="s">
        <v>1638</v>
      </c>
      <c r="I614" s="99" t="s">
        <v>1639</v>
      </c>
      <c r="J614" s="99" t="s">
        <v>447</v>
      </c>
      <c r="K614" s="99" t="s">
        <v>421</v>
      </c>
      <c r="L614" s="99" t="s">
        <v>421</v>
      </c>
      <c r="M614" s="105" t="str">
        <f t="shared" si="12"/>
        <v>View on Google Map</v>
      </c>
    </row>
    <row r="615" spans="1:13" x14ac:dyDescent="0.2">
      <c r="A615" s="99">
        <v>929</v>
      </c>
      <c r="B615" s="99" t="s">
        <v>1640</v>
      </c>
      <c r="C615" s="99" t="s">
        <v>421</v>
      </c>
      <c r="D615" s="99" t="s">
        <v>421</v>
      </c>
      <c r="E615" s="99" t="s">
        <v>421</v>
      </c>
      <c r="F615" s="99">
        <v>750</v>
      </c>
      <c r="G615" s="99" t="s">
        <v>422</v>
      </c>
      <c r="H615" s="99" t="s">
        <v>1641</v>
      </c>
      <c r="I615" s="99" t="s">
        <v>1642</v>
      </c>
      <c r="J615" s="99" t="s">
        <v>447</v>
      </c>
      <c r="K615" s="99" t="s">
        <v>421</v>
      </c>
      <c r="L615" s="99" t="s">
        <v>421</v>
      </c>
      <c r="M615" s="105" t="str">
        <f t="shared" si="12"/>
        <v>View on Google Map</v>
      </c>
    </row>
    <row r="616" spans="1:13" x14ac:dyDescent="0.2">
      <c r="A616" s="99">
        <v>930</v>
      </c>
      <c r="B616" s="99" t="s">
        <v>1643</v>
      </c>
      <c r="C616" s="99" t="s">
        <v>421</v>
      </c>
      <c r="D616" s="99" t="s">
        <v>421</v>
      </c>
      <c r="E616" s="99" t="s">
        <v>421</v>
      </c>
      <c r="F616" s="99">
        <v>750</v>
      </c>
      <c r="G616" s="99" t="s">
        <v>422</v>
      </c>
      <c r="H616" s="99" t="s">
        <v>1644</v>
      </c>
      <c r="I616" s="99" t="s">
        <v>1645</v>
      </c>
      <c r="J616" s="99" t="s">
        <v>447</v>
      </c>
      <c r="K616" s="99" t="s">
        <v>421</v>
      </c>
      <c r="L616" s="99" t="s">
        <v>421</v>
      </c>
      <c r="M616" s="105" t="str">
        <f t="shared" si="12"/>
        <v>View on Google Map</v>
      </c>
    </row>
    <row r="617" spans="1:13" x14ac:dyDescent="0.2">
      <c r="A617" s="99">
        <v>931</v>
      </c>
      <c r="B617" s="99" t="s">
        <v>1646</v>
      </c>
      <c r="C617" s="99" t="s">
        <v>421</v>
      </c>
      <c r="D617" s="99" t="s">
        <v>421</v>
      </c>
      <c r="E617" s="99" t="s">
        <v>421</v>
      </c>
      <c r="F617" s="99">
        <v>750</v>
      </c>
      <c r="G617" s="99" t="s">
        <v>422</v>
      </c>
      <c r="H617" s="99" t="s">
        <v>1647</v>
      </c>
      <c r="I617" s="99" t="s">
        <v>1648</v>
      </c>
      <c r="J617" s="99" t="s">
        <v>447</v>
      </c>
      <c r="K617" s="99" t="s">
        <v>421</v>
      </c>
      <c r="L617" s="99" t="s">
        <v>421</v>
      </c>
      <c r="M617" s="105" t="str">
        <f t="shared" si="12"/>
        <v>View on Google Map</v>
      </c>
    </row>
    <row r="618" spans="1:13" x14ac:dyDescent="0.2">
      <c r="A618" s="99">
        <v>370</v>
      </c>
      <c r="B618" s="99" t="s">
        <v>1649</v>
      </c>
      <c r="C618" s="99" t="s">
        <v>421</v>
      </c>
      <c r="D618" s="99" t="s">
        <v>421</v>
      </c>
      <c r="E618" s="99" t="s">
        <v>421</v>
      </c>
      <c r="F618" s="99" t="s">
        <v>421</v>
      </c>
      <c r="G618" s="99" t="s">
        <v>432</v>
      </c>
      <c r="H618" s="99" t="s">
        <v>421</v>
      </c>
      <c r="I618" s="99" t="s">
        <v>421</v>
      </c>
      <c r="J618" s="99" t="s">
        <v>447</v>
      </c>
      <c r="K618" s="99" t="s">
        <v>421</v>
      </c>
      <c r="L618" s="99" t="s">
        <v>1650</v>
      </c>
      <c r="M618" s="105" t="str">
        <f t="shared" si="12"/>
        <v>View on Google Map</v>
      </c>
    </row>
    <row r="619" spans="1:13" x14ac:dyDescent="0.2">
      <c r="A619" s="99">
        <v>371</v>
      </c>
      <c r="B619" s="99" t="s">
        <v>1651</v>
      </c>
      <c r="C619" s="99" t="s">
        <v>421</v>
      </c>
      <c r="D619" s="99" t="s">
        <v>421</v>
      </c>
      <c r="E619" s="99" t="s">
        <v>421</v>
      </c>
      <c r="F619" s="99" t="s">
        <v>421</v>
      </c>
      <c r="G619" s="99" t="s">
        <v>432</v>
      </c>
      <c r="H619" s="99" t="s">
        <v>421</v>
      </c>
      <c r="I619" s="99" t="s">
        <v>421</v>
      </c>
      <c r="J619" s="99" t="s">
        <v>447</v>
      </c>
      <c r="K619" s="99" t="s">
        <v>421</v>
      </c>
      <c r="L619" s="99" t="s">
        <v>1650</v>
      </c>
      <c r="M619" s="105" t="str">
        <f t="shared" si="12"/>
        <v>View on Google Map</v>
      </c>
    </row>
    <row r="620" spans="1:13" x14ac:dyDescent="0.2">
      <c r="A620" s="99">
        <v>372</v>
      </c>
      <c r="B620" s="99" t="s">
        <v>1652</v>
      </c>
      <c r="C620" s="99" t="s">
        <v>421</v>
      </c>
      <c r="D620" s="99" t="s">
        <v>421</v>
      </c>
      <c r="E620" s="99" t="s">
        <v>421</v>
      </c>
      <c r="F620" s="99" t="s">
        <v>421</v>
      </c>
      <c r="G620" s="99" t="s">
        <v>432</v>
      </c>
      <c r="H620" s="99" t="s">
        <v>421</v>
      </c>
      <c r="I620" s="99" t="s">
        <v>421</v>
      </c>
      <c r="J620" s="99" t="s">
        <v>447</v>
      </c>
      <c r="K620" s="99" t="s">
        <v>421</v>
      </c>
      <c r="L620" s="99" t="s">
        <v>1650</v>
      </c>
      <c r="M620" s="105" t="str">
        <f t="shared" si="12"/>
        <v>View on Google Map</v>
      </c>
    </row>
    <row r="621" spans="1:13" x14ac:dyDescent="0.2">
      <c r="A621" s="99">
        <v>373</v>
      </c>
      <c r="B621" s="99" t="s">
        <v>1653</v>
      </c>
      <c r="C621" s="99" t="s">
        <v>421</v>
      </c>
      <c r="D621" s="99" t="s">
        <v>421</v>
      </c>
      <c r="E621" s="99" t="s">
        <v>421</v>
      </c>
      <c r="F621" s="99" t="s">
        <v>421</v>
      </c>
      <c r="G621" s="99" t="s">
        <v>432</v>
      </c>
      <c r="H621" s="99" t="s">
        <v>421</v>
      </c>
      <c r="I621" s="99" t="s">
        <v>421</v>
      </c>
      <c r="J621" s="99" t="s">
        <v>447</v>
      </c>
      <c r="K621" s="99" t="s">
        <v>421</v>
      </c>
      <c r="L621" s="99" t="s">
        <v>1650</v>
      </c>
      <c r="M621" s="105" t="str">
        <f t="shared" si="12"/>
        <v>View on Google Map</v>
      </c>
    </row>
    <row r="622" spans="1:13" x14ac:dyDescent="0.2">
      <c r="A622" s="99">
        <v>374</v>
      </c>
      <c r="B622" s="99" t="s">
        <v>1654</v>
      </c>
      <c r="C622" s="99" t="s">
        <v>421</v>
      </c>
      <c r="D622" s="99" t="s">
        <v>421</v>
      </c>
      <c r="E622" s="99" t="s">
        <v>421</v>
      </c>
      <c r="F622" s="99" t="s">
        <v>421</v>
      </c>
      <c r="G622" s="99" t="s">
        <v>432</v>
      </c>
      <c r="H622" s="99" t="s">
        <v>421</v>
      </c>
      <c r="I622" s="99" t="s">
        <v>421</v>
      </c>
      <c r="J622" s="99" t="s">
        <v>447</v>
      </c>
      <c r="K622" s="99" t="s">
        <v>421</v>
      </c>
      <c r="L622" s="99" t="s">
        <v>1650</v>
      </c>
      <c r="M622" s="105" t="str">
        <f t="shared" si="12"/>
        <v>View on Google Map</v>
      </c>
    </row>
    <row r="623" spans="1:13" x14ac:dyDescent="0.2">
      <c r="A623" s="99">
        <v>375</v>
      </c>
      <c r="B623" s="99" t="s">
        <v>1655</v>
      </c>
      <c r="C623" s="99" t="s">
        <v>421</v>
      </c>
      <c r="D623" s="99" t="s">
        <v>421</v>
      </c>
      <c r="E623" s="99" t="s">
        <v>421</v>
      </c>
      <c r="F623" s="99" t="s">
        <v>421</v>
      </c>
      <c r="G623" s="99" t="s">
        <v>432</v>
      </c>
      <c r="H623" s="99" t="s">
        <v>421</v>
      </c>
      <c r="I623" s="99" t="s">
        <v>421</v>
      </c>
      <c r="J623" s="99" t="s">
        <v>447</v>
      </c>
      <c r="K623" s="99" t="s">
        <v>421</v>
      </c>
      <c r="L623" s="99" t="s">
        <v>1650</v>
      </c>
      <c r="M623" s="105" t="str">
        <f t="shared" si="12"/>
        <v>View on Google Map</v>
      </c>
    </row>
    <row r="624" spans="1:13" x14ac:dyDescent="0.2">
      <c r="A624" s="99">
        <v>376</v>
      </c>
      <c r="B624" s="99" t="s">
        <v>1656</v>
      </c>
      <c r="C624" s="99" t="s">
        <v>421</v>
      </c>
      <c r="D624" s="99" t="s">
        <v>421</v>
      </c>
      <c r="E624" s="99" t="s">
        <v>421</v>
      </c>
      <c r="F624" s="99" t="s">
        <v>421</v>
      </c>
      <c r="G624" s="99" t="s">
        <v>432</v>
      </c>
      <c r="H624" s="99" t="s">
        <v>421</v>
      </c>
      <c r="I624" s="99" t="s">
        <v>421</v>
      </c>
      <c r="J624" s="99" t="s">
        <v>447</v>
      </c>
      <c r="K624" s="99" t="s">
        <v>421</v>
      </c>
      <c r="L624" s="99" t="s">
        <v>1650</v>
      </c>
      <c r="M624" s="105" t="str">
        <f t="shared" si="12"/>
        <v>View on Google Map</v>
      </c>
    </row>
    <row r="625" spans="1:13" x14ac:dyDescent="0.2">
      <c r="A625" s="99">
        <v>377</v>
      </c>
      <c r="B625" s="99" t="s">
        <v>1657</v>
      </c>
      <c r="C625" s="99" t="s">
        <v>421</v>
      </c>
      <c r="D625" s="99" t="s">
        <v>421</v>
      </c>
      <c r="E625" s="99" t="s">
        <v>421</v>
      </c>
      <c r="F625" s="99" t="s">
        <v>421</v>
      </c>
      <c r="G625" s="99" t="s">
        <v>432</v>
      </c>
      <c r="H625" s="99" t="s">
        <v>421</v>
      </c>
      <c r="I625" s="99" t="s">
        <v>421</v>
      </c>
      <c r="J625" s="99" t="s">
        <v>447</v>
      </c>
      <c r="K625" s="99" t="s">
        <v>421</v>
      </c>
      <c r="L625" s="99" t="s">
        <v>1650</v>
      </c>
      <c r="M625" s="105" t="str">
        <f t="shared" si="12"/>
        <v>View on Google Map</v>
      </c>
    </row>
    <row r="626" spans="1:13" x14ac:dyDescent="0.2">
      <c r="A626" s="99">
        <v>378</v>
      </c>
      <c r="B626" s="99" t="s">
        <v>1658</v>
      </c>
      <c r="C626" s="99" t="s">
        <v>421</v>
      </c>
      <c r="D626" s="99" t="s">
        <v>421</v>
      </c>
      <c r="E626" s="99" t="s">
        <v>421</v>
      </c>
      <c r="F626" s="99" t="s">
        <v>421</v>
      </c>
      <c r="G626" s="99" t="s">
        <v>432</v>
      </c>
      <c r="H626" s="99" t="s">
        <v>421</v>
      </c>
      <c r="I626" s="99" t="s">
        <v>421</v>
      </c>
      <c r="J626" s="99" t="s">
        <v>447</v>
      </c>
      <c r="K626" s="99" t="s">
        <v>421</v>
      </c>
      <c r="L626" s="99" t="s">
        <v>1650</v>
      </c>
      <c r="M626" s="105" t="str">
        <f t="shared" si="12"/>
        <v>View on Google Map</v>
      </c>
    </row>
    <row r="627" spans="1:13" x14ac:dyDescent="0.2">
      <c r="A627" s="99">
        <v>379</v>
      </c>
      <c r="B627" s="99" t="s">
        <v>1659</v>
      </c>
      <c r="C627" s="99" t="s">
        <v>421</v>
      </c>
      <c r="D627" s="99" t="s">
        <v>421</v>
      </c>
      <c r="E627" s="99" t="s">
        <v>421</v>
      </c>
      <c r="F627" s="99" t="s">
        <v>421</v>
      </c>
      <c r="G627" s="99" t="s">
        <v>432</v>
      </c>
      <c r="H627" s="99" t="s">
        <v>421</v>
      </c>
      <c r="I627" s="99" t="s">
        <v>421</v>
      </c>
      <c r="J627" s="99" t="s">
        <v>447</v>
      </c>
      <c r="K627" s="99" t="s">
        <v>421</v>
      </c>
      <c r="L627" s="99" t="s">
        <v>1650</v>
      </c>
      <c r="M627" s="105" t="str">
        <f t="shared" si="12"/>
        <v>View on Google Map</v>
      </c>
    </row>
    <row r="628" spans="1:13" x14ac:dyDescent="0.2">
      <c r="A628" s="99">
        <v>458</v>
      </c>
      <c r="B628" s="99" t="s">
        <v>1660</v>
      </c>
      <c r="C628" s="99" t="s">
        <v>421</v>
      </c>
      <c r="D628" s="99">
        <v>68.986329999999995</v>
      </c>
      <c r="E628" s="99">
        <v>-149.89803000000001</v>
      </c>
      <c r="F628" s="99">
        <v>419</v>
      </c>
      <c r="G628" s="99" t="s">
        <v>432</v>
      </c>
      <c r="H628" s="99" t="s">
        <v>421</v>
      </c>
      <c r="I628" s="99" t="s">
        <v>421</v>
      </c>
      <c r="J628" s="99" t="s">
        <v>433</v>
      </c>
      <c r="K628" s="99" t="s">
        <v>421</v>
      </c>
      <c r="L628" s="99" t="s">
        <v>421</v>
      </c>
      <c r="M628" s="105" t="str">
        <f t="shared" si="12"/>
        <v>View on Google Map</v>
      </c>
    </row>
    <row r="629" spans="1:13" x14ac:dyDescent="0.2">
      <c r="A629" s="99">
        <v>459</v>
      </c>
      <c r="B629" s="99" t="s">
        <v>1661</v>
      </c>
      <c r="C629" s="99" t="s">
        <v>421</v>
      </c>
      <c r="D629" s="99">
        <v>68.983530000000002</v>
      </c>
      <c r="E629" s="99">
        <v>-149.89436000000001</v>
      </c>
      <c r="F629" s="99">
        <v>408</v>
      </c>
      <c r="G629" s="99" t="s">
        <v>432</v>
      </c>
      <c r="H629" s="99" t="s">
        <v>421</v>
      </c>
      <c r="I629" s="99" t="s">
        <v>421</v>
      </c>
      <c r="J629" s="99" t="s">
        <v>433</v>
      </c>
      <c r="K629" s="99" t="s">
        <v>421</v>
      </c>
      <c r="L629" s="99" t="s">
        <v>421</v>
      </c>
      <c r="M629" s="105" t="str">
        <f t="shared" si="12"/>
        <v>View on Google Map</v>
      </c>
    </row>
    <row r="630" spans="1:13" x14ac:dyDescent="0.2">
      <c r="A630" s="99">
        <v>460</v>
      </c>
      <c r="B630" s="99" t="s">
        <v>1662</v>
      </c>
      <c r="C630" s="99" t="s">
        <v>421</v>
      </c>
      <c r="D630" s="99">
        <v>68.978710000000007</v>
      </c>
      <c r="E630" s="99">
        <v>-149.89182</v>
      </c>
      <c r="F630" s="99">
        <v>394</v>
      </c>
      <c r="G630" s="99" t="s">
        <v>432</v>
      </c>
      <c r="H630" s="99" t="s">
        <v>421</v>
      </c>
      <c r="I630" s="99" t="s">
        <v>421</v>
      </c>
      <c r="J630" s="99" t="s">
        <v>433</v>
      </c>
      <c r="K630" s="99" t="s">
        <v>421</v>
      </c>
      <c r="L630" s="99" t="s">
        <v>421</v>
      </c>
      <c r="M630" s="105" t="str">
        <f t="shared" si="12"/>
        <v>View on Google Map</v>
      </c>
    </row>
    <row r="631" spans="1:13" x14ac:dyDescent="0.2">
      <c r="A631" s="99">
        <v>461</v>
      </c>
      <c r="B631" s="99" t="s">
        <v>1663</v>
      </c>
      <c r="C631" s="99" t="s">
        <v>421</v>
      </c>
      <c r="D631" s="99">
        <v>68.861750000000001</v>
      </c>
      <c r="E631" s="99">
        <v>-149.03908000000001</v>
      </c>
      <c r="F631" s="99">
        <v>651</v>
      </c>
      <c r="G631" s="99" t="s">
        <v>432</v>
      </c>
      <c r="H631" s="99" t="s">
        <v>421</v>
      </c>
      <c r="I631" s="99" t="s">
        <v>421</v>
      </c>
      <c r="J631" s="99" t="s">
        <v>433</v>
      </c>
      <c r="K631" s="99" t="s">
        <v>421</v>
      </c>
      <c r="L631" s="99" t="s">
        <v>421</v>
      </c>
      <c r="M631" s="105" t="str">
        <f t="shared" si="12"/>
        <v>View on Google Map</v>
      </c>
    </row>
    <row r="632" spans="1:13" x14ac:dyDescent="0.2">
      <c r="A632" s="99">
        <v>462</v>
      </c>
      <c r="B632" s="99" t="s">
        <v>1664</v>
      </c>
      <c r="C632" s="99" t="s">
        <v>421</v>
      </c>
      <c r="D632" s="99">
        <v>68.867549999999994</v>
      </c>
      <c r="E632" s="99">
        <v>-149.03557000000001</v>
      </c>
      <c r="F632" s="99">
        <v>638</v>
      </c>
      <c r="G632" s="99" t="s">
        <v>432</v>
      </c>
      <c r="H632" s="99" t="s">
        <v>421</v>
      </c>
      <c r="I632" s="99" t="s">
        <v>421</v>
      </c>
      <c r="J632" s="99" t="s">
        <v>433</v>
      </c>
      <c r="K632" s="99" t="s">
        <v>421</v>
      </c>
      <c r="L632" s="99" t="s">
        <v>421</v>
      </c>
      <c r="M632" s="105" t="str">
        <f t="shared" si="12"/>
        <v>View on Google Map</v>
      </c>
    </row>
    <row r="633" spans="1:13" x14ac:dyDescent="0.2">
      <c r="A633" s="106">
        <v>463</v>
      </c>
      <c r="B633" s="106" t="s">
        <v>1665</v>
      </c>
      <c r="C633" s="106" t="s">
        <v>421</v>
      </c>
      <c r="D633" s="106">
        <v>68.873149999999995</v>
      </c>
      <c r="E633" s="106">
        <v>-149.04128</v>
      </c>
      <c r="F633" s="106">
        <v>637</v>
      </c>
      <c r="G633" s="106" t="s">
        <v>432</v>
      </c>
      <c r="H633" s="106" t="s">
        <v>421</v>
      </c>
      <c r="I633" s="106" t="s">
        <v>421</v>
      </c>
      <c r="J633" s="106" t="s">
        <v>433</v>
      </c>
      <c r="K633" s="106" t="s">
        <v>421</v>
      </c>
      <c r="L633" s="106" t="s">
        <v>421</v>
      </c>
      <c r="M633" s="105" t="str">
        <f t="shared" si="12"/>
        <v>View on Google Map</v>
      </c>
    </row>
    <row r="634" spans="1:13" x14ac:dyDescent="0.2">
      <c r="A634" s="99">
        <v>129</v>
      </c>
      <c r="B634" s="99" t="s">
        <v>1666</v>
      </c>
      <c r="C634" s="99" t="s">
        <v>1507</v>
      </c>
      <c r="D634" s="99">
        <v>69.966666666666669</v>
      </c>
      <c r="E634" s="99">
        <v>-148.73333333333301</v>
      </c>
      <c r="F634" s="99">
        <v>57</v>
      </c>
      <c r="G634" s="99" t="s">
        <v>432</v>
      </c>
      <c r="H634" s="99" t="s">
        <v>1667</v>
      </c>
      <c r="I634" s="99" t="s">
        <v>421</v>
      </c>
      <c r="J634" s="99" t="s">
        <v>447</v>
      </c>
      <c r="K634" s="99" t="s">
        <v>421</v>
      </c>
      <c r="L634" s="99" t="s">
        <v>448</v>
      </c>
      <c r="M634" s="105" t="str">
        <f t="shared" si="12"/>
        <v>View on Google Map</v>
      </c>
    </row>
    <row r="635" spans="1:13" x14ac:dyDescent="0.2">
      <c r="A635" s="99">
        <v>17</v>
      </c>
      <c r="B635" s="99" t="s">
        <v>1668</v>
      </c>
      <c r="C635" s="99" t="s">
        <v>1669</v>
      </c>
      <c r="D635" s="99" t="s">
        <v>421</v>
      </c>
      <c r="E635" s="99" t="s">
        <v>421</v>
      </c>
      <c r="F635" s="99" t="s">
        <v>421</v>
      </c>
      <c r="G635" s="99" t="s">
        <v>446</v>
      </c>
      <c r="H635" s="99" t="s">
        <v>421</v>
      </c>
      <c r="I635" s="99" t="s">
        <v>421</v>
      </c>
      <c r="J635" s="99" t="s">
        <v>447</v>
      </c>
      <c r="K635" s="99" t="s">
        <v>421</v>
      </c>
      <c r="L635" s="99" t="s">
        <v>421</v>
      </c>
      <c r="M635" s="105" t="str">
        <f t="shared" si="12"/>
        <v>View on Google Map</v>
      </c>
    </row>
    <row r="636" spans="1:13" x14ac:dyDescent="0.2">
      <c r="A636" s="99">
        <v>530</v>
      </c>
      <c r="B636" s="99" t="s">
        <v>1670</v>
      </c>
      <c r="C636" s="99" t="s">
        <v>827</v>
      </c>
      <c r="D636" s="99">
        <v>68.674332000000007</v>
      </c>
      <c r="E636" s="99">
        <v>-149.61694399999999</v>
      </c>
      <c r="F636" s="99">
        <v>701</v>
      </c>
      <c r="G636" s="99" t="s">
        <v>432</v>
      </c>
      <c r="H636" s="99" t="s">
        <v>421</v>
      </c>
      <c r="I636" s="99" t="s">
        <v>421</v>
      </c>
      <c r="J636" s="99" t="s">
        <v>433</v>
      </c>
      <c r="K636" s="99" t="s">
        <v>421</v>
      </c>
      <c r="L636" s="99" t="s">
        <v>828</v>
      </c>
      <c r="M636" s="105" t="str">
        <f t="shared" si="12"/>
        <v>View on Google Map</v>
      </c>
    </row>
    <row r="637" spans="1:13" x14ac:dyDescent="0.2">
      <c r="A637" s="99">
        <v>496</v>
      </c>
      <c r="B637" s="99" t="s">
        <v>1671</v>
      </c>
      <c r="C637" s="99" t="s">
        <v>421</v>
      </c>
      <c r="D637" s="99">
        <v>68.674149999999997</v>
      </c>
      <c r="E637" s="99">
        <v>-149.61810299999999</v>
      </c>
      <c r="F637" s="99">
        <v>701</v>
      </c>
      <c r="G637" s="99" t="s">
        <v>446</v>
      </c>
      <c r="H637" s="99" t="s">
        <v>1672</v>
      </c>
      <c r="I637" s="99" t="s">
        <v>421</v>
      </c>
      <c r="J637" s="99" t="s">
        <v>1349</v>
      </c>
      <c r="K637" s="99" t="s">
        <v>421</v>
      </c>
      <c r="L637" s="99" t="s">
        <v>828</v>
      </c>
      <c r="M637" s="105"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Data</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C. Mack</dc:creator>
  <cp:lastModifiedBy>jiml</cp:lastModifiedBy>
  <dcterms:created xsi:type="dcterms:W3CDTF">2010-05-28T19:59:32Z</dcterms:created>
  <dcterms:modified xsi:type="dcterms:W3CDTF">2013-05-29T10:28:48Z</dcterms:modified>
</cp:coreProperties>
</file>