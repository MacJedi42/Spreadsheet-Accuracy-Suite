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40" yWindow="135" windowWidth="15315" windowHeight="21255"/>
  </bookViews>
  <sheets>
    <sheet name="Instructions" sheetId="1" r:id="rId1"/>
    <sheet name="Presumptive Eligibility" sheetId="2" r:id="rId2"/>
    <sheet name="Calculations" sheetId="3" state="hidden" r:id="rId3"/>
  </sheets>
  <calcPr calcId="145621"/>
</workbook>
</file>

<file path=xl/calcChain.xml><?xml version="1.0" encoding="utf-8"?>
<calcChain xmlns="http://schemas.openxmlformats.org/spreadsheetml/2006/main">
  <c r="E35" i="2" l="1"/>
  <c r="A22" i="3" l="1"/>
  <c r="A25" i="3"/>
  <c r="A26" i="3"/>
  <c r="A27" i="3"/>
  <c r="A28" i="3"/>
  <c r="A29" i="3"/>
  <c r="A30" i="3"/>
  <c r="A31" i="3"/>
  <c r="A32" i="3"/>
  <c r="A33" i="3"/>
  <c r="A34" i="3"/>
  <c r="A35" i="3"/>
  <c r="A36" i="3"/>
  <c r="A37" i="3"/>
  <c r="A38" i="3"/>
  <c r="A24" i="3"/>
  <c r="I35" i="2" l="1"/>
  <c r="A64" i="3"/>
  <c r="A65" i="3"/>
  <c r="A66" i="3"/>
  <c r="A67" i="3"/>
  <c r="A68" i="3"/>
  <c r="A69" i="3"/>
  <c r="A70" i="3"/>
  <c r="A71" i="3"/>
  <c r="A72" i="3"/>
  <c r="A73" i="3"/>
  <c r="A74" i="3"/>
  <c r="A75" i="3"/>
  <c r="A76" i="3"/>
  <c r="A77" i="3"/>
  <c r="A63" i="3"/>
  <c r="B14" i="2" l="1"/>
  <c r="B38" i="2" s="1"/>
</calcChain>
</file>

<file path=xl/sharedStrings.xml><?xml version="1.0" encoding="utf-8"?>
<sst xmlns="http://schemas.openxmlformats.org/spreadsheetml/2006/main" count="88" uniqueCount="77">
  <si>
    <t>DO NOT DOWNLOAD THIS FORM!</t>
  </si>
  <si>
    <t>Presumptive Medicaid Trial Eligibility Tool Instructions</t>
  </si>
  <si>
    <t xml:space="preserve">The following information is the instructions for completing the Presumptive Medicaid Trial Eligibility Tool. </t>
  </si>
  <si>
    <t>Questions section:</t>
  </si>
  <si>
    <t>Household Members and Income List:</t>
  </si>
  <si>
    <t xml:space="preserve">DO NOT DOWNLOAD THIS FORM! </t>
  </si>
  <si>
    <t>Presumptive Medicaid Trial Eligibility Tool</t>
  </si>
  <si>
    <t>Do they have a related child, under the age 18, living with them?</t>
  </si>
  <si>
    <t>No</t>
  </si>
  <si>
    <t>Are they pregnant?</t>
  </si>
  <si>
    <t>Are they under 19 years old?</t>
  </si>
  <si>
    <t>Yes</t>
  </si>
  <si>
    <t>Please tell us about each household member and their income.</t>
  </si>
  <si>
    <t>Name</t>
  </si>
  <si>
    <t>Household Members Income</t>
  </si>
  <si>
    <t>Frequency</t>
  </si>
  <si>
    <t>Total Household Members:</t>
  </si>
  <si>
    <t>Total Monthly Income:</t>
  </si>
  <si>
    <t>Results:</t>
  </si>
  <si>
    <t>Household   Size</t>
  </si>
  <si>
    <t>Maximum Adult Income Limit</t>
  </si>
  <si>
    <t>Pregnant Woman Income Limit</t>
  </si>
  <si>
    <t>Maximum Child Income Limit</t>
  </si>
  <si>
    <t>Click on the Instructions Tab to return to the Instructions page.</t>
  </si>
  <si>
    <t xml:space="preserve"> </t>
  </si>
  <si>
    <t>This person may be eligible for Medicaid.</t>
  </si>
  <si>
    <t>This person would not be eligible for Medicaid</t>
  </si>
  <si>
    <t>This person does not qualify for presumptive eligibility.</t>
  </si>
  <si>
    <t>Please complete the highlighted question.</t>
  </si>
  <si>
    <t>None</t>
  </si>
  <si>
    <t>*0</t>
  </si>
  <si>
    <t>Annually</t>
  </si>
  <si>
    <t>/12</t>
  </si>
  <si>
    <t>Bi-Weekly</t>
  </si>
  <si>
    <t>*2.15</t>
  </si>
  <si>
    <t>Monthly</t>
  </si>
  <si>
    <t>Quarterly</t>
  </si>
  <si>
    <t>/3</t>
  </si>
  <si>
    <t>Semi-Annually</t>
  </si>
  <si>
    <t>/6</t>
  </si>
  <si>
    <t>Semi-Monthly</t>
  </si>
  <si>
    <t>*2</t>
  </si>
  <si>
    <t>Weekly</t>
  </si>
  <si>
    <t>*4.3</t>
  </si>
  <si>
    <t/>
  </si>
  <si>
    <t>Title XIX Rules</t>
  </si>
  <si>
    <t>88 Basic</t>
  </si>
  <si>
    <t>67 Pregnancy</t>
  </si>
  <si>
    <t xml:space="preserve"> 60 Basic </t>
  </si>
  <si>
    <t>86 Basic</t>
  </si>
  <si>
    <t>80 Basic</t>
  </si>
  <si>
    <t>82 Basic</t>
  </si>
  <si>
    <t>Need DRA</t>
  </si>
  <si>
    <t>89 Enhanced</t>
  </si>
  <si>
    <t xml:space="preserve"> 63 Enhanced </t>
  </si>
  <si>
    <t>87 Enhanced</t>
  </si>
  <si>
    <t>81 Enhanced</t>
  </si>
  <si>
    <t>83 Enhanced</t>
  </si>
  <si>
    <t xml:space="preserve"> Age 6-19 </t>
  </si>
  <si>
    <t>76 Access</t>
  </si>
  <si>
    <t>71 Access</t>
  </si>
  <si>
    <t xml:space="preserve"> Title XXI Rules </t>
  </si>
  <si>
    <t>Title XXI Rules</t>
  </si>
  <si>
    <t xml:space="preserve"> 958 – 1273 </t>
  </si>
  <si>
    <t xml:space="preserve"> 1293 - 1719 </t>
  </si>
  <si>
    <t xml:space="preserve"> 1628 - 2165 </t>
  </si>
  <si>
    <t xml:space="preserve"> 1963 - 2610 </t>
  </si>
  <si>
    <t xml:space="preserve"> 2298 - 3056 </t>
  </si>
  <si>
    <t xml:space="preserve"> 2633 - 3501 </t>
  </si>
  <si>
    <t xml:space="preserve"> 2968 - 3947 </t>
  </si>
  <si>
    <t xml:space="preserve"> 3303 - 4392 </t>
  </si>
  <si>
    <t>Additional Individual</t>
  </si>
  <si>
    <t xml:space="preserve">Answer each question that displays as it pertains to the patient. </t>
  </si>
  <si>
    <t>List all household members that are related to the patient as long as they are the parent, the spouse, a related child under 19, the sibling (if patient and sibling are both under 19) or anyone that will be included in the same tax filing household as the patient. List the income received by those members excluding Child Support, Workman's Compensation, Student Financial Aid and Veterans income paid by a Veterans agency.
If anyone listed is pregnant, add the unborn(s) to the list of members, enter $0.00 as the amount of income and "None" for the frequency.
If a household member has no income, enter $0.00 as the income amount and "None" for the frequency.
Use the "Multiple Income Calculator Job Aid" to  calculate monthly income when a member has income from multiple sources paid at different frequencies.  Use the "Total Monthly Income" amount to complete the Household Member and Income List for the member.  If more than one member has multiple income sources paid at different frequencies, clear the contents and complete the "Multiple Income Calculator Job Aid" for each member this applies to. 
Once all household members and their income are listed, the tool will indicate if the patient may be eligible for Medicaid.
Click on the Presumptive Eligibility Tab to complete the Presumptive Medicaid Trail Eligibility Tool.</t>
  </si>
  <si>
    <r>
      <t xml:space="preserve">Question Section:
</t>
    </r>
    <r>
      <rPr>
        <sz val="10"/>
        <rFont val="Arial"/>
        <family val="2"/>
      </rPr>
      <t>Please answer the following questions as they pertain to the patient.</t>
    </r>
  </si>
  <si>
    <r>
      <t xml:space="preserve">Household Members and Income List:
</t>
    </r>
    <r>
      <rPr>
        <sz val="10"/>
        <rFont val="Arial"/>
        <family val="2"/>
      </rPr>
      <t>Please tell us about the members in the patients household and their income.</t>
    </r>
    <r>
      <rPr>
        <b/>
        <sz val="12"/>
        <rFont val="Arial"/>
        <family val="2"/>
      </rPr>
      <t xml:space="preserve">  </t>
    </r>
  </si>
  <si>
    <r>
      <t>If the patient is under 26 and received Idaho Medicaid thru the foster care program on their 18</t>
    </r>
    <r>
      <rPr>
        <vertAlign val="superscript"/>
        <sz val="10"/>
        <color theme="1"/>
        <rFont val="Arial"/>
        <family val="2"/>
      </rPr>
      <t>th</t>
    </r>
    <r>
      <rPr>
        <sz val="10"/>
        <color theme="1"/>
        <rFont val="Arial"/>
        <family val="2"/>
      </rPr>
      <t xml:space="preserve"> birthday, they are eligible for Presumptive Eligibility.  They do not have an income test, automatically send these customers for Presumptive Eligibility.</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</si>
</sst>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7" formatCode="&quot;$&quot;#,##0.00_);\(&quot;$&quot;#,##0.00\)"/>
    <numFmt numFmtId="44" formatCode="_(&quot;$&quot;* #,##0.00_);_(&quot;$&quot;* \(#,##0.00\);_(&quot;$&quot;* &quot;-&quot;??_);_(@_)"/>
  </numFmts>
  <fonts count="13" x14ac:knownFonts="1">
    <font>
      <sz val="11"/>
      <color theme="1"/>
      <name val="Calibri"/>
      <family val="2"/>
      <scheme val="minor"/>
    </font>
    <font>
      <sz val="11"/>
      <color theme="1"/>
      <name val="Calibri"/>
      <family val="2"/>
      <scheme val="minor"/>
    </font>
    <font>
      <sz val="10"/>
      <color theme="1"/>
      <name val="Arial"/>
      <family val="2"/>
    </font>
    <font>
      <sz val="24"/>
      <color theme="4" tint="-0.249977111117893"/>
      <name val="Arial"/>
      <family val="2"/>
    </font>
    <font>
      <sz val="11"/>
      <name val="Arial"/>
      <family val="2"/>
    </font>
    <font>
      <b/>
      <sz val="11"/>
      <color theme="4" tint="-0.249977111117893"/>
      <name val="Arial"/>
      <family val="2"/>
    </font>
    <font>
      <sz val="10"/>
      <name val="Arial"/>
      <family val="2"/>
    </font>
    <font>
      <b/>
      <sz val="12"/>
      <name val="Arial"/>
      <family val="2"/>
    </font>
    <font>
      <sz val="24"/>
      <color theme="1"/>
      <name val="Arial"/>
      <family val="2"/>
    </font>
    <font>
      <b/>
      <sz val="20"/>
      <color rgb="FFFF0000"/>
      <name val="Arial"/>
      <family val="2"/>
    </font>
    <font>
      <sz val="20"/>
      <color theme="4" tint="-0.249977111117893"/>
      <name val="Arial"/>
      <family val="2"/>
    </font>
    <font>
      <b/>
      <sz val="12"/>
      <color theme="1"/>
      <name val="Arial"/>
      <family val="2"/>
    </font>
    <font>
      <vertAlign val="superscript"/>
      <sz val="10"/>
      <color theme="1"/>
      <name val="Arial"/>
      <family val="2"/>
    </font>
  </fonts>
  <fills count="3">
    <fill>
      <patternFill patternType="none"/>
    </fill>
    <fill>
      <patternFill patternType="gray125"/>
    </fill>
    <fill>
      <patternFill patternType="solid">
        <fgColor theme="0"/>
        <bgColor indexed="64"/>
      </patternFill>
    </fill>
  </fills>
  <borders count="31">
    <border>
      <left/>
      <right/>
      <top/>
      <bottom/>
      <diagonal/>
    </border>
    <border>
      <left style="double">
        <color indexed="64"/>
      </left>
      <right/>
      <top style="medium">
        <color indexed="64"/>
      </top>
      <bottom style="double">
        <color indexed="64"/>
      </bottom>
      <diagonal/>
    </border>
    <border>
      <left/>
      <right/>
      <top style="medium">
        <color indexed="64"/>
      </top>
      <bottom style="double">
        <color indexed="64"/>
      </bottom>
      <diagonal/>
    </border>
    <border>
      <left/>
      <right style="double">
        <color indexed="64"/>
      </right>
      <top style="medium">
        <color indexed="64"/>
      </top>
      <bottom style="double">
        <color indexed="64"/>
      </bottom>
      <diagonal/>
    </border>
    <border>
      <left style="thin">
        <color indexed="64"/>
      </left>
      <right style="double">
        <color indexed="64"/>
      </right>
      <top style="double">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double">
        <color indexed="64"/>
      </top>
      <bottom/>
      <diagonal/>
    </border>
    <border>
      <left style="thin">
        <color indexed="64"/>
      </left>
      <right style="thin">
        <color indexed="64"/>
      </right>
      <top/>
      <bottom style="medium">
        <color indexed="64"/>
      </bottom>
      <diagonal/>
    </border>
    <border>
      <left style="double">
        <color indexed="64"/>
      </left>
      <right style="thin">
        <color indexed="64"/>
      </right>
      <top style="thin">
        <color indexed="64"/>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medium">
        <color indexed="64"/>
      </bottom>
      <diagonal/>
    </border>
    <border>
      <left/>
      <right/>
      <top style="double">
        <color indexed="64"/>
      </top>
      <bottom/>
      <diagonal/>
    </border>
    <border>
      <left style="double">
        <color indexed="64"/>
      </left>
      <right/>
      <top style="double">
        <color indexed="64"/>
      </top>
      <bottom/>
      <diagonal/>
    </border>
    <border>
      <left style="double">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right style="thin">
        <color indexed="64"/>
      </right>
      <top style="double">
        <color indexed="64"/>
      </top>
      <bottom/>
      <diagonal/>
    </border>
    <border>
      <left/>
      <right style="thin">
        <color indexed="64"/>
      </right>
      <top/>
      <bottom style="medium">
        <color indexed="64"/>
      </bottom>
      <diagonal/>
    </border>
    <border>
      <left style="double">
        <color indexed="64"/>
      </left>
      <right style="thin">
        <color indexed="64"/>
      </right>
      <top style="medium">
        <color indexed="64"/>
      </top>
      <bottom/>
      <diagonal/>
    </border>
  </borders>
  <cellStyleXfs count="2">
    <xf numFmtId="0" fontId="0" fillId="0" borderId="0"/>
    <xf numFmtId="44" fontId="1" fillId="0" borderId="0" applyFont="0" applyFill="0" applyBorder="0" applyAlignment="0" applyProtection="0"/>
  </cellStyleXfs>
  <cellXfs count="66">
    <xf numFmtId="0" fontId="0" fillId="0" borderId="0" xfId="0"/>
    <xf numFmtId="0" fontId="0" fillId="2" borderId="0" xfId="0" applyFill="1" applyAlignment="1" applyProtection="1">
      <alignment horizontal="left" wrapText="1"/>
    </xf>
    <xf numFmtId="0" fontId="5" fillId="2" borderId="1" xfId="0" applyFont="1" applyFill="1" applyBorder="1" applyAlignment="1" applyProtection="1"/>
    <xf numFmtId="0" fontId="5" fillId="2" borderId="2" xfId="0" applyFont="1" applyFill="1" applyBorder="1" applyAlignment="1" applyProtection="1"/>
    <xf numFmtId="0" fontId="4" fillId="2" borderId="2" xfId="0" applyFont="1" applyFill="1" applyBorder="1" applyAlignment="1" applyProtection="1">
      <alignment horizontal="center"/>
    </xf>
    <xf numFmtId="0" fontId="0" fillId="2" borderId="18" xfId="0" applyFill="1" applyBorder="1" applyAlignment="1" applyProtection="1">
      <alignment horizontal="center" wrapText="1"/>
    </xf>
    <xf numFmtId="0" fontId="0" fillId="2" borderId="5" xfId="0" applyFill="1" applyBorder="1" applyAlignment="1" applyProtection="1">
      <alignment horizontal="center" wrapText="1"/>
    </xf>
    <xf numFmtId="0" fontId="0" fillId="2" borderId="19" xfId="0" applyFill="1" applyBorder="1" applyAlignment="1" applyProtection="1">
      <alignment horizontal="center" wrapText="1"/>
    </xf>
    <xf numFmtId="0" fontId="0" fillId="2" borderId="20" xfId="0" applyFill="1" applyBorder="1" applyAlignment="1" applyProtection="1">
      <alignment horizontal="center"/>
    </xf>
    <xf numFmtId="7" fontId="0" fillId="2" borderId="6" xfId="1" applyNumberFormat="1" applyFont="1" applyFill="1" applyBorder="1" applyAlignment="1" applyProtection="1">
      <alignment horizontal="center"/>
    </xf>
    <xf numFmtId="7" fontId="0" fillId="2" borderId="21" xfId="1" applyNumberFormat="1" applyFont="1" applyFill="1" applyBorder="1" applyAlignment="1" applyProtection="1">
      <alignment horizontal="center"/>
    </xf>
    <xf numFmtId="0" fontId="0" fillId="2" borderId="22" xfId="0" applyFill="1" applyBorder="1" applyAlignment="1" applyProtection="1">
      <alignment horizontal="center"/>
    </xf>
    <xf numFmtId="7" fontId="0" fillId="2" borderId="7" xfId="1" applyNumberFormat="1" applyFont="1" applyFill="1" applyBorder="1" applyAlignment="1" applyProtection="1">
      <alignment horizontal="center"/>
    </xf>
    <xf numFmtId="7" fontId="0" fillId="2" borderId="23" xfId="1" applyNumberFormat="1" applyFont="1" applyFill="1" applyBorder="1" applyAlignment="1" applyProtection="1">
      <alignment horizontal="center"/>
    </xf>
    <xf numFmtId="0" fontId="0" fillId="2" borderId="0" xfId="0" applyFill="1" applyProtection="1"/>
    <xf numFmtId="0" fontId="2" fillId="2" borderId="0" xfId="0" applyFont="1" applyFill="1" applyAlignment="1" applyProtection="1">
      <alignment vertical="center"/>
      <protection locked="0"/>
    </xf>
    <xf numFmtId="0" fontId="2" fillId="2" borderId="0" xfId="0" applyFont="1" applyFill="1" applyAlignment="1" applyProtection="1">
      <alignment horizontal="left" vertical="center"/>
    </xf>
    <xf numFmtId="0" fontId="2" fillId="2" borderId="0" xfId="0" applyFont="1" applyFill="1" applyAlignment="1" applyProtection="1">
      <alignment vertical="center"/>
    </xf>
    <xf numFmtId="0" fontId="0" fillId="2" borderId="2" xfId="0" applyFill="1" applyBorder="1" applyProtection="1"/>
    <xf numFmtId="0" fontId="11" fillId="2" borderId="0" xfId="0" applyFont="1" applyFill="1" applyProtection="1"/>
    <xf numFmtId="0" fontId="0" fillId="0" borderId="0" xfId="0"/>
    <xf numFmtId="0" fontId="6" fillId="2" borderId="0" xfId="0" applyFont="1" applyFill="1" applyAlignment="1"/>
    <xf numFmtId="0" fontId="2" fillId="2" borderId="0" xfId="0" applyFont="1" applyFill="1" applyAlignment="1" applyProtection="1">
      <alignment horizontal="left" vertical="center" wrapText="1"/>
    </xf>
    <xf numFmtId="0" fontId="0" fillId="2" borderId="0" xfId="0" applyFill="1"/>
    <xf numFmtId="0" fontId="9" fillId="2" borderId="0" xfId="0" applyFont="1" applyFill="1" applyAlignment="1" applyProtection="1">
      <alignment horizontal="center" vertical="center" wrapText="1"/>
    </xf>
    <xf numFmtId="0" fontId="10" fillId="2" borderId="0" xfId="0" applyFont="1" applyFill="1" applyAlignment="1" applyProtection="1">
      <alignment horizontal="center" vertical="center" wrapText="1"/>
    </xf>
    <xf numFmtId="0" fontId="3" fillId="2" borderId="0" xfId="0" applyFont="1" applyFill="1" applyAlignment="1" applyProtection="1">
      <alignment horizontal="center" vertical="center" wrapText="1"/>
    </xf>
    <xf numFmtId="0" fontId="8" fillId="2" borderId="0" xfId="0" applyFont="1" applyFill="1" applyAlignment="1" applyProtection="1">
      <alignment horizontal="center" vertical="center" wrapText="1"/>
    </xf>
    <xf numFmtId="0" fontId="7" fillId="2" borderId="0" xfId="0" applyFont="1" applyFill="1" applyAlignment="1" applyProtection="1">
      <alignment horizontal="left" wrapText="1"/>
    </xf>
    <xf numFmtId="0" fontId="2" fillId="2" borderId="0" xfId="0" applyFont="1" applyFill="1" applyBorder="1" applyAlignment="1" applyProtection="1">
      <alignment horizontal="left" vertical="center" wrapText="1"/>
    </xf>
    <xf numFmtId="0" fontId="2" fillId="2" borderId="0" xfId="0" applyFont="1" applyFill="1" applyAlignment="1" applyProtection="1">
      <alignment horizontal="left" vertical="center" wrapText="1"/>
    </xf>
    <xf numFmtId="0" fontId="11" fillId="2" borderId="0" xfId="0" applyFont="1" applyFill="1" applyAlignment="1" applyProtection="1">
      <alignment horizontal="left" wrapText="1"/>
    </xf>
    <xf numFmtId="44" fontId="4" fillId="2" borderId="6" xfId="1"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10" xfId="0" applyFont="1" applyFill="1" applyBorder="1" applyAlignment="1" applyProtection="1">
      <alignment horizontal="left" vertical="center"/>
      <protection locked="0"/>
    </xf>
    <xf numFmtId="0" fontId="4" fillId="2" borderId="6" xfId="0" applyFont="1" applyFill="1" applyBorder="1" applyAlignment="1" applyProtection="1">
      <alignment horizontal="left" vertical="center"/>
      <protection locked="0"/>
    </xf>
    <xf numFmtId="0" fontId="5" fillId="2" borderId="2" xfId="0" applyFont="1" applyFill="1" applyBorder="1" applyAlignment="1" applyProtection="1">
      <alignment horizontal="right"/>
    </xf>
    <xf numFmtId="0" fontId="11" fillId="2" borderId="11" xfId="0" applyFont="1" applyFill="1" applyBorder="1" applyAlignment="1" applyProtection="1">
      <alignment horizontal="center" vertical="center" wrapText="1"/>
    </xf>
    <xf numFmtId="0" fontId="11" fillId="2" borderId="12" xfId="0" applyFont="1" applyFill="1" applyBorder="1" applyAlignment="1" applyProtection="1">
      <alignment horizontal="center" vertical="center" wrapText="1"/>
    </xf>
    <xf numFmtId="0" fontId="11" fillId="2" borderId="13" xfId="0" applyFont="1" applyFill="1" applyBorder="1" applyAlignment="1" applyProtection="1">
      <alignment horizontal="center" vertical="center" wrapText="1"/>
    </xf>
    <xf numFmtId="44" fontId="4" fillId="2" borderId="7" xfId="1" applyFont="1" applyFill="1" applyBorder="1" applyAlignment="1" applyProtection="1">
      <alignment horizontal="left" vertical="center"/>
      <protection locked="0"/>
    </xf>
    <xf numFmtId="44" fontId="4" fillId="2" borderId="2" xfId="1" applyFont="1" applyFill="1" applyBorder="1" applyAlignment="1" applyProtection="1">
      <alignment horizontal="center"/>
    </xf>
    <xf numFmtId="44" fontId="4" fillId="2" borderId="3" xfId="1" applyFont="1" applyFill="1" applyBorder="1" applyAlignment="1" applyProtection="1">
      <alignment horizontal="center"/>
    </xf>
    <xf numFmtId="44" fontId="4" fillId="2" borderId="25" xfId="1" applyFont="1" applyFill="1" applyBorder="1" applyAlignment="1" applyProtection="1">
      <alignment horizontal="left" vertical="center"/>
      <protection locked="0"/>
    </xf>
    <xf numFmtId="44" fontId="4" fillId="2" borderId="24" xfId="1" applyFont="1" applyFill="1" applyBorder="1" applyAlignment="1" applyProtection="1">
      <alignment horizontal="left" vertical="center"/>
      <protection locked="0"/>
    </xf>
    <xf numFmtId="0" fontId="7" fillId="2" borderId="0" xfId="0" applyFont="1" applyFill="1" applyAlignment="1" applyProtection="1">
      <alignment horizontal="left" vertical="center" wrapText="1"/>
    </xf>
    <xf numFmtId="0" fontId="7" fillId="2" borderId="0" xfId="0" applyFont="1" applyFill="1" applyAlignment="1" applyProtection="1">
      <alignment horizontal="left" vertical="center"/>
    </xf>
    <xf numFmtId="0" fontId="3" fillId="2" borderId="0" xfId="0" applyFont="1" applyFill="1" applyAlignment="1" applyProtection="1">
      <alignment horizontal="left" vertical="center"/>
    </xf>
    <xf numFmtId="0" fontId="5" fillId="2" borderId="8" xfId="0" applyFont="1" applyFill="1" applyBorder="1" applyAlignment="1" applyProtection="1">
      <alignment horizontal="center" wrapText="1"/>
    </xf>
    <xf numFmtId="0" fontId="5" fillId="2" borderId="9" xfId="0" applyFont="1" applyFill="1" applyBorder="1" applyAlignment="1" applyProtection="1">
      <alignment horizontal="center" wrapText="1"/>
    </xf>
    <xf numFmtId="0" fontId="5" fillId="2" borderId="16" xfId="0" applyFont="1" applyFill="1" applyBorder="1" applyAlignment="1" applyProtection="1">
      <alignment horizontal="center"/>
    </xf>
    <xf numFmtId="0" fontId="5" fillId="2" borderId="15" xfId="0" applyFont="1" applyFill="1" applyBorder="1" applyAlignment="1" applyProtection="1">
      <alignment horizontal="center"/>
    </xf>
    <xf numFmtId="0" fontId="5" fillId="2" borderId="28" xfId="0" applyFont="1" applyFill="1" applyBorder="1" applyAlignment="1" applyProtection="1">
      <alignment horizontal="center"/>
    </xf>
    <xf numFmtId="0" fontId="5" fillId="2" borderId="17" xfId="0" applyFont="1" applyFill="1" applyBorder="1" applyAlignment="1" applyProtection="1">
      <alignment horizontal="center"/>
    </xf>
    <xf numFmtId="0" fontId="5" fillId="2" borderId="14" xfId="0" applyFont="1" applyFill="1" applyBorder="1" applyAlignment="1" applyProtection="1">
      <alignment horizontal="center"/>
    </xf>
    <xf numFmtId="0" fontId="5" fillId="2" borderId="29" xfId="0" applyFont="1" applyFill="1" applyBorder="1" applyAlignment="1" applyProtection="1">
      <alignment horizontal="center"/>
    </xf>
    <xf numFmtId="0" fontId="7" fillId="2" borderId="0" xfId="0" applyFont="1" applyFill="1" applyAlignment="1" applyProtection="1">
      <alignment horizontal="left"/>
    </xf>
    <xf numFmtId="0" fontId="6" fillId="2" borderId="0" xfId="0" applyFont="1" applyFill="1" applyAlignment="1" applyProtection="1">
      <alignment horizontal="left" vertical="center"/>
    </xf>
    <xf numFmtId="0" fontId="2" fillId="2" borderId="0" xfId="0" applyFont="1" applyFill="1" applyAlignment="1" applyProtection="1">
      <alignment horizontal="left" vertical="center"/>
    </xf>
    <xf numFmtId="0" fontId="5" fillId="2" borderId="8"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2" borderId="26" xfId="0" applyFont="1" applyFill="1" applyBorder="1" applyAlignment="1" applyProtection="1">
      <alignment horizontal="center" vertical="center"/>
    </xf>
    <xf numFmtId="0" fontId="5" fillId="2" borderId="27" xfId="0" applyFont="1" applyFill="1" applyBorder="1" applyAlignment="1" applyProtection="1">
      <alignment horizontal="center" vertical="center"/>
    </xf>
    <xf numFmtId="0" fontId="2" fillId="0" borderId="0" xfId="0" applyFont="1" applyAlignment="1">
      <alignment horizontal="left" vertical="center" wrapText="1"/>
    </xf>
    <xf numFmtId="0" fontId="4" fillId="2" borderId="30" xfId="0" applyFont="1" applyFill="1" applyBorder="1" applyAlignment="1" applyProtection="1">
      <alignment horizontal="left" vertical="center"/>
      <protection locked="0"/>
    </xf>
    <xf numFmtId="0" fontId="4" fillId="2" borderId="24" xfId="0" applyFont="1" applyFill="1" applyBorder="1" applyAlignment="1" applyProtection="1">
      <alignment horizontal="left" vertical="center"/>
      <protection locked="0"/>
    </xf>
  </cellXfs>
  <cellStyles count="2">
    <cellStyle name="Currency" xfId="1" builtinId="4"/>
    <cellStyle name="Normal" xfId="0" builtinId="0"/>
  </cellStyles>
  <dxfs count="42">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0"/>
        </patternFill>
      </fill>
    </dxf>
    <dxf>
      <fill>
        <patternFill>
          <bgColor theme="3" tint="0.59996337778862885"/>
        </patternFill>
      </fill>
    </dxf>
    <dxf>
      <fill>
        <patternFill>
          <bgColor theme="3" tint="0.59996337778862885"/>
        </patternFill>
      </fill>
    </dxf>
    <dxf>
      <fill>
        <patternFill>
          <bgColor theme="0"/>
        </patternFill>
      </fill>
    </dxf>
    <dxf>
      <fill>
        <patternFill>
          <bgColor theme="3" tint="0.59996337778862885"/>
        </patternFill>
      </fill>
    </dxf>
    <dxf>
      <fill>
        <patternFill>
          <bgColor theme="3" tint="0.59996337778862885"/>
        </patternFill>
      </fill>
    </dxf>
    <dxf>
      <fill>
        <patternFill>
          <bgColor theme="0"/>
        </patternFill>
      </fill>
    </dxf>
    <dxf>
      <fill>
        <patternFill>
          <bgColor theme="3" tint="0.59996337778862885"/>
        </patternFill>
      </fill>
    </dxf>
    <dxf>
      <fill>
        <patternFill>
          <bgColor theme="3" tint="0.59996337778862885"/>
        </patternFill>
      </fill>
    </dxf>
    <dxf>
      <fill>
        <patternFill>
          <bgColor theme="0"/>
        </patternFill>
      </fill>
    </dxf>
    <dxf>
      <fill>
        <patternFill>
          <bgColor theme="3" tint="0.59996337778862885"/>
        </patternFill>
      </fill>
    </dxf>
    <dxf>
      <fill>
        <patternFill>
          <bgColor theme="3" tint="0.59996337778862885"/>
        </patternFill>
      </fill>
    </dxf>
    <dxf>
      <fill>
        <patternFill>
          <bgColor theme="0"/>
        </patternFill>
      </fill>
    </dxf>
    <dxf>
      <fill>
        <patternFill>
          <bgColor theme="5" tint="0.39994506668294322"/>
        </patternFill>
      </fill>
    </dxf>
    <dxf>
      <fill>
        <patternFill>
          <bgColor theme="3" tint="0.59996337778862885"/>
        </patternFill>
      </fill>
    </dxf>
    <dxf>
      <fill>
        <patternFill>
          <bgColor theme="3" tint="0.59996337778862885"/>
        </patternFill>
      </fill>
    </dxf>
    <dxf>
      <fill>
        <patternFill>
          <bgColor theme="5" tint="0.39994506668294322"/>
        </patternFill>
      </fill>
    </dxf>
    <dxf>
      <fill>
        <patternFill>
          <bgColor theme="5" tint="0.39994506668294322"/>
        </patternFill>
      </fill>
    </dxf>
    <dxf>
      <fill>
        <patternFill>
          <bgColor theme="3" tint="0.59996337778862885"/>
        </patternFill>
      </fill>
    </dxf>
    <dxf>
      <fill>
        <patternFill>
          <bgColor theme="5" tint="0.39994506668294322"/>
        </patternFill>
      </fill>
    </dxf>
    <dxf>
      <fill>
        <patternFill>
          <bgColor theme="3" tint="0.59996337778862885"/>
        </patternFill>
      </fill>
    </dxf>
    <dxf>
      <fill>
        <patternFill>
          <bgColor theme="0"/>
        </patternFill>
      </fill>
    </dxf>
    <dxf>
      <fill>
        <patternFill>
          <bgColor theme="0"/>
        </patternFill>
      </fill>
    </dxf>
    <dxf>
      <fill>
        <patternFill>
          <bgColor theme="3" tint="0.59996337778862885"/>
        </patternFill>
      </fill>
    </dxf>
    <dxf>
      <fill>
        <patternFill>
          <bgColor theme="0"/>
        </patternFill>
      </fill>
    </dxf>
    <dxf>
      <fill>
        <patternFill>
          <bgColor theme="0"/>
        </patternFill>
      </fill>
    </dxf>
    <dxf>
      <fill>
        <patternFill>
          <bgColor theme="3" tint="0.59996337778862885"/>
        </patternFill>
      </fil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0</xdr:row>
      <xdr:rowOff>95250</xdr:rowOff>
    </xdr:from>
    <xdr:to>
      <xdr:col>9</xdr:col>
      <xdr:colOff>590550</xdr:colOff>
      <xdr:row>4</xdr:row>
      <xdr:rowOff>28574</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95250"/>
          <a:ext cx="5400675" cy="695324"/>
        </a:xfrm>
        <a:prstGeom prst="rect">
          <a:avLst/>
        </a:prstGeom>
      </xdr:spPr>
    </xdr:pic>
    <xdr:clientData/>
  </xdr:twoCellAnchor>
  <xdr:twoCellAnchor>
    <xdr:from>
      <xdr:col>8</xdr:col>
      <xdr:colOff>476250</xdr:colOff>
      <xdr:row>13</xdr:row>
      <xdr:rowOff>3762375</xdr:rowOff>
    </xdr:from>
    <xdr:to>
      <xdr:col>10</xdr:col>
      <xdr:colOff>447675</xdr:colOff>
      <xdr:row>14</xdr:row>
      <xdr:rowOff>142875</xdr:rowOff>
    </xdr:to>
    <xdr:sp macro="" textlink="">
      <xdr:nvSpPr>
        <xdr:cNvPr id="3" name="TextBox 2"/>
        <xdr:cNvSpPr txBox="1"/>
      </xdr:nvSpPr>
      <xdr:spPr>
        <a:xfrm>
          <a:off x="5057775" y="7562850"/>
          <a:ext cx="11906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Updated 3/7/2014</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228600</xdr:colOff>
      <xdr:row>0</xdr:row>
      <xdr:rowOff>104775</xdr:rowOff>
    </xdr:from>
    <xdr:to>
      <xdr:col>9</xdr:col>
      <xdr:colOff>0</xdr:colOff>
      <xdr:row>3</xdr:row>
      <xdr:rowOff>228599</xdr:rowOff>
    </xdr:to>
    <xdr:pic>
      <xdr:nvPicPr>
        <xdr:cNvPr id="8" name="Pictur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1025" y="104775"/>
          <a:ext cx="5048250" cy="6953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15"/>
  <sheetViews>
    <sheetView tabSelected="1" workbookViewId="0">
      <selection activeCell="B9" sqref="B9:J9"/>
    </sheetView>
  </sheetViews>
  <sheetFormatPr defaultColWidth="0" defaultRowHeight="15" zeroHeight="1" x14ac:dyDescent="0.25"/>
  <cols>
    <col min="1" max="1" width="4.7109375" customWidth="1"/>
    <col min="2" max="11" width="9.140625" customWidth="1"/>
    <col min="12" max="16384" width="9.140625" hidden="1"/>
  </cols>
  <sheetData>
    <row r="1" spans="1:11" x14ac:dyDescent="0.25">
      <c r="A1" s="23"/>
      <c r="B1" s="23"/>
      <c r="C1" s="23"/>
      <c r="D1" s="23"/>
      <c r="E1" s="23"/>
      <c r="F1" s="23"/>
      <c r="G1" s="23"/>
      <c r="H1" s="23"/>
      <c r="I1" s="23"/>
      <c r="J1" s="23"/>
      <c r="K1" s="23"/>
    </row>
    <row r="2" spans="1:11" x14ac:dyDescent="0.25">
      <c r="A2" s="23"/>
      <c r="B2" s="23"/>
      <c r="C2" s="23"/>
      <c r="D2" s="23"/>
      <c r="E2" s="23"/>
      <c r="F2" s="23"/>
      <c r="G2" s="23"/>
      <c r="H2" s="23"/>
      <c r="I2" s="23"/>
      <c r="J2" s="23"/>
      <c r="K2" s="23"/>
    </row>
    <row r="3" spans="1:11" x14ac:dyDescent="0.25">
      <c r="A3" s="23"/>
      <c r="B3" s="23"/>
      <c r="C3" s="23"/>
      <c r="D3" s="23"/>
      <c r="E3" s="23"/>
      <c r="F3" s="23"/>
      <c r="G3" s="23"/>
      <c r="H3" s="23"/>
      <c r="I3" s="23"/>
      <c r="J3" s="23"/>
      <c r="K3" s="23"/>
    </row>
    <row r="4" spans="1:11" x14ac:dyDescent="0.25">
      <c r="A4" s="23"/>
      <c r="B4" s="23"/>
      <c r="C4" s="23"/>
      <c r="D4" s="23"/>
      <c r="E4" s="23"/>
      <c r="F4" s="23"/>
      <c r="G4" s="23"/>
      <c r="H4" s="23"/>
      <c r="I4" s="23"/>
      <c r="J4" s="23"/>
      <c r="K4" s="23"/>
    </row>
    <row r="5" spans="1:11" x14ac:dyDescent="0.25">
      <c r="A5" s="23"/>
      <c r="B5" s="23"/>
      <c r="C5" s="23"/>
      <c r="D5" s="23"/>
      <c r="E5" s="23"/>
      <c r="F5" s="23"/>
      <c r="G5" s="23"/>
      <c r="H5" s="23"/>
      <c r="I5" s="23"/>
      <c r="J5" s="23"/>
      <c r="K5" s="23"/>
    </row>
    <row r="6" spans="1:11" ht="32.25" customHeight="1" x14ac:dyDescent="0.25">
      <c r="A6" s="23"/>
      <c r="B6" s="24" t="s">
        <v>0</v>
      </c>
      <c r="C6" s="25"/>
      <c r="D6" s="25"/>
      <c r="E6" s="25"/>
      <c r="F6" s="25"/>
      <c r="G6" s="25"/>
      <c r="H6" s="25"/>
      <c r="I6" s="25"/>
      <c r="J6" s="25"/>
      <c r="K6" s="23"/>
    </row>
    <row r="7" spans="1:11" ht="65.25" customHeight="1" x14ac:dyDescent="0.25">
      <c r="A7" s="23"/>
      <c r="B7" s="26" t="s">
        <v>1</v>
      </c>
      <c r="C7" s="27"/>
      <c r="D7" s="27"/>
      <c r="E7" s="27"/>
      <c r="F7" s="27"/>
      <c r="G7" s="27"/>
      <c r="H7" s="27"/>
      <c r="I7" s="27"/>
      <c r="J7" s="27"/>
      <c r="K7" s="23"/>
    </row>
    <row r="8" spans="1:11" x14ac:dyDescent="0.25">
      <c r="A8" s="23"/>
      <c r="B8" s="23"/>
      <c r="C8" s="23"/>
      <c r="D8" s="23"/>
      <c r="E8" s="23"/>
      <c r="F8" s="23"/>
      <c r="G8" s="23"/>
      <c r="H8" s="23"/>
      <c r="I8" s="23"/>
      <c r="J8" s="23"/>
      <c r="K8" s="23"/>
    </row>
    <row r="9" spans="1:11" ht="30.75" customHeight="1" x14ac:dyDescent="0.25">
      <c r="A9" s="14"/>
      <c r="B9" s="30" t="s">
        <v>2</v>
      </c>
      <c r="C9" s="30"/>
      <c r="D9" s="30"/>
      <c r="E9" s="30"/>
      <c r="F9" s="30"/>
      <c r="G9" s="30"/>
      <c r="H9" s="30"/>
      <c r="I9" s="30"/>
      <c r="J9" s="30"/>
      <c r="K9" s="14"/>
    </row>
    <row r="10" spans="1:11" ht="26.25" customHeight="1" x14ac:dyDescent="0.25">
      <c r="A10" s="14"/>
      <c r="B10" s="31" t="s">
        <v>3</v>
      </c>
      <c r="C10" s="31"/>
      <c r="D10" s="31"/>
      <c r="E10" s="1"/>
      <c r="F10" s="1"/>
      <c r="G10" s="1"/>
      <c r="H10" s="1"/>
      <c r="I10" s="1"/>
      <c r="J10" s="1"/>
      <c r="K10" s="14"/>
    </row>
    <row r="11" spans="1:11" ht="24" customHeight="1" x14ac:dyDescent="0.25">
      <c r="A11" s="14"/>
      <c r="B11" s="30" t="s">
        <v>72</v>
      </c>
      <c r="C11" s="30"/>
      <c r="D11" s="30"/>
      <c r="E11" s="30"/>
      <c r="F11" s="30"/>
      <c r="G11" s="30"/>
      <c r="H11" s="30"/>
      <c r="I11" s="30"/>
      <c r="J11" s="30"/>
      <c r="K11" s="14"/>
    </row>
    <row r="12" spans="1:11" x14ac:dyDescent="0.25">
      <c r="A12" s="14"/>
      <c r="B12" s="22"/>
      <c r="C12" s="22"/>
      <c r="D12" s="22"/>
      <c r="E12" s="22"/>
      <c r="F12" s="22"/>
      <c r="G12" s="22"/>
      <c r="H12" s="22"/>
      <c r="I12" s="22"/>
      <c r="J12" s="22"/>
      <c r="K12" s="14"/>
    </row>
    <row r="13" spans="1:11" ht="15.75" x14ac:dyDescent="0.25">
      <c r="A13" s="23"/>
      <c r="B13" s="28" t="s">
        <v>4</v>
      </c>
      <c r="C13" s="28"/>
      <c r="D13" s="28"/>
      <c r="E13" s="28"/>
      <c r="F13" s="28"/>
      <c r="G13" s="28"/>
      <c r="H13" s="28"/>
      <c r="I13" s="28"/>
      <c r="J13" s="28"/>
      <c r="K13" s="23"/>
    </row>
    <row r="14" spans="1:11" ht="301.5" customHeight="1" x14ac:dyDescent="0.25">
      <c r="A14" s="23"/>
      <c r="B14" s="29" t="s">
        <v>73</v>
      </c>
      <c r="C14" s="29"/>
      <c r="D14" s="29"/>
      <c r="E14" s="29"/>
      <c r="F14" s="29"/>
      <c r="G14" s="29"/>
      <c r="H14" s="29"/>
      <c r="I14" s="29"/>
      <c r="J14" s="29"/>
      <c r="K14" s="23"/>
    </row>
    <row r="15" spans="1:11" x14ac:dyDescent="0.25">
      <c r="A15" s="23"/>
      <c r="B15" s="23"/>
      <c r="C15" s="23"/>
      <c r="D15" s="23"/>
      <c r="E15" s="23"/>
      <c r="F15" s="23"/>
      <c r="G15" s="23"/>
      <c r="H15" s="23"/>
      <c r="I15" s="23"/>
      <c r="J15" s="23"/>
      <c r="K15" s="23"/>
    </row>
  </sheetData>
  <sheetProtection password="EB98" sheet="1" objects="1" scenarios="1" selectLockedCells="1"/>
  <mergeCells count="7">
    <mergeCell ref="B6:J6"/>
    <mergeCell ref="B7:J7"/>
    <mergeCell ref="B13:J13"/>
    <mergeCell ref="B14:J14"/>
    <mergeCell ref="B9:J9"/>
    <mergeCell ref="B10:D10"/>
    <mergeCell ref="B11:J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59"/>
  <sheetViews>
    <sheetView topLeftCell="A10" workbookViewId="0">
      <selection activeCell="B21" sqref="B21:E21"/>
    </sheetView>
  </sheetViews>
  <sheetFormatPr defaultColWidth="0" defaultRowHeight="15" zeroHeight="1" x14ac:dyDescent="0.25"/>
  <cols>
    <col min="1" max="1" width="5.28515625" customWidth="1"/>
    <col min="2" max="2" width="10.5703125" customWidth="1"/>
    <col min="3" max="3" width="10.42578125" customWidth="1"/>
    <col min="4" max="4" width="10.140625" customWidth="1"/>
    <col min="5" max="5" width="11.42578125" customWidth="1"/>
    <col min="6" max="11" width="9.140625" customWidth="1"/>
    <col min="12" max="16384" width="9.140625" hidden="1"/>
  </cols>
  <sheetData>
    <row r="1" spans="1:11" x14ac:dyDescent="0.25">
      <c r="A1" s="14"/>
      <c r="B1" s="14"/>
      <c r="C1" s="14"/>
      <c r="D1" s="14"/>
      <c r="E1" s="14"/>
      <c r="F1" s="14"/>
      <c r="G1" s="14"/>
      <c r="H1" s="14"/>
      <c r="I1" s="14"/>
      <c r="J1" s="14"/>
      <c r="K1" s="14"/>
    </row>
    <row r="2" spans="1:11" x14ac:dyDescent="0.25">
      <c r="A2" s="14"/>
      <c r="B2" s="14"/>
      <c r="C2" s="14"/>
      <c r="D2" s="14"/>
      <c r="E2" s="14"/>
      <c r="F2" s="14"/>
      <c r="G2" s="14"/>
      <c r="H2" s="14"/>
      <c r="I2" s="14"/>
      <c r="J2" s="14"/>
      <c r="K2" s="14"/>
    </row>
    <row r="3" spans="1:11" x14ac:dyDescent="0.25">
      <c r="A3" s="14"/>
      <c r="B3" s="14"/>
      <c r="C3" s="14"/>
      <c r="D3" s="14"/>
      <c r="E3" s="14"/>
      <c r="F3" s="14"/>
      <c r="G3" s="14"/>
      <c r="H3" s="14"/>
      <c r="I3" s="14"/>
      <c r="J3" s="14"/>
      <c r="K3" s="14"/>
    </row>
    <row r="4" spans="1:11" ht="28.5" customHeight="1" x14ac:dyDescent="0.25">
      <c r="A4" s="14"/>
      <c r="B4" s="14"/>
      <c r="C4" s="14"/>
      <c r="D4" s="14"/>
      <c r="E4" s="14"/>
      <c r="F4" s="14"/>
      <c r="G4" s="14"/>
      <c r="H4" s="14"/>
      <c r="I4" s="14"/>
      <c r="J4" s="14"/>
      <c r="K4" s="14"/>
    </row>
    <row r="5" spans="1:11" ht="22.5" customHeight="1" x14ac:dyDescent="0.25">
      <c r="A5" s="14"/>
      <c r="B5" s="24" t="s">
        <v>5</v>
      </c>
      <c r="C5" s="25"/>
      <c r="D5" s="25"/>
      <c r="E5" s="25"/>
      <c r="F5" s="25"/>
      <c r="G5" s="25"/>
      <c r="H5" s="25"/>
      <c r="I5" s="25"/>
      <c r="J5" s="25"/>
      <c r="K5" s="14"/>
    </row>
    <row r="6" spans="1:11" ht="28.5" customHeight="1" x14ac:dyDescent="0.25">
      <c r="A6" s="14"/>
      <c r="B6" s="47" t="s">
        <v>6</v>
      </c>
      <c r="C6" s="47"/>
      <c r="D6" s="47"/>
      <c r="E6" s="47"/>
      <c r="F6" s="47"/>
      <c r="G6" s="47"/>
      <c r="H6" s="47"/>
      <c r="I6" s="47"/>
      <c r="J6" s="47"/>
      <c r="K6" s="47"/>
    </row>
    <row r="7" spans="1:11" x14ac:dyDescent="0.25">
      <c r="A7" s="14"/>
      <c r="B7" s="23"/>
      <c r="C7" s="23"/>
      <c r="D7" s="23"/>
      <c r="E7" s="23"/>
      <c r="F7" s="23"/>
      <c r="G7" s="23"/>
      <c r="H7" s="23"/>
      <c r="I7" s="23"/>
      <c r="J7" s="23"/>
    </row>
    <row r="8" spans="1:11" ht="42.75" customHeight="1" x14ac:dyDescent="0.25">
      <c r="A8" s="14"/>
      <c r="B8" s="63" t="s">
        <v>76</v>
      </c>
      <c r="C8" s="63"/>
      <c r="D8" s="63"/>
      <c r="E8" s="63"/>
      <c r="F8" s="63"/>
      <c r="G8" s="63"/>
      <c r="H8" s="63"/>
      <c r="I8" s="63"/>
      <c r="J8" s="63"/>
      <c r="K8" s="14"/>
    </row>
    <row r="9" spans="1:11" ht="37.5" customHeight="1" x14ac:dyDescent="0.25">
      <c r="A9" s="14"/>
      <c r="B9" s="45" t="s">
        <v>74</v>
      </c>
      <c r="C9" s="46"/>
      <c r="D9" s="46"/>
      <c r="E9" s="46"/>
      <c r="F9" s="46"/>
      <c r="G9" s="46"/>
      <c r="H9" s="46"/>
      <c r="I9" s="46"/>
      <c r="J9" s="46"/>
      <c r="K9" s="14"/>
    </row>
    <row r="10" spans="1:11" ht="15.75" customHeight="1" x14ac:dyDescent="0.25">
      <c r="A10" s="14"/>
      <c r="B10" s="57" t="s">
        <v>7</v>
      </c>
      <c r="C10" s="57"/>
      <c r="D10" s="57"/>
      <c r="E10" s="57"/>
      <c r="F10" s="57"/>
      <c r="G10" s="57"/>
      <c r="H10" s="15"/>
      <c r="I10" s="14"/>
      <c r="J10" s="14"/>
      <c r="K10" s="14"/>
    </row>
    <row r="11" spans="1:11" ht="15.75" customHeight="1" x14ac:dyDescent="0.25">
      <c r="A11" s="14"/>
      <c r="B11" s="58" t="s">
        <v>9</v>
      </c>
      <c r="C11" s="58"/>
      <c r="D11" s="15"/>
      <c r="E11" s="14"/>
      <c r="F11" s="14"/>
      <c r="G11" s="14"/>
      <c r="H11" s="14"/>
      <c r="I11" s="14"/>
      <c r="J11" s="14"/>
      <c r="K11" s="14"/>
    </row>
    <row r="12" spans="1:11" x14ac:dyDescent="0.25">
      <c r="A12" s="14"/>
      <c r="B12" s="58" t="s">
        <v>10</v>
      </c>
      <c r="C12" s="58"/>
      <c r="D12" s="58"/>
      <c r="E12" s="15"/>
      <c r="F12" s="14"/>
      <c r="G12" s="14"/>
      <c r="H12" s="14"/>
      <c r="I12" s="14"/>
      <c r="J12" s="14"/>
      <c r="K12" s="14"/>
    </row>
    <row r="13" spans="1:11" ht="7.5" customHeight="1" thickBot="1" x14ac:dyDescent="0.3">
      <c r="A13" s="14"/>
      <c r="B13" s="16"/>
      <c r="C13" s="16"/>
      <c r="D13" s="16"/>
      <c r="E13" s="17"/>
      <c r="F13" s="14"/>
      <c r="G13" s="14"/>
      <c r="H13" s="14"/>
      <c r="I13" s="14"/>
      <c r="J13" s="14"/>
      <c r="K13" s="14"/>
    </row>
    <row r="14" spans="1:11" ht="36" customHeight="1" thickTop="1" thickBot="1" x14ac:dyDescent="0.3">
      <c r="A14" s="14"/>
      <c r="B14" s="37" t="str">
        <f>IF(H10="",Calculations!A10,IF(H10="Yes",Calculations!A11,IF(D11="",Calculations!A10,IF(D11="Yes",Calculations!A11,IF(E12="",Calculations!A10,IF(E12="Yes",Calculations!A11,IF(E12="No",Calculations!A9,IF(H10="No",Calculations!A10,IF(D11="No",Calculations!A10,"")))))))))</f>
        <v>Please complete the highlighted question.</v>
      </c>
      <c r="C14" s="38"/>
      <c r="D14" s="38"/>
      <c r="E14" s="38"/>
      <c r="F14" s="38"/>
      <c r="G14" s="38"/>
      <c r="H14" s="39"/>
      <c r="I14" s="17"/>
      <c r="J14" s="17"/>
      <c r="K14" s="14"/>
    </row>
    <row r="15" spans="1:11" ht="12.75" customHeight="1" thickTop="1" x14ac:dyDescent="0.25">
      <c r="A15" s="14"/>
      <c r="B15" s="14"/>
      <c r="C15" s="14"/>
      <c r="D15" s="14"/>
      <c r="E15" s="14"/>
      <c r="F15" s="14"/>
      <c r="G15" s="14"/>
      <c r="H15" s="14"/>
      <c r="I15" s="14"/>
      <c r="J15" s="14"/>
      <c r="K15" s="14"/>
    </row>
    <row r="16" spans="1:11" ht="29.25" customHeight="1" x14ac:dyDescent="0.25">
      <c r="A16" s="14"/>
      <c r="B16" s="28" t="s">
        <v>75</v>
      </c>
      <c r="C16" s="56"/>
      <c r="D16" s="56"/>
      <c r="E16" s="56"/>
      <c r="F16" s="56"/>
      <c r="G16" s="56"/>
      <c r="H16" s="56"/>
      <c r="I16" s="56"/>
      <c r="J16" s="56"/>
      <c r="K16" s="56"/>
    </row>
    <row r="17" spans="1:11" ht="6.75" customHeight="1" thickBot="1" x14ac:dyDescent="0.3">
      <c r="A17" s="14"/>
      <c r="B17" s="14"/>
      <c r="C17" s="14"/>
      <c r="D17" s="14"/>
      <c r="E17" s="14"/>
      <c r="F17" s="14"/>
      <c r="G17" s="14"/>
      <c r="H17" s="14"/>
      <c r="I17" s="14"/>
      <c r="J17" s="14"/>
      <c r="K17" s="14"/>
    </row>
    <row r="18" spans="1:11" ht="15.75" thickTop="1" x14ac:dyDescent="0.25">
      <c r="A18" s="14"/>
      <c r="B18" s="50" t="s">
        <v>13</v>
      </c>
      <c r="C18" s="51"/>
      <c r="D18" s="51"/>
      <c r="E18" s="52"/>
      <c r="F18" s="48" t="s">
        <v>14</v>
      </c>
      <c r="G18" s="48"/>
      <c r="H18" s="48"/>
      <c r="I18" s="59" t="s">
        <v>15</v>
      </c>
      <c r="J18" s="60"/>
      <c r="K18" s="14"/>
    </row>
    <row r="19" spans="1:11" ht="15.75" thickBot="1" x14ac:dyDescent="0.3">
      <c r="A19" s="14"/>
      <c r="B19" s="53"/>
      <c r="C19" s="54"/>
      <c r="D19" s="54"/>
      <c r="E19" s="55"/>
      <c r="F19" s="49"/>
      <c r="G19" s="49"/>
      <c r="H19" s="49"/>
      <c r="I19" s="61"/>
      <c r="J19" s="62"/>
      <c r="K19" s="14"/>
    </row>
    <row r="20" spans="1:11" x14ac:dyDescent="0.25">
      <c r="A20" s="14"/>
      <c r="B20" s="64"/>
      <c r="C20" s="65"/>
      <c r="D20" s="65"/>
      <c r="E20" s="65"/>
      <c r="F20" s="43"/>
      <c r="G20" s="44"/>
      <c r="H20" s="44"/>
      <c r="I20" s="44"/>
      <c r="J20" s="44"/>
      <c r="K20" s="14"/>
    </row>
    <row r="21" spans="1:11" x14ac:dyDescent="0.25">
      <c r="A21" s="14"/>
      <c r="B21" s="34"/>
      <c r="C21" s="35"/>
      <c r="D21" s="35"/>
      <c r="E21" s="35"/>
      <c r="F21" s="32"/>
      <c r="G21" s="32"/>
      <c r="H21" s="32"/>
      <c r="I21" s="32"/>
      <c r="J21" s="32"/>
      <c r="K21" s="14"/>
    </row>
    <row r="22" spans="1:11" x14ac:dyDescent="0.25">
      <c r="A22" s="14"/>
      <c r="B22" s="34"/>
      <c r="C22" s="35"/>
      <c r="D22" s="35"/>
      <c r="E22" s="35"/>
      <c r="F22" s="32"/>
      <c r="G22" s="32"/>
      <c r="H22" s="32"/>
      <c r="I22" s="32"/>
      <c r="J22" s="32"/>
      <c r="K22" s="14"/>
    </row>
    <row r="23" spans="1:11" x14ac:dyDescent="0.25">
      <c r="A23" s="14"/>
      <c r="B23" s="34"/>
      <c r="C23" s="35"/>
      <c r="D23" s="35"/>
      <c r="E23" s="35"/>
      <c r="F23" s="32"/>
      <c r="G23" s="32"/>
      <c r="H23" s="32"/>
      <c r="I23" s="32"/>
      <c r="J23" s="32"/>
      <c r="K23" s="14"/>
    </row>
    <row r="24" spans="1:11" x14ac:dyDescent="0.25">
      <c r="A24" s="14"/>
      <c r="B24" s="34"/>
      <c r="C24" s="35"/>
      <c r="D24" s="35"/>
      <c r="E24" s="35"/>
      <c r="F24" s="32"/>
      <c r="G24" s="32"/>
      <c r="H24" s="32"/>
      <c r="I24" s="32"/>
      <c r="J24" s="32"/>
      <c r="K24" s="14"/>
    </row>
    <row r="25" spans="1:11" x14ac:dyDescent="0.25">
      <c r="A25" s="14"/>
      <c r="B25" s="34"/>
      <c r="C25" s="35"/>
      <c r="D25" s="35"/>
      <c r="E25" s="35"/>
      <c r="F25" s="32"/>
      <c r="G25" s="32"/>
      <c r="H25" s="32"/>
      <c r="I25" s="32"/>
      <c r="J25" s="32"/>
      <c r="K25" s="14"/>
    </row>
    <row r="26" spans="1:11" x14ac:dyDescent="0.25">
      <c r="A26" s="14"/>
      <c r="B26" s="34"/>
      <c r="C26" s="35"/>
      <c r="D26" s="35"/>
      <c r="E26" s="35"/>
      <c r="F26" s="32"/>
      <c r="G26" s="32"/>
      <c r="H26" s="32"/>
      <c r="I26" s="32"/>
      <c r="J26" s="32"/>
      <c r="K26" s="14"/>
    </row>
    <row r="27" spans="1:11" x14ac:dyDescent="0.25">
      <c r="A27" s="14"/>
      <c r="B27" s="34"/>
      <c r="C27" s="35"/>
      <c r="D27" s="35"/>
      <c r="E27" s="35"/>
      <c r="F27" s="32"/>
      <c r="G27" s="32"/>
      <c r="H27" s="32"/>
      <c r="I27" s="32"/>
      <c r="J27" s="32"/>
      <c r="K27" s="14"/>
    </row>
    <row r="28" spans="1:11" x14ac:dyDescent="0.25">
      <c r="A28" s="14"/>
      <c r="B28" s="34"/>
      <c r="C28" s="35"/>
      <c r="D28" s="35"/>
      <c r="E28" s="35"/>
      <c r="F28" s="32"/>
      <c r="G28" s="32"/>
      <c r="H28" s="32"/>
      <c r="I28" s="32"/>
      <c r="J28" s="32"/>
      <c r="K28" s="14"/>
    </row>
    <row r="29" spans="1:11" x14ac:dyDescent="0.25">
      <c r="A29" s="14"/>
      <c r="B29" s="34"/>
      <c r="C29" s="35"/>
      <c r="D29" s="35"/>
      <c r="E29" s="35"/>
      <c r="F29" s="32"/>
      <c r="G29" s="32"/>
      <c r="H29" s="32"/>
      <c r="I29" s="32"/>
      <c r="J29" s="32"/>
      <c r="K29" s="14"/>
    </row>
    <row r="30" spans="1:11" x14ac:dyDescent="0.25">
      <c r="A30" s="14"/>
      <c r="B30" s="34"/>
      <c r="C30" s="35"/>
      <c r="D30" s="35"/>
      <c r="E30" s="35"/>
      <c r="F30" s="32"/>
      <c r="G30" s="32"/>
      <c r="H30" s="32"/>
      <c r="I30" s="32"/>
      <c r="J30" s="32"/>
      <c r="K30" s="14"/>
    </row>
    <row r="31" spans="1:11" x14ac:dyDescent="0.25">
      <c r="A31" s="14"/>
      <c r="B31" s="34"/>
      <c r="C31" s="35"/>
      <c r="D31" s="35"/>
      <c r="E31" s="35"/>
      <c r="F31" s="32"/>
      <c r="G31" s="32"/>
      <c r="H31" s="32"/>
      <c r="I31" s="32"/>
      <c r="J31" s="32"/>
      <c r="K31" s="14"/>
    </row>
    <row r="32" spans="1:11" x14ac:dyDescent="0.25">
      <c r="A32" s="14"/>
      <c r="B32" s="34"/>
      <c r="C32" s="35"/>
      <c r="D32" s="35"/>
      <c r="E32" s="35"/>
      <c r="F32" s="32"/>
      <c r="G32" s="32"/>
      <c r="H32" s="32"/>
      <c r="I32" s="32"/>
      <c r="J32" s="32"/>
      <c r="K32" s="14"/>
    </row>
    <row r="33" spans="1:11" x14ac:dyDescent="0.25">
      <c r="A33" s="14"/>
      <c r="B33" s="34"/>
      <c r="C33" s="35"/>
      <c r="D33" s="35"/>
      <c r="E33" s="35"/>
      <c r="F33" s="32"/>
      <c r="G33" s="32"/>
      <c r="H33" s="32"/>
      <c r="I33" s="32"/>
      <c r="J33" s="32"/>
      <c r="K33" s="14"/>
    </row>
    <row r="34" spans="1:11" ht="15.75" thickBot="1" x14ac:dyDescent="0.3">
      <c r="A34" s="14"/>
      <c r="B34" s="34"/>
      <c r="C34" s="35"/>
      <c r="D34" s="35"/>
      <c r="E34" s="35"/>
      <c r="F34" s="40"/>
      <c r="G34" s="40"/>
      <c r="H34" s="40"/>
      <c r="I34" s="40"/>
      <c r="J34" s="40"/>
      <c r="K34" s="14"/>
    </row>
    <row r="35" spans="1:11" ht="15.75" thickBot="1" x14ac:dyDescent="0.3">
      <c r="A35" s="14"/>
      <c r="B35" s="2" t="s">
        <v>16</v>
      </c>
      <c r="C35" s="3"/>
      <c r="D35" s="18"/>
      <c r="E35" s="4">
        <f>COUNTA(B20:E34)</f>
        <v>0</v>
      </c>
      <c r="F35" s="36" t="s">
        <v>17</v>
      </c>
      <c r="G35" s="36"/>
      <c r="H35" s="36"/>
      <c r="I35" s="41">
        <f>SUM(Calculations!A24:A38)</f>
        <v>0</v>
      </c>
      <c r="J35" s="42"/>
      <c r="K35" s="14"/>
    </row>
    <row r="36" spans="1:11" ht="8.25" customHeight="1" thickTop="1" x14ac:dyDescent="0.25">
      <c r="A36" s="14"/>
      <c r="B36" s="14"/>
      <c r="C36" s="14"/>
      <c r="D36" s="14"/>
      <c r="E36" s="14"/>
      <c r="F36" s="14"/>
      <c r="G36" s="14"/>
      <c r="H36" s="14"/>
      <c r="I36" s="14"/>
      <c r="J36" s="14"/>
      <c r="K36" s="14"/>
    </row>
    <row r="37" spans="1:11" ht="16.5" thickBot="1" x14ac:dyDescent="0.3">
      <c r="A37" s="14"/>
      <c r="B37" s="19" t="s">
        <v>18</v>
      </c>
      <c r="C37" s="14"/>
      <c r="D37" s="14"/>
      <c r="E37" s="14"/>
      <c r="F37" s="14"/>
      <c r="G37" s="14"/>
      <c r="H37" s="14"/>
      <c r="I37" s="14"/>
      <c r="J37" s="14"/>
      <c r="K37" s="14"/>
    </row>
    <row r="38" spans="1:11" ht="54.75" customHeight="1" thickTop="1" thickBot="1" x14ac:dyDescent="0.3">
      <c r="A38" s="14"/>
      <c r="B38" s="37" t="str">
        <f>IF(ISNUMBER(SEARCH("not",B14)),Calculations!A9,IF(ISNUMBER(SEARCH("name",Calculations!A63)),Calculations!A63,IF(ISNUMBER(SEARCH("name",Calculations!A64)),Calculations!A64,IF(ISNUMBER(SEARCH("name",Calculations!A65)),Calculations!A65,IF(ISNUMBER(SEARCH("name",Calculations!A66)),Calculations!A66,IF(ISNUMBER(SEARCH("name",Calculations!A67)),Calculations!A67,IF(ISNUMBER(SEARCH("name",Calculations!A68)),Calculations!A68,IF(ISNUMBER(SEARCH("name",Calculations!A69)),Calculations!A69,IF(ISNUMBER(SEARCH("name",Calculations!A70)),Calculations!A70,IF(ISNUMBER(SEARCH("name",Calculations!A71)),Calculations!A71,IF(ISNUMBER(SEARCH("name",Calculations!A72)),Calculations!A72,IF(ISNUMBER(SEARCH("name",Calculations!A73)),Calculations!A73,IF(ISNUMBER(SEARCH("name",Calculations!A74)),Calculations!A74,IF(ISNUMBER(SEARCH("name",Calculations!A75)),Calculations!A75,IF(ISNUMBER(SEARCH("name",Calculations!A76)),Calculations!A76,IF(ISNUMBER(SEARCH("name",Calculations!A77)),Calculations!A77,IF(AND(E35&gt;0,I35=0),Calculations!A7,IF(Calculations!A22&gt;I35,Calculations!A7,IF(Calculations!A22&lt;I35,Calculations!A8,IF(B14=Calculations!A10,Calculations!A10,IF(B14=Calculations!A11,Calculations!A11,IF(B20="",Calculations!A11,IF(I35=0,"")))))))))))))))))))))))</f>
        <v>Please complete the highlighted question.</v>
      </c>
      <c r="C38" s="38"/>
      <c r="D38" s="38"/>
      <c r="E38" s="38"/>
      <c r="F38" s="38"/>
      <c r="G38" s="38"/>
      <c r="H38" s="38"/>
      <c r="I38" s="38"/>
      <c r="J38" s="39"/>
      <c r="K38" s="14"/>
    </row>
    <row r="39" spans="1:11" ht="16.5" thickTop="1" thickBot="1" x14ac:dyDescent="0.3">
      <c r="A39" s="14"/>
      <c r="B39" s="14"/>
      <c r="C39" s="14"/>
      <c r="D39" s="14"/>
      <c r="E39" s="14"/>
      <c r="F39" s="14"/>
      <c r="G39" s="14"/>
      <c r="H39" s="14"/>
      <c r="I39" s="14"/>
      <c r="J39" s="14"/>
      <c r="K39" s="14"/>
    </row>
    <row r="40" spans="1:11" ht="60" x14ac:dyDescent="0.25">
      <c r="A40" s="14"/>
      <c r="B40" s="5" t="s">
        <v>19</v>
      </c>
      <c r="C40" s="6" t="s">
        <v>20</v>
      </c>
      <c r="D40" s="6" t="s">
        <v>21</v>
      </c>
      <c r="E40" s="7" t="s">
        <v>22</v>
      </c>
      <c r="F40" s="14"/>
      <c r="G40" s="14"/>
      <c r="H40" s="14"/>
      <c r="I40" s="14"/>
      <c r="J40" s="14"/>
      <c r="K40" s="14"/>
    </row>
    <row r="41" spans="1:11" x14ac:dyDescent="0.25">
      <c r="A41" s="14"/>
      <c r="B41" s="8">
        <v>1</v>
      </c>
      <c r="C41" s="9">
        <v>205</v>
      </c>
      <c r="D41" s="9">
        <v>1273</v>
      </c>
      <c r="E41" s="10">
        <v>1771</v>
      </c>
      <c r="F41" s="14"/>
      <c r="G41" s="14"/>
      <c r="H41" s="14"/>
      <c r="I41" s="14"/>
      <c r="J41" s="14"/>
      <c r="K41" s="14"/>
    </row>
    <row r="42" spans="1:11" x14ac:dyDescent="0.25">
      <c r="A42" s="14"/>
      <c r="B42" s="8">
        <v>2</v>
      </c>
      <c r="C42" s="9">
        <v>251</v>
      </c>
      <c r="D42" s="9">
        <v>1719</v>
      </c>
      <c r="E42" s="10">
        <v>2391</v>
      </c>
      <c r="F42" s="14"/>
      <c r="G42" s="14"/>
      <c r="H42" s="14"/>
      <c r="I42" s="14"/>
      <c r="J42" s="14"/>
      <c r="K42" s="14"/>
    </row>
    <row r="43" spans="1:11" x14ac:dyDescent="0.25">
      <c r="A43" s="14"/>
      <c r="B43" s="8">
        <v>3</v>
      </c>
      <c r="C43" s="9">
        <v>317</v>
      </c>
      <c r="D43" s="9">
        <v>2165</v>
      </c>
      <c r="E43" s="10">
        <v>3011</v>
      </c>
      <c r="F43" s="14"/>
      <c r="G43" s="14"/>
      <c r="H43" s="14"/>
      <c r="I43" s="14"/>
      <c r="J43" s="14"/>
      <c r="K43" s="14"/>
    </row>
    <row r="44" spans="1:11" x14ac:dyDescent="0.25">
      <c r="A44" s="14"/>
      <c r="B44" s="8">
        <v>4</v>
      </c>
      <c r="C44" s="9">
        <v>382</v>
      </c>
      <c r="D44" s="9">
        <v>2610</v>
      </c>
      <c r="E44" s="10">
        <v>3631</v>
      </c>
      <c r="F44" s="14"/>
      <c r="G44" s="14"/>
      <c r="H44" s="14"/>
      <c r="I44" s="14"/>
      <c r="J44" s="14"/>
      <c r="K44" s="14"/>
    </row>
    <row r="45" spans="1:11" x14ac:dyDescent="0.25">
      <c r="A45" s="14"/>
      <c r="B45" s="8">
        <v>5</v>
      </c>
      <c r="C45" s="9">
        <v>448</v>
      </c>
      <c r="D45" s="9">
        <v>3056</v>
      </c>
      <c r="E45" s="10">
        <v>4250</v>
      </c>
      <c r="F45" s="14"/>
      <c r="G45" s="14"/>
      <c r="H45" s="14"/>
      <c r="I45" s="14"/>
      <c r="J45" s="14"/>
      <c r="K45" s="14"/>
    </row>
    <row r="46" spans="1:11" x14ac:dyDescent="0.25">
      <c r="A46" s="14"/>
      <c r="B46" s="8">
        <v>6</v>
      </c>
      <c r="C46" s="9">
        <v>513</v>
      </c>
      <c r="D46" s="9">
        <v>3501</v>
      </c>
      <c r="E46" s="10">
        <v>4870</v>
      </c>
      <c r="F46" s="14"/>
      <c r="G46" s="14"/>
      <c r="H46" s="14"/>
      <c r="I46" s="14"/>
      <c r="J46" s="14"/>
      <c r="K46" s="14"/>
    </row>
    <row r="47" spans="1:11" x14ac:dyDescent="0.25">
      <c r="A47" s="14"/>
      <c r="B47" s="8">
        <v>7</v>
      </c>
      <c r="C47" s="9">
        <v>579</v>
      </c>
      <c r="D47" s="9">
        <v>3947</v>
      </c>
      <c r="E47" s="10">
        <v>5490</v>
      </c>
      <c r="F47" s="14"/>
      <c r="G47" s="14"/>
      <c r="H47" s="14"/>
      <c r="I47" s="14"/>
      <c r="J47" s="14"/>
      <c r="K47" s="14"/>
    </row>
    <row r="48" spans="1:11" x14ac:dyDescent="0.25">
      <c r="A48" s="14"/>
      <c r="B48" s="8">
        <v>8</v>
      </c>
      <c r="C48" s="9">
        <v>645</v>
      </c>
      <c r="D48" s="9">
        <v>4392</v>
      </c>
      <c r="E48" s="10">
        <v>6110</v>
      </c>
      <c r="F48" s="14"/>
      <c r="G48" s="14"/>
      <c r="H48" s="14"/>
      <c r="I48" s="14"/>
      <c r="J48" s="14"/>
      <c r="K48" s="14"/>
    </row>
    <row r="49" spans="1:11" x14ac:dyDescent="0.25">
      <c r="A49" s="14"/>
      <c r="B49" s="8">
        <v>9</v>
      </c>
      <c r="C49" s="9">
        <v>710</v>
      </c>
      <c r="D49" s="9">
        <v>4838</v>
      </c>
      <c r="E49" s="10">
        <v>6730</v>
      </c>
      <c r="F49" s="14"/>
      <c r="G49" s="14"/>
      <c r="H49" s="14"/>
      <c r="I49" s="14"/>
      <c r="J49" s="14"/>
      <c r="K49" s="14"/>
    </row>
    <row r="50" spans="1:11" x14ac:dyDescent="0.25">
      <c r="A50" s="14"/>
      <c r="B50" s="8">
        <v>10</v>
      </c>
      <c r="C50" s="9">
        <v>775</v>
      </c>
      <c r="D50" s="9">
        <v>5284</v>
      </c>
      <c r="E50" s="10">
        <v>7350</v>
      </c>
      <c r="F50" s="14"/>
      <c r="G50" s="14"/>
      <c r="H50" s="14"/>
      <c r="I50" s="14"/>
      <c r="J50" s="14"/>
      <c r="K50" s="14"/>
    </row>
    <row r="51" spans="1:11" x14ac:dyDescent="0.25">
      <c r="A51" s="14"/>
      <c r="B51" s="8">
        <v>11</v>
      </c>
      <c r="C51" s="9">
        <v>840</v>
      </c>
      <c r="D51" s="9">
        <v>5730</v>
      </c>
      <c r="E51" s="10">
        <v>7970</v>
      </c>
      <c r="F51" s="14"/>
      <c r="G51" s="14"/>
      <c r="H51" s="14"/>
      <c r="I51" s="14"/>
      <c r="J51" s="14"/>
      <c r="K51" s="14"/>
    </row>
    <row r="52" spans="1:11" x14ac:dyDescent="0.25">
      <c r="A52" s="14"/>
      <c r="B52" s="8">
        <v>12</v>
      </c>
      <c r="C52" s="9">
        <v>905</v>
      </c>
      <c r="D52" s="9">
        <v>6176</v>
      </c>
      <c r="E52" s="10">
        <v>8590</v>
      </c>
      <c r="F52" s="14"/>
      <c r="G52" s="14"/>
      <c r="H52" s="14"/>
      <c r="I52" s="14"/>
      <c r="J52" s="14"/>
      <c r="K52" s="14"/>
    </row>
    <row r="53" spans="1:11" x14ac:dyDescent="0.25">
      <c r="A53" s="14"/>
      <c r="B53" s="8">
        <v>13</v>
      </c>
      <c r="C53" s="9">
        <v>970</v>
      </c>
      <c r="D53" s="9">
        <v>6622</v>
      </c>
      <c r="E53" s="10">
        <v>9210</v>
      </c>
      <c r="F53" s="14"/>
      <c r="G53" s="14"/>
      <c r="H53" s="14"/>
      <c r="I53" s="14"/>
      <c r="J53" s="14"/>
      <c r="K53" s="14"/>
    </row>
    <row r="54" spans="1:11" x14ac:dyDescent="0.25">
      <c r="A54" s="14"/>
      <c r="B54" s="8">
        <v>14</v>
      </c>
      <c r="C54" s="9">
        <v>1035</v>
      </c>
      <c r="D54" s="9">
        <v>7068</v>
      </c>
      <c r="E54" s="10">
        <v>9830</v>
      </c>
      <c r="F54" s="14"/>
      <c r="G54" s="14"/>
      <c r="H54" s="14"/>
      <c r="I54" s="14"/>
      <c r="J54" s="14"/>
      <c r="K54" s="14"/>
    </row>
    <row r="55" spans="1:11" ht="15.75" thickBot="1" x14ac:dyDescent="0.3">
      <c r="A55" s="14"/>
      <c r="B55" s="11">
        <v>15</v>
      </c>
      <c r="C55" s="12">
        <v>1100</v>
      </c>
      <c r="D55" s="12">
        <v>7514</v>
      </c>
      <c r="E55" s="13">
        <v>10450</v>
      </c>
      <c r="F55" s="14"/>
      <c r="G55" s="14"/>
      <c r="H55" s="14"/>
      <c r="I55" s="14"/>
      <c r="J55" s="14"/>
      <c r="K55" s="14"/>
    </row>
    <row r="56" spans="1:11" x14ac:dyDescent="0.25">
      <c r="A56" s="14"/>
      <c r="B56" s="14"/>
      <c r="C56" s="14"/>
      <c r="D56" s="14"/>
      <c r="E56" s="14"/>
      <c r="F56" s="14"/>
      <c r="G56" s="14"/>
      <c r="H56" s="14"/>
      <c r="I56" s="14"/>
      <c r="J56" s="14"/>
      <c r="K56" s="14"/>
    </row>
    <row r="57" spans="1:11" x14ac:dyDescent="0.25">
      <c r="A57" s="14"/>
      <c r="B57" s="33" t="s">
        <v>23</v>
      </c>
      <c r="C57" s="33"/>
      <c r="D57" s="33"/>
      <c r="E57" s="33"/>
      <c r="F57" s="33"/>
      <c r="G57" s="33"/>
      <c r="H57" s="14"/>
      <c r="I57" s="14"/>
      <c r="J57" s="14"/>
      <c r="K57" s="14"/>
    </row>
    <row r="58" spans="1:11" x14ac:dyDescent="0.25">
      <c r="A58" s="14"/>
      <c r="B58" s="14"/>
      <c r="C58" s="14"/>
      <c r="D58" s="14"/>
      <c r="E58" s="14"/>
      <c r="F58" s="14"/>
      <c r="G58" s="14"/>
      <c r="H58" s="14"/>
      <c r="I58" s="14"/>
      <c r="J58" s="14"/>
      <c r="K58" s="14"/>
    </row>
    <row r="59" spans="1:11" s="23" customFormat="1" x14ac:dyDescent="0.25"/>
  </sheetData>
  <sheetProtection password="EB98" sheet="1" objects="1" scenarios="1" selectLockedCells="1"/>
  <mergeCells count="61">
    <mergeCell ref="B28:E28"/>
    <mergeCell ref="B29:E29"/>
    <mergeCell ref="I26:J26"/>
    <mergeCell ref="I27:J27"/>
    <mergeCell ref="B20:E20"/>
    <mergeCell ref="B21:E21"/>
    <mergeCell ref="B22:E22"/>
    <mergeCell ref="B23:E23"/>
    <mergeCell ref="B24:E24"/>
    <mergeCell ref="B25:E25"/>
    <mergeCell ref="B26:E26"/>
    <mergeCell ref="B27:E27"/>
    <mergeCell ref="F28:H28"/>
    <mergeCell ref="F29:H29"/>
    <mergeCell ref="I20:J20"/>
    <mergeCell ref="I21:J21"/>
    <mergeCell ref="B5:J5"/>
    <mergeCell ref="B9:J9"/>
    <mergeCell ref="B6:K6"/>
    <mergeCell ref="B14:H14"/>
    <mergeCell ref="F18:H19"/>
    <mergeCell ref="B18:E19"/>
    <mergeCell ref="B16:K16"/>
    <mergeCell ref="B10:G10"/>
    <mergeCell ref="B12:D12"/>
    <mergeCell ref="B11:C11"/>
    <mergeCell ref="I18:J19"/>
    <mergeCell ref="B8:J8"/>
    <mergeCell ref="I22:J22"/>
    <mergeCell ref="F20:H20"/>
    <mergeCell ref="F21:H21"/>
    <mergeCell ref="F22:H22"/>
    <mergeCell ref="F23:H23"/>
    <mergeCell ref="F25:H25"/>
    <mergeCell ref="F24:H24"/>
    <mergeCell ref="F26:H26"/>
    <mergeCell ref="F27:H27"/>
    <mergeCell ref="I23:J23"/>
    <mergeCell ref="I24:J24"/>
    <mergeCell ref="I25:J25"/>
    <mergeCell ref="I28:J28"/>
    <mergeCell ref="I29:J29"/>
    <mergeCell ref="I30:J30"/>
    <mergeCell ref="I31:J31"/>
    <mergeCell ref="I32:J32"/>
    <mergeCell ref="F30:H30"/>
    <mergeCell ref="F31:H31"/>
    <mergeCell ref="F32:H32"/>
    <mergeCell ref="B57:G57"/>
    <mergeCell ref="B34:E34"/>
    <mergeCell ref="F33:H33"/>
    <mergeCell ref="F35:H35"/>
    <mergeCell ref="B31:E31"/>
    <mergeCell ref="B32:E32"/>
    <mergeCell ref="B33:E33"/>
    <mergeCell ref="B38:J38"/>
    <mergeCell ref="F34:H34"/>
    <mergeCell ref="I33:J33"/>
    <mergeCell ref="I34:J34"/>
    <mergeCell ref="I35:J35"/>
    <mergeCell ref="B30:E30"/>
  </mergeCells>
  <conditionalFormatting sqref="H10">
    <cfRule type="expression" dxfId="41" priority="58">
      <formula>ISNUMBER(SEARCH("No",H10))</formula>
    </cfRule>
    <cfRule type="expression" dxfId="40" priority="59">
      <formula>ISNUMBER(SEARCH("Yes",H10))</formula>
    </cfRule>
    <cfRule type="expression" dxfId="39" priority="60">
      <formula>ISNUMBER(SEARCH("child",$B$10))</formula>
    </cfRule>
  </conditionalFormatting>
  <conditionalFormatting sqref="D11">
    <cfRule type="expression" dxfId="38" priority="55">
      <formula>ISNUMBER(SEARCH("No",D11))</formula>
    </cfRule>
    <cfRule type="expression" dxfId="37" priority="56">
      <formula>ISNUMBER(SEARCH("Yes",D11))</formula>
    </cfRule>
    <cfRule type="expression" dxfId="36" priority="57">
      <formula>ISNUMBER(SEARCH("No",H10))</formula>
    </cfRule>
  </conditionalFormatting>
  <conditionalFormatting sqref="E12">
    <cfRule type="expression" dxfId="35" priority="52">
      <formula>ISNUMBER(SEARCH("No",E12))</formula>
    </cfRule>
    <cfRule type="expression" dxfId="34" priority="53">
      <formula>ISNUMBER(SEARCH("Yes",E12))</formula>
    </cfRule>
    <cfRule type="expression" dxfId="33" priority="54">
      <formula>ISNUMBER(SEARCH("No",D11))</formula>
    </cfRule>
  </conditionalFormatting>
  <conditionalFormatting sqref="B14:H14">
    <cfRule type="expression" dxfId="32" priority="49">
      <formula>ISNUMBER(SEARCH("tell",B14))</formula>
    </cfRule>
    <cfRule type="expression" dxfId="31" priority="50">
      <formula>ISNUMBER(SEARCH("Question",B14))</formula>
    </cfRule>
    <cfRule type="expression" dxfId="30" priority="51">
      <formula>ISNUMBER(SEARCH("not",B14))</formula>
    </cfRule>
  </conditionalFormatting>
  <conditionalFormatting sqref="B38:J38">
    <cfRule type="expression" dxfId="29" priority="45">
      <formula>ISNUMBER(SEARCH("income",B38))</formula>
    </cfRule>
    <cfRule type="expression" dxfId="28" priority="46">
      <formula>ISNUMBER(SEARCH("please",B38))</formula>
    </cfRule>
    <cfRule type="expression" dxfId="27" priority="47">
      <formula>ISNUMBER(SEARCH("may",B38))</formula>
    </cfRule>
    <cfRule type="expression" dxfId="26" priority="48">
      <formula>ISNUMBER(SEARCH("not",B38))</formula>
    </cfRule>
  </conditionalFormatting>
  <conditionalFormatting sqref="F20:H20">
    <cfRule type="expression" dxfId="25" priority="35">
      <formula>NOT(ISBLANK(F20))</formula>
    </cfRule>
    <cfRule type="expression" dxfId="24" priority="36">
      <formula>NOT(ISBLANK(B20))</formula>
    </cfRule>
    <cfRule type="expression" dxfId="23" priority="37">
      <formula>NOT(ISBLANK(I20))</formula>
    </cfRule>
  </conditionalFormatting>
  <conditionalFormatting sqref="F21:H34">
    <cfRule type="expression" dxfId="22" priority="32">
      <formula>NOT(ISBLANK(F21))</formula>
    </cfRule>
    <cfRule type="expression" dxfId="21" priority="33">
      <formula>NOT(ISBLANK(B21))</formula>
    </cfRule>
    <cfRule type="expression" dxfId="20" priority="34">
      <formula>NOT(ISBLANK(I21))</formula>
    </cfRule>
  </conditionalFormatting>
  <conditionalFormatting sqref="I20:J20">
    <cfRule type="expression" dxfId="19" priority="29">
      <formula>NOT(ISBLANK(I20))</formula>
    </cfRule>
    <cfRule type="expression" dxfId="18" priority="30">
      <formula>NOT(ISBLANK(B20))</formula>
    </cfRule>
    <cfRule type="expression" dxfId="17" priority="31">
      <formula>NOT(ISBLANK(F20))</formula>
    </cfRule>
  </conditionalFormatting>
  <conditionalFormatting sqref="I21:J34">
    <cfRule type="expression" dxfId="16" priority="26">
      <formula>NOT(ISBLANK(I21))</formula>
    </cfRule>
    <cfRule type="expression" dxfId="15" priority="27">
      <formula>NOT(ISBLANK(B21))</formula>
    </cfRule>
    <cfRule type="expression" dxfId="14" priority="28">
      <formula>NOT(ISBLANK(F21))</formula>
    </cfRule>
  </conditionalFormatting>
  <conditionalFormatting sqref="B21:E21">
    <cfRule type="expression" dxfId="13" priority="19">
      <formula>NOT(ISBLANK(B21))</formula>
    </cfRule>
    <cfRule type="expression" dxfId="12" priority="20">
      <formula>NOT(ISBLANK(I20))</formula>
    </cfRule>
    <cfRule type="expression" dxfId="11" priority="21">
      <formula>NOT(ISBLANK(F21))</formula>
    </cfRule>
    <cfRule type="expression" dxfId="10" priority="22">
      <formula>NOT(ISBLANK(I21))</formula>
    </cfRule>
  </conditionalFormatting>
  <conditionalFormatting sqref="B22:E34">
    <cfRule type="expression" dxfId="9" priority="11">
      <formula>NOT(ISBLANK(B22))</formula>
    </cfRule>
    <cfRule type="expression" dxfId="8" priority="12">
      <formula>NOT(ISBLANK(I21))</formula>
    </cfRule>
    <cfRule type="expression" dxfId="7" priority="13">
      <formula>NOT(ISBLANK(F22))</formula>
    </cfRule>
    <cfRule type="expression" dxfId="6" priority="14">
      <formula>NOT(ISBLANK(I22))</formula>
    </cfRule>
  </conditionalFormatting>
  <conditionalFormatting sqref="B20:E20">
    <cfRule type="expression" dxfId="5" priority="1">
      <formula>NOT(ISBLANK(B20))</formula>
    </cfRule>
    <cfRule type="expression" dxfId="4" priority="2">
      <formula>NOT(ISBLANK(F20))</formula>
    </cfRule>
    <cfRule type="expression" dxfId="3" priority="61">
      <formula>NOT(ISBLANK(I20))</formula>
    </cfRule>
    <cfRule type="expression" dxfId="2" priority="62">
      <formula>ISNUMBER(SEARCH("Yes",$H$10))</formula>
    </cfRule>
    <cfRule type="expression" dxfId="1" priority="63">
      <formula>ISNUMBER(SEARCH("Yes",$D$11))</formula>
    </cfRule>
    <cfRule type="expression" dxfId="0" priority="64">
      <formula>ISNUMBER(SEARCH("Yes",$E$12))</formula>
    </cfRule>
  </conditionalFormatting>
  <dataValidations count="1">
    <dataValidation type="custom" allowBlank="1" showInputMessage="1" showErrorMessage="1" errorTitle="Duplicates" error="Please enter each members'  income on one line, if the members' income sources frequency are different use the &quot;Monthly Income Calculator Job Aid&quot; or if this person has a suffix please add it to their name." sqref="B20:E34">
      <formula1>COUNTIF($B$20:$B$34,B20)=1</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errorTitle="Presumptive Eligibility Question" error="Please select &quot;Yes&quot; or &quot;No&quot;.">
          <x14:formula1>
            <xm:f>Calculations!$A$1:$A$3</xm:f>
          </x14:formula1>
          <xm:sqref>H10 D11 E12</xm:sqref>
        </x14:dataValidation>
        <x14:dataValidation type="list" allowBlank="1" showInputMessage="1" showErrorMessage="1" errorTitle="Cancel to Select Frequency" error="Click on CANCEL to select from the list provided." promptTitle="Select Frequency" prompt="Select the appropriate frequency from the list provided.">
          <x14:formula1>
            <xm:f>Calculations!$A$13:$A$20</xm:f>
          </x14:formula1>
          <xm:sqref>I20:J34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81"/>
  <sheetViews>
    <sheetView workbookViewId="0">
      <selection activeCell="E36" sqref="E36"/>
    </sheetView>
  </sheetViews>
  <sheetFormatPr defaultRowHeight="15" x14ac:dyDescent="0.25"/>
  <cols>
    <col min="1" max="1" width="14.28515625" customWidth="1"/>
  </cols>
  <sheetData>
    <row r="1" spans="1:2" x14ac:dyDescent="0.25">
      <c r="A1" s="20" t="s">
        <v>24</v>
      </c>
      <c r="B1" s="20"/>
    </row>
    <row r="2" spans="1:2" x14ac:dyDescent="0.25">
      <c r="A2" s="20" t="s">
        <v>11</v>
      </c>
      <c r="B2" s="20"/>
    </row>
    <row r="3" spans="1:2" x14ac:dyDescent="0.25">
      <c r="A3" s="20" t="s">
        <v>8</v>
      </c>
      <c r="B3" s="20"/>
    </row>
    <row r="5" spans="1:2" x14ac:dyDescent="0.25">
      <c r="A5" s="21" t="s">
        <v>9</v>
      </c>
      <c r="B5" s="21"/>
    </row>
    <row r="6" spans="1:2" x14ac:dyDescent="0.25">
      <c r="A6" s="21" t="s">
        <v>10</v>
      </c>
      <c r="B6" s="21"/>
    </row>
    <row r="7" spans="1:2" x14ac:dyDescent="0.25">
      <c r="A7" s="20" t="s">
        <v>25</v>
      </c>
      <c r="B7" s="20"/>
    </row>
    <row r="8" spans="1:2" x14ac:dyDescent="0.25">
      <c r="A8" s="20" t="s">
        <v>26</v>
      </c>
      <c r="B8" s="20"/>
    </row>
    <row r="9" spans="1:2" x14ac:dyDescent="0.25">
      <c r="A9" s="20" t="s">
        <v>27</v>
      </c>
      <c r="B9" s="20"/>
    </row>
    <row r="10" spans="1:2" x14ac:dyDescent="0.25">
      <c r="A10" s="20" t="s">
        <v>28</v>
      </c>
      <c r="B10" s="20"/>
    </row>
    <row r="11" spans="1:2" x14ac:dyDescent="0.25">
      <c r="A11" s="20" t="s">
        <v>12</v>
      </c>
      <c r="B11" s="20"/>
    </row>
    <row r="13" spans="1:2" x14ac:dyDescent="0.25">
      <c r="A13" s="20" t="s">
        <v>29</v>
      </c>
      <c r="B13" s="20" t="s">
        <v>30</v>
      </c>
    </row>
    <row r="14" spans="1:2" x14ac:dyDescent="0.25">
      <c r="A14" s="20" t="s">
        <v>31</v>
      </c>
      <c r="B14" s="20" t="s">
        <v>32</v>
      </c>
    </row>
    <row r="15" spans="1:2" x14ac:dyDescent="0.25">
      <c r="A15" s="20" t="s">
        <v>33</v>
      </c>
      <c r="B15" s="20" t="s">
        <v>34</v>
      </c>
    </row>
    <row r="16" spans="1:2" x14ac:dyDescent="0.25">
      <c r="A16" s="20" t="s">
        <v>35</v>
      </c>
      <c r="B16" s="20"/>
    </row>
    <row r="17" spans="1:5" x14ac:dyDescent="0.25">
      <c r="A17" s="20" t="s">
        <v>36</v>
      </c>
      <c r="B17" s="20" t="s">
        <v>37</v>
      </c>
      <c r="C17" s="20"/>
      <c r="D17" s="20"/>
      <c r="E17" s="20"/>
    </row>
    <row r="18" spans="1:5" x14ac:dyDescent="0.25">
      <c r="A18" s="20" t="s">
        <v>38</v>
      </c>
      <c r="B18" s="20" t="s">
        <v>39</v>
      </c>
      <c r="C18" s="20"/>
      <c r="D18" s="20"/>
      <c r="E18" s="20"/>
    </row>
    <row r="19" spans="1:5" x14ac:dyDescent="0.25">
      <c r="A19" s="20" t="s">
        <v>40</v>
      </c>
      <c r="B19" s="20" t="s">
        <v>41</v>
      </c>
      <c r="C19" s="20"/>
      <c r="D19" s="20"/>
      <c r="E19" s="20"/>
    </row>
    <row r="20" spans="1:5" x14ac:dyDescent="0.25">
      <c r="A20" s="20" t="s">
        <v>42</v>
      </c>
      <c r="B20" s="20" t="s">
        <v>43</v>
      </c>
      <c r="C20" s="20"/>
      <c r="D20" s="20"/>
      <c r="E20" s="20"/>
    </row>
    <row r="22" spans="1:5" x14ac:dyDescent="0.25">
      <c r="A22" s="20">
        <f>SUMIF(A45:A60,'Presumptive Eligibility'!E35,Calculations!I45:I60)</f>
        <v>0</v>
      </c>
      <c r="B22" s="20"/>
      <c r="C22" s="20"/>
      <c r="D22" s="20"/>
      <c r="E22" s="20"/>
    </row>
    <row r="23" spans="1:5" x14ac:dyDescent="0.25">
      <c r="A23" s="20"/>
      <c r="B23" s="20"/>
      <c r="C23" s="20"/>
      <c r="D23" s="20"/>
      <c r="E23" s="20"/>
    </row>
    <row r="24" spans="1:5" x14ac:dyDescent="0.25">
      <c r="A24" s="20" t="str">
        <f>IF('Presumptive Eligibility'!I20=$A$13,'Presumptive Eligibility'!F20*0,(IF('Presumptive Eligibility'!I20=$A$15,'Presumptive Eligibility'!F20*2.15,IF('Presumptive Eligibility'!I20=$A$14,'Presumptive Eligibility'!F20/12,IF('Presumptive Eligibility'!I20=$A$16,'Presumptive Eligibility'!F20,IF('Presumptive Eligibility'!I20=$A$17,'Presumptive Eligibility'!F20/3,IF('Presumptive Eligibility'!I20=$A$18,'Presumptive Eligibility'!F20/6,IF('Presumptive Eligibility'!I20=$A$19,'Presumptive Eligibility'!F20*2,IF('Presumptive Eligibility'!I20=$A$20,'Presumptive Eligibility'!F20*4.3,"")))))))))</f>
        <v/>
      </c>
      <c r="B24" s="20"/>
      <c r="C24" s="20"/>
      <c r="D24" s="20"/>
      <c r="E24" s="20"/>
    </row>
    <row r="25" spans="1:5" x14ac:dyDescent="0.25">
      <c r="A25" s="20" t="str">
        <f>IF('Presumptive Eligibility'!I21=$A$13,'Presumptive Eligibility'!F21*0,(IF('Presumptive Eligibility'!I21=$A$15,'Presumptive Eligibility'!F21*2.15,IF('Presumptive Eligibility'!I21=$A$14,'Presumptive Eligibility'!F21/12,IF('Presumptive Eligibility'!I21=$A$16,'Presumptive Eligibility'!F21,IF('Presumptive Eligibility'!I21=$A$17,'Presumptive Eligibility'!F21/3,IF('Presumptive Eligibility'!I21=$A$18,'Presumptive Eligibility'!F21/6,IF('Presumptive Eligibility'!I21=$A$19,'Presumptive Eligibility'!F21*2,IF('Presumptive Eligibility'!I21=$A$20,'Presumptive Eligibility'!F21*4.3,"")))))))))</f>
        <v/>
      </c>
      <c r="B25" s="20"/>
      <c r="C25" s="20"/>
      <c r="D25" s="20"/>
      <c r="E25" s="20"/>
    </row>
    <row r="26" spans="1:5" x14ac:dyDescent="0.25">
      <c r="A26" s="20" t="str">
        <f>IF('Presumptive Eligibility'!I22=$A$13,'Presumptive Eligibility'!F22*0,(IF('Presumptive Eligibility'!I22=$A$15,'Presumptive Eligibility'!F22*2.15,IF('Presumptive Eligibility'!I22=$A$14,'Presumptive Eligibility'!F22/12,IF('Presumptive Eligibility'!I22=$A$16,'Presumptive Eligibility'!F22,IF('Presumptive Eligibility'!I22=$A$17,'Presumptive Eligibility'!F22/3,IF('Presumptive Eligibility'!I22=$A$18,'Presumptive Eligibility'!F22/6,IF('Presumptive Eligibility'!I22=$A$19,'Presumptive Eligibility'!F22*2,IF('Presumptive Eligibility'!I22=$A$20,'Presumptive Eligibility'!F22*4.3,"")))))))))</f>
        <v/>
      </c>
      <c r="B26" s="20"/>
      <c r="C26" s="20"/>
      <c r="D26" s="20"/>
      <c r="E26" s="20"/>
    </row>
    <row r="27" spans="1:5" x14ac:dyDescent="0.25">
      <c r="A27" s="20" t="str">
        <f>IF('Presumptive Eligibility'!I23=$A$13,'Presumptive Eligibility'!F23*0,(IF('Presumptive Eligibility'!I23=$A$15,'Presumptive Eligibility'!F23*2.15,IF('Presumptive Eligibility'!I23=$A$14,'Presumptive Eligibility'!F23/12,IF('Presumptive Eligibility'!I23=$A$16,'Presumptive Eligibility'!F23,IF('Presumptive Eligibility'!I23=$A$17,'Presumptive Eligibility'!F23/3,IF('Presumptive Eligibility'!I23=$A$18,'Presumptive Eligibility'!F23/6,IF('Presumptive Eligibility'!I23=$A$19,'Presumptive Eligibility'!F23*2,IF('Presumptive Eligibility'!I23=$A$20,'Presumptive Eligibility'!F23*4.3,"")))))))))</f>
        <v/>
      </c>
      <c r="B27" s="20"/>
      <c r="C27" s="20"/>
      <c r="D27" s="20"/>
      <c r="E27" s="20"/>
    </row>
    <row r="28" spans="1:5" x14ac:dyDescent="0.25">
      <c r="A28" s="20" t="str">
        <f>IF('Presumptive Eligibility'!I24=$A$13,'Presumptive Eligibility'!F24*0,(IF('Presumptive Eligibility'!I24=$A$15,'Presumptive Eligibility'!F24*2.15,IF('Presumptive Eligibility'!I24=$A$14,'Presumptive Eligibility'!F24/12,IF('Presumptive Eligibility'!I24=$A$16,'Presumptive Eligibility'!F24,IF('Presumptive Eligibility'!I24=$A$17,'Presumptive Eligibility'!F24/3,IF('Presumptive Eligibility'!I24=$A$18,'Presumptive Eligibility'!F24/6,IF('Presumptive Eligibility'!I24=$A$19,'Presumptive Eligibility'!F24*2,IF('Presumptive Eligibility'!I24=$A$20,'Presumptive Eligibility'!F24*4.3,"")))))))))</f>
        <v/>
      </c>
      <c r="B28" s="20"/>
      <c r="C28" s="20"/>
      <c r="D28" s="20"/>
      <c r="E28" s="20"/>
    </row>
    <row r="29" spans="1:5" x14ac:dyDescent="0.25">
      <c r="A29" s="20" t="str">
        <f>IF('Presumptive Eligibility'!I25=$A$13,'Presumptive Eligibility'!F25*0,(IF('Presumptive Eligibility'!I25=$A$15,'Presumptive Eligibility'!F25*2.15,IF('Presumptive Eligibility'!I25=$A$14,'Presumptive Eligibility'!F25/12,IF('Presumptive Eligibility'!I25=$A$16,'Presumptive Eligibility'!F25,IF('Presumptive Eligibility'!I25=$A$17,'Presumptive Eligibility'!F25/3,IF('Presumptive Eligibility'!I25=$A$18,'Presumptive Eligibility'!F25/6,IF('Presumptive Eligibility'!I25=$A$19,'Presumptive Eligibility'!F25*2,IF('Presumptive Eligibility'!I25=$A$20,'Presumptive Eligibility'!F25*4.3,"")))))))))</f>
        <v/>
      </c>
      <c r="B29" s="20"/>
      <c r="C29" s="20"/>
      <c r="D29" s="20"/>
      <c r="E29" s="20"/>
    </row>
    <row r="30" spans="1:5" x14ac:dyDescent="0.25">
      <c r="A30" s="20" t="str">
        <f>IF('Presumptive Eligibility'!I26=$A$13,'Presumptive Eligibility'!F26*0,(IF('Presumptive Eligibility'!I26=$A$15,'Presumptive Eligibility'!F26*2.15,IF('Presumptive Eligibility'!I26=$A$14,'Presumptive Eligibility'!F26/12,IF('Presumptive Eligibility'!I26=$A$16,'Presumptive Eligibility'!F26,IF('Presumptive Eligibility'!I26=$A$17,'Presumptive Eligibility'!F26/3,IF('Presumptive Eligibility'!I26=$A$18,'Presumptive Eligibility'!F26/6,IF('Presumptive Eligibility'!I26=$A$19,'Presumptive Eligibility'!F26*2,IF('Presumptive Eligibility'!I26=$A$20,'Presumptive Eligibility'!F26*4.3,"")))))))))</f>
        <v/>
      </c>
      <c r="B30" s="20"/>
      <c r="C30" s="20"/>
      <c r="D30" s="20"/>
      <c r="E30" s="20"/>
    </row>
    <row r="31" spans="1:5" x14ac:dyDescent="0.25">
      <c r="A31" s="20" t="str">
        <f>IF('Presumptive Eligibility'!I27=$A$13,'Presumptive Eligibility'!F27*0,(IF('Presumptive Eligibility'!I27=$A$15,'Presumptive Eligibility'!F27*2.15,IF('Presumptive Eligibility'!I27=$A$14,'Presumptive Eligibility'!F27/12,IF('Presumptive Eligibility'!I27=$A$16,'Presumptive Eligibility'!F27,IF('Presumptive Eligibility'!I27=$A$17,'Presumptive Eligibility'!F27/3,IF('Presumptive Eligibility'!I27=$A$18,'Presumptive Eligibility'!F27/6,IF('Presumptive Eligibility'!I27=$A$19,'Presumptive Eligibility'!F27*2,IF('Presumptive Eligibility'!I27=$A$20,'Presumptive Eligibility'!F27*4.3,"")))))))))</f>
        <v/>
      </c>
      <c r="B31" s="20"/>
      <c r="C31" s="20"/>
      <c r="D31" s="20"/>
      <c r="E31" s="20"/>
    </row>
    <row r="32" spans="1:5" x14ac:dyDescent="0.25">
      <c r="A32" s="20" t="str">
        <f>IF('Presumptive Eligibility'!I28=$A$13,'Presumptive Eligibility'!F28*0,(IF('Presumptive Eligibility'!I28=$A$15,'Presumptive Eligibility'!F28*2.15,IF('Presumptive Eligibility'!I28=$A$14,'Presumptive Eligibility'!F28/12,IF('Presumptive Eligibility'!I28=$A$16,'Presumptive Eligibility'!F28,IF('Presumptive Eligibility'!I28=$A$17,'Presumptive Eligibility'!F28/3,IF('Presumptive Eligibility'!I28=$A$18,'Presumptive Eligibility'!F28/6,IF('Presumptive Eligibility'!I28=$A$19,'Presumptive Eligibility'!F28*2,IF('Presumptive Eligibility'!I28=$A$20,'Presumptive Eligibility'!F28*4.3,"")))))))))</f>
        <v/>
      </c>
      <c r="B32" s="20"/>
      <c r="C32" s="20"/>
      <c r="D32" s="20"/>
      <c r="E32" s="20"/>
    </row>
    <row r="33" spans="1:9" x14ac:dyDescent="0.25">
      <c r="A33" s="20" t="str">
        <f>IF('Presumptive Eligibility'!I29=$A$13,'Presumptive Eligibility'!F29*0,(IF('Presumptive Eligibility'!I29=$A$15,'Presumptive Eligibility'!F29*2.15,IF('Presumptive Eligibility'!I29=$A$14,'Presumptive Eligibility'!F29/12,IF('Presumptive Eligibility'!I29=$A$16,'Presumptive Eligibility'!F29,IF('Presumptive Eligibility'!I29=$A$17,'Presumptive Eligibility'!F29/3,IF('Presumptive Eligibility'!I29=$A$18,'Presumptive Eligibility'!F29/6,IF('Presumptive Eligibility'!I29=$A$19,'Presumptive Eligibility'!F29*2,IF('Presumptive Eligibility'!I29=$A$20,'Presumptive Eligibility'!F29*4.3,"")))))))))</f>
        <v/>
      </c>
      <c r="B33" s="20"/>
      <c r="C33" s="20"/>
      <c r="D33" s="20"/>
      <c r="E33" s="20"/>
      <c r="F33" s="20"/>
      <c r="G33" s="20"/>
      <c r="H33" s="20"/>
      <c r="I33" s="20"/>
    </row>
    <row r="34" spans="1:9" x14ac:dyDescent="0.25">
      <c r="A34" s="20" t="str">
        <f>IF('Presumptive Eligibility'!I30=$A$13,'Presumptive Eligibility'!F30*0,(IF('Presumptive Eligibility'!I30=$A$15,'Presumptive Eligibility'!F30*2.15,IF('Presumptive Eligibility'!I30=$A$14,'Presumptive Eligibility'!F30/12,IF('Presumptive Eligibility'!I30=$A$16,'Presumptive Eligibility'!F30,IF('Presumptive Eligibility'!I30=$A$17,'Presumptive Eligibility'!F30/3,IF('Presumptive Eligibility'!I30=$A$18,'Presumptive Eligibility'!F30/6,IF('Presumptive Eligibility'!I30=$A$19,'Presumptive Eligibility'!F30*2,IF('Presumptive Eligibility'!I30=$A$20,'Presumptive Eligibility'!F30*4.3,"")))))))))</f>
        <v/>
      </c>
      <c r="B34" s="20"/>
      <c r="C34" s="20"/>
      <c r="D34" s="20"/>
      <c r="E34" s="20"/>
      <c r="F34" s="20"/>
      <c r="G34" s="20"/>
      <c r="H34" s="20"/>
      <c r="I34" s="20"/>
    </row>
    <row r="35" spans="1:9" x14ac:dyDescent="0.25">
      <c r="A35" s="20" t="str">
        <f>IF('Presumptive Eligibility'!I31=$A$13,'Presumptive Eligibility'!F31*0,(IF('Presumptive Eligibility'!I31=$A$15,'Presumptive Eligibility'!F31*2.15,IF('Presumptive Eligibility'!I31=$A$14,'Presumptive Eligibility'!F31/12,IF('Presumptive Eligibility'!I31=$A$16,'Presumptive Eligibility'!F31,IF('Presumptive Eligibility'!I31=$A$17,'Presumptive Eligibility'!F31/3,IF('Presumptive Eligibility'!I31=$A$18,'Presumptive Eligibility'!F31/6,IF('Presumptive Eligibility'!I31=$A$19,'Presumptive Eligibility'!F31*2,IF('Presumptive Eligibility'!I31=$A$20,'Presumptive Eligibility'!F31*4.3,"")))))))))</f>
        <v/>
      </c>
      <c r="B35" s="20"/>
      <c r="C35" s="20"/>
      <c r="D35" s="20"/>
      <c r="E35" s="20"/>
      <c r="F35" s="20"/>
      <c r="G35" s="20"/>
      <c r="H35" s="20"/>
      <c r="I35" s="20"/>
    </row>
    <row r="36" spans="1:9" x14ac:dyDescent="0.25">
      <c r="A36" s="20" t="str">
        <f>IF('Presumptive Eligibility'!I32=$A$13,'Presumptive Eligibility'!F32*0,(IF('Presumptive Eligibility'!I32=$A$15,'Presumptive Eligibility'!F32*2.15,IF('Presumptive Eligibility'!I32=$A$14,'Presumptive Eligibility'!F32/12,IF('Presumptive Eligibility'!I32=$A$16,'Presumptive Eligibility'!F32,IF('Presumptive Eligibility'!I32=$A$17,'Presumptive Eligibility'!F32/3,IF('Presumptive Eligibility'!I32=$A$18,'Presumptive Eligibility'!F32/6,IF('Presumptive Eligibility'!I32=$A$19,'Presumptive Eligibility'!F32*2,IF('Presumptive Eligibility'!I32=$A$20,'Presumptive Eligibility'!F32*4.3,"")))))))))</f>
        <v/>
      </c>
      <c r="B36" s="20"/>
      <c r="C36" s="20"/>
      <c r="D36" s="20"/>
      <c r="E36" s="20"/>
      <c r="F36" s="20"/>
      <c r="G36" s="20"/>
      <c r="H36" s="20"/>
      <c r="I36" s="20"/>
    </row>
    <row r="37" spans="1:9" x14ac:dyDescent="0.25">
      <c r="A37" s="20" t="str">
        <f>IF('Presumptive Eligibility'!I33=$A$13,'Presumptive Eligibility'!F33*0,(IF('Presumptive Eligibility'!I33=$A$15,'Presumptive Eligibility'!F33*2.15,IF('Presumptive Eligibility'!I33=$A$14,'Presumptive Eligibility'!F33/12,IF('Presumptive Eligibility'!I33=$A$16,'Presumptive Eligibility'!F33,IF('Presumptive Eligibility'!I33=$A$17,'Presumptive Eligibility'!F33/3,IF('Presumptive Eligibility'!I33=$A$18,'Presumptive Eligibility'!F33/6,IF('Presumptive Eligibility'!I33=$A$19,'Presumptive Eligibility'!F33*2,IF('Presumptive Eligibility'!I33=$A$20,'Presumptive Eligibility'!F33*4.3,"")))))))))</f>
        <v/>
      </c>
      <c r="B37" s="20"/>
      <c r="C37" s="20"/>
      <c r="D37" s="20"/>
      <c r="E37" s="20"/>
      <c r="F37" s="20"/>
      <c r="G37" s="20"/>
      <c r="H37" s="20"/>
      <c r="I37" s="20"/>
    </row>
    <row r="38" spans="1:9" x14ac:dyDescent="0.25">
      <c r="A38" s="20" t="str">
        <f>IF('Presumptive Eligibility'!I34=$A$13,'Presumptive Eligibility'!F34*0,(IF('Presumptive Eligibility'!I34=$A$15,'Presumptive Eligibility'!F34*2.15,IF('Presumptive Eligibility'!I34=$A$14,'Presumptive Eligibility'!F34/12,IF('Presumptive Eligibility'!I34=$A$16,'Presumptive Eligibility'!F34,IF('Presumptive Eligibility'!I34=$A$17,'Presumptive Eligibility'!F34/3,IF('Presumptive Eligibility'!I34=$A$18,'Presumptive Eligibility'!F34/6,IF('Presumptive Eligibility'!I34=$A$19,'Presumptive Eligibility'!F34*2,IF('Presumptive Eligibility'!I34=$A$20,'Presumptive Eligibility'!F34*4.3,"")))))))))</f>
        <v/>
      </c>
      <c r="B38" s="20"/>
      <c r="C38" s="20"/>
      <c r="D38" s="20"/>
      <c r="E38" s="20"/>
      <c r="F38" s="20"/>
      <c r="G38" s="20"/>
      <c r="H38" s="20"/>
      <c r="I38" s="20"/>
    </row>
    <row r="39" spans="1:9" x14ac:dyDescent="0.25">
      <c r="A39" s="20"/>
      <c r="B39" s="20"/>
      <c r="C39" s="20"/>
      <c r="D39" s="20"/>
      <c r="E39" s="20"/>
      <c r="F39" s="20"/>
      <c r="G39" s="20"/>
      <c r="H39" s="20"/>
      <c r="I39" s="20"/>
    </row>
    <row r="40" spans="1:9" x14ac:dyDescent="0.25">
      <c r="A40" s="20"/>
      <c r="B40" s="20"/>
      <c r="C40" s="20"/>
      <c r="D40" s="20"/>
      <c r="E40" s="20"/>
      <c r="F40" s="20"/>
      <c r="G40" s="20"/>
      <c r="H40" s="20"/>
      <c r="I40" s="20"/>
    </row>
    <row r="41" spans="1:9" x14ac:dyDescent="0.25">
      <c r="A41" s="20"/>
      <c r="B41" s="20" t="s">
        <v>45</v>
      </c>
      <c r="C41" s="20" t="s">
        <v>45</v>
      </c>
      <c r="D41" s="20" t="s">
        <v>45</v>
      </c>
      <c r="E41" s="20" t="s">
        <v>46</v>
      </c>
      <c r="F41" s="20" t="s">
        <v>47</v>
      </c>
      <c r="G41" s="20" t="s">
        <v>48</v>
      </c>
      <c r="H41" s="20" t="s">
        <v>49</v>
      </c>
      <c r="I41" s="20" t="s">
        <v>50</v>
      </c>
    </row>
    <row r="42" spans="1:9" x14ac:dyDescent="0.25">
      <c r="A42" s="20"/>
      <c r="B42" s="20" t="s">
        <v>51</v>
      </c>
      <c r="C42" s="20" t="s">
        <v>52</v>
      </c>
      <c r="D42" s="20" t="s">
        <v>52</v>
      </c>
      <c r="E42" s="20" t="s">
        <v>53</v>
      </c>
      <c r="F42" s="20" t="s">
        <v>45</v>
      </c>
      <c r="G42" s="20" t="s">
        <v>54</v>
      </c>
      <c r="H42" s="20" t="s">
        <v>55</v>
      </c>
      <c r="I42" s="20" t="s">
        <v>56</v>
      </c>
    </row>
    <row r="43" spans="1:9" x14ac:dyDescent="0.25">
      <c r="A43" s="20"/>
      <c r="B43" s="20" t="s">
        <v>57</v>
      </c>
      <c r="C43" s="20"/>
      <c r="D43" s="20"/>
      <c r="E43" s="20" t="s">
        <v>45</v>
      </c>
      <c r="F43" s="20" t="s">
        <v>52</v>
      </c>
      <c r="G43" s="20" t="s">
        <v>58</v>
      </c>
      <c r="H43" s="20" t="s">
        <v>59</v>
      </c>
      <c r="I43" s="20" t="s">
        <v>60</v>
      </c>
    </row>
    <row r="44" spans="1:9" x14ac:dyDescent="0.25">
      <c r="A44" s="20"/>
      <c r="B44" s="20" t="s">
        <v>52</v>
      </c>
      <c r="C44" s="20"/>
      <c r="D44" s="20"/>
      <c r="E44" s="20" t="s">
        <v>52</v>
      </c>
      <c r="F44" s="20"/>
      <c r="G44" s="20" t="s">
        <v>61</v>
      </c>
      <c r="H44" s="20" t="s">
        <v>62</v>
      </c>
      <c r="I44" s="20" t="s">
        <v>62</v>
      </c>
    </row>
    <row r="45" spans="1:9" x14ac:dyDescent="0.25">
      <c r="A45" s="20">
        <v>1</v>
      </c>
      <c r="B45" s="20">
        <v>205</v>
      </c>
      <c r="C45" s="20">
        <v>643</v>
      </c>
      <c r="D45" s="20">
        <v>1190</v>
      </c>
      <c r="E45" s="20">
        <v>958</v>
      </c>
      <c r="F45" s="20">
        <v>1273</v>
      </c>
      <c r="G45" s="20" t="s">
        <v>63</v>
      </c>
      <c r="H45" s="20">
        <v>1436</v>
      </c>
      <c r="I45" s="20">
        <v>1771</v>
      </c>
    </row>
    <row r="46" spans="1:9" x14ac:dyDescent="0.25">
      <c r="A46" s="20">
        <v>2</v>
      </c>
      <c r="B46" s="20">
        <v>251</v>
      </c>
      <c r="C46" s="20">
        <v>786</v>
      </c>
      <c r="D46" s="20">
        <v>1454</v>
      </c>
      <c r="E46" s="20">
        <v>1293</v>
      </c>
      <c r="F46" s="20">
        <v>1719</v>
      </c>
      <c r="G46" s="20" t="s">
        <v>64</v>
      </c>
      <c r="H46" s="20">
        <v>1939</v>
      </c>
      <c r="I46" s="20">
        <v>2391</v>
      </c>
    </row>
    <row r="47" spans="1:9" x14ac:dyDescent="0.25">
      <c r="A47" s="20">
        <v>3</v>
      </c>
      <c r="B47" s="20">
        <v>317</v>
      </c>
      <c r="C47" s="20">
        <v>991</v>
      </c>
      <c r="D47" s="20">
        <v>1833</v>
      </c>
      <c r="E47" s="20">
        <v>1628</v>
      </c>
      <c r="F47" s="20">
        <v>2165</v>
      </c>
      <c r="G47" s="20" t="s">
        <v>65</v>
      </c>
      <c r="H47" s="20">
        <v>2441</v>
      </c>
      <c r="I47" s="20">
        <v>3011</v>
      </c>
    </row>
    <row r="48" spans="1:9" x14ac:dyDescent="0.25">
      <c r="A48" s="20">
        <v>4</v>
      </c>
      <c r="B48" s="20">
        <v>382</v>
      </c>
      <c r="C48" s="20">
        <v>1196</v>
      </c>
      <c r="D48" s="20">
        <v>2213</v>
      </c>
      <c r="E48" s="20">
        <v>1963</v>
      </c>
      <c r="F48" s="20">
        <v>2610</v>
      </c>
      <c r="G48" s="20" t="s">
        <v>66</v>
      </c>
      <c r="H48" s="20">
        <v>2944</v>
      </c>
      <c r="I48" s="20">
        <v>3631</v>
      </c>
    </row>
    <row r="49" spans="1:9" x14ac:dyDescent="0.25">
      <c r="A49" s="20">
        <v>5</v>
      </c>
      <c r="B49" s="20">
        <v>448</v>
      </c>
      <c r="C49" s="20">
        <v>1401</v>
      </c>
      <c r="D49" s="20">
        <v>2592</v>
      </c>
      <c r="E49" s="20">
        <v>2298</v>
      </c>
      <c r="F49" s="20">
        <v>3056</v>
      </c>
      <c r="G49" s="20" t="s">
        <v>67</v>
      </c>
      <c r="H49" s="20">
        <v>3446</v>
      </c>
      <c r="I49" s="20">
        <v>4250</v>
      </c>
    </row>
    <row r="50" spans="1:9" x14ac:dyDescent="0.25">
      <c r="A50" s="20">
        <v>6</v>
      </c>
      <c r="B50" s="20">
        <v>513</v>
      </c>
      <c r="C50" s="20">
        <v>1606</v>
      </c>
      <c r="D50" s="20">
        <v>2971</v>
      </c>
      <c r="E50" s="20">
        <v>2633</v>
      </c>
      <c r="F50" s="20">
        <v>3501</v>
      </c>
      <c r="G50" s="20" t="s">
        <v>68</v>
      </c>
      <c r="H50" s="20">
        <v>3949</v>
      </c>
      <c r="I50" s="20">
        <v>4870</v>
      </c>
    </row>
    <row r="51" spans="1:9" x14ac:dyDescent="0.25">
      <c r="A51" s="20">
        <v>7</v>
      </c>
      <c r="B51" s="20">
        <v>579</v>
      </c>
      <c r="C51" s="20">
        <v>1811</v>
      </c>
      <c r="D51" s="20">
        <v>3350</v>
      </c>
      <c r="E51" s="20">
        <v>2968</v>
      </c>
      <c r="F51" s="20">
        <v>3947</v>
      </c>
      <c r="G51" s="20" t="s">
        <v>69</v>
      </c>
      <c r="H51" s="20">
        <v>4451</v>
      </c>
      <c r="I51" s="20">
        <v>5490</v>
      </c>
    </row>
    <row r="52" spans="1:9" x14ac:dyDescent="0.25">
      <c r="A52" s="20">
        <v>8</v>
      </c>
      <c r="B52" s="20">
        <v>645</v>
      </c>
      <c r="C52" s="20">
        <v>2016</v>
      </c>
      <c r="D52" s="20">
        <v>3730</v>
      </c>
      <c r="E52" s="20">
        <v>3303</v>
      </c>
      <c r="F52" s="20">
        <v>4392</v>
      </c>
      <c r="G52" s="20" t="s">
        <v>70</v>
      </c>
      <c r="H52" s="20">
        <v>4954</v>
      </c>
      <c r="I52" s="20">
        <v>6110</v>
      </c>
    </row>
    <row r="53" spans="1:9" x14ac:dyDescent="0.25">
      <c r="A53" s="20" t="s">
        <v>71</v>
      </c>
      <c r="B53" s="20">
        <v>65</v>
      </c>
      <c r="C53" s="20">
        <v>205</v>
      </c>
      <c r="D53" s="20">
        <v>380</v>
      </c>
      <c r="E53" s="20">
        <v>335</v>
      </c>
      <c r="F53" s="20">
        <v>446</v>
      </c>
      <c r="G53" s="20"/>
      <c r="H53" s="20">
        <v>503</v>
      </c>
      <c r="I53" s="20">
        <v>620</v>
      </c>
    </row>
    <row r="54" spans="1:9" x14ac:dyDescent="0.25">
      <c r="A54" s="20">
        <v>9</v>
      </c>
      <c r="B54" s="20">
        <v>710</v>
      </c>
      <c r="C54" s="20">
        <v>2221</v>
      </c>
      <c r="D54" s="20">
        <v>4110</v>
      </c>
      <c r="E54" s="20">
        <v>3638</v>
      </c>
      <c r="F54" s="20">
        <v>4838</v>
      </c>
      <c r="G54" s="20"/>
      <c r="H54" s="20">
        <v>5457</v>
      </c>
      <c r="I54" s="20">
        <v>6730</v>
      </c>
    </row>
    <row r="55" spans="1:9" x14ac:dyDescent="0.25">
      <c r="A55" s="20">
        <v>10</v>
      </c>
      <c r="B55" s="20">
        <v>775</v>
      </c>
      <c r="C55" s="20">
        <v>2426</v>
      </c>
      <c r="D55" s="20">
        <v>4490</v>
      </c>
      <c r="E55" s="20">
        <v>3973</v>
      </c>
      <c r="F55" s="20">
        <v>5284</v>
      </c>
      <c r="G55" s="20"/>
      <c r="H55" s="20">
        <v>5960</v>
      </c>
      <c r="I55" s="20">
        <v>7350</v>
      </c>
    </row>
    <row r="56" spans="1:9" x14ac:dyDescent="0.25">
      <c r="A56" s="20">
        <v>11</v>
      </c>
      <c r="B56" s="20">
        <v>840</v>
      </c>
      <c r="C56" s="20">
        <v>2631</v>
      </c>
      <c r="D56" s="20">
        <v>4870</v>
      </c>
      <c r="E56" s="20">
        <v>4308</v>
      </c>
      <c r="F56" s="20">
        <v>5730</v>
      </c>
      <c r="G56" s="20"/>
      <c r="H56" s="20">
        <v>6463</v>
      </c>
      <c r="I56" s="20">
        <v>7970</v>
      </c>
    </row>
    <row r="57" spans="1:9" x14ac:dyDescent="0.25">
      <c r="A57" s="20">
        <v>12</v>
      </c>
      <c r="B57" s="20">
        <v>905</v>
      </c>
      <c r="C57" s="20">
        <v>2836</v>
      </c>
      <c r="D57" s="20">
        <v>5250</v>
      </c>
      <c r="E57" s="20">
        <v>4643</v>
      </c>
      <c r="F57" s="20">
        <v>6176</v>
      </c>
      <c r="G57" s="20"/>
      <c r="H57" s="20">
        <v>6966</v>
      </c>
      <c r="I57" s="20">
        <v>8590</v>
      </c>
    </row>
    <row r="58" spans="1:9" x14ac:dyDescent="0.25">
      <c r="A58" s="20">
        <v>13</v>
      </c>
      <c r="B58" s="20">
        <v>970</v>
      </c>
      <c r="C58" s="20">
        <v>3041</v>
      </c>
      <c r="D58" s="20">
        <v>5630</v>
      </c>
      <c r="E58" s="20">
        <v>4978</v>
      </c>
      <c r="F58" s="20">
        <v>6622</v>
      </c>
      <c r="G58" s="20"/>
      <c r="H58" s="20">
        <v>7469</v>
      </c>
      <c r="I58" s="20">
        <v>9210</v>
      </c>
    </row>
    <row r="59" spans="1:9" x14ac:dyDescent="0.25">
      <c r="A59" s="20">
        <v>14</v>
      </c>
      <c r="B59" s="20">
        <v>1035</v>
      </c>
      <c r="C59" s="20">
        <v>3246</v>
      </c>
      <c r="D59" s="20">
        <v>6010</v>
      </c>
      <c r="E59" s="20">
        <v>5313</v>
      </c>
      <c r="F59" s="20">
        <v>7068</v>
      </c>
      <c r="G59" s="20"/>
      <c r="H59" s="20">
        <v>7972</v>
      </c>
      <c r="I59" s="20">
        <v>9830</v>
      </c>
    </row>
    <row r="60" spans="1:9" x14ac:dyDescent="0.25">
      <c r="A60" s="20">
        <v>15</v>
      </c>
      <c r="B60" s="20">
        <v>1100</v>
      </c>
      <c r="C60" s="20">
        <v>3451</v>
      </c>
      <c r="D60" s="20">
        <v>6390</v>
      </c>
      <c r="E60" s="20">
        <v>5648</v>
      </c>
      <c r="F60" s="20">
        <v>7514</v>
      </c>
      <c r="G60" s="20"/>
      <c r="H60" s="20">
        <v>8475</v>
      </c>
      <c r="I60" s="20">
        <v>10450</v>
      </c>
    </row>
    <row r="63" spans="1:9" x14ac:dyDescent="0.25">
      <c r="A63" s="20" t="str">
        <f>IF(AND(COUNTA('Presumptive Eligibility'!B20:I20)&gt;0,COUNTA('Presumptive Eligibility'!B20:I20)&lt;3),"The Name, Household Member Income, and Frequency are required.","")</f>
        <v/>
      </c>
      <c r="B63" s="20"/>
      <c r="C63" s="20"/>
      <c r="D63" s="20"/>
      <c r="E63" s="20"/>
      <c r="F63" s="20"/>
      <c r="G63" s="20"/>
      <c r="H63" s="20"/>
      <c r="I63" s="20"/>
    </row>
    <row r="64" spans="1:9" x14ac:dyDescent="0.25">
      <c r="A64" s="20" t="str">
        <f>IF(AND(COUNTA('Presumptive Eligibility'!B21:I21)&gt;0,COUNTA('Presumptive Eligibility'!B21:I21)&lt;3),"The Name, Household Member Income, and Frequency are required.","")</f>
        <v/>
      </c>
      <c r="B64" s="20"/>
      <c r="C64" s="20"/>
      <c r="D64" s="20"/>
      <c r="E64" s="20"/>
      <c r="F64" s="20"/>
      <c r="G64" s="20"/>
      <c r="H64" s="20"/>
      <c r="I64" s="20"/>
    </row>
    <row r="65" spans="1:1" x14ac:dyDescent="0.25">
      <c r="A65" s="20" t="str">
        <f>IF(AND(COUNTA('Presumptive Eligibility'!B22:I22)&gt;0,COUNTA('Presumptive Eligibility'!B22:I22)&lt;3),"The Name, Household Member Income, and Frequency are required.","")</f>
        <v/>
      </c>
    </row>
    <row r="66" spans="1:1" x14ac:dyDescent="0.25">
      <c r="A66" s="20" t="str">
        <f>IF(AND(COUNTA('Presumptive Eligibility'!B23:I23)&gt;0,COUNTA('Presumptive Eligibility'!B23:I23)&lt;3),"The Name, Household Member Income, and Frequency are required.","")</f>
        <v/>
      </c>
    </row>
    <row r="67" spans="1:1" x14ac:dyDescent="0.25">
      <c r="A67" s="20" t="str">
        <f>IF(AND(COUNTA('Presumptive Eligibility'!B24:I24)&gt;0,COUNTA('Presumptive Eligibility'!B24:I24)&lt;3),"The Name, Household Member Income, and Frequency are required.","")</f>
        <v/>
      </c>
    </row>
    <row r="68" spans="1:1" x14ac:dyDescent="0.25">
      <c r="A68" s="20" t="str">
        <f>IF(AND(COUNTA('Presumptive Eligibility'!B25:I25)&gt;0,COUNTA('Presumptive Eligibility'!B25:I25)&lt;3),"The Name, Household Member Income, and Frequency are required.","")</f>
        <v/>
      </c>
    </row>
    <row r="69" spans="1:1" x14ac:dyDescent="0.25">
      <c r="A69" s="20" t="str">
        <f>IF(AND(COUNTA('Presumptive Eligibility'!B26:I26)&gt;0,COUNTA('Presumptive Eligibility'!B26:I26)&lt;3),"The Name, Household Member Income, and Frequency are required.","")</f>
        <v/>
      </c>
    </row>
    <row r="70" spans="1:1" x14ac:dyDescent="0.25">
      <c r="A70" s="20" t="str">
        <f>IF(AND(COUNTA('Presumptive Eligibility'!B27:I27)&gt;0,COUNTA('Presumptive Eligibility'!B27:I27)&lt;3),"The Name, Household Member Income, and Frequency are required.","")</f>
        <v/>
      </c>
    </row>
    <row r="71" spans="1:1" x14ac:dyDescent="0.25">
      <c r="A71" s="20" t="str">
        <f>IF(AND(COUNTA('Presumptive Eligibility'!B28:I28)&gt;0,COUNTA('Presumptive Eligibility'!B28:I28)&lt;3),"The Name, Household Member Income, and Frequency are required.","")</f>
        <v/>
      </c>
    </row>
    <row r="72" spans="1:1" x14ac:dyDescent="0.25">
      <c r="A72" s="20" t="str">
        <f>IF(AND(COUNTA('Presumptive Eligibility'!B29:I29)&gt;0,COUNTA('Presumptive Eligibility'!B29:I29)&lt;3),"The Name, Household Member Income, and Frequency are required.","")</f>
        <v/>
      </c>
    </row>
    <row r="73" spans="1:1" x14ac:dyDescent="0.25">
      <c r="A73" s="20" t="str">
        <f>IF(AND(COUNTA('Presumptive Eligibility'!B30:I30)&gt;0,COUNTA('Presumptive Eligibility'!B30:I30)&lt;3),"The Name, Household Member Income, and Frequency are required.","")</f>
        <v/>
      </c>
    </row>
    <row r="74" spans="1:1" x14ac:dyDescent="0.25">
      <c r="A74" s="20" t="str">
        <f>IF(AND(COUNTA('Presumptive Eligibility'!B31:I31)&gt;0,COUNTA('Presumptive Eligibility'!B31:I31)&lt;3),"The Name, Household Member Income, and Frequency are required.","")</f>
        <v/>
      </c>
    </row>
    <row r="75" spans="1:1" x14ac:dyDescent="0.25">
      <c r="A75" s="20" t="str">
        <f>IF(AND(COUNTA('Presumptive Eligibility'!B32:I32)&gt;0,COUNTA('Presumptive Eligibility'!B32:I32)&lt;3),"The Name, Household Member Income, and Frequency are required.","")</f>
        <v/>
      </c>
    </row>
    <row r="76" spans="1:1" x14ac:dyDescent="0.25">
      <c r="A76" s="20" t="str">
        <f>IF(AND(COUNTA('Presumptive Eligibility'!B33:I33)&gt;0,COUNTA('Presumptive Eligibility'!B33:I33)&lt;3),"The Name, Household Member Income, and Frequency are required.","")</f>
        <v/>
      </c>
    </row>
    <row r="77" spans="1:1" x14ac:dyDescent="0.25">
      <c r="A77" s="20" t="str">
        <f>IF(AND(COUNTA('Presumptive Eligibility'!B34:I34)&gt;0,COUNTA('Presumptive Eligibility'!B34:I34)&lt;3),"The Name, Household Member Income, and Frequency are required.","")</f>
        <v/>
      </c>
    </row>
    <row r="78" spans="1:1" x14ac:dyDescent="0.25">
      <c r="A78" s="20" t="s">
        <v>44</v>
      </c>
    </row>
    <row r="79" spans="1:1" x14ac:dyDescent="0.25">
      <c r="A79" s="20"/>
    </row>
    <row r="80" spans="1:1" x14ac:dyDescent="0.25">
      <c r="A80" s="20"/>
    </row>
    <row r="81" spans="1:1" x14ac:dyDescent="0.25">
      <c r="A81" s="20"/>
    </row>
  </sheetData>
  <sheetProtection password="EB98"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Presumptive Eligibility</vt:lpstr>
      <vt:lpstr>Calculations</vt:lpstr>
    </vt:vector>
  </TitlesOfParts>
  <Company>DHW</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Ostberg, Bobette - Reg7</dc:creator>
  <cp:lastModifiedBy>Heller, Gretchan - CO 2nd</cp:lastModifiedBy>
  <dcterms:created xsi:type="dcterms:W3CDTF">2013-10-30T21:37:24Z</dcterms:created>
  <dcterms:modified xsi:type="dcterms:W3CDTF">2014-03-07T21:19:35Z</dcterms:modified>
</cp:coreProperties>
</file>