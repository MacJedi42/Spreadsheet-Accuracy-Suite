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35" windowWidth="14355" windowHeight="7935"/>
  </bookViews>
  <sheets>
    <sheet name="Instructions" sheetId="11" r:id="rId1"/>
    <sheet name="K-5" sheetId="1" r:id="rId2"/>
    <sheet name="6-8" sheetId="7" r:id="rId3"/>
    <sheet name="9-12" sheetId="8" r:id="rId4"/>
    <sheet name="K-12" sheetId="10" r:id="rId5"/>
    <sheet name="K-12; 4 day week" sheetId="13" r:id="rId6"/>
    <sheet name="K-12; 7 day week" sheetId="12" r:id="rId7"/>
  </sheets>
  <calcPr calcId="145621"/>
</workbook>
</file>

<file path=xl/calcChain.xml><?xml version="1.0" encoding="utf-8"?>
<calcChain xmlns="http://schemas.openxmlformats.org/spreadsheetml/2006/main">
  <c r="Q21" i="12" l="1"/>
  <c r="C22" i="12"/>
  <c r="K24" i="13" l="1"/>
  <c r="P23" i="13" s="1"/>
  <c r="K21" i="13"/>
  <c r="P20" i="13" s="1"/>
  <c r="K19" i="13"/>
  <c r="L16" i="13"/>
  <c r="K16" i="13"/>
  <c r="I25" i="13"/>
  <c r="G25" i="13"/>
  <c r="E25" i="13"/>
  <c r="C25" i="13"/>
  <c r="I22" i="13"/>
  <c r="G22" i="13"/>
  <c r="E22" i="13"/>
  <c r="C22" i="13"/>
  <c r="I17" i="13"/>
  <c r="G17" i="13"/>
  <c r="E17" i="13"/>
  <c r="C17" i="13"/>
  <c r="O17" i="13" l="1"/>
  <c r="P15" i="13" s="1"/>
  <c r="M16" i="13"/>
  <c r="N16" i="13" s="1"/>
  <c r="Q16" i="12"/>
  <c r="Q24" i="12"/>
  <c r="V23" i="12" s="1"/>
  <c r="V20" i="12"/>
  <c r="Q19" i="12"/>
  <c r="R16" i="12"/>
  <c r="M25" i="12"/>
  <c r="M22" i="12"/>
  <c r="M17" i="12"/>
  <c r="K25" i="12"/>
  <c r="K22" i="12"/>
  <c r="K17" i="12"/>
  <c r="O25" i="12"/>
  <c r="I25" i="12"/>
  <c r="G25" i="12"/>
  <c r="E25" i="12"/>
  <c r="C25" i="12"/>
  <c r="O22" i="12"/>
  <c r="I22" i="12"/>
  <c r="G22" i="12"/>
  <c r="E22" i="12"/>
  <c r="O17" i="12"/>
  <c r="I17" i="12"/>
  <c r="G17" i="12"/>
  <c r="E17" i="12"/>
  <c r="C17" i="12"/>
  <c r="U17" i="12" l="1"/>
  <c r="V15" i="12" s="1"/>
  <c r="S16" i="12"/>
  <c r="T16" i="12" s="1"/>
  <c r="K25" i="10"/>
  <c r="I25" i="10"/>
  <c r="G25" i="10"/>
  <c r="E25" i="10"/>
  <c r="C25" i="10"/>
  <c r="M24" i="10"/>
  <c r="R23" i="10"/>
  <c r="K22" i="10"/>
  <c r="I22" i="10"/>
  <c r="G22" i="10"/>
  <c r="E22" i="10"/>
  <c r="C22" i="10"/>
  <c r="M21" i="10"/>
  <c r="R20" i="10" s="1"/>
  <c r="M19" i="10"/>
  <c r="K17" i="10"/>
  <c r="I17" i="10"/>
  <c r="G17" i="10"/>
  <c r="E17" i="10"/>
  <c r="C17" i="10"/>
  <c r="N16" i="10"/>
  <c r="M16" i="10"/>
  <c r="R15" i="7"/>
  <c r="K25" i="8"/>
  <c r="I25" i="8"/>
  <c r="G25" i="8"/>
  <c r="E25" i="8"/>
  <c r="C25" i="8"/>
  <c r="M24" i="8"/>
  <c r="R23" i="8" s="1"/>
  <c r="K22" i="8"/>
  <c r="I22" i="8"/>
  <c r="G22" i="8"/>
  <c r="E22" i="8"/>
  <c r="C22" i="8"/>
  <c r="M21" i="8"/>
  <c r="R20" i="8" s="1"/>
  <c r="M19" i="8"/>
  <c r="K17" i="8"/>
  <c r="I17" i="8"/>
  <c r="G17" i="8"/>
  <c r="E17" i="8"/>
  <c r="C17" i="8"/>
  <c r="N16" i="8"/>
  <c r="M16" i="8"/>
  <c r="K25" i="7"/>
  <c r="I25" i="7"/>
  <c r="G25" i="7"/>
  <c r="E25" i="7"/>
  <c r="C25" i="7"/>
  <c r="M24" i="7"/>
  <c r="R23" i="7" s="1"/>
  <c r="K22" i="7"/>
  <c r="I22" i="7"/>
  <c r="G22" i="7"/>
  <c r="E22" i="7"/>
  <c r="C22" i="7"/>
  <c r="M21" i="7"/>
  <c r="R20" i="7"/>
  <c r="M19" i="7"/>
  <c r="K17" i="7"/>
  <c r="I17" i="7"/>
  <c r="G17" i="7"/>
  <c r="E17" i="7"/>
  <c r="C17" i="7"/>
  <c r="N16" i="7"/>
  <c r="O16" i="7" s="1"/>
  <c r="P16" i="7" s="1"/>
  <c r="M16" i="7"/>
  <c r="Q17" i="7" s="1"/>
  <c r="Q17" i="10" l="1"/>
  <c r="R15" i="10" s="1"/>
  <c r="O16" i="10"/>
  <c r="P16" i="10" s="1"/>
  <c r="Q17" i="8"/>
  <c r="R15" i="8" s="1"/>
  <c r="O16" i="8"/>
  <c r="P16" i="8" s="1"/>
  <c r="K25" i="1"/>
  <c r="I25" i="1"/>
  <c r="G25" i="1"/>
  <c r="E25" i="1"/>
  <c r="C25" i="1"/>
  <c r="M24" i="1"/>
  <c r="M21" i="1"/>
  <c r="C17" i="1"/>
  <c r="K22" i="1"/>
  <c r="I22" i="1"/>
  <c r="G22" i="1"/>
  <c r="E22" i="1"/>
  <c r="C22" i="1"/>
  <c r="N16" i="1"/>
  <c r="M16" i="1"/>
  <c r="K17" i="1"/>
  <c r="I17" i="1"/>
  <c r="G17" i="1"/>
  <c r="E17" i="1"/>
  <c r="O16" i="1" l="1"/>
  <c r="P16" i="1" s="1"/>
  <c r="R20" i="1" l="1"/>
  <c r="M19" i="1" l="1"/>
  <c r="Q17" i="1" s="1"/>
  <c r="R15" i="1" s="1"/>
  <c r="R23" i="1"/>
</calcChain>
</file>

<file path=xl/sharedStrings.xml><?xml version="1.0" encoding="utf-8"?>
<sst xmlns="http://schemas.openxmlformats.org/spreadsheetml/2006/main" count="354" uniqueCount="49">
  <si>
    <t>Monday</t>
  </si>
  <si>
    <t>Tuesday</t>
  </si>
  <si>
    <t>Wednesday</t>
  </si>
  <si>
    <t>Thursday</t>
  </si>
  <si>
    <t>Friday</t>
  </si>
  <si>
    <t>Decimal Equivalents</t>
  </si>
  <si>
    <t>1/8 Cup</t>
  </si>
  <si>
    <t>1/4 Cup</t>
  </si>
  <si>
    <t>3/8 Cup</t>
  </si>
  <si>
    <t>1/2 Cup</t>
  </si>
  <si>
    <t>5/8 Cup</t>
  </si>
  <si>
    <t>3/4 Cup</t>
  </si>
  <si>
    <t>7/8 Cup</t>
  </si>
  <si>
    <t>1 Cup</t>
  </si>
  <si>
    <t>Total OzEq</t>
  </si>
  <si>
    <t>Oz Eq WGR</t>
  </si>
  <si>
    <t xml:space="preserve"> </t>
  </si>
  <si>
    <t>Total OzEq Grain</t>
  </si>
  <si>
    <t>Total OzEq WGR</t>
  </si>
  <si>
    <t>% WGR</t>
  </si>
  <si>
    <t>OzEq M/MA</t>
  </si>
  <si>
    <t>Total OzEq M/MA</t>
  </si>
  <si>
    <t>M/MA (NOT required) (Counts toward weekly grain total)</t>
  </si>
  <si>
    <t>Cups of Milk</t>
  </si>
  <si>
    <t>Total Cups of Milk</t>
  </si>
  <si>
    <t>≥ 50% Yes/ No</t>
  </si>
  <si>
    <t>Weekly Requirement Met True/False or Yes/No</t>
  </si>
  <si>
    <t>Fluid Milk (1 Cup per day) (5 cups per week) (White Skim or 1%; Flavored Skim)</t>
  </si>
  <si>
    <t>Grains (1 Oz Eq per day) 
(7-10 Oz Eq per week)</t>
  </si>
  <si>
    <t>Daily Req Met Y/N</t>
  </si>
  <si>
    <t>Fruit &amp; Veg (1/2 cup per day) (2 1/2 cups per week)</t>
  </si>
  <si>
    <t>Cups of Fruit/Veg</t>
  </si>
  <si>
    <t>Total Cups F&amp;V</t>
  </si>
  <si>
    <t>Menu Name:</t>
  </si>
  <si>
    <t>Grade Group - K-12</t>
  </si>
  <si>
    <t>Grade Group 9-12</t>
  </si>
  <si>
    <t>Grade Group 6-8</t>
  </si>
  <si>
    <t>Grade Group K-5</t>
  </si>
  <si>
    <t>Wkly Grain Total (Grain + M/MA)</t>
  </si>
  <si>
    <t>Saturday</t>
  </si>
  <si>
    <t>Sunday</t>
  </si>
  <si>
    <t>Grains (1 Oz Eq per day) 
(5.5-8 Oz Eq per week)</t>
  </si>
  <si>
    <t>Fruit &amp; Veg (1/2 cup per day) (2 cups per week)</t>
  </si>
  <si>
    <t>Fluid Milk (1 Cup per day) (4 cups per week) (White Skim or 1%; Flavored Skim)</t>
  </si>
  <si>
    <t>Grains (1 Oz Eq per day) 
(12.5-14 Oz Eq per week)</t>
  </si>
  <si>
    <t>Fruit &amp; Veg (1/2 cup per day) (3 1/2 cups per week)</t>
  </si>
  <si>
    <t>Fluid Milk (1 Cup per day) (7 cups per week) (White Skim or 1%; Flavored Skim)</t>
  </si>
  <si>
    <t>Grains (1 Oz Eq per day) 
(8-10 Oz Eq per week)</t>
  </si>
  <si>
    <t>Grains (1 Oz Eq per day) 
(9-10 Oz Eq per week)</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</si>
</sst>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theme="9" tint="0.59996337778862885"/>
        <bgColor indexed="64"/>
      </patternFill>
    </fill>
    <fill>
      <patternFill patternType="solid">
        <fgColor theme="0" tint="-0.14996795556505021"/>
        <bgColor indexed="64"/>
      </patternFill>
    </fill>
    <fill>
      <patternFill patternType="solid">
        <fgColor theme="4" tint="0.39994506668294322"/>
        <bgColor indexed="64"/>
      </patternFill>
    </fill>
    <fill>
      <patternFill patternType="solid">
        <fgColor theme="7" tint="0.39994506668294322"/>
        <bgColor indexed="64"/>
      </patternFill>
    </fill>
    <fill>
      <patternFill patternType="solid">
        <fgColor theme="2" tint="-0.499984740745262"/>
        <bgColor indexed="64"/>
      </patternFill>
    </fill>
  </fills>
  <borders count="5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ck">
        <color indexed="64"/>
      </top>
      <bottom style="thin">
        <color indexed="64"/>
      </bottom>
      <diagonal/>
    </border>
    <border>
      <left/>
      <right style="thin">
        <color indexed="64"/>
      </right>
      <top/>
      <bottom style="thick">
        <color indexed="64"/>
      </bottom>
      <diagonal/>
    </border>
    <border>
      <left/>
      <right style="thin">
        <color indexed="64"/>
      </right>
      <top style="thick">
        <color indexed="64"/>
      </top>
      <bottom style="thin">
        <color indexed="64"/>
      </bottom>
      <diagonal/>
    </border>
    <border>
      <left style="thick">
        <color indexed="64"/>
      </left>
      <right/>
      <top style="thin">
        <color indexed="64"/>
      </top>
      <bottom/>
      <diagonal/>
    </border>
    <border>
      <left style="thick">
        <color indexed="64"/>
      </left>
      <right/>
      <top/>
      <bottom/>
      <diagonal/>
    </border>
    <border>
      <left/>
      <right style="thick">
        <color indexed="64"/>
      </right>
      <top/>
      <bottom/>
      <diagonal/>
    </border>
    <border>
      <left style="thick">
        <color indexed="64"/>
      </left>
      <right/>
      <top style="thick">
        <color indexed="64"/>
      </top>
      <bottom/>
      <diagonal/>
    </border>
    <border>
      <left/>
      <right style="thick">
        <color indexed="64"/>
      </right>
      <top style="thick">
        <color indexed="64"/>
      </top>
      <bottom/>
      <diagonal/>
    </border>
    <border>
      <left/>
      <right style="thick">
        <color indexed="64"/>
      </right>
      <top style="thin">
        <color indexed="64"/>
      </top>
      <bottom style="thin">
        <color indexed="64"/>
      </bottom>
      <diagonal/>
    </border>
    <border>
      <left style="thick">
        <color indexed="64"/>
      </left>
      <right/>
      <top/>
      <bottom style="thick">
        <color indexed="64"/>
      </bottom>
      <diagonal/>
    </border>
    <border>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bottom/>
      <diagonal/>
    </border>
    <border>
      <left style="thin">
        <color indexed="64"/>
      </left>
      <right style="thick">
        <color indexed="64"/>
      </right>
      <top/>
      <bottom style="thick">
        <color indexed="64"/>
      </bottom>
      <diagonal/>
    </border>
    <border>
      <left/>
      <right style="thin">
        <color indexed="64"/>
      </right>
      <top/>
      <bottom style="thin">
        <color indexed="64"/>
      </bottom>
      <diagonal/>
    </border>
    <border>
      <left style="thick">
        <color indexed="64"/>
      </left>
      <right style="thick">
        <color indexed="64"/>
      </right>
      <top style="thin">
        <color indexed="64"/>
      </top>
      <bottom style="thick">
        <color indexed="64"/>
      </bottom>
      <diagonal/>
    </border>
    <border>
      <left/>
      <right style="thick">
        <color indexed="64"/>
      </right>
      <top/>
      <bottom style="thick">
        <color indexed="64"/>
      </bottom>
      <diagonal/>
    </border>
    <border>
      <left style="thick">
        <color indexed="64"/>
      </left>
      <right style="thick">
        <color indexed="64"/>
      </right>
      <top style="thick">
        <color indexed="64"/>
      </top>
      <bottom style="thin">
        <color indexed="64"/>
      </bottom>
      <diagonal/>
    </border>
    <border>
      <left/>
      <right/>
      <top style="thick">
        <color indexed="64"/>
      </top>
      <bottom/>
      <diagonal/>
    </border>
    <border>
      <left style="thin">
        <color indexed="64"/>
      </left>
      <right style="thick">
        <color indexed="64"/>
      </right>
      <top style="thick">
        <color indexed="64"/>
      </top>
      <bottom style="thin">
        <color indexed="64"/>
      </bottom>
      <diagonal/>
    </border>
    <border>
      <left/>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bottom style="thin">
        <color indexed="64"/>
      </bottom>
      <diagonal/>
    </border>
    <border>
      <left/>
      <right/>
      <top style="thick">
        <color indexed="64"/>
      </top>
      <bottom style="thick">
        <color indexed="64"/>
      </bottom>
      <diagonal/>
    </border>
    <border>
      <left style="thick">
        <color indexed="64"/>
      </left>
      <right style="medium">
        <color indexed="64"/>
      </right>
      <top style="thick">
        <color indexed="64"/>
      </top>
      <bottom style="thin">
        <color indexed="64"/>
      </bottom>
      <diagonal/>
    </border>
    <border>
      <left style="medium">
        <color indexed="64"/>
      </left>
      <right style="medium">
        <color indexed="64"/>
      </right>
      <top style="thick">
        <color indexed="64"/>
      </top>
      <bottom style="thin">
        <color indexed="64"/>
      </bottom>
      <diagonal/>
    </border>
    <border>
      <left style="medium">
        <color indexed="64"/>
      </left>
      <right style="thick">
        <color indexed="64"/>
      </right>
      <top style="thick">
        <color indexed="64"/>
      </top>
      <bottom style="thin">
        <color indexed="64"/>
      </bottom>
      <diagonal/>
    </border>
    <border>
      <left style="thick">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medium">
        <color indexed="64"/>
      </right>
      <top style="thin">
        <color indexed="64"/>
      </top>
      <bottom style="thick">
        <color indexed="64"/>
      </bottom>
      <diagonal/>
    </border>
    <border>
      <left style="medium">
        <color indexed="64"/>
      </left>
      <right style="medium">
        <color indexed="64"/>
      </right>
      <top style="thin">
        <color indexed="64"/>
      </top>
      <bottom style="thick">
        <color indexed="64"/>
      </bottom>
      <diagonal/>
    </border>
    <border>
      <left style="medium">
        <color indexed="64"/>
      </left>
      <right style="thick">
        <color indexed="64"/>
      </right>
      <top style="thin">
        <color indexed="64"/>
      </top>
      <bottom style="thick">
        <color indexed="64"/>
      </bottom>
      <diagonal/>
    </border>
    <border>
      <left style="thin">
        <color indexed="64"/>
      </left>
      <right style="medium">
        <color indexed="64"/>
      </right>
      <top style="thick">
        <color indexed="64"/>
      </top>
      <bottom style="thin">
        <color indexed="64"/>
      </bottom>
      <diagonal/>
    </border>
    <border>
      <left style="thick">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ck">
        <color indexed="64"/>
      </right>
      <top/>
      <bottom style="thin">
        <color indexed="64"/>
      </bottom>
      <diagonal/>
    </border>
    <border>
      <left style="thick">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ck">
        <color indexed="64"/>
      </left>
      <right style="thick">
        <color indexed="64"/>
      </right>
      <top style="thin">
        <color indexed="64"/>
      </top>
      <bottom/>
      <diagonal/>
    </border>
    <border>
      <left style="thick">
        <color indexed="64"/>
      </left>
      <right style="thick">
        <color indexed="64"/>
      </right>
      <top/>
      <bottom style="thick">
        <color indexed="64"/>
      </bottom>
      <diagonal/>
    </border>
    <border>
      <left style="thick">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ck">
        <color indexed="64"/>
      </right>
      <top style="thick">
        <color indexed="64"/>
      </top>
      <bottom/>
      <diagonal/>
    </border>
    <border>
      <left style="thin">
        <color indexed="64"/>
      </left>
      <right style="thick">
        <color indexed="64"/>
      </right>
      <top style="thin">
        <color indexed="64"/>
      </top>
      <bottom/>
      <diagonal/>
    </border>
    <border>
      <left style="thick">
        <color indexed="64"/>
      </left>
      <right/>
      <top style="thin">
        <color indexed="64"/>
      </top>
      <bottom style="thick">
        <color indexed="64"/>
      </bottom>
      <diagonal/>
    </border>
  </borders>
  <cellStyleXfs count="1">
    <xf numFmtId="0" fontId="0" fillId="0" borderId="0"/>
  </cellStyleXfs>
  <cellXfs count="153">
    <xf numFmtId="0" fontId="0" fillId="0" borderId="0" xfId="0"/>
    <xf numFmtId="12" fontId="0" fillId="5" borderId="27" xfId="0" applyNumberFormat="1" applyFill="1" applyBorder="1" applyAlignment="1" applyProtection="1">
      <alignment horizontal="center" wrapText="1"/>
    </xf>
    <xf numFmtId="0" fontId="0" fillId="6" borderId="27" xfId="0" applyFill="1" applyBorder="1" applyAlignment="1" applyProtection="1">
      <alignment horizontal="center" wrapText="1"/>
    </xf>
    <xf numFmtId="0" fontId="1" fillId="2" borderId="18" xfId="0" applyFont="1" applyFill="1" applyBorder="1" applyAlignment="1" applyProtection="1">
      <alignment horizontal="center" wrapText="1"/>
    </xf>
    <xf numFmtId="0" fontId="1" fillId="2" borderId="42" xfId="0" applyFont="1" applyFill="1" applyBorder="1" applyAlignment="1" applyProtection="1">
      <alignment horizontal="center" wrapText="1"/>
    </xf>
    <xf numFmtId="0" fontId="1" fillId="2" borderId="9" xfId="0" applyFont="1" applyFill="1" applyBorder="1" applyAlignment="1" applyProtection="1">
      <alignment horizontal="center" wrapText="1"/>
    </xf>
    <xf numFmtId="0" fontId="1" fillId="2" borderId="26" xfId="0" applyFont="1" applyFill="1" applyBorder="1" applyAlignment="1" applyProtection="1">
      <alignment horizontal="center" wrapText="1"/>
    </xf>
    <xf numFmtId="0" fontId="1" fillId="2" borderId="24" xfId="0" applyFont="1" applyFill="1" applyBorder="1" applyAlignment="1" applyProtection="1">
      <alignment horizontal="center" wrapText="1"/>
    </xf>
    <xf numFmtId="0" fontId="1" fillId="2" borderId="7" xfId="0" applyFont="1" applyFill="1" applyBorder="1" applyAlignment="1" applyProtection="1">
      <alignment horizontal="center" wrapText="1"/>
    </xf>
    <xf numFmtId="0" fontId="1" fillId="4" borderId="30" xfId="0" applyFont="1" applyFill="1" applyBorder="1" applyAlignment="1" applyProtection="1">
      <alignment horizontal="center" wrapText="1"/>
    </xf>
    <xf numFmtId="0" fontId="1" fillId="5" borderId="24" xfId="0" applyFont="1" applyFill="1" applyBorder="1" applyAlignment="1" applyProtection="1">
      <alignment horizontal="center" wrapText="1"/>
    </xf>
    <xf numFmtId="0" fontId="0" fillId="5" borderId="25" xfId="0" applyFill="1" applyBorder="1" applyAlignment="1" applyProtection="1">
      <alignment horizontal="center" wrapText="1"/>
    </xf>
    <xf numFmtId="0" fontId="1" fillId="6" borderId="31" xfId="0" applyFont="1" applyFill="1" applyBorder="1" applyAlignment="1" applyProtection="1">
      <alignment horizontal="center" wrapText="1"/>
    </xf>
    <xf numFmtId="0" fontId="0" fillId="6" borderId="25" xfId="0" applyFill="1" applyBorder="1" applyAlignment="1" applyProtection="1">
      <alignment horizontal="center" wrapText="1"/>
    </xf>
    <xf numFmtId="0" fontId="0" fillId="0" borderId="0" xfId="0" applyProtection="1">
      <protection locked="0"/>
    </xf>
    <xf numFmtId="0" fontId="0" fillId="0" borderId="4" xfId="0" applyBorder="1" applyProtection="1">
      <protection locked="0"/>
    </xf>
    <xf numFmtId="0" fontId="0" fillId="0" borderId="5" xfId="0" applyBorder="1" applyProtection="1">
      <protection locked="0"/>
    </xf>
    <xf numFmtId="0" fontId="0" fillId="0" borderId="6" xfId="0" applyBorder="1" applyProtection="1">
      <protection locked="0"/>
    </xf>
    <xf numFmtId="0" fontId="0" fillId="0" borderId="21" xfId="0" applyBorder="1" applyProtection="1">
      <protection locked="0"/>
    </xf>
    <xf numFmtId="0" fontId="0" fillId="5" borderId="0" xfId="0" applyFill="1" applyBorder="1" applyAlignment="1" applyProtection="1">
      <alignment horizontal="center" wrapText="1"/>
    </xf>
    <xf numFmtId="0" fontId="0" fillId="6" borderId="0" xfId="0" applyFill="1" applyBorder="1" applyAlignment="1" applyProtection="1">
      <alignment horizontal="center" wrapText="1"/>
    </xf>
    <xf numFmtId="1" fontId="0" fillId="3" borderId="30" xfId="0" applyNumberFormat="1" applyFont="1" applyFill="1" applyBorder="1" applyAlignment="1" applyProtection="1">
      <alignment wrapText="1"/>
    </xf>
    <xf numFmtId="1" fontId="0" fillId="2" borderId="49" xfId="0" applyNumberFormat="1" applyFont="1" applyFill="1" applyBorder="1" applyAlignment="1" applyProtection="1">
      <alignment horizontal="center" wrapText="1"/>
    </xf>
    <xf numFmtId="1" fontId="0" fillId="2" borderId="51" xfId="0" applyNumberFormat="1" applyFont="1" applyFill="1" applyBorder="1" applyAlignment="1" applyProtection="1">
      <alignment horizontal="center" wrapText="1"/>
    </xf>
    <xf numFmtId="1" fontId="0" fillId="2" borderId="52" xfId="0" applyNumberFormat="1" applyFont="1" applyFill="1" applyBorder="1" applyAlignment="1" applyProtection="1">
      <alignment horizontal="center" wrapText="1"/>
    </xf>
    <xf numFmtId="9" fontId="0" fillId="2" borderId="52" xfId="0" applyNumberFormat="1" applyFont="1" applyFill="1" applyBorder="1" applyAlignment="1" applyProtection="1">
      <alignment horizontal="center" wrapText="1"/>
    </xf>
    <xf numFmtId="2" fontId="0" fillId="2" borderId="43" xfId="0" applyNumberFormat="1" applyFont="1" applyFill="1" applyBorder="1" applyAlignment="1" applyProtection="1">
      <alignment horizontal="center" wrapText="1"/>
      <protection locked="0"/>
    </xf>
    <xf numFmtId="2" fontId="0" fillId="2" borderId="44" xfId="0" applyNumberFormat="1" applyFont="1" applyFill="1" applyBorder="1" applyAlignment="1" applyProtection="1">
      <alignment horizontal="center" wrapText="1"/>
      <protection locked="0"/>
    </xf>
    <xf numFmtId="2" fontId="0" fillId="2" borderId="21" xfId="0" applyNumberFormat="1" applyFont="1" applyFill="1" applyBorder="1" applyAlignment="1" applyProtection="1">
      <alignment horizontal="center" wrapText="1"/>
      <protection locked="0"/>
    </xf>
    <xf numFmtId="2" fontId="0" fillId="2" borderId="45" xfId="0" applyNumberFormat="1" applyFont="1" applyFill="1" applyBorder="1" applyAlignment="1" applyProtection="1">
      <alignment horizontal="center" wrapText="1"/>
      <protection locked="0"/>
    </xf>
    <xf numFmtId="2" fontId="0" fillId="2" borderId="49" xfId="0" applyNumberFormat="1" applyFont="1" applyFill="1" applyBorder="1" applyAlignment="1" applyProtection="1">
      <alignment horizontal="center" wrapText="1"/>
    </xf>
    <xf numFmtId="2" fontId="0" fillId="2" borderId="51" xfId="0" applyNumberFormat="1" applyFont="1" applyFill="1" applyBorder="1" applyAlignment="1" applyProtection="1">
      <alignment horizontal="center" wrapText="1"/>
    </xf>
    <xf numFmtId="2" fontId="1" fillId="4" borderId="22" xfId="0" applyNumberFormat="1" applyFont="1" applyFill="1" applyBorder="1" applyAlignment="1" applyProtection="1">
      <alignment horizontal="center" wrapText="1"/>
    </xf>
    <xf numFmtId="2" fontId="0" fillId="0" borderId="0" xfId="0" applyNumberFormat="1" applyProtection="1">
      <protection locked="0"/>
    </xf>
    <xf numFmtId="2" fontId="0" fillId="4" borderId="39" xfId="0" applyNumberFormat="1" applyFont="1" applyFill="1" applyBorder="1" applyAlignment="1" applyProtection="1">
      <alignment horizontal="center" wrapText="1"/>
      <protection locked="0"/>
    </xf>
    <xf numFmtId="2" fontId="0" fillId="4" borderId="40" xfId="0" applyNumberFormat="1" applyFont="1" applyFill="1" applyBorder="1" applyAlignment="1" applyProtection="1">
      <alignment horizontal="center" wrapText="1"/>
      <protection locked="0"/>
    </xf>
    <xf numFmtId="2" fontId="0" fillId="4" borderId="41" xfId="0" applyNumberFormat="1" applyFont="1" applyFill="1" applyBorder="1" applyAlignment="1" applyProtection="1">
      <alignment horizontal="center" wrapText="1"/>
      <protection locked="0"/>
    </xf>
    <xf numFmtId="1" fontId="0" fillId="6" borderId="46" xfId="0" applyNumberFormat="1" applyFont="1" applyFill="1" applyBorder="1" applyAlignment="1" applyProtection="1">
      <alignment horizontal="center" wrapText="1"/>
      <protection locked="0"/>
    </xf>
    <xf numFmtId="1" fontId="0" fillId="6" borderId="47" xfId="0" applyNumberFormat="1" applyFont="1" applyFill="1" applyBorder="1" applyAlignment="1" applyProtection="1">
      <alignment horizontal="center" wrapText="1"/>
      <protection locked="0"/>
    </xf>
    <xf numFmtId="1" fontId="0" fillId="6" borderId="48" xfId="0" applyNumberFormat="1" applyFont="1" applyFill="1" applyBorder="1" applyAlignment="1" applyProtection="1">
      <alignment horizontal="center" wrapText="1"/>
      <protection locked="0"/>
    </xf>
    <xf numFmtId="1" fontId="0" fillId="6" borderId="15" xfId="0" applyNumberFormat="1" applyFont="1" applyFill="1" applyBorder="1" applyAlignment="1" applyProtection="1">
      <alignment horizontal="center" wrapText="1"/>
      <protection locked="0"/>
    </xf>
    <xf numFmtId="12" fontId="0" fillId="5" borderId="48" xfId="0" applyNumberFormat="1" applyFont="1" applyFill="1" applyBorder="1" applyAlignment="1" applyProtection="1">
      <alignment horizontal="center" wrapText="1"/>
      <protection locked="0"/>
    </xf>
    <xf numFmtId="12" fontId="0" fillId="5" borderId="47" xfId="0" applyNumberFormat="1" applyFont="1" applyFill="1" applyBorder="1" applyAlignment="1" applyProtection="1">
      <alignment horizontal="center" wrapText="1"/>
      <protection locked="0"/>
    </xf>
    <xf numFmtId="0" fontId="1" fillId="5" borderId="13" xfId="0" applyFont="1" applyFill="1" applyBorder="1" applyAlignment="1" applyProtection="1">
      <alignment horizontal="center" wrapText="1"/>
    </xf>
    <xf numFmtId="0" fontId="1" fillId="5" borderId="14" xfId="0" applyFont="1" applyFill="1" applyBorder="1" applyAlignment="1" applyProtection="1">
      <alignment horizontal="center" wrapText="1"/>
    </xf>
    <xf numFmtId="0" fontId="1" fillId="5" borderId="11" xfId="0" applyFont="1" applyFill="1" applyBorder="1" applyAlignment="1" applyProtection="1">
      <alignment horizontal="center" wrapText="1"/>
    </xf>
    <xf numFmtId="0" fontId="1" fillId="5" borderId="12" xfId="0" applyFont="1" applyFill="1" applyBorder="1" applyAlignment="1" applyProtection="1">
      <alignment horizontal="center" wrapText="1"/>
    </xf>
    <xf numFmtId="0" fontId="1" fillId="5" borderId="16" xfId="0" applyFont="1" applyFill="1" applyBorder="1" applyAlignment="1" applyProtection="1">
      <alignment horizontal="center" wrapText="1"/>
    </xf>
    <xf numFmtId="0" fontId="1" fillId="5" borderId="23" xfId="0" applyFont="1" applyFill="1" applyBorder="1" applyAlignment="1" applyProtection="1">
      <alignment horizontal="center" wrapText="1"/>
    </xf>
    <xf numFmtId="0" fontId="1" fillId="6" borderId="11" xfId="0" applyFont="1" applyFill="1" applyBorder="1" applyAlignment="1" applyProtection="1">
      <alignment horizontal="center" wrapText="1"/>
    </xf>
    <xf numFmtId="0" fontId="1" fillId="6" borderId="12" xfId="0" applyFont="1" applyFill="1" applyBorder="1" applyAlignment="1" applyProtection="1">
      <alignment horizontal="center" wrapText="1"/>
    </xf>
    <xf numFmtId="0" fontId="1" fillId="6" borderId="16" xfId="0" applyFont="1" applyFill="1" applyBorder="1" applyAlignment="1" applyProtection="1">
      <alignment horizontal="center" wrapText="1"/>
    </xf>
    <xf numFmtId="0" fontId="1" fillId="6" borderId="23" xfId="0" applyFont="1" applyFill="1" applyBorder="1" applyAlignment="1" applyProtection="1">
      <alignment horizontal="center" wrapText="1"/>
    </xf>
    <xf numFmtId="0" fontId="0" fillId="6" borderId="39" xfId="0" applyFont="1" applyFill="1" applyBorder="1" applyAlignment="1" applyProtection="1">
      <alignment horizontal="center" wrapText="1"/>
    </xf>
    <xf numFmtId="0" fontId="0" fillId="6" borderId="40" xfId="0" applyFont="1" applyFill="1" applyBorder="1" applyAlignment="1" applyProtection="1">
      <alignment horizontal="center" wrapText="1"/>
    </xf>
    <xf numFmtId="0" fontId="0" fillId="6" borderId="41" xfId="0" applyFont="1" applyFill="1" applyBorder="1" applyAlignment="1" applyProtection="1">
      <alignment horizontal="center" wrapText="1"/>
    </xf>
    <xf numFmtId="12" fontId="0" fillId="5" borderId="39" xfId="0" applyNumberFormat="1" applyFont="1" applyFill="1" applyBorder="1" applyAlignment="1" applyProtection="1">
      <alignment horizontal="center" wrapText="1"/>
    </xf>
    <xf numFmtId="12" fontId="0" fillId="5" borderId="40" xfId="0" applyNumberFormat="1" applyFont="1" applyFill="1" applyBorder="1" applyAlignment="1" applyProtection="1">
      <alignment horizontal="center" wrapText="1"/>
    </xf>
    <xf numFmtId="12" fontId="0" fillId="5" borderId="41" xfId="0" applyNumberFormat="1" applyFont="1" applyFill="1" applyBorder="1" applyAlignment="1" applyProtection="1">
      <alignment horizontal="center" wrapText="1"/>
    </xf>
    <xf numFmtId="0" fontId="1" fillId="6" borderId="33" xfId="0" applyFont="1" applyFill="1" applyBorder="1" applyAlignment="1" applyProtection="1">
      <alignment horizontal="center" wrapText="1"/>
    </xf>
    <xf numFmtId="0" fontId="1" fillId="6" borderId="34" xfId="0" applyFont="1" applyFill="1" applyBorder="1" applyAlignment="1" applyProtection="1">
      <alignment horizontal="center" wrapText="1"/>
    </xf>
    <xf numFmtId="0" fontId="1" fillId="5" borderId="33" xfId="0" applyFont="1" applyFill="1" applyBorder="1" applyAlignment="1" applyProtection="1">
      <alignment horizontal="center" wrapText="1"/>
    </xf>
    <xf numFmtId="0" fontId="1" fillId="5" borderId="34" xfId="0" applyFont="1" applyFill="1" applyBorder="1" applyAlignment="1" applyProtection="1">
      <alignment horizontal="center" wrapText="1"/>
    </xf>
    <xf numFmtId="0" fontId="1" fillId="6" borderId="35" xfId="0" applyFont="1" applyFill="1" applyBorder="1" applyAlignment="1" applyProtection="1">
      <alignment horizontal="center" wrapText="1"/>
    </xf>
    <xf numFmtId="12" fontId="0" fillId="5" borderId="46" xfId="0" applyNumberFormat="1" applyFont="1" applyFill="1" applyBorder="1" applyAlignment="1" applyProtection="1">
      <alignment horizontal="center" wrapText="1"/>
      <protection locked="0"/>
    </xf>
    <xf numFmtId="0" fontId="0" fillId="0" borderId="37" xfId="0" applyFont="1" applyBorder="1" applyAlignment="1" applyProtection="1">
      <alignment horizontal="left" wrapText="1"/>
      <protection locked="0"/>
    </xf>
    <xf numFmtId="0" fontId="0" fillId="0" borderId="38" xfId="0" applyFont="1" applyBorder="1" applyAlignment="1" applyProtection="1">
      <alignment horizontal="left" wrapText="1"/>
      <protection locked="0"/>
    </xf>
    <xf numFmtId="0" fontId="1" fillId="0" borderId="39" xfId="0" applyFont="1" applyBorder="1" applyAlignment="1" applyProtection="1">
      <alignment horizontal="center" vertical="top" wrapText="1"/>
      <protection locked="0"/>
    </xf>
    <xf numFmtId="0" fontId="1" fillId="0" borderId="40" xfId="0" applyFont="1" applyBorder="1" applyAlignment="1" applyProtection="1">
      <alignment horizontal="center" vertical="top" wrapText="1"/>
      <protection locked="0"/>
    </xf>
    <xf numFmtId="0" fontId="1" fillId="0" borderId="41" xfId="0" applyFont="1" applyBorder="1" applyAlignment="1" applyProtection="1">
      <alignment horizontal="center" vertical="top" wrapText="1"/>
      <protection locked="0"/>
    </xf>
    <xf numFmtId="0" fontId="0" fillId="0" borderId="37" xfId="0" applyFont="1" applyBorder="1" applyAlignment="1" applyProtection="1">
      <alignment horizontal="left" shrinkToFit="1"/>
      <protection locked="0"/>
    </xf>
    <xf numFmtId="0" fontId="0" fillId="0" borderId="38" xfId="0" applyFont="1" applyBorder="1" applyAlignment="1" applyProtection="1">
      <alignment horizontal="left" shrinkToFit="1"/>
      <protection locked="0"/>
    </xf>
    <xf numFmtId="0" fontId="0" fillId="0" borderId="36" xfId="0" applyBorder="1" applyAlignment="1" applyProtection="1">
      <alignment horizontal="left" shrinkToFit="1"/>
      <protection locked="0"/>
    </xf>
    <xf numFmtId="0" fontId="0" fillId="0" borderId="37" xfId="0" applyBorder="1" applyAlignment="1" applyProtection="1">
      <alignment horizontal="left" shrinkToFit="1"/>
      <protection locked="0"/>
    </xf>
    <xf numFmtId="0" fontId="1" fillId="4" borderId="11" xfId="0" applyFont="1" applyFill="1" applyBorder="1" applyAlignment="1" applyProtection="1">
      <alignment horizontal="center" vertical="center" wrapText="1"/>
    </xf>
    <xf numFmtId="0" fontId="1" fillId="4" borderId="12" xfId="0" applyFont="1" applyFill="1" applyBorder="1" applyAlignment="1" applyProtection="1">
      <alignment horizontal="center" vertical="center" wrapText="1"/>
    </xf>
    <xf numFmtId="0" fontId="1" fillId="4" borderId="16" xfId="0" applyFont="1" applyFill="1" applyBorder="1" applyAlignment="1" applyProtection="1">
      <alignment horizontal="center" vertical="center" wrapText="1"/>
    </xf>
    <xf numFmtId="0" fontId="1" fillId="4" borderId="23" xfId="0" applyFont="1" applyFill="1" applyBorder="1" applyAlignment="1" applyProtection="1">
      <alignment horizontal="center" vertical="center" wrapText="1"/>
    </xf>
    <xf numFmtId="0" fontId="1" fillId="4" borderId="36" xfId="0" applyFont="1" applyFill="1" applyBorder="1" applyAlignment="1" applyProtection="1">
      <alignment horizontal="center" wrapText="1"/>
    </xf>
    <xf numFmtId="0" fontId="1" fillId="4" borderId="37" xfId="0" applyFont="1" applyFill="1" applyBorder="1" applyAlignment="1" applyProtection="1">
      <alignment horizontal="center" wrapText="1"/>
    </xf>
    <xf numFmtId="0" fontId="1" fillId="4" borderId="38" xfId="0" applyFont="1" applyFill="1" applyBorder="1" applyAlignment="1" applyProtection="1">
      <alignment horizontal="center" wrapText="1"/>
    </xf>
    <xf numFmtId="0" fontId="0" fillId="0" borderId="36" xfId="0" applyFont="1" applyBorder="1" applyAlignment="1" applyProtection="1">
      <alignment horizontal="left" shrinkToFit="1"/>
      <protection locked="0"/>
    </xf>
    <xf numFmtId="12" fontId="0" fillId="5" borderId="15" xfId="0" applyNumberFormat="1" applyFont="1" applyFill="1" applyBorder="1" applyAlignment="1" applyProtection="1">
      <alignment horizontal="center" wrapText="1"/>
      <protection locked="0"/>
    </xf>
    <xf numFmtId="0" fontId="1" fillId="5" borderId="13" xfId="0" applyFont="1" applyFill="1" applyBorder="1" applyAlignment="1" applyProtection="1">
      <alignment horizontal="center" vertical="center" wrapText="1"/>
    </xf>
    <xf numFmtId="0" fontId="1" fillId="5" borderId="14" xfId="0" applyFont="1" applyFill="1" applyBorder="1" applyAlignment="1" applyProtection="1">
      <alignment horizontal="center" vertical="center" wrapText="1"/>
    </xf>
    <xf numFmtId="0" fontId="1" fillId="5" borderId="11" xfId="0" applyFont="1" applyFill="1" applyBorder="1" applyAlignment="1" applyProtection="1">
      <alignment horizontal="center" vertical="center" wrapText="1"/>
    </xf>
    <xf numFmtId="0" fontId="1" fillId="5" borderId="12" xfId="0" applyFont="1" applyFill="1" applyBorder="1" applyAlignment="1" applyProtection="1">
      <alignment horizontal="center" vertical="center" wrapText="1"/>
    </xf>
    <xf numFmtId="0" fontId="1" fillId="5" borderId="55" xfId="0" applyFont="1" applyFill="1" applyBorder="1" applyAlignment="1" applyProtection="1">
      <alignment horizontal="center" vertical="center" wrapText="1"/>
    </xf>
    <xf numFmtId="0" fontId="1" fillId="5" borderId="17" xfId="0" applyFont="1" applyFill="1" applyBorder="1" applyAlignment="1" applyProtection="1">
      <alignment horizontal="center" vertical="center" wrapText="1"/>
    </xf>
    <xf numFmtId="0" fontId="1" fillId="0" borderId="1" xfId="0" applyFont="1" applyBorder="1" applyAlignment="1" applyProtection="1">
      <alignment horizontal="center"/>
      <protection locked="0"/>
    </xf>
    <xf numFmtId="0" fontId="1" fillId="0" borderId="3" xfId="0" applyFont="1" applyBorder="1" applyAlignment="1" applyProtection="1">
      <alignment horizontal="center"/>
      <protection locked="0"/>
    </xf>
    <xf numFmtId="0" fontId="1" fillId="0" borderId="11" xfId="0" applyFont="1" applyBorder="1" applyAlignment="1" applyProtection="1">
      <alignment horizontal="center" vertical="center" wrapText="1"/>
    </xf>
    <xf numFmtId="0" fontId="1" fillId="0" borderId="12" xfId="0" applyFont="1" applyBorder="1" applyAlignment="1" applyProtection="1">
      <alignment horizontal="center" vertical="center" wrapText="1"/>
    </xf>
    <xf numFmtId="0" fontId="1" fillId="0" borderId="16" xfId="0" applyFont="1" applyBorder="1" applyAlignment="1" applyProtection="1">
      <alignment horizontal="center" vertical="center" wrapText="1"/>
    </xf>
    <xf numFmtId="0" fontId="1" fillId="0" borderId="23" xfId="0" applyFont="1" applyBorder="1" applyAlignment="1" applyProtection="1">
      <alignment horizontal="center" vertical="center" wrapText="1"/>
    </xf>
    <xf numFmtId="0" fontId="1" fillId="0" borderId="33" xfId="0" applyFont="1" applyBorder="1" applyAlignment="1" applyProtection="1">
      <alignment horizontal="center" wrapText="1"/>
      <protection locked="0"/>
    </xf>
    <xf numFmtId="0" fontId="1" fillId="0" borderId="34" xfId="0" applyFont="1" applyBorder="1" applyAlignment="1" applyProtection="1">
      <alignment horizontal="center" wrapText="1"/>
      <protection locked="0"/>
    </xf>
    <xf numFmtId="0" fontId="1" fillId="0" borderId="35" xfId="0" applyFont="1" applyBorder="1" applyAlignment="1" applyProtection="1">
      <alignment horizontal="center" wrapText="1"/>
      <protection locked="0"/>
    </xf>
    <xf numFmtId="0" fontId="0" fillId="0" borderId="36" xfId="0" applyBorder="1" applyAlignment="1" applyProtection="1">
      <alignment horizontal="left" wrapText="1" shrinkToFit="1"/>
      <protection locked="0"/>
    </xf>
    <xf numFmtId="0" fontId="0" fillId="0" borderId="37" xfId="0" applyBorder="1" applyAlignment="1" applyProtection="1">
      <alignment horizontal="left" wrapText="1" shrinkToFit="1"/>
      <protection locked="0"/>
    </xf>
    <xf numFmtId="0" fontId="1" fillId="0" borderId="28" xfId="0" applyFont="1" applyBorder="1" applyAlignment="1" applyProtection="1">
      <alignment horizontal="left"/>
    </xf>
    <xf numFmtId="0" fontId="1" fillId="0" borderId="32" xfId="0" applyFont="1" applyBorder="1" applyAlignment="1" applyProtection="1">
      <alignment horizontal="left"/>
    </xf>
    <xf numFmtId="0" fontId="1" fillId="0" borderId="32" xfId="0" applyFont="1" applyBorder="1" applyAlignment="1" applyProtection="1">
      <alignment horizontal="left"/>
      <protection locked="0"/>
    </xf>
    <xf numFmtId="0" fontId="1" fillId="0" borderId="29" xfId="0" applyFont="1" applyBorder="1" applyAlignment="1" applyProtection="1">
      <alignment horizontal="left"/>
      <protection locked="0"/>
    </xf>
    <xf numFmtId="0" fontId="1" fillId="6" borderId="13" xfId="0" applyFont="1" applyFill="1" applyBorder="1" applyAlignment="1" applyProtection="1">
      <alignment horizontal="center" vertical="center" wrapText="1"/>
    </xf>
    <xf numFmtId="0" fontId="1" fillId="6" borderId="14" xfId="0" applyFont="1" applyFill="1" applyBorder="1" applyAlignment="1" applyProtection="1">
      <alignment horizontal="center" vertical="center" wrapText="1"/>
    </xf>
    <xf numFmtId="0" fontId="1" fillId="6" borderId="11" xfId="0" applyFont="1" applyFill="1" applyBorder="1" applyAlignment="1" applyProtection="1">
      <alignment horizontal="center" vertical="center" wrapText="1"/>
    </xf>
    <xf numFmtId="0" fontId="1" fillId="6" borderId="12" xfId="0" applyFont="1" applyFill="1" applyBorder="1" applyAlignment="1" applyProtection="1">
      <alignment horizontal="center" vertical="center" wrapText="1"/>
    </xf>
    <xf numFmtId="0" fontId="1" fillId="6" borderId="55" xfId="0" applyFont="1" applyFill="1" applyBorder="1" applyAlignment="1" applyProtection="1">
      <alignment horizontal="center" vertical="center" wrapText="1"/>
    </xf>
    <xf numFmtId="0" fontId="1" fillId="6" borderId="17" xfId="0" applyFont="1" applyFill="1" applyBorder="1" applyAlignment="1" applyProtection="1">
      <alignment horizontal="center" vertical="center" wrapText="1"/>
    </xf>
    <xf numFmtId="1" fontId="0" fillId="3" borderId="10" xfId="0" applyNumberFormat="1" applyFont="1" applyFill="1" applyBorder="1" applyAlignment="1" applyProtection="1">
      <alignment horizontal="center" wrapText="1"/>
    </xf>
    <xf numFmtId="1" fontId="0" fillId="3" borderId="2" xfId="0" applyNumberFormat="1" applyFont="1" applyFill="1" applyBorder="1" applyAlignment="1" applyProtection="1">
      <alignment horizontal="center" wrapText="1"/>
    </xf>
    <xf numFmtId="1" fontId="0" fillId="3" borderId="3" xfId="0" applyNumberFormat="1" applyFont="1" applyFill="1" applyBorder="1" applyAlignment="1" applyProtection="1">
      <alignment horizontal="center" wrapText="1"/>
    </xf>
    <xf numFmtId="1" fontId="0" fillId="3" borderId="11" xfId="0" applyNumberFormat="1" applyFont="1" applyFill="1" applyBorder="1" applyAlignment="1" applyProtection="1">
      <alignment horizontal="center" wrapText="1"/>
    </xf>
    <xf numFmtId="1" fontId="0" fillId="3" borderId="0" xfId="0" applyNumberFormat="1" applyFont="1" applyFill="1" applyBorder="1" applyAlignment="1" applyProtection="1">
      <alignment horizontal="center" wrapText="1"/>
    </xf>
    <xf numFmtId="1" fontId="0" fillId="3" borderId="5" xfId="0" applyNumberFormat="1" applyFont="1" applyFill="1" applyBorder="1" applyAlignment="1" applyProtection="1">
      <alignment horizontal="center" wrapText="1"/>
    </xf>
    <xf numFmtId="1" fontId="0" fillId="3" borderId="16" xfId="0" applyNumberFormat="1" applyFont="1" applyFill="1" applyBorder="1" applyAlignment="1" applyProtection="1">
      <alignment horizontal="center" wrapText="1"/>
    </xf>
    <xf numFmtId="1" fontId="0" fillId="3" borderId="27" xfId="0" applyNumberFormat="1" applyFont="1" applyFill="1" applyBorder="1" applyAlignment="1" applyProtection="1">
      <alignment horizontal="center" wrapText="1"/>
    </xf>
    <xf numFmtId="1" fontId="0" fillId="3" borderId="8" xfId="0" applyNumberFormat="1" applyFont="1" applyFill="1" applyBorder="1" applyAlignment="1" applyProtection="1">
      <alignment horizontal="center" wrapText="1"/>
    </xf>
    <xf numFmtId="0" fontId="1" fillId="2" borderId="53" xfId="0" applyFont="1" applyFill="1" applyBorder="1" applyAlignment="1" applyProtection="1">
      <alignment horizontal="center" vertical="top" wrapText="1"/>
    </xf>
    <xf numFmtId="0" fontId="1" fillId="2" borderId="45" xfId="0" applyFont="1" applyFill="1" applyBorder="1" applyAlignment="1" applyProtection="1">
      <alignment horizontal="center" vertical="top" wrapText="1"/>
    </xf>
    <xf numFmtId="2" fontId="1" fillId="2" borderId="54" xfId="0" applyNumberFormat="1" applyFont="1" applyFill="1" applyBorder="1" applyAlignment="1" applyProtection="1">
      <alignment horizontal="center" wrapText="1"/>
    </xf>
    <xf numFmtId="2" fontId="1" fillId="2" borderId="19" xfId="0" applyNumberFormat="1" applyFont="1" applyFill="1" applyBorder="1" applyAlignment="1" applyProtection="1">
      <alignment horizontal="center" wrapText="1"/>
    </xf>
    <xf numFmtId="2" fontId="1" fillId="2" borderId="20" xfId="0" applyNumberFormat="1" applyFont="1" applyFill="1" applyBorder="1" applyAlignment="1" applyProtection="1">
      <alignment horizontal="center" wrapText="1"/>
    </xf>
    <xf numFmtId="1" fontId="1" fillId="6" borderId="49" xfId="0" applyNumberFormat="1" applyFont="1" applyFill="1" applyBorder="1" applyAlignment="1" applyProtection="1">
      <alignment horizontal="center" wrapText="1"/>
    </xf>
    <xf numFmtId="1" fontId="1" fillId="6" borderId="50" xfId="0" applyNumberFormat="1" applyFont="1" applyFill="1" applyBorder="1" applyAlignment="1" applyProtection="1">
      <alignment horizontal="center" wrapText="1"/>
    </xf>
    <xf numFmtId="0" fontId="1" fillId="0" borderId="13" xfId="0" applyFont="1" applyBorder="1" applyAlignment="1" applyProtection="1">
      <alignment horizontal="center" vertical="center" wrapText="1"/>
    </xf>
    <xf numFmtId="0" fontId="1" fillId="0" borderId="14" xfId="0" applyFont="1" applyBorder="1" applyAlignment="1" applyProtection="1">
      <alignment horizontal="center" vertical="center" wrapText="1"/>
    </xf>
    <xf numFmtId="0" fontId="1" fillId="2" borderId="13" xfId="0" applyFont="1" applyFill="1" applyBorder="1" applyAlignment="1" applyProtection="1">
      <alignment horizontal="center" wrapText="1"/>
    </xf>
    <xf numFmtId="0" fontId="1" fillId="2" borderId="14" xfId="0" applyFont="1" applyFill="1" applyBorder="1" applyAlignment="1" applyProtection="1">
      <alignment horizontal="center" wrapText="1"/>
    </xf>
    <xf numFmtId="0" fontId="1" fillId="2" borderId="11" xfId="0" applyFont="1" applyFill="1" applyBorder="1" applyAlignment="1" applyProtection="1">
      <alignment horizontal="center" wrapText="1"/>
    </xf>
    <xf numFmtId="0" fontId="1" fillId="2" borderId="12" xfId="0" applyFont="1" applyFill="1" applyBorder="1" applyAlignment="1" applyProtection="1">
      <alignment horizontal="center" wrapText="1"/>
    </xf>
    <xf numFmtId="0" fontId="1" fillId="2" borderId="16" xfId="0" applyFont="1" applyFill="1" applyBorder="1" applyAlignment="1" applyProtection="1">
      <alignment horizontal="center" wrapText="1"/>
    </xf>
    <xf numFmtId="0" fontId="1" fillId="2" borderId="23" xfId="0" applyFont="1" applyFill="1" applyBorder="1" applyAlignment="1" applyProtection="1">
      <alignment horizontal="center" wrapText="1"/>
    </xf>
    <xf numFmtId="0" fontId="1" fillId="0" borderId="25" xfId="0" applyFont="1" applyBorder="1" applyAlignment="1" applyProtection="1">
      <alignment horizontal="center" vertical="center" wrapText="1"/>
    </xf>
    <xf numFmtId="0" fontId="1" fillId="0" borderId="0" xfId="0" applyFont="1" applyBorder="1" applyAlignment="1" applyProtection="1">
      <alignment horizontal="center" vertical="center" wrapText="1"/>
    </xf>
    <xf numFmtId="0" fontId="1" fillId="0" borderId="27" xfId="0" applyFont="1" applyBorder="1" applyAlignment="1" applyProtection="1">
      <alignment horizontal="center" vertical="center" wrapText="1"/>
    </xf>
    <xf numFmtId="0" fontId="1" fillId="2" borderId="13" xfId="0" applyFont="1" applyFill="1" applyBorder="1" applyAlignment="1" applyProtection="1">
      <alignment horizontal="center" vertical="center" wrapText="1"/>
    </xf>
    <xf numFmtId="0" fontId="1" fillId="2" borderId="14" xfId="0" applyFont="1" applyFill="1" applyBorder="1" applyAlignment="1" applyProtection="1">
      <alignment horizontal="center" vertical="center" wrapText="1"/>
    </xf>
    <xf numFmtId="0" fontId="1" fillId="2" borderId="11" xfId="0" applyFont="1" applyFill="1" applyBorder="1" applyAlignment="1" applyProtection="1">
      <alignment horizontal="center" vertical="center" wrapText="1"/>
    </xf>
    <xf numFmtId="0" fontId="1" fillId="2" borderId="12" xfId="0" applyFont="1" applyFill="1" applyBorder="1" applyAlignment="1" applyProtection="1">
      <alignment horizontal="center" vertical="center" wrapText="1"/>
    </xf>
    <xf numFmtId="0" fontId="1" fillId="2" borderId="46" xfId="0" applyFont="1" applyFill="1" applyBorder="1" applyAlignment="1" applyProtection="1">
      <alignment horizontal="center" vertical="center" wrapText="1"/>
    </xf>
    <xf numFmtId="0" fontId="1" fillId="2" borderId="15" xfId="0" applyFont="1" applyFill="1" applyBorder="1" applyAlignment="1" applyProtection="1">
      <alignment horizontal="center" vertical="center" wrapText="1"/>
    </xf>
    <xf numFmtId="0" fontId="0" fillId="2" borderId="46" xfId="0" applyFont="1" applyFill="1" applyBorder="1" applyAlignment="1" applyProtection="1">
      <alignment horizontal="center" wrapText="1"/>
    </xf>
    <xf numFmtId="0" fontId="0" fillId="2" borderId="47" xfId="0" applyFont="1" applyFill="1" applyBorder="1" applyAlignment="1" applyProtection="1">
      <alignment horizontal="center" wrapText="1"/>
    </xf>
    <xf numFmtId="0" fontId="0" fillId="2" borderId="48" xfId="0" applyFont="1" applyFill="1" applyBorder="1" applyAlignment="1" applyProtection="1">
      <alignment horizontal="center" wrapText="1"/>
    </xf>
    <xf numFmtId="0" fontId="0" fillId="2" borderId="15" xfId="0" applyFont="1" applyFill="1" applyBorder="1" applyAlignment="1" applyProtection="1">
      <alignment horizontal="center" wrapText="1"/>
    </xf>
    <xf numFmtId="12" fontId="1" fillId="5" borderId="49" xfId="0" applyNumberFormat="1" applyFont="1" applyFill="1" applyBorder="1" applyAlignment="1" applyProtection="1">
      <alignment horizontal="center" wrapText="1"/>
    </xf>
    <xf numFmtId="12" fontId="1" fillId="5" borderId="50" xfId="0" applyNumberFormat="1" applyFont="1" applyFill="1" applyBorder="1" applyAlignment="1" applyProtection="1">
      <alignment horizontal="center" wrapText="1"/>
    </xf>
    <xf numFmtId="0" fontId="1" fillId="0" borderId="28" xfId="0" applyFont="1" applyBorder="1" applyAlignment="1" applyProtection="1"/>
    <xf numFmtId="0" fontId="1" fillId="0" borderId="32" xfId="0" applyFont="1" applyBorder="1" applyAlignment="1" applyProtection="1"/>
    <xf numFmtId="0" fontId="1" fillId="0" borderId="32" xfId="0" applyFont="1" applyBorder="1" applyAlignment="1" applyProtection="1">
      <protection locked="0"/>
    </xf>
    <xf numFmtId="0" fontId="1" fillId="0" borderId="29" xfId="0" applyFont="1" applyBorder="1" applyAlignment="1" applyProtection="1">
      <protection locked="0"/>
    </xf>
  </cellXfs>
  <cellStyles count="1">
    <cellStyle name="Normal" xfId="0" builtinId="0"/>
  </cellStyles>
  <dxfs count="40">
    <dxf>
      <fill>
        <patternFill>
          <bgColor theme="5"/>
        </patternFill>
      </fill>
    </dxf>
    <dxf>
      <fill>
        <patternFill>
          <bgColor theme="6"/>
        </patternFill>
      </fill>
    </dxf>
    <dxf>
      <fill>
        <patternFill>
          <bgColor theme="5"/>
        </patternFill>
      </fill>
    </dxf>
    <dxf>
      <fill>
        <patternFill>
          <bgColor theme="6"/>
        </patternFill>
      </fill>
    </dxf>
    <dxf>
      <font>
        <b/>
        <i val="0"/>
      </font>
      <fill>
        <patternFill>
          <bgColor theme="5"/>
        </patternFill>
      </fill>
    </dxf>
    <dxf>
      <font>
        <b/>
        <i val="0"/>
      </font>
      <fill>
        <patternFill>
          <bgColor theme="6"/>
        </patternFill>
      </fill>
    </dxf>
    <dxf>
      <font>
        <b/>
        <i val="0"/>
      </font>
      <fill>
        <patternFill>
          <bgColor theme="6"/>
        </patternFill>
      </fill>
    </dxf>
    <dxf>
      <font>
        <b/>
        <i val="0"/>
      </font>
      <fill>
        <patternFill>
          <bgColor theme="5"/>
        </patternFill>
      </fill>
    </dxf>
    <dxf>
      <fill>
        <patternFill>
          <bgColor theme="5"/>
        </patternFill>
      </fill>
    </dxf>
    <dxf>
      <fill>
        <patternFill>
          <bgColor theme="6"/>
        </patternFill>
      </fill>
    </dxf>
    <dxf>
      <font>
        <b/>
        <i val="0"/>
      </font>
      <fill>
        <patternFill>
          <bgColor theme="5"/>
        </patternFill>
      </fill>
    </dxf>
    <dxf>
      <font>
        <b/>
        <i val="0"/>
      </font>
      <fill>
        <patternFill>
          <bgColor theme="6"/>
        </patternFill>
      </fill>
    </dxf>
    <dxf>
      <font>
        <b/>
        <i val="0"/>
      </font>
      <fill>
        <patternFill>
          <bgColor theme="6"/>
        </patternFill>
      </fill>
    </dxf>
    <dxf>
      <font>
        <b/>
        <i val="0"/>
      </font>
      <fill>
        <patternFill>
          <bgColor theme="5"/>
        </patternFill>
      </fill>
    </dxf>
    <dxf>
      <fill>
        <patternFill>
          <bgColor theme="5"/>
        </patternFill>
      </fill>
    </dxf>
    <dxf>
      <fill>
        <patternFill>
          <bgColor theme="6"/>
        </patternFill>
      </fill>
    </dxf>
    <dxf>
      <font>
        <b/>
        <i val="0"/>
      </font>
      <fill>
        <patternFill>
          <bgColor theme="5"/>
        </patternFill>
      </fill>
    </dxf>
    <dxf>
      <font>
        <b/>
        <i val="0"/>
      </font>
      <fill>
        <patternFill>
          <bgColor theme="6"/>
        </patternFill>
      </fill>
    </dxf>
    <dxf>
      <font>
        <b/>
        <i val="0"/>
      </font>
      <fill>
        <patternFill>
          <bgColor theme="6"/>
        </patternFill>
      </fill>
    </dxf>
    <dxf>
      <font>
        <b/>
        <i val="0"/>
      </font>
      <fill>
        <patternFill>
          <bgColor theme="5"/>
        </patternFill>
      </fill>
    </dxf>
    <dxf>
      <fill>
        <patternFill>
          <bgColor theme="5"/>
        </patternFill>
      </fill>
    </dxf>
    <dxf>
      <fill>
        <patternFill>
          <bgColor theme="6"/>
        </patternFill>
      </fill>
    </dxf>
    <dxf>
      <font>
        <b/>
        <i val="0"/>
      </font>
      <fill>
        <patternFill>
          <bgColor theme="5"/>
        </patternFill>
      </fill>
    </dxf>
    <dxf>
      <font>
        <b/>
        <i val="0"/>
      </font>
      <fill>
        <patternFill>
          <bgColor theme="6"/>
        </patternFill>
      </fill>
    </dxf>
    <dxf>
      <font>
        <b/>
        <i val="0"/>
      </font>
      <fill>
        <patternFill>
          <bgColor theme="6"/>
        </patternFill>
      </fill>
    </dxf>
    <dxf>
      <font>
        <b/>
        <i val="0"/>
      </font>
      <fill>
        <patternFill>
          <bgColor theme="5"/>
        </patternFill>
      </fill>
    </dxf>
    <dxf>
      <fill>
        <patternFill>
          <bgColor theme="5"/>
        </patternFill>
      </fill>
    </dxf>
    <dxf>
      <fill>
        <patternFill>
          <bgColor theme="6"/>
        </patternFill>
      </fill>
    </dxf>
    <dxf>
      <font>
        <b/>
        <i val="0"/>
      </font>
      <fill>
        <patternFill>
          <bgColor theme="5"/>
        </patternFill>
      </fill>
    </dxf>
    <dxf>
      <font>
        <b/>
        <i val="0"/>
      </font>
      <fill>
        <patternFill>
          <bgColor theme="6"/>
        </patternFill>
      </fill>
    </dxf>
    <dxf>
      <font>
        <b/>
        <i val="0"/>
      </font>
      <fill>
        <patternFill>
          <bgColor theme="6"/>
        </patternFill>
      </fill>
    </dxf>
    <dxf>
      <font>
        <b/>
        <i val="0"/>
      </font>
      <fill>
        <patternFill>
          <bgColor theme="5"/>
        </patternFill>
      </fill>
    </dxf>
    <dxf>
      <fill>
        <patternFill>
          <bgColor theme="5"/>
        </patternFill>
      </fill>
    </dxf>
    <dxf>
      <fill>
        <patternFill>
          <bgColor theme="6"/>
        </patternFill>
      </fill>
    </dxf>
    <dxf>
      <font>
        <b/>
        <i val="0"/>
      </font>
      <fill>
        <patternFill>
          <bgColor theme="5"/>
        </patternFill>
      </fill>
    </dxf>
    <dxf>
      <font>
        <b/>
        <i val="0"/>
      </font>
      <fill>
        <patternFill>
          <bgColor theme="6"/>
        </patternFill>
      </fill>
    </dxf>
    <dxf>
      <font>
        <b/>
        <i val="0"/>
      </font>
      <fill>
        <patternFill>
          <bgColor theme="6"/>
        </patternFill>
      </fill>
    </dxf>
    <dxf>
      <font>
        <b/>
        <i val="0"/>
      </font>
      <fill>
        <patternFill>
          <bgColor theme="5"/>
        </patternFill>
      </fill>
    </dxf>
    <dxf>
      <fill>
        <patternFill>
          <bgColor theme="5"/>
        </patternFill>
      </fill>
    </dxf>
    <dxf>
      <fill>
        <patternFill>
          <bgColor them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47623</xdr:rowOff>
    </xdr:from>
    <xdr:to>
      <xdr:col>10</xdr:col>
      <xdr:colOff>571500</xdr:colOff>
      <xdr:row>157</xdr:row>
      <xdr:rowOff>57150</xdr:rowOff>
    </xdr:to>
    <xdr:sp macro="" textlink="">
      <xdr:nvSpPr>
        <xdr:cNvPr id="2" name="TextBox 1"/>
        <xdr:cNvSpPr txBox="1"/>
      </xdr:nvSpPr>
      <xdr:spPr>
        <a:xfrm>
          <a:off x="38100" y="47623"/>
          <a:ext cx="6629400" cy="29918027"/>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algn="ctr">
            <a:lnSpc>
              <a:spcPct val="115000"/>
            </a:lnSpc>
            <a:spcBef>
              <a:spcPts val="0"/>
            </a:spcBef>
            <a:spcAft>
              <a:spcPts val="0"/>
            </a:spcAft>
          </a:pPr>
          <a:r>
            <a:rPr lang="en-US" sz="1100" b="1">
              <a:effectLst/>
              <a:latin typeface="+mn-lt"/>
              <a:ea typeface="Calibri"/>
              <a:cs typeface="Times New Roman"/>
            </a:rPr>
            <a:t>Instructions for the Meal Pattern Worksheet for NEW BREAKFAST </a:t>
          </a:r>
          <a:endParaRPr lang="en-US" sz="1050">
            <a:effectLst/>
            <a:latin typeface="+mn-lt"/>
            <a:ea typeface="Calibri"/>
            <a:cs typeface="Times New Roman"/>
          </a:endParaRPr>
        </a:p>
        <a:p>
          <a:pPr marL="0" marR="0" algn="ctr">
            <a:lnSpc>
              <a:spcPct val="115000"/>
            </a:lnSpc>
            <a:spcBef>
              <a:spcPts val="0"/>
            </a:spcBef>
            <a:spcAft>
              <a:spcPts val="0"/>
            </a:spcAft>
          </a:pPr>
          <a:r>
            <a:rPr lang="en-US" sz="1100" b="1">
              <a:effectLst/>
              <a:latin typeface="+mn-lt"/>
              <a:ea typeface="Calibri"/>
              <a:cs typeface="Times New Roman"/>
            </a:rPr>
            <a:t> </a:t>
          </a:r>
          <a:endParaRPr lang="en-US" sz="1050">
            <a:effectLst/>
            <a:latin typeface="+mn-lt"/>
            <a:ea typeface="Calibri"/>
            <a:cs typeface="Times New Roman"/>
          </a:endParaRPr>
        </a:p>
        <a:p>
          <a:pPr marL="0" marR="0">
            <a:lnSpc>
              <a:spcPct val="115000"/>
            </a:lnSpc>
            <a:spcBef>
              <a:spcPts val="0"/>
            </a:spcBef>
            <a:spcAft>
              <a:spcPts val="0"/>
            </a:spcAft>
          </a:pPr>
          <a:r>
            <a:rPr lang="en-US" sz="1100" b="1">
              <a:effectLst/>
              <a:latin typeface="+mn-lt"/>
              <a:ea typeface="Calibri"/>
              <a:cs typeface="Times New Roman"/>
            </a:rPr>
            <a:t>I. Selecting the Appropriate Worksheets</a:t>
          </a:r>
          <a:endParaRPr lang="en-US" sz="1050">
            <a:effectLst/>
            <a:latin typeface="+mn-lt"/>
            <a:ea typeface="Calibri"/>
            <a:cs typeface="Times New Roman"/>
          </a:endParaRPr>
        </a:p>
        <a:p>
          <a:pPr marL="0" marR="0">
            <a:lnSpc>
              <a:spcPct val="115000"/>
            </a:lnSpc>
            <a:spcBef>
              <a:spcPts val="0"/>
            </a:spcBef>
            <a:spcAft>
              <a:spcPts val="0"/>
            </a:spcAft>
          </a:pPr>
          <a:r>
            <a:rPr lang="en-US" sz="1100" b="1">
              <a:effectLst/>
              <a:latin typeface="+mn-lt"/>
              <a:ea typeface="Calibri"/>
              <a:cs typeface="Times New Roman"/>
            </a:rPr>
            <a:t> </a:t>
          </a:r>
          <a:endParaRPr lang="en-US" sz="1050">
            <a:effectLst/>
            <a:latin typeface="+mn-lt"/>
            <a:ea typeface="Calibri"/>
            <a:cs typeface="Times New Roman"/>
          </a:endParaRPr>
        </a:p>
        <a:p>
          <a:pPr marL="0" marR="0">
            <a:lnSpc>
              <a:spcPct val="115000"/>
            </a:lnSpc>
            <a:spcBef>
              <a:spcPts val="0"/>
            </a:spcBef>
            <a:spcAft>
              <a:spcPts val="0"/>
            </a:spcAft>
          </a:pPr>
          <a:r>
            <a:rPr lang="en-US" sz="1100">
              <a:effectLst/>
              <a:latin typeface="+mn-lt"/>
              <a:ea typeface="Calibri"/>
              <a:cs typeface="Times New Roman"/>
            </a:rPr>
            <a:t>For this worksheet, you will be required to complete one worksheet for each breakfast LINE served in your School Food Authority (SFA) and it must be completed in the worksheet which corresponds with the age/grade group(s) you use to plan menus. </a:t>
          </a:r>
          <a:endParaRPr lang="en-US" sz="1050">
            <a:effectLst/>
            <a:latin typeface="+mn-lt"/>
            <a:ea typeface="Calibri"/>
            <a:cs typeface="Times New Roman"/>
          </a:endParaRPr>
        </a:p>
        <a:p>
          <a:pPr marL="342900" marR="0" lvl="0" indent="-342900">
            <a:lnSpc>
              <a:spcPct val="115000"/>
            </a:lnSpc>
            <a:spcBef>
              <a:spcPts val="0"/>
            </a:spcBef>
            <a:spcAft>
              <a:spcPts val="0"/>
            </a:spcAft>
            <a:buFont typeface="Symbol"/>
            <a:buChar char=""/>
          </a:pPr>
          <a:r>
            <a:rPr lang="en-US" sz="1100">
              <a:effectLst/>
              <a:latin typeface="+mn-lt"/>
              <a:ea typeface="Calibri"/>
              <a:cs typeface="Times New Roman"/>
            </a:rPr>
            <a:t>Different “lines” means different grain/meat/meat alternate (M/MA) choices (a.k.a. entrées). </a:t>
          </a:r>
          <a:endParaRPr lang="en-US" sz="1050">
            <a:effectLst/>
            <a:latin typeface="+mn-lt"/>
            <a:ea typeface="Calibri"/>
            <a:cs typeface="Times New Roman"/>
          </a:endParaRPr>
        </a:p>
        <a:p>
          <a:pPr marL="342900" marR="0" lvl="0" indent="-342900">
            <a:lnSpc>
              <a:spcPct val="115000"/>
            </a:lnSpc>
            <a:spcBef>
              <a:spcPts val="0"/>
            </a:spcBef>
            <a:spcAft>
              <a:spcPts val="0"/>
            </a:spcAft>
            <a:buFont typeface="Symbol"/>
            <a:buChar char=""/>
          </a:pPr>
          <a:r>
            <a:rPr lang="en-US" sz="1100">
              <a:effectLst/>
              <a:latin typeface="+mn-lt"/>
              <a:ea typeface="Calibri"/>
              <a:cs typeface="Times New Roman"/>
            </a:rPr>
            <a:t>Example: All your students come through one physical line but they can choose from three different entrées (i.e. cereal, breakfast burrito or cinnamon roll) all with the same fruit/vegetable and milk choices. This would be considered three different lines because there are three different grain/M/MA choices. This type of menu set up would require at least three worksheets (more if you plan breakfast using multiple grade groups).  </a:t>
          </a:r>
          <a:endParaRPr lang="en-US" sz="1050">
            <a:effectLst/>
            <a:latin typeface="+mn-lt"/>
            <a:ea typeface="Calibri"/>
            <a:cs typeface="Times New Roman"/>
          </a:endParaRPr>
        </a:p>
        <a:p>
          <a:pPr marL="342900" marR="0" lvl="0" indent="-342900">
            <a:lnSpc>
              <a:spcPct val="115000"/>
            </a:lnSpc>
            <a:spcBef>
              <a:spcPts val="0"/>
            </a:spcBef>
            <a:spcAft>
              <a:spcPts val="0"/>
            </a:spcAft>
            <a:buFont typeface="Symbol"/>
            <a:buChar char=""/>
          </a:pPr>
          <a:r>
            <a:rPr lang="en-US" sz="1100">
              <a:effectLst/>
              <a:latin typeface="+mn-lt"/>
              <a:ea typeface="Calibri"/>
              <a:cs typeface="Times New Roman"/>
            </a:rPr>
            <a:t>Another example: You plan your breakfast menus based on the age/grade group K-12, and in all your schools you serve a hot breakfast line with one entree choice and a cold cereal line. You would complete two separate K-12 worksheets, even if the fruit/vegetable and milk offerings are the same in each line. This sounds repetitive, but the workload can be reduced by making a copy of one completed worksheet and making adjustments to it. The process for doing this will be explained later in more detail.</a:t>
          </a:r>
          <a:endParaRPr lang="en-US" sz="1050">
            <a:effectLst/>
            <a:latin typeface="+mn-lt"/>
            <a:ea typeface="Calibri"/>
            <a:cs typeface="Times New Roman"/>
          </a:endParaRPr>
        </a:p>
        <a:p>
          <a:pPr marL="742950" marR="0" lvl="1" indent="-285750">
            <a:lnSpc>
              <a:spcPct val="115000"/>
            </a:lnSpc>
            <a:spcBef>
              <a:spcPts val="0"/>
            </a:spcBef>
            <a:spcAft>
              <a:spcPts val="0"/>
            </a:spcAft>
            <a:buFont typeface="Courier New"/>
            <a:buChar char="o"/>
          </a:pPr>
          <a:r>
            <a:rPr lang="en-US" sz="1100">
              <a:effectLst/>
              <a:latin typeface="+mn-lt"/>
              <a:ea typeface="Calibri"/>
              <a:cs typeface="Times New Roman"/>
            </a:rPr>
            <a:t>Note: if the cereal line offers a variety of cereal and each student can select only one type, you do not have to fill out separate workbooks for each type of cereal </a:t>
          </a:r>
          <a:r>
            <a:rPr lang="en-US" sz="1100" i="1">
              <a:effectLst/>
              <a:latin typeface="+mn-lt"/>
              <a:ea typeface="Calibri"/>
              <a:cs typeface="Times New Roman"/>
            </a:rPr>
            <a:t>as long as</a:t>
          </a:r>
          <a:r>
            <a:rPr lang="en-US" sz="1100">
              <a:effectLst/>
              <a:latin typeface="+mn-lt"/>
              <a:ea typeface="Calibri"/>
              <a:cs typeface="Times New Roman"/>
            </a:rPr>
            <a:t> each type of cereal provides the exact same amount of grain oz eq. If each variety credits differently (i.e. one provides 1 oz eq of grain, one provides 1.5 oz eq of grain, etc. ) you would have to fill out 3 separate worksheets – one for each type of cereal.</a:t>
          </a:r>
          <a:endParaRPr lang="en-US" sz="1050">
            <a:effectLst/>
            <a:latin typeface="+mn-lt"/>
            <a:ea typeface="Calibri"/>
            <a:cs typeface="Times New Roman"/>
          </a:endParaRPr>
        </a:p>
        <a:p>
          <a:pPr marL="342900" marR="0" lvl="0" indent="-342900">
            <a:lnSpc>
              <a:spcPct val="115000"/>
            </a:lnSpc>
            <a:spcBef>
              <a:spcPts val="0"/>
            </a:spcBef>
            <a:spcAft>
              <a:spcPts val="0"/>
            </a:spcAft>
            <a:buFont typeface="Symbol"/>
            <a:buChar char=""/>
          </a:pPr>
          <a:r>
            <a:rPr lang="en-US" sz="1100">
              <a:effectLst/>
              <a:latin typeface="+mn-lt"/>
              <a:ea typeface="Calibri"/>
              <a:cs typeface="Times New Roman"/>
            </a:rPr>
            <a:t>Another example: You plan your breakfast menus using grade groups K-5, 6-8 and 9-12. You serve the same entrée in all schools but the serving size varies based on grade group. You will have to fill out one worksheet for each grade group.</a:t>
          </a:r>
          <a:endParaRPr lang="en-US" sz="1050">
            <a:effectLst/>
            <a:latin typeface="+mn-lt"/>
            <a:ea typeface="Calibri"/>
            <a:cs typeface="Times New Roman"/>
          </a:endParaRPr>
        </a:p>
        <a:p>
          <a:pPr marL="342900" marR="0" lvl="0" indent="-342900">
            <a:lnSpc>
              <a:spcPct val="115000"/>
            </a:lnSpc>
            <a:spcBef>
              <a:spcPts val="0"/>
            </a:spcBef>
            <a:spcAft>
              <a:spcPts val="0"/>
            </a:spcAft>
            <a:buFont typeface="Symbol"/>
            <a:buChar char=""/>
          </a:pPr>
          <a:r>
            <a:rPr lang="en-US" sz="1100">
              <a:effectLst/>
              <a:latin typeface="+mn-lt"/>
              <a:ea typeface="Calibri"/>
              <a:cs typeface="Times New Roman"/>
            </a:rPr>
            <a:t>Another example: You plan your breakfast menus using grade group K-12. Each of your schools offers one entrée each day and it is the same entrée at every school. Each school also offers the same amount of fruit each day, but the </a:t>
          </a:r>
          <a:r>
            <a:rPr lang="en-US" sz="1100" i="1">
              <a:effectLst/>
              <a:latin typeface="+mn-lt"/>
              <a:ea typeface="Calibri"/>
              <a:cs typeface="Times New Roman"/>
            </a:rPr>
            <a:t>type</a:t>
          </a:r>
          <a:r>
            <a:rPr lang="en-US" sz="1100">
              <a:effectLst/>
              <a:latin typeface="+mn-lt"/>
              <a:ea typeface="Calibri"/>
              <a:cs typeface="Times New Roman"/>
            </a:rPr>
            <a:t> of fruit may vary from school to school. You only have to complete one K-12 worksheet. It does not matter if the </a:t>
          </a:r>
          <a:r>
            <a:rPr lang="en-US" sz="1100" i="1">
              <a:effectLst/>
              <a:latin typeface="+mn-lt"/>
              <a:ea typeface="Calibri"/>
              <a:cs typeface="Times New Roman"/>
            </a:rPr>
            <a:t>type </a:t>
          </a:r>
          <a:r>
            <a:rPr lang="en-US" sz="1100">
              <a:effectLst/>
              <a:latin typeface="+mn-lt"/>
              <a:ea typeface="Calibri"/>
              <a:cs typeface="Times New Roman"/>
            </a:rPr>
            <a:t>of fruit varies, only the amount. </a:t>
          </a:r>
          <a:endParaRPr lang="en-US" sz="1050">
            <a:effectLst/>
            <a:latin typeface="+mn-lt"/>
            <a:ea typeface="Calibri"/>
            <a:cs typeface="Times New Roman"/>
          </a:endParaRPr>
        </a:p>
        <a:p>
          <a:pPr marL="0" marR="0">
            <a:lnSpc>
              <a:spcPct val="115000"/>
            </a:lnSpc>
            <a:spcBef>
              <a:spcPts val="0"/>
            </a:spcBef>
            <a:spcAft>
              <a:spcPts val="0"/>
            </a:spcAft>
          </a:pPr>
          <a:r>
            <a:rPr lang="en-US" sz="1100">
              <a:effectLst/>
              <a:latin typeface="+mn-lt"/>
              <a:ea typeface="Calibri"/>
              <a:cs typeface="Times New Roman"/>
            </a:rPr>
            <a:t>Please contact your specialist if you need assistance deciding which worksheets to complete and how many you will need to complete.  </a:t>
          </a:r>
          <a:endParaRPr lang="en-US" sz="1050">
            <a:effectLst/>
            <a:latin typeface="+mn-lt"/>
            <a:ea typeface="Calibri"/>
            <a:cs typeface="Times New Roman"/>
          </a:endParaRPr>
        </a:p>
        <a:p>
          <a:pPr marL="0" marR="0">
            <a:lnSpc>
              <a:spcPct val="115000"/>
            </a:lnSpc>
            <a:spcBef>
              <a:spcPts val="0"/>
            </a:spcBef>
            <a:spcAft>
              <a:spcPts val="0"/>
            </a:spcAft>
          </a:pPr>
          <a:r>
            <a:rPr lang="en-US" sz="1100" b="1">
              <a:effectLst/>
              <a:latin typeface="+mn-lt"/>
              <a:ea typeface="Calibri"/>
              <a:cs typeface="Times New Roman"/>
            </a:rPr>
            <a:t> </a:t>
          </a:r>
          <a:endParaRPr lang="en-US" sz="1050">
            <a:effectLst/>
            <a:latin typeface="+mn-lt"/>
            <a:ea typeface="Calibri"/>
            <a:cs typeface="Times New Roman"/>
          </a:endParaRPr>
        </a:p>
        <a:p>
          <a:pPr marL="0" marR="0">
            <a:lnSpc>
              <a:spcPct val="115000"/>
            </a:lnSpc>
            <a:spcBef>
              <a:spcPts val="0"/>
            </a:spcBef>
            <a:spcAft>
              <a:spcPts val="0"/>
            </a:spcAft>
          </a:pPr>
          <a:r>
            <a:rPr lang="en-US" sz="1100" b="1">
              <a:effectLst/>
              <a:latin typeface="+mn-lt"/>
              <a:ea typeface="Calibri"/>
              <a:cs typeface="Times New Roman"/>
            </a:rPr>
            <a:t> </a:t>
          </a:r>
          <a:endParaRPr lang="en-US" sz="1050">
            <a:effectLst/>
            <a:latin typeface="+mn-lt"/>
            <a:ea typeface="Calibri"/>
            <a:cs typeface="Times New Roman"/>
          </a:endParaRPr>
        </a:p>
        <a:p>
          <a:pPr marL="0" marR="0">
            <a:lnSpc>
              <a:spcPct val="115000"/>
            </a:lnSpc>
            <a:spcBef>
              <a:spcPts val="0"/>
            </a:spcBef>
            <a:spcAft>
              <a:spcPts val="0"/>
            </a:spcAft>
          </a:pPr>
          <a:r>
            <a:rPr lang="en-US" sz="1100" b="1">
              <a:effectLst/>
              <a:latin typeface="+mn-lt"/>
              <a:ea typeface="Calibri"/>
              <a:cs typeface="Times New Roman"/>
            </a:rPr>
            <a:t>II. Filling out the Worksheet</a:t>
          </a:r>
          <a:endParaRPr lang="en-US" sz="1050">
            <a:effectLst/>
            <a:latin typeface="+mn-lt"/>
            <a:ea typeface="Calibri"/>
            <a:cs typeface="Times New Roman"/>
          </a:endParaRPr>
        </a:p>
        <a:p>
          <a:pPr marL="0" marR="0">
            <a:lnSpc>
              <a:spcPct val="115000"/>
            </a:lnSpc>
            <a:spcBef>
              <a:spcPts val="0"/>
            </a:spcBef>
            <a:spcAft>
              <a:spcPts val="0"/>
            </a:spcAft>
          </a:pPr>
          <a:r>
            <a:rPr lang="en-US" sz="1100" b="1">
              <a:effectLst/>
              <a:latin typeface="+mn-lt"/>
              <a:ea typeface="Calibri"/>
              <a:cs typeface="Times New Roman"/>
            </a:rPr>
            <a:t> </a:t>
          </a:r>
          <a:endParaRPr lang="en-US" sz="1050">
            <a:effectLst/>
            <a:latin typeface="+mn-lt"/>
            <a:ea typeface="Calibri"/>
            <a:cs typeface="Times New Roman"/>
          </a:endParaRPr>
        </a:p>
        <a:p>
          <a:pPr marL="0" marR="0">
            <a:lnSpc>
              <a:spcPct val="115000"/>
            </a:lnSpc>
            <a:spcBef>
              <a:spcPts val="0"/>
            </a:spcBef>
            <a:spcAft>
              <a:spcPts val="0"/>
            </a:spcAft>
          </a:pPr>
          <a:r>
            <a:rPr lang="en-US" sz="1100" b="1">
              <a:effectLst/>
              <a:latin typeface="+mn-lt"/>
              <a:ea typeface="Calibri"/>
              <a:cs typeface="Times New Roman"/>
            </a:rPr>
            <a:t>Selecting and Naming the Worksheet</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a:effectLst/>
              <a:latin typeface="+mn-lt"/>
              <a:ea typeface="Calibri"/>
              <a:cs typeface="Times New Roman"/>
            </a:rPr>
            <a:t>Select the worksheet you want to work in by clicking on the appropriate tab at the bottom of the Excel workbook. There are four tabs to choose from: K-5, 6-8, 9-12 and K-12. </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a:effectLst/>
              <a:latin typeface="+mn-lt"/>
              <a:ea typeface="Calibri"/>
              <a:cs typeface="Times New Roman"/>
            </a:rPr>
            <a:t>Enter the menu name on the very top line of the worksheet next to “Menu Name:” </a:t>
          </a:r>
          <a:endParaRPr lang="en-US" sz="1050">
            <a:effectLst/>
            <a:latin typeface="+mn-lt"/>
            <a:ea typeface="Calibri"/>
            <a:cs typeface="Times New Roman"/>
          </a:endParaRPr>
        </a:p>
        <a:p>
          <a:pPr marL="742950" marR="0" lvl="1" indent="-285750">
            <a:lnSpc>
              <a:spcPct val="115000"/>
            </a:lnSpc>
            <a:spcBef>
              <a:spcPts val="0"/>
            </a:spcBef>
            <a:spcAft>
              <a:spcPts val="0"/>
            </a:spcAft>
            <a:buFont typeface="+mj-lt"/>
            <a:buAutoNum type="alphaLcPeriod"/>
          </a:pPr>
          <a:r>
            <a:rPr lang="en-US" sz="1100">
              <a:effectLst/>
              <a:latin typeface="+mn-lt"/>
              <a:ea typeface="Calibri"/>
              <a:cs typeface="Times New Roman"/>
            </a:rPr>
            <a:t>This is to help both you and the State Office keep the breakfast menus straight – particularly if you are submitting severa. You might name a menu “Elementary Cereal Line” or “Jr. High Hot Breakfast Line”. </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a:effectLst/>
              <a:latin typeface="+mn-lt"/>
              <a:ea typeface="Calibri"/>
              <a:cs typeface="Times New Roman"/>
            </a:rPr>
            <a:t>Change the name of the worksheet on the tab.</a:t>
          </a:r>
          <a:endParaRPr lang="en-US" sz="1050">
            <a:effectLst/>
            <a:latin typeface="+mn-lt"/>
            <a:ea typeface="Calibri"/>
            <a:cs typeface="Times New Roman"/>
          </a:endParaRPr>
        </a:p>
        <a:p>
          <a:pPr marL="742950" marR="0" lvl="1" indent="-285750">
            <a:lnSpc>
              <a:spcPct val="115000"/>
            </a:lnSpc>
            <a:spcBef>
              <a:spcPts val="0"/>
            </a:spcBef>
            <a:spcAft>
              <a:spcPts val="0"/>
            </a:spcAft>
            <a:buFont typeface="+mj-lt"/>
            <a:buAutoNum type="alphaLcPeriod"/>
          </a:pPr>
          <a:r>
            <a:rPr lang="en-US" sz="1100">
              <a:effectLst/>
              <a:latin typeface="+mn-lt"/>
              <a:ea typeface="Calibri"/>
              <a:cs typeface="Times New Roman"/>
            </a:rPr>
            <a:t>To do this, right click on the tab you are working in at the bottom of the page. A menu bar will appear. Click on the “Rename” option in the menu bar. After clicking this, the current worksheet name will become highlighted. Type the name of the menu. Please include the grade group in the name (i.e. K-12 cereal line). </a:t>
          </a:r>
          <a:endParaRPr lang="en-US" sz="1050">
            <a:effectLst/>
            <a:latin typeface="+mn-lt"/>
            <a:ea typeface="Calibri"/>
            <a:cs typeface="Times New Roman"/>
          </a:endParaRPr>
        </a:p>
        <a:p>
          <a:pPr marL="0" marR="0">
            <a:lnSpc>
              <a:spcPct val="115000"/>
            </a:lnSpc>
            <a:spcBef>
              <a:spcPts val="0"/>
            </a:spcBef>
            <a:spcAft>
              <a:spcPts val="0"/>
            </a:spcAft>
          </a:pPr>
          <a:r>
            <a:rPr lang="en-US" sz="1100" b="1">
              <a:effectLst/>
              <a:latin typeface="+mn-lt"/>
              <a:ea typeface="Calibri"/>
              <a:cs typeface="Times New Roman"/>
            </a:rPr>
            <a:t> </a:t>
          </a:r>
          <a:endParaRPr lang="en-US" sz="1050">
            <a:effectLst/>
            <a:latin typeface="+mn-lt"/>
            <a:ea typeface="Calibri"/>
            <a:cs typeface="Times New Roman"/>
          </a:endParaRPr>
        </a:p>
        <a:p>
          <a:pPr marL="0" marR="0">
            <a:lnSpc>
              <a:spcPct val="115000"/>
            </a:lnSpc>
            <a:spcBef>
              <a:spcPts val="0"/>
            </a:spcBef>
            <a:spcAft>
              <a:spcPts val="0"/>
            </a:spcAft>
          </a:pPr>
          <a:r>
            <a:rPr lang="en-US" sz="1100" b="1">
              <a:effectLst/>
              <a:latin typeface="+mn-lt"/>
              <a:ea typeface="Calibri"/>
              <a:cs typeface="Times New Roman"/>
            </a:rPr>
            <a:t>Completing a Day</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a:effectLst/>
              <a:latin typeface="+mn-lt"/>
              <a:ea typeface="Calibri"/>
              <a:cs typeface="Times New Roman"/>
            </a:rPr>
            <a:t>Choose one day of the week to start with (days do not have to be entered in order). </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b="1">
              <a:effectLst/>
              <a:latin typeface="+mn-lt"/>
              <a:ea typeface="Calibri"/>
              <a:cs typeface="Times New Roman"/>
            </a:rPr>
            <a:t>Menu</a:t>
          </a:r>
          <a:r>
            <a:rPr lang="en-US" sz="1100">
              <a:effectLst/>
              <a:latin typeface="+mn-lt"/>
              <a:ea typeface="Calibri"/>
              <a:cs typeface="Times New Roman"/>
            </a:rPr>
            <a:t>: Enter the day’s menu by typing each item you will be serving on the lines under the corresponding day of the week. Include the type(s) of milk you serve each day. </a:t>
          </a:r>
          <a:endParaRPr lang="en-US" sz="1050">
            <a:effectLst/>
            <a:latin typeface="+mn-lt"/>
            <a:ea typeface="Calibri"/>
            <a:cs typeface="Times New Roman"/>
          </a:endParaRPr>
        </a:p>
        <a:p>
          <a:pPr marL="742950" marR="0" lvl="1" indent="-285750">
            <a:lnSpc>
              <a:spcPct val="115000"/>
            </a:lnSpc>
            <a:spcBef>
              <a:spcPts val="0"/>
            </a:spcBef>
            <a:spcAft>
              <a:spcPts val="0"/>
            </a:spcAft>
            <a:buFont typeface="+mj-lt"/>
            <a:buAutoNum type="alphaLcPeriod"/>
          </a:pPr>
          <a:r>
            <a:rPr lang="en-US" sz="1100">
              <a:effectLst/>
              <a:latin typeface="+mn-lt"/>
              <a:ea typeface="Calibri"/>
              <a:cs typeface="Times New Roman"/>
            </a:rPr>
            <a:t>If you are NOT submitting a Nutrikids analysis, list the portion size in parentheses after each item. (i.e. Breakfast Pizza (1 slice); Mandarin Oranges (1/2 cup); etc.) </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b="1">
              <a:effectLst/>
              <a:latin typeface="+mn-lt"/>
              <a:ea typeface="Calibri"/>
              <a:cs typeface="Times New Roman"/>
            </a:rPr>
            <a:t>Grains</a:t>
          </a:r>
          <a:r>
            <a:rPr lang="en-US" sz="1100">
              <a:effectLst/>
              <a:latin typeface="+mn-lt"/>
              <a:ea typeface="Calibri"/>
              <a:cs typeface="Times New Roman"/>
            </a:rPr>
            <a:t>: On the tan Grains row, enter the total number of oz eq of grain available to a student in this line, on this day, under “Total Oz Eq”. In the box next to that, under “Oz Eq WGR” enter the number of oz eq that are whole grain-rich (WGR). </a:t>
          </a:r>
          <a:endParaRPr lang="en-US" sz="1050">
            <a:effectLst/>
            <a:latin typeface="+mn-lt"/>
            <a:ea typeface="Calibri"/>
            <a:cs typeface="Times New Roman"/>
          </a:endParaRPr>
        </a:p>
        <a:p>
          <a:pPr marL="742950" marR="0" lvl="1" indent="-285750">
            <a:lnSpc>
              <a:spcPct val="115000"/>
            </a:lnSpc>
            <a:spcBef>
              <a:spcPts val="0"/>
            </a:spcBef>
            <a:spcAft>
              <a:spcPts val="0"/>
            </a:spcAft>
            <a:buFont typeface="+mj-lt"/>
            <a:buAutoNum type="alphaLcPeriod"/>
          </a:pPr>
          <a:r>
            <a:rPr lang="en-US" sz="1100">
              <a:effectLst/>
              <a:latin typeface="+mn-lt"/>
              <a:ea typeface="Calibri"/>
              <a:cs typeface="Times New Roman"/>
            </a:rPr>
            <a:t>Example: In this line, you are serving 1 oz eq of cereal with a WGR granola bar that is 1 oz eq. In the “Total Oz Eq” box you type 2. In the “Oz Eq WGR” box you type 1. </a:t>
          </a:r>
          <a:endParaRPr lang="en-US" sz="1050">
            <a:effectLst/>
            <a:latin typeface="+mn-lt"/>
            <a:ea typeface="Calibri"/>
            <a:cs typeface="Times New Roman"/>
          </a:endParaRPr>
        </a:p>
        <a:p>
          <a:pPr marL="742950" marR="0" lvl="1" indent="-285750">
            <a:lnSpc>
              <a:spcPct val="115000"/>
            </a:lnSpc>
            <a:spcBef>
              <a:spcPts val="0"/>
            </a:spcBef>
            <a:spcAft>
              <a:spcPts val="0"/>
            </a:spcAft>
            <a:buFont typeface="+mj-lt"/>
            <a:buAutoNum type="alphaLcPeriod"/>
          </a:pPr>
          <a:r>
            <a:rPr lang="en-US" sz="1100">
              <a:effectLst/>
              <a:latin typeface="+mn-lt"/>
              <a:ea typeface="Calibri"/>
              <a:cs typeface="Times New Roman"/>
            </a:rPr>
            <a:t>Each day you must offer at least 1 oz eq of grain. If you have met that requirement, the box under the grains for that day, in the row called “Daily Req Met Y/N” will turn green and say “yes”. All the daily grain boxes must be green before submitting to the State Agency.</a:t>
          </a:r>
          <a:endParaRPr lang="en-US" sz="1050">
            <a:effectLst/>
            <a:latin typeface="+mn-lt"/>
            <a:ea typeface="Calibri"/>
            <a:cs typeface="Times New Roman"/>
          </a:endParaRPr>
        </a:p>
        <a:p>
          <a:pPr marL="742950" marR="0" lvl="1" indent="-285750">
            <a:lnSpc>
              <a:spcPct val="115000"/>
            </a:lnSpc>
            <a:spcBef>
              <a:spcPts val="0"/>
            </a:spcBef>
            <a:spcAft>
              <a:spcPts val="0"/>
            </a:spcAft>
            <a:buFont typeface="+mj-lt"/>
            <a:buAutoNum type="alphaLcPeriod"/>
          </a:pPr>
          <a:r>
            <a:rPr lang="en-US" sz="1100">
              <a:effectLst/>
              <a:latin typeface="+mn-lt"/>
              <a:ea typeface="Calibri"/>
              <a:cs typeface="Times New Roman"/>
            </a:rPr>
            <a:t>The weekly total oz eq of grain (without added M/MA) will automatically add up and display under the heading “Total Oz Eq Grain”.</a:t>
          </a:r>
          <a:endParaRPr lang="en-US" sz="1050">
            <a:effectLst/>
            <a:latin typeface="+mn-lt"/>
            <a:ea typeface="Calibri"/>
            <a:cs typeface="Times New Roman"/>
          </a:endParaRPr>
        </a:p>
        <a:p>
          <a:pPr marL="742950" marR="0" lvl="1" indent="-285750">
            <a:lnSpc>
              <a:spcPct val="115000"/>
            </a:lnSpc>
            <a:spcBef>
              <a:spcPts val="0"/>
            </a:spcBef>
            <a:spcAft>
              <a:spcPts val="0"/>
            </a:spcAft>
            <a:buFont typeface="+mj-lt"/>
            <a:buAutoNum type="alphaLcPeriod"/>
          </a:pPr>
          <a:r>
            <a:rPr lang="en-US" sz="1100">
              <a:effectLst/>
              <a:latin typeface="+mn-lt"/>
              <a:ea typeface="Calibri"/>
              <a:cs typeface="Times New Roman"/>
            </a:rPr>
            <a:t>50% of the oz eq offered during the week must be WGR. The weekly total oz eq of WGR will automatically add up and display under the heading “Total Oz Eq WGR”. The weekly percentage of grain oz eq which are WGR will display under the heading “% WGR”. The box next to that, “</a:t>
          </a:r>
          <a:r>
            <a:rPr lang="en-US" sz="1100">
              <a:effectLst/>
              <a:latin typeface="+mn-lt"/>
              <a:ea typeface="Calibri"/>
              <a:cs typeface="Calibri"/>
            </a:rPr>
            <a:t>≥</a:t>
          </a:r>
          <a:r>
            <a:rPr lang="en-US" sz="1100">
              <a:effectLst/>
              <a:latin typeface="+mn-lt"/>
              <a:ea typeface="Calibri"/>
              <a:cs typeface="Times New Roman"/>
            </a:rPr>
            <a:t> 50% Yes/No” will turn green and say “yes” once this requirement has been met. This box must be green before submitting to the State Agency.</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b="1">
              <a:effectLst/>
              <a:latin typeface="+mn-lt"/>
              <a:ea typeface="Calibri"/>
              <a:cs typeface="Times New Roman"/>
            </a:rPr>
            <a:t>Meat/Meat Alternate (M/MA)</a:t>
          </a:r>
          <a:r>
            <a:rPr lang="en-US" sz="1100">
              <a:effectLst/>
              <a:latin typeface="+mn-lt"/>
              <a:ea typeface="Calibri"/>
              <a:cs typeface="Times New Roman"/>
            </a:rPr>
            <a:t>: On the blue M/MA row, enter the total number of oz eq of M/MA available to a student in this line, on this day, under “Oz Eq M/MA”.</a:t>
          </a:r>
          <a:endParaRPr lang="en-US" sz="1050">
            <a:effectLst/>
            <a:latin typeface="+mn-lt"/>
            <a:ea typeface="Calibri"/>
            <a:cs typeface="Times New Roman"/>
          </a:endParaRPr>
        </a:p>
        <a:p>
          <a:pPr marL="742950" marR="0" lvl="1" indent="-285750">
            <a:lnSpc>
              <a:spcPct val="115000"/>
            </a:lnSpc>
            <a:spcBef>
              <a:spcPts val="0"/>
            </a:spcBef>
            <a:spcAft>
              <a:spcPts val="0"/>
            </a:spcAft>
            <a:buFont typeface="+mj-lt"/>
            <a:buAutoNum type="alphaLcPeriod"/>
          </a:pPr>
          <a:r>
            <a:rPr lang="en-US" sz="1100">
              <a:effectLst/>
              <a:latin typeface="+mn-lt"/>
              <a:ea typeface="Calibri"/>
              <a:cs typeface="Times New Roman"/>
            </a:rPr>
            <a:t>M/MA is not required at breakfast so it is okay if you aren’t serving any. Be aware that all oz eq of M/MA count toward the weekly grain total. The spreadsheet will automatically add the oz eq of grain and M/MA throughout the week and display the total under the heading “Wkly Grain Total (Grain + M/MA)”.</a:t>
          </a:r>
          <a:endParaRPr lang="en-US" sz="1050">
            <a:effectLst/>
            <a:latin typeface="+mn-lt"/>
            <a:ea typeface="Calibri"/>
            <a:cs typeface="Times New Roman"/>
          </a:endParaRPr>
        </a:p>
        <a:p>
          <a:pPr marL="742950" marR="0" lvl="1" indent="-285750">
            <a:lnSpc>
              <a:spcPct val="115000"/>
            </a:lnSpc>
            <a:spcBef>
              <a:spcPts val="0"/>
            </a:spcBef>
            <a:spcAft>
              <a:spcPts val="0"/>
            </a:spcAft>
            <a:buFont typeface="+mj-lt"/>
            <a:buAutoNum type="alphaLcPeriod"/>
          </a:pPr>
          <a:r>
            <a:rPr lang="en-US" sz="1100">
              <a:effectLst/>
              <a:latin typeface="+mn-lt"/>
              <a:ea typeface="Calibri"/>
              <a:cs typeface="Times New Roman"/>
            </a:rPr>
            <a:t>The total oz eq of M/MA only will add up automatically and display in the box under the heading “Total Oz Eq M/MA”. </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b="1">
              <a:effectLst/>
              <a:latin typeface="+mn-lt"/>
              <a:ea typeface="Calibri"/>
              <a:cs typeface="Times New Roman"/>
            </a:rPr>
            <a:t>Fruits and Vegetables</a:t>
          </a:r>
          <a:r>
            <a:rPr lang="en-US" sz="1100">
              <a:effectLst/>
              <a:latin typeface="+mn-lt"/>
              <a:ea typeface="Calibri"/>
              <a:cs typeface="Times New Roman"/>
            </a:rPr>
            <a:t>: On the purple Fruit &amp; Veg row, enter the total number of cups of fruit, fruit juice, vegetables, and vegetable juice combined available to a student in this line, on this day, under “Cups of Fruit/Veg”. </a:t>
          </a:r>
          <a:endParaRPr lang="en-US" sz="1050">
            <a:effectLst/>
            <a:latin typeface="+mn-lt"/>
            <a:ea typeface="Calibri"/>
            <a:cs typeface="Times New Roman"/>
          </a:endParaRPr>
        </a:p>
        <a:p>
          <a:pPr marL="742950" marR="0" lvl="1" indent="-285750">
            <a:lnSpc>
              <a:spcPct val="115000"/>
            </a:lnSpc>
            <a:spcBef>
              <a:spcPts val="0"/>
            </a:spcBef>
            <a:spcAft>
              <a:spcPts val="0"/>
            </a:spcAft>
            <a:buFont typeface="+mj-lt"/>
            <a:buAutoNum type="alphaLcPeriod"/>
          </a:pPr>
          <a:r>
            <a:rPr lang="en-US" sz="1100">
              <a:effectLst/>
              <a:latin typeface="+mn-lt"/>
              <a:ea typeface="Calibri"/>
              <a:cs typeface="Times New Roman"/>
            </a:rPr>
            <a:t>Each day you must offer at least ½ cup of fruit and/or vegetables. If you have met that requirement, the box under the fruit/veg for that day, in the row called “Daily Req Met Y/N” will turn green and say “yes”. All the daily fruit/veg boxes must be green before submitting to the State Agency.</a:t>
          </a:r>
          <a:endParaRPr lang="en-US" sz="1050">
            <a:effectLst/>
            <a:latin typeface="+mn-lt"/>
            <a:ea typeface="Calibri"/>
            <a:cs typeface="Times New Roman"/>
          </a:endParaRPr>
        </a:p>
        <a:p>
          <a:pPr marL="742950" marR="0" lvl="1" indent="-285750">
            <a:lnSpc>
              <a:spcPct val="115000"/>
            </a:lnSpc>
            <a:spcBef>
              <a:spcPts val="0"/>
            </a:spcBef>
            <a:spcAft>
              <a:spcPts val="0"/>
            </a:spcAft>
            <a:buFont typeface="+mj-lt"/>
            <a:buAutoNum type="alphaLcPeriod"/>
          </a:pPr>
          <a:r>
            <a:rPr lang="en-US" sz="1100">
              <a:effectLst/>
              <a:latin typeface="+mn-lt"/>
              <a:ea typeface="Calibri"/>
              <a:cs typeface="Times New Roman"/>
            </a:rPr>
            <a:t>The weekly total cups of fruits/veg will automatically add up and display under the heading “Total Cups F&amp;V”.</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b="1">
              <a:effectLst/>
              <a:latin typeface="+mn-lt"/>
              <a:ea typeface="Calibri"/>
              <a:cs typeface="Times New Roman"/>
            </a:rPr>
            <a:t>Milk</a:t>
          </a:r>
          <a:r>
            <a:rPr lang="en-US" sz="1100">
              <a:effectLst/>
              <a:latin typeface="+mn-lt"/>
              <a:ea typeface="Calibri"/>
              <a:cs typeface="Times New Roman"/>
            </a:rPr>
            <a:t>: On the brownish Fluid Milk row, enter the total number of cups of milk available to a student in this line, on this day under “Cups of Milk”. </a:t>
          </a:r>
          <a:endParaRPr lang="en-US" sz="1050">
            <a:effectLst/>
            <a:latin typeface="+mn-lt"/>
            <a:ea typeface="Calibri"/>
            <a:cs typeface="Times New Roman"/>
          </a:endParaRPr>
        </a:p>
        <a:p>
          <a:pPr marL="742950" marR="0" lvl="1" indent="-285750">
            <a:lnSpc>
              <a:spcPct val="115000"/>
            </a:lnSpc>
            <a:spcBef>
              <a:spcPts val="0"/>
            </a:spcBef>
            <a:spcAft>
              <a:spcPts val="0"/>
            </a:spcAft>
            <a:buFont typeface="+mj-lt"/>
            <a:buAutoNum type="alphaLcPeriod"/>
          </a:pPr>
          <a:r>
            <a:rPr lang="en-US" sz="1100">
              <a:effectLst/>
              <a:latin typeface="+mn-lt"/>
              <a:ea typeface="Calibri"/>
              <a:cs typeface="Times New Roman"/>
            </a:rPr>
            <a:t>Each day you must offer at least 1 cup of milk (1 cup = 8 oz = ½ pint). If you have met that requirement, the box under the cups of milk for that day will turn green and say “yes”. All the daily milk boxes must be green before submitting to the State Agency. </a:t>
          </a:r>
          <a:endParaRPr lang="en-US" sz="1050">
            <a:effectLst/>
            <a:latin typeface="+mn-lt"/>
            <a:ea typeface="Calibri"/>
            <a:cs typeface="Times New Roman"/>
          </a:endParaRPr>
        </a:p>
        <a:p>
          <a:pPr marL="742950" marR="0" lvl="1" indent="-285750">
            <a:lnSpc>
              <a:spcPct val="115000"/>
            </a:lnSpc>
            <a:spcBef>
              <a:spcPts val="0"/>
            </a:spcBef>
            <a:spcAft>
              <a:spcPts val="0"/>
            </a:spcAft>
            <a:buFont typeface="+mj-lt"/>
            <a:buAutoNum type="alphaLcPeriod"/>
          </a:pPr>
          <a:r>
            <a:rPr lang="en-US" sz="1100">
              <a:effectLst/>
              <a:latin typeface="+mn-lt"/>
              <a:ea typeface="Calibri"/>
              <a:cs typeface="Times New Roman"/>
            </a:rPr>
            <a:t>The weekly total cups of milk will automatically add up and display under the heading “Total Cups of Milk”. </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a:effectLst/>
              <a:latin typeface="+mn-lt"/>
              <a:ea typeface="Calibri"/>
              <a:cs typeface="Times New Roman"/>
            </a:rPr>
            <a:t>Enter each day as described above. </a:t>
          </a:r>
          <a:endParaRPr lang="en-US" sz="1050">
            <a:effectLst/>
            <a:latin typeface="+mn-lt"/>
            <a:ea typeface="Calibri"/>
            <a:cs typeface="Times New Roman"/>
          </a:endParaRPr>
        </a:p>
        <a:p>
          <a:pPr marL="0" marR="0">
            <a:lnSpc>
              <a:spcPct val="115000"/>
            </a:lnSpc>
            <a:spcBef>
              <a:spcPts val="0"/>
            </a:spcBef>
            <a:spcAft>
              <a:spcPts val="0"/>
            </a:spcAft>
          </a:pPr>
          <a:r>
            <a:rPr lang="en-US" sz="1100" b="1">
              <a:effectLst/>
              <a:latin typeface="+mn-lt"/>
              <a:ea typeface="Calibri"/>
              <a:cs typeface="Times New Roman"/>
            </a:rPr>
            <a:t>III. Interpreting the Weekly Totals</a:t>
          </a:r>
          <a:endParaRPr lang="en-US" sz="1050">
            <a:effectLst/>
            <a:latin typeface="+mn-lt"/>
            <a:ea typeface="Calibri"/>
            <a:cs typeface="Times New Roman"/>
          </a:endParaRPr>
        </a:p>
        <a:p>
          <a:pPr marL="0" marR="0">
            <a:lnSpc>
              <a:spcPct val="115000"/>
            </a:lnSpc>
            <a:spcBef>
              <a:spcPts val="0"/>
            </a:spcBef>
            <a:spcAft>
              <a:spcPts val="0"/>
            </a:spcAft>
          </a:pPr>
          <a:r>
            <a:rPr lang="en-US" sz="1100" b="1">
              <a:effectLst/>
              <a:latin typeface="+mn-lt"/>
              <a:ea typeface="Calibri"/>
              <a:cs typeface="Times New Roman"/>
            </a:rPr>
            <a:t> </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b="1">
              <a:effectLst/>
              <a:latin typeface="+mn-lt"/>
              <a:ea typeface="Calibri"/>
              <a:cs typeface="Times New Roman"/>
            </a:rPr>
            <a:t>Grains</a:t>
          </a:r>
          <a:r>
            <a:rPr lang="en-US" sz="1100">
              <a:effectLst/>
              <a:latin typeface="+mn-lt"/>
              <a:ea typeface="Calibri"/>
              <a:cs typeface="Times New Roman"/>
            </a:rPr>
            <a:t>: Weekly grain requirements are provided as ranges and depend on which grade group you are working with. If the weekly grain total, which includes all the oz eq of both grain and M/MA served throughout the week and is displayed under the heading “Wkly Grain Total (Grain + M/MA)”, is either too low or two high, the large box on the grain/M/MA row under the heading “Weekly Requirement Met True/False or Yes/No” will be red and say “false”. When the weekly total of grain is in the appropriate range, the box will turn green and say “yes”. All weekly total boxes and daily total boxes must be green before submitting to the State Agency.</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b="1">
              <a:effectLst/>
              <a:latin typeface="+mn-lt"/>
              <a:ea typeface="Calibri"/>
              <a:cs typeface="Times New Roman"/>
            </a:rPr>
            <a:t>WGR</a:t>
          </a:r>
          <a:r>
            <a:rPr lang="en-US" sz="1100">
              <a:effectLst/>
              <a:latin typeface="+mn-lt"/>
              <a:ea typeface="Calibri"/>
              <a:cs typeface="Times New Roman"/>
            </a:rPr>
            <a:t>: The weekly percentage of grains which are whole grain rich will display in the box under the heading “% WGR”. The box next to that, “</a:t>
          </a:r>
          <a:r>
            <a:rPr lang="en-US" sz="1100">
              <a:effectLst/>
              <a:latin typeface="+mn-lt"/>
              <a:ea typeface="Calibri"/>
              <a:cs typeface="Calibri"/>
            </a:rPr>
            <a:t>≥</a:t>
          </a:r>
          <a:r>
            <a:rPr lang="en-US" sz="1100">
              <a:effectLst/>
              <a:latin typeface="+mn-lt"/>
              <a:ea typeface="Calibri"/>
              <a:cs typeface="Times New Roman"/>
            </a:rPr>
            <a:t> 50% Yes/No”, will be red and say “no” until at least 50% of the grains offered are WGR. This requirement must be met and this box must be green before submitting to the State Agency.</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b="1">
              <a:effectLst/>
              <a:latin typeface="+mn-lt"/>
              <a:ea typeface="Calibri"/>
              <a:cs typeface="Times New Roman"/>
            </a:rPr>
            <a:t>Fruits and Vegetables</a:t>
          </a:r>
          <a:r>
            <a:rPr lang="en-US" sz="1100">
              <a:effectLst/>
              <a:latin typeface="+mn-lt"/>
              <a:ea typeface="Calibri"/>
              <a:cs typeface="Times New Roman"/>
            </a:rPr>
            <a:t>: Once at least 2 ½ cups of fruit/vegetables are being served during the week, the large box on the fruit/veg row under the heading “Weekly Requirement Met True/False or Yes/No” will turn green and say “yes”. All weekly total boxes and daily total boxes must be green before submitting to the State Agency.</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b="1">
              <a:effectLst/>
              <a:latin typeface="+mn-lt"/>
              <a:ea typeface="Calibri"/>
              <a:cs typeface="Times New Roman"/>
            </a:rPr>
            <a:t>Milk</a:t>
          </a:r>
          <a:r>
            <a:rPr lang="en-US" sz="1100">
              <a:effectLst/>
              <a:latin typeface="+mn-lt"/>
              <a:ea typeface="Calibri"/>
              <a:cs typeface="Times New Roman"/>
            </a:rPr>
            <a:t>: Once at least 5 cups of milk are being served during the week, the large box on the fluid milk row under the heading “Weekly Requirement Met True/False or Yes/No” will turn green and say “yes”. All weekly total boxes and daily total boxes must be green before submitting to the State Agency.</a:t>
          </a:r>
          <a:endParaRPr lang="en-US" sz="1050">
            <a:effectLst/>
            <a:latin typeface="+mn-lt"/>
            <a:ea typeface="Calibri"/>
            <a:cs typeface="Times New Roman"/>
          </a:endParaRPr>
        </a:p>
        <a:p>
          <a:pPr marL="0" marR="0">
            <a:lnSpc>
              <a:spcPct val="115000"/>
            </a:lnSpc>
            <a:spcBef>
              <a:spcPts val="0"/>
            </a:spcBef>
            <a:spcAft>
              <a:spcPts val="0"/>
            </a:spcAft>
          </a:pPr>
          <a:r>
            <a:rPr lang="en-US" sz="1100" b="1">
              <a:effectLst/>
              <a:latin typeface="+mn-lt"/>
              <a:ea typeface="Calibri"/>
              <a:cs typeface="Times New Roman"/>
            </a:rPr>
            <a:t> </a:t>
          </a:r>
          <a:endParaRPr lang="en-US" sz="1050">
            <a:effectLst/>
            <a:latin typeface="+mn-lt"/>
            <a:ea typeface="Calibri"/>
            <a:cs typeface="Times New Roman"/>
          </a:endParaRPr>
        </a:p>
        <a:p>
          <a:pPr marL="0" marR="0">
            <a:lnSpc>
              <a:spcPct val="115000"/>
            </a:lnSpc>
            <a:spcBef>
              <a:spcPts val="0"/>
            </a:spcBef>
            <a:spcAft>
              <a:spcPts val="0"/>
            </a:spcAft>
          </a:pPr>
          <a:r>
            <a:rPr lang="en-US" sz="1100" b="1">
              <a:effectLst/>
              <a:latin typeface="+mn-lt"/>
              <a:ea typeface="Calibri"/>
              <a:cs typeface="Times New Roman"/>
            </a:rPr>
            <a:t> </a:t>
          </a:r>
          <a:endParaRPr lang="en-US" sz="1050">
            <a:effectLst/>
            <a:latin typeface="+mn-lt"/>
            <a:ea typeface="Calibri"/>
            <a:cs typeface="Times New Roman"/>
          </a:endParaRPr>
        </a:p>
        <a:p>
          <a:pPr marL="0" marR="0">
            <a:lnSpc>
              <a:spcPct val="115000"/>
            </a:lnSpc>
            <a:spcBef>
              <a:spcPts val="0"/>
            </a:spcBef>
            <a:spcAft>
              <a:spcPts val="0"/>
            </a:spcAft>
          </a:pPr>
          <a:r>
            <a:rPr lang="en-US" sz="1100" b="1">
              <a:effectLst/>
              <a:latin typeface="+mn-lt"/>
              <a:ea typeface="Calibri"/>
              <a:cs typeface="Times New Roman"/>
            </a:rPr>
            <a:t>IV. Making Copies of Worksheets</a:t>
          </a:r>
          <a:endParaRPr lang="en-US" sz="1050">
            <a:effectLst/>
            <a:latin typeface="+mn-lt"/>
            <a:ea typeface="Calibri"/>
            <a:cs typeface="Times New Roman"/>
          </a:endParaRPr>
        </a:p>
        <a:p>
          <a:pPr marL="0" marR="0">
            <a:lnSpc>
              <a:spcPct val="115000"/>
            </a:lnSpc>
            <a:spcBef>
              <a:spcPts val="0"/>
            </a:spcBef>
            <a:spcAft>
              <a:spcPts val="0"/>
            </a:spcAft>
          </a:pPr>
          <a:r>
            <a:rPr lang="en-US" sz="1100" b="1">
              <a:effectLst/>
              <a:latin typeface="+mn-lt"/>
              <a:ea typeface="Calibri"/>
              <a:cs typeface="Times New Roman"/>
            </a:rPr>
            <a:t> </a:t>
          </a:r>
          <a:endParaRPr lang="en-US" sz="1050">
            <a:effectLst/>
            <a:latin typeface="+mn-lt"/>
            <a:ea typeface="Calibri"/>
            <a:cs typeface="Times New Roman"/>
          </a:endParaRPr>
        </a:p>
        <a:p>
          <a:pPr marL="0" marR="0">
            <a:lnSpc>
              <a:spcPct val="115000"/>
            </a:lnSpc>
            <a:spcBef>
              <a:spcPts val="0"/>
            </a:spcBef>
            <a:spcAft>
              <a:spcPts val="0"/>
            </a:spcAft>
          </a:pPr>
          <a:r>
            <a:rPr lang="en-US" sz="1100">
              <a:effectLst/>
              <a:latin typeface="+mn-lt"/>
              <a:ea typeface="Calibri"/>
              <a:cs typeface="Times New Roman"/>
            </a:rPr>
            <a:t>If you need to fill out multiple worksheets that only vary slightly from one another, there is no need to re-enter the same information over and over. You can copy a completed worksheet by following the steps below.</a:t>
          </a:r>
          <a:endParaRPr lang="en-US" sz="1050">
            <a:effectLst/>
            <a:latin typeface="+mn-lt"/>
            <a:ea typeface="Calibri"/>
            <a:cs typeface="Times New Roman"/>
          </a:endParaRPr>
        </a:p>
        <a:p>
          <a:pPr marL="0" marR="0">
            <a:lnSpc>
              <a:spcPct val="115000"/>
            </a:lnSpc>
            <a:spcBef>
              <a:spcPts val="0"/>
            </a:spcBef>
            <a:spcAft>
              <a:spcPts val="0"/>
            </a:spcAft>
          </a:pPr>
          <a:r>
            <a:rPr lang="en-US" sz="1100">
              <a:effectLst/>
              <a:latin typeface="+mn-lt"/>
              <a:ea typeface="Calibri"/>
              <a:cs typeface="Times New Roman"/>
            </a:rPr>
            <a:t> </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a:effectLst/>
              <a:latin typeface="+mn-lt"/>
              <a:ea typeface="Calibri"/>
              <a:cs typeface="Times New Roman"/>
            </a:rPr>
            <a:t>Right click on the tab of the worksheet you would like to copy.</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a:effectLst/>
              <a:latin typeface="+mn-lt"/>
              <a:ea typeface="Calibri"/>
              <a:cs typeface="Times New Roman"/>
            </a:rPr>
            <a:t>A menu bar will appear. Click on the “Move or Copy” option in the menu bar.</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a:effectLst/>
              <a:latin typeface="+mn-lt"/>
              <a:ea typeface="Calibri"/>
              <a:cs typeface="Times New Roman"/>
            </a:rPr>
            <a:t>A box titled “Move or Copy” will appear. At the bottom of this box is a small box with the words “Create a copy” next to it. Select this box and click “OK”. </a:t>
          </a:r>
          <a:endParaRPr lang="en-US" sz="1050">
            <a:effectLst/>
            <a:latin typeface="+mn-lt"/>
            <a:ea typeface="Calibri"/>
            <a:cs typeface="Times New Roman"/>
          </a:endParaRPr>
        </a:p>
        <a:p>
          <a:pPr marL="742950" marR="0" lvl="1" indent="-285750">
            <a:lnSpc>
              <a:spcPct val="115000"/>
            </a:lnSpc>
            <a:spcBef>
              <a:spcPts val="0"/>
            </a:spcBef>
            <a:spcAft>
              <a:spcPts val="0"/>
            </a:spcAft>
            <a:buFont typeface="+mj-lt"/>
            <a:buAutoNum type="alphaLcPeriod"/>
          </a:pPr>
          <a:r>
            <a:rPr lang="en-US" sz="1100">
              <a:effectLst/>
              <a:latin typeface="+mn-lt"/>
              <a:ea typeface="Calibri"/>
              <a:cs typeface="Times New Roman"/>
            </a:rPr>
            <a:t>It does not matter what sheet is highlighted in the area above the “Create a copy” box. Simply click the box and click “OK”.</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a:effectLst/>
              <a:latin typeface="+mn-lt"/>
              <a:ea typeface="Calibri"/>
              <a:cs typeface="Times New Roman"/>
            </a:rPr>
            <a:t>A new tab will appear. It will be named the same as the sheet you copied except it will have a number in parentheses at the end. (This first copy will be numbered (2), the second copy will be numbered (3) and so on.) This new sheet will be </a:t>
          </a:r>
          <a:r>
            <a:rPr lang="en-US" sz="1100" i="1">
              <a:effectLst/>
              <a:latin typeface="+mn-lt"/>
              <a:ea typeface="Calibri"/>
              <a:cs typeface="Times New Roman"/>
            </a:rPr>
            <a:t>exactly</a:t>
          </a:r>
          <a:r>
            <a:rPr lang="en-US" sz="1100">
              <a:effectLst/>
              <a:latin typeface="+mn-lt"/>
              <a:ea typeface="Calibri"/>
              <a:cs typeface="Times New Roman"/>
            </a:rPr>
            <a:t> the same as the one you copied.</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b="1">
              <a:effectLst/>
              <a:latin typeface="+mn-lt"/>
              <a:ea typeface="Calibri"/>
              <a:cs typeface="Times New Roman"/>
            </a:rPr>
            <a:t>Rename the new worksheet</a:t>
          </a:r>
          <a:r>
            <a:rPr lang="en-US" sz="1100">
              <a:effectLst/>
              <a:latin typeface="+mn-lt"/>
              <a:ea typeface="Calibri"/>
              <a:cs typeface="Times New Roman"/>
            </a:rPr>
            <a:t> as described above in section II(2) and II(3). </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a:effectLst/>
              <a:latin typeface="+mn-lt"/>
              <a:ea typeface="Calibri"/>
              <a:cs typeface="Times New Roman"/>
            </a:rPr>
            <a:t>Make changes to the new worksheet so it reflects the options offered on this new line. </a:t>
          </a:r>
          <a:endParaRPr lang="en-US" sz="1050">
            <a:effectLst/>
            <a:latin typeface="+mn-lt"/>
            <a:ea typeface="Calibri"/>
            <a:cs typeface="Times New Roman"/>
          </a:endParaRPr>
        </a:p>
        <a:p>
          <a:pPr marL="0" marR="0">
            <a:lnSpc>
              <a:spcPct val="115000"/>
            </a:lnSpc>
            <a:spcBef>
              <a:spcPts val="0"/>
            </a:spcBef>
            <a:spcAft>
              <a:spcPts val="0"/>
            </a:spcAft>
          </a:pPr>
          <a:r>
            <a:rPr lang="en-US" sz="1100">
              <a:effectLst/>
              <a:latin typeface="+mn-lt"/>
              <a:ea typeface="Calibri"/>
              <a:cs typeface="Times New Roman"/>
            </a:rPr>
            <a:t> </a:t>
          </a:r>
          <a:endParaRPr lang="en-US" sz="1050">
            <a:effectLst/>
            <a:latin typeface="+mn-lt"/>
            <a:ea typeface="Calibri"/>
            <a:cs typeface="Times New Roman"/>
          </a:endParaRPr>
        </a:p>
        <a:p>
          <a:pPr marL="0" marR="0">
            <a:lnSpc>
              <a:spcPct val="115000"/>
            </a:lnSpc>
            <a:spcBef>
              <a:spcPts val="0"/>
            </a:spcBef>
            <a:spcAft>
              <a:spcPts val="0"/>
            </a:spcAft>
          </a:pPr>
          <a:r>
            <a:rPr lang="en-US" sz="1100">
              <a:effectLst/>
              <a:latin typeface="+mn-lt"/>
              <a:ea typeface="Calibri"/>
              <a:cs typeface="Times New Roman"/>
            </a:rPr>
            <a:t> </a:t>
          </a:r>
          <a:endParaRPr lang="en-US" sz="1050">
            <a:effectLst/>
            <a:latin typeface="+mn-lt"/>
            <a:ea typeface="Calibri"/>
            <a:cs typeface="Times New Roman"/>
          </a:endParaRPr>
        </a:p>
        <a:p>
          <a:pPr marL="0" marR="0">
            <a:lnSpc>
              <a:spcPct val="115000"/>
            </a:lnSpc>
            <a:spcBef>
              <a:spcPts val="0"/>
            </a:spcBef>
            <a:spcAft>
              <a:spcPts val="0"/>
            </a:spcAft>
          </a:pPr>
          <a:r>
            <a:rPr lang="en-US" sz="1100" b="1">
              <a:effectLst/>
              <a:latin typeface="+mn-lt"/>
              <a:ea typeface="Calibri"/>
              <a:cs typeface="Times New Roman"/>
            </a:rPr>
            <a:t>V. Submitting the Worksheet</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a:effectLst/>
              <a:latin typeface="+mn-lt"/>
              <a:ea typeface="Calibri"/>
              <a:cs typeface="Times New Roman"/>
            </a:rPr>
            <a:t>Review the worksheet critically and thoroughly. DO NOT submit the worksheet if any boxes are red and say “no” in them. Only submit worksheets with all green “yes” boxes.</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a:effectLst/>
              <a:latin typeface="+mn-lt"/>
              <a:ea typeface="Calibri"/>
              <a:cs typeface="Times New Roman"/>
            </a:rPr>
            <a:t>When all worksheets are complete, save a local copy where it will be safe and you will have access to it.</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a:effectLst/>
              <a:latin typeface="+mn-lt"/>
              <a:ea typeface="Calibri"/>
              <a:cs typeface="Times New Roman"/>
            </a:rPr>
            <a:t>Save another copy of the completed worksheet on the flash drive provided to you by the State Office. </a:t>
          </a:r>
          <a:endParaRPr lang="en-US" sz="1050">
            <a:effectLst/>
            <a:latin typeface="+mn-lt"/>
            <a:ea typeface="Calibri"/>
            <a:cs typeface="Times New Roman"/>
          </a:endParaRPr>
        </a:p>
        <a:p>
          <a:pPr marL="342900" marR="0" lvl="0" indent="-342900">
            <a:lnSpc>
              <a:spcPct val="115000"/>
            </a:lnSpc>
            <a:spcBef>
              <a:spcPts val="0"/>
            </a:spcBef>
            <a:spcAft>
              <a:spcPts val="0"/>
            </a:spcAft>
            <a:buFont typeface="+mj-lt"/>
            <a:buAutoNum type="arabicPeriod"/>
          </a:pPr>
          <a:r>
            <a:rPr lang="en-US" sz="1100">
              <a:effectLst/>
              <a:latin typeface="+mn-lt"/>
              <a:ea typeface="Calibri"/>
              <a:cs typeface="Times New Roman"/>
            </a:rPr>
            <a:t>When all your certification activities are complete and the flash drive contains all the required documents, mail the flash drive to our office to the address listed below. </a:t>
          </a:r>
          <a:endParaRPr lang="en-US" sz="1050">
            <a:effectLst/>
            <a:latin typeface="+mn-lt"/>
            <a:ea typeface="Calibri"/>
            <a:cs typeface="Times New Roman"/>
          </a:endParaRPr>
        </a:p>
        <a:p>
          <a:pPr marL="0" marR="0">
            <a:lnSpc>
              <a:spcPct val="115000"/>
            </a:lnSpc>
            <a:spcBef>
              <a:spcPts val="0"/>
            </a:spcBef>
            <a:spcAft>
              <a:spcPts val="0"/>
            </a:spcAft>
          </a:pPr>
          <a:r>
            <a:rPr lang="en-US" sz="1100">
              <a:effectLst/>
              <a:latin typeface="+mn-lt"/>
              <a:ea typeface="Calibri"/>
              <a:cs typeface="Times New Roman"/>
            </a:rPr>
            <a:t> </a:t>
          </a:r>
          <a:endParaRPr lang="en-US" sz="1050">
            <a:effectLst/>
            <a:latin typeface="+mn-lt"/>
            <a:ea typeface="Calibri"/>
            <a:cs typeface="Times New Roman"/>
          </a:endParaRPr>
        </a:p>
        <a:p>
          <a:pPr marL="0" marR="0">
            <a:lnSpc>
              <a:spcPct val="115000"/>
            </a:lnSpc>
            <a:spcBef>
              <a:spcPts val="0"/>
            </a:spcBef>
            <a:spcAft>
              <a:spcPts val="0"/>
            </a:spcAft>
          </a:pPr>
          <a:r>
            <a:rPr lang="en-US" sz="1100">
              <a:effectLst/>
              <a:latin typeface="+mn-lt"/>
              <a:ea typeface="Calibri"/>
              <a:cs typeface="Times New Roman"/>
            </a:rPr>
            <a:t>	Child Nutrition Programs</a:t>
          </a:r>
          <a:endParaRPr lang="en-US" sz="1050">
            <a:effectLst/>
            <a:latin typeface="+mn-lt"/>
            <a:ea typeface="Calibri"/>
            <a:cs typeface="Times New Roman"/>
          </a:endParaRPr>
        </a:p>
        <a:p>
          <a:pPr marL="0" marR="0">
            <a:lnSpc>
              <a:spcPct val="115000"/>
            </a:lnSpc>
            <a:spcBef>
              <a:spcPts val="0"/>
            </a:spcBef>
            <a:spcAft>
              <a:spcPts val="0"/>
            </a:spcAft>
          </a:pPr>
          <a:r>
            <a:rPr lang="en-US" sz="1100">
              <a:effectLst/>
              <a:latin typeface="+mn-lt"/>
              <a:ea typeface="Calibri"/>
              <a:cs typeface="Times New Roman"/>
            </a:rPr>
            <a:t>	Utah State Office of Education</a:t>
          </a:r>
          <a:endParaRPr lang="en-US" sz="1050">
            <a:effectLst/>
            <a:latin typeface="+mn-lt"/>
            <a:ea typeface="Calibri"/>
            <a:cs typeface="Times New Roman"/>
          </a:endParaRPr>
        </a:p>
        <a:p>
          <a:pPr marL="0" marR="0">
            <a:lnSpc>
              <a:spcPct val="115000"/>
            </a:lnSpc>
            <a:spcBef>
              <a:spcPts val="0"/>
            </a:spcBef>
            <a:spcAft>
              <a:spcPts val="0"/>
            </a:spcAft>
          </a:pPr>
          <a:r>
            <a:rPr lang="en-US" sz="1100">
              <a:effectLst/>
              <a:latin typeface="+mn-lt"/>
              <a:ea typeface="Calibri"/>
              <a:cs typeface="Times New Roman"/>
            </a:rPr>
            <a:t>	250 E 500 S</a:t>
          </a:r>
          <a:endParaRPr lang="en-US" sz="1050">
            <a:effectLst/>
            <a:latin typeface="+mn-lt"/>
            <a:ea typeface="Calibri"/>
            <a:cs typeface="Times New Roman"/>
          </a:endParaRPr>
        </a:p>
        <a:p>
          <a:pPr marL="0" marR="0">
            <a:lnSpc>
              <a:spcPct val="115000"/>
            </a:lnSpc>
            <a:spcBef>
              <a:spcPts val="0"/>
            </a:spcBef>
            <a:spcAft>
              <a:spcPts val="0"/>
            </a:spcAft>
          </a:pPr>
          <a:r>
            <a:rPr lang="en-US" sz="1100">
              <a:effectLst/>
              <a:latin typeface="+mn-lt"/>
              <a:ea typeface="Calibri"/>
              <a:cs typeface="Times New Roman"/>
            </a:rPr>
            <a:t>	PO Box 144500</a:t>
          </a:r>
          <a:endParaRPr lang="en-US" sz="1050">
            <a:effectLst/>
            <a:latin typeface="+mn-lt"/>
            <a:ea typeface="Calibri"/>
            <a:cs typeface="Times New Roman"/>
          </a:endParaRPr>
        </a:p>
        <a:p>
          <a:pPr marL="0" marR="0">
            <a:lnSpc>
              <a:spcPct val="115000"/>
            </a:lnSpc>
            <a:spcBef>
              <a:spcPts val="0"/>
            </a:spcBef>
            <a:spcAft>
              <a:spcPts val="0"/>
            </a:spcAft>
          </a:pPr>
          <a:r>
            <a:rPr lang="en-US" sz="1100">
              <a:effectLst/>
              <a:latin typeface="+mn-lt"/>
              <a:ea typeface="Calibri"/>
              <a:cs typeface="Times New Roman"/>
            </a:rPr>
            <a:t>	Salt Lake City Utah 84114</a:t>
          </a:r>
          <a:endParaRPr lang="en-US" sz="1050">
            <a:effectLst/>
            <a:latin typeface="+mn-lt"/>
            <a:ea typeface="Calibri"/>
            <a:cs typeface="Times New Roman"/>
          </a:endParaRPr>
        </a:p>
        <a:p>
          <a:pPr marL="0" marR="0">
            <a:lnSpc>
              <a:spcPct val="115000"/>
            </a:lnSpc>
            <a:spcBef>
              <a:spcPts val="0"/>
            </a:spcBef>
            <a:spcAft>
              <a:spcPts val="0"/>
            </a:spcAft>
          </a:pPr>
          <a:r>
            <a:rPr lang="en-US" sz="1100">
              <a:effectLst/>
              <a:latin typeface="+mn-lt"/>
              <a:ea typeface="Calibri"/>
              <a:cs typeface="Times New Roman"/>
            </a:rPr>
            <a:t> </a:t>
          </a:r>
          <a:endParaRPr lang="en-US" sz="1050">
            <a:effectLst/>
            <a:latin typeface="+mn-lt"/>
            <a:ea typeface="Calibri"/>
            <a:cs typeface="Times New Roman"/>
          </a:endParaRPr>
        </a:p>
        <a:p>
          <a:pPr marL="0" marR="0">
            <a:lnSpc>
              <a:spcPct val="115000"/>
            </a:lnSpc>
            <a:spcBef>
              <a:spcPts val="0"/>
            </a:spcBef>
            <a:spcAft>
              <a:spcPts val="0"/>
            </a:spcAft>
          </a:pPr>
          <a:r>
            <a:rPr lang="en-US" sz="1100">
              <a:effectLst/>
              <a:latin typeface="+mn-lt"/>
              <a:ea typeface="Calibri"/>
              <a:cs typeface="Times New Roman"/>
            </a:rPr>
            <a:t> </a:t>
          </a:r>
          <a:endParaRPr lang="en-US" sz="1050">
            <a:effectLst/>
            <a:latin typeface="+mn-lt"/>
            <a:ea typeface="Calibri"/>
            <a:cs typeface="Times New Roman"/>
          </a:endParaRPr>
        </a:p>
        <a:p>
          <a:pPr marL="0" marR="0">
            <a:lnSpc>
              <a:spcPct val="115000"/>
            </a:lnSpc>
            <a:spcBef>
              <a:spcPts val="0"/>
            </a:spcBef>
            <a:spcAft>
              <a:spcPts val="0"/>
            </a:spcAft>
          </a:pPr>
          <a:r>
            <a:rPr lang="en-US" sz="1100">
              <a:effectLst/>
              <a:latin typeface="+mn-lt"/>
              <a:ea typeface="Calibri"/>
              <a:cs typeface="Times New Roman"/>
            </a:rPr>
            <a:t>Contact your specialist with any questions.</a:t>
          </a:r>
          <a:endParaRPr lang="en-US" sz="1050">
            <a:effectLst/>
            <a:latin typeface="+mn-lt"/>
            <a:ea typeface="Calibri"/>
            <a:cs typeface="Times New Roman"/>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M7" sqref="M7"/>
    </sheetView>
  </sheetViews>
  <sheetFormatPr defaultRowHeight="15" x14ac:dyDescent="0.25"/>
  <sheetData/>
  <sheetProtection sheet="1" objects="1" scenarios="1" selectLockedCells="1"/>
  <pageMargins left="0.25" right="0.25"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9"/>
  <sheetViews>
    <sheetView zoomScale="70" zoomScaleNormal="70" workbookViewId="0">
      <selection activeCell="T16" sqref="T16"/>
    </sheetView>
  </sheetViews>
  <sheetFormatPr defaultRowHeight="15" x14ac:dyDescent="0.25"/>
  <cols>
    <col min="1" max="1" width="9.140625" style="14"/>
    <col min="2" max="2" width="12.7109375" style="14" customWidth="1"/>
    <col min="3" max="3" width="9.140625" style="14"/>
    <col min="4" max="4" width="9" style="14" customWidth="1"/>
    <col min="5" max="12" width="9.140625" style="14"/>
    <col min="13" max="20" width="8.7109375" style="14" customWidth="1"/>
    <col min="21" max="22" width="11.7109375" style="14" customWidth="1"/>
    <col min="23" max="16384" width="9.140625" style="14"/>
  </cols>
  <sheetData>
    <row r="1" spans="1:22" ht="16.5" thickTop="1" thickBot="1" x14ac:dyDescent="0.3">
      <c r="A1" s="100" t="s">
        <v>37</v>
      </c>
      <c r="B1" s="101"/>
      <c r="C1" s="101"/>
      <c r="D1" s="101" t="s">
        <v>33</v>
      </c>
      <c r="E1" s="101"/>
      <c r="F1" s="102"/>
      <c r="G1" s="102"/>
      <c r="H1" s="102"/>
      <c r="I1" s="102"/>
      <c r="J1" s="102"/>
      <c r="K1" s="102"/>
      <c r="L1" s="102"/>
      <c r="M1" s="102"/>
      <c r="N1" s="102"/>
      <c r="O1" s="102"/>
      <c r="P1" s="102"/>
      <c r="Q1" s="102"/>
      <c r="R1" s="102"/>
      <c r="S1" s="103"/>
    </row>
    <row r="2" spans="1:22" ht="15.75" thickTop="1" x14ac:dyDescent="0.25">
      <c r="A2" s="91"/>
      <c r="B2" s="92"/>
      <c r="C2" s="95" t="s">
        <v>0</v>
      </c>
      <c r="D2" s="96"/>
      <c r="E2" s="96" t="s">
        <v>1</v>
      </c>
      <c r="F2" s="96"/>
      <c r="G2" s="96" t="s">
        <v>2</v>
      </c>
      <c r="H2" s="96"/>
      <c r="I2" s="96" t="s">
        <v>3</v>
      </c>
      <c r="J2" s="96"/>
      <c r="K2" s="96" t="s">
        <v>4</v>
      </c>
      <c r="L2" s="97"/>
      <c r="M2" s="126"/>
      <c r="N2" s="134"/>
      <c r="O2" s="134"/>
      <c r="P2" s="134"/>
      <c r="Q2" s="127"/>
      <c r="R2" s="126" t="s">
        <v>26</v>
      </c>
      <c r="S2" s="127"/>
      <c r="U2" s="89" t="s">
        <v>5</v>
      </c>
      <c r="V2" s="90"/>
    </row>
    <row r="3" spans="1:22" x14ac:dyDescent="0.25">
      <c r="A3" s="91"/>
      <c r="B3" s="92"/>
      <c r="C3" s="98"/>
      <c r="D3" s="99"/>
      <c r="E3" s="65"/>
      <c r="F3" s="65"/>
      <c r="G3" s="65"/>
      <c r="H3" s="65"/>
      <c r="I3" s="65"/>
      <c r="J3" s="65"/>
      <c r="K3" s="65"/>
      <c r="L3" s="66"/>
      <c r="M3" s="91"/>
      <c r="N3" s="135"/>
      <c r="O3" s="135"/>
      <c r="P3" s="135"/>
      <c r="Q3" s="92"/>
      <c r="R3" s="91"/>
      <c r="S3" s="92"/>
      <c r="U3" s="15" t="s">
        <v>6</v>
      </c>
      <c r="V3" s="16">
        <v>0.125</v>
      </c>
    </row>
    <row r="4" spans="1:22" x14ac:dyDescent="0.25">
      <c r="A4" s="91"/>
      <c r="B4" s="92"/>
      <c r="C4" s="72"/>
      <c r="D4" s="70"/>
      <c r="E4" s="65"/>
      <c r="F4" s="65"/>
      <c r="G4" s="65"/>
      <c r="H4" s="65"/>
      <c r="I4" s="65"/>
      <c r="J4" s="65"/>
      <c r="K4" s="65"/>
      <c r="L4" s="66"/>
      <c r="M4" s="91"/>
      <c r="N4" s="135"/>
      <c r="O4" s="135"/>
      <c r="P4" s="135"/>
      <c r="Q4" s="92"/>
      <c r="R4" s="91"/>
      <c r="S4" s="92"/>
      <c r="U4" s="15" t="s">
        <v>7</v>
      </c>
      <c r="V4" s="16">
        <v>0.25</v>
      </c>
    </row>
    <row r="5" spans="1:22" x14ac:dyDescent="0.25">
      <c r="A5" s="91"/>
      <c r="B5" s="92"/>
      <c r="C5" s="72"/>
      <c r="D5" s="73"/>
      <c r="E5" s="65"/>
      <c r="F5" s="65"/>
      <c r="G5" s="65"/>
      <c r="H5" s="65"/>
      <c r="I5" s="65"/>
      <c r="J5" s="65"/>
      <c r="K5" s="65"/>
      <c r="L5" s="66"/>
      <c r="M5" s="91"/>
      <c r="N5" s="135"/>
      <c r="O5" s="135"/>
      <c r="P5" s="135"/>
      <c r="Q5" s="92"/>
      <c r="R5" s="91"/>
      <c r="S5" s="92"/>
      <c r="U5" s="15" t="s">
        <v>8</v>
      </c>
      <c r="V5" s="16">
        <v>0.375</v>
      </c>
    </row>
    <row r="6" spans="1:22" x14ac:dyDescent="0.25">
      <c r="A6" s="91"/>
      <c r="B6" s="92"/>
      <c r="C6" s="72"/>
      <c r="D6" s="73"/>
      <c r="E6" s="65"/>
      <c r="F6" s="65"/>
      <c r="G6" s="65"/>
      <c r="H6" s="65"/>
      <c r="I6" s="65"/>
      <c r="J6" s="65"/>
      <c r="K6" s="65"/>
      <c r="L6" s="66"/>
      <c r="M6" s="91"/>
      <c r="N6" s="135"/>
      <c r="O6" s="135"/>
      <c r="P6" s="135"/>
      <c r="Q6" s="92"/>
      <c r="R6" s="91"/>
      <c r="S6" s="92"/>
      <c r="U6" s="15" t="s">
        <v>9</v>
      </c>
      <c r="V6" s="16">
        <v>0.5</v>
      </c>
    </row>
    <row r="7" spans="1:22" x14ac:dyDescent="0.25">
      <c r="A7" s="91"/>
      <c r="B7" s="92"/>
      <c r="C7" s="72"/>
      <c r="D7" s="73"/>
      <c r="E7" s="65"/>
      <c r="F7" s="65"/>
      <c r="G7" s="65"/>
      <c r="H7" s="65"/>
      <c r="I7" s="65"/>
      <c r="J7" s="65"/>
      <c r="K7" s="65"/>
      <c r="L7" s="66"/>
      <c r="M7" s="91"/>
      <c r="N7" s="135"/>
      <c r="O7" s="135"/>
      <c r="P7" s="135"/>
      <c r="Q7" s="92"/>
      <c r="R7" s="91"/>
      <c r="S7" s="92"/>
      <c r="U7" s="15" t="s">
        <v>10</v>
      </c>
      <c r="V7" s="16">
        <v>0.625</v>
      </c>
    </row>
    <row r="8" spans="1:22" x14ac:dyDescent="0.25">
      <c r="A8" s="91"/>
      <c r="B8" s="92"/>
      <c r="C8" s="72"/>
      <c r="D8" s="73"/>
      <c r="E8" s="65"/>
      <c r="F8" s="65"/>
      <c r="G8" s="65"/>
      <c r="H8" s="65"/>
      <c r="I8" s="65"/>
      <c r="J8" s="65"/>
      <c r="K8" s="65"/>
      <c r="L8" s="66"/>
      <c r="M8" s="91"/>
      <c r="N8" s="135"/>
      <c r="O8" s="135"/>
      <c r="P8" s="135"/>
      <c r="Q8" s="92"/>
      <c r="R8" s="91"/>
      <c r="S8" s="92"/>
      <c r="U8" s="15" t="s">
        <v>11</v>
      </c>
      <c r="V8" s="16">
        <v>0.75</v>
      </c>
    </row>
    <row r="9" spans="1:22" x14ac:dyDescent="0.25">
      <c r="A9" s="91"/>
      <c r="B9" s="92"/>
      <c r="C9" s="72"/>
      <c r="D9" s="70"/>
      <c r="E9" s="65"/>
      <c r="F9" s="65"/>
      <c r="G9" s="65"/>
      <c r="H9" s="65"/>
      <c r="I9" s="65"/>
      <c r="J9" s="65"/>
      <c r="K9" s="65"/>
      <c r="L9" s="66"/>
      <c r="M9" s="91"/>
      <c r="N9" s="135"/>
      <c r="O9" s="135"/>
      <c r="P9" s="135"/>
      <c r="Q9" s="92"/>
      <c r="R9" s="91"/>
      <c r="S9" s="92"/>
      <c r="U9" s="15" t="s">
        <v>12</v>
      </c>
      <c r="V9" s="16">
        <v>0.875</v>
      </c>
    </row>
    <row r="10" spans="1:22" x14ac:dyDescent="0.25">
      <c r="A10" s="91"/>
      <c r="B10" s="92"/>
      <c r="C10" s="72"/>
      <c r="D10" s="70"/>
      <c r="E10" s="65"/>
      <c r="F10" s="65"/>
      <c r="G10" s="65"/>
      <c r="H10" s="65"/>
      <c r="I10" s="65"/>
      <c r="J10" s="65"/>
      <c r="K10" s="65"/>
      <c r="L10" s="66"/>
      <c r="M10" s="91"/>
      <c r="N10" s="135"/>
      <c r="O10" s="135"/>
      <c r="P10" s="135"/>
      <c r="Q10" s="92"/>
      <c r="R10" s="91"/>
      <c r="S10" s="92"/>
      <c r="U10" s="17" t="s">
        <v>13</v>
      </c>
      <c r="V10" s="18">
        <v>1</v>
      </c>
    </row>
    <row r="11" spans="1:22" x14ac:dyDescent="0.25">
      <c r="A11" s="91"/>
      <c r="B11" s="92"/>
      <c r="C11" s="72"/>
      <c r="D11" s="73"/>
      <c r="E11" s="65"/>
      <c r="F11" s="65"/>
      <c r="G11" s="65"/>
      <c r="H11" s="65"/>
      <c r="I11" s="65"/>
      <c r="J11" s="65"/>
      <c r="K11" s="65"/>
      <c r="L11" s="66"/>
      <c r="M11" s="91"/>
      <c r="N11" s="135"/>
      <c r="O11" s="135"/>
      <c r="P11" s="135"/>
      <c r="Q11" s="92"/>
      <c r="R11" s="91"/>
      <c r="S11" s="92"/>
    </row>
    <row r="12" spans="1:22" x14ac:dyDescent="0.25">
      <c r="A12" s="91"/>
      <c r="B12" s="92"/>
      <c r="C12" s="72"/>
      <c r="D12" s="70"/>
      <c r="E12" s="65"/>
      <c r="F12" s="65"/>
      <c r="G12" s="65"/>
      <c r="H12" s="65"/>
      <c r="I12" s="65"/>
      <c r="J12" s="65"/>
      <c r="K12" s="65"/>
      <c r="L12" s="66"/>
      <c r="M12" s="91"/>
      <c r="N12" s="135"/>
      <c r="O12" s="135"/>
      <c r="P12" s="135"/>
      <c r="Q12" s="92"/>
      <c r="R12" s="91"/>
      <c r="S12" s="92"/>
    </row>
    <row r="13" spans="1:22" ht="15" customHeight="1" x14ac:dyDescent="0.25">
      <c r="A13" s="91"/>
      <c r="B13" s="92"/>
      <c r="C13" s="81"/>
      <c r="D13" s="70"/>
      <c r="E13" s="70"/>
      <c r="F13" s="70"/>
      <c r="G13" s="70"/>
      <c r="H13" s="70"/>
      <c r="I13" s="70"/>
      <c r="J13" s="70"/>
      <c r="K13" s="70"/>
      <c r="L13" s="71"/>
      <c r="M13" s="91"/>
      <c r="N13" s="135"/>
      <c r="O13" s="135"/>
      <c r="P13" s="135"/>
      <c r="Q13" s="92"/>
      <c r="R13" s="91"/>
      <c r="S13" s="92"/>
    </row>
    <row r="14" spans="1:22" ht="15.75" thickBot="1" x14ac:dyDescent="0.3">
      <c r="A14" s="93"/>
      <c r="B14" s="94"/>
      <c r="C14" s="67"/>
      <c r="D14" s="68"/>
      <c r="E14" s="68"/>
      <c r="F14" s="68"/>
      <c r="G14" s="68"/>
      <c r="H14" s="68"/>
      <c r="I14" s="68"/>
      <c r="J14" s="68"/>
      <c r="K14" s="68"/>
      <c r="L14" s="69"/>
      <c r="M14" s="93"/>
      <c r="N14" s="136"/>
      <c r="O14" s="136"/>
      <c r="P14" s="136"/>
      <c r="Q14" s="94"/>
      <c r="R14" s="93"/>
      <c r="S14" s="94"/>
    </row>
    <row r="15" spans="1:22" ht="49.5" customHeight="1" thickTop="1" x14ac:dyDescent="0.25">
      <c r="A15" s="137" t="s">
        <v>28</v>
      </c>
      <c r="B15" s="138"/>
      <c r="C15" s="3" t="s">
        <v>14</v>
      </c>
      <c r="D15" s="4" t="s">
        <v>15</v>
      </c>
      <c r="E15" s="5" t="s">
        <v>14</v>
      </c>
      <c r="F15" s="4" t="s">
        <v>15</v>
      </c>
      <c r="G15" s="5" t="s">
        <v>14</v>
      </c>
      <c r="H15" s="4" t="s">
        <v>15</v>
      </c>
      <c r="I15" s="5" t="s">
        <v>14</v>
      </c>
      <c r="J15" s="4" t="s">
        <v>15</v>
      </c>
      <c r="K15" s="5" t="s">
        <v>14</v>
      </c>
      <c r="L15" s="6" t="s">
        <v>15</v>
      </c>
      <c r="M15" s="7" t="s">
        <v>17</v>
      </c>
      <c r="N15" s="5" t="s">
        <v>18</v>
      </c>
      <c r="O15" s="8" t="s">
        <v>19</v>
      </c>
      <c r="P15" s="8" t="s">
        <v>25</v>
      </c>
      <c r="Q15" s="119" t="s">
        <v>38</v>
      </c>
      <c r="R15" s="128" t="b">
        <f>AND(Q17&gt;=7,Q17&lt;=10)</f>
        <v>0</v>
      </c>
      <c r="S15" s="129"/>
    </row>
    <row r="16" spans="1:22" ht="49.5" customHeight="1" x14ac:dyDescent="0.25">
      <c r="A16" s="139"/>
      <c r="B16" s="140"/>
      <c r="C16" s="26"/>
      <c r="D16" s="27"/>
      <c r="E16" s="28"/>
      <c r="F16" s="27"/>
      <c r="G16" s="28"/>
      <c r="H16" s="27"/>
      <c r="I16" s="28"/>
      <c r="J16" s="27"/>
      <c r="K16" s="28"/>
      <c r="L16" s="29"/>
      <c r="M16" s="30">
        <f>SUM(C16,E16,G16,I16,K16)</f>
        <v>0</v>
      </c>
      <c r="N16" s="31">
        <f>SUM(D16,F16,H16,J16,L16)</f>
        <v>0</v>
      </c>
      <c r="O16" s="25" t="e">
        <f>N16/M16</f>
        <v>#DIV/0!</v>
      </c>
      <c r="P16" s="24" t="e">
        <f>+IF(O16&gt;=0.5,"Yes","No")</f>
        <v>#DIV/0!</v>
      </c>
      <c r="Q16" s="120"/>
      <c r="R16" s="130"/>
      <c r="S16" s="131"/>
    </row>
    <row r="17" spans="1:22" ht="30" customHeight="1" x14ac:dyDescent="0.25">
      <c r="A17" s="141" t="s">
        <v>29</v>
      </c>
      <c r="B17" s="142"/>
      <c r="C17" s="143" t="str">
        <f>IF(C16&gt;= 1,"Yes","No")</f>
        <v>No</v>
      </c>
      <c r="D17" s="144"/>
      <c r="E17" s="145" t="str">
        <f>IF(E16&gt;= 1,"Yes","No")</f>
        <v>No</v>
      </c>
      <c r="F17" s="144"/>
      <c r="G17" s="145" t="str">
        <f>IF(G16&gt;= 1,"Yes","No")</f>
        <v>No</v>
      </c>
      <c r="H17" s="144"/>
      <c r="I17" s="145" t="str">
        <f>IF(I16&gt;= 1,"Yes","No")</f>
        <v>No</v>
      </c>
      <c r="J17" s="144"/>
      <c r="K17" s="145" t="str">
        <f>IF(K16&gt;= 1,"Yes","No")</f>
        <v>No</v>
      </c>
      <c r="L17" s="146"/>
      <c r="M17" s="21"/>
      <c r="N17" s="110"/>
      <c r="O17" s="111"/>
      <c r="P17" s="112"/>
      <c r="Q17" s="121">
        <f>SUM(M16,M19)</f>
        <v>0</v>
      </c>
      <c r="R17" s="130"/>
      <c r="S17" s="131"/>
    </row>
    <row r="18" spans="1:22" ht="50.25" customHeight="1" x14ac:dyDescent="0.25">
      <c r="A18" s="74" t="s">
        <v>22</v>
      </c>
      <c r="B18" s="75"/>
      <c r="C18" s="78" t="s">
        <v>20</v>
      </c>
      <c r="D18" s="79"/>
      <c r="E18" s="79" t="s">
        <v>20</v>
      </c>
      <c r="F18" s="79"/>
      <c r="G18" s="79" t="s">
        <v>20</v>
      </c>
      <c r="H18" s="79"/>
      <c r="I18" s="79" t="s">
        <v>20</v>
      </c>
      <c r="J18" s="79"/>
      <c r="K18" s="79" t="s">
        <v>20</v>
      </c>
      <c r="L18" s="80"/>
      <c r="M18" s="9" t="s">
        <v>21</v>
      </c>
      <c r="N18" s="113"/>
      <c r="O18" s="114"/>
      <c r="P18" s="115"/>
      <c r="Q18" s="122"/>
      <c r="R18" s="130"/>
      <c r="S18" s="131"/>
    </row>
    <row r="19" spans="1:22" ht="30.75" customHeight="1" thickBot="1" x14ac:dyDescent="0.3">
      <c r="A19" s="76"/>
      <c r="B19" s="77"/>
      <c r="C19" s="34"/>
      <c r="D19" s="35"/>
      <c r="E19" s="35"/>
      <c r="F19" s="35"/>
      <c r="G19" s="35"/>
      <c r="H19" s="35"/>
      <c r="I19" s="35"/>
      <c r="J19" s="35"/>
      <c r="K19" s="35"/>
      <c r="L19" s="36"/>
      <c r="M19" s="32">
        <f>C19+E19+G19+I19+K19</f>
        <v>0</v>
      </c>
      <c r="N19" s="116"/>
      <c r="O19" s="117"/>
      <c r="P19" s="118"/>
      <c r="Q19" s="123"/>
      <c r="R19" s="132"/>
      <c r="S19" s="133"/>
    </row>
    <row r="20" spans="1:22" ht="50.25" customHeight="1" thickTop="1" x14ac:dyDescent="0.25">
      <c r="A20" s="83" t="s">
        <v>30</v>
      </c>
      <c r="B20" s="84"/>
      <c r="C20" s="61" t="s">
        <v>31</v>
      </c>
      <c r="D20" s="62"/>
      <c r="E20" s="61" t="s">
        <v>31</v>
      </c>
      <c r="F20" s="62"/>
      <c r="G20" s="61" t="s">
        <v>31</v>
      </c>
      <c r="H20" s="62"/>
      <c r="I20" s="61" t="s">
        <v>31</v>
      </c>
      <c r="J20" s="62"/>
      <c r="K20" s="61" t="s">
        <v>31</v>
      </c>
      <c r="L20" s="62"/>
      <c r="M20" s="10" t="s">
        <v>32</v>
      </c>
      <c r="N20" s="11"/>
      <c r="O20" s="11"/>
      <c r="P20" s="11"/>
      <c r="Q20" s="11"/>
      <c r="R20" s="43" t="str">
        <f>IF(M21 &gt;= 2.5,"Yes","No")</f>
        <v>No</v>
      </c>
      <c r="S20" s="44"/>
    </row>
    <row r="21" spans="1:22" ht="50.25" customHeight="1" x14ac:dyDescent="0.25">
      <c r="A21" s="85"/>
      <c r="B21" s="86"/>
      <c r="C21" s="64"/>
      <c r="D21" s="42"/>
      <c r="E21" s="41"/>
      <c r="F21" s="42"/>
      <c r="G21" s="41"/>
      <c r="H21" s="42"/>
      <c r="I21" s="41"/>
      <c r="J21" s="42"/>
      <c r="K21" s="41"/>
      <c r="L21" s="82"/>
      <c r="M21" s="147">
        <f>SUM(C21,E21,G21,I21,K21)</f>
        <v>0</v>
      </c>
      <c r="N21" s="19"/>
      <c r="O21" s="19"/>
      <c r="P21" s="19"/>
      <c r="Q21" s="19"/>
      <c r="R21" s="45"/>
      <c r="S21" s="46"/>
    </row>
    <row r="22" spans="1:22" ht="30.75" customHeight="1" thickBot="1" x14ac:dyDescent="0.3">
      <c r="A22" s="87" t="s">
        <v>29</v>
      </c>
      <c r="B22" s="88"/>
      <c r="C22" s="56" t="str">
        <f>IF(C21&gt;= 0.5,"Yes","No")</f>
        <v>No</v>
      </c>
      <c r="D22" s="57"/>
      <c r="E22" s="57" t="str">
        <f>IF(E21&gt;= 0.5,"Yes","No")</f>
        <v>No</v>
      </c>
      <c r="F22" s="57"/>
      <c r="G22" s="57" t="str">
        <f>IF(G21&gt;= 0.5,"Yes","No")</f>
        <v>No</v>
      </c>
      <c r="H22" s="57"/>
      <c r="I22" s="57" t="str">
        <f>IF(I21&gt;= 0.5,"Yes","No")</f>
        <v>No</v>
      </c>
      <c r="J22" s="57"/>
      <c r="K22" s="57" t="str">
        <f>IF(K21&gt;= 0.5,"Yes","No")</f>
        <v>No</v>
      </c>
      <c r="L22" s="58"/>
      <c r="M22" s="148"/>
      <c r="N22" s="1"/>
      <c r="O22" s="1"/>
      <c r="P22" s="1"/>
      <c r="Q22" s="1"/>
      <c r="R22" s="47"/>
      <c r="S22" s="48"/>
    </row>
    <row r="23" spans="1:22" ht="50.25" customHeight="1" thickTop="1" x14ac:dyDescent="0.25">
      <c r="A23" s="104" t="s">
        <v>27</v>
      </c>
      <c r="B23" s="105"/>
      <c r="C23" s="59" t="s">
        <v>23</v>
      </c>
      <c r="D23" s="60"/>
      <c r="E23" s="60" t="s">
        <v>23</v>
      </c>
      <c r="F23" s="60"/>
      <c r="G23" s="60" t="s">
        <v>23</v>
      </c>
      <c r="H23" s="60"/>
      <c r="I23" s="60" t="s">
        <v>23</v>
      </c>
      <c r="J23" s="60"/>
      <c r="K23" s="60" t="s">
        <v>23</v>
      </c>
      <c r="L23" s="63"/>
      <c r="M23" s="12" t="s">
        <v>24</v>
      </c>
      <c r="N23" s="13"/>
      <c r="O23" s="13"/>
      <c r="P23" s="13"/>
      <c r="Q23" s="13"/>
      <c r="R23" s="49" t="str">
        <f>IF(M24 &gt;= 5,"Yes","No")</f>
        <v>No</v>
      </c>
      <c r="S23" s="50"/>
    </row>
    <row r="24" spans="1:22" ht="50.25" customHeight="1" x14ac:dyDescent="0.25">
      <c r="A24" s="106"/>
      <c r="B24" s="107"/>
      <c r="C24" s="37"/>
      <c r="D24" s="38"/>
      <c r="E24" s="39"/>
      <c r="F24" s="38"/>
      <c r="G24" s="39"/>
      <c r="H24" s="38"/>
      <c r="I24" s="39"/>
      <c r="J24" s="38"/>
      <c r="K24" s="39"/>
      <c r="L24" s="40"/>
      <c r="M24" s="124">
        <f>SUM(C24,E24,G24,I24,K24)</f>
        <v>0</v>
      </c>
      <c r="N24" s="20"/>
      <c r="O24" s="20"/>
      <c r="P24" s="20"/>
      <c r="Q24" s="20"/>
      <c r="R24" s="49"/>
      <c r="S24" s="50"/>
    </row>
    <row r="25" spans="1:22" ht="30.75" customHeight="1" thickBot="1" x14ac:dyDescent="0.3">
      <c r="A25" s="108" t="s">
        <v>29</v>
      </c>
      <c r="B25" s="109"/>
      <c r="C25" s="53" t="str">
        <f>IF(C24&gt;= 1,"Yes","No")</f>
        <v>No</v>
      </c>
      <c r="D25" s="54"/>
      <c r="E25" s="54" t="str">
        <f>IF(E24&gt;= 1,"Yes","No")</f>
        <v>No</v>
      </c>
      <c r="F25" s="54"/>
      <c r="G25" s="54" t="str">
        <f>IF(G24&gt;= 1,"Yes","No")</f>
        <v>No</v>
      </c>
      <c r="H25" s="54"/>
      <c r="I25" s="54" t="str">
        <f>IF(I24&gt;= 1,"Yes","No")</f>
        <v>No</v>
      </c>
      <c r="J25" s="54"/>
      <c r="K25" s="54" t="str">
        <f>IF(K24&gt;= 1,"Yes","No")</f>
        <v>No</v>
      </c>
      <c r="L25" s="55"/>
      <c r="M25" s="125"/>
      <c r="N25" s="2"/>
      <c r="O25" s="2"/>
      <c r="P25" s="2"/>
      <c r="Q25" s="2"/>
      <c r="R25" s="51"/>
      <c r="S25" s="52"/>
    </row>
    <row r="26" spans="1:22" ht="15.75" thickTop="1" x14ac:dyDescent="0.25"/>
    <row r="27" spans="1:22" ht="47.25" customHeight="1" x14ac:dyDescent="0.25"/>
    <row r="28" spans="1:22" ht="31.5" customHeight="1" x14ac:dyDescent="0.25"/>
    <row r="29" spans="1:22" x14ac:dyDescent="0.25">
      <c r="V29" s="14" t="s">
        <v>16</v>
      </c>
    </row>
  </sheetData>
  <sheetProtection sheet="1" objects="1" scenarios="1" selectLockedCells="1"/>
  <mergeCells count="132">
    <mergeCell ref="C10:D10"/>
    <mergeCell ref="E10:F10"/>
    <mergeCell ref="G10:H10"/>
    <mergeCell ref="I10:J10"/>
    <mergeCell ref="A1:C1"/>
    <mergeCell ref="D1:E1"/>
    <mergeCell ref="F1:S1"/>
    <mergeCell ref="A23:B24"/>
    <mergeCell ref="A25:B25"/>
    <mergeCell ref="N17:P19"/>
    <mergeCell ref="Q15:Q16"/>
    <mergeCell ref="Q17:Q19"/>
    <mergeCell ref="M24:M25"/>
    <mergeCell ref="R2:S14"/>
    <mergeCell ref="R15:S19"/>
    <mergeCell ref="M2:Q14"/>
    <mergeCell ref="A15:B16"/>
    <mergeCell ref="A17:B17"/>
    <mergeCell ref="C17:D17"/>
    <mergeCell ref="E17:F17"/>
    <mergeCell ref="G17:H17"/>
    <mergeCell ref="I17:J17"/>
    <mergeCell ref="K17:L17"/>
    <mergeCell ref="M21:M22"/>
    <mergeCell ref="K9:L9"/>
    <mergeCell ref="C8:D8"/>
    <mergeCell ref="E8:F8"/>
    <mergeCell ref="G8:H8"/>
    <mergeCell ref="K21:L21"/>
    <mergeCell ref="A20:B21"/>
    <mergeCell ref="A22:B22"/>
    <mergeCell ref="U2:V2"/>
    <mergeCell ref="A2:B14"/>
    <mergeCell ref="C2:D2"/>
    <mergeCell ref="E2:F2"/>
    <mergeCell ref="G2:H2"/>
    <mergeCell ref="I2:J2"/>
    <mergeCell ref="K2:L2"/>
    <mergeCell ref="C3:D3"/>
    <mergeCell ref="E3:F3"/>
    <mergeCell ref="G3:H3"/>
    <mergeCell ref="I3:J3"/>
    <mergeCell ref="K3:L3"/>
    <mergeCell ref="C4:D4"/>
    <mergeCell ref="E4:F4"/>
    <mergeCell ref="G4:H4"/>
    <mergeCell ref="I4:J4"/>
    <mergeCell ref="K4:L4"/>
    <mergeCell ref="I5:J5"/>
    <mergeCell ref="K5:L5"/>
    <mergeCell ref="I8:J8"/>
    <mergeCell ref="K8:L8"/>
    <mergeCell ref="I7:J7"/>
    <mergeCell ref="I6:J6"/>
    <mergeCell ref="A18:B19"/>
    <mergeCell ref="C18:D18"/>
    <mergeCell ref="E18:F18"/>
    <mergeCell ref="G18:H18"/>
    <mergeCell ref="I18:J18"/>
    <mergeCell ref="K18:L18"/>
    <mergeCell ref="C13:D13"/>
    <mergeCell ref="E13:F13"/>
    <mergeCell ref="C5:D5"/>
    <mergeCell ref="C6:D6"/>
    <mergeCell ref="C7:D7"/>
    <mergeCell ref="E5:F5"/>
    <mergeCell ref="E6:F6"/>
    <mergeCell ref="E7:F7"/>
    <mergeCell ref="G5:H5"/>
    <mergeCell ref="G6:H6"/>
    <mergeCell ref="G7:H7"/>
    <mergeCell ref="K6:L6"/>
    <mergeCell ref="K7:L7"/>
    <mergeCell ref="C14:D14"/>
    <mergeCell ref="E14:F14"/>
    <mergeCell ref="G14:H14"/>
    <mergeCell ref="I14:J14"/>
    <mergeCell ref="K14:L14"/>
    <mergeCell ref="G13:H13"/>
    <mergeCell ref="I13:J13"/>
    <mergeCell ref="K13:L13"/>
    <mergeCell ref="C11:D11"/>
    <mergeCell ref="E11:F11"/>
    <mergeCell ref="G11:H11"/>
    <mergeCell ref="I11:J11"/>
    <mergeCell ref="K11:L11"/>
    <mergeCell ref="C12:D12"/>
    <mergeCell ref="E12:F12"/>
    <mergeCell ref="G12:H12"/>
    <mergeCell ref="I12:J12"/>
    <mergeCell ref="K12:L12"/>
    <mergeCell ref="K10:L10"/>
    <mergeCell ref="C9:D9"/>
    <mergeCell ref="E9:F9"/>
    <mergeCell ref="G9:H9"/>
    <mergeCell ref="I9:J9"/>
    <mergeCell ref="R20:S22"/>
    <mergeCell ref="R23:S25"/>
    <mergeCell ref="C25:D25"/>
    <mergeCell ref="E25:F25"/>
    <mergeCell ref="G25:H25"/>
    <mergeCell ref="I25:J25"/>
    <mergeCell ref="K25:L25"/>
    <mergeCell ref="C22:D22"/>
    <mergeCell ref="E22:F22"/>
    <mergeCell ref="G22:H22"/>
    <mergeCell ref="I22:J22"/>
    <mergeCell ref="K22:L22"/>
    <mergeCell ref="C23:D23"/>
    <mergeCell ref="C20:D20"/>
    <mergeCell ref="E20:F20"/>
    <mergeCell ref="G20:H20"/>
    <mergeCell ref="K23:L23"/>
    <mergeCell ref="I23:J23"/>
    <mergeCell ref="G23:H23"/>
    <mergeCell ref="E23:F23"/>
    <mergeCell ref="K20:L20"/>
    <mergeCell ref="I20:J20"/>
    <mergeCell ref="C21:D21"/>
    <mergeCell ref="E21:F21"/>
    <mergeCell ref="C19:D19"/>
    <mergeCell ref="E19:F19"/>
    <mergeCell ref="G19:H19"/>
    <mergeCell ref="I19:J19"/>
    <mergeCell ref="K19:L19"/>
    <mergeCell ref="C24:D24"/>
    <mergeCell ref="E24:F24"/>
    <mergeCell ref="G24:H24"/>
    <mergeCell ref="I24:J24"/>
    <mergeCell ref="K24:L24"/>
    <mergeCell ref="G21:H21"/>
    <mergeCell ref="I21:J21"/>
  </mergeCells>
  <conditionalFormatting sqref="C17:L17 C22:L22 C25:L25">
    <cfRule type="containsText" dxfId="39" priority="5" operator="containsText" text="Yes">
      <formula>NOT(ISERROR(SEARCH("Yes",C17)))</formula>
    </cfRule>
    <cfRule type="containsText" dxfId="38" priority="6" operator="containsText" text="No">
      <formula>NOT(ISERROR(SEARCH("No",C17)))</formula>
    </cfRule>
  </conditionalFormatting>
  <conditionalFormatting sqref="P16 R20:S25">
    <cfRule type="containsText" dxfId="37" priority="4" operator="containsText" text="No">
      <formula>NOT(ISERROR(SEARCH("No",P16)))</formula>
    </cfRule>
  </conditionalFormatting>
  <conditionalFormatting sqref="P16 R20:S25">
    <cfRule type="containsText" dxfId="36" priority="3" operator="containsText" text="Yes">
      <formula>NOT(ISERROR(SEARCH("Yes",P16)))</formula>
    </cfRule>
  </conditionalFormatting>
  <conditionalFormatting sqref="R15:S19">
    <cfRule type="containsText" dxfId="35" priority="1" operator="containsText" text="True">
      <formula>NOT(ISERROR(SEARCH("True",R15)))</formula>
    </cfRule>
    <cfRule type="containsText" dxfId="34" priority="2" operator="containsText" text="False">
      <formula>NOT(ISERROR(SEARCH("False",R15)))</formula>
    </cfRule>
  </conditionalFormatting>
  <pageMargins left="0.7" right="0.7" top="0.75" bottom="0.75" header="0.3" footer="0.3"/>
  <pageSetup scale="5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9"/>
  <sheetViews>
    <sheetView topLeftCell="A4" zoomScale="70" zoomScaleNormal="70" workbookViewId="0">
      <selection activeCell="T16" sqref="T16"/>
    </sheetView>
  </sheetViews>
  <sheetFormatPr defaultRowHeight="15" x14ac:dyDescent="0.25"/>
  <cols>
    <col min="1" max="1" width="9.140625" style="14"/>
    <col min="2" max="2" width="12.7109375" style="14" customWidth="1"/>
    <col min="3" max="3" width="9.140625" style="14"/>
    <col min="4" max="4" width="9" style="14" customWidth="1"/>
    <col min="5" max="12" width="9.140625" style="14"/>
    <col min="13" max="20" width="8.7109375" style="14" customWidth="1"/>
    <col min="21" max="22" width="11.7109375" style="14" customWidth="1"/>
    <col min="23" max="16384" width="9.140625" style="14"/>
  </cols>
  <sheetData>
    <row r="1" spans="1:22" ht="16.5" thickTop="1" thickBot="1" x14ac:dyDescent="0.3">
      <c r="A1" s="149" t="s">
        <v>36</v>
      </c>
      <c r="B1" s="150"/>
      <c r="C1" s="150"/>
      <c r="D1" s="150" t="s">
        <v>33</v>
      </c>
      <c r="E1" s="150"/>
      <c r="F1" s="151"/>
      <c r="G1" s="151"/>
      <c r="H1" s="151"/>
      <c r="I1" s="151"/>
      <c r="J1" s="151"/>
      <c r="K1" s="151"/>
      <c r="L1" s="151"/>
      <c r="M1" s="151"/>
      <c r="N1" s="151"/>
      <c r="O1" s="151"/>
      <c r="P1" s="151"/>
      <c r="Q1" s="151"/>
      <c r="R1" s="151"/>
      <c r="S1" s="152"/>
    </row>
    <row r="2" spans="1:22" ht="15.75" thickTop="1" x14ac:dyDescent="0.25">
      <c r="A2" s="91"/>
      <c r="B2" s="92"/>
      <c r="C2" s="95" t="s">
        <v>0</v>
      </c>
      <c r="D2" s="96"/>
      <c r="E2" s="96" t="s">
        <v>1</v>
      </c>
      <c r="F2" s="96"/>
      <c r="G2" s="96" t="s">
        <v>2</v>
      </c>
      <c r="H2" s="96"/>
      <c r="I2" s="96" t="s">
        <v>3</v>
      </c>
      <c r="J2" s="96"/>
      <c r="K2" s="96" t="s">
        <v>4</v>
      </c>
      <c r="L2" s="97"/>
      <c r="M2" s="126"/>
      <c r="N2" s="134"/>
      <c r="O2" s="134"/>
      <c r="P2" s="134"/>
      <c r="Q2" s="127"/>
      <c r="R2" s="126" t="s">
        <v>26</v>
      </c>
      <c r="S2" s="127"/>
      <c r="U2" s="89" t="s">
        <v>5</v>
      </c>
      <c r="V2" s="90"/>
    </row>
    <row r="3" spans="1:22" x14ac:dyDescent="0.25">
      <c r="A3" s="91"/>
      <c r="B3" s="92"/>
      <c r="C3" s="98"/>
      <c r="D3" s="99"/>
      <c r="E3" s="65"/>
      <c r="F3" s="65"/>
      <c r="G3" s="65"/>
      <c r="H3" s="65"/>
      <c r="I3" s="65"/>
      <c r="J3" s="65"/>
      <c r="K3" s="65"/>
      <c r="L3" s="66"/>
      <c r="M3" s="91"/>
      <c r="N3" s="135"/>
      <c r="O3" s="135"/>
      <c r="P3" s="135"/>
      <c r="Q3" s="92"/>
      <c r="R3" s="91"/>
      <c r="S3" s="92"/>
      <c r="U3" s="15" t="s">
        <v>6</v>
      </c>
      <c r="V3" s="16">
        <v>0.125</v>
      </c>
    </row>
    <row r="4" spans="1:22" x14ac:dyDescent="0.25">
      <c r="A4" s="91"/>
      <c r="B4" s="92"/>
      <c r="C4" s="72"/>
      <c r="D4" s="70"/>
      <c r="E4" s="65"/>
      <c r="F4" s="65"/>
      <c r="G4" s="65"/>
      <c r="H4" s="65"/>
      <c r="I4" s="65"/>
      <c r="J4" s="65"/>
      <c r="K4" s="65"/>
      <c r="L4" s="66"/>
      <c r="M4" s="91"/>
      <c r="N4" s="135"/>
      <c r="O4" s="135"/>
      <c r="P4" s="135"/>
      <c r="Q4" s="92"/>
      <c r="R4" s="91"/>
      <c r="S4" s="92"/>
      <c r="U4" s="15" t="s">
        <v>7</v>
      </c>
      <c r="V4" s="16">
        <v>0.25</v>
      </c>
    </row>
    <row r="5" spans="1:22" x14ac:dyDescent="0.25">
      <c r="A5" s="91"/>
      <c r="B5" s="92"/>
      <c r="C5" s="72"/>
      <c r="D5" s="73"/>
      <c r="E5" s="65"/>
      <c r="F5" s="65"/>
      <c r="G5" s="65"/>
      <c r="H5" s="65"/>
      <c r="I5" s="65"/>
      <c r="J5" s="65"/>
      <c r="K5" s="65"/>
      <c r="L5" s="66"/>
      <c r="M5" s="91"/>
      <c r="N5" s="135"/>
      <c r="O5" s="135"/>
      <c r="P5" s="135"/>
      <c r="Q5" s="92"/>
      <c r="R5" s="91"/>
      <c r="S5" s="92"/>
      <c r="U5" s="15" t="s">
        <v>8</v>
      </c>
      <c r="V5" s="16">
        <v>0.375</v>
      </c>
    </row>
    <row r="6" spans="1:22" x14ac:dyDescent="0.25">
      <c r="A6" s="91"/>
      <c r="B6" s="92"/>
      <c r="C6" s="72"/>
      <c r="D6" s="73"/>
      <c r="E6" s="65"/>
      <c r="F6" s="65"/>
      <c r="G6" s="65"/>
      <c r="H6" s="65"/>
      <c r="I6" s="65"/>
      <c r="J6" s="65"/>
      <c r="K6" s="65"/>
      <c r="L6" s="66"/>
      <c r="M6" s="91"/>
      <c r="N6" s="135"/>
      <c r="O6" s="135"/>
      <c r="P6" s="135"/>
      <c r="Q6" s="92"/>
      <c r="R6" s="91"/>
      <c r="S6" s="92"/>
      <c r="U6" s="15" t="s">
        <v>9</v>
      </c>
      <c r="V6" s="16">
        <v>0.5</v>
      </c>
    </row>
    <row r="7" spans="1:22" x14ac:dyDescent="0.25">
      <c r="A7" s="91"/>
      <c r="B7" s="92"/>
      <c r="C7" s="72"/>
      <c r="D7" s="73"/>
      <c r="E7" s="65"/>
      <c r="F7" s="65"/>
      <c r="G7" s="65"/>
      <c r="H7" s="65"/>
      <c r="I7" s="65"/>
      <c r="J7" s="65"/>
      <c r="K7" s="65"/>
      <c r="L7" s="66"/>
      <c r="M7" s="91"/>
      <c r="N7" s="135"/>
      <c r="O7" s="135"/>
      <c r="P7" s="135"/>
      <c r="Q7" s="92"/>
      <c r="R7" s="91"/>
      <c r="S7" s="92"/>
      <c r="U7" s="15" t="s">
        <v>10</v>
      </c>
      <c r="V7" s="16">
        <v>0.625</v>
      </c>
    </row>
    <row r="8" spans="1:22" x14ac:dyDescent="0.25">
      <c r="A8" s="91"/>
      <c r="B8" s="92"/>
      <c r="C8" s="72"/>
      <c r="D8" s="73"/>
      <c r="E8" s="65"/>
      <c r="F8" s="65"/>
      <c r="G8" s="65"/>
      <c r="H8" s="65"/>
      <c r="I8" s="65"/>
      <c r="J8" s="65"/>
      <c r="K8" s="65"/>
      <c r="L8" s="66"/>
      <c r="M8" s="91"/>
      <c r="N8" s="135"/>
      <c r="O8" s="135"/>
      <c r="P8" s="135"/>
      <c r="Q8" s="92"/>
      <c r="R8" s="91"/>
      <c r="S8" s="92"/>
      <c r="U8" s="15" t="s">
        <v>11</v>
      </c>
      <c r="V8" s="16">
        <v>0.75</v>
      </c>
    </row>
    <row r="9" spans="1:22" x14ac:dyDescent="0.25">
      <c r="A9" s="91"/>
      <c r="B9" s="92"/>
      <c r="C9" s="72"/>
      <c r="D9" s="70"/>
      <c r="E9" s="65"/>
      <c r="F9" s="65"/>
      <c r="G9" s="65"/>
      <c r="H9" s="65"/>
      <c r="I9" s="65"/>
      <c r="J9" s="65"/>
      <c r="K9" s="65"/>
      <c r="L9" s="66"/>
      <c r="M9" s="91"/>
      <c r="N9" s="135"/>
      <c r="O9" s="135"/>
      <c r="P9" s="135"/>
      <c r="Q9" s="92"/>
      <c r="R9" s="91"/>
      <c r="S9" s="92"/>
      <c r="U9" s="15" t="s">
        <v>12</v>
      </c>
      <c r="V9" s="16">
        <v>0.875</v>
      </c>
    </row>
    <row r="10" spans="1:22" x14ac:dyDescent="0.25">
      <c r="A10" s="91"/>
      <c r="B10" s="92"/>
      <c r="C10" s="72"/>
      <c r="D10" s="70"/>
      <c r="E10" s="65"/>
      <c r="F10" s="65"/>
      <c r="G10" s="65"/>
      <c r="H10" s="65"/>
      <c r="I10" s="65"/>
      <c r="J10" s="65"/>
      <c r="K10" s="65"/>
      <c r="L10" s="66"/>
      <c r="M10" s="91"/>
      <c r="N10" s="135"/>
      <c r="O10" s="135"/>
      <c r="P10" s="135"/>
      <c r="Q10" s="92"/>
      <c r="R10" s="91"/>
      <c r="S10" s="92"/>
      <c r="U10" s="17" t="s">
        <v>13</v>
      </c>
      <c r="V10" s="18">
        <v>1</v>
      </c>
    </row>
    <row r="11" spans="1:22" x14ac:dyDescent="0.25">
      <c r="A11" s="91"/>
      <c r="B11" s="92"/>
      <c r="C11" s="72"/>
      <c r="D11" s="73"/>
      <c r="E11" s="65"/>
      <c r="F11" s="65"/>
      <c r="G11" s="65"/>
      <c r="H11" s="65"/>
      <c r="I11" s="65"/>
      <c r="J11" s="65"/>
      <c r="K11" s="65"/>
      <c r="L11" s="66"/>
      <c r="M11" s="91"/>
      <c r="N11" s="135"/>
      <c r="O11" s="135"/>
      <c r="P11" s="135"/>
      <c r="Q11" s="92"/>
      <c r="R11" s="91"/>
      <c r="S11" s="92"/>
    </row>
    <row r="12" spans="1:22" x14ac:dyDescent="0.25">
      <c r="A12" s="91"/>
      <c r="B12" s="92"/>
      <c r="C12" s="72"/>
      <c r="D12" s="70"/>
      <c r="E12" s="65"/>
      <c r="F12" s="65"/>
      <c r="G12" s="65"/>
      <c r="H12" s="65"/>
      <c r="I12" s="65"/>
      <c r="J12" s="65"/>
      <c r="K12" s="65"/>
      <c r="L12" s="66"/>
      <c r="M12" s="91"/>
      <c r="N12" s="135"/>
      <c r="O12" s="135"/>
      <c r="P12" s="135"/>
      <c r="Q12" s="92"/>
      <c r="R12" s="91"/>
      <c r="S12" s="92"/>
    </row>
    <row r="13" spans="1:22" ht="15" customHeight="1" x14ac:dyDescent="0.25">
      <c r="A13" s="91"/>
      <c r="B13" s="92"/>
      <c r="C13" s="81"/>
      <c r="D13" s="70"/>
      <c r="E13" s="70"/>
      <c r="F13" s="70"/>
      <c r="G13" s="70"/>
      <c r="H13" s="70"/>
      <c r="I13" s="70"/>
      <c r="J13" s="70"/>
      <c r="K13" s="70"/>
      <c r="L13" s="71"/>
      <c r="M13" s="91"/>
      <c r="N13" s="135"/>
      <c r="O13" s="135"/>
      <c r="P13" s="135"/>
      <c r="Q13" s="92"/>
      <c r="R13" s="91"/>
      <c r="S13" s="92"/>
    </row>
    <row r="14" spans="1:22" ht="15.75" thickBot="1" x14ac:dyDescent="0.3">
      <c r="A14" s="93"/>
      <c r="B14" s="94"/>
      <c r="C14" s="67"/>
      <c r="D14" s="68"/>
      <c r="E14" s="68"/>
      <c r="F14" s="68"/>
      <c r="G14" s="68"/>
      <c r="H14" s="68"/>
      <c r="I14" s="68"/>
      <c r="J14" s="68"/>
      <c r="K14" s="68"/>
      <c r="L14" s="69"/>
      <c r="M14" s="93"/>
      <c r="N14" s="136"/>
      <c r="O14" s="136"/>
      <c r="P14" s="136"/>
      <c r="Q14" s="94"/>
      <c r="R14" s="93"/>
      <c r="S14" s="94"/>
    </row>
    <row r="15" spans="1:22" ht="49.5" customHeight="1" thickTop="1" x14ac:dyDescent="0.25">
      <c r="A15" s="137" t="s">
        <v>47</v>
      </c>
      <c r="B15" s="138"/>
      <c r="C15" s="3" t="s">
        <v>14</v>
      </c>
      <c r="D15" s="4" t="s">
        <v>15</v>
      </c>
      <c r="E15" s="5" t="s">
        <v>14</v>
      </c>
      <c r="F15" s="4" t="s">
        <v>15</v>
      </c>
      <c r="G15" s="5" t="s">
        <v>14</v>
      </c>
      <c r="H15" s="4" t="s">
        <v>15</v>
      </c>
      <c r="I15" s="5" t="s">
        <v>14</v>
      </c>
      <c r="J15" s="4" t="s">
        <v>15</v>
      </c>
      <c r="K15" s="5" t="s">
        <v>14</v>
      </c>
      <c r="L15" s="6" t="s">
        <v>15</v>
      </c>
      <c r="M15" s="7" t="s">
        <v>17</v>
      </c>
      <c r="N15" s="5" t="s">
        <v>18</v>
      </c>
      <c r="O15" s="8" t="s">
        <v>19</v>
      </c>
      <c r="P15" s="8" t="s">
        <v>25</v>
      </c>
      <c r="Q15" s="119" t="s">
        <v>38</v>
      </c>
      <c r="R15" s="128" t="b">
        <f>AND(Q17&gt;=8,Q17&lt;=10)</f>
        <v>0</v>
      </c>
      <c r="S15" s="129"/>
      <c r="T15" s="33"/>
    </row>
    <row r="16" spans="1:22" ht="49.5" customHeight="1" x14ac:dyDescent="0.25">
      <c r="A16" s="139"/>
      <c r="B16" s="140"/>
      <c r="C16" s="26"/>
      <c r="D16" s="27"/>
      <c r="E16" s="28"/>
      <c r="F16" s="27"/>
      <c r="G16" s="28"/>
      <c r="H16" s="27"/>
      <c r="I16" s="28"/>
      <c r="J16" s="27"/>
      <c r="K16" s="28"/>
      <c r="L16" s="29"/>
      <c r="M16" s="30">
        <f>SUM(C16,E16,G16,I16,K16)</f>
        <v>0</v>
      </c>
      <c r="N16" s="31">
        <f>SUM(D16,F16,H16,J16,L16)</f>
        <v>0</v>
      </c>
      <c r="O16" s="25" t="e">
        <f>N16/M16</f>
        <v>#DIV/0!</v>
      </c>
      <c r="P16" s="24" t="e">
        <f>+IF(O16&gt;=0.5,"Yes","No")</f>
        <v>#DIV/0!</v>
      </c>
      <c r="Q16" s="120"/>
      <c r="R16" s="130"/>
      <c r="S16" s="131"/>
    </row>
    <row r="17" spans="1:22" ht="30" customHeight="1" x14ac:dyDescent="0.25">
      <c r="A17" s="141" t="s">
        <v>29</v>
      </c>
      <c r="B17" s="142"/>
      <c r="C17" s="143" t="str">
        <f>IF(C16&gt;= 1,"Yes","No")</f>
        <v>No</v>
      </c>
      <c r="D17" s="144"/>
      <c r="E17" s="145" t="str">
        <f>IF(E16&gt;= 1,"Yes","No")</f>
        <v>No</v>
      </c>
      <c r="F17" s="144"/>
      <c r="G17" s="145" t="str">
        <f>IF(G16&gt;= 1,"Yes","No")</f>
        <v>No</v>
      </c>
      <c r="H17" s="144"/>
      <c r="I17" s="145" t="str">
        <f>IF(I16&gt;= 1,"Yes","No")</f>
        <v>No</v>
      </c>
      <c r="J17" s="144"/>
      <c r="K17" s="145" t="str">
        <f>IF(K16&gt;= 1,"Yes","No")</f>
        <v>No</v>
      </c>
      <c r="L17" s="146"/>
      <c r="M17" s="21"/>
      <c r="N17" s="110"/>
      <c r="O17" s="111"/>
      <c r="P17" s="112"/>
      <c r="Q17" s="121">
        <f>SUM(M16,M19)</f>
        <v>0</v>
      </c>
      <c r="R17" s="130"/>
      <c r="S17" s="131"/>
    </row>
    <row r="18" spans="1:22" ht="50.25" customHeight="1" x14ac:dyDescent="0.25">
      <c r="A18" s="74" t="s">
        <v>22</v>
      </c>
      <c r="B18" s="75"/>
      <c r="C18" s="78" t="s">
        <v>20</v>
      </c>
      <c r="D18" s="79"/>
      <c r="E18" s="79" t="s">
        <v>20</v>
      </c>
      <c r="F18" s="79"/>
      <c r="G18" s="79" t="s">
        <v>20</v>
      </c>
      <c r="H18" s="79"/>
      <c r="I18" s="79" t="s">
        <v>20</v>
      </c>
      <c r="J18" s="79"/>
      <c r="K18" s="79" t="s">
        <v>20</v>
      </c>
      <c r="L18" s="80"/>
      <c r="M18" s="9" t="s">
        <v>21</v>
      </c>
      <c r="N18" s="113"/>
      <c r="O18" s="114"/>
      <c r="P18" s="115"/>
      <c r="Q18" s="122"/>
      <c r="R18" s="130"/>
      <c r="S18" s="131"/>
    </row>
    <row r="19" spans="1:22" ht="30.75" customHeight="1" thickBot="1" x14ac:dyDescent="0.3">
      <c r="A19" s="76"/>
      <c r="B19" s="77"/>
      <c r="C19" s="34"/>
      <c r="D19" s="35"/>
      <c r="E19" s="35"/>
      <c r="F19" s="35"/>
      <c r="G19" s="35"/>
      <c r="H19" s="35"/>
      <c r="I19" s="35"/>
      <c r="J19" s="35"/>
      <c r="K19" s="35"/>
      <c r="L19" s="36"/>
      <c r="M19" s="32">
        <f>C19+E19+G19+I19+K19</f>
        <v>0</v>
      </c>
      <c r="N19" s="116"/>
      <c r="O19" s="117"/>
      <c r="P19" s="118"/>
      <c r="Q19" s="123"/>
      <c r="R19" s="132"/>
      <c r="S19" s="133"/>
    </row>
    <row r="20" spans="1:22" ht="50.25" customHeight="1" thickTop="1" x14ac:dyDescent="0.25">
      <c r="A20" s="83" t="s">
        <v>30</v>
      </c>
      <c r="B20" s="84"/>
      <c r="C20" s="61" t="s">
        <v>31</v>
      </c>
      <c r="D20" s="62"/>
      <c r="E20" s="61" t="s">
        <v>31</v>
      </c>
      <c r="F20" s="62"/>
      <c r="G20" s="61" t="s">
        <v>31</v>
      </c>
      <c r="H20" s="62"/>
      <c r="I20" s="61" t="s">
        <v>31</v>
      </c>
      <c r="J20" s="62"/>
      <c r="K20" s="61" t="s">
        <v>31</v>
      </c>
      <c r="L20" s="62"/>
      <c r="M20" s="10" t="s">
        <v>32</v>
      </c>
      <c r="N20" s="11"/>
      <c r="O20" s="11"/>
      <c r="P20" s="11"/>
      <c r="Q20" s="11"/>
      <c r="R20" s="43" t="str">
        <f>IF(M21 &gt;= 2.5,"Yes","No")</f>
        <v>No</v>
      </c>
      <c r="S20" s="44"/>
    </row>
    <row r="21" spans="1:22" ht="50.25" customHeight="1" x14ac:dyDescent="0.25">
      <c r="A21" s="85"/>
      <c r="B21" s="86"/>
      <c r="C21" s="64"/>
      <c r="D21" s="42"/>
      <c r="E21" s="41"/>
      <c r="F21" s="42"/>
      <c r="G21" s="41"/>
      <c r="H21" s="42"/>
      <c r="I21" s="41"/>
      <c r="J21" s="42"/>
      <c r="K21" s="41"/>
      <c r="L21" s="82"/>
      <c r="M21" s="147">
        <f>SUM(C21,E21,G21,I21,K21)</f>
        <v>0</v>
      </c>
      <c r="N21" s="19"/>
      <c r="O21" s="19"/>
      <c r="P21" s="19"/>
      <c r="Q21" s="19"/>
      <c r="R21" s="45"/>
      <c r="S21" s="46"/>
    </row>
    <row r="22" spans="1:22" ht="30.75" customHeight="1" thickBot="1" x14ac:dyDescent="0.3">
      <c r="A22" s="87" t="s">
        <v>29</v>
      </c>
      <c r="B22" s="88"/>
      <c r="C22" s="56" t="str">
        <f>IF(C21&gt;= 0.5,"Yes","No")</f>
        <v>No</v>
      </c>
      <c r="D22" s="57"/>
      <c r="E22" s="57" t="str">
        <f>IF(E21&gt;= 0.5,"Yes","No")</f>
        <v>No</v>
      </c>
      <c r="F22" s="57"/>
      <c r="G22" s="57" t="str">
        <f>IF(G21&gt;= 0.5,"Yes","No")</f>
        <v>No</v>
      </c>
      <c r="H22" s="57"/>
      <c r="I22" s="57" t="str">
        <f>IF(I21&gt;= 0.5,"Yes","No")</f>
        <v>No</v>
      </c>
      <c r="J22" s="57"/>
      <c r="K22" s="57" t="str">
        <f>IF(K21&gt;= 0.5,"Yes","No")</f>
        <v>No</v>
      </c>
      <c r="L22" s="58"/>
      <c r="M22" s="148"/>
      <c r="N22" s="1"/>
      <c r="O22" s="1"/>
      <c r="P22" s="1"/>
      <c r="Q22" s="1"/>
      <c r="R22" s="47"/>
      <c r="S22" s="48"/>
    </row>
    <row r="23" spans="1:22" ht="50.25" customHeight="1" thickTop="1" x14ac:dyDescent="0.25">
      <c r="A23" s="104" t="s">
        <v>27</v>
      </c>
      <c r="B23" s="105"/>
      <c r="C23" s="59" t="s">
        <v>23</v>
      </c>
      <c r="D23" s="60"/>
      <c r="E23" s="60" t="s">
        <v>23</v>
      </c>
      <c r="F23" s="60"/>
      <c r="G23" s="60" t="s">
        <v>23</v>
      </c>
      <c r="H23" s="60"/>
      <c r="I23" s="60" t="s">
        <v>23</v>
      </c>
      <c r="J23" s="60"/>
      <c r="K23" s="60" t="s">
        <v>23</v>
      </c>
      <c r="L23" s="63"/>
      <c r="M23" s="12" t="s">
        <v>24</v>
      </c>
      <c r="N23" s="13"/>
      <c r="O23" s="13"/>
      <c r="P23" s="13"/>
      <c r="Q23" s="13"/>
      <c r="R23" s="49" t="str">
        <f>IF(M24 &gt;= 5,"Yes","No")</f>
        <v>No</v>
      </c>
      <c r="S23" s="50"/>
    </row>
    <row r="24" spans="1:22" ht="50.25" customHeight="1" x14ac:dyDescent="0.25">
      <c r="A24" s="106"/>
      <c r="B24" s="107"/>
      <c r="C24" s="37"/>
      <c r="D24" s="38"/>
      <c r="E24" s="39"/>
      <c r="F24" s="38"/>
      <c r="G24" s="39"/>
      <c r="H24" s="38"/>
      <c r="I24" s="39"/>
      <c r="J24" s="38"/>
      <c r="K24" s="39"/>
      <c r="L24" s="40"/>
      <c r="M24" s="124">
        <f>SUM(C24,E24,G24,I24,K24)</f>
        <v>0</v>
      </c>
      <c r="N24" s="20"/>
      <c r="O24" s="20"/>
      <c r="P24" s="20"/>
      <c r="Q24" s="20"/>
      <c r="R24" s="49"/>
      <c r="S24" s="50"/>
    </row>
    <row r="25" spans="1:22" ht="30.75" customHeight="1" thickBot="1" x14ac:dyDescent="0.3">
      <c r="A25" s="108" t="s">
        <v>29</v>
      </c>
      <c r="B25" s="109"/>
      <c r="C25" s="53" t="str">
        <f>IF(C24&gt;= 1,"Yes","No")</f>
        <v>No</v>
      </c>
      <c r="D25" s="54"/>
      <c r="E25" s="54" t="str">
        <f>IF(E24&gt;= 1,"Yes","No")</f>
        <v>No</v>
      </c>
      <c r="F25" s="54"/>
      <c r="G25" s="54" t="str">
        <f>IF(G24&gt;= 1,"Yes","No")</f>
        <v>No</v>
      </c>
      <c r="H25" s="54"/>
      <c r="I25" s="54" t="str">
        <f>IF(I24&gt;= 1,"Yes","No")</f>
        <v>No</v>
      </c>
      <c r="J25" s="54"/>
      <c r="K25" s="54" t="str">
        <f>IF(K24&gt;= 1,"Yes","No")</f>
        <v>No</v>
      </c>
      <c r="L25" s="55"/>
      <c r="M25" s="125"/>
      <c r="N25" s="2"/>
      <c r="O25" s="2"/>
      <c r="P25" s="2"/>
      <c r="Q25" s="2"/>
      <c r="R25" s="51"/>
      <c r="S25" s="52"/>
    </row>
    <row r="26" spans="1:22" ht="15.75" thickTop="1" x14ac:dyDescent="0.25"/>
    <row r="27" spans="1:22" ht="47.25" customHeight="1" x14ac:dyDescent="0.25"/>
    <row r="28" spans="1:22" ht="31.5" customHeight="1" x14ac:dyDescent="0.25"/>
    <row r="29" spans="1:22" x14ac:dyDescent="0.25">
      <c r="V29" s="14" t="s">
        <v>16</v>
      </c>
    </row>
  </sheetData>
  <sheetProtection sheet="1" objects="1" scenarios="1" selectLockedCells="1"/>
  <mergeCells count="132">
    <mergeCell ref="U2:V2"/>
    <mergeCell ref="C3:D3"/>
    <mergeCell ref="E3:F3"/>
    <mergeCell ref="G3:H3"/>
    <mergeCell ref="I3:J3"/>
    <mergeCell ref="K3:L3"/>
    <mergeCell ref="A2:B14"/>
    <mergeCell ref="C2:D2"/>
    <mergeCell ref="E2:F2"/>
    <mergeCell ref="G2:H2"/>
    <mergeCell ref="I2:J2"/>
    <mergeCell ref="K2:L2"/>
    <mergeCell ref="M2:Q14"/>
    <mergeCell ref="R2:S14"/>
    <mergeCell ref="C4:D4"/>
    <mergeCell ref="C6:D6"/>
    <mergeCell ref="E6:F6"/>
    <mergeCell ref="G6:H6"/>
    <mergeCell ref="I6:J6"/>
    <mergeCell ref="K6:L6"/>
    <mergeCell ref="C7:D7"/>
    <mergeCell ref="E7:F7"/>
    <mergeCell ref="G7:H7"/>
    <mergeCell ref="I7:J7"/>
    <mergeCell ref="A1:C1"/>
    <mergeCell ref="D1:E1"/>
    <mergeCell ref="F1:S1"/>
    <mergeCell ref="E4:F4"/>
    <mergeCell ref="G4:H4"/>
    <mergeCell ref="I4:J4"/>
    <mergeCell ref="K4:L4"/>
    <mergeCell ref="C5:D5"/>
    <mergeCell ref="E5:F5"/>
    <mergeCell ref="G5:H5"/>
    <mergeCell ref="I5:J5"/>
    <mergeCell ref="K5:L5"/>
    <mergeCell ref="K7:L7"/>
    <mergeCell ref="C8:D8"/>
    <mergeCell ref="E8:F8"/>
    <mergeCell ref="G8:H8"/>
    <mergeCell ref="I8:J8"/>
    <mergeCell ref="K8:L8"/>
    <mergeCell ref="C9:D9"/>
    <mergeCell ref="E9:F9"/>
    <mergeCell ref="G9:H9"/>
    <mergeCell ref="I9:J9"/>
    <mergeCell ref="K9:L9"/>
    <mergeCell ref="C10:D10"/>
    <mergeCell ref="E10:F10"/>
    <mergeCell ref="G10:H10"/>
    <mergeCell ref="I10:J10"/>
    <mergeCell ref="K10:L10"/>
    <mergeCell ref="C11:D11"/>
    <mergeCell ref="E11:F11"/>
    <mergeCell ref="G11:H11"/>
    <mergeCell ref="I11:J11"/>
    <mergeCell ref="K11:L11"/>
    <mergeCell ref="C14:D14"/>
    <mergeCell ref="E14:F14"/>
    <mergeCell ref="G14:H14"/>
    <mergeCell ref="I14:J14"/>
    <mergeCell ref="K14:L14"/>
    <mergeCell ref="A15:B16"/>
    <mergeCell ref="C12:D12"/>
    <mergeCell ref="E12:F12"/>
    <mergeCell ref="G12:H12"/>
    <mergeCell ref="I12:J12"/>
    <mergeCell ref="K12:L12"/>
    <mergeCell ref="C13:D13"/>
    <mergeCell ref="E13:F13"/>
    <mergeCell ref="G13:H13"/>
    <mergeCell ref="I13:J13"/>
    <mergeCell ref="K13:L13"/>
    <mergeCell ref="Q15:Q16"/>
    <mergeCell ref="R15:S19"/>
    <mergeCell ref="A17:B17"/>
    <mergeCell ref="C17:D17"/>
    <mergeCell ref="E17:F17"/>
    <mergeCell ref="G17:H17"/>
    <mergeCell ref="I17:J17"/>
    <mergeCell ref="K17:L17"/>
    <mergeCell ref="N17:P19"/>
    <mergeCell ref="Q17:Q19"/>
    <mergeCell ref="K19:L19"/>
    <mergeCell ref="A18:B19"/>
    <mergeCell ref="C18:D18"/>
    <mergeCell ref="E18:F18"/>
    <mergeCell ref="G18:H18"/>
    <mergeCell ref="I18:J18"/>
    <mergeCell ref="K18:L18"/>
    <mergeCell ref="C19:D19"/>
    <mergeCell ref="E19:F19"/>
    <mergeCell ref="G19:H19"/>
    <mergeCell ref="I19:J19"/>
    <mergeCell ref="A22:B22"/>
    <mergeCell ref="C22:D22"/>
    <mergeCell ref="E22:F22"/>
    <mergeCell ref="G22:H22"/>
    <mergeCell ref="I22:J22"/>
    <mergeCell ref="K22:L22"/>
    <mergeCell ref="R20:S22"/>
    <mergeCell ref="C21:D21"/>
    <mergeCell ref="E21:F21"/>
    <mergeCell ref="G21:H21"/>
    <mergeCell ref="I21:J21"/>
    <mergeCell ref="K21:L21"/>
    <mergeCell ref="M21:M22"/>
    <mergeCell ref="A20:B21"/>
    <mergeCell ref="C20:D20"/>
    <mergeCell ref="E20:F20"/>
    <mergeCell ref="G20:H20"/>
    <mergeCell ref="I20:J20"/>
    <mergeCell ref="K20:L20"/>
    <mergeCell ref="A25:B25"/>
    <mergeCell ref="C25:D25"/>
    <mergeCell ref="E25:F25"/>
    <mergeCell ref="G25:H25"/>
    <mergeCell ref="I25:J25"/>
    <mergeCell ref="K25:L25"/>
    <mergeCell ref="R23:S25"/>
    <mergeCell ref="C24:D24"/>
    <mergeCell ref="E24:F24"/>
    <mergeCell ref="G24:H24"/>
    <mergeCell ref="I24:J24"/>
    <mergeCell ref="K24:L24"/>
    <mergeCell ref="M24:M25"/>
    <mergeCell ref="A23:B24"/>
    <mergeCell ref="C23:D23"/>
    <mergeCell ref="E23:F23"/>
    <mergeCell ref="G23:H23"/>
    <mergeCell ref="I23:J23"/>
    <mergeCell ref="K23:L23"/>
  </mergeCells>
  <conditionalFormatting sqref="C17:L17 C22:L22 C25:L25">
    <cfRule type="containsText" dxfId="33" priority="5" operator="containsText" text="Yes">
      <formula>NOT(ISERROR(SEARCH("Yes",C17)))</formula>
    </cfRule>
    <cfRule type="containsText" dxfId="32" priority="6" operator="containsText" text="No">
      <formula>NOT(ISERROR(SEARCH("No",C17)))</formula>
    </cfRule>
  </conditionalFormatting>
  <conditionalFormatting sqref="P16 R20:S25">
    <cfRule type="containsText" dxfId="31" priority="4" operator="containsText" text="No">
      <formula>NOT(ISERROR(SEARCH("No",P16)))</formula>
    </cfRule>
  </conditionalFormatting>
  <conditionalFormatting sqref="P16 R20:S25">
    <cfRule type="containsText" dxfId="30" priority="3" operator="containsText" text="Yes">
      <formula>NOT(ISERROR(SEARCH("Yes",P16)))</formula>
    </cfRule>
  </conditionalFormatting>
  <conditionalFormatting sqref="R15:S19">
    <cfRule type="containsText" dxfId="29" priority="1" operator="containsText" text="True">
      <formula>NOT(ISERROR(SEARCH("True",R15)))</formula>
    </cfRule>
    <cfRule type="containsText" dxfId="28" priority="2" operator="containsText" text="False">
      <formula>NOT(ISERROR(SEARCH("False",R15)))</formula>
    </cfRule>
  </conditionalFormatting>
  <pageMargins left="0.7" right="0.7" top="0.75" bottom="0.75" header="0.3" footer="0.3"/>
  <pageSetup scale="5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9"/>
  <sheetViews>
    <sheetView topLeftCell="A4" zoomScale="70" zoomScaleNormal="70" workbookViewId="0">
      <selection activeCell="E16" sqref="E16"/>
    </sheetView>
  </sheetViews>
  <sheetFormatPr defaultRowHeight="15" x14ac:dyDescent="0.25"/>
  <cols>
    <col min="1" max="1" width="9.140625" style="14"/>
    <col min="2" max="2" width="12.7109375" style="14" customWidth="1"/>
    <col min="3" max="3" width="9.140625" style="14"/>
    <col min="4" max="4" width="9" style="14" customWidth="1"/>
    <col min="5" max="12" width="9.140625" style="14"/>
    <col min="13" max="20" width="8.7109375" style="14" customWidth="1"/>
    <col min="21" max="22" width="11.7109375" style="14" customWidth="1"/>
    <col min="23" max="16384" width="9.140625" style="14"/>
  </cols>
  <sheetData>
    <row r="1" spans="1:22" ht="16.5" thickTop="1" thickBot="1" x14ac:dyDescent="0.3">
      <c r="A1" s="149" t="s">
        <v>35</v>
      </c>
      <c r="B1" s="150"/>
      <c r="C1" s="150"/>
      <c r="D1" s="150" t="s">
        <v>33</v>
      </c>
      <c r="E1" s="150"/>
      <c r="F1" s="102"/>
      <c r="G1" s="102"/>
      <c r="H1" s="102"/>
      <c r="I1" s="102"/>
      <c r="J1" s="102"/>
      <c r="K1" s="102"/>
      <c r="L1" s="102"/>
      <c r="M1" s="102"/>
      <c r="N1" s="102"/>
      <c r="O1" s="102"/>
      <c r="P1" s="102"/>
      <c r="Q1" s="102"/>
      <c r="R1" s="102"/>
      <c r="S1" s="103"/>
    </row>
    <row r="2" spans="1:22" ht="15.75" thickTop="1" x14ac:dyDescent="0.25">
      <c r="A2" s="91"/>
      <c r="B2" s="92"/>
      <c r="C2" s="95" t="s">
        <v>0</v>
      </c>
      <c r="D2" s="96"/>
      <c r="E2" s="96" t="s">
        <v>1</v>
      </c>
      <c r="F2" s="96"/>
      <c r="G2" s="96" t="s">
        <v>2</v>
      </c>
      <c r="H2" s="96"/>
      <c r="I2" s="96" t="s">
        <v>3</v>
      </c>
      <c r="J2" s="96"/>
      <c r="K2" s="96" t="s">
        <v>4</v>
      </c>
      <c r="L2" s="97"/>
      <c r="M2" s="126"/>
      <c r="N2" s="134"/>
      <c r="O2" s="134"/>
      <c r="P2" s="134"/>
      <c r="Q2" s="127"/>
      <c r="R2" s="126" t="s">
        <v>26</v>
      </c>
      <c r="S2" s="127"/>
      <c r="U2" s="89" t="s">
        <v>5</v>
      </c>
      <c r="V2" s="90"/>
    </row>
    <row r="3" spans="1:22" x14ac:dyDescent="0.25">
      <c r="A3" s="91"/>
      <c r="B3" s="92"/>
      <c r="C3" s="98"/>
      <c r="D3" s="99"/>
      <c r="E3" s="65"/>
      <c r="F3" s="65"/>
      <c r="G3" s="65"/>
      <c r="H3" s="65"/>
      <c r="I3" s="65"/>
      <c r="J3" s="65"/>
      <c r="K3" s="65"/>
      <c r="L3" s="66"/>
      <c r="M3" s="91"/>
      <c r="N3" s="135"/>
      <c r="O3" s="135"/>
      <c r="P3" s="135"/>
      <c r="Q3" s="92"/>
      <c r="R3" s="91"/>
      <c r="S3" s="92"/>
      <c r="U3" s="15" t="s">
        <v>6</v>
      </c>
      <c r="V3" s="16">
        <v>0.125</v>
      </c>
    </row>
    <row r="4" spans="1:22" x14ac:dyDescent="0.25">
      <c r="A4" s="91"/>
      <c r="B4" s="92"/>
      <c r="C4" s="72"/>
      <c r="D4" s="70"/>
      <c r="E4" s="65"/>
      <c r="F4" s="65"/>
      <c r="G4" s="65"/>
      <c r="H4" s="65"/>
      <c r="I4" s="65"/>
      <c r="J4" s="65"/>
      <c r="K4" s="65"/>
      <c r="L4" s="66"/>
      <c r="M4" s="91"/>
      <c r="N4" s="135"/>
      <c r="O4" s="135"/>
      <c r="P4" s="135"/>
      <c r="Q4" s="92"/>
      <c r="R4" s="91"/>
      <c r="S4" s="92"/>
      <c r="U4" s="15" t="s">
        <v>7</v>
      </c>
      <c r="V4" s="16">
        <v>0.25</v>
      </c>
    </row>
    <row r="5" spans="1:22" x14ac:dyDescent="0.25">
      <c r="A5" s="91"/>
      <c r="B5" s="92"/>
      <c r="C5" s="72"/>
      <c r="D5" s="73"/>
      <c r="E5" s="65"/>
      <c r="F5" s="65"/>
      <c r="G5" s="65"/>
      <c r="H5" s="65"/>
      <c r="I5" s="65"/>
      <c r="J5" s="65"/>
      <c r="K5" s="65"/>
      <c r="L5" s="66"/>
      <c r="M5" s="91"/>
      <c r="N5" s="135"/>
      <c r="O5" s="135"/>
      <c r="P5" s="135"/>
      <c r="Q5" s="92"/>
      <c r="R5" s="91"/>
      <c r="S5" s="92"/>
      <c r="U5" s="15" t="s">
        <v>8</v>
      </c>
      <c r="V5" s="16">
        <v>0.375</v>
      </c>
    </row>
    <row r="6" spans="1:22" x14ac:dyDescent="0.25">
      <c r="A6" s="91"/>
      <c r="B6" s="92"/>
      <c r="C6" s="72"/>
      <c r="D6" s="73"/>
      <c r="E6" s="65"/>
      <c r="F6" s="65"/>
      <c r="G6" s="65"/>
      <c r="H6" s="65"/>
      <c r="I6" s="65"/>
      <c r="J6" s="65"/>
      <c r="K6" s="65"/>
      <c r="L6" s="66"/>
      <c r="M6" s="91"/>
      <c r="N6" s="135"/>
      <c r="O6" s="135"/>
      <c r="P6" s="135"/>
      <c r="Q6" s="92"/>
      <c r="R6" s="91"/>
      <c r="S6" s="92"/>
      <c r="U6" s="15" t="s">
        <v>9</v>
      </c>
      <c r="V6" s="16">
        <v>0.5</v>
      </c>
    </row>
    <row r="7" spans="1:22" x14ac:dyDescent="0.25">
      <c r="A7" s="91"/>
      <c r="B7" s="92"/>
      <c r="C7" s="72"/>
      <c r="D7" s="73"/>
      <c r="E7" s="65"/>
      <c r="F7" s="65"/>
      <c r="G7" s="65"/>
      <c r="H7" s="65"/>
      <c r="I7" s="65"/>
      <c r="J7" s="65"/>
      <c r="K7" s="65"/>
      <c r="L7" s="66"/>
      <c r="M7" s="91"/>
      <c r="N7" s="135"/>
      <c r="O7" s="135"/>
      <c r="P7" s="135"/>
      <c r="Q7" s="92"/>
      <c r="R7" s="91"/>
      <c r="S7" s="92"/>
      <c r="U7" s="15" t="s">
        <v>10</v>
      </c>
      <c r="V7" s="16">
        <v>0.625</v>
      </c>
    </row>
    <row r="8" spans="1:22" x14ac:dyDescent="0.25">
      <c r="A8" s="91"/>
      <c r="B8" s="92"/>
      <c r="C8" s="72"/>
      <c r="D8" s="73"/>
      <c r="E8" s="65"/>
      <c r="F8" s="65"/>
      <c r="G8" s="65"/>
      <c r="H8" s="65"/>
      <c r="I8" s="65"/>
      <c r="J8" s="65"/>
      <c r="K8" s="65"/>
      <c r="L8" s="66"/>
      <c r="M8" s="91"/>
      <c r="N8" s="135"/>
      <c r="O8" s="135"/>
      <c r="P8" s="135"/>
      <c r="Q8" s="92"/>
      <c r="R8" s="91"/>
      <c r="S8" s="92"/>
      <c r="U8" s="15" t="s">
        <v>11</v>
      </c>
      <c r="V8" s="16">
        <v>0.75</v>
      </c>
    </row>
    <row r="9" spans="1:22" x14ac:dyDescent="0.25">
      <c r="A9" s="91"/>
      <c r="B9" s="92"/>
      <c r="C9" s="72"/>
      <c r="D9" s="70"/>
      <c r="E9" s="65"/>
      <c r="F9" s="65"/>
      <c r="G9" s="65"/>
      <c r="H9" s="65"/>
      <c r="I9" s="65"/>
      <c r="J9" s="65"/>
      <c r="K9" s="65"/>
      <c r="L9" s="66"/>
      <c r="M9" s="91"/>
      <c r="N9" s="135"/>
      <c r="O9" s="135"/>
      <c r="P9" s="135"/>
      <c r="Q9" s="92"/>
      <c r="R9" s="91"/>
      <c r="S9" s="92"/>
      <c r="U9" s="15" t="s">
        <v>12</v>
      </c>
      <c r="V9" s="16">
        <v>0.875</v>
      </c>
    </row>
    <row r="10" spans="1:22" x14ac:dyDescent="0.25">
      <c r="A10" s="91"/>
      <c r="B10" s="92"/>
      <c r="C10" s="72"/>
      <c r="D10" s="70"/>
      <c r="E10" s="65"/>
      <c r="F10" s="65"/>
      <c r="G10" s="65"/>
      <c r="H10" s="65"/>
      <c r="I10" s="65"/>
      <c r="J10" s="65"/>
      <c r="K10" s="65"/>
      <c r="L10" s="66"/>
      <c r="M10" s="91"/>
      <c r="N10" s="135"/>
      <c r="O10" s="135"/>
      <c r="P10" s="135"/>
      <c r="Q10" s="92"/>
      <c r="R10" s="91"/>
      <c r="S10" s="92"/>
      <c r="U10" s="17" t="s">
        <v>13</v>
      </c>
      <c r="V10" s="18">
        <v>1</v>
      </c>
    </row>
    <row r="11" spans="1:22" x14ac:dyDescent="0.25">
      <c r="A11" s="91"/>
      <c r="B11" s="92"/>
      <c r="C11" s="72"/>
      <c r="D11" s="73"/>
      <c r="E11" s="65"/>
      <c r="F11" s="65"/>
      <c r="G11" s="65"/>
      <c r="H11" s="65"/>
      <c r="I11" s="65"/>
      <c r="J11" s="65"/>
      <c r="K11" s="65"/>
      <c r="L11" s="66"/>
      <c r="M11" s="91"/>
      <c r="N11" s="135"/>
      <c r="O11" s="135"/>
      <c r="P11" s="135"/>
      <c r="Q11" s="92"/>
      <c r="R11" s="91"/>
      <c r="S11" s="92"/>
    </row>
    <row r="12" spans="1:22" x14ac:dyDescent="0.25">
      <c r="A12" s="91"/>
      <c r="B12" s="92"/>
      <c r="C12" s="72"/>
      <c r="D12" s="70"/>
      <c r="E12" s="65"/>
      <c r="F12" s="65"/>
      <c r="G12" s="65"/>
      <c r="H12" s="65"/>
      <c r="I12" s="65"/>
      <c r="J12" s="65"/>
      <c r="K12" s="65"/>
      <c r="L12" s="66"/>
      <c r="M12" s="91"/>
      <c r="N12" s="135"/>
      <c r="O12" s="135"/>
      <c r="P12" s="135"/>
      <c r="Q12" s="92"/>
      <c r="R12" s="91"/>
      <c r="S12" s="92"/>
    </row>
    <row r="13" spans="1:22" ht="15" customHeight="1" x14ac:dyDescent="0.25">
      <c r="A13" s="91"/>
      <c r="B13" s="92"/>
      <c r="C13" s="81"/>
      <c r="D13" s="70"/>
      <c r="E13" s="70"/>
      <c r="F13" s="70"/>
      <c r="G13" s="70"/>
      <c r="H13" s="70"/>
      <c r="I13" s="70"/>
      <c r="J13" s="70"/>
      <c r="K13" s="70"/>
      <c r="L13" s="71"/>
      <c r="M13" s="91"/>
      <c r="N13" s="135"/>
      <c r="O13" s="135"/>
      <c r="P13" s="135"/>
      <c r="Q13" s="92"/>
      <c r="R13" s="91"/>
      <c r="S13" s="92"/>
    </row>
    <row r="14" spans="1:22" ht="15.75" thickBot="1" x14ac:dyDescent="0.3">
      <c r="A14" s="93"/>
      <c r="B14" s="94"/>
      <c r="C14" s="67"/>
      <c r="D14" s="68"/>
      <c r="E14" s="68"/>
      <c r="F14" s="68"/>
      <c r="G14" s="68"/>
      <c r="H14" s="68"/>
      <c r="I14" s="68"/>
      <c r="J14" s="68"/>
      <c r="K14" s="68"/>
      <c r="L14" s="69"/>
      <c r="M14" s="93"/>
      <c r="N14" s="136"/>
      <c r="O14" s="136"/>
      <c r="P14" s="136"/>
      <c r="Q14" s="94"/>
      <c r="R14" s="93"/>
      <c r="S14" s="94"/>
    </row>
    <row r="15" spans="1:22" ht="49.5" customHeight="1" thickTop="1" x14ac:dyDescent="0.25">
      <c r="A15" s="137" t="s">
        <v>48</v>
      </c>
      <c r="B15" s="138"/>
      <c r="C15" s="3" t="s">
        <v>14</v>
      </c>
      <c r="D15" s="4" t="s">
        <v>15</v>
      </c>
      <c r="E15" s="5" t="s">
        <v>14</v>
      </c>
      <c r="F15" s="4" t="s">
        <v>15</v>
      </c>
      <c r="G15" s="5" t="s">
        <v>14</v>
      </c>
      <c r="H15" s="4" t="s">
        <v>15</v>
      </c>
      <c r="I15" s="5" t="s">
        <v>14</v>
      </c>
      <c r="J15" s="4" t="s">
        <v>15</v>
      </c>
      <c r="K15" s="5" t="s">
        <v>14</v>
      </c>
      <c r="L15" s="6" t="s">
        <v>15</v>
      </c>
      <c r="M15" s="7" t="s">
        <v>17</v>
      </c>
      <c r="N15" s="5" t="s">
        <v>18</v>
      </c>
      <c r="O15" s="8" t="s">
        <v>19</v>
      </c>
      <c r="P15" s="8" t="s">
        <v>25</v>
      </c>
      <c r="Q15" s="119" t="s">
        <v>38</v>
      </c>
      <c r="R15" s="128" t="b">
        <f>AND(Q17&gt;=9,Q17&lt;=10)</f>
        <v>0</v>
      </c>
      <c r="S15" s="129"/>
    </row>
    <row r="16" spans="1:22" ht="49.5" customHeight="1" x14ac:dyDescent="0.25">
      <c r="A16" s="139"/>
      <c r="B16" s="140"/>
      <c r="C16" s="26"/>
      <c r="D16" s="27"/>
      <c r="E16" s="28"/>
      <c r="F16" s="27"/>
      <c r="G16" s="28"/>
      <c r="H16" s="27"/>
      <c r="I16" s="28"/>
      <c r="J16" s="27"/>
      <c r="K16" s="28"/>
      <c r="L16" s="29"/>
      <c r="M16" s="30">
        <f>SUM(C16,E16,G16,I16,K16)</f>
        <v>0</v>
      </c>
      <c r="N16" s="31">
        <f>SUM(D16,F16,H16,J16,L16)</f>
        <v>0</v>
      </c>
      <c r="O16" s="25" t="e">
        <f>N16/M16</f>
        <v>#DIV/0!</v>
      </c>
      <c r="P16" s="24" t="e">
        <f>+IF(O16&gt;=0.5,"Yes","No")</f>
        <v>#DIV/0!</v>
      </c>
      <c r="Q16" s="120"/>
      <c r="R16" s="130"/>
      <c r="S16" s="131"/>
    </row>
    <row r="17" spans="1:22" ht="30" customHeight="1" x14ac:dyDescent="0.25">
      <c r="A17" s="141" t="s">
        <v>29</v>
      </c>
      <c r="B17" s="142"/>
      <c r="C17" s="143" t="str">
        <f>IF(C16&gt;= 1,"Yes","No")</f>
        <v>No</v>
      </c>
      <c r="D17" s="144"/>
      <c r="E17" s="145" t="str">
        <f>IF(E16&gt;= 1,"Yes","No")</f>
        <v>No</v>
      </c>
      <c r="F17" s="144"/>
      <c r="G17" s="145" t="str">
        <f>IF(G16&gt;= 1,"Yes","No")</f>
        <v>No</v>
      </c>
      <c r="H17" s="144"/>
      <c r="I17" s="145" t="str">
        <f>IF(I16&gt;= 1,"Yes","No")</f>
        <v>No</v>
      </c>
      <c r="J17" s="144"/>
      <c r="K17" s="145" t="str">
        <f>IF(K16&gt;= 1,"Yes","No")</f>
        <v>No</v>
      </c>
      <c r="L17" s="146"/>
      <c r="M17" s="21"/>
      <c r="N17" s="110"/>
      <c r="O17" s="111"/>
      <c r="P17" s="112"/>
      <c r="Q17" s="121">
        <f>SUM(M16,M19)</f>
        <v>0</v>
      </c>
      <c r="R17" s="130"/>
      <c r="S17" s="131"/>
    </row>
    <row r="18" spans="1:22" ht="50.25" customHeight="1" x14ac:dyDescent="0.25">
      <c r="A18" s="74" t="s">
        <v>22</v>
      </c>
      <c r="B18" s="75"/>
      <c r="C18" s="78" t="s">
        <v>20</v>
      </c>
      <c r="D18" s="79"/>
      <c r="E18" s="79" t="s">
        <v>20</v>
      </c>
      <c r="F18" s="79"/>
      <c r="G18" s="79" t="s">
        <v>20</v>
      </c>
      <c r="H18" s="79"/>
      <c r="I18" s="79" t="s">
        <v>20</v>
      </c>
      <c r="J18" s="79"/>
      <c r="K18" s="79" t="s">
        <v>20</v>
      </c>
      <c r="L18" s="80"/>
      <c r="M18" s="9" t="s">
        <v>21</v>
      </c>
      <c r="N18" s="113"/>
      <c r="O18" s="114"/>
      <c r="P18" s="115"/>
      <c r="Q18" s="122"/>
      <c r="R18" s="130"/>
      <c r="S18" s="131"/>
    </row>
    <row r="19" spans="1:22" ht="30.75" customHeight="1" thickBot="1" x14ac:dyDescent="0.3">
      <c r="A19" s="76"/>
      <c r="B19" s="77"/>
      <c r="C19" s="34"/>
      <c r="D19" s="35"/>
      <c r="E19" s="35"/>
      <c r="F19" s="35"/>
      <c r="G19" s="35"/>
      <c r="H19" s="35"/>
      <c r="I19" s="35"/>
      <c r="J19" s="35"/>
      <c r="K19" s="35"/>
      <c r="L19" s="36"/>
      <c r="M19" s="32">
        <f>C19+E19+G19+I19+K19</f>
        <v>0</v>
      </c>
      <c r="N19" s="116"/>
      <c r="O19" s="117"/>
      <c r="P19" s="118"/>
      <c r="Q19" s="123"/>
      <c r="R19" s="132"/>
      <c r="S19" s="133"/>
    </row>
    <row r="20" spans="1:22" ht="50.25" customHeight="1" thickTop="1" x14ac:dyDescent="0.25">
      <c r="A20" s="83" t="s">
        <v>30</v>
      </c>
      <c r="B20" s="84"/>
      <c r="C20" s="61" t="s">
        <v>31</v>
      </c>
      <c r="D20" s="62"/>
      <c r="E20" s="61" t="s">
        <v>31</v>
      </c>
      <c r="F20" s="62"/>
      <c r="G20" s="61" t="s">
        <v>31</v>
      </c>
      <c r="H20" s="62"/>
      <c r="I20" s="61" t="s">
        <v>31</v>
      </c>
      <c r="J20" s="62"/>
      <c r="K20" s="61" t="s">
        <v>31</v>
      </c>
      <c r="L20" s="62"/>
      <c r="M20" s="10" t="s">
        <v>32</v>
      </c>
      <c r="N20" s="11"/>
      <c r="O20" s="11"/>
      <c r="P20" s="11"/>
      <c r="Q20" s="11"/>
      <c r="R20" s="43" t="str">
        <f>IF(M21 &gt;= 2.5,"Yes","No")</f>
        <v>No</v>
      </c>
      <c r="S20" s="44"/>
    </row>
    <row r="21" spans="1:22" ht="50.25" customHeight="1" x14ac:dyDescent="0.25">
      <c r="A21" s="85"/>
      <c r="B21" s="86"/>
      <c r="C21" s="64"/>
      <c r="D21" s="42"/>
      <c r="E21" s="41"/>
      <c r="F21" s="42"/>
      <c r="G21" s="41"/>
      <c r="H21" s="42"/>
      <c r="I21" s="41"/>
      <c r="J21" s="42"/>
      <c r="K21" s="41"/>
      <c r="L21" s="82"/>
      <c r="M21" s="147">
        <f>SUM(C21,E21,G21,I21,K21)</f>
        <v>0</v>
      </c>
      <c r="N21" s="19"/>
      <c r="O21" s="19"/>
      <c r="P21" s="19"/>
      <c r="Q21" s="19"/>
      <c r="R21" s="45"/>
      <c r="S21" s="46"/>
    </row>
    <row r="22" spans="1:22" ht="30.75" customHeight="1" thickBot="1" x14ac:dyDescent="0.3">
      <c r="A22" s="87" t="s">
        <v>29</v>
      </c>
      <c r="B22" s="88"/>
      <c r="C22" s="56" t="str">
        <f>IF(C21&gt;= 0.5,"Yes","No")</f>
        <v>No</v>
      </c>
      <c r="D22" s="57"/>
      <c r="E22" s="57" t="str">
        <f>IF(E21&gt;= 0.5,"Yes","No")</f>
        <v>No</v>
      </c>
      <c r="F22" s="57"/>
      <c r="G22" s="57" t="str">
        <f>IF(G21&gt;= 0.5,"Yes","No")</f>
        <v>No</v>
      </c>
      <c r="H22" s="57"/>
      <c r="I22" s="57" t="str">
        <f>IF(I21&gt;= 0.5,"Yes","No")</f>
        <v>No</v>
      </c>
      <c r="J22" s="57"/>
      <c r="K22" s="57" t="str">
        <f>IF(K21&gt;= 0.5,"Yes","No")</f>
        <v>No</v>
      </c>
      <c r="L22" s="58"/>
      <c r="M22" s="148"/>
      <c r="N22" s="1"/>
      <c r="O22" s="1"/>
      <c r="P22" s="1"/>
      <c r="Q22" s="1"/>
      <c r="R22" s="47"/>
      <c r="S22" s="48"/>
    </row>
    <row r="23" spans="1:22" ht="50.25" customHeight="1" thickTop="1" x14ac:dyDescent="0.25">
      <c r="A23" s="104" t="s">
        <v>27</v>
      </c>
      <c r="B23" s="105"/>
      <c r="C23" s="59" t="s">
        <v>23</v>
      </c>
      <c r="D23" s="60"/>
      <c r="E23" s="60" t="s">
        <v>23</v>
      </c>
      <c r="F23" s="60"/>
      <c r="G23" s="60" t="s">
        <v>23</v>
      </c>
      <c r="H23" s="60"/>
      <c r="I23" s="60" t="s">
        <v>23</v>
      </c>
      <c r="J23" s="60"/>
      <c r="K23" s="60" t="s">
        <v>23</v>
      </c>
      <c r="L23" s="63"/>
      <c r="M23" s="12" t="s">
        <v>24</v>
      </c>
      <c r="N23" s="13"/>
      <c r="O23" s="13"/>
      <c r="P23" s="13"/>
      <c r="Q23" s="13"/>
      <c r="R23" s="49" t="str">
        <f>IF(M24 &gt;= 5,"Yes","No")</f>
        <v>No</v>
      </c>
      <c r="S23" s="50"/>
    </row>
    <row r="24" spans="1:22" ht="50.25" customHeight="1" x14ac:dyDescent="0.25">
      <c r="A24" s="106"/>
      <c r="B24" s="107"/>
      <c r="C24" s="37"/>
      <c r="D24" s="38"/>
      <c r="E24" s="39"/>
      <c r="F24" s="38"/>
      <c r="G24" s="39"/>
      <c r="H24" s="38"/>
      <c r="I24" s="39"/>
      <c r="J24" s="38"/>
      <c r="K24" s="39"/>
      <c r="L24" s="40"/>
      <c r="M24" s="124">
        <f>SUM(C24,E24,G24,I24,K24)</f>
        <v>0</v>
      </c>
      <c r="N24" s="20"/>
      <c r="O24" s="20"/>
      <c r="P24" s="20"/>
      <c r="Q24" s="20"/>
      <c r="R24" s="49"/>
      <c r="S24" s="50"/>
    </row>
    <row r="25" spans="1:22" ht="30.75" customHeight="1" thickBot="1" x14ac:dyDescent="0.3">
      <c r="A25" s="108" t="s">
        <v>29</v>
      </c>
      <c r="B25" s="109"/>
      <c r="C25" s="53" t="str">
        <f>IF(C24&gt;= 1,"Yes","No")</f>
        <v>No</v>
      </c>
      <c r="D25" s="54"/>
      <c r="E25" s="54" t="str">
        <f>IF(E24&gt;= 1,"Yes","No")</f>
        <v>No</v>
      </c>
      <c r="F25" s="54"/>
      <c r="G25" s="54" t="str">
        <f>IF(G24&gt;= 1,"Yes","No")</f>
        <v>No</v>
      </c>
      <c r="H25" s="54"/>
      <c r="I25" s="54" t="str">
        <f>IF(I24&gt;= 1,"Yes","No")</f>
        <v>No</v>
      </c>
      <c r="J25" s="54"/>
      <c r="K25" s="54" t="str">
        <f>IF(K24&gt;= 1,"Yes","No")</f>
        <v>No</v>
      </c>
      <c r="L25" s="55"/>
      <c r="M25" s="125"/>
      <c r="N25" s="2"/>
      <c r="O25" s="2"/>
      <c r="P25" s="2"/>
      <c r="Q25" s="2"/>
      <c r="R25" s="51"/>
      <c r="S25" s="52"/>
    </row>
    <row r="26" spans="1:22" ht="15.75" thickTop="1" x14ac:dyDescent="0.25"/>
    <row r="27" spans="1:22" ht="47.25" customHeight="1" x14ac:dyDescent="0.25"/>
    <row r="28" spans="1:22" ht="31.5" customHeight="1" x14ac:dyDescent="0.25"/>
    <row r="29" spans="1:22" x14ac:dyDescent="0.25">
      <c r="V29" s="14" t="s">
        <v>16</v>
      </c>
    </row>
  </sheetData>
  <sheetProtection sheet="1" objects="1" scenarios="1" selectLockedCells="1"/>
  <mergeCells count="132">
    <mergeCell ref="U2:V2"/>
    <mergeCell ref="C3:D3"/>
    <mergeCell ref="E3:F3"/>
    <mergeCell ref="G3:H3"/>
    <mergeCell ref="I3:J3"/>
    <mergeCell ref="K3:L3"/>
    <mergeCell ref="A2:B14"/>
    <mergeCell ref="C2:D2"/>
    <mergeCell ref="E2:F2"/>
    <mergeCell ref="G2:H2"/>
    <mergeCell ref="I2:J2"/>
    <mergeCell ref="K2:L2"/>
    <mergeCell ref="M2:Q14"/>
    <mergeCell ref="R2:S14"/>
    <mergeCell ref="C4:D4"/>
    <mergeCell ref="C6:D6"/>
    <mergeCell ref="E6:F6"/>
    <mergeCell ref="G6:H6"/>
    <mergeCell ref="I6:J6"/>
    <mergeCell ref="K6:L6"/>
    <mergeCell ref="C7:D7"/>
    <mergeCell ref="E7:F7"/>
    <mergeCell ref="G7:H7"/>
    <mergeCell ref="I7:J7"/>
    <mergeCell ref="A1:C1"/>
    <mergeCell ref="D1:E1"/>
    <mergeCell ref="F1:S1"/>
    <mergeCell ref="E4:F4"/>
    <mergeCell ref="G4:H4"/>
    <mergeCell ref="I4:J4"/>
    <mergeCell ref="K4:L4"/>
    <mergeCell ref="C5:D5"/>
    <mergeCell ref="E5:F5"/>
    <mergeCell ref="G5:H5"/>
    <mergeCell ref="I5:J5"/>
    <mergeCell ref="K5:L5"/>
    <mergeCell ref="K7:L7"/>
    <mergeCell ref="C8:D8"/>
    <mergeCell ref="E8:F8"/>
    <mergeCell ref="G8:H8"/>
    <mergeCell ref="I8:J8"/>
    <mergeCell ref="K8:L8"/>
    <mergeCell ref="C9:D9"/>
    <mergeCell ref="E9:F9"/>
    <mergeCell ref="G9:H9"/>
    <mergeCell ref="I9:J9"/>
    <mergeCell ref="K9:L9"/>
    <mergeCell ref="C10:D10"/>
    <mergeCell ref="E10:F10"/>
    <mergeCell ref="G10:H10"/>
    <mergeCell ref="I10:J10"/>
    <mergeCell ref="K10:L10"/>
    <mergeCell ref="C11:D11"/>
    <mergeCell ref="E11:F11"/>
    <mergeCell ref="G11:H11"/>
    <mergeCell ref="I11:J11"/>
    <mergeCell ref="K11:L11"/>
    <mergeCell ref="C14:D14"/>
    <mergeCell ref="E14:F14"/>
    <mergeCell ref="G14:H14"/>
    <mergeCell ref="I14:J14"/>
    <mergeCell ref="K14:L14"/>
    <mergeCell ref="A15:B16"/>
    <mergeCell ref="C12:D12"/>
    <mergeCell ref="E12:F12"/>
    <mergeCell ref="G12:H12"/>
    <mergeCell ref="I12:J12"/>
    <mergeCell ref="K12:L12"/>
    <mergeCell ref="C13:D13"/>
    <mergeCell ref="E13:F13"/>
    <mergeCell ref="G13:H13"/>
    <mergeCell ref="I13:J13"/>
    <mergeCell ref="K13:L13"/>
    <mergeCell ref="Q15:Q16"/>
    <mergeCell ref="R15:S19"/>
    <mergeCell ref="A17:B17"/>
    <mergeCell ref="C17:D17"/>
    <mergeCell ref="E17:F17"/>
    <mergeCell ref="G17:H17"/>
    <mergeCell ref="I17:J17"/>
    <mergeCell ref="K17:L17"/>
    <mergeCell ref="N17:P19"/>
    <mergeCell ref="Q17:Q19"/>
    <mergeCell ref="K19:L19"/>
    <mergeCell ref="A18:B19"/>
    <mergeCell ref="C18:D18"/>
    <mergeCell ref="E18:F18"/>
    <mergeCell ref="G18:H18"/>
    <mergeCell ref="I18:J18"/>
    <mergeCell ref="K18:L18"/>
    <mergeCell ref="C19:D19"/>
    <mergeCell ref="E19:F19"/>
    <mergeCell ref="G19:H19"/>
    <mergeCell ref="I19:J19"/>
    <mergeCell ref="A22:B22"/>
    <mergeCell ref="C22:D22"/>
    <mergeCell ref="E22:F22"/>
    <mergeCell ref="G22:H22"/>
    <mergeCell ref="I22:J22"/>
    <mergeCell ref="K22:L22"/>
    <mergeCell ref="R20:S22"/>
    <mergeCell ref="C21:D21"/>
    <mergeCell ref="E21:F21"/>
    <mergeCell ref="G21:H21"/>
    <mergeCell ref="I21:J21"/>
    <mergeCell ref="K21:L21"/>
    <mergeCell ref="M21:M22"/>
    <mergeCell ref="A20:B21"/>
    <mergeCell ref="C20:D20"/>
    <mergeCell ref="E20:F20"/>
    <mergeCell ref="G20:H20"/>
    <mergeCell ref="I20:J20"/>
    <mergeCell ref="K20:L20"/>
    <mergeCell ref="A25:B25"/>
    <mergeCell ref="C25:D25"/>
    <mergeCell ref="E25:F25"/>
    <mergeCell ref="G25:H25"/>
    <mergeCell ref="I25:J25"/>
    <mergeCell ref="K25:L25"/>
    <mergeCell ref="R23:S25"/>
    <mergeCell ref="C24:D24"/>
    <mergeCell ref="E24:F24"/>
    <mergeCell ref="G24:H24"/>
    <mergeCell ref="I24:J24"/>
    <mergeCell ref="K24:L24"/>
    <mergeCell ref="M24:M25"/>
    <mergeCell ref="A23:B24"/>
    <mergeCell ref="C23:D23"/>
    <mergeCell ref="E23:F23"/>
    <mergeCell ref="G23:H23"/>
    <mergeCell ref="I23:J23"/>
    <mergeCell ref="K23:L23"/>
  </mergeCells>
  <conditionalFormatting sqref="C17:L17 C22:L22 C25:L25">
    <cfRule type="containsText" dxfId="27" priority="5" operator="containsText" text="Yes">
      <formula>NOT(ISERROR(SEARCH("Yes",C17)))</formula>
    </cfRule>
    <cfRule type="containsText" dxfId="26" priority="6" operator="containsText" text="No">
      <formula>NOT(ISERROR(SEARCH("No",C17)))</formula>
    </cfRule>
  </conditionalFormatting>
  <conditionalFormatting sqref="P16 R20:S25">
    <cfRule type="containsText" dxfId="25" priority="4" operator="containsText" text="No">
      <formula>NOT(ISERROR(SEARCH("No",P16)))</formula>
    </cfRule>
  </conditionalFormatting>
  <conditionalFormatting sqref="P16 R20:S25">
    <cfRule type="containsText" dxfId="24" priority="3" operator="containsText" text="Yes">
      <formula>NOT(ISERROR(SEARCH("Yes",P16)))</formula>
    </cfRule>
  </conditionalFormatting>
  <conditionalFormatting sqref="R15:S19">
    <cfRule type="containsText" dxfId="23" priority="1" operator="containsText" text="True">
      <formula>NOT(ISERROR(SEARCH("True",R15)))</formula>
    </cfRule>
    <cfRule type="containsText" dxfId="22" priority="2" operator="containsText" text="False">
      <formula>NOT(ISERROR(SEARCH("False",R15)))</formula>
    </cfRule>
  </conditionalFormatting>
  <pageMargins left="0.7" right="0.7" top="0.75" bottom="0.75" header="0.3" footer="0.3"/>
  <pageSetup scale="5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9"/>
  <sheetViews>
    <sheetView zoomScale="70" zoomScaleNormal="70" workbookViewId="0">
      <selection activeCell="T22" sqref="T22"/>
    </sheetView>
  </sheetViews>
  <sheetFormatPr defaultRowHeight="15" x14ac:dyDescent="0.25"/>
  <cols>
    <col min="1" max="1" width="9.140625" style="14"/>
    <col min="2" max="2" width="12.7109375" style="14" customWidth="1"/>
    <col min="3" max="3" width="9.140625" style="14"/>
    <col min="4" max="4" width="9" style="14" customWidth="1"/>
    <col min="5" max="12" width="9.140625" style="14"/>
    <col min="13" max="20" width="8.7109375" style="14" customWidth="1"/>
    <col min="21" max="22" width="11.7109375" style="14" customWidth="1"/>
    <col min="23" max="16384" width="9.140625" style="14"/>
  </cols>
  <sheetData>
    <row r="1" spans="1:22" ht="16.5" thickTop="1" thickBot="1" x14ac:dyDescent="0.3">
      <c r="A1" s="149" t="s">
        <v>34</v>
      </c>
      <c r="B1" s="150"/>
      <c r="C1" s="150"/>
      <c r="D1" s="150" t="s">
        <v>33</v>
      </c>
      <c r="E1" s="150"/>
      <c r="F1" s="102"/>
      <c r="G1" s="102"/>
      <c r="H1" s="102"/>
      <c r="I1" s="102"/>
      <c r="J1" s="102"/>
      <c r="K1" s="102"/>
      <c r="L1" s="102"/>
      <c r="M1" s="102"/>
      <c r="N1" s="102"/>
      <c r="O1" s="102"/>
      <c r="P1" s="102"/>
      <c r="Q1" s="102"/>
      <c r="R1" s="102"/>
      <c r="S1" s="103"/>
    </row>
    <row r="2" spans="1:22" ht="15.75" thickTop="1" x14ac:dyDescent="0.25">
      <c r="A2" s="91"/>
      <c r="B2" s="92"/>
      <c r="C2" s="95" t="s">
        <v>0</v>
      </c>
      <c r="D2" s="96"/>
      <c r="E2" s="96" t="s">
        <v>1</v>
      </c>
      <c r="F2" s="96"/>
      <c r="G2" s="96" t="s">
        <v>2</v>
      </c>
      <c r="H2" s="96"/>
      <c r="I2" s="96" t="s">
        <v>3</v>
      </c>
      <c r="J2" s="96"/>
      <c r="K2" s="96" t="s">
        <v>4</v>
      </c>
      <c r="L2" s="97"/>
      <c r="M2" s="126"/>
      <c r="N2" s="134"/>
      <c r="O2" s="134"/>
      <c r="P2" s="134"/>
      <c r="Q2" s="127"/>
      <c r="R2" s="126" t="s">
        <v>26</v>
      </c>
      <c r="S2" s="127"/>
      <c r="U2" s="89" t="s">
        <v>5</v>
      </c>
      <c r="V2" s="90"/>
    </row>
    <row r="3" spans="1:22" x14ac:dyDescent="0.25">
      <c r="A3" s="91"/>
      <c r="B3" s="92"/>
      <c r="C3" s="98"/>
      <c r="D3" s="99"/>
      <c r="E3" s="65"/>
      <c r="F3" s="65"/>
      <c r="G3" s="65"/>
      <c r="H3" s="65"/>
      <c r="I3" s="65"/>
      <c r="J3" s="65"/>
      <c r="K3" s="65"/>
      <c r="L3" s="66"/>
      <c r="M3" s="91"/>
      <c r="N3" s="135"/>
      <c r="O3" s="135"/>
      <c r="P3" s="135"/>
      <c r="Q3" s="92"/>
      <c r="R3" s="91"/>
      <c r="S3" s="92"/>
      <c r="U3" s="15" t="s">
        <v>6</v>
      </c>
      <c r="V3" s="16">
        <v>0.125</v>
      </c>
    </row>
    <row r="4" spans="1:22" x14ac:dyDescent="0.25">
      <c r="A4" s="91"/>
      <c r="B4" s="92"/>
      <c r="C4" s="72"/>
      <c r="D4" s="70"/>
      <c r="E4" s="65"/>
      <c r="F4" s="65"/>
      <c r="G4" s="65"/>
      <c r="H4" s="65"/>
      <c r="I4" s="65"/>
      <c r="J4" s="65"/>
      <c r="K4" s="65"/>
      <c r="L4" s="66"/>
      <c r="M4" s="91"/>
      <c r="N4" s="135"/>
      <c r="O4" s="135"/>
      <c r="P4" s="135"/>
      <c r="Q4" s="92"/>
      <c r="R4" s="91"/>
      <c r="S4" s="92"/>
      <c r="U4" s="15" t="s">
        <v>7</v>
      </c>
      <c r="V4" s="16">
        <v>0.25</v>
      </c>
    </row>
    <row r="5" spans="1:22" x14ac:dyDescent="0.25">
      <c r="A5" s="91"/>
      <c r="B5" s="92"/>
      <c r="C5" s="72"/>
      <c r="D5" s="73"/>
      <c r="E5" s="65"/>
      <c r="F5" s="65"/>
      <c r="G5" s="65"/>
      <c r="H5" s="65"/>
      <c r="I5" s="65"/>
      <c r="J5" s="65"/>
      <c r="K5" s="65"/>
      <c r="L5" s="66"/>
      <c r="M5" s="91"/>
      <c r="N5" s="135"/>
      <c r="O5" s="135"/>
      <c r="P5" s="135"/>
      <c r="Q5" s="92"/>
      <c r="R5" s="91"/>
      <c r="S5" s="92"/>
      <c r="U5" s="15" t="s">
        <v>8</v>
      </c>
      <c r="V5" s="16">
        <v>0.375</v>
      </c>
    </row>
    <row r="6" spans="1:22" x14ac:dyDescent="0.25">
      <c r="A6" s="91"/>
      <c r="B6" s="92"/>
      <c r="C6" s="72"/>
      <c r="D6" s="73"/>
      <c r="E6" s="65"/>
      <c r="F6" s="65"/>
      <c r="G6" s="65"/>
      <c r="H6" s="65"/>
      <c r="I6" s="65"/>
      <c r="J6" s="65"/>
      <c r="K6" s="65"/>
      <c r="L6" s="66"/>
      <c r="M6" s="91"/>
      <c r="N6" s="135"/>
      <c r="O6" s="135"/>
      <c r="P6" s="135"/>
      <c r="Q6" s="92"/>
      <c r="R6" s="91"/>
      <c r="S6" s="92"/>
      <c r="U6" s="15" t="s">
        <v>9</v>
      </c>
      <c r="V6" s="16">
        <v>0.5</v>
      </c>
    </row>
    <row r="7" spans="1:22" x14ac:dyDescent="0.25">
      <c r="A7" s="91"/>
      <c r="B7" s="92"/>
      <c r="C7" s="72"/>
      <c r="D7" s="73"/>
      <c r="E7" s="65"/>
      <c r="F7" s="65"/>
      <c r="G7" s="65"/>
      <c r="H7" s="65"/>
      <c r="I7" s="65"/>
      <c r="J7" s="65"/>
      <c r="K7" s="65"/>
      <c r="L7" s="66"/>
      <c r="M7" s="91"/>
      <c r="N7" s="135"/>
      <c r="O7" s="135"/>
      <c r="P7" s="135"/>
      <c r="Q7" s="92"/>
      <c r="R7" s="91"/>
      <c r="S7" s="92"/>
      <c r="U7" s="15" t="s">
        <v>10</v>
      </c>
      <c r="V7" s="16">
        <v>0.625</v>
      </c>
    </row>
    <row r="8" spans="1:22" x14ac:dyDescent="0.25">
      <c r="A8" s="91"/>
      <c r="B8" s="92"/>
      <c r="C8" s="72"/>
      <c r="D8" s="73"/>
      <c r="E8" s="65"/>
      <c r="F8" s="65"/>
      <c r="G8" s="65"/>
      <c r="H8" s="65"/>
      <c r="I8" s="65"/>
      <c r="J8" s="65"/>
      <c r="K8" s="65"/>
      <c r="L8" s="66"/>
      <c r="M8" s="91"/>
      <c r="N8" s="135"/>
      <c r="O8" s="135"/>
      <c r="P8" s="135"/>
      <c r="Q8" s="92"/>
      <c r="R8" s="91"/>
      <c r="S8" s="92"/>
      <c r="U8" s="15" t="s">
        <v>11</v>
      </c>
      <c r="V8" s="16">
        <v>0.75</v>
      </c>
    </row>
    <row r="9" spans="1:22" x14ac:dyDescent="0.25">
      <c r="A9" s="91"/>
      <c r="B9" s="92"/>
      <c r="C9" s="72"/>
      <c r="D9" s="70"/>
      <c r="E9" s="65"/>
      <c r="F9" s="65"/>
      <c r="G9" s="65"/>
      <c r="H9" s="65"/>
      <c r="I9" s="65"/>
      <c r="J9" s="65"/>
      <c r="K9" s="65"/>
      <c r="L9" s="66"/>
      <c r="M9" s="91"/>
      <c r="N9" s="135"/>
      <c r="O9" s="135"/>
      <c r="P9" s="135"/>
      <c r="Q9" s="92"/>
      <c r="R9" s="91"/>
      <c r="S9" s="92"/>
      <c r="U9" s="15" t="s">
        <v>12</v>
      </c>
      <c r="V9" s="16">
        <v>0.875</v>
      </c>
    </row>
    <row r="10" spans="1:22" x14ac:dyDescent="0.25">
      <c r="A10" s="91"/>
      <c r="B10" s="92"/>
      <c r="C10" s="72"/>
      <c r="D10" s="70"/>
      <c r="E10" s="65"/>
      <c r="F10" s="65"/>
      <c r="G10" s="65"/>
      <c r="H10" s="65"/>
      <c r="I10" s="65"/>
      <c r="J10" s="65"/>
      <c r="K10" s="65"/>
      <c r="L10" s="66"/>
      <c r="M10" s="91"/>
      <c r="N10" s="135"/>
      <c r="O10" s="135"/>
      <c r="P10" s="135"/>
      <c r="Q10" s="92"/>
      <c r="R10" s="91"/>
      <c r="S10" s="92"/>
      <c r="U10" s="17" t="s">
        <v>13</v>
      </c>
      <c r="V10" s="18">
        <v>1</v>
      </c>
    </row>
    <row r="11" spans="1:22" x14ac:dyDescent="0.25">
      <c r="A11" s="91"/>
      <c r="B11" s="92"/>
      <c r="C11" s="72"/>
      <c r="D11" s="73"/>
      <c r="E11" s="65"/>
      <c r="F11" s="65"/>
      <c r="G11" s="65"/>
      <c r="H11" s="65"/>
      <c r="I11" s="65"/>
      <c r="J11" s="65"/>
      <c r="K11" s="65"/>
      <c r="L11" s="66"/>
      <c r="M11" s="91"/>
      <c r="N11" s="135"/>
      <c r="O11" s="135"/>
      <c r="P11" s="135"/>
      <c r="Q11" s="92"/>
      <c r="R11" s="91"/>
      <c r="S11" s="92"/>
    </row>
    <row r="12" spans="1:22" x14ac:dyDescent="0.25">
      <c r="A12" s="91"/>
      <c r="B12" s="92"/>
      <c r="C12" s="72"/>
      <c r="D12" s="70"/>
      <c r="E12" s="65"/>
      <c r="F12" s="65"/>
      <c r="G12" s="65"/>
      <c r="H12" s="65"/>
      <c r="I12" s="65"/>
      <c r="J12" s="65"/>
      <c r="K12" s="65"/>
      <c r="L12" s="66"/>
      <c r="M12" s="91"/>
      <c r="N12" s="135"/>
      <c r="O12" s="135"/>
      <c r="P12" s="135"/>
      <c r="Q12" s="92"/>
      <c r="R12" s="91"/>
      <c r="S12" s="92"/>
    </row>
    <row r="13" spans="1:22" ht="15" customHeight="1" x14ac:dyDescent="0.25">
      <c r="A13" s="91"/>
      <c r="B13" s="92"/>
      <c r="C13" s="81"/>
      <c r="D13" s="70"/>
      <c r="E13" s="70"/>
      <c r="F13" s="70"/>
      <c r="G13" s="70"/>
      <c r="H13" s="70"/>
      <c r="I13" s="70"/>
      <c r="J13" s="70"/>
      <c r="K13" s="70"/>
      <c r="L13" s="71"/>
      <c r="M13" s="91"/>
      <c r="N13" s="135"/>
      <c r="O13" s="135"/>
      <c r="P13" s="135"/>
      <c r="Q13" s="92"/>
      <c r="R13" s="91"/>
      <c r="S13" s="92"/>
    </row>
    <row r="14" spans="1:22" ht="15.75" thickBot="1" x14ac:dyDescent="0.3">
      <c r="A14" s="93"/>
      <c r="B14" s="94"/>
      <c r="C14" s="67"/>
      <c r="D14" s="68"/>
      <c r="E14" s="68"/>
      <c r="F14" s="68"/>
      <c r="G14" s="68"/>
      <c r="H14" s="68"/>
      <c r="I14" s="68"/>
      <c r="J14" s="68"/>
      <c r="K14" s="68"/>
      <c r="L14" s="69"/>
      <c r="M14" s="93"/>
      <c r="N14" s="136"/>
      <c r="O14" s="136"/>
      <c r="P14" s="136"/>
      <c r="Q14" s="94"/>
      <c r="R14" s="93"/>
      <c r="S14" s="94"/>
    </row>
    <row r="15" spans="1:22" ht="49.5" customHeight="1" thickTop="1" x14ac:dyDescent="0.25">
      <c r="A15" s="137" t="s">
        <v>48</v>
      </c>
      <c r="B15" s="138"/>
      <c r="C15" s="3" t="s">
        <v>14</v>
      </c>
      <c r="D15" s="4" t="s">
        <v>15</v>
      </c>
      <c r="E15" s="5" t="s">
        <v>14</v>
      </c>
      <c r="F15" s="4" t="s">
        <v>15</v>
      </c>
      <c r="G15" s="5" t="s">
        <v>14</v>
      </c>
      <c r="H15" s="4" t="s">
        <v>15</v>
      </c>
      <c r="I15" s="5" t="s">
        <v>14</v>
      </c>
      <c r="J15" s="4" t="s">
        <v>15</v>
      </c>
      <c r="K15" s="5" t="s">
        <v>14</v>
      </c>
      <c r="L15" s="6" t="s">
        <v>15</v>
      </c>
      <c r="M15" s="7" t="s">
        <v>17</v>
      </c>
      <c r="N15" s="5" t="s">
        <v>18</v>
      </c>
      <c r="O15" s="8" t="s">
        <v>19</v>
      </c>
      <c r="P15" s="8" t="s">
        <v>25</v>
      </c>
      <c r="Q15" s="119" t="s">
        <v>38</v>
      </c>
      <c r="R15" s="128" t="b">
        <f>AND(Q17&gt;=9,Q17&lt;=10)</f>
        <v>0</v>
      </c>
      <c r="S15" s="129"/>
    </row>
    <row r="16" spans="1:22" ht="49.5" customHeight="1" x14ac:dyDescent="0.25">
      <c r="A16" s="139"/>
      <c r="B16" s="140"/>
      <c r="C16" s="26"/>
      <c r="D16" s="27"/>
      <c r="E16" s="28"/>
      <c r="F16" s="27"/>
      <c r="G16" s="28"/>
      <c r="H16" s="27"/>
      <c r="I16" s="28"/>
      <c r="J16" s="27"/>
      <c r="K16" s="28"/>
      <c r="L16" s="29"/>
      <c r="M16" s="22">
        <f>SUM(C16,E16,G16,I16,K16)</f>
        <v>0</v>
      </c>
      <c r="N16" s="23">
        <f>SUM(D16,F16,H16,J16,L16)</f>
        <v>0</v>
      </c>
      <c r="O16" s="25" t="e">
        <f>N16/M16</f>
        <v>#DIV/0!</v>
      </c>
      <c r="P16" s="24" t="e">
        <f>+IF(O16&gt;=0.5,"Yes","No")</f>
        <v>#DIV/0!</v>
      </c>
      <c r="Q16" s="120"/>
      <c r="R16" s="130"/>
      <c r="S16" s="131"/>
    </row>
    <row r="17" spans="1:22" ht="30" customHeight="1" x14ac:dyDescent="0.25">
      <c r="A17" s="141" t="s">
        <v>29</v>
      </c>
      <c r="B17" s="142"/>
      <c r="C17" s="143" t="str">
        <f>IF(C16&gt;= 1,"Yes","No")</f>
        <v>No</v>
      </c>
      <c r="D17" s="144"/>
      <c r="E17" s="145" t="str">
        <f>IF(E16&gt;= 1,"Yes","No")</f>
        <v>No</v>
      </c>
      <c r="F17" s="144"/>
      <c r="G17" s="145" t="str">
        <f>IF(G16&gt;= 1,"Yes","No")</f>
        <v>No</v>
      </c>
      <c r="H17" s="144"/>
      <c r="I17" s="145" t="str">
        <f>IF(I16&gt;= 1,"Yes","No")</f>
        <v>No</v>
      </c>
      <c r="J17" s="144"/>
      <c r="K17" s="145" t="str">
        <f>IF(K16&gt;= 1,"Yes","No")</f>
        <v>No</v>
      </c>
      <c r="L17" s="146"/>
      <c r="M17" s="21"/>
      <c r="N17" s="110"/>
      <c r="O17" s="111"/>
      <c r="P17" s="112"/>
      <c r="Q17" s="121">
        <f>SUM(M16,M19)</f>
        <v>0</v>
      </c>
      <c r="R17" s="130"/>
      <c r="S17" s="131"/>
    </row>
    <row r="18" spans="1:22" ht="50.25" customHeight="1" x14ac:dyDescent="0.25">
      <c r="A18" s="74" t="s">
        <v>22</v>
      </c>
      <c r="B18" s="75"/>
      <c r="C18" s="78" t="s">
        <v>20</v>
      </c>
      <c r="D18" s="79"/>
      <c r="E18" s="79" t="s">
        <v>20</v>
      </c>
      <c r="F18" s="79"/>
      <c r="G18" s="79" t="s">
        <v>20</v>
      </c>
      <c r="H18" s="79"/>
      <c r="I18" s="79" t="s">
        <v>20</v>
      </c>
      <c r="J18" s="79"/>
      <c r="K18" s="79" t="s">
        <v>20</v>
      </c>
      <c r="L18" s="80"/>
      <c r="M18" s="9" t="s">
        <v>21</v>
      </c>
      <c r="N18" s="113"/>
      <c r="O18" s="114"/>
      <c r="P18" s="115"/>
      <c r="Q18" s="122"/>
      <c r="R18" s="130"/>
      <c r="S18" s="131"/>
    </row>
    <row r="19" spans="1:22" ht="30.75" customHeight="1" thickBot="1" x14ac:dyDescent="0.3">
      <c r="A19" s="76"/>
      <c r="B19" s="77"/>
      <c r="C19" s="34"/>
      <c r="D19" s="35"/>
      <c r="E19" s="35"/>
      <c r="F19" s="35"/>
      <c r="G19" s="35"/>
      <c r="H19" s="35"/>
      <c r="I19" s="35"/>
      <c r="J19" s="35"/>
      <c r="K19" s="35"/>
      <c r="L19" s="36"/>
      <c r="M19" s="32">
        <f>C19+E19+G19+I19+K19</f>
        <v>0</v>
      </c>
      <c r="N19" s="116"/>
      <c r="O19" s="117"/>
      <c r="P19" s="118"/>
      <c r="Q19" s="123"/>
      <c r="R19" s="132"/>
      <c r="S19" s="133"/>
    </row>
    <row r="20" spans="1:22" ht="50.25" customHeight="1" thickTop="1" x14ac:dyDescent="0.25">
      <c r="A20" s="83" t="s">
        <v>30</v>
      </c>
      <c r="B20" s="84"/>
      <c r="C20" s="61" t="s">
        <v>31</v>
      </c>
      <c r="D20" s="62"/>
      <c r="E20" s="61" t="s">
        <v>31</v>
      </c>
      <c r="F20" s="62"/>
      <c r="G20" s="61" t="s">
        <v>31</v>
      </c>
      <c r="H20" s="62"/>
      <c r="I20" s="61" t="s">
        <v>31</v>
      </c>
      <c r="J20" s="62"/>
      <c r="K20" s="61" t="s">
        <v>31</v>
      </c>
      <c r="L20" s="62"/>
      <c r="M20" s="10" t="s">
        <v>32</v>
      </c>
      <c r="N20" s="11"/>
      <c r="O20" s="11"/>
      <c r="P20" s="11"/>
      <c r="Q20" s="11"/>
      <c r="R20" s="43" t="str">
        <f>IF(M21 &gt;= 2.5,"Yes","No")</f>
        <v>No</v>
      </c>
      <c r="S20" s="44"/>
    </row>
    <row r="21" spans="1:22" ht="50.25" customHeight="1" x14ac:dyDescent="0.25">
      <c r="A21" s="85"/>
      <c r="B21" s="86"/>
      <c r="C21" s="64"/>
      <c r="D21" s="42"/>
      <c r="E21" s="41"/>
      <c r="F21" s="42"/>
      <c r="G21" s="41"/>
      <c r="H21" s="42"/>
      <c r="I21" s="41"/>
      <c r="J21" s="42"/>
      <c r="K21" s="41"/>
      <c r="L21" s="82"/>
      <c r="M21" s="147">
        <f>SUM(C21,E21,G21,I21,K21)</f>
        <v>0</v>
      </c>
      <c r="N21" s="19"/>
      <c r="O21" s="19"/>
      <c r="P21" s="19"/>
      <c r="Q21" s="19"/>
      <c r="R21" s="45"/>
      <c r="S21" s="46"/>
    </row>
    <row r="22" spans="1:22" ht="30.75" customHeight="1" thickBot="1" x14ac:dyDescent="0.3">
      <c r="A22" s="87" t="s">
        <v>29</v>
      </c>
      <c r="B22" s="88"/>
      <c r="C22" s="56" t="str">
        <f>IF(C21&gt;= 0.5,"Yes","No")</f>
        <v>No</v>
      </c>
      <c r="D22" s="57"/>
      <c r="E22" s="57" t="str">
        <f>IF(E21&gt;= 0.5,"Yes","No")</f>
        <v>No</v>
      </c>
      <c r="F22" s="57"/>
      <c r="G22" s="57" t="str">
        <f>IF(G21&gt;= 0.5,"Yes","No")</f>
        <v>No</v>
      </c>
      <c r="H22" s="57"/>
      <c r="I22" s="57" t="str">
        <f>IF(I21&gt;= 0.5,"Yes","No")</f>
        <v>No</v>
      </c>
      <c r="J22" s="57"/>
      <c r="K22" s="57" t="str">
        <f>IF(K21&gt;= 0.5,"Yes","No")</f>
        <v>No</v>
      </c>
      <c r="L22" s="58"/>
      <c r="M22" s="148"/>
      <c r="N22" s="1"/>
      <c r="O22" s="1"/>
      <c r="P22" s="1"/>
      <c r="Q22" s="1"/>
      <c r="R22" s="47"/>
      <c r="S22" s="48"/>
    </row>
    <row r="23" spans="1:22" ht="50.25" customHeight="1" thickTop="1" x14ac:dyDescent="0.25">
      <c r="A23" s="104" t="s">
        <v>27</v>
      </c>
      <c r="B23" s="105"/>
      <c r="C23" s="59" t="s">
        <v>23</v>
      </c>
      <c r="D23" s="60"/>
      <c r="E23" s="60" t="s">
        <v>23</v>
      </c>
      <c r="F23" s="60"/>
      <c r="G23" s="60" t="s">
        <v>23</v>
      </c>
      <c r="H23" s="60"/>
      <c r="I23" s="60" t="s">
        <v>23</v>
      </c>
      <c r="J23" s="60"/>
      <c r="K23" s="60" t="s">
        <v>23</v>
      </c>
      <c r="L23" s="63"/>
      <c r="M23" s="12" t="s">
        <v>24</v>
      </c>
      <c r="N23" s="13"/>
      <c r="O23" s="13"/>
      <c r="P23" s="13"/>
      <c r="Q23" s="13"/>
      <c r="R23" s="49" t="str">
        <f>IF(M24 &gt;= 5,"Yes","No")</f>
        <v>No</v>
      </c>
      <c r="S23" s="50"/>
    </row>
    <row r="24" spans="1:22" ht="50.25" customHeight="1" x14ac:dyDescent="0.25">
      <c r="A24" s="106"/>
      <c r="B24" s="107"/>
      <c r="C24" s="37"/>
      <c r="D24" s="38"/>
      <c r="E24" s="39"/>
      <c r="F24" s="38"/>
      <c r="G24" s="39"/>
      <c r="H24" s="38"/>
      <c r="I24" s="39"/>
      <c r="J24" s="38"/>
      <c r="K24" s="39"/>
      <c r="L24" s="40"/>
      <c r="M24" s="124">
        <f>SUM(C24,E24,G24,I24,K24)</f>
        <v>0</v>
      </c>
      <c r="N24" s="20"/>
      <c r="O24" s="20"/>
      <c r="P24" s="20"/>
      <c r="Q24" s="20"/>
      <c r="R24" s="49"/>
      <c r="S24" s="50"/>
    </row>
    <row r="25" spans="1:22" ht="30.75" customHeight="1" thickBot="1" x14ac:dyDescent="0.3">
      <c r="A25" s="108" t="s">
        <v>29</v>
      </c>
      <c r="B25" s="109"/>
      <c r="C25" s="53" t="str">
        <f>IF(C24&gt;= 1,"Yes","No")</f>
        <v>No</v>
      </c>
      <c r="D25" s="54"/>
      <c r="E25" s="54" t="str">
        <f>IF(E24&gt;= 1,"Yes","No")</f>
        <v>No</v>
      </c>
      <c r="F25" s="54"/>
      <c r="G25" s="54" t="str">
        <f>IF(G24&gt;= 1,"Yes","No")</f>
        <v>No</v>
      </c>
      <c r="H25" s="54"/>
      <c r="I25" s="54" t="str">
        <f>IF(I24&gt;= 1,"Yes","No")</f>
        <v>No</v>
      </c>
      <c r="J25" s="54"/>
      <c r="K25" s="54" t="str">
        <f>IF(K24&gt;= 1,"Yes","No")</f>
        <v>No</v>
      </c>
      <c r="L25" s="55"/>
      <c r="M25" s="125"/>
      <c r="N25" s="2"/>
      <c r="O25" s="2"/>
      <c r="P25" s="2"/>
      <c r="Q25" s="2"/>
      <c r="R25" s="51"/>
      <c r="S25" s="52"/>
    </row>
    <row r="26" spans="1:22" ht="15.75" thickTop="1" x14ac:dyDescent="0.25"/>
    <row r="27" spans="1:22" ht="47.25" customHeight="1" x14ac:dyDescent="0.25"/>
    <row r="28" spans="1:22" ht="31.5" customHeight="1" x14ac:dyDescent="0.25"/>
    <row r="29" spans="1:22" x14ac:dyDescent="0.25">
      <c r="V29" s="14" t="s">
        <v>16</v>
      </c>
    </row>
  </sheetData>
  <sheetProtection sheet="1" objects="1" scenarios="1" selectLockedCells="1"/>
  <mergeCells count="132">
    <mergeCell ref="U2:V2"/>
    <mergeCell ref="C3:D3"/>
    <mergeCell ref="E3:F3"/>
    <mergeCell ref="G3:H3"/>
    <mergeCell ref="I3:J3"/>
    <mergeCell ref="K3:L3"/>
    <mergeCell ref="A2:B14"/>
    <mergeCell ref="C2:D2"/>
    <mergeCell ref="E2:F2"/>
    <mergeCell ref="G2:H2"/>
    <mergeCell ref="I2:J2"/>
    <mergeCell ref="K2:L2"/>
    <mergeCell ref="M2:Q14"/>
    <mergeCell ref="R2:S14"/>
    <mergeCell ref="C4:D4"/>
    <mergeCell ref="C6:D6"/>
    <mergeCell ref="E6:F6"/>
    <mergeCell ref="G6:H6"/>
    <mergeCell ref="I6:J6"/>
    <mergeCell ref="K6:L6"/>
    <mergeCell ref="C7:D7"/>
    <mergeCell ref="E7:F7"/>
    <mergeCell ref="G7:H7"/>
    <mergeCell ref="I7:J7"/>
    <mergeCell ref="A1:C1"/>
    <mergeCell ref="D1:E1"/>
    <mergeCell ref="F1:S1"/>
    <mergeCell ref="E4:F4"/>
    <mergeCell ref="G4:H4"/>
    <mergeCell ref="I4:J4"/>
    <mergeCell ref="K4:L4"/>
    <mergeCell ref="C5:D5"/>
    <mergeCell ref="E5:F5"/>
    <mergeCell ref="G5:H5"/>
    <mergeCell ref="I5:J5"/>
    <mergeCell ref="K5:L5"/>
    <mergeCell ref="K7:L7"/>
    <mergeCell ref="C8:D8"/>
    <mergeCell ref="E8:F8"/>
    <mergeCell ref="G8:H8"/>
    <mergeCell ref="I8:J8"/>
    <mergeCell ref="K8:L8"/>
    <mergeCell ref="C9:D9"/>
    <mergeCell ref="E9:F9"/>
    <mergeCell ref="G9:H9"/>
    <mergeCell ref="I9:J9"/>
    <mergeCell ref="K9:L9"/>
    <mergeCell ref="C10:D10"/>
    <mergeCell ref="E10:F10"/>
    <mergeCell ref="G10:H10"/>
    <mergeCell ref="I10:J10"/>
    <mergeCell ref="K10:L10"/>
    <mergeCell ref="C11:D11"/>
    <mergeCell ref="E11:F11"/>
    <mergeCell ref="G11:H11"/>
    <mergeCell ref="I11:J11"/>
    <mergeCell ref="K11:L11"/>
    <mergeCell ref="C14:D14"/>
    <mergeCell ref="E14:F14"/>
    <mergeCell ref="G14:H14"/>
    <mergeCell ref="I14:J14"/>
    <mergeCell ref="K14:L14"/>
    <mergeCell ref="A15:B16"/>
    <mergeCell ref="C12:D12"/>
    <mergeCell ref="E12:F12"/>
    <mergeCell ref="G12:H12"/>
    <mergeCell ref="I12:J12"/>
    <mergeCell ref="K12:L12"/>
    <mergeCell ref="C13:D13"/>
    <mergeCell ref="E13:F13"/>
    <mergeCell ref="G13:H13"/>
    <mergeCell ref="I13:J13"/>
    <mergeCell ref="K13:L13"/>
    <mergeCell ref="Q15:Q16"/>
    <mergeCell ref="R15:S19"/>
    <mergeCell ref="A17:B17"/>
    <mergeCell ref="C17:D17"/>
    <mergeCell ref="E17:F17"/>
    <mergeCell ref="G17:H17"/>
    <mergeCell ref="I17:J17"/>
    <mergeCell ref="K17:L17"/>
    <mergeCell ref="N17:P19"/>
    <mergeCell ref="Q17:Q19"/>
    <mergeCell ref="K19:L19"/>
    <mergeCell ref="A18:B19"/>
    <mergeCell ref="C18:D18"/>
    <mergeCell ref="E18:F18"/>
    <mergeCell ref="G18:H18"/>
    <mergeCell ref="I18:J18"/>
    <mergeCell ref="K18:L18"/>
    <mergeCell ref="C19:D19"/>
    <mergeCell ref="E19:F19"/>
    <mergeCell ref="G19:H19"/>
    <mergeCell ref="I19:J19"/>
    <mergeCell ref="A22:B22"/>
    <mergeCell ref="C22:D22"/>
    <mergeCell ref="E22:F22"/>
    <mergeCell ref="G22:H22"/>
    <mergeCell ref="I22:J22"/>
    <mergeCell ref="K22:L22"/>
    <mergeCell ref="R20:S22"/>
    <mergeCell ref="C21:D21"/>
    <mergeCell ref="E21:F21"/>
    <mergeCell ref="G21:H21"/>
    <mergeCell ref="I21:J21"/>
    <mergeCell ref="K21:L21"/>
    <mergeCell ref="M21:M22"/>
    <mergeCell ref="A20:B21"/>
    <mergeCell ref="C20:D20"/>
    <mergeCell ref="E20:F20"/>
    <mergeCell ref="G20:H20"/>
    <mergeCell ref="I20:J20"/>
    <mergeCell ref="K20:L20"/>
    <mergeCell ref="A25:B25"/>
    <mergeCell ref="C25:D25"/>
    <mergeCell ref="E25:F25"/>
    <mergeCell ref="G25:H25"/>
    <mergeCell ref="I25:J25"/>
    <mergeCell ref="K25:L25"/>
    <mergeCell ref="R23:S25"/>
    <mergeCell ref="C24:D24"/>
    <mergeCell ref="E24:F24"/>
    <mergeCell ref="G24:H24"/>
    <mergeCell ref="I24:J24"/>
    <mergeCell ref="K24:L24"/>
    <mergeCell ref="M24:M25"/>
    <mergeCell ref="A23:B24"/>
    <mergeCell ref="C23:D23"/>
    <mergeCell ref="E23:F23"/>
    <mergeCell ref="G23:H23"/>
    <mergeCell ref="I23:J23"/>
    <mergeCell ref="K23:L23"/>
  </mergeCells>
  <conditionalFormatting sqref="C17:L17 C22:L22 C25:L25">
    <cfRule type="containsText" dxfId="21" priority="5" operator="containsText" text="Yes">
      <formula>NOT(ISERROR(SEARCH("Yes",C17)))</formula>
    </cfRule>
    <cfRule type="containsText" dxfId="20" priority="6" operator="containsText" text="No">
      <formula>NOT(ISERROR(SEARCH("No",C17)))</formula>
    </cfRule>
  </conditionalFormatting>
  <conditionalFormatting sqref="P16 R20:S25">
    <cfRule type="containsText" dxfId="19" priority="4" operator="containsText" text="No">
      <formula>NOT(ISERROR(SEARCH("No",P16)))</formula>
    </cfRule>
  </conditionalFormatting>
  <conditionalFormatting sqref="P16 R20:S25">
    <cfRule type="containsText" dxfId="18" priority="3" operator="containsText" text="Yes">
      <formula>NOT(ISERROR(SEARCH("Yes",P16)))</formula>
    </cfRule>
  </conditionalFormatting>
  <conditionalFormatting sqref="R15:S19">
    <cfRule type="containsText" dxfId="17" priority="1" operator="containsText" text="True">
      <formula>NOT(ISERROR(SEARCH("True",R15)))</formula>
    </cfRule>
    <cfRule type="containsText" dxfId="16" priority="2" operator="containsText" text="False">
      <formula>NOT(ISERROR(SEARCH("False",R15)))</formula>
    </cfRule>
  </conditionalFormatting>
  <pageMargins left="0.7" right="0.7" top="0.75" bottom="0.75" header="0.3" footer="0.3"/>
  <pageSetup scale="59"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9"/>
  <sheetViews>
    <sheetView zoomScale="70" zoomScaleNormal="70" workbookViewId="0">
      <selection activeCell="I21" sqref="I21:J21"/>
    </sheetView>
  </sheetViews>
  <sheetFormatPr defaultRowHeight="15" x14ac:dyDescent="0.25"/>
  <cols>
    <col min="1" max="1" width="9.140625" style="14"/>
    <col min="2" max="2" width="12.7109375" style="14" customWidth="1"/>
    <col min="3" max="3" width="9.140625" style="14"/>
    <col min="4" max="4" width="9" style="14" customWidth="1"/>
    <col min="5" max="10" width="9.140625" style="14"/>
    <col min="11" max="18" width="8.7109375" style="14" customWidth="1"/>
    <col min="19" max="20" width="11.7109375" style="14" customWidth="1"/>
    <col min="21" max="16384" width="9.140625" style="14"/>
  </cols>
  <sheetData>
    <row r="1" spans="1:20" ht="16.5" thickTop="1" thickBot="1" x14ac:dyDescent="0.3">
      <c r="A1" s="149" t="s">
        <v>34</v>
      </c>
      <c r="B1" s="150"/>
      <c r="C1" s="150"/>
      <c r="D1" s="150" t="s">
        <v>33</v>
      </c>
      <c r="E1" s="150"/>
      <c r="F1" s="102"/>
      <c r="G1" s="102"/>
      <c r="H1" s="102"/>
      <c r="I1" s="102"/>
      <c r="J1" s="102"/>
      <c r="K1" s="102"/>
      <c r="L1" s="102"/>
      <c r="M1" s="102"/>
      <c r="N1" s="102"/>
      <c r="O1" s="102"/>
      <c r="P1" s="102"/>
      <c r="Q1" s="103"/>
    </row>
    <row r="2" spans="1:20" ht="15.75" thickTop="1" x14ac:dyDescent="0.25">
      <c r="A2" s="91"/>
      <c r="B2" s="92"/>
      <c r="C2" s="95" t="s">
        <v>0</v>
      </c>
      <c r="D2" s="96"/>
      <c r="E2" s="96" t="s">
        <v>1</v>
      </c>
      <c r="F2" s="96"/>
      <c r="G2" s="96" t="s">
        <v>2</v>
      </c>
      <c r="H2" s="96"/>
      <c r="I2" s="96" t="s">
        <v>3</v>
      </c>
      <c r="J2" s="96"/>
      <c r="K2" s="126"/>
      <c r="L2" s="134"/>
      <c r="M2" s="134"/>
      <c r="N2" s="134"/>
      <c r="O2" s="127"/>
      <c r="P2" s="126" t="s">
        <v>26</v>
      </c>
      <c r="Q2" s="127"/>
      <c r="S2" s="89" t="s">
        <v>5</v>
      </c>
      <c r="T2" s="90"/>
    </row>
    <row r="3" spans="1:20" x14ac:dyDescent="0.25">
      <c r="A3" s="91"/>
      <c r="B3" s="92"/>
      <c r="C3" s="98"/>
      <c r="D3" s="99"/>
      <c r="E3" s="65"/>
      <c r="F3" s="65"/>
      <c r="G3" s="65"/>
      <c r="H3" s="65"/>
      <c r="I3" s="65"/>
      <c r="J3" s="65"/>
      <c r="K3" s="91"/>
      <c r="L3" s="135"/>
      <c r="M3" s="135"/>
      <c r="N3" s="135"/>
      <c r="O3" s="92"/>
      <c r="P3" s="91"/>
      <c r="Q3" s="92"/>
      <c r="S3" s="15" t="s">
        <v>6</v>
      </c>
      <c r="T3" s="16">
        <v>0.125</v>
      </c>
    </row>
    <row r="4" spans="1:20" x14ac:dyDescent="0.25">
      <c r="A4" s="91"/>
      <c r="B4" s="92"/>
      <c r="C4" s="72"/>
      <c r="D4" s="70"/>
      <c r="E4" s="65"/>
      <c r="F4" s="65"/>
      <c r="G4" s="65"/>
      <c r="H4" s="65"/>
      <c r="I4" s="65"/>
      <c r="J4" s="65"/>
      <c r="K4" s="91"/>
      <c r="L4" s="135"/>
      <c r="M4" s="135"/>
      <c r="N4" s="135"/>
      <c r="O4" s="92"/>
      <c r="P4" s="91"/>
      <c r="Q4" s="92"/>
      <c r="S4" s="15" t="s">
        <v>7</v>
      </c>
      <c r="T4" s="16">
        <v>0.25</v>
      </c>
    </row>
    <row r="5" spans="1:20" x14ac:dyDescent="0.25">
      <c r="A5" s="91"/>
      <c r="B5" s="92"/>
      <c r="C5" s="72"/>
      <c r="D5" s="73"/>
      <c r="E5" s="65"/>
      <c r="F5" s="65"/>
      <c r="G5" s="65"/>
      <c r="H5" s="65"/>
      <c r="I5" s="65"/>
      <c r="J5" s="65"/>
      <c r="K5" s="91"/>
      <c r="L5" s="135"/>
      <c r="M5" s="135"/>
      <c r="N5" s="135"/>
      <c r="O5" s="92"/>
      <c r="P5" s="91"/>
      <c r="Q5" s="92"/>
      <c r="S5" s="15" t="s">
        <v>8</v>
      </c>
      <c r="T5" s="16">
        <v>0.375</v>
      </c>
    </row>
    <row r="6" spans="1:20" x14ac:dyDescent="0.25">
      <c r="A6" s="91"/>
      <c r="B6" s="92"/>
      <c r="C6" s="72"/>
      <c r="D6" s="73"/>
      <c r="E6" s="65"/>
      <c r="F6" s="65"/>
      <c r="G6" s="65"/>
      <c r="H6" s="65"/>
      <c r="I6" s="65"/>
      <c r="J6" s="65"/>
      <c r="K6" s="91"/>
      <c r="L6" s="135"/>
      <c r="M6" s="135"/>
      <c r="N6" s="135"/>
      <c r="O6" s="92"/>
      <c r="P6" s="91"/>
      <c r="Q6" s="92"/>
      <c r="S6" s="15" t="s">
        <v>9</v>
      </c>
      <c r="T6" s="16">
        <v>0.5</v>
      </c>
    </row>
    <row r="7" spans="1:20" x14ac:dyDescent="0.25">
      <c r="A7" s="91"/>
      <c r="B7" s="92"/>
      <c r="C7" s="72"/>
      <c r="D7" s="73"/>
      <c r="E7" s="65"/>
      <c r="F7" s="65"/>
      <c r="G7" s="65"/>
      <c r="H7" s="65"/>
      <c r="I7" s="65"/>
      <c r="J7" s="65"/>
      <c r="K7" s="91"/>
      <c r="L7" s="135"/>
      <c r="M7" s="135"/>
      <c r="N7" s="135"/>
      <c r="O7" s="92"/>
      <c r="P7" s="91"/>
      <c r="Q7" s="92"/>
      <c r="S7" s="15" t="s">
        <v>10</v>
      </c>
      <c r="T7" s="16">
        <v>0.625</v>
      </c>
    </row>
    <row r="8" spans="1:20" x14ac:dyDescent="0.25">
      <c r="A8" s="91"/>
      <c r="B8" s="92"/>
      <c r="C8" s="72"/>
      <c r="D8" s="73"/>
      <c r="E8" s="65"/>
      <c r="F8" s="65"/>
      <c r="G8" s="65"/>
      <c r="H8" s="65"/>
      <c r="I8" s="65"/>
      <c r="J8" s="65"/>
      <c r="K8" s="91"/>
      <c r="L8" s="135"/>
      <c r="M8" s="135"/>
      <c r="N8" s="135"/>
      <c r="O8" s="92"/>
      <c r="P8" s="91"/>
      <c r="Q8" s="92"/>
      <c r="S8" s="15" t="s">
        <v>11</v>
      </c>
      <c r="T8" s="16">
        <v>0.75</v>
      </c>
    </row>
    <row r="9" spans="1:20" x14ac:dyDescent="0.25">
      <c r="A9" s="91"/>
      <c r="B9" s="92"/>
      <c r="C9" s="72"/>
      <c r="D9" s="70"/>
      <c r="E9" s="65"/>
      <c r="F9" s="65"/>
      <c r="G9" s="65"/>
      <c r="H9" s="65"/>
      <c r="I9" s="65"/>
      <c r="J9" s="65"/>
      <c r="K9" s="91"/>
      <c r="L9" s="135"/>
      <c r="M9" s="135"/>
      <c r="N9" s="135"/>
      <c r="O9" s="92"/>
      <c r="P9" s="91"/>
      <c r="Q9" s="92"/>
      <c r="S9" s="15" t="s">
        <v>12</v>
      </c>
      <c r="T9" s="16">
        <v>0.875</v>
      </c>
    </row>
    <row r="10" spans="1:20" x14ac:dyDescent="0.25">
      <c r="A10" s="91"/>
      <c r="B10" s="92"/>
      <c r="C10" s="72"/>
      <c r="D10" s="70"/>
      <c r="E10" s="65"/>
      <c r="F10" s="65"/>
      <c r="G10" s="65"/>
      <c r="H10" s="65"/>
      <c r="I10" s="65"/>
      <c r="J10" s="65"/>
      <c r="K10" s="91"/>
      <c r="L10" s="135"/>
      <c r="M10" s="135"/>
      <c r="N10" s="135"/>
      <c r="O10" s="92"/>
      <c r="P10" s="91"/>
      <c r="Q10" s="92"/>
      <c r="S10" s="17" t="s">
        <v>13</v>
      </c>
      <c r="T10" s="18">
        <v>1</v>
      </c>
    </row>
    <row r="11" spans="1:20" x14ac:dyDescent="0.25">
      <c r="A11" s="91"/>
      <c r="B11" s="92"/>
      <c r="C11" s="72"/>
      <c r="D11" s="73"/>
      <c r="E11" s="65"/>
      <c r="F11" s="65"/>
      <c r="G11" s="65"/>
      <c r="H11" s="65"/>
      <c r="I11" s="65"/>
      <c r="J11" s="65"/>
      <c r="K11" s="91"/>
      <c r="L11" s="135"/>
      <c r="M11" s="135"/>
      <c r="N11" s="135"/>
      <c r="O11" s="92"/>
      <c r="P11" s="91"/>
      <c r="Q11" s="92"/>
    </row>
    <row r="12" spans="1:20" x14ac:dyDescent="0.25">
      <c r="A12" s="91"/>
      <c r="B12" s="92"/>
      <c r="C12" s="72"/>
      <c r="D12" s="70"/>
      <c r="E12" s="65"/>
      <c r="F12" s="65"/>
      <c r="G12" s="65"/>
      <c r="H12" s="65"/>
      <c r="I12" s="65"/>
      <c r="J12" s="65"/>
      <c r="K12" s="91"/>
      <c r="L12" s="135"/>
      <c r="M12" s="135"/>
      <c r="N12" s="135"/>
      <c r="O12" s="92"/>
      <c r="P12" s="91"/>
      <c r="Q12" s="92"/>
    </row>
    <row r="13" spans="1:20" ht="15" customHeight="1" x14ac:dyDescent="0.25">
      <c r="A13" s="91"/>
      <c r="B13" s="92"/>
      <c r="C13" s="81"/>
      <c r="D13" s="70"/>
      <c r="E13" s="70"/>
      <c r="F13" s="70"/>
      <c r="G13" s="70"/>
      <c r="H13" s="70"/>
      <c r="I13" s="70"/>
      <c r="J13" s="70"/>
      <c r="K13" s="91"/>
      <c r="L13" s="135"/>
      <c r="M13" s="135"/>
      <c r="N13" s="135"/>
      <c r="O13" s="92"/>
      <c r="P13" s="91"/>
      <c r="Q13" s="92"/>
    </row>
    <row r="14" spans="1:20" ht="15.75" thickBot="1" x14ac:dyDescent="0.3">
      <c r="A14" s="93"/>
      <c r="B14" s="94"/>
      <c r="C14" s="67"/>
      <c r="D14" s="68"/>
      <c r="E14" s="68"/>
      <c r="F14" s="68"/>
      <c r="G14" s="68"/>
      <c r="H14" s="68"/>
      <c r="I14" s="68"/>
      <c r="J14" s="68"/>
      <c r="K14" s="93"/>
      <c r="L14" s="136"/>
      <c r="M14" s="136"/>
      <c r="N14" s="136"/>
      <c r="O14" s="94"/>
      <c r="P14" s="93"/>
      <c r="Q14" s="94"/>
    </row>
    <row r="15" spans="1:20" ht="49.5" customHeight="1" thickTop="1" x14ac:dyDescent="0.25">
      <c r="A15" s="137" t="s">
        <v>41</v>
      </c>
      <c r="B15" s="138"/>
      <c r="C15" s="3" t="s">
        <v>14</v>
      </c>
      <c r="D15" s="4" t="s">
        <v>15</v>
      </c>
      <c r="E15" s="5" t="s">
        <v>14</v>
      </c>
      <c r="F15" s="4" t="s">
        <v>15</v>
      </c>
      <c r="G15" s="5" t="s">
        <v>14</v>
      </c>
      <c r="H15" s="4" t="s">
        <v>15</v>
      </c>
      <c r="I15" s="5" t="s">
        <v>14</v>
      </c>
      <c r="J15" s="4" t="s">
        <v>15</v>
      </c>
      <c r="K15" s="7" t="s">
        <v>17</v>
      </c>
      <c r="L15" s="5" t="s">
        <v>18</v>
      </c>
      <c r="M15" s="8" t="s">
        <v>19</v>
      </c>
      <c r="N15" s="8" t="s">
        <v>25</v>
      </c>
      <c r="O15" s="119" t="s">
        <v>38</v>
      </c>
      <c r="P15" s="128" t="b">
        <f>AND(O17&gt;=5.5,O17&lt;=8)</f>
        <v>0</v>
      </c>
      <c r="Q15" s="129"/>
    </row>
    <row r="16" spans="1:20" ht="49.5" customHeight="1" x14ac:dyDescent="0.25">
      <c r="A16" s="139"/>
      <c r="B16" s="140"/>
      <c r="C16" s="26"/>
      <c r="D16" s="27"/>
      <c r="E16" s="28"/>
      <c r="F16" s="27"/>
      <c r="G16" s="28"/>
      <c r="H16" s="27"/>
      <c r="I16" s="28"/>
      <c r="J16" s="27"/>
      <c r="K16" s="30">
        <f>SUM(C16,E16,G16,I16)</f>
        <v>0</v>
      </c>
      <c r="L16" s="31">
        <f>SUM(D16,F16,H16,J16)</f>
        <v>0</v>
      </c>
      <c r="M16" s="25" t="e">
        <f>L16/K16</f>
        <v>#DIV/0!</v>
      </c>
      <c r="N16" s="24" t="e">
        <f>+IF(M16&gt;=0.5,"Yes","No")</f>
        <v>#DIV/0!</v>
      </c>
      <c r="O16" s="120"/>
      <c r="P16" s="130"/>
      <c r="Q16" s="131"/>
    </row>
    <row r="17" spans="1:20" ht="30" customHeight="1" x14ac:dyDescent="0.25">
      <c r="A17" s="141" t="s">
        <v>29</v>
      </c>
      <c r="B17" s="142"/>
      <c r="C17" s="143" t="str">
        <f>IF(C16&gt;= 1,"Yes","No")</f>
        <v>No</v>
      </c>
      <c r="D17" s="144"/>
      <c r="E17" s="145" t="str">
        <f>IF(E16&gt;= 1,"Yes","No")</f>
        <v>No</v>
      </c>
      <c r="F17" s="144"/>
      <c r="G17" s="145" t="str">
        <f>IF(G16&gt;= 1,"Yes","No")</f>
        <v>No</v>
      </c>
      <c r="H17" s="144"/>
      <c r="I17" s="145" t="str">
        <f>IF(I16&gt;= 1,"Yes","No")</f>
        <v>No</v>
      </c>
      <c r="J17" s="144"/>
      <c r="K17" s="21"/>
      <c r="L17" s="110"/>
      <c r="M17" s="111"/>
      <c r="N17" s="112"/>
      <c r="O17" s="121">
        <f>SUM(K16,K19)</f>
        <v>0</v>
      </c>
      <c r="P17" s="130"/>
      <c r="Q17" s="131"/>
    </row>
    <row r="18" spans="1:20" ht="50.25" customHeight="1" x14ac:dyDescent="0.25">
      <c r="A18" s="74" t="s">
        <v>22</v>
      </c>
      <c r="B18" s="75"/>
      <c r="C18" s="78" t="s">
        <v>20</v>
      </c>
      <c r="D18" s="79"/>
      <c r="E18" s="79" t="s">
        <v>20</v>
      </c>
      <c r="F18" s="79"/>
      <c r="G18" s="79" t="s">
        <v>20</v>
      </c>
      <c r="H18" s="79"/>
      <c r="I18" s="79" t="s">
        <v>20</v>
      </c>
      <c r="J18" s="79"/>
      <c r="K18" s="9" t="s">
        <v>21</v>
      </c>
      <c r="L18" s="113"/>
      <c r="M18" s="114"/>
      <c r="N18" s="115"/>
      <c r="O18" s="122"/>
      <c r="P18" s="130"/>
      <c r="Q18" s="131"/>
    </row>
    <row r="19" spans="1:20" ht="30.75" customHeight="1" thickBot="1" x14ac:dyDescent="0.3">
      <c r="A19" s="76"/>
      <c r="B19" s="77"/>
      <c r="C19" s="34"/>
      <c r="D19" s="35"/>
      <c r="E19" s="35"/>
      <c r="F19" s="35"/>
      <c r="G19" s="35"/>
      <c r="H19" s="35"/>
      <c r="I19" s="35"/>
      <c r="J19" s="35"/>
      <c r="K19" s="32">
        <f>C19+E19+G19+I19</f>
        <v>0</v>
      </c>
      <c r="L19" s="116"/>
      <c r="M19" s="117"/>
      <c r="N19" s="118"/>
      <c r="O19" s="123"/>
      <c r="P19" s="132"/>
      <c r="Q19" s="133"/>
    </row>
    <row r="20" spans="1:20" ht="50.25" customHeight="1" thickTop="1" x14ac:dyDescent="0.25">
      <c r="A20" s="83" t="s">
        <v>42</v>
      </c>
      <c r="B20" s="84"/>
      <c r="C20" s="61" t="s">
        <v>31</v>
      </c>
      <c r="D20" s="62"/>
      <c r="E20" s="61" t="s">
        <v>31</v>
      </c>
      <c r="F20" s="62"/>
      <c r="G20" s="61" t="s">
        <v>31</v>
      </c>
      <c r="H20" s="62"/>
      <c r="I20" s="61" t="s">
        <v>31</v>
      </c>
      <c r="J20" s="62"/>
      <c r="K20" s="10" t="s">
        <v>32</v>
      </c>
      <c r="L20" s="11"/>
      <c r="M20" s="11"/>
      <c r="N20" s="11"/>
      <c r="O20" s="11"/>
      <c r="P20" s="43" t="str">
        <f>IF(K21 &gt;= 2,"Yes","No")</f>
        <v>No</v>
      </c>
      <c r="Q20" s="44"/>
    </row>
    <row r="21" spans="1:20" ht="50.25" customHeight="1" x14ac:dyDescent="0.25">
      <c r="A21" s="85"/>
      <c r="B21" s="86"/>
      <c r="C21" s="64"/>
      <c r="D21" s="42"/>
      <c r="E21" s="41"/>
      <c r="F21" s="42"/>
      <c r="G21" s="41"/>
      <c r="H21" s="42"/>
      <c r="I21" s="41"/>
      <c r="J21" s="42"/>
      <c r="K21" s="147">
        <f>SUM(C21,E21,G21,I21)</f>
        <v>0</v>
      </c>
      <c r="L21" s="19"/>
      <c r="M21" s="19"/>
      <c r="N21" s="19"/>
      <c r="O21" s="19"/>
      <c r="P21" s="45"/>
      <c r="Q21" s="46"/>
    </row>
    <row r="22" spans="1:20" ht="30.75" customHeight="1" thickBot="1" x14ac:dyDescent="0.3">
      <c r="A22" s="87" t="s">
        <v>29</v>
      </c>
      <c r="B22" s="88"/>
      <c r="C22" s="56" t="str">
        <f>IF(C21&gt;= 0.5,"Yes","No")</f>
        <v>No</v>
      </c>
      <c r="D22" s="57"/>
      <c r="E22" s="57" t="str">
        <f>IF(E21&gt;= 0.5,"Yes","No")</f>
        <v>No</v>
      </c>
      <c r="F22" s="57"/>
      <c r="G22" s="57" t="str">
        <f>IF(G21&gt;= 0.5,"Yes","No")</f>
        <v>No</v>
      </c>
      <c r="H22" s="57"/>
      <c r="I22" s="57" t="str">
        <f>IF(I21&gt;= 0.5,"Yes","No")</f>
        <v>No</v>
      </c>
      <c r="J22" s="57"/>
      <c r="K22" s="148"/>
      <c r="L22" s="1"/>
      <c r="M22" s="1"/>
      <c r="N22" s="1"/>
      <c r="O22" s="1"/>
      <c r="P22" s="47"/>
      <c r="Q22" s="48"/>
    </row>
    <row r="23" spans="1:20" ht="50.25" customHeight="1" thickTop="1" x14ac:dyDescent="0.25">
      <c r="A23" s="104" t="s">
        <v>43</v>
      </c>
      <c r="B23" s="105"/>
      <c r="C23" s="59" t="s">
        <v>23</v>
      </c>
      <c r="D23" s="60"/>
      <c r="E23" s="60" t="s">
        <v>23</v>
      </c>
      <c r="F23" s="60"/>
      <c r="G23" s="60" t="s">
        <v>23</v>
      </c>
      <c r="H23" s="60"/>
      <c r="I23" s="60" t="s">
        <v>23</v>
      </c>
      <c r="J23" s="60"/>
      <c r="K23" s="12" t="s">
        <v>24</v>
      </c>
      <c r="L23" s="13"/>
      <c r="M23" s="13"/>
      <c r="N23" s="13"/>
      <c r="O23" s="13"/>
      <c r="P23" s="49" t="str">
        <f>IF(K24 &gt;= 4,"Yes","No")</f>
        <v>No</v>
      </c>
      <c r="Q23" s="50"/>
    </row>
    <row r="24" spans="1:20" ht="50.25" customHeight="1" x14ac:dyDescent="0.25">
      <c r="A24" s="106"/>
      <c r="B24" s="107"/>
      <c r="C24" s="37"/>
      <c r="D24" s="38"/>
      <c r="E24" s="39"/>
      <c r="F24" s="38"/>
      <c r="G24" s="39"/>
      <c r="H24" s="38"/>
      <c r="I24" s="39"/>
      <c r="J24" s="38"/>
      <c r="K24" s="124">
        <f>SUM(C24,E24,G24,I24)</f>
        <v>0</v>
      </c>
      <c r="L24" s="20"/>
      <c r="M24" s="20"/>
      <c r="N24" s="20"/>
      <c r="O24" s="20"/>
      <c r="P24" s="49"/>
      <c r="Q24" s="50"/>
    </row>
    <row r="25" spans="1:20" ht="30.75" customHeight="1" thickBot="1" x14ac:dyDescent="0.3">
      <c r="A25" s="108" t="s">
        <v>29</v>
      </c>
      <c r="B25" s="109"/>
      <c r="C25" s="53" t="str">
        <f>IF(C24&gt;= 1,"Yes","No")</f>
        <v>No</v>
      </c>
      <c r="D25" s="54"/>
      <c r="E25" s="54" t="str">
        <f>IF(E24&gt;= 1,"Yes","No")</f>
        <v>No</v>
      </c>
      <c r="F25" s="54"/>
      <c r="G25" s="54" t="str">
        <f>IF(G24&gt;= 1,"Yes","No")</f>
        <v>No</v>
      </c>
      <c r="H25" s="54"/>
      <c r="I25" s="54" t="str">
        <f>IF(I24&gt;= 1,"Yes","No")</f>
        <v>No</v>
      </c>
      <c r="J25" s="54"/>
      <c r="K25" s="125"/>
      <c r="L25" s="2"/>
      <c r="M25" s="2"/>
      <c r="N25" s="2"/>
      <c r="O25" s="2"/>
      <c r="P25" s="51"/>
      <c r="Q25" s="52"/>
    </row>
    <row r="26" spans="1:20" ht="15.75" thickTop="1" x14ac:dyDescent="0.25"/>
    <row r="27" spans="1:20" ht="47.25" customHeight="1" x14ac:dyDescent="0.25"/>
    <row r="28" spans="1:20" ht="31.5" customHeight="1" x14ac:dyDescent="0.25"/>
    <row r="29" spans="1:20" x14ac:dyDescent="0.25">
      <c r="T29" s="14" t="s">
        <v>16</v>
      </c>
    </row>
  </sheetData>
  <sheetProtection sheet="1" objects="1" scenarios="1" selectLockedCells="1"/>
  <mergeCells count="110">
    <mergeCell ref="A25:B25"/>
    <mergeCell ref="C25:D25"/>
    <mergeCell ref="E25:F25"/>
    <mergeCell ref="G25:H25"/>
    <mergeCell ref="I25:J25"/>
    <mergeCell ref="P23:Q25"/>
    <mergeCell ref="C24:D24"/>
    <mergeCell ref="E24:F24"/>
    <mergeCell ref="G24:H24"/>
    <mergeCell ref="I24:J24"/>
    <mergeCell ref="K24:K25"/>
    <mergeCell ref="A23:B24"/>
    <mergeCell ref="C23:D23"/>
    <mergeCell ref="E23:F23"/>
    <mergeCell ref="G23:H23"/>
    <mergeCell ref="I23:J23"/>
    <mergeCell ref="A22:B22"/>
    <mergeCell ref="C22:D22"/>
    <mergeCell ref="E22:F22"/>
    <mergeCell ref="G22:H22"/>
    <mergeCell ref="I22:J22"/>
    <mergeCell ref="P20:Q22"/>
    <mergeCell ref="C21:D21"/>
    <mergeCell ref="E21:F21"/>
    <mergeCell ref="G21:H21"/>
    <mergeCell ref="I21:J21"/>
    <mergeCell ref="K21:K22"/>
    <mergeCell ref="A20:B21"/>
    <mergeCell ref="C20:D20"/>
    <mergeCell ref="E20:F20"/>
    <mergeCell ref="G20:H20"/>
    <mergeCell ref="I20:J20"/>
    <mergeCell ref="O15:O16"/>
    <mergeCell ref="P15:Q19"/>
    <mergeCell ref="A17:B17"/>
    <mergeCell ref="C17:D17"/>
    <mergeCell ref="E17:F17"/>
    <mergeCell ref="G17:H17"/>
    <mergeCell ref="I17:J17"/>
    <mergeCell ref="L17:N19"/>
    <mergeCell ref="O17:O19"/>
    <mergeCell ref="A18:B19"/>
    <mergeCell ref="C18:D18"/>
    <mergeCell ref="E18:F18"/>
    <mergeCell ref="G18:H18"/>
    <mergeCell ref="I18:J18"/>
    <mergeCell ref="C19:D19"/>
    <mergeCell ref="E19:F19"/>
    <mergeCell ref="G19:H19"/>
    <mergeCell ref="I19:J19"/>
    <mergeCell ref="A15:B16"/>
    <mergeCell ref="I12:J12"/>
    <mergeCell ref="C13:D13"/>
    <mergeCell ref="E13:F13"/>
    <mergeCell ref="G13:H13"/>
    <mergeCell ref="I13:J13"/>
    <mergeCell ref="G8:H8"/>
    <mergeCell ref="I8:J8"/>
    <mergeCell ref="C9:D9"/>
    <mergeCell ref="E9:F9"/>
    <mergeCell ref="G9:H9"/>
    <mergeCell ref="I9:J9"/>
    <mergeCell ref="C14:D14"/>
    <mergeCell ref="E14:F14"/>
    <mergeCell ref="G14:H14"/>
    <mergeCell ref="I14:J14"/>
    <mergeCell ref="S2:T2"/>
    <mergeCell ref="C3:D3"/>
    <mergeCell ref="E3:F3"/>
    <mergeCell ref="G3:H3"/>
    <mergeCell ref="I3:J3"/>
    <mergeCell ref="C4:D4"/>
    <mergeCell ref="E4:F4"/>
    <mergeCell ref="G4:H4"/>
    <mergeCell ref="C6:D6"/>
    <mergeCell ref="E6:F6"/>
    <mergeCell ref="G6:H6"/>
    <mergeCell ref="I6:J6"/>
    <mergeCell ref="I4:J4"/>
    <mergeCell ref="C5:D5"/>
    <mergeCell ref="E5:F5"/>
    <mergeCell ref="G5:H5"/>
    <mergeCell ref="I5:J5"/>
    <mergeCell ref="C12:D12"/>
    <mergeCell ref="E12:F12"/>
    <mergeCell ref="G12:H12"/>
    <mergeCell ref="A1:C1"/>
    <mergeCell ref="D1:E1"/>
    <mergeCell ref="F1:Q1"/>
    <mergeCell ref="A2:B14"/>
    <mergeCell ref="C2:D2"/>
    <mergeCell ref="E2:F2"/>
    <mergeCell ref="G2:H2"/>
    <mergeCell ref="I2:J2"/>
    <mergeCell ref="K2:O14"/>
    <mergeCell ref="P2:Q14"/>
    <mergeCell ref="C7:D7"/>
    <mergeCell ref="E7:F7"/>
    <mergeCell ref="G7:H7"/>
    <mergeCell ref="I7:J7"/>
    <mergeCell ref="C10:D10"/>
    <mergeCell ref="E10:F10"/>
    <mergeCell ref="G10:H10"/>
    <mergeCell ref="I10:J10"/>
    <mergeCell ref="C11:D11"/>
    <mergeCell ref="E11:F11"/>
    <mergeCell ref="G11:H11"/>
    <mergeCell ref="I11:J11"/>
    <mergeCell ref="C8:D8"/>
    <mergeCell ref="E8:F8"/>
  </mergeCells>
  <conditionalFormatting sqref="C17:J17 C22:J22 C25:J25">
    <cfRule type="containsText" dxfId="15" priority="5" operator="containsText" text="Yes">
      <formula>NOT(ISERROR(SEARCH("Yes",C17)))</formula>
    </cfRule>
    <cfRule type="containsText" dxfId="14" priority="6" operator="containsText" text="No">
      <formula>NOT(ISERROR(SEARCH("No",C17)))</formula>
    </cfRule>
  </conditionalFormatting>
  <conditionalFormatting sqref="N16 P20:Q25">
    <cfRule type="containsText" dxfId="13" priority="4" operator="containsText" text="No">
      <formula>NOT(ISERROR(SEARCH("No",N16)))</formula>
    </cfRule>
  </conditionalFormatting>
  <conditionalFormatting sqref="N16 P20:Q25">
    <cfRule type="containsText" dxfId="12" priority="3" operator="containsText" text="Yes">
      <formula>NOT(ISERROR(SEARCH("Yes",N16)))</formula>
    </cfRule>
  </conditionalFormatting>
  <conditionalFormatting sqref="P15:Q19">
    <cfRule type="containsText" dxfId="11" priority="1" operator="containsText" text="True">
      <formula>NOT(ISERROR(SEARCH("True",P15)))</formula>
    </cfRule>
    <cfRule type="containsText" dxfId="10" priority="2" operator="containsText" text="False">
      <formula>NOT(ISERROR(SEARCH("False",P15)))</formula>
    </cfRule>
  </conditionalFormatting>
  <pageMargins left="0.7" right="0.7" top="0.75" bottom="0.75" header="0.3" footer="0.3"/>
  <pageSetup scale="59"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29"/>
  <sheetViews>
    <sheetView zoomScale="70" zoomScaleNormal="70" workbookViewId="0">
      <selection activeCell="O21" sqref="O21:P21"/>
    </sheetView>
  </sheetViews>
  <sheetFormatPr defaultRowHeight="15" x14ac:dyDescent="0.25"/>
  <cols>
    <col min="1" max="1" width="9.140625" style="14"/>
    <col min="2" max="2" width="12.7109375" style="14" customWidth="1"/>
    <col min="3" max="3" width="9.140625" style="14"/>
    <col min="4" max="4" width="9" style="14" customWidth="1"/>
    <col min="5" max="16" width="9.140625" style="14"/>
    <col min="17" max="24" width="8.7109375" style="14" customWidth="1"/>
    <col min="25" max="26" width="11.7109375" style="14" customWidth="1"/>
    <col min="27" max="16384" width="9.140625" style="14"/>
  </cols>
  <sheetData>
    <row r="1" spans="1:26" ht="16.5" thickTop="1" thickBot="1" x14ac:dyDescent="0.3">
      <c r="A1" s="149" t="s">
        <v>34</v>
      </c>
      <c r="B1" s="150"/>
      <c r="C1" s="150"/>
      <c r="D1" s="150" t="s">
        <v>33</v>
      </c>
      <c r="E1" s="150"/>
      <c r="F1" s="102"/>
      <c r="G1" s="102"/>
      <c r="H1" s="102"/>
      <c r="I1" s="102"/>
      <c r="J1" s="102"/>
      <c r="K1" s="102"/>
      <c r="L1" s="102"/>
      <c r="M1" s="102"/>
      <c r="N1" s="102"/>
      <c r="O1" s="102"/>
      <c r="P1" s="102"/>
      <c r="Q1" s="102"/>
      <c r="R1" s="102"/>
      <c r="S1" s="102"/>
      <c r="T1" s="102"/>
      <c r="U1" s="102"/>
      <c r="V1" s="102"/>
      <c r="W1" s="103"/>
    </row>
    <row r="2" spans="1:26" ht="15.75" thickTop="1" x14ac:dyDescent="0.25">
      <c r="A2" s="91"/>
      <c r="B2" s="92"/>
      <c r="C2" s="95" t="s">
        <v>0</v>
      </c>
      <c r="D2" s="96"/>
      <c r="E2" s="96" t="s">
        <v>1</v>
      </c>
      <c r="F2" s="96"/>
      <c r="G2" s="96" t="s">
        <v>2</v>
      </c>
      <c r="H2" s="96"/>
      <c r="I2" s="96" t="s">
        <v>3</v>
      </c>
      <c r="J2" s="96"/>
      <c r="K2" s="96" t="s">
        <v>4</v>
      </c>
      <c r="L2" s="97"/>
      <c r="M2" s="96" t="s">
        <v>39</v>
      </c>
      <c r="N2" s="97"/>
      <c r="O2" s="96" t="s">
        <v>40</v>
      </c>
      <c r="P2" s="97"/>
      <c r="Q2" s="126"/>
      <c r="R2" s="134"/>
      <c r="S2" s="134"/>
      <c r="T2" s="134"/>
      <c r="U2" s="127"/>
      <c r="V2" s="126" t="s">
        <v>26</v>
      </c>
      <c r="W2" s="127"/>
      <c r="Y2" s="89" t="s">
        <v>5</v>
      </c>
      <c r="Z2" s="90"/>
    </row>
    <row r="3" spans="1:26" x14ac:dyDescent="0.25">
      <c r="A3" s="91"/>
      <c r="B3" s="92"/>
      <c r="C3" s="98"/>
      <c r="D3" s="99"/>
      <c r="E3" s="65"/>
      <c r="F3" s="65"/>
      <c r="G3" s="65"/>
      <c r="H3" s="65"/>
      <c r="I3" s="65"/>
      <c r="J3" s="65"/>
      <c r="K3" s="65"/>
      <c r="L3" s="66"/>
      <c r="M3" s="65"/>
      <c r="N3" s="66"/>
      <c r="O3" s="65"/>
      <c r="P3" s="66"/>
      <c r="Q3" s="91"/>
      <c r="R3" s="135"/>
      <c r="S3" s="135"/>
      <c r="T3" s="135"/>
      <c r="U3" s="92"/>
      <c r="V3" s="91"/>
      <c r="W3" s="92"/>
      <c r="Y3" s="15" t="s">
        <v>6</v>
      </c>
      <c r="Z3" s="16">
        <v>0.125</v>
      </c>
    </row>
    <row r="4" spans="1:26" x14ac:dyDescent="0.25">
      <c r="A4" s="91"/>
      <c r="B4" s="92"/>
      <c r="C4" s="72"/>
      <c r="D4" s="70"/>
      <c r="E4" s="65"/>
      <c r="F4" s="65"/>
      <c r="G4" s="65"/>
      <c r="H4" s="65"/>
      <c r="I4" s="65"/>
      <c r="J4" s="65"/>
      <c r="K4" s="65"/>
      <c r="L4" s="66"/>
      <c r="M4" s="65"/>
      <c r="N4" s="66"/>
      <c r="O4" s="65"/>
      <c r="P4" s="66"/>
      <c r="Q4" s="91"/>
      <c r="R4" s="135"/>
      <c r="S4" s="135"/>
      <c r="T4" s="135"/>
      <c r="U4" s="92"/>
      <c r="V4" s="91"/>
      <c r="W4" s="92"/>
      <c r="Y4" s="15" t="s">
        <v>7</v>
      </c>
      <c r="Z4" s="16">
        <v>0.25</v>
      </c>
    </row>
    <row r="5" spans="1:26" x14ac:dyDescent="0.25">
      <c r="A5" s="91"/>
      <c r="B5" s="92"/>
      <c r="C5" s="72"/>
      <c r="D5" s="73"/>
      <c r="E5" s="65"/>
      <c r="F5" s="65"/>
      <c r="G5" s="65"/>
      <c r="H5" s="65"/>
      <c r="I5" s="65"/>
      <c r="J5" s="65"/>
      <c r="K5" s="65"/>
      <c r="L5" s="66"/>
      <c r="M5" s="65"/>
      <c r="N5" s="66"/>
      <c r="O5" s="65"/>
      <c r="P5" s="66"/>
      <c r="Q5" s="91"/>
      <c r="R5" s="135"/>
      <c r="S5" s="135"/>
      <c r="T5" s="135"/>
      <c r="U5" s="92"/>
      <c r="V5" s="91"/>
      <c r="W5" s="92"/>
      <c r="Y5" s="15" t="s">
        <v>8</v>
      </c>
      <c r="Z5" s="16">
        <v>0.375</v>
      </c>
    </row>
    <row r="6" spans="1:26" x14ac:dyDescent="0.25">
      <c r="A6" s="91"/>
      <c r="B6" s="92"/>
      <c r="C6" s="72"/>
      <c r="D6" s="73"/>
      <c r="E6" s="65"/>
      <c r="F6" s="65"/>
      <c r="G6" s="65"/>
      <c r="H6" s="65"/>
      <c r="I6" s="65"/>
      <c r="J6" s="65"/>
      <c r="K6" s="65"/>
      <c r="L6" s="66"/>
      <c r="M6" s="65"/>
      <c r="N6" s="66"/>
      <c r="O6" s="65"/>
      <c r="P6" s="66"/>
      <c r="Q6" s="91"/>
      <c r="R6" s="135"/>
      <c r="S6" s="135"/>
      <c r="T6" s="135"/>
      <c r="U6" s="92"/>
      <c r="V6" s="91"/>
      <c r="W6" s="92"/>
      <c r="Y6" s="15" t="s">
        <v>9</v>
      </c>
      <c r="Z6" s="16">
        <v>0.5</v>
      </c>
    </row>
    <row r="7" spans="1:26" x14ac:dyDescent="0.25">
      <c r="A7" s="91"/>
      <c r="B7" s="92"/>
      <c r="C7" s="72"/>
      <c r="D7" s="73"/>
      <c r="E7" s="65"/>
      <c r="F7" s="65"/>
      <c r="G7" s="65"/>
      <c r="H7" s="65"/>
      <c r="I7" s="65"/>
      <c r="J7" s="65"/>
      <c r="K7" s="65"/>
      <c r="L7" s="66"/>
      <c r="M7" s="65"/>
      <c r="N7" s="66"/>
      <c r="O7" s="65"/>
      <c r="P7" s="66"/>
      <c r="Q7" s="91"/>
      <c r="R7" s="135"/>
      <c r="S7" s="135"/>
      <c r="T7" s="135"/>
      <c r="U7" s="92"/>
      <c r="V7" s="91"/>
      <c r="W7" s="92"/>
      <c r="Y7" s="15" t="s">
        <v>10</v>
      </c>
      <c r="Z7" s="16">
        <v>0.625</v>
      </c>
    </row>
    <row r="8" spans="1:26" x14ac:dyDescent="0.25">
      <c r="A8" s="91"/>
      <c r="B8" s="92"/>
      <c r="C8" s="72"/>
      <c r="D8" s="73"/>
      <c r="E8" s="65"/>
      <c r="F8" s="65"/>
      <c r="G8" s="65"/>
      <c r="H8" s="65"/>
      <c r="I8" s="65"/>
      <c r="J8" s="65"/>
      <c r="K8" s="65"/>
      <c r="L8" s="66"/>
      <c r="M8" s="65"/>
      <c r="N8" s="66"/>
      <c r="O8" s="65"/>
      <c r="P8" s="66"/>
      <c r="Q8" s="91"/>
      <c r="R8" s="135"/>
      <c r="S8" s="135"/>
      <c r="T8" s="135"/>
      <c r="U8" s="92"/>
      <c r="V8" s="91"/>
      <c r="W8" s="92"/>
      <c r="Y8" s="15" t="s">
        <v>11</v>
      </c>
      <c r="Z8" s="16">
        <v>0.75</v>
      </c>
    </row>
    <row r="9" spans="1:26" x14ac:dyDescent="0.25">
      <c r="A9" s="91"/>
      <c r="B9" s="92"/>
      <c r="C9" s="72"/>
      <c r="D9" s="70"/>
      <c r="E9" s="65"/>
      <c r="F9" s="65"/>
      <c r="G9" s="65"/>
      <c r="H9" s="65"/>
      <c r="I9" s="65"/>
      <c r="J9" s="65"/>
      <c r="K9" s="65"/>
      <c r="L9" s="66"/>
      <c r="M9" s="65"/>
      <c r="N9" s="66"/>
      <c r="O9" s="65"/>
      <c r="P9" s="66"/>
      <c r="Q9" s="91"/>
      <c r="R9" s="135"/>
      <c r="S9" s="135"/>
      <c r="T9" s="135"/>
      <c r="U9" s="92"/>
      <c r="V9" s="91"/>
      <c r="W9" s="92"/>
      <c r="Y9" s="15" t="s">
        <v>12</v>
      </c>
      <c r="Z9" s="16">
        <v>0.875</v>
      </c>
    </row>
    <row r="10" spans="1:26" x14ac:dyDescent="0.25">
      <c r="A10" s="91"/>
      <c r="B10" s="92"/>
      <c r="C10" s="72"/>
      <c r="D10" s="70"/>
      <c r="E10" s="65"/>
      <c r="F10" s="65"/>
      <c r="G10" s="65"/>
      <c r="H10" s="65"/>
      <c r="I10" s="65"/>
      <c r="J10" s="65"/>
      <c r="K10" s="65"/>
      <c r="L10" s="66"/>
      <c r="M10" s="65"/>
      <c r="N10" s="66"/>
      <c r="O10" s="65"/>
      <c r="P10" s="66"/>
      <c r="Q10" s="91"/>
      <c r="R10" s="135"/>
      <c r="S10" s="135"/>
      <c r="T10" s="135"/>
      <c r="U10" s="92"/>
      <c r="V10" s="91"/>
      <c r="W10" s="92"/>
      <c r="Y10" s="17" t="s">
        <v>13</v>
      </c>
      <c r="Z10" s="18">
        <v>1</v>
      </c>
    </row>
    <row r="11" spans="1:26" x14ac:dyDescent="0.25">
      <c r="A11" s="91"/>
      <c r="B11" s="92"/>
      <c r="C11" s="72"/>
      <c r="D11" s="73"/>
      <c r="E11" s="65"/>
      <c r="F11" s="65"/>
      <c r="G11" s="65"/>
      <c r="H11" s="65"/>
      <c r="I11" s="65"/>
      <c r="J11" s="65"/>
      <c r="K11" s="65"/>
      <c r="L11" s="66"/>
      <c r="M11" s="65"/>
      <c r="N11" s="66"/>
      <c r="O11" s="65"/>
      <c r="P11" s="66"/>
      <c r="Q11" s="91"/>
      <c r="R11" s="135"/>
      <c r="S11" s="135"/>
      <c r="T11" s="135"/>
      <c r="U11" s="92"/>
      <c r="V11" s="91"/>
      <c r="W11" s="92"/>
    </row>
    <row r="12" spans="1:26" x14ac:dyDescent="0.25">
      <c r="A12" s="91"/>
      <c r="B12" s="92"/>
      <c r="C12" s="72"/>
      <c r="D12" s="70"/>
      <c r="E12" s="65"/>
      <c r="F12" s="65"/>
      <c r="G12" s="65"/>
      <c r="H12" s="65"/>
      <c r="I12" s="65"/>
      <c r="J12" s="65"/>
      <c r="K12" s="65"/>
      <c r="L12" s="66"/>
      <c r="M12" s="65"/>
      <c r="N12" s="66"/>
      <c r="O12" s="65"/>
      <c r="P12" s="66"/>
      <c r="Q12" s="91"/>
      <c r="R12" s="135"/>
      <c r="S12" s="135"/>
      <c r="T12" s="135"/>
      <c r="U12" s="92"/>
      <c r="V12" s="91"/>
      <c r="W12" s="92"/>
    </row>
    <row r="13" spans="1:26" ht="15" customHeight="1" x14ac:dyDescent="0.25">
      <c r="A13" s="91"/>
      <c r="B13" s="92"/>
      <c r="C13" s="81"/>
      <c r="D13" s="70"/>
      <c r="E13" s="70"/>
      <c r="F13" s="70"/>
      <c r="G13" s="70"/>
      <c r="H13" s="70"/>
      <c r="I13" s="70"/>
      <c r="J13" s="70"/>
      <c r="K13" s="70"/>
      <c r="L13" s="71"/>
      <c r="M13" s="70"/>
      <c r="N13" s="71"/>
      <c r="O13" s="70"/>
      <c r="P13" s="71"/>
      <c r="Q13" s="91"/>
      <c r="R13" s="135"/>
      <c r="S13" s="135"/>
      <c r="T13" s="135"/>
      <c r="U13" s="92"/>
      <c r="V13" s="91"/>
      <c r="W13" s="92"/>
    </row>
    <row r="14" spans="1:26" ht="15.75" thickBot="1" x14ac:dyDescent="0.3">
      <c r="A14" s="93"/>
      <c r="B14" s="94"/>
      <c r="C14" s="67"/>
      <c r="D14" s="68"/>
      <c r="E14" s="68"/>
      <c r="F14" s="68"/>
      <c r="G14" s="68"/>
      <c r="H14" s="68"/>
      <c r="I14" s="68"/>
      <c r="J14" s="68"/>
      <c r="K14" s="68"/>
      <c r="L14" s="69"/>
      <c r="M14" s="68"/>
      <c r="N14" s="69"/>
      <c r="O14" s="68"/>
      <c r="P14" s="69"/>
      <c r="Q14" s="93"/>
      <c r="R14" s="136"/>
      <c r="S14" s="136"/>
      <c r="T14" s="136"/>
      <c r="U14" s="94"/>
      <c r="V14" s="93"/>
      <c r="W14" s="94"/>
    </row>
    <row r="15" spans="1:26" ht="49.5" customHeight="1" thickTop="1" x14ac:dyDescent="0.25">
      <c r="A15" s="137" t="s">
        <v>44</v>
      </c>
      <c r="B15" s="138"/>
      <c r="C15" s="3" t="s">
        <v>14</v>
      </c>
      <c r="D15" s="4" t="s">
        <v>15</v>
      </c>
      <c r="E15" s="5" t="s">
        <v>14</v>
      </c>
      <c r="F15" s="4" t="s">
        <v>15</v>
      </c>
      <c r="G15" s="5" t="s">
        <v>14</v>
      </c>
      <c r="H15" s="4" t="s">
        <v>15</v>
      </c>
      <c r="I15" s="5" t="s">
        <v>14</v>
      </c>
      <c r="J15" s="4" t="s">
        <v>15</v>
      </c>
      <c r="K15" s="5" t="s">
        <v>14</v>
      </c>
      <c r="L15" s="6" t="s">
        <v>15</v>
      </c>
      <c r="M15" s="5" t="s">
        <v>14</v>
      </c>
      <c r="N15" s="6" t="s">
        <v>15</v>
      </c>
      <c r="O15" s="5" t="s">
        <v>14</v>
      </c>
      <c r="P15" s="6" t="s">
        <v>15</v>
      </c>
      <c r="Q15" s="7" t="s">
        <v>17</v>
      </c>
      <c r="R15" s="5" t="s">
        <v>18</v>
      </c>
      <c r="S15" s="8" t="s">
        <v>19</v>
      </c>
      <c r="T15" s="8" t="s">
        <v>25</v>
      </c>
      <c r="U15" s="119" t="s">
        <v>38</v>
      </c>
      <c r="V15" s="128" t="b">
        <f>AND(U17&gt;=12.5,U17&lt;=14)</f>
        <v>0</v>
      </c>
      <c r="W15" s="129"/>
    </row>
    <row r="16" spans="1:26" ht="49.5" customHeight="1" x14ac:dyDescent="0.25">
      <c r="A16" s="139"/>
      <c r="B16" s="140"/>
      <c r="C16" s="26"/>
      <c r="D16" s="27"/>
      <c r="E16" s="28"/>
      <c r="F16" s="27"/>
      <c r="G16" s="28"/>
      <c r="H16" s="27"/>
      <c r="I16" s="28"/>
      <c r="J16" s="27"/>
      <c r="K16" s="28"/>
      <c r="L16" s="29"/>
      <c r="M16" s="28"/>
      <c r="N16" s="29"/>
      <c r="O16" s="28"/>
      <c r="P16" s="29"/>
      <c r="Q16" s="30">
        <f>SUM(C16,E16,G16,I16,K16,M16,O16)</f>
        <v>0</v>
      </c>
      <c r="R16" s="31">
        <f>SUM(D16,F16,H16,J16,L16,N16,P16)</f>
        <v>0</v>
      </c>
      <c r="S16" s="25" t="e">
        <f>R16/Q16</f>
        <v>#DIV/0!</v>
      </c>
      <c r="T16" s="24" t="e">
        <f>+IF(S16&gt;=0.5,"Yes","No")</f>
        <v>#DIV/0!</v>
      </c>
      <c r="U16" s="120"/>
      <c r="V16" s="130"/>
      <c r="W16" s="131"/>
    </row>
    <row r="17" spans="1:26" ht="30" customHeight="1" x14ac:dyDescent="0.25">
      <c r="A17" s="141" t="s">
        <v>29</v>
      </c>
      <c r="B17" s="142"/>
      <c r="C17" s="143" t="str">
        <f>IF(C16&gt;= 1,"Yes","No")</f>
        <v>No</v>
      </c>
      <c r="D17" s="144"/>
      <c r="E17" s="145" t="str">
        <f>IF(E16&gt;= 1,"Yes","No")</f>
        <v>No</v>
      </c>
      <c r="F17" s="144"/>
      <c r="G17" s="145" t="str">
        <f>IF(G16&gt;= 1,"Yes","No")</f>
        <v>No</v>
      </c>
      <c r="H17" s="144"/>
      <c r="I17" s="145" t="str">
        <f>IF(I16&gt;= 1,"Yes","No")</f>
        <v>No</v>
      </c>
      <c r="J17" s="144"/>
      <c r="K17" s="145" t="str">
        <f>IF(K16&gt;= 1,"Yes","No")</f>
        <v>No</v>
      </c>
      <c r="L17" s="146"/>
      <c r="M17" s="145" t="str">
        <f>IF(M16&gt;= 1,"Yes","No")</f>
        <v>No</v>
      </c>
      <c r="N17" s="146"/>
      <c r="O17" s="145" t="str">
        <f>IF(O16&gt;= 1,"Yes","No")</f>
        <v>No</v>
      </c>
      <c r="P17" s="146"/>
      <c r="Q17" s="21"/>
      <c r="R17" s="110"/>
      <c r="S17" s="111"/>
      <c r="T17" s="112"/>
      <c r="U17" s="121">
        <f>SUM(Q16,Q19)</f>
        <v>0</v>
      </c>
      <c r="V17" s="130"/>
      <c r="W17" s="131"/>
    </row>
    <row r="18" spans="1:26" ht="50.25" customHeight="1" x14ac:dyDescent="0.25">
      <c r="A18" s="74" t="s">
        <v>22</v>
      </c>
      <c r="B18" s="75"/>
      <c r="C18" s="78" t="s">
        <v>20</v>
      </c>
      <c r="D18" s="79"/>
      <c r="E18" s="79" t="s">
        <v>20</v>
      </c>
      <c r="F18" s="79"/>
      <c r="G18" s="79" t="s">
        <v>20</v>
      </c>
      <c r="H18" s="79"/>
      <c r="I18" s="79" t="s">
        <v>20</v>
      </c>
      <c r="J18" s="79"/>
      <c r="K18" s="79" t="s">
        <v>20</v>
      </c>
      <c r="L18" s="80"/>
      <c r="M18" s="79" t="s">
        <v>20</v>
      </c>
      <c r="N18" s="80"/>
      <c r="O18" s="79" t="s">
        <v>20</v>
      </c>
      <c r="P18" s="80"/>
      <c r="Q18" s="9" t="s">
        <v>21</v>
      </c>
      <c r="R18" s="113"/>
      <c r="S18" s="114"/>
      <c r="T18" s="115"/>
      <c r="U18" s="122"/>
      <c r="V18" s="130"/>
      <c r="W18" s="131"/>
    </row>
    <row r="19" spans="1:26" ht="30.75" customHeight="1" thickBot="1" x14ac:dyDescent="0.3">
      <c r="A19" s="76"/>
      <c r="B19" s="77"/>
      <c r="C19" s="34"/>
      <c r="D19" s="35"/>
      <c r="E19" s="35"/>
      <c r="F19" s="35"/>
      <c r="G19" s="35"/>
      <c r="H19" s="35"/>
      <c r="I19" s="35"/>
      <c r="J19" s="35"/>
      <c r="K19" s="35"/>
      <c r="L19" s="36"/>
      <c r="M19" s="35"/>
      <c r="N19" s="36"/>
      <c r="O19" s="35"/>
      <c r="P19" s="36"/>
      <c r="Q19" s="32">
        <f>SUM(C19,E19,G19,I19,K19,M19,O19)</f>
        <v>0</v>
      </c>
      <c r="R19" s="116"/>
      <c r="S19" s="117"/>
      <c r="T19" s="118"/>
      <c r="U19" s="123"/>
      <c r="V19" s="132"/>
      <c r="W19" s="133"/>
    </row>
    <row r="20" spans="1:26" ht="50.25" customHeight="1" thickTop="1" x14ac:dyDescent="0.25">
      <c r="A20" s="83" t="s">
        <v>45</v>
      </c>
      <c r="B20" s="84"/>
      <c r="C20" s="61" t="s">
        <v>31</v>
      </c>
      <c r="D20" s="62"/>
      <c r="E20" s="61" t="s">
        <v>31</v>
      </c>
      <c r="F20" s="62"/>
      <c r="G20" s="61" t="s">
        <v>31</v>
      </c>
      <c r="H20" s="62"/>
      <c r="I20" s="61" t="s">
        <v>31</v>
      </c>
      <c r="J20" s="62"/>
      <c r="K20" s="61" t="s">
        <v>31</v>
      </c>
      <c r="L20" s="62"/>
      <c r="M20" s="61" t="s">
        <v>31</v>
      </c>
      <c r="N20" s="62"/>
      <c r="O20" s="61" t="s">
        <v>31</v>
      </c>
      <c r="P20" s="62"/>
      <c r="Q20" s="10" t="s">
        <v>32</v>
      </c>
      <c r="R20" s="11"/>
      <c r="S20" s="11"/>
      <c r="T20" s="11"/>
      <c r="U20" s="11"/>
      <c r="V20" s="43" t="str">
        <f>IF(Q21 &gt;= 3.5,"Yes","No")</f>
        <v>No</v>
      </c>
      <c r="W20" s="44"/>
    </row>
    <row r="21" spans="1:26" ht="50.25" customHeight="1" x14ac:dyDescent="0.25">
      <c r="A21" s="85"/>
      <c r="B21" s="86"/>
      <c r="C21" s="64"/>
      <c r="D21" s="42"/>
      <c r="E21" s="41"/>
      <c r="F21" s="42"/>
      <c r="G21" s="41"/>
      <c r="H21" s="42"/>
      <c r="I21" s="41"/>
      <c r="J21" s="42"/>
      <c r="K21" s="41"/>
      <c r="L21" s="82"/>
      <c r="M21" s="41"/>
      <c r="N21" s="82"/>
      <c r="O21" s="41"/>
      <c r="P21" s="82"/>
      <c r="Q21" s="147">
        <f>SUM(C21,E21,G21,I21,K21,M21,O21)</f>
        <v>0</v>
      </c>
      <c r="R21" s="19"/>
      <c r="S21" s="19"/>
      <c r="T21" s="19"/>
      <c r="U21" s="19"/>
      <c r="V21" s="45"/>
      <c r="W21" s="46"/>
    </row>
    <row r="22" spans="1:26" ht="30.75" customHeight="1" thickBot="1" x14ac:dyDescent="0.3">
      <c r="A22" s="87" t="s">
        <v>29</v>
      </c>
      <c r="B22" s="88"/>
      <c r="C22" s="56" t="str">
        <f>IF(C21&gt;= 0.5,"Yes","No")</f>
        <v>No</v>
      </c>
      <c r="D22" s="57"/>
      <c r="E22" s="57" t="str">
        <f>IF(E21&gt;= 0.5,"Yes","No")</f>
        <v>No</v>
      </c>
      <c r="F22" s="57"/>
      <c r="G22" s="57" t="str">
        <f>IF(G21&gt;= 0.5,"Yes","No")</f>
        <v>No</v>
      </c>
      <c r="H22" s="57"/>
      <c r="I22" s="57" t="str">
        <f>IF(I21&gt;= 0.5,"Yes","No")</f>
        <v>No</v>
      </c>
      <c r="J22" s="57"/>
      <c r="K22" s="57" t="str">
        <f>IF(K21&gt;= 0.5,"Yes","No")</f>
        <v>No</v>
      </c>
      <c r="L22" s="58"/>
      <c r="M22" s="57" t="str">
        <f>IF(M21&gt;= 0.5,"Yes","No")</f>
        <v>No</v>
      </c>
      <c r="N22" s="58"/>
      <c r="O22" s="57" t="str">
        <f>IF(O21&gt;= 0.5,"Yes","No")</f>
        <v>No</v>
      </c>
      <c r="P22" s="58"/>
      <c r="Q22" s="148"/>
      <c r="R22" s="1"/>
      <c r="S22" s="1"/>
      <c r="T22" s="1"/>
      <c r="U22" s="1"/>
      <c r="V22" s="47"/>
      <c r="W22" s="48"/>
    </row>
    <row r="23" spans="1:26" ht="50.25" customHeight="1" thickTop="1" x14ac:dyDescent="0.25">
      <c r="A23" s="104" t="s">
        <v>46</v>
      </c>
      <c r="B23" s="105"/>
      <c r="C23" s="59" t="s">
        <v>23</v>
      </c>
      <c r="D23" s="60"/>
      <c r="E23" s="60" t="s">
        <v>23</v>
      </c>
      <c r="F23" s="60"/>
      <c r="G23" s="60" t="s">
        <v>23</v>
      </c>
      <c r="H23" s="60"/>
      <c r="I23" s="60" t="s">
        <v>23</v>
      </c>
      <c r="J23" s="60"/>
      <c r="K23" s="60" t="s">
        <v>23</v>
      </c>
      <c r="L23" s="63"/>
      <c r="M23" s="60" t="s">
        <v>23</v>
      </c>
      <c r="N23" s="63"/>
      <c r="O23" s="60" t="s">
        <v>23</v>
      </c>
      <c r="P23" s="63"/>
      <c r="Q23" s="12" t="s">
        <v>24</v>
      </c>
      <c r="R23" s="13"/>
      <c r="S23" s="13"/>
      <c r="T23" s="13"/>
      <c r="U23" s="13"/>
      <c r="V23" s="49" t="str">
        <f>IF(Q24 &gt;= 7,"Yes","No")</f>
        <v>No</v>
      </c>
      <c r="W23" s="50"/>
    </row>
    <row r="24" spans="1:26" ht="50.25" customHeight="1" x14ac:dyDescent="0.25">
      <c r="A24" s="106"/>
      <c r="B24" s="107"/>
      <c r="C24" s="37"/>
      <c r="D24" s="38"/>
      <c r="E24" s="39"/>
      <c r="F24" s="38"/>
      <c r="G24" s="39"/>
      <c r="H24" s="38"/>
      <c r="I24" s="39"/>
      <c r="J24" s="38"/>
      <c r="K24" s="39"/>
      <c r="L24" s="40"/>
      <c r="M24" s="39"/>
      <c r="N24" s="40"/>
      <c r="O24" s="39"/>
      <c r="P24" s="40"/>
      <c r="Q24" s="124">
        <f>SUM(C24,E24,G24,I24,K24,M24,O24)</f>
        <v>0</v>
      </c>
      <c r="R24" s="20"/>
      <c r="S24" s="20"/>
      <c r="T24" s="20"/>
      <c r="U24" s="20"/>
      <c r="V24" s="49"/>
      <c r="W24" s="50"/>
    </row>
    <row r="25" spans="1:26" ht="30.75" customHeight="1" thickBot="1" x14ac:dyDescent="0.3">
      <c r="A25" s="108" t="s">
        <v>29</v>
      </c>
      <c r="B25" s="109"/>
      <c r="C25" s="53" t="str">
        <f>IF(C24&gt;= 1,"Yes","No")</f>
        <v>No</v>
      </c>
      <c r="D25" s="54"/>
      <c r="E25" s="54" t="str">
        <f>IF(E24&gt;= 1,"Yes","No")</f>
        <v>No</v>
      </c>
      <c r="F25" s="54"/>
      <c r="G25" s="54" t="str">
        <f>IF(G24&gt;= 1,"Yes","No")</f>
        <v>No</v>
      </c>
      <c r="H25" s="54"/>
      <c r="I25" s="54" t="str">
        <f>IF(I24&gt;= 1,"Yes","No")</f>
        <v>No</v>
      </c>
      <c r="J25" s="54"/>
      <c r="K25" s="54" t="str">
        <f>IF(K24&gt;= 1,"Yes","No")</f>
        <v>No</v>
      </c>
      <c r="L25" s="55"/>
      <c r="M25" s="54" t="str">
        <f>IF(M24&gt;= 1,"Yes","No")</f>
        <v>No</v>
      </c>
      <c r="N25" s="55"/>
      <c r="O25" s="54" t="str">
        <f>IF(O24&gt;= 1,"Yes","No")</f>
        <v>No</v>
      </c>
      <c r="P25" s="55"/>
      <c r="Q25" s="125"/>
      <c r="R25" s="2"/>
      <c r="S25" s="2"/>
      <c r="T25" s="2"/>
      <c r="U25" s="2"/>
      <c r="V25" s="51"/>
      <c r="W25" s="52"/>
    </row>
    <row r="26" spans="1:26" ht="15.75" thickTop="1" x14ac:dyDescent="0.25"/>
    <row r="27" spans="1:26" ht="47.25" customHeight="1" x14ac:dyDescent="0.25"/>
    <row r="28" spans="1:26" ht="31.5" customHeight="1" x14ac:dyDescent="0.25"/>
    <row r="29" spans="1:26" x14ac:dyDescent="0.25">
      <c r="Z29" s="14" t="s">
        <v>16</v>
      </c>
    </row>
  </sheetData>
  <sheetProtection sheet="1" objects="1" scenarios="1" selectLockedCells="1"/>
  <mergeCells count="176">
    <mergeCell ref="A1:C1"/>
    <mergeCell ref="D1:E1"/>
    <mergeCell ref="F1:W1"/>
    <mergeCell ref="A2:B14"/>
    <mergeCell ref="C2:D2"/>
    <mergeCell ref="E2:F2"/>
    <mergeCell ref="G2:H2"/>
    <mergeCell ref="I2:J2"/>
    <mergeCell ref="O2:P2"/>
    <mergeCell ref="Q2:U14"/>
    <mergeCell ref="I4:J4"/>
    <mergeCell ref="O4:P4"/>
    <mergeCell ref="C5:D5"/>
    <mergeCell ref="E5:F5"/>
    <mergeCell ref="G5:H5"/>
    <mergeCell ref="I5:J5"/>
    <mergeCell ref="O5:P5"/>
    <mergeCell ref="V2:W14"/>
    <mergeCell ref="C6:D6"/>
    <mergeCell ref="E6:F6"/>
    <mergeCell ref="G6:H6"/>
    <mergeCell ref="I6:J6"/>
    <mergeCell ref="O6:P6"/>
    <mergeCell ref="C7:D7"/>
    <mergeCell ref="Y2:Z2"/>
    <mergeCell ref="C3:D3"/>
    <mergeCell ref="E3:F3"/>
    <mergeCell ref="G3:H3"/>
    <mergeCell ref="I3:J3"/>
    <mergeCell ref="O3:P3"/>
    <mergeCell ref="C4:D4"/>
    <mergeCell ref="E4:F4"/>
    <mergeCell ref="G4:H4"/>
    <mergeCell ref="M2:N2"/>
    <mergeCell ref="M3:N3"/>
    <mergeCell ref="M4:N4"/>
    <mergeCell ref="E7:F7"/>
    <mergeCell ref="G7:H7"/>
    <mergeCell ref="I7:J7"/>
    <mergeCell ref="O7:P7"/>
    <mergeCell ref="C8:D8"/>
    <mergeCell ref="E8:F8"/>
    <mergeCell ref="G8:H8"/>
    <mergeCell ref="I8:J8"/>
    <mergeCell ref="O8:P8"/>
    <mergeCell ref="K8:L8"/>
    <mergeCell ref="C9:D9"/>
    <mergeCell ref="E9:F9"/>
    <mergeCell ref="G9:H9"/>
    <mergeCell ref="I9:J9"/>
    <mergeCell ref="O9:P9"/>
    <mergeCell ref="C10:D10"/>
    <mergeCell ref="E10:F10"/>
    <mergeCell ref="G10:H10"/>
    <mergeCell ref="I10:J10"/>
    <mergeCell ref="O10:P10"/>
    <mergeCell ref="K9:L9"/>
    <mergeCell ref="K10:L10"/>
    <mergeCell ref="C11:D11"/>
    <mergeCell ref="E11:F11"/>
    <mergeCell ref="G11:H11"/>
    <mergeCell ref="I11:J11"/>
    <mergeCell ref="O11:P11"/>
    <mergeCell ref="C14:D14"/>
    <mergeCell ref="E14:F14"/>
    <mergeCell ref="G14:H14"/>
    <mergeCell ref="I14:J14"/>
    <mergeCell ref="O14:P14"/>
    <mergeCell ref="K11:L11"/>
    <mergeCell ref="C12:D12"/>
    <mergeCell ref="E12:F12"/>
    <mergeCell ref="G12:H12"/>
    <mergeCell ref="I12:J12"/>
    <mergeCell ref="O12:P12"/>
    <mergeCell ref="C13:D13"/>
    <mergeCell ref="E13:F13"/>
    <mergeCell ref="G13:H13"/>
    <mergeCell ref="I13:J13"/>
    <mergeCell ref="O13:P13"/>
    <mergeCell ref="K12:L12"/>
    <mergeCell ref="K13:L13"/>
    <mergeCell ref="U15:U16"/>
    <mergeCell ref="V15:W19"/>
    <mergeCell ref="A17:B17"/>
    <mergeCell ref="C17:D17"/>
    <mergeCell ref="E17:F17"/>
    <mergeCell ref="G17:H17"/>
    <mergeCell ref="I17:J17"/>
    <mergeCell ref="O17:P17"/>
    <mergeCell ref="R17:T19"/>
    <mergeCell ref="U17:U19"/>
    <mergeCell ref="O19:P19"/>
    <mergeCell ref="A15:B16"/>
    <mergeCell ref="I20:J20"/>
    <mergeCell ref="O20:P20"/>
    <mergeCell ref="A18:B19"/>
    <mergeCell ref="C18:D18"/>
    <mergeCell ref="E18:F18"/>
    <mergeCell ref="G18:H18"/>
    <mergeCell ref="I18:J18"/>
    <mergeCell ref="O18:P18"/>
    <mergeCell ref="C19:D19"/>
    <mergeCell ref="E19:F19"/>
    <mergeCell ref="G19:H19"/>
    <mergeCell ref="I19:J19"/>
    <mergeCell ref="M24:N24"/>
    <mergeCell ref="A22:B22"/>
    <mergeCell ref="C22:D22"/>
    <mergeCell ref="E22:F22"/>
    <mergeCell ref="G22:H22"/>
    <mergeCell ref="I22:J22"/>
    <mergeCell ref="O22:P22"/>
    <mergeCell ref="V20:W22"/>
    <mergeCell ref="C21:D21"/>
    <mergeCell ref="E21:F21"/>
    <mergeCell ref="G21:H21"/>
    <mergeCell ref="I21:J21"/>
    <mergeCell ref="O21:P21"/>
    <mergeCell ref="Q21:Q22"/>
    <mergeCell ref="K20:L20"/>
    <mergeCell ref="K21:L21"/>
    <mergeCell ref="K22:L22"/>
    <mergeCell ref="M20:N20"/>
    <mergeCell ref="M21:N21"/>
    <mergeCell ref="M22:N22"/>
    <mergeCell ref="A20:B21"/>
    <mergeCell ref="C20:D20"/>
    <mergeCell ref="E20:F20"/>
    <mergeCell ref="G20:H20"/>
    <mergeCell ref="A25:B25"/>
    <mergeCell ref="C25:D25"/>
    <mergeCell ref="E25:F25"/>
    <mergeCell ref="G25:H25"/>
    <mergeCell ref="I25:J25"/>
    <mergeCell ref="O25:P25"/>
    <mergeCell ref="K25:L25"/>
    <mergeCell ref="M25:N25"/>
    <mergeCell ref="V23:W25"/>
    <mergeCell ref="C24:D24"/>
    <mergeCell ref="E24:F24"/>
    <mergeCell ref="G24:H24"/>
    <mergeCell ref="I24:J24"/>
    <mergeCell ref="O24:P24"/>
    <mergeCell ref="Q24:Q25"/>
    <mergeCell ref="K23:L23"/>
    <mergeCell ref="K24:L24"/>
    <mergeCell ref="M23:N23"/>
    <mergeCell ref="A23:B24"/>
    <mergeCell ref="C23:D23"/>
    <mergeCell ref="E23:F23"/>
    <mergeCell ref="G23:H23"/>
    <mergeCell ref="I23:J23"/>
    <mergeCell ref="O23:P23"/>
    <mergeCell ref="M5:N5"/>
    <mergeCell ref="M6:N6"/>
    <mergeCell ref="M7:N7"/>
    <mergeCell ref="K17:L17"/>
    <mergeCell ref="K18:L18"/>
    <mergeCell ref="K19:L19"/>
    <mergeCell ref="K2:L2"/>
    <mergeCell ref="K3:L3"/>
    <mergeCell ref="K4:L4"/>
    <mergeCell ref="K5:L5"/>
    <mergeCell ref="K6:L6"/>
    <mergeCell ref="K7:L7"/>
    <mergeCell ref="M17:N17"/>
    <mergeCell ref="M18:N18"/>
    <mergeCell ref="M19:N19"/>
    <mergeCell ref="M8:N8"/>
    <mergeCell ref="M9:N9"/>
    <mergeCell ref="M10:N10"/>
    <mergeCell ref="M11:N11"/>
    <mergeCell ref="M12:N12"/>
    <mergeCell ref="M13:N13"/>
    <mergeCell ref="K14:L14"/>
    <mergeCell ref="M14:N14"/>
  </mergeCells>
  <conditionalFormatting sqref="C17:J17 C22:J22 C25:J25 O25:P25 O22:P22 O17:P17">
    <cfRule type="containsText" dxfId="9" priority="9" operator="containsText" text="Yes">
      <formula>NOT(ISERROR(SEARCH("Yes",C17)))</formula>
    </cfRule>
    <cfRule type="containsText" dxfId="8" priority="10" operator="containsText" text="No">
      <formula>NOT(ISERROR(SEARCH("No",C17)))</formula>
    </cfRule>
  </conditionalFormatting>
  <conditionalFormatting sqref="T16 V20:W25">
    <cfRule type="containsText" dxfId="7" priority="8" operator="containsText" text="No">
      <formula>NOT(ISERROR(SEARCH("No",T16)))</formula>
    </cfRule>
  </conditionalFormatting>
  <conditionalFormatting sqref="T16 V20:W25">
    <cfRule type="containsText" dxfId="6" priority="7" operator="containsText" text="Yes">
      <formula>NOT(ISERROR(SEARCH("Yes",T16)))</formula>
    </cfRule>
  </conditionalFormatting>
  <conditionalFormatting sqref="V15:W19">
    <cfRule type="containsText" dxfId="5" priority="5" operator="containsText" text="True">
      <formula>NOT(ISERROR(SEARCH("True",V15)))</formula>
    </cfRule>
    <cfRule type="containsText" dxfId="4" priority="6" operator="containsText" text="False">
      <formula>NOT(ISERROR(SEARCH("False",V15)))</formula>
    </cfRule>
  </conditionalFormatting>
  <conditionalFormatting sqref="K25:L25 K22:L22 K17:L17">
    <cfRule type="containsText" dxfId="3" priority="3" operator="containsText" text="Yes">
      <formula>NOT(ISERROR(SEARCH("Yes",K17)))</formula>
    </cfRule>
    <cfRule type="containsText" dxfId="2" priority="4" operator="containsText" text="No">
      <formula>NOT(ISERROR(SEARCH("No",K17)))</formula>
    </cfRule>
  </conditionalFormatting>
  <conditionalFormatting sqref="M25:N25 M22:N22 M17:N17">
    <cfRule type="containsText" dxfId="1" priority="1" operator="containsText" text="Yes">
      <formula>NOT(ISERROR(SEARCH("Yes",M17)))</formula>
    </cfRule>
    <cfRule type="containsText" dxfId="0" priority="2" operator="containsText" text="No">
      <formula>NOT(ISERROR(SEARCH("No",M17)))</formula>
    </cfRule>
  </conditionalFormatting>
  <pageMargins left="0.7" right="0.7" top="0.75" bottom="0.75" header="0.3" footer="0.3"/>
  <pageSetup scale="5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K-5</vt:lpstr>
      <vt:lpstr>6-8</vt:lpstr>
      <vt:lpstr>9-12</vt:lpstr>
      <vt:lpstr>K-12</vt:lpstr>
      <vt:lpstr>K-12; 4 day week</vt:lpstr>
      <vt:lpstr>K-12; 7 day week</vt:lpstr>
    </vt:vector>
  </TitlesOfParts>
  <Company>Utah State Office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Timmins, Ellen</dc:creator>
  <cp:lastModifiedBy>Timmins, Ellen</cp:lastModifiedBy>
  <cp:lastPrinted>2012-08-30T21:59:50Z</cp:lastPrinted>
  <dcterms:created xsi:type="dcterms:W3CDTF">2012-04-09T18:41:34Z</dcterms:created>
  <dcterms:modified xsi:type="dcterms:W3CDTF">2012-09-13T22:46:54Z</dcterms:modified>
</cp:coreProperties>
</file>