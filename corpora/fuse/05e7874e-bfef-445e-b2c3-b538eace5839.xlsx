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85" yWindow="30" windowWidth="15450" windowHeight="9900" activeTab="1"/>
  </bookViews>
  <sheets>
    <sheet name="Blank" sheetId="32" r:id="rId1"/>
    <sheet name="Totals" sheetId="30" r:id="rId2"/>
  </sheets>
  <calcPr calcId="125725"/>
</workbook>
</file>

<file path=xl/calcChain.xml><?xml version="1.0" encoding="utf-8"?>
<calcChain xmlns="http://schemas.openxmlformats.org/spreadsheetml/2006/main">
  <c r="K54" i="30"/>
  <c r="K52"/>
  <c r="K50"/>
  <c r="K49"/>
  <c r="K46"/>
  <c r="K57" l="1"/>
  <c r="K56"/>
  <c r="K31"/>
  <c r="K32"/>
  <c r="K33"/>
  <c r="K34"/>
  <c r="K35"/>
  <c r="K36"/>
  <c r="K37"/>
  <c r="K38"/>
  <c r="K39"/>
  <c r="K40"/>
  <c r="K41"/>
  <c r="K42"/>
  <c r="K43"/>
  <c r="K44"/>
  <c r="K48"/>
  <c r="K58"/>
  <c r="K60" l="1"/>
</calcChain>
</file>

<file path=xl/sharedStrings.xml><?xml version="1.0" encoding="utf-8"?>
<sst xmlns="http://schemas.openxmlformats.org/spreadsheetml/2006/main" count="261" uniqueCount="103">
  <si>
    <t>Contact Name:</t>
  </si>
  <si>
    <t>Organization:</t>
  </si>
  <si>
    <t>Ship-To Address:</t>
  </si>
  <si>
    <t>Phone:</t>
  </si>
  <si>
    <t>Fax:</t>
  </si>
  <si>
    <t>Bill-To Address:</t>
  </si>
  <si>
    <t>Bows:</t>
  </si>
  <si>
    <t>Qty</t>
  </si>
  <si>
    <t>Price</t>
  </si>
  <si>
    <t>Item</t>
  </si>
  <si>
    <t>Extended</t>
  </si>
  <si>
    <t>Total</t>
  </si>
  <si>
    <t>Number</t>
  </si>
  <si>
    <t>Part</t>
  </si>
  <si>
    <t>Order</t>
  </si>
  <si>
    <t>(Includes Shipping)</t>
  </si>
  <si>
    <t>E-mail:</t>
  </si>
  <si>
    <t>Name:</t>
  </si>
  <si>
    <t>Compound</t>
  </si>
  <si>
    <t>Genesis</t>
  </si>
  <si>
    <t>Ea</t>
  </si>
  <si>
    <t>Kit</t>
  </si>
  <si>
    <t>Arrows:</t>
  </si>
  <si>
    <t>Bowrack:</t>
  </si>
  <si>
    <t>Repair Kit:</t>
  </si>
  <si>
    <t>Right Hand Wildberry</t>
  </si>
  <si>
    <t>Left Hand Blue Raspberry</t>
  </si>
  <si>
    <t>Left Hand Lemon</t>
  </si>
  <si>
    <t>Left Hand Lime</t>
  </si>
  <si>
    <t>Left Hand Red Cherry</t>
  </si>
  <si>
    <t>Left Hand Wildberry</t>
  </si>
  <si>
    <t>Right Hand Red Cherry</t>
  </si>
  <si>
    <t>Right Hand Lime</t>
  </si>
  <si>
    <t>Right Hand Lemon</t>
  </si>
  <si>
    <t>Right Hand Blue Raspberry</t>
  </si>
  <si>
    <r>
      <t>Morrell</t>
    </r>
    <r>
      <rPr>
        <sz val="10"/>
        <rFont val="Arial"/>
        <family val="2"/>
      </rPr>
      <t xml:space="preserve"> 33" Eternity Target</t>
    </r>
  </si>
  <si>
    <r>
      <t>Bowtree</t>
    </r>
    <r>
      <rPr>
        <sz val="10"/>
        <rFont val="Arial"/>
        <family val="2"/>
      </rPr>
      <t xml:space="preserve"> Bowrack</t>
    </r>
  </si>
  <si>
    <t>Right Hand Orange</t>
  </si>
  <si>
    <t>Left Hand Orange</t>
  </si>
  <si>
    <r>
      <t xml:space="preserve">Archery Shooter </t>
    </r>
    <r>
      <rPr>
        <sz val="10"/>
        <rFont val="Arial"/>
        <family val="2"/>
      </rPr>
      <t>Bowhanger</t>
    </r>
  </si>
  <si>
    <t>3-Digit Code</t>
  </si>
  <si>
    <t>*** See note above</t>
  </si>
  <si>
    <t>$111/bow</t>
  </si>
  <si>
    <t>Arrow Curtain:</t>
  </si>
  <si>
    <r>
      <t>Rinehart</t>
    </r>
    <r>
      <rPr>
        <sz val="10"/>
        <rFont val="Arial"/>
        <family val="2"/>
      </rPr>
      <t xml:space="preserve"> </t>
    </r>
    <r>
      <rPr>
        <sz val="9.5"/>
        <rFont val="Arial"/>
        <family val="2"/>
      </rPr>
      <t>32" Round Foam</t>
    </r>
  </si>
  <si>
    <t>Targets 80cm Face:</t>
  </si>
  <si>
    <r>
      <t xml:space="preserve">Field Logic </t>
    </r>
    <r>
      <rPr>
        <sz val="10"/>
        <rFont val="Arial"/>
        <family val="2"/>
      </rPr>
      <t>34" Block Target</t>
    </r>
  </si>
  <si>
    <r>
      <t xml:space="preserve">Hold Up Display </t>
    </r>
    <r>
      <rPr>
        <sz val="10"/>
        <rFont val="Arial"/>
        <family val="2"/>
      </rPr>
      <t>Bowrack</t>
    </r>
  </si>
  <si>
    <r>
      <t>BCY</t>
    </r>
    <r>
      <rPr>
        <sz val="10"/>
        <rFont val="Arial"/>
        <family val="2"/>
      </rPr>
      <t xml:space="preserve"> 30' x 10' w/ carrying bag</t>
    </r>
  </si>
  <si>
    <t>Prices effective:</t>
  </si>
  <si>
    <t>Right Hand Black</t>
  </si>
  <si>
    <t>Left Hand Black</t>
  </si>
  <si>
    <t>City State Zip:</t>
  </si>
  <si>
    <t>(NO PO Box)</t>
  </si>
  <si>
    <t>(If different)</t>
  </si>
  <si>
    <t>Box</t>
  </si>
  <si>
    <t>Price **</t>
  </si>
  <si>
    <t>$156 / target</t>
  </si>
  <si>
    <r>
      <rPr>
        <b/>
        <sz val="9"/>
        <rFont val="Arial"/>
        <family val="2"/>
      </rPr>
      <t>Easton-Truflite</t>
    </r>
    <r>
      <rPr>
        <sz val="9"/>
        <rFont val="Arial"/>
        <family val="2"/>
      </rPr>
      <t xml:space="preserve"> 1820 Aluminum 5 dzn</t>
    </r>
  </si>
  <si>
    <r>
      <t>NASP</t>
    </r>
    <r>
      <rPr>
        <b/>
        <sz val="14"/>
        <rFont val="Calibri"/>
        <family val="2"/>
      </rPr>
      <t>® Equipment Order Form -  Public School &amp; Government</t>
    </r>
  </si>
  <si>
    <t>*** A blank FET Exemption From can be found under the ordering link on the NASP Website.  FET is not the same as Sales &amp; Use Tax. ***</t>
  </si>
  <si>
    <t>*** All Public Schools/Gov't agencies purchasing arrows MUST complete an FET Exemption Form ***</t>
  </si>
  <si>
    <t>** Prices on this order form include shipping to a commercial address in the lower 48 states. **</t>
  </si>
  <si>
    <t>*PO Number is REQUIRED if order is not prepaid.</t>
  </si>
  <si>
    <t>Retain CC# for future orders?       Yes       No</t>
  </si>
  <si>
    <t>*** Order will NOT BE PROCESSED without current FET Exemption Form on file ***</t>
  </si>
  <si>
    <t>$158 each</t>
  </si>
  <si>
    <t>VISA / MasterCard:</t>
  </si>
  <si>
    <t>PO Number:</t>
  </si>
  <si>
    <t>Card #:</t>
  </si>
  <si>
    <t>Expires:</t>
  </si>
  <si>
    <t>Payment accepted by Check, MasterCard, Visa, or Purchase Order:</t>
  </si>
  <si>
    <t>Set</t>
  </si>
  <si>
    <t>NASP, Inc.</t>
  </si>
  <si>
    <t>W4285 Lake Drive</t>
  </si>
  <si>
    <t>Waldo, WI  53093</t>
  </si>
  <si>
    <t>Phone: (920) 523-6040</t>
  </si>
  <si>
    <t>Fax:     (920) 523-6042</t>
  </si>
  <si>
    <t>**Strings, Cables, Arrow Rests, and Cable Rod Slides can be found on the Supplemental Order Form.</t>
  </si>
  <si>
    <t>Email: michelleh@nasparchery.com</t>
  </si>
  <si>
    <t>*** BY SUBMITTING AN ORDER TO NASP YOU AGREE THESE ITEMS WILL STAY PROPERTY OF THE ORGANIZATION***</t>
  </si>
  <si>
    <t>PLEASE NOTE: You are free to choose components in any quantity or combination that suits your needs.  A suggested "standard"</t>
  </si>
  <si>
    <t>school kit includes: 10 Right Hand bows, 2 Left Hand bows, 2 boxes arrows, 5 targets, 1 arrow curtain, 1 repair kit, and 1 bowrack.</t>
  </si>
  <si>
    <t>$189 / target</t>
  </si>
  <si>
    <t>$289 each</t>
  </si>
  <si>
    <t>$179 / set</t>
  </si>
  <si>
    <t>** Estimated delivery time is 3-4 weeks.</t>
  </si>
  <si>
    <t>*** AND WILL NOT BE RESOLD ***</t>
  </si>
  <si>
    <t>Jan 1 - Dec 31, 2014</t>
  </si>
  <si>
    <t>$145 / box</t>
  </si>
  <si>
    <t>$199 / target</t>
  </si>
  <si>
    <t>$300 / net</t>
  </si>
  <si>
    <t>$99 / kit</t>
  </si>
  <si>
    <r>
      <rPr>
        <b/>
        <sz val="10"/>
        <rFont val="Arial"/>
        <family val="2"/>
      </rPr>
      <t>Lancaster</t>
    </r>
    <r>
      <rPr>
        <sz val="10"/>
        <rFont val="Arial"/>
        <family val="2"/>
      </rPr>
      <t xml:space="preserve"> Repair Kit</t>
    </r>
  </si>
  <si>
    <t>Copy of Sales Tax Exemption</t>
  </si>
  <si>
    <t>**Sales tax will be added in KY, WI, OH, and MD if sales tax exemption certificate is not rec'd.**</t>
  </si>
  <si>
    <t>www.naspschools.org</t>
  </si>
  <si>
    <t xml:space="preserve">Sales Tax Exempt Document:  </t>
  </si>
  <si>
    <t>2001 Elmerton Ave.</t>
  </si>
  <si>
    <t>Harrisburg, Pa 17110</t>
  </si>
  <si>
    <t>Phone: (717) 787-4250 x 3327</t>
  </si>
  <si>
    <t>Fax:     (717) 772-0542</t>
  </si>
  <si>
    <t>Email: sapedder@pa.gov</t>
  </si>
</sst>
</file>

<file path=xl/styles.xml><?xml version="1.0" encoding="utf-8"?>
<styleSheet xmlns="http://schemas.openxmlformats.org/spreadsheetml/2006/main">
  <numFmts count="1">
    <numFmt numFmtId="164" formatCode="#,###.00"/>
  </numFmts>
  <fonts count="14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b/>
      <sz val="14"/>
      <name val="Calibri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Border="1"/>
    <xf numFmtId="0" fontId="2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applyFont="1" applyBorder="1"/>
    <xf numFmtId="0" fontId="4" fillId="0" borderId="0" xfId="0" applyFont="1"/>
    <xf numFmtId="0" fontId="4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Fill="1"/>
    <xf numFmtId="0" fontId="4" fillId="0" borderId="1" xfId="0" applyFont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/>
    <xf numFmtId="0" fontId="6" fillId="0" borderId="2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1" applyBorder="1" applyAlignment="1" applyProtection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5" fillId="0" borderId="0" xfId="0" applyFont="1" applyAlignment="1"/>
    <xf numFmtId="0" fontId="4" fillId="0" borderId="2" xfId="0" applyFont="1" applyFill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164" fontId="0" fillId="0" borderId="5" xfId="0" applyNumberFormat="1" applyBorder="1"/>
    <xf numFmtId="49" fontId="4" fillId="0" borderId="3" xfId="0" applyNumberFormat="1" applyFont="1" applyFill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Continuous"/>
    </xf>
    <xf numFmtId="0" fontId="13" fillId="0" borderId="0" xfId="0" applyFont="1" applyAlignment="1">
      <alignment horizontal="centerContinuous"/>
    </xf>
    <xf numFmtId="0" fontId="5" fillId="2" borderId="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4" fillId="2" borderId="0" xfId="0" applyFont="1" applyFill="1" applyBorder="1"/>
    <xf numFmtId="0" fontId="6" fillId="2" borderId="0" xfId="0" applyFont="1" applyFill="1"/>
    <xf numFmtId="0" fontId="6" fillId="0" borderId="3" xfId="0" applyFont="1" applyBorder="1" applyAlignment="1">
      <alignment horizontal="left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shrinkToFit="1"/>
    </xf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/>
    <xf numFmtId="0" fontId="6" fillId="0" borderId="7" xfId="0" applyFont="1" applyBorder="1" applyAlignment="1">
      <alignment horizontal="left"/>
    </xf>
    <xf numFmtId="0" fontId="6" fillId="0" borderId="7" xfId="0" applyFont="1" applyBorder="1" applyAlignment="1"/>
    <xf numFmtId="0" fontId="2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" fontId="4" fillId="0" borderId="3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2" borderId="0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1" applyAlignment="1" applyProtection="1">
      <alignment horizontal="right"/>
    </xf>
    <xf numFmtId="0" fontId="8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3" name="Rectangle 2"/>
        <xdr:cNvSpPr/>
      </xdr:nvSpPr>
      <xdr:spPr>
        <a:xfrm>
          <a:off x="2419350" y="2581275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13</xdr:row>
      <xdr:rowOff>0</xdr:rowOff>
    </xdr:from>
    <xdr:to>
      <xdr:col>4</xdr:col>
      <xdr:colOff>11205</xdr:colOff>
      <xdr:row>14</xdr:row>
      <xdr:rowOff>0</xdr:rowOff>
    </xdr:to>
    <xdr:sp macro="" textlink="">
      <xdr:nvSpPr>
        <xdr:cNvPr id="14" name="Rectangle 13"/>
        <xdr:cNvSpPr/>
      </xdr:nvSpPr>
      <xdr:spPr>
        <a:xfrm>
          <a:off x="2419350" y="2743200"/>
          <a:ext cx="277905" cy="190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aspschools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zoomScale="85" zoomScaleNormal="85" workbookViewId="0">
      <selection activeCell="D16" sqref="D16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3" t="s">
        <v>59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4" t="s">
        <v>49</v>
      </c>
      <c r="F3" s="84"/>
      <c r="G3" s="84"/>
      <c r="H3" s="84"/>
      <c r="I3" s="84"/>
      <c r="J3" s="9"/>
      <c r="K3" s="9"/>
      <c r="L3" s="12" t="s">
        <v>76</v>
      </c>
    </row>
    <row r="4" spans="1:18" ht="15.75">
      <c r="B4" s="30" t="s">
        <v>74</v>
      </c>
      <c r="E4" s="84" t="s">
        <v>88</v>
      </c>
      <c r="F4" s="84"/>
      <c r="G4" s="84"/>
      <c r="H4" s="84"/>
      <c r="I4" s="84"/>
      <c r="J4" s="9"/>
      <c r="K4" s="9"/>
      <c r="L4" s="12" t="s">
        <v>77</v>
      </c>
    </row>
    <row r="5" spans="1:18" ht="15.75">
      <c r="B5" s="30" t="s">
        <v>75</v>
      </c>
      <c r="E5" s="32"/>
      <c r="F5" s="32"/>
      <c r="G5" s="32"/>
      <c r="H5" s="85" t="s">
        <v>79</v>
      </c>
      <c r="I5" s="85"/>
      <c r="J5" s="85"/>
      <c r="K5" s="85"/>
      <c r="L5" s="85"/>
    </row>
    <row r="6" spans="1:18" ht="13.5" customHeight="1">
      <c r="E6" s="11"/>
      <c r="F6" s="11"/>
      <c r="G6" s="11"/>
      <c r="H6" s="86" t="s">
        <v>96</v>
      </c>
      <c r="I6" s="87"/>
      <c r="J6" s="87"/>
      <c r="K6" s="87"/>
      <c r="L6" s="87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3" t="s">
        <v>54</v>
      </c>
      <c r="H9" s="73"/>
      <c r="I9" s="73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2" t="s">
        <v>95</v>
      </c>
      <c r="D15" s="82"/>
      <c r="E15" s="82"/>
      <c r="F15" s="82"/>
      <c r="G15" s="82"/>
      <c r="H15" s="82"/>
      <c r="I15" s="82"/>
      <c r="J15" s="82"/>
      <c r="K15" s="82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4"/>
      <c r="J20" s="74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5" t="s">
        <v>81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</row>
    <row r="24" spans="1:13" ht="13.5" thickBot="1">
      <c r="A24" s="78" t="s">
        <v>82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1" t="s">
        <v>60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2" t="s">
        <v>9</v>
      </c>
      <c r="E30" s="72"/>
      <c r="F30" s="72"/>
      <c r="G30" s="72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4" t="s">
        <v>25</v>
      </c>
      <c r="E31" s="65"/>
      <c r="F31" s="65"/>
      <c r="G31" s="65"/>
      <c r="H31" s="13"/>
      <c r="I31" s="27" t="s">
        <v>20</v>
      </c>
      <c r="J31" s="27" t="s">
        <v>42</v>
      </c>
      <c r="K31" s="3"/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4" t="s">
        <v>31</v>
      </c>
      <c r="E32" s="65"/>
      <c r="F32" s="65"/>
      <c r="G32" s="65"/>
      <c r="H32" s="13"/>
      <c r="I32" s="27" t="s">
        <v>20</v>
      </c>
      <c r="J32" s="27" t="s">
        <v>42</v>
      </c>
      <c r="K32" s="3"/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4" t="s">
        <v>32</v>
      </c>
      <c r="E33" s="65"/>
      <c r="F33" s="65"/>
      <c r="G33" s="65"/>
      <c r="H33" s="13"/>
      <c r="I33" s="27" t="s">
        <v>20</v>
      </c>
      <c r="J33" s="27" t="s">
        <v>42</v>
      </c>
      <c r="K33" s="3"/>
      <c r="L33" s="14"/>
      <c r="M33" s="18"/>
    </row>
    <row r="34" spans="1:13" ht="15.95" customHeight="1">
      <c r="A34" s="18"/>
      <c r="B34" s="18"/>
      <c r="C34" s="27">
        <v>10474</v>
      </c>
      <c r="D34" s="64" t="s">
        <v>33</v>
      </c>
      <c r="E34" s="65"/>
      <c r="F34" s="65"/>
      <c r="G34" s="65"/>
      <c r="H34" s="13"/>
      <c r="I34" s="27" t="s">
        <v>20</v>
      </c>
      <c r="J34" s="27" t="s">
        <v>42</v>
      </c>
      <c r="K34" s="3"/>
      <c r="L34" s="14"/>
      <c r="M34" s="18"/>
    </row>
    <row r="35" spans="1:13" ht="15.95" customHeight="1">
      <c r="A35" s="18"/>
      <c r="B35" s="18"/>
      <c r="C35" s="27">
        <v>10472</v>
      </c>
      <c r="D35" s="68" t="s">
        <v>34</v>
      </c>
      <c r="E35" s="69"/>
      <c r="F35" s="69"/>
      <c r="G35" s="69"/>
      <c r="H35" s="13"/>
      <c r="I35" s="27" t="s">
        <v>20</v>
      </c>
      <c r="J35" s="27" t="s">
        <v>42</v>
      </c>
      <c r="K35" s="3"/>
      <c r="L35" s="14"/>
      <c r="M35" s="18"/>
    </row>
    <row r="36" spans="1:13" ht="15.95" customHeight="1">
      <c r="A36" s="18"/>
      <c r="B36" s="18"/>
      <c r="C36" s="31">
        <v>11409</v>
      </c>
      <c r="D36" s="64" t="s">
        <v>37</v>
      </c>
      <c r="E36" s="65"/>
      <c r="F36" s="65"/>
      <c r="G36" s="65"/>
      <c r="H36" s="13"/>
      <c r="I36" s="27" t="s">
        <v>20</v>
      </c>
      <c r="J36" s="27" t="s">
        <v>42</v>
      </c>
      <c r="K36" s="3"/>
      <c r="L36" s="14"/>
      <c r="M36" s="18"/>
    </row>
    <row r="37" spans="1:13" ht="15.95" customHeight="1">
      <c r="A37" s="18"/>
      <c r="B37" s="18"/>
      <c r="C37" s="31">
        <v>12232</v>
      </c>
      <c r="D37" s="64" t="s">
        <v>50</v>
      </c>
      <c r="E37" s="65"/>
      <c r="F37" s="65"/>
      <c r="G37" s="65"/>
      <c r="H37" s="13"/>
      <c r="I37" s="27" t="s">
        <v>20</v>
      </c>
      <c r="J37" s="27" t="s">
        <v>42</v>
      </c>
      <c r="K37" s="3"/>
      <c r="L37" s="14"/>
      <c r="M37" s="18"/>
    </row>
    <row r="38" spans="1:13" ht="15.95" customHeight="1">
      <c r="A38" s="18"/>
      <c r="B38" s="18"/>
      <c r="C38" s="27">
        <v>10477</v>
      </c>
      <c r="D38" s="70" t="s">
        <v>30</v>
      </c>
      <c r="E38" s="71"/>
      <c r="F38" s="71"/>
      <c r="G38" s="71"/>
      <c r="H38" s="13"/>
      <c r="I38" s="27" t="s">
        <v>20</v>
      </c>
      <c r="J38" s="27" t="s">
        <v>42</v>
      </c>
      <c r="K38" s="3"/>
      <c r="L38" s="14"/>
      <c r="M38" s="18"/>
    </row>
    <row r="39" spans="1:13" ht="15.95" customHeight="1">
      <c r="A39" s="18"/>
      <c r="B39" s="18"/>
      <c r="C39" s="27">
        <v>10475</v>
      </c>
      <c r="D39" s="64" t="s">
        <v>29</v>
      </c>
      <c r="E39" s="65"/>
      <c r="F39" s="65"/>
      <c r="G39" s="65"/>
      <c r="H39" s="13"/>
      <c r="I39" s="27" t="s">
        <v>20</v>
      </c>
      <c r="J39" s="27" t="s">
        <v>42</v>
      </c>
      <c r="K39" s="3"/>
      <c r="L39" s="14"/>
      <c r="M39" s="18"/>
    </row>
    <row r="40" spans="1:13" ht="15.95" customHeight="1">
      <c r="A40" s="18"/>
      <c r="B40" s="18"/>
      <c r="C40" s="27">
        <v>10479</v>
      </c>
      <c r="D40" s="64" t="s">
        <v>28</v>
      </c>
      <c r="E40" s="65"/>
      <c r="F40" s="65"/>
      <c r="G40" s="65"/>
      <c r="H40" s="13"/>
      <c r="I40" s="27" t="s">
        <v>20</v>
      </c>
      <c r="J40" s="27" t="s">
        <v>42</v>
      </c>
      <c r="K40" s="3"/>
      <c r="L40" s="14"/>
      <c r="M40" s="18"/>
    </row>
    <row r="41" spans="1:13" ht="15.95" customHeight="1">
      <c r="A41" s="18"/>
      <c r="B41" s="18"/>
      <c r="C41" s="27">
        <v>10473</v>
      </c>
      <c r="D41" s="64" t="s">
        <v>27</v>
      </c>
      <c r="E41" s="65"/>
      <c r="F41" s="65"/>
      <c r="G41" s="65"/>
      <c r="H41" s="15"/>
      <c r="I41" s="27" t="s">
        <v>20</v>
      </c>
      <c r="J41" s="27" t="s">
        <v>42</v>
      </c>
      <c r="K41" s="3"/>
      <c r="L41" s="14"/>
      <c r="M41" s="18"/>
    </row>
    <row r="42" spans="1:13" ht="15.95" customHeight="1">
      <c r="A42" s="18"/>
      <c r="B42" s="18"/>
      <c r="C42" s="27">
        <v>10471</v>
      </c>
      <c r="D42" s="68" t="s">
        <v>26</v>
      </c>
      <c r="E42" s="69"/>
      <c r="F42" s="69"/>
      <c r="G42" s="69"/>
      <c r="H42" s="15"/>
      <c r="I42" s="27" t="s">
        <v>20</v>
      </c>
      <c r="J42" s="27" t="s">
        <v>42</v>
      </c>
      <c r="K42" s="3"/>
      <c r="L42" s="14"/>
      <c r="M42" s="18"/>
    </row>
    <row r="43" spans="1:13" ht="15.95" customHeight="1">
      <c r="A43" s="18"/>
      <c r="B43" s="18"/>
      <c r="C43" s="31">
        <v>11410</v>
      </c>
      <c r="D43" s="64" t="s">
        <v>38</v>
      </c>
      <c r="E43" s="65"/>
      <c r="F43" s="65"/>
      <c r="G43" s="65"/>
      <c r="H43" s="15"/>
      <c r="I43" s="27" t="s">
        <v>20</v>
      </c>
      <c r="J43" s="27" t="s">
        <v>42</v>
      </c>
      <c r="K43" s="3"/>
      <c r="L43" s="14"/>
      <c r="M43" s="18"/>
    </row>
    <row r="44" spans="1:13" ht="15.95" customHeight="1">
      <c r="A44" s="18"/>
      <c r="B44" s="18"/>
      <c r="C44" s="31">
        <v>12231</v>
      </c>
      <c r="D44" s="64" t="s">
        <v>51</v>
      </c>
      <c r="E44" s="65"/>
      <c r="F44" s="65"/>
      <c r="G44" s="65"/>
      <c r="H44" s="15"/>
      <c r="I44" s="27" t="s">
        <v>20</v>
      </c>
      <c r="J44" s="27" t="s">
        <v>42</v>
      </c>
      <c r="K44" s="3"/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7" t="s">
        <v>58</v>
      </c>
      <c r="E46" s="65"/>
      <c r="F46" s="65"/>
      <c r="G46" s="65"/>
      <c r="H46" s="13"/>
      <c r="I46" s="27" t="s">
        <v>55</v>
      </c>
      <c r="J46" s="27" t="s">
        <v>89</v>
      </c>
      <c r="K46" s="3"/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56"/>
      <c r="J47" s="56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6" t="s">
        <v>35</v>
      </c>
      <c r="E48" s="65"/>
      <c r="F48" s="65"/>
      <c r="G48" s="65"/>
      <c r="H48" s="13"/>
      <c r="I48" s="27" t="s">
        <v>20</v>
      </c>
      <c r="J48" s="27" t="s">
        <v>57</v>
      </c>
      <c r="K48" s="3"/>
      <c r="L48" s="16"/>
      <c r="M48" s="18"/>
    </row>
    <row r="49" spans="1:13" ht="15.95" customHeight="1">
      <c r="A49" s="18"/>
      <c r="B49" s="2"/>
      <c r="C49" s="27">
        <v>10921</v>
      </c>
      <c r="D49" s="66" t="s">
        <v>44</v>
      </c>
      <c r="E49" s="65"/>
      <c r="F49" s="65"/>
      <c r="G49" s="65"/>
      <c r="H49" s="13"/>
      <c r="I49" s="27" t="s">
        <v>20</v>
      </c>
      <c r="J49" s="27" t="s">
        <v>90</v>
      </c>
      <c r="K49" s="3"/>
      <c r="L49" s="16"/>
      <c r="M49" s="18"/>
    </row>
    <row r="50" spans="1:13" ht="15.95" customHeight="1">
      <c r="A50" s="18"/>
      <c r="B50" s="2"/>
      <c r="C50" s="27">
        <v>10994</v>
      </c>
      <c r="D50" s="66" t="s">
        <v>46</v>
      </c>
      <c r="E50" s="65"/>
      <c r="F50" s="65"/>
      <c r="G50" s="65"/>
      <c r="H50" s="13"/>
      <c r="I50" s="27" t="s">
        <v>20</v>
      </c>
      <c r="J50" s="27" t="s">
        <v>83</v>
      </c>
      <c r="K50" s="3"/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56"/>
      <c r="J51" s="56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6" t="s">
        <v>48</v>
      </c>
      <c r="E52" s="65"/>
      <c r="F52" s="65"/>
      <c r="G52" s="65"/>
      <c r="H52" s="13"/>
      <c r="I52" s="27" t="s">
        <v>20</v>
      </c>
      <c r="J52" s="27" t="s">
        <v>91</v>
      </c>
      <c r="K52" s="3"/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4" t="s">
        <v>93</v>
      </c>
      <c r="E54" s="65"/>
      <c r="F54" s="65"/>
      <c r="G54" s="65"/>
      <c r="H54" s="13"/>
      <c r="I54" s="27" t="s">
        <v>21</v>
      </c>
      <c r="J54" s="27" t="s">
        <v>92</v>
      </c>
      <c r="K54" s="3"/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6" t="s">
        <v>36</v>
      </c>
      <c r="E56" s="65"/>
      <c r="F56" s="65"/>
      <c r="G56" s="65"/>
      <c r="H56" s="13"/>
      <c r="I56" s="27" t="s">
        <v>20</v>
      </c>
      <c r="J56" s="27" t="s">
        <v>84</v>
      </c>
      <c r="K56" s="3"/>
      <c r="L56" s="16"/>
      <c r="M56" s="18"/>
    </row>
    <row r="57" spans="1:13" ht="15.95" customHeight="1">
      <c r="A57" s="18"/>
      <c r="B57" s="2"/>
      <c r="C57" s="27">
        <v>11576</v>
      </c>
      <c r="D57" s="66" t="s">
        <v>39</v>
      </c>
      <c r="E57" s="65"/>
      <c r="F57" s="65"/>
      <c r="G57" s="65"/>
      <c r="H57" s="13"/>
      <c r="I57" s="27" t="s">
        <v>72</v>
      </c>
      <c r="J57" s="27" t="s">
        <v>85</v>
      </c>
      <c r="K57" s="3"/>
      <c r="L57" s="16"/>
      <c r="M57" s="18"/>
    </row>
    <row r="58" spans="1:13" ht="15.95" customHeight="1">
      <c r="A58" s="18"/>
      <c r="B58" s="2"/>
      <c r="C58" s="27">
        <v>12026</v>
      </c>
      <c r="D58" s="66" t="s">
        <v>47</v>
      </c>
      <c r="E58" s="65"/>
      <c r="F58" s="65"/>
      <c r="G58" s="65"/>
      <c r="H58" s="13"/>
      <c r="I58" s="27" t="s">
        <v>20</v>
      </c>
      <c r="J58" s="27" t="s">
        <v>66</v>
      </c>
      <c r="K58" s="3"/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/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1" t="s">
        <v>80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  <c r="M67" s="51"/>
    </row>
    <row r="68" spans="1:13" ht="15.75" thickBot="1">
      <c r="A68" s="58" t="s">
        <v>87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</row>
  </sheetData>
  <mergeCells count="37">
    <mergeCell ref="B1:L1"/>
    <mergeCell ref="E3:I3"/>
    <mergeCell ref="E4:I4"/>
    <mergeCell ref="H5:L5"/>
    <mergeCell ref="H6:L6"/>
    <mergeCell ref="G9:I9"/>
    <mergeCell ref="I20:J20"/>
    <mergeCell ref="A23:M23"/>
    <mergeCell ref="A24:M24"/>
    <mergeCell ref="A28:M28"/>
    <mergeCell ref="C15:K15"/>
    <mergeCell ref="D30:G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  <mergeCell ref="D43:G43"/>
    <mergeCell ref="D44:G44"/>
    <mergeCell ref="D46:G46"/>
    <mergeCell ref="D48:G48"/>
    <mergeCell ref="D49:G49"/>
    <mergeCell ref="D50:G50"/>
    <mergeCell ref="D52:G52"/>
    <mergeCell ref="A68:L68"/>
    <mergeCell ref="A67:L67"/>
    <mergeCell ref="D54:G54"/>
    <mergeCell ref="D56:G56"/>
    <mergeCell ref="D57:G57"/>
    <mergeCell ref="D58:G58"/>
  </mergeCells>
  <hyperlinks>
    <hyperlink ref="H6" r:id="rId1"/>
  </hyperlinks>
  <pageMargins left="0.33" right="0.27" top="0.2" bottom="0.2" header="0.21" footer="0.17"/>
  <pageSetup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8"/>
  <sheetViews>
    <sheetView tabSelected="1" zoomScale="85" zoomScaleNormal="85" workbookViewId="0">
      <selection activeCell="O42" sqref="O42"/>
    </sheetView>
  </sheetViews>
  <sheetFormatPr defaultRowHeight="12.75"/>
  <cols>
    <col min="1" max="1" width="5.7109375" customWidth="1"/>
    <col min="2" max="2" width="14.85546875" customWidth="1"/>
    <col min="3" max="3" width="8.28515625" customWidth="1"/>
    <col min="4" max="4" width="11.42578125" customWidth="1"/>
    <col min="5" max="5" width="10.5703125" customWidth="1"/>
    <col min="6" max="6" width="3" customWidth="1"/>
    <col min="7" max="7" width="5.85546875" customWidth="1"/>
    <col min="8" max="8" width="8" customWidth="1"/>
    <col min="9" max="9" width="5.85546875" customWidth="1"/>
    <col min="10" max="10" width="14.28515625" customWidth="1"/>
    <col min="11" max="11" width="12.7109375" customWidth="1"/>
    <col min="13" max="13" width="10.85546875" customWidth="1"/>
  </cols>
  <sheetData>
    <row r="1" spans="1:18" ht="18.75">
      <c r="B1" s="83" t="s">
        <v>59</v>
      </c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8" ht="5.0999999999999996" customHeight="1">
      <c r="A2" s="40"/>
      <c r="B2" s="4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8" ht="15.75">
      <c r="B3" s="30" t="s">
        <v>73</v>
      </c>
      <c r="E3" s="84" t="s">
        <v>49</v>
      </c>
      <c r="F3" s="84"/>
      <c r="G3" s="84"/>
      <c r="H3" s="84"/>
      <c r="I3" s="84"/>
      <c r="J3" s="9"/>
      <c r="K3" s="9"/>
      <c r="L3" s="57" t="s">
        <v>100</v>
      </c>
    </row>
    <row r="4" spans="1:18" ht="15.75">
      <c r="B4" s="30" t="s">
        <v>98</v>
      </c>
      <c r="E4" s="84" t="s">
        <v>88</v>
      </c>
      <c r="F4" s="84"/>
      <c r="G4" s="84"/>
      <c r="H4" s="84"/>
      <c r="I4" s="84"/>
      <c r="J4" s="9"/>
      <c r="K4" s="9"/>
      <c r="L4" s="57" t="s">
        <v>101</v>
      </c>
    </row>
    <row r="5" spans="1:18" ht="15.75">
      <c r="B5" s="30" t="s">
        <v>99</v>
      </c>
      <c r="E5" s="32"/>
      <c r="F5" s="32"/>
      <c r="G5" s="32"/>
      <c r="H5" s="85" t="s">
        <v>102</v>
      </c>
      <c r="I5" s="85"/>
      <c r="J5" s="85"/>
      <c r="K5" s="85"/>
      <c r="L5" s="85"/>
    </row>
    <row r="6" spans="1:18" ht="13.5" customHeight="1">
      <c r="E6" s="11"/>
      <c r="F6" s="11"/>
      <c r="G6" s="11"/>
      <c r="H6" s="86"/>
      <c r="I6" s="87"/>
      <c r="J6" s="87"/>
      <c r="K6" s="87"/>
      <c r="L6" s="87"/>
    </row>
    <row r="7" spans="1:18" ht="6.75" customHeight="1">
      <c r="B7" s="34"/>
      <c r="C7" s="52"/>
      <c r="D7" s="8"/>
      <c r="E7" s="8"/>
      <c r="F7" s="8"/>
      <c r="G7" s="53"/>
      <c r="H7" s="38"/>
      <c r="I7" s="38"/>
      <c r="J7" s="38"/>
      <c r="K7" s="38"/>
      <c r="L7" s="38"/>
    </row>
    <row r="8" spans="1:18" ht="18.95" customHeight="1">
      <c r="A8" s="18"/>
      <c r="B8" s="20" t="s">
        <v>1</v>
      </c>
      <c r="C8" s="48"/>
      <c r="D8" s="7"/>
      <c r="E8" s="7"/>
      <c r="F8" s="7"/>
      <c r="H8" s="19" t="s">
        <v>5</v>
      </c>
      <c r="I8" s="19"/>
      <c r="J8" s="7"/>
      <c r="K8" s="7"/>
      <c r="L8" s="7"/>
      <c r="M8" s="18"/>
    </row>
    <row r="9" spans="1:18" ht="18.95" customHeight="1">
      <c r="A9" s="18"/>
      <c r="B9" s="20" t="s">
        <v>0</v>
      </c>
      <c r="C9" s="49"/>
      <c r="D9" s="7"/>
      <c r="E9" s="10"/>
      <c r="F9" s="10"/>
      <c r="G9" s="73" t="s">
        <v>54</v>
      </c>
      <c r="H9" s="73"/>
      <c r="I9" s="73"/>
      <c r="J9" s="7"/>
      <c r="K9" s="7"/>
      <c r="L9" s="7"/>
      <c r="M9" s="18"/>
    </row>
    <row r="10" spans="1:18" ht="18.95" customHeight="1">
      <c r="A10" s="18"/>
      <c r="B10" s="20" t="s">
        <v>2</v>
      </c>
      <c r="C10" s="49"/>
      <c r="D10" s="7"/>
      <c r="E10" s="10"/>
      <c r="F10" s="7"/>
      <c r="H10" s="19" t="s">
        <v>52</v>
      </c>
      <c r="I10" s="19"/>
      <c r="J10" s="46"/>
      <c r="K10" s="10"/>
      <c r="L10" s="10"/>
      <c r="M10" s="18"/>
    </row>
    <row r="11" spans="1:18" ht="18.95" customHeight="1">
      <c r="A11" s="18"/>
      <c r="B11" s="47" t="s">
        <v>53</v>
      </c>
      <c r="C11" s="49"/>
      <c r="D11" s="7"/>
      <c r="E11" s="10"/>
      <c r="F11" s="10"/>
      <c r="H11" s="20" t="s">
        <v>3</v>
      </c>
      <c r="J11" s="7"/>
      <c r="K11" s="7"/>
      <c r="L11" s="18"/>
      <c r="M11" s="18"/>
    </row>
    <row r="12" spans="1:18" ht="18.95" customHeight="1">
      <c r="A12" s="18"/>
      <c r="B12" s="20" t="s">
        <v>52</v>
      </c>
      <c r="C12" s="49"/>
      <c r="D12" s="7"/>
      <c r="E12" s="7"/>
      <c r="F12" s="10"/>
      <c r="H12" s="20" t="s">
        <v>4</v>
      </c>
      <c r="J12" s="7"/>
      <c r="K12" s="7"/>
      <c r="L12" s="18"/>
      <c r="M12" s="18"/>
    </row>
    <row r="13" spans="1:18" ht="18.95" customHeight="1">
      <c r="A13" s="18"/>
      <c r="B13" s="19"/>
      <c r="C13" s="19"/>
      <c r="D13" s="18"/>
      <c r="E13" s="19"/>
      <c r="F13" s="22"/>
      <c r="H13" s="20" t="s">
        <v>16</v>
      </c>
      <c r="J13" s="29"/>
      <c r="K13" s="7"/>
      <c r="L13" s="8"/>
      <c r="M13" s="18"/>
    </row>
    <row r="14" spans="1:18" s="18" customFormat="1" ht="15.6" customHeight="1">
      <c r="B14" s="18" t="s">
        <v>97</v>
      </c>
      <c r="C14"/>
      <c r="D14"/>
      <c r="E14" s="18" t="s">
        <v>94</v>
      </c>
      <c r="G14"/>
      <c r="H14"/>
      <c r="K14"/>
      <c r="L14"/>
      <c r="N14" s="22"/>
      <c r="R14" s="22"/>
    </row>
    <row r="15" spans="1:18" s="18" customFormat="1" ht="15.6" customHeight="1">
      <c r="C15" s="82" t="s">
        <v>95</v>
      </c>
      <c r="D15" s="82"/>
      <c r="E15" s="82"/>
      <c r="F15" s="82"/>
      <c r="G15" s="82"/>
      <c r="H15" s="82"/>
      <c r="I15" s="82"/>
      <c r="J15" s="82"/>
      <c r="K15" s="82"/>
      <c r="N15" s="22"/>
      <c r="R15" s="22"/>
    </row>
    <row r="16" spans="1:1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28" t="s">
        <v>71</v>
      </c>
      <c r="C17" s="18"/>
      <c r="D17" s="18"/>
      <c r="E17" s="18"/>
      <c r="F17" s="18"/>
      <c r="G17" s="18"/>
      <c r="H17" s="18"/>
      <c r="J17" s="19" t="s">
        <v>67</v>
      </c>
      <c r="K17" s="18"/>
      <c r="L17" s="25"/>
      <c r="M17" s="18"/>
    </row>
    <row r="18" spans="1:13" ht="18.95" customHeight="1">
      <c r="A18" s="18"/>
      <c r="F18" s="18"/>
      <c r="G18" s="18"/>
      <c r="H18" s="24" t="s">
        <v>17</v>
      </c>
      <c r="I18" s="33"/>
      <c r="J18" s="33"/>
      <c r="K18" s="33"/>
      <c r="L18" s="33"/>
      <c r="M18" s="18"/>
    </row>
    <row r="19" spans="1:13" ht="18.95" customHeight="1">
      <c r="A19" s="18"/>
      <c r="B19" s="22" t="s">
        <v>68</v>
      </c>
      <c r="C19" s="21"/>
      <c r="D19" s="21"/>
      <c r="E19" s="18"/>
      <c r="F19" s="18"/>
      <c r="G19" s="18"/>
      <c r="H19" s="24" t="s">
        <v>69</v>
      </c>
      <c r="I19" s="37"/>
      <c r="J19" s="37"/>
      <c r="K19" s="37"/>
      <c r="L19" s="37"/>
      <c r="M19" s="18"/>
    </row>
    <row r="20" spans="1:13" ht="18.95" customHeight="1">
      <c r="A20" s="18"/>
      <c r="B20" s="1" t="s">
        <v>63</v>
      </c>
      <c r="C20" s="18"/>
      <c r="D20" s="18"/>
      <c r="E20" s="18"/>
      <c r="F20" s="18"/>
      <c r="G20" s="18"/>
      <c r="H20" s="24" t="s">
        <v>70</v>
      </c>
      <c r="I20" s="74"/>
      <c r="J20" s="74"/>
      <c r="K20" s="35" t="s">
        <v>40</v>
      </c>
      <c r="L20" s="10"/>
      <c r="M20" s="18"/>
    </row>
    <row r="21" spans="1:13">
      <c r="A21" s="18"/>
      <c r="B21" s="22"/>
      <c r="C21" s="18"/>
      <c r="D21" s="18"/>
      <c r="E21" s="18"/>
      <c r="F21" s="18"/>
      <c r="G21" s="18"/>
      <c r="H21" s="18"/>
      <c r="I21" s="18" t="s">
        <v>64</v>
      </c>
      <c r="J21" s="18"/>
      <c r="K21" s="18"/>
      <c r="L21" s="18"/>
    </row>
    <row r="22" spans="1:13" ht="5.0999999999999996" customHeight="1" thickBo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2"/>
      <c r="M22" s="18"/>
    </row>
    <row r="23" spans="1:13">
      <c r="A23" s="75" t="s">
        <v>81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7"/>
    </row>
    <row r="24" spans="1:13" ht="13.5" thickBot="1">
      <c r="A24" s="78" t="s">
        <v>82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80"/>
    </row>
    <row r="25" spans="1:13" ht="5.0999999999999996" customHeight="1">
      <c r="A25" s="18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18"/>
    </row>
    <row r="26" spans="1:13" ht="15.75">
      <c r="A26" s="43"/>
      <c r="B26" s="42" t="s">
        <v>61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15.75">
      <c r="A27" s="43"/>
      <c r="B27" s="42" t="s">
        <v>65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3"/>
    </row>
    <row r="28" spans="1:13" ht="15.75">
      <c r="A28" s="81" t="s">
        <v>60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</row>
    <row r="29" spans="1:13">
      <c r="A29" s="18"/>
      <c r="B29" s="18"/>
      <c r="C29" s="6" t="s">
        <v>13</v>
      </c>
      <c r="D29" s="18"/>
      <c r="E29" s="18"/>
      <c r="F29" s="6"/>
      <c r="G29" s="6"/>
      <c r="H29" s="6" t="s">
        <v>14</v>
      </c>
      <c r="I29" s="18"/>
      <c r="J29" s="6" t="s">
        <v>56</v>
      </c>
      <c r="K29" s="6" t="s">
        <v>10</v>
      </c>
      <c r="L29" s="26"/>
      <c r="M29" s="18"/>
    </row>
    <row r="30" spans="1:13">
      <c r="A30" s="18"/>
      <c r="B30" s="18"/>
      <c r="C30" s="6" t="s">
        <v>12</v>
      </c>
      <c r="D30" s="72" t="s">
        <v>9</v>
      </c>
      <c r="E30" s="72"/>
      <c r="F30" s="72"/>
      <c r="G30" s="72"/>
      <c r="H30" s="6" t="s">
        <v>7</v>
      </c>
      <c r="J30" s="50" t="s">
        <v>15</v>
      </c>
      <c r="K30" s="6" t="s">
        <v>8</v>
      </c>
      <c r="L30" s="26"/>
      <c r="M30" s="18"/>
    </row>
    <row r="31" spans="1:13" ht="15.95" customHeight="1">
      <c r="A31" s="18"/>
      <c r="B31" s="2" t="s">
        <v>19</v>
      </c>
      <c r="C31" s="27">
        <v>10478</v>
      </c>
      <c r="D31" s="64" t="s">
        <v>25</v>
      </c>
      <c r="E31" s="65"/>
      <c r="F31" s="65"/>
      <c r="G31" s="65"/>
      <c r="H31" s="13"/>
      <c r="I31" s="27" t="s">
        <v>20</v>
      </c>
      <c r="J31" s="27" t="s">
        <v>42</v>
      </c>
      <c r="K31" s="3">
        <f>H31*111</f>
        <v>0</v>
      </c>
      <c r="L31" s="14"/>
      <c r="M31" s="18"/>
    </row>
    <row r="32" spans="1:13" ht="15.95" customHeight="1">
      <c r="A32" s="18"/>
      <c r="B32" s="2" t="s">
        <v>18</v>
      </c>
      <c r="C32" s="27">
        <v>10476</v>
      </c>
      <c r="D32" s="64" t="s">
        <v>31</v>
      </c>
      <c r="E32" s="65"/>
      <c r="F32" s="65"/>
      <c r="G32" s="65"/>
      <c r="H32" s="13"/>
      <c r="I32" s="27" t="s">
        <v>20</v>
      </c>
      <c r="J32" s="27" t="s">
        <v>42</v>
      </c>
      <c r="K32" s="3">
        <f t="shared" ref="K32:K44" si="0">H32*111</f>
        <v>0</v>
      </c>
      <c r="L32" s="14"/>
      <c r="M32" s="18"/>
    </row>
    <row r="33" spans="1:13" ht="15.95" customHeight="1">
      <c r="A33" s="18"/>
      <c r="B33" s="2" t="s">
        <v>6</v>
      </c>
      <c r="C33" s="27">
        <v>10480</v>
      </c>
      <c r="D33" s="64" t="s">
        <v>32</v>
      </c>
      <c r="E33" s="65"/>
      <c r="F33" s="65"/>
      <c r="G33" s="65"/>
      <c r="H33" s="13"/>
      <c r="I33" s="27" t="s">
        <v>20</v>
      </c>
      <c r="J33" s="27" t="s">
        <v>42</v>
      </c>
      <c r="K33" s="3">
        <f t="shared" si="0"/>
        <v>0</v>
      </c>
      <c r="L33" s="14"/>
      <c r="M33" s="18"/>
    </row>
    <row r="34" spans="1:13" ht="15.95" customHeight="1">
      <c r="A34" s="18"/>
      <c r="B34" s="18"/>
      <c r="C34" s="27">
        <v>10474</v>
      </c>
      <c r="D34" s="64" t="s">
        <v>33</v>
      </c>
      <c r="E34" s="65"/>
      <c r="F34" s="65"/>
      <c r="G34" s="65"/>
      <c r="H34" s="13"/>
      <c r="I34" s="27" t="s">
        <v>20</v>
      </c>
      <c r="J34" s="27" t="s">
        <v>42</v>
      </c>
      <c r="K34" s="3">
        <f t="shared" si="0"/>
        <v>0</v>
      </c>
      <c r="L34" s="14"/>
      <c r="M34" s="18"/>
    </row>
    <row r="35" spans="1:13" ht="15.95" customHeight="1">
      <c r="A35" s="18"/>
      <c r="B35" s="18"/>
      <c r="C35" s="27">
        <v>10472</v>
      </c>
      <c r="D35" s="68" t="s">
        <v>34</v>
      </c>
      <c r="E35" s="69"/>
      <c r="F35" s="69"/>
      <c r="G35" s="69"/>
      <c r="H35" s="13"/>
      <c r="I35" s="27" t="s">
        <v>20</v>
      </c>
      <c r="J35" s="27" t="s">
        <v>42</v>
      </c>
      <c r="K35" s="3">
        <f t="shared" si="0"/>
        <v>0</v>
      </c>
      <c r="L35" s="14"/>
      <c r="M35" s="18"/>
    </row>
    <row r="36" spans="1:13" ht="15.95" customHeight="1">
      <c r="A36" s="18"/>
      <c r="B36" s="18"/>
      <c r="C36" s="31">
        <v>11409</v>
      </c>
      <c r="D36" s="64" t="s">
        <v>37</v>
      </c>
      <c r="E36" s="65"/>
      <c r="F36" s="65"/>
      <c r="G36" s="65"/>
      <c r="H36" s="13"/>
      <c r="I36" s="27" t="s">
        <v>20</v>
      </c>
      <c r="J36" s="27" t="s">
        <v>42</v>
      </c>
      <c r="K36" s="3">
        <f t="shared" si="0"/>
        <v>0</v>
      </c>
      <c r="L36" s="14"/>
      <c r="M36" s="18"/>
    </row>
    <row r="37" spans="1:13" ht="15.95" customHeight="1">
      <c r="A37" s="18"/>
      <c r="B37" s="18"/>
      <c r="C37" s="31">
        <v>12232</v>
      </c>
      <c r="D37" s="64" t="s">
        <v>50</v>
      </c>
      <c r="E37" s="65"/>
      <c r="F37" s="65"/>
      <c r="G37" s="65"/>
      <c r="H37" s="13"/>
      <c r="I37" s="27" t="s">
        <v>20</v>
      </c>
      <c r="J37" s="27" t="s">
        <v>42</v>
      </c>
      <c r="K37" s="3">
        <f t="shared" si="0"/>
        <v>0</v>
      </c>
      <c r="L37" s="14"/>
      <c r="M37" s="18"/>
    </row>
    <row r="38" spans="1:13" ht="15.95" customHeight="1">
      <c r="A38" s="18"/>
      <c r="B38" s="18"/>
      <c r="C38" s="27">
        <v>10477</v>
      </c>
      <c r="D38" s="70" t="s">
        <v>30</v>
      </c>
      <c r="E38" s="71"/>
      <c r="F38" s="71"/>
      <c r="G38" s="71"/>
      <c r="H38" s="13"/>
      <c r="I38" s="27" t="s">
        <v>20</v>
      </c>
      <c r="J38" s="27" t="s">
        <v>42</v>
      </c>
      <c r="K38" s="3">
        <f>H38*111</f>
        <v>0</v>
      </c>
      <c r="L38" s="14"/>
      <c r="M38" s="18"/>
    </row>
    <row r="39" spans="1:13" ht="15.95" customHeight="1">
      <c r="A39" s="18"/>
      <c r="B39" s="18"/>
      <c r="C39" s="27">
        <v>10475</v>
      </c>
      <c r="D39" s="64" t="s">
        <v>29</v>
      </c>
      <c r="E39" s="65"/>
      <c r="F39" s="65"/>
      <c r="G39" s="65"/>
      <c r="H39" s="13"/>
      <c r="I39" s="27" t="s">
        <v>20</v>
      </c>
      <c r="J39" s="27" t="s">
        <v>42</v>
      </c>
      <c r="K39" s="3">
        <f t="shared" si="0"/>
        <v>0</v>
      </c>
      <c r="L39" s="14"/>
      <c r="M39" s="18"/>
    </row>
    <row r="40" spans="1:13" ht="15.95" customHeight="1">
      <c r="A40" s="18"/>
      <c r="B40" s="18"/>
      <c r="C40" s="27">
        <v>10479</v>
      </c>
      <c r="D40" s="64" t="s">
        <v>28</v>
      </c>
      <c r="E40" s="65"/>
      <c r="F40" s="65"/>
      <c r="G40" s="65"/>
      <c r="H40" s="13"/>
      <c r="I40" s="27" t="s">
        <v>20</v>
      </c>
      <c r="J40" s="27" t="s">
        <v>42</v>
      </c>
      <c r="K40" s="3">
        <f t="shared" si="0"/>
        <v>0</v>
      </c>
      <c r="L40" s="14"/>
      <c r="M40" s="18"/>
    </row>
    <row r="41" spans="1:13" ht="15.95" customHeight="1">
      <c r="A41" s="18"/>
      <c r="B41" s="18"/>
      <c r="C41" s="27">
        <v>10473</v>
      </c>
      <c r="D41" s="64" t="s">
        <v>27</v>
      </c>
      <c r="E41" s="65"/>
      <c r="F41" s="65"/>
      <c r="G41" s="65"/>
      <c r="H41" s="15"/>
      <c r="I41" s="27" t="s">
        <v>20</v>
      </c>
      <c r="J41" s="27" t="s">
        <v>42</v>
      </c>
      <c r="K41" s="3">
        <f t="shared" si="0"/>
        <v>0</v>
      </c>
      <c r="L41" s="14"/>
      <c r="M41" s="18"/>
    </row>
    <row r="42" spans="1:13" ht="15.95" customHeight="1">
      <c r="A42" s="18"/>
      <c r="B42" s="18"/>
      <c r="C42" s="27">
        <v>10471</v>
      </c>
      <c r="D42" s="68" t="s">
        <v>26</v>
      </c>
      <c r="E42" s="69"/>
      <c r="F42" s="69"/>
      <c r="G42" s="69"/>
      <c r="H42" s="15"/>
      <c r="I42" s="27" t="s">
        <v>20</v>
      </c>
      <c r="J42" s="27" t="s">
        <v>42</v>
      </c>
      <c r="K42" s="3">
        <f t="shared" si="0"/>
        <v>0</v>
      </c>
      <c r="L42" s="14"/>
      <c r="M42" s="18"/>
    </row>
    <row r="43" spans="1:13" ht="15.95" customHeight="1">
      <c r="A43" s="18"/>
      <c r="B43" s="18"/>
      <c r="C43" s="31">
        <v>11410</v>
      </c>
      <c r="D43" s="64" t="s">
        <v>38</v>
      </c>
      <c r="E43" s="65"/>
      <c r="F43" s="65"/>
      <c r="G43" s="65"/>
      <c r="H43" s="15"/>
      <c r="I43" s="27" t="s">
        <v>20</v>
      </c>
      <c r="J43" s="27" t="s">
        <v>42</v>
      </c>
      <c r="K43" s="3">
        <f t="shared" si="0"/>
        <v>0</v>
      </c>
      <c r="L43" s="14"/>
      <c r="M43" s="18"/>
    </row>
    <row r="44" spans="1:13" ht="15.95" customHeight="1">
      <c r="A44" s="18"/>
      <c r="B44" s="18"/>
      <c r="C44" s="31">
        <v>12231</v>
      </c>
      <c r="D44" s="64" t="s">
        <v>51</v>
      </c>
      <c r="E44" s="65"/>
      <c r="F44" s="65"/>
      <c r="G44" s="65"/>
      <c r="H44" s="15"/>
      <c r="I44" s="27" t="s">
        <v>20</v>
      </c>
      <c r="J44" s="27" t="s">
        <v>42</v>
      </c>
      <c r="K44" s="3">
        <f t="shared" si="0"/>
        <v>0</v>
      </c>
      <c r="L44" s="14"/>
      <c r="M44" s="18"/>
    </row>
    <row r="45" spans="1:13" ht="5.0999999999999996" customHeight="1">
      <c r="A45" s="18"/>
      <c r="B45" s="18"/>
      <c r="C45" s="25"/>
      <c r="D45" s="18"/>
      <c r="E45" s="19"/>
      <c r="F45" s="19"/>
      <c r="G45" s="19"/>
      <c r="H45" s="9"/>
      <c r="I45" s="25"/>
      <c r="J45" s="25"/>
      <c r="K45" s="4"/>
      <c r="L45" s="9"/>
      <c r="M45" s="18"/>
    </row>
    <row r="46" spans="1:13" ht="15.95" customHeight="1">
      <c r="A46" s="18"/>
      <c r="B46" s="2" t="s">
        <v>22</v>
      </c>
      <c r="C46" s="27">
        <v>10940</v>
      </c>
      <c r="D46" s="67" t="s">
        <v>58</v>
      </c>
      <c r="E46" s="65"/>
      <c r="F46" s="65"/>
      <c r="G46" s="65"/>
      <c r="H46" s="13"/>
      <c r="I46" s="27" t="s">
        <v>55</v>
      </c>
      <c r="J46" s="27" t="s">
        <v>89</v>
      </c>
      <c r="K46" s="3">
        <f>H46*145</f>
        <v>0</v>
      </c>
      <c r="L46" s="44" t="s">
        <v>41</v>
      </c>
      <c r="M46" s="45"/>
    </row>
    <row r="47" spans="1:13" ht="5.0999999999999996" customHeight="1">
      <c r="A47" s="18"/>
      <c r="B47" s="2"/>
      <c r="C47" s="25"/>
      <c r="D47" s="18"/>
      <c r="E47" s="19"/>
      <c r="F47" s="19"/>
      <c r="G47" s="19"/>
      <c r="H47" s="9"/>
      <c r="I47" s="25"/>
      <c r="J47" s="25"/>
      <c r="K47" s="4"/>
      <c r="L47" s="17"/>
      <c r="M47" s="18"/>
    </row>
    <row r="48" spans="1:13" ht="15.95" customHeight="1">
      <c r="A48" s="18"/>
      <c r="B48" s="2" t="s">
        <v>45</v>
      </c>
      <c r="C48" s="27">
        <v>11375</v>
      </c>
      <c r="D48" s="66" t="s">
        <v>35</v>
      </c>
      <c r="E48" s="65"/>
      <c r="F48" s="65"/>
      <c r="G48" s="65"/>
      <c r="H48" s="13"/>
      <c r="I48" s="27" t="s">
        <v>20</v>
      </c>
      <c r="J48" s="27" t="s">
        <v>57</v>
      </c>
      <c r="K48" s="3">
        <f>H48*156</f>
        <v>0</v>
      </c>
      <c r="L48" s="16"/>
      <c r="M48" s="18"/>
    </row>
    <row r="49" spans="1:13" ht="15.95" customHeight="1">
      <c r="A49" s="18"/>
      <c r="B49" s="2"/>
      <c r="C49" s="27">
        <v>10921</v>
      </c>
      <c r="D49" s="66" t="s">
        <v>44</v>
      </c>
      <c r="E49" s="65"/>
      <c r="F49" s="65"/>
      <c r="G49" s="65"/>
      <c r="H49" s="13"/>
      <c r="I49" s="27" t="s">
        <v>20</v>
      </c>
      <c r="J49" s="27" t="s">
        <v>90</v>
      </c>
      <c r="K49" s="3">
        <f>H49*199</f>
        <v>0</v>
      </c>
      <c r="L49" s="16"/>
      <c r="M49" s="18"/>
    </row>
    <row r="50" spans="1:13" ht="15.95" customHeight="1">
      <c r="A50" s="18"/>
      <c r="B50" s="2"/>
      <c r="C50" s="27">
        <v>10994</v>
      </c>
      <c r="D50" s="66" t="s">
        <v>46</v>
      </c>
      <c r="E50" s="65"/>
      <c r="F50" s="65"/>
      <c r="G50" s="65"/>
      <c r="H50" s="13"/>
      <c r="I50" s="27" t="s">
        <v>20</v>
      </c>
      <c r="J50" s="27" t="s">
        <v>83</v>
      </c>
      <c r="K50" s="3">
        <f>H50*189</f>
        <v>0</v>
      </c>
      <c r="L50" s="16"/>
      <c r="M50" s="18"/>
    </row>
    <row r="51" spans="1:13" ht="5.0999999999999996" customHeight="1">
      <c r="A51" s="18"/>
      <c r="B51" s="2"/>
      <c r="C51" s="25"/>
      <c r="D51" s="18"/>
      <c r="E51" s="19"/>
      <c r="F51" s="19"/>
      <c r="G51" s="19"/>
      <c r="H51" s="9"/>
      <c r="I51" s="25"/>
      <c r="J51" s="25"/>
      <c r="L51" s="16"/>
      <c r="M51" s="18"/>
    </row>
    <row r="52" spans="1:13" ht="15.95" customHeight="1">
      <c r="A52" s="18"/>
      <c r="B52" s="2" t="s">
        <v>43</v>
      </c>
      <c r="C52" s="27">
        <v>10922</v>
      </c>
      <c r="D52" s="66" t="s">
        <v>48</v>
      </c>
      <c r="E52" s="65"/>
      <c r="F52" s="65"/>
      <c r="G52" s="65"/>
      <c r="H52" s="13"/>
      <c r="I52" s="27" t="s">
        <v>20</v>
      </c>
      <c r="J52" s="27" t="s">
        <v>91</v>
      </c>
      <c r="K52" s="3">
        <f>H52*300</f>
        <v>0</v>
      </c>
      <c r="L52" s="16"/>
      <c r="M52" s="18"/>
    </row>
    <row r="53" spans="1:13" ht="5.0999999999999996" customHeight="1">
      <c r="A53" s="18"/>
      <c r="B53" s="2"/>
      <c r="C53" s="23"/>
      <c r="D53" s="18"/>
      <c r="E53" s="19"/>
      <c r="F53" s="19"/>
      <c r="G53" s="19"/>
      <c r="H53" s="8"/>
      <c r="I53" s="23"/>
      <c r="J53" s="23"/>
      <c r="K53" s="5"/>
      <c r="L53" s="16"/>
      <c r="M53" s="18"/>
    </row>
    <row r="54" spans="1:13" ht="15.95" customHeight="1">
      <c r="A54" s="18"/>
      <c r="B54" s="2" t="s">
        <v>24</v>
      </c>
      <c r="C54" s="27">
        <v>10997</v>
      </c>
      <c r="D54" s="64" t="s">
        <v>93</v>
      </c>
      <c r="E54" s="65"/>
      <c r="F54" s="65"/>
      <c r="G54" s="65"/>
      <c r="H54" s="13"/>
      <c r="I54" s="27" t="s">
        <v>21</v>
      </c>
      <c r="J54" s="27" t="s">
        <v>92</v>
      </c>
      <c r="K54" s="3">
        <f>H54*99</f>
        <v>0</v>
      </c>
      <c r="L54" s="16"/>
      <c r="M54" s="18"/>
    </row>
    <row r="55" spans="1:13" ht="5.0999999999999996" customHeight="1">
      <c r="A55" s="18"/>
      <c r="B55" s="2"/>
      <c r="C55" s="23"/>
      <c r="D55" s="18"/>
      <c r="E55" s="19"/>
      <c r="F55" s="19"/>
      <c r="G55" s="19"/>
      <c r="H55" s="8"/>
      <c r="I55" s="23"/>
      <c r="J55" s="23"/>
      <c r="K55" s="5"/>
      <c r="L55" s="16"/>
      <c r="M55" s="18"/>
    </row>
    <row r="56" spans="1:13" ht="15.95" customHeight="1">
      <c r="A56" s="18"/>
      <c r="B56" s="2" t="s">
        <v>23</v>
      </c>
      <c r="C56" s="27">
        <v>11376</v>
      </c>
      <c r="D56" s="66" t="s">
        <v>36</v>
      </c>
      <c r="E56" s="65"/>
      <c r="F56" s="65"/>
      <c r="G56" s="65"/>
      <c r="H56" s="13"/>
      <c r="I56" s="27" t="s">
        <v>20</v>
      </c>
      <c r="J56" s="27" t="s">
        <v>84</v>
      </c>
      <c r="K56" s="3">
        <f>H56*289</f>
        <v>0</v>
      </c>
      <c r="L56" s="16"/>
      <c r="M56" s="18"/>
    </row>
    <row r="57" spans="1:13" ht="15.95" customHeight="1">
      <c r="A57" s="18"/>
      <c r="B57" s="2"/>
      <c r="C57" s="27">
        <v>11576</v>
      </c>
      <c r="D57" s="66" t="s">
        <v>39</v>
      </c>
      <c r="E57" s="65"/>
      <c r="F57" s="65"/>
      <c r="G57" s="65"/>
      <c r="H57" s="13"/>
      <c r="I57" s="27" t="s">
        <v>72</v>
      </c>
      <c r="J57" s="27" t="s">
        <v>85</v>
      </c>
      <c r="K57" s="3">
        <f>H57*179</f>
        <v>0</v>
      </c>
      <c r="L57" s="16"/>
      <c r="M57" s="18"/>
    </row>
    <row r="58" spans="1:13" ht="15.95" customHeight="1">
      <c r="A58" s="18"/>
      <c r="B58" s="2"/>
      <c r="C58" s="27">
        <v>12026</v>
      </c>
      <c r="D58" s="66" t="s">
        <v>47</v>
      </c>
      <c r="E58" s="65"/>
      <c r="F58" s="65"/>
      <c r="G58" s="65"/>
      <c r="H58" s="13"/>
      <c r="I58" s="27" t="s">
        <v>20</v>
      </c>
      <c r="J58" s="27" t="s">
        <v>66</v>
      </c>
      <c r="K58" s="3">
        <f>H58*158</f>
        <v>0</v>
      </c>
      <c r="L58" s="16"/>
      <c r="M58" s="18"/>
    </row>
    <row r="59" spans="1:13" ht="5.0999999999999996" customHeight="1">
      <c r="A59" s="18"/>
      <c r="B59" s="2"/>
      <c r="C59" s="23"/>
      <c r="D59" s="18"/>
      <c r="E59" s="19"/>
      <c r="F59" s="19"/>
      <c r="G59" s="19"/>
      <c r="H59" s="8"/>
      <c r="I59" s="23"/>
      <c r="J59" s="23"/>
      <c r="K59" s="5"/>
      <c r="L59" s="16"/>
      <c r="M59" s="18"/>
    </row>
    <row r="60" spans="1:13" ht="16.5" thickBot="1">
      <c r="A60" s="18"/>
      <c r="B60" s="18"/>
      <c r="C60" s="18"/>
      <c r="D60" s="39"/>
      <c r="E60" s="39"/>
      <c r="F60" s="39"/>
      <c r="G60" s="39"/>
      <c r="H60" s="39"/>
      <c r="I60" s="39"/>
      <c r="J60" s="2" t="s">
        <v>11</v>
      </c>
      <c r="K60" s="36">
        <f>SUM(K31:K58)</f>
        <v>0</v>
      </c>
      <c r="L60" s="16"/>
      <c r="M60" s="18"/>
    </row>
    <row r="61" spans="1:13" s="1" customFormat="1" ht="13.5" thickTop="1">
      <c r="B61" s="1" t="s">
        <v>78</v>
      </c>
      <c r="C61" s="6"/>
      <c r="D61" s="6"/>
      <c r="E61" s="6"/>
      <c r="F61" s="6"/>
      <c r="G61" s="6"/>
      <c r="H61" s="6"/>
      <c r="I61" s="6"/>
    </row>
    <row r="62" spans="1:13" ht="4.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s="55" customFormat="1">
      <c r="B63" s="28" t="s">
        <v>62</v>
      </c>
    </row>
    <row r="64" spans="1:13" ht="4.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>
      <c r="A65" s="18"/>
      <c r="B65" s="1" t="s">
        <v>86</v>
      </c>
      <c r="C65" s="18"/>
      <c r="D65" s="18"/>
      <c r="E65" s="18"/>
      <c r="F65" s="22"/>
      <c r="G65" s="22"/>
      <c r="H65" s="52"/>
      <c r="I65" s="22"/>
      <c r="J65" s="22"/>
      <c r="K65" s="22"/>
      <c r="L65" s="18"/>
      <c r="M65" s="18"/>
    </row>
    <row r="66" spans="1:13" ht="4.5" customHeight="1" thickBot="1">
      <c r="A66" s="18"/>
      <c r="B66" s="18"/>
      <c r="C66" s="18"/>
      <c r="D66" s="18"/>
      <c r="E66" s="18"/>
      <c r="F66" s="22"/>
      <c r="G66" s="22"/>
      <c r="H66" s="22"/>
      <c r="I66" s="22"/>
      <c r="J66" s="22"/>
      <c r="K66" s="22"/>
      <c r="L66" s="18"/>
      <c r="M66" s="18"/>
    </row>
    <row r="67" spans="1:13" ht="15">
      <c r="A67" s="61" t="s">
        <v>80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  <c r="M67" s="51"/>
    </row>
    <row r="68" spans="1:13" ht="15.75" thickBot="1">
      <c r="A68" s="58" t="s">
        <v>87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60"/>
    </row>
  </sheetData>
  <mergeCells count="37">
    <mergeCell ref="C15:K15"/>
    <mergeCell ref="A67:L67"/>
    <mergeCell ref="D43:G43"/>
    <mergeCell ref="D44:G44"/>
    <mergeCell ref="D54:G54"/>
    <mergeCell ref="D56:G56"/>
    <mergeCell ref="D57:G57"/>
    <mergeCell ref="D58:G58"/>
    <mergeCell ref="D46:G46"/>
    <mergeCell ref="D48:G48"/>
    <mergeCell ref="D33:G33"/>
    <mergeCell ref="D52:G52"/>
    <mergeCell ref="D39:G39"/>
    <mergeCell ref="D40:G40"/>
    <mergeCell ref="D41:G41"/>
    <mergeCell ref="D42:G42"/>
    <mergeCell ref="D34:G34"/>
    <mergeCell ref="D35:G35"/>
    <mergeCell ref="D36:G36"/>
    <mergeCell ref="D37:G37"/>
    <mergeCell ref="D38:G38"/>
    <mergeCell ref="A68:L68"/>
    <mergeCell ref="I20:J20"/>
    <mergeCell ref="G9:I9"/>
    <mergeCell ref="B1:L1"/>
    <mergeCell ref="E3:I3"/>
    <mergeCell ref="E4:I4"/>
    <mergeCell ref="H5:L5"/>
    <mergeCell ref="H6:L6"/>
    <mergeCell ref="D30:G30"/>
    <mergeCell ref="D31:G31"/>
    <mergeCell ref="A28:M28"/>
    <mergeCell ref="A23:M23"/>
    <mergeCell ref="A24:M24"/>
    <mergeCell ref="D32:G32"/>
    <mergeCell ref="D49:G49"/>
    <mergeCell ref="D50:G50"/>
  </mergeCells>
  <pageMargins left="0.33" right="0.27" top="0.2" bottom="0.2" header="0.21" footer="0.17"/>
  <pageSetup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Totals</vt:lpstr>
    </vt:vector>
  </TitlesOfParts>
  <Company>Brennan Industries,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michelled</dc:creator>
  <cp:lastModifiedBy>sapedder</cp:lastModifiedBy>
  <cp:lastPrinted>2013-11-02T04:10:49Z</cp:lastPrinted>
  <dcterms:created xsi:type="dcterms:W3CDTF">2003-01-09T21:56:35Z</dcterms:created>
  <dcterms:modified xsi:type="dcterms:W3CDTF">2014-01-08T17:35:52Z</dcterms:modified>
</cp:coreProperties>
</file>