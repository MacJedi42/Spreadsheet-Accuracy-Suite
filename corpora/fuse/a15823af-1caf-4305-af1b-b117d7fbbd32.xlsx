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tandard" state="visible" r:id="rId3"/>
    <sheet sheetId="2" name="MS-Windows" state="visible" r:id="rId4"/>
    <sheet sheetId="3" name="VMware" state="visible" r:id="rId5"/>
    <sheet sheetId="4" name="Hyper-V" state="visible" r:id="rId6"/>
    <sheet sheetId="5" name="NDMP" state="visible" r:id="rId7"/>
    <sheet sheetId="6" name="Schedule" state="visible" r:id="rId8"/>
    <sheet sheetId="7" name="StartWindow" state="visible" r:id="rId9"/>
    <sheet sheetId="8" name="Calendar" state="visible" r:id="rId10"/>
    <sheet sheetId="9" name="PolicyClients" state="visible" r:id="rId11"/>
    <sheet sheetId="10" name="BackupSelections" state="visible" r:id="rId12"/>
  </sheets>
  <definedNames>
    <definedName name="Calendar_Area7">Calendar!$A$15:$H$15</definedName>
    <definedName name="VMware_Area2">VMware!$B$6:$B$35</definedName>
    <definedName name="HyperV_Area5">'Hyper-V'!$A$18:$A$24</definedName>
    <definedName name="StartWindow_Area4">StartWindow!$A$5:$A$6</definedName>
    <definedName name="NDMP_Area2">NDMP!$B$6:$B$17</definedName>
    <definedName name="PolicyClients_Area4">PolicyClients!$A$4:$E$5</definedName>
    <definedName name="BackupSelections_Area4">BackupSelections!$B$6:$B$30</definedName>
    <definedName name="HyperV_Area3">'Hyper-V'!$D$6:$F$24</definedName>
    <definedName name="Standard_Area4">Standard!$A$6</definedName>
    <definedName name="StartWindow_Area2">StartWindow!$B$5:$B$13</definedName>
    <definedName name="BackupSelections_Area2">BackupSelections!$A$3</definedName>
    <definedName name="Calendar_Area10">Calendar!$A$20:$A$24</definedName>
    <definedName name="HyperV_Area1">'Hyper-V'!$A$1:$F$5</definedName>
    <definedName name="Standard_Area2">Standard!$B$6:$B$27</definedName>
    <definedName name="Calendar_Area6">Calendar!$A$13:$H$13</definedName>
    <definedName name="VMware_Area7">VMware!$A$31:$A$35</definedName>
    <definedName name="MSWindows_Area5">'MS-Windows'!$A$22</definedName>
    <definedName name="Schedule_Area5">Schedule!$A$15:$A$16</definedName>
    <definedName name="PolicyClients_Area3">PolicyClients!$C$3:$E$3</definedName>
    <definedName name="Calendar_Area4">Calendar!$A$7:$L$9</definedName>
    <definedName name="VMware_Area5">VMware!$A$18:$A$21</definedName>
    <definedName name="MSWindows_Area3">'MS-Windows'!$D$5:$F$28</definedName>
    <definedName name="Schedule_Area3">Schedule!$D$5:$F$24</definedName>
    <definedName name="PolicyClients_Area1">PolicyClients!$A$1:$E$2</definedName>
    <definedName name="Calendar_Area2">Calendar!$A$5:$C$6</definedName>
    <definedName name="Calendar_Area8">Calendar!$I$10:$L$24</definedName>
    <definedName name="VMware_Area3">VMware!$D$5:$F$35</definedName>
    <definedName name="MSWindows_Area1">'MS-Windows'!$A$1:$F$5</definedName>
    <definedName name="Standard_Area1">Standard!$A$1:$F$5</definedName>
    <definedName name="Schedule_Area1">Schedule!$A$1:$F$5</definedName>
    <definedName name="StartWindow_Area5">StartWindow!$D$5:$D$6</definedName>
    <definedName name="NDMP_Area3">NDMP!$D$5:$F$17</definedName>
    <definedName name="PolicyClients_Area5">PolicyClients!$E$6:$E$30</definedName>
    <definedName name="VMware_Area1">VMware!$A$1:$F$5</definedName>
    <definedName name="HyperV_Area4">'Hyper-V'!$A$6</definedName>
    <definedName name="StartWindow_Area3">StartWindow!$E$5:$F$13</definedName>
    <definedName name="Standard_Area5">Standard!$A$22</definedName>
    <definedName name="NDMP_Area1">NDMP!$A$1:$F$5</definedName>
    <definedName name="BackupSelections_Area3">BackupSelections!$A$4:$B$5</definedName>
    <definedName name="HyperV_Area2">'Hyper-V'!$B$6:$B$24</definedName>
    <definedName name="StartWindow_Area1">StartWindow!$A$1:$F$4</definedName>
    <definedName name="Standard_Area3">Standard!$D$5:$F$27</definedName>
    <definedName name="VMware_Area8">VMware!$C$30</definedName>
    <definedName name="BackupSelections_Area1">BackupSelections!$A$1:$B$2</definedName>
    <definedName name="Calendar_Area5">Calendar!$A$11:$H$11</definedName>
    <definedName name="VMware_Area6">VMware!$A$23:$A$26</definedName>
    <definedName name="MSWindows_Area4">'MS-Windows'!$A$6</definedName>
    <definedName name="Schedule_Area4">Schedule!$A$6:$A$7</definedName>
    <definedName name="PolicyClients_Area2">PolicyClients!$A$3</definedName>
    <definedName name="Calendar_Area3">Calendar!$H$4:$L$6</definedName>
    <definedName name="Calendar_Area9">Calendar!$A$17:$H$19</definedName>
    <definedName name="VMware_Area4">VMware!$A$6</definedName>
    <definedName name="MSWindows_Area2">'MS-Windows'!$B$6:$B$28</definedName>
    <definedName name="Schedule_Area2">Schedule!$B$6:$B$24</definedName>
    <definedName name="NDMP_Area4">NDMP!$A$6</definedName>
    <definedName name="Calendar_Area1">Calendar!$A$1:$L$4</definedName>
  </definedNames>
  <calcPr/>
</workbook>
</file>

<file path=xl/sharedStrings.xml><?xml version="1.0" encoding="utf-8"?>
<sst xmlns="http://schemas.openxmlformats.org/spreadsheetml/2006/main" count="485" uniqueCount="139">
  <si>
    <t>Policy Scripting Sheet for Standard policy(updated: Mar 31 2013)</t>
  </si>
  <si>
    <t>Command to create the policy:</t>
  </si>
  <si>
    <t>Command to modify the policy:</t>
  </si>
  <si>
    <t>Attribute Name</t>
  </si>
  <si>
    <t>Value</t>
  </si>
  <si>
    <t>Note</t>
  </si>
  <si>
    <t>Command Option</t>
  </si>
  <si>
    <t>Notice</t>
  </si>
  <si>
    <t>x</t>
  </si>
  <si>
    <t>Policy name</t>
  </si>
  <si>
    <t>Data classification</t>
  </si>
  <si>
    <t>Data classification name</t>
  </si>
  <si>
    <t>Policy storage</t>
  </si>
  <si>
    <t>Policy storage name</t>
  </si>
  <si>
    <t>Storage is SLP</t>
  </si>
  <si>
    <t>Empty(storage is not SLP), or any characters(storage is SLP)</t>
  </si>
  <si>
    <t>Policy volume pool</t>
  </si>
  <si>
    <t>Policy volume pool name</t>
  </si>
  <si>
    <t>Take checkpoint every X minutes</t>
  </si>
  <si>
    <t>Empty(no checkpoint), or number grater than or equal to 5</t>
  </si>
  <si>
    <t>Limit jobs per policy</t>
  </si>
  <si>
    <t>Empty(unlimited), or number grater than 0</t>
  </si>
  <si>
    <t>Job priority</t>
  </si>
  <si>
    <t>Empty(default), or number grater than or equal to 0</t>
  </si>
  <si>
    <t>Media owner</t>
  </si>
  <si>
    <t>Server Group Name, *ANY*, or *NONE*</t>
  </si>
  <si>
    <t>Go into effect at</t>
  </si>
  <si>
    <t>MM/DD/YYYY HH:MM:SS</t>
  </si>
  <si>
    <t>Follow NFS</t>
  </si>
  <si>
    <t>Empty(unchecked), or any characters(checked)</t>
  </si>
  <si>
    <t>Cross mount points</t>
  </si>
  <si>
    <t>Compression</t>
  </si>
  <si>
    <t>Encryption</t>
  </si>
  <si>
    <t>Bare Metal Restore</t>
  </si>
  <si>
    <t>Collect true image restore information</t>
  </si>
  <si>
    <t>  with move detection</t>
  </si>
  <si>
    <t>Allow multiple data streams</t>
  </si>
  <si>
    <t>Disable client-side deduplication</t>
  </si>
  <si>
    <t>Use accelerator</t>
  </si>
  <si>
    <t>Keyword phrase</t>
  </si>
  <si>
    <t>Indexing server</t>
  </si>
  <si>
    <t>Indexing server name</t>
  </si>
  <si>
    <t>Policy Scripting Sheet for MS-Windows policy(updated: Mar 31 2013)</t>
  </si>
  <si>
    <t>Backup Network Drives</t>
  </si>
  <si>
    <t>Enable granular recovery</t>
  </si>
  <si>
    <t>Policy Scripting Sheet for VMware policy(updated: Mar 31 2013)</t>
  </si>
  <si>
    <t>VMware backup host</t>
  </si>
  <si>
    <t>Enable file recovery from VM backup</t>
  </si>
  <si>
    <t>Enable block-level incremental backup</t>
  </si>
  <si>
    <t>Exclude deleted blocks</t>
  </si>
  <si>
    <t>Exclude swap and paging files</t>
  </si>
  <si>
    <t>Primary VM identifier</t>
  </si>
  <si>
    <t>0:VM hostname, 1:VM displayname, 2: VM BIOS UUID,  3:VM DNS name, 4:VM instance UUID</t>
  </si>
  <si>
    <t>Orphaned snapshot handling</t>
  </si>
  <si>
    <t>0:Ignore, 1:Abort, 2:Remove NBU</t>
  </si>
  <si>
    <t>Tansmport modes</t>
  </si>
  <si>
    <t>san:hotadd:nbd:nbdssl</t>
  </si>
  <si>
    <t>Concatitnate following items with collon(:) san,hostadd,nbd,nbdssl</t>
  </si>
  <si>
    <t>Virtual machine quiesce</t>
  </si>
  <si>
    <t>Virtual disk selection</t>
  </si>
  <si>
    <t>0:Include all disk, 1:Exclude boot disk, 2:Exclude data disks</t>
  </si>
  <si>
    <t>Ignore diskless VM</t>
  </si>
  <si>
    <t>Empty(Disabled), or not empty(Enabled)</t>
  </si>
  <si>
    <t>Post vCenter events</t>
  </si>
  <si>
    <t>0:No Events, 1:All Events, 2:Error Events</t>
  </si>
  <si>
    <t>Application Protection options</t>
  </si>
  <si>
    <t>Enable Exchange Recovery</t>
  </si>
  <si>
    <t>Exchange Recovery: Truncate logs</t>
  </si>
  <si>
    <t>Enable SQL Server Recovery</t>
  </si>
  <si>
    <t>SQL Server Recovery: Tuncate logs</t>
  </si>
  <si>
    <t>Enable SharePoint Recovery</t>
  </si>
  <si>
    <t>Policy Scripting Sheet for Hyper-V policy(updated: Mar 31 2013)</t>
  </si>
  <si>
    <t>test_by_script</t>
  </si>
  <si>
    <t>Hyper-V host</t>
  </si>
  <si>
    <t>0:VM hostname, 1:VM display name, 2: VM UUID</t>
  </si>
  <si>
    <t>Enable offline backup for non-VSS VMs</t>
  </si>
  <si>
    <t>Cluster shared volumes timeout</t>
  </si>
  <si>
    <t>Provider type</t>
  </si>
  <si>
    <t>0:Auto, 1:System, 2:Software, 3:Hardware</t>
  </si>
  <si>
    <t>Snapshot Attribute</t>
  </si>
  <si>
    <t>0:Unspecified, 1:Differential, 2:Plex</t>
  </si>
  <si>
    <t>Policy Scripting Sheet for NDMP policy(updated: Mar 31 2013)</t>
  </si>
  <si>
    <t>Schedule Scripting Sheet(updated: Mar 24 2013)</t>
  </si>
  <si>
    <t>Command to create the schedule:</t>
  </si>
  <si>
    <t>Command to modify the schedule:</t>
  </si>
  <si>
    <t>Schedule name</t>
  </si>
  <si>
    <t>Schedule type</t>
  </si>
  <si>
    <t>one of the followings: FULL, CINC, INCR, UBAK, UARC</t>
  </si>
  <si>
    <t>Synthetic backup</t>
  </si>
  <si>
    <t>Accelerator forced rescan</t>
  </si>
  <si>
    <t>Enable indexing for search</t>
  </si>
  <si>
    <t>Calender based schedule</t>
  </si>
  <si>
    <t>If set, frequency settings are ignored</t>
  </si>
  <si>
    <t>Retries allowed after run day</t>
  </si>
  <si>
    <t>Frequency(Hours)</t>
  </si>
  <si>
    <t>Frequency(Days)</t>
  </si>
  <si>
    <t>Frequency(Weeks)</t>
  </si>
  <si>
    <t>Multiple copies</t>
  </si>
  <si>
    <t>Number of copies</t>
  </si>
  <si>
    <t>Fail on error(for multiple copies only)</t>
  </si>
  <si>
    <t>0(continue) or 1(fail all copies): for each copy</t>
  </si>
  <si>
    <t>Override policy storage selection</t>
  </si>
  <si>
    <t>For multiple copies, storage unit for each copy is required</t>
  </si>
  <si>
    <t>Override policy volume pool</t>
  </si>
  <si>
    <t>For multiple copies, volume pool for each copy is required</t>
  </si>
  <si>
    <t>Override media owner</t>
  </si>
  <si>
    <t>For multiple copies, media owner for each copy is required</t>
  </si>
  <si>
    <t>Retension Level</t>
  </si>
  <si>
    <t>For multiple copies, retention level for each copy is required</t>
  </si>
  <si>
    <t>Media multiplexing</t>
  </si>
  <si>
    <t>Number of multiplexing streams(grater than or equal to 1)</t>
  </si>
  <si>
    <t>Schedule Scripting Sheet for start window(updated: Mar 24 2013)</t>
  </si>
  <si>
    <t>Value(or Start Time)</t>
  </si>
  <si>
    <t>Duration</t>
  </si>
  <si>
    <t>Sunday</t>
  </si>
  <si>
    <t>Monday</t>
  </si>
  <si>
    <t>Tuesday</t>
  </si>
  <si>
    <t>Wednesday</t>
  </si>
  <si>
    <t>Thursday</t>
  </si>
  <si>
    <t>Friday</t>
  </si>
  <si>
    <t>Saturday</t>
  </si>
  <si>
    <t>Schedule Scripting Sheet for calendar(updated: Mar 24 2013)</t>
  </si>
  <si>
    <t>Recurring Days of the Month</t>
  </si>
  <si>
    <t>Last</t>
  </si>
  <si>
    <t>Recurring Week Days</t>
  </si>
  <si>
    <t>Sun</t>
  </si>
  <si>
    <t>Mon</t>
  </si>
  <si>
    <t>Tue</t>
  </si>
  <si>
    <t>Wed</t>
  </si>
  <si>
    <t>Thu</t>
  </si>
  <si>
    <t>Fri</t>
  </si>
  <si>
    <t>Sat</t>
  </si>
  <si>
    <t>Policy Clients Scripting Sheet(updated: Mar 24 2013)</t>
  </si>
  <si>
    <t>Client name</t>
  </si>
  <si>
    <t>Hardware</t>
  </si>
  <si>
    <t>Operating System</t>
  </si>
  <si>
    <t>Command</t>
  </si>
  <si>
    <t>Backup Selections Scripting Sheet(updated: Mar 24 2013)</t>
  </si>
  <si>
    <t>Backup Selections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</si>
</sst>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;@"/>
  </numFmts>
  <fonts count="1">
    <font>
      <b val="0"/>
      <i val="0"/>
      <strike val="0"/>
      <u val="none"/>
      <sz val="10.0"/>
      <color rgb="FF000000"/>
      <name val="Arial"/>
    </font>
  </fonts>
  <fills count="12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fillId="0" numFmtId="0" borderId="0" fontId="0"/>
  </cellStyleXfs>
  <cellXfs count="26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fillId="2" xfId="0" numFmtId="0" borderId="2" fontId="0" applyFill="1"/>
    <xf applyBorder="1" applyAlignment="1" fillId="0" xfId="0" numFmtId="0" borderId="3" fontId="0">
      <alignment vertical="bottom" horizontal="general" wrapText="1"/>
    </xf>
    <xf applyBorder="1" fillId="0" xfId="0" numFmtId="0" borderId="4" fontId="0"/>
    <xf applyBorder="1" applyAlignment="1" fillId="0" xfId="0" numFmtId="0" borderId="5" fontId="0">
      <alignment vertical="bottom" horizontal="general" wrapText="1"/>
    </xf>
    <xf applyBorder="1" fillId="3" xfId="0" numFmtId="0" borderId="6" fontId="0" applyFill="1"/>
    <xf applyBorder="1" fillId="0" xfId="0" numFmtId="0" borderId="7" fontId="0"/>
    <xf applyBorder="1" applyAlignment="1" fillId="0" xfId="0" numFmtId="0" borderId="8" fontId="0">
      <alignment vertical="bottom" horizontal="general" wrapText="1"/>
    </xf>
    <xf applyBorder="1" applyAlignment="1" fillId="0" xfId="0" numFmtId="0" borderId="9" fontId="0">
      <alignment vertical="bottom" horizontal="general" wrapText="1"/>
    </xf>
    <xf fillId="0" xfId="0" numFmtId="0" borderId="0" fontId="0"/>
    <xf applyBorder="1" applyAlignment="1" fillId="4" xfId="0" numFmtId="164" borderId="10" fontId="0" applyNumberFormat="1" applyFill="1">
      <alignment vertical="bottom" horizontal="general" wrapText="1"/>
    </xf>
    <xf applyBorder="1" fillId="5" xfId="0" numFmtId="0" borderId="11" fontId="0" applyFill="1"/>
    <xf applyBorder="1" fillId="0" xfId="0" numFmtId="0" borderId="12" fontId="0"/>
    <xf applyBorder="1" fillId="0" xfId="0" numFmtId="0" borderId="13" fontId="0"/>
    <xf applyBorder="1" applyAlignment="1" fillId="0" xfId="0" numFmtId="0" borderId="14" fontId="0">
      <alignment vertical="bottom" horizontal="general" wrapText="1"/>
    </xf>
    <xf applyBorder="1" applyAlignment="1" fillId="6" xfId="0" numFmtId="0" borderId="15" fontId="0" applyFill="1">
      <alignment vertical="bottom" horizontal="general" wrapText="1"/>
    </xf>
    <xf applyBorder="1" fillId="0" xfId="0" numFmtId="0" borderId="16" fontId="0"/>
    <xf applyBorder="1" applyAlignment="1" fillId="0" xfId="0" numFmtId="0" borderId="17" fontId="0">
      <alignment vertical="bottom" horizontal="general" wrapText="1"/>
    </xf>
    <xf applyBorder="1" applyAlignment="1" fillId="7" xfId="0" numFmtId="4" borderId="18" fontId="0" applyNumberFormat="1" applyFill="1">
      <alignment vertical="bottom" horizontal="general" wrapText="1"/>
    </xf>
    <xf applyBorder="1" applyAlignment="1" fillId="0" xfId="0" numFmtId="0" borderId="19" fontId="0">
      <alignment vertical="bottom" horizontal="general" wrapText="1"/>
    </xf>
    <xf applyBorder="1" applyAlignment="1" fillId="8" xfId="0" numFmtId="49" borderId="20" fontId="0" applyNumberFormat="1" applyFill="1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Border="1" applyAlignment="1" fillId="9" xfId="0" numFmtId="0" borderId="22" fontId="0" applyFill="1">
      <alignment vertical="bottom" horizontal="general" wrapText="1"/>
    </xf>
    <xf applyBorder="1" applyAlignment="1" fillId="10" xfId="0" numFmtId="0" borderId="23" fontId="0" applyFill="1">
      <alignment vertical="bottom" horizontal="general" wrapText="1"/>
    </xf>
    <xf applyBorder="1" applyAlignment="1" fillId="11" xfId="0" numFmtId="0" borderId="24" fontId="0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1.86"/>
    <col min="4" customWidth="1" max="4" width="52.71"/>
    <col min="5" customWidth="1" max="5" width="30.0"/>
    <col min="6" max="6" hidden="1"/>
  </cols>
  <sheetData>
    <row r="1">
      <c t="s" s="4" r="A1">
        <v>0</v>
      </c>
      <c s="20" r="B1"/>
      <c s="20" r="C1"/>
      <c s="20" r="D1"/>
      <c s="20" r="E1"/>
      <c s="10" r="F1"/>
    </row>
    <row r="2">
      <c t="s" s="24" r="A2">
        <v>1</v>
      </c>
      <c s="24" r="B2"/>
      <c t="str" s="13" r="C2">
        <f>IF((CONCATENATE(F6,F7,F8,F9,F10,F11,F12,F13,F14,F15,F16,F17,F18,F19,F20,F21,F22,F23,F24,F25,F26,F27)&lt;&gt;""),CONCATENATE("Fix required: ",F6,F7,F8,F9,F10,F11,F12,F13,F14,F15,F16,F17,F18,F19,F20,F21,F22,F23,F24,F25,F26,F27),CONCATENATE("bppolicynew ",C6))</f>
        <v>Fix required: Enter policy name.  </v>
      </c>
      <c s="5" r="D2"/>
      <c s="18" r="E2"/>
      <c s="7" r="F2"/>
    </row>
    <row r="3">
      <c t="s" s="24" r="A3">
        <v>2</v>
      </c>
      <c s="24" r="B3"/>
      <c t="str" s="13" r="C3">
        <f>IF((CONCATENATE(F6,F7,F8,F9,F10,F11,F12,F13,F14,F15,F16,F17,F18,F19,F20,F21,F22,F23,F24,F25,F26,F27)&lt;&gt;""),CONCATENATE("Fix required: ",F6,F7,F8,F9,F10,F11,F12,F13,F14,F15,F16,F17,F18,F19,F20,F21,F22,F23,F24,F25,F26,F27),CONCATENATE("bpplinfo ",C6," -modify",E6,E7,E8,E9,E10,E11,E12,E13,E14,E15,E16,E17,E18,E19,E20,E21,E23,E24,E25,E26,E27))</f>
        <v>Fix required: Enter policy name.  </v>
      </c>
      <c s="5" r="D3"/>
      <c s="18" r="E3"/>
      <c s="7" r="F3"/>
    </row>
    <row r="4">
      <c s="15" r="A4"/>
      <c s="15" r="B4"/>
      <c s="15" r="C4"/>
      <c s="15" r="D4"/>
      <c s="15" r="E4"/>
      <c s="4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s="23" r="C6"/>
      <c t="s" s="16" r="D6">
        <v>9</v>
      </c>
      <c t="str" s="6" r="E6">
        <f>" -pt Standard"</f>
        <v> -pt Standard</v>
      </c>
      <c t="str" s="6" r="F6">
        <f>IF((C6&lt;&gt;""),"","Enter policy name.  ")</f>
        <v>Enter policy name.  </v>
      </c>
      <c s="1" r="G6"/>
    </row>
    <row r="7">
      <c t="s" s="23" r="A7">
        <v>8</v>
      </c>
      <c t="s" s="16" r="B7">
        <v>10</v>
      </c>
      <c s="23" r="C7"/>
      <c t="s" s="16" r="D7">
        <v>11</v>
      </c>
      <c t="str" s="6" r="E7">
        <f>IF((A7&lt;&gt;""),IF((A7&lt;&gt;""),CONCATENATE(" -data_class ",IF((C7&lt;&gt;""),C7,"*NULL*")),""),"")</f>
        <v> -data_class *NULL*</v>
      </c>
      <c s="6" r="F7"/>
      <c s="1" r="G7"/>
    </row>
    <row r="8">
      <c t="s" s="23" r="A8">
        <v>8</v>
      </c>
      <c t="s" s="16" r="B8">
        <v>12</v>
      </c>
      <c s="23" r="C8"/>
      <c t="s" s="16" r="D8">
        <v>13</v>
      </c>
      <c t="str" s="6" r="E8">
        <f>IF((A8&lt;&gt;""),CONCATENATE(" -residence ",IF((C8&lt;&gt;""),C8,"*NULL*")),"")</f>
        <v> -residence *NULL*</v>
      </c>
      <c s="6" r="F8"/>
      <c s="1" r="G8"/>
    </row>
    <row r="9">
      <c t="s" s="23" r="A9">
        <v>8</v>
      </c>
      <c t="s" s="16" r="B9">
        <v>14</v>
      </c>
      <c s="23" r="C9"/>
      <c t="s" s="16" r="D9">
        <v>15</v>
      </c>
      <c t="str" s="6" r="E9">
        <f>IF((A9&lt;&gt;""),CONCATENATE(" -res_is_stl ",IF((C9&lt;&gt;""),1,0)),"")</f>
        <v> -res_is_stl 0</v>
      </c>
      <c s="6" r="F9"/>
      <c s="1" r="G9"/>
    </row>
    <row r="10">
      <c t="s" s="23" r="A10">
        <v>8</v>
      </c>
      <c t="s" s="16" r="B10">
        <v>16</v>
      </c>
      <c s="23" r="C10"/>
      <c t="s" s="16" r="D10">
        <v>17</v>
      </c>
      <c t="str" s="6" r="E10">
        <f>IF((A10&lt;&gt;""),CONCATENATE(" -pool ",IF((C10&lt;&gt;""),C10,"*NULL*")),"")</f>
        <v> -pool *NULL*</v>
      </c>
      <c s="6" r="F10"/>
      <c s="1" r="G10"/>
    </row>
    <row r="11">
      <c t="s" s="23" r="A11">
        <v>8</v>
      </c>
      <c t="s" s="16" r="B11">
        <v>18</v>
      </c>
      <c s="23" r="C11"/>
      <c t="s" s="16" r="D11">
        <v>19</v>
      </c>
      <c t="str" s="6" r="E11">
        <f>IF((A11&lt;&gt;""),IF((C11&lt;&gt;""),CONCATENATE(" -chkpt 1 -chkpt_intrvl ",C11)," -chkpt 0"),"")</f>
        <v> -chkpt 0</v>
      </c>
      <c s="6" r="F11"/>
      <c s="1" r="G11"/>
    </row>
    <row r="12">
      <c t="s" s="23" r="A12">
        <v>8</v>
      </c>
      <c t="s" s="16" r="B12">
        <v>20</v>
      </c>
      <c s="23" r="C12"/>
      <c t="s" s="16" r="D12">
        <v>21</v>
      </c>
      <c t="str" s="6" r="E12">
        <f>IF((A12&lt;&gt;""),IF((C12&lt;&gt;""),CONCATENATE(" -policyjobs ",C12)," -policyjobs 0"),"")</f>
        <v> -policyjobs 0</v>
      </c>
      <c s="6" r="F12"/>
      <c s="1" r="G12"/>
    </row>
    <row r="13">
      <c t="s" s="23" r="A13">
        <v>8</v>
      </c>
      <c t="s" s="16" r="B13">
        <v>22</v>
      </c>
      <c s="23" r="C13"/>
      <c t="s" s="16" r="D13">
        <v>23</v>
      </c>
      <c t="str" s="6" r="E13">
        <f>IF((A13&lt;&gt;""),IF((C13&lt;&gt;""),CONCATENATE(" -priority ",C13)," -priority 0"),"")</f>
        <v> -priority 0</v>
      </c>
      <c s="6" r="F13"/>
      <c s="1" r="G13"/>
    </row>
    <row r="14">
      <c t="s" s="23" r="A14">
        <v>8</v>
      </c>
      <c t="s" s="16" r="B14">
        <v>24</v>
      </c>
      <c s="23" r="C14"/>
      <c t="s" s="16" r="D14">
        <v>25</v>
      </c>
      <c t="str" s="6" r="E14">
        <f>IF((A14&lt;&gt;""),CONCATENATE(" -sg ",IF((C14&lt;&gt;""),C14,"*ANY*")),"")</f>
        <v> -sg *ANY*</v>
      </c>
      <c s="6" r="F14"/>
      <c s="1" r="G14"/>
    </row>
    <row r="15">
      <c t="s" s="23" r="A15">
        <v>8</v>
      </c>
      <c t="s" s="16" r="B15">
        <v>26</v>
      </c>
      <c s="21" r="C15"/>
      <c t="s" s="16" r="D15">
        <v>27</v>
      </c>
      <c t="str" s="6" r="E15">
        <f>IF((A15&lt;&gt;""),IF((C15&lt;&gt;""),CONCATENATE(" -active -ef ",CHAR(34),C15,CHAR(34))," -inactive"),"")</f>
        <v> -inactive</v>
      </c>
      <c s="6" r="F15"/>
      <c s="1" r="G15"/>
    </row>
    <row r="16">
      <c t="s" s="23" r="A16">
        <v>8</v>
      </c>
      <c t="s" s="16" r="B16">
        <v>28</v>
      </c>
      <c s="23" r="C16"/>
      <c t="s" s="16" r="D16">
        <v>29</v>
      </c>
      <c t="str" s="6" r="E16">
        <f>IF((A16&lt;&gt;""),CONCATENATE(" -follownfs ",IF((C16&lt;&gt;""),1,0)),"")</f>
        <v> -follownfs 0</v>
      </c>
      <c s="6" r="F16"/>
      <c s="1" r="G16"/>
    </row>
    <row r="17">
      <c t="s" s="23" r="A17">
        <v>8</v>
      </c>
      <c t="s" s="16" r="B17">
        <v>30</v>
      </c>
      <c s="23" r="C17"/>
      <c t="s" s="16" r="D17">
        <v>29</v>
      </c>
      <c t="str" s="6" r="E17">
        <f>IF((A17&lt;&gt;""),CONCATENATE(" -crossmp ",IF((C17&lt;&gt;""),1,0)),"")</f>
        <v> -crossmp 0</v>
      </c>
      <c s="6" r="F17"/>
      <c s="1" r="G17"/>
    </row>
    <row r="18">
      <c t="s" s="23" r="A18">
        <v>8</v>
      </c>
      <c t="s" s="16" r="B18">
        <v>31</v>
      </c>
      <c s="23" r="C18"/>
      <c t="s" s="16" r="D18">
        <v>29</v>
      </c>
      <c t="str" s="6" r="E18">
        <f>IF((A18&lt;&gt;""),CONCATENATE(" -compress ",IF((C18&lt;&gt;""),1,0)),"")</f>
        <v> -compress 0</v>
      </c>
      <c s="6" r="F18"/>
      <c s="1" r="G18"/>
    </row>
    <row r="19">
      <c t="s" s="23" r="A19">
        <v>8</v>
      </c>
      <c t="s" s="16" r="B19">
        <v>32</v>
      </c>
      <c s="23" r="C19"/>
      <c t="s" s="16" r="D19">
        <v>29</v>
      </c>
      <c t="str" s="6" r="E19">
        <f>IF((A19&lt;&gt;""),CONCATENATE(" -encrypt ",IF((C19&lt;&gt;""),1,0)),"")</f>
        <v> -encrypt 0</v>
      </c>
      <c s="6" r="F19"/>
      <c s="1" r="G19"/>
    </row>
    <row r="20">
      <c t="s" s="23" r="A20">
        <v>8</v>
      </c>
      <c t="s" s="16" r="B20">
        <v>33</v>
      </c>
      <c s="23" r="C20"/>
      <c t="s" s="16" r="D20">
        <v>29</v>
      </c>
      <c t="str" s="6" r="E20">
        <f>IF((A20&lt;&gt;""),CONCATENATE(" -collect_bmr_info ",IF((C20&lt;&gt;""),1,0)),"")</f>
        <v> -collect_bmr_info 0</v>
      </c>
      <c t="str" s="6" r="F20">
        <f>CONCATENATE(IF(AND((C20&lt;&gt;""),(C19&lt;&gt;"")),"Can not enable BMR with Encryption.  ",""),IF((C20&lt;&gt;""),IF(AND((C21&lt;&gt;""),(C22&lt;&gt;"")),"","BMR requires TIR with move detection.  "),""))</f>
        <v/>
      </c>
      <c s="1" r="G20"/>
    </row>
    <row r="21">
      <c t="s" s="23" r="A21">
        <v>8</v>
      </c>
      <c t="s" s="16" r="B21">
        <v>34</v>
      </c>
      <c s="23" r="C21"/>
      <c t="s" s="16" r="D21">
        <v>29</v>
      </c>
      <c t="str" s="6" r="E21">
        <f>IF((A21&lt;&gt;""),CONCATENATE(" -collect_tir_info ",IF((C22&lt;&gt;""),2,IF((C21&lt;&gt;""),1,0))),"")</f>
        <v> -collect_tir_info 0</v>
      </c>
      <c s="6" r="F21"/>
      <c s="1" r="G21"/>
    </row>
    <row r="22">
      <c s="16" r="A22"/>
      <c t="s" s="16" r="B22">
        <v>35</v>
      </c>
      <c s="23" r="C22"/>
      <c t="s" s="16" r="D22">
        <v>29</v>
      </c>
      <c s="6" r="E22"/>
      <c s="6" r="F22"/>
      <c s="1" r="G22"/>
    </row>
    <row r="23">
      <c t="s" s="23" r="A23">
        <v>8</v>
      </c>
      <c t="s" s="16" r="B23">
        <v>36</v>
      </c>
      <c s="23" r="C23"/>
      <c t="s" s="16" r="D23">
        <v>29</v>
      </c>
      <c t="str" s="6" r="E23">
        <f>IF((A23&lt;&gt;""),CONCATENATE(" -multiple_streams ",IF((C23&lt;&gt;""),1,0)),"")</f>
        <v> -multiple_streams 0</v>
      </c>
      <c s="6" r="F23"/>
      <c s="1" r="G23"/>
    </row>
    <row r="24">
      <c t="s" s="23" r="A24">
        <v>8</v>
      </c>
      <c t="s" s="16" r="B24">
        <v>37</v>
      </c>
      <c s="23" r="C24"/>
      <c t="s" s="16" r="D24">
        <v>29</v>
      </c>
      <c t="str" s="6" r="E24">
        <f>IF((A24&lt;&gt;""),CONCATENATE(" -ignore_client_direct ",IF((C24&lt;&gt;""),1,0)),"")</f>
        <v> -ignore_client_direct 0</v>
      </c>
      <c s="6" r="F24"/>
      <c s="1" r="G24"/>
    </row>
    <row r="25">
      <c t="s" s="23" r="A25">
        <v>8</v>
      </c>
      <c t="s" s="16" r="B25">
        <v>38</v>
      </c>
      <c s="23" r="C25"/>
      <c t="s" s="16" r="D25">
        <v>29</v>
      </c>
      <c t="str" s="6" r="E25">
        <f>IF((A25&lt;&gt;""),CONCATENATE(" -use_accelerator ",IF((C25&lt;&gt;""),1,0)),"")</f>
        <v> -use_accelerator 0</v>
      </c>
      <c t="str" s="6" r="F25">
        <f>CONCATENATE(IF(AND((C25&lt;&gt;""),(C18&lt;&gt;"")),"Can not enable Accelerator with Compression. ",""),IF(AND((C25&lt;&gt;""),(C19&lt;&gt;"")),"Can not enable Accelerator with Encryption. ",""))</f>
        <v/>
      </c>
      <c s="1" r="G25"/>
    </row>
    <row r="26">
      <c t="s" s="23" r="A26">
        <v>8</v>
      </c>
      <c t="s" s="16" r="B26">
        <v>39</v>
      </c>
      <c s="23" r="C26"/>
      <c t="s" s="16" r="D26">
        <v>39</v>
      </c>
      <c t="str" s="6" r="E26">
        <f>IF((A26&lt;&gt;""),IF((C26&lt;&gt;""),CONCATENATE(" -keyword ",CHAR(34),C26,CHAR(34))," -keyword *NULL*"),"")</f>
        <v> -keyword *NULL*</v>
      </c>
      <c s="6" r="F26"/>
      <c s="1" r="G26"/>
    </row>
    <row r="27">
      <c t="s" s="23" r="A27">
        <v>8</v>
      </c>
      <c t="s" s="16" r="B27">
        <v>40</v>
      </c>
      <c s="23" r="C27"/>
      <c t="s" s="16" r="D27">
        <v>41</v>
      </c>
      <c t="str" s="6" r="E27">
        <f>IF((A27&lt;&gt;""),IF((C27&lt;&gt;""),CONCATENATE(" -enable_meta_indexing 1 -index_server_name ",C27)," -enable_meta_indexing 0"),"")</f>
        <v> -enable_meta_indexing 0</v>
      </c>
      <c s="6" r="F27"/>
      <c s="1" r="G27"/>
    </row>
    <row r="28">
      <c s="9" r="A28"/>
      <c s="9" r="B28"/>
      <c s="9" r="C28"/>
      <c s="9" r="D28"/>
      <c s="9" r="E28"/>
      <c s="14" r="F28"/>
    </row>
    <row r="29">
      <c s="10" r="F29"/>
    </row>
    <row r="30">
      <c s="10" r="F30"/>
    </row>
    <row r="31">
      <c s="10" r="F31"/>
    </row>
    <row r="32">
      <c s="10" r="F32"/>
    </row>
    <row r="33">
      <c s="10" r="F33"/>
    </row>
    <row r="34">
      <c s="10" r="F34"/>
    </row>
    <row r="35">
      <c s="10" r="F35"/>
    </row>
    <row r="36">
      <c s="10" r="F36"/>
    </row>
    <row r="37">
      <c s="10" r="F37"/>
    </row>
    <row r="38">
      <c s="10" r="F38"/>
    </row>
    <row r="39">
      <c s="10" r="F39"/>
    </row>
    <row r="40">
      <c s="10" r="F40"/>
    </row>
    <row r="41">
      <c s="10" r="F41"/>
    </row>
    <row r="42">
      <c s="10" r="F42"/>
    </row>
    <row r="43">
      <c s="10" r="F43"/>
    </row>
    <row r="44">
      <c s="10" r="F44"/>
    </row>
    <row r="45">
      <c s="10" r="F45"/>
    </row>
    <row r="46">
      <c s="10" r="F46"/>
    </row>
    <row r="47">
      <c s="10" r="F47"/>
    </row>
    <row r="48">
      <c s="10" r="F48"/>
    </row>
    <row r="49">
      <c s="10" r="F49"/>
    </row>
    <row r="50">
      <c s="10" r="F50"/>
    </row>
    <row r="51">
      <c s="10" r="F51"/>
    </row>
    <row r="52">
      <c s="10" r="F52"/>
    </row>
    <row r="53">
      <c s="10" r="F53"/>
    </row>
    <row r="54">
      <c s="10" r="F54"/>
    </row>
    <row r="55">
      <c s="10" r="F55"/>
    </row>
    <row r="56">
      <c s="10" r="F56"/>
    </row>
    <row r="57">
      <c s="10" r="F57"/>
    </row>
    <row r="58">
      <c s="10" r="F58"/>
    </row>
    <row r="59">
      <c s="10" r="F59"/>
    </row>
    <row r="60">
      <c s="10" r="F60"/>
    </row>
    <row r="61">
      <c s="10" r="F61"/>
    </row>
    <row r="62">
      <c s="10" r="F62"/>
    </row>
    <row r="63">
      <c s="10" r="F63"/>
    </row>
    <row r="64">
      <c s="10" r="F64"/>
    </row>
    <row r="65">
      <c s="10" r="F65"/>
    </row>
    <row r="66">
      <c s="10" r="F66"/>
    </row>
    <row r="67">
      <c s="10" r="F67"/>
    </row>
    <row r="68">
      <c s="10" r="F68"/>
    </row>
    <row r="69">
      <c s="10" r="F69"/>
    </row>
    <row r="70">
      <c s="10" r="F70"/>
    </row>
    <row r="71">
      <c s="10" r="F71"/>
    </row>
    <row r="72">
      <c s="10" r="F72"/>
    </row>
    <row r="73">
      <c s="10" r="F73"/>
    </row>
    <row r="74">
      <c s="10" r="F74"/>
    </row>
    <row r="75">
      <c s="10" r="F75"/>
    </row>
    <row r="76">
      <c s="10" r="F76"/>
    </row>
    <row r="77">
      <c s="10" r="F77"/>
    </row>
    <row r="78">
      <c s="10" r="F78"/>
    </row>
    <row r="79">
      <c s="10" r="F79"/>
    </row>
    <row r="80">
      <c s="10" r="F80"/>
    </row>
    <row r="81">
      <c s="10" r="F81"/>
    </row>
    <row r="82">
      <c s="10" r="F82"/>
    </row>
    <row r="83">
      <c s="10" r="F83"/>
    </row>
    <row r="84">
      <c s="10" r="F84"/>
    </row>
    <row r="85">
      <c s="10" r="F85"/>
    </row>
    <row r="86">
      <c s="10" r="F86"/>
    </row>
    <row r="87">
      <c s="10" r="F87"/>
    </row>
    <row r="88">
      <c s="10" r="F88"/>
    </row>
    <row r="89">
      <c s="10" r="F89"/>
    </row>
    <row r="90">
      <c s="10" r="F90"/>
    </row>
    <row r="91">
      <c s="10" r="F91"/>
    </row>
    <row r="92">
      <c s="10" r="F92"/>
    </row>
    <row r="93">
      <c s="10" r="F93"/>
    </row>
    <row r="94">
      <c s="10" r="F94"/>
    </row>
    <row r="95">
      <c s="10" r="F95"/>
    </row>
    <row r="96">
      <c s="10" r="F96"/>
    </row>
    <row r="97">
      <c s="10" r="F97"/>
    </row>
    <row r="98">
      <c s="10" r="F98"/>
    </row>
    <row r="99">
      <c s="10" r="F99"/>
    </row>
    <row r="100">
      <c s="10" r="F100"/>
    </row>
    <row r="101">
      <c s="10" r="F101"/>
    </row>
    <row r="102">
      <c s="10" r="F102"/>
    </row>
    <row r="103">
      <c s="10" r="F103"/>
    </row>
  </sheetData>
  <mergeCells count="5">
    <mergeCell ref="A1:E1"/>
    <mergeCell ref="A2:B2"/>
    <mergeCell ref="C2:E2"/>
    <mergeCell ref="A3:B3"/>
    <mergeCell ref="C3:E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1.86"/>
    <col min="4" customWidth="1" max="4" width="52.71"/>
    <col min="5" customWidth="1" max="5" width="30.0"/>
    <col min="6" max="6" hidden="1"/>
  </cols>
  <sheetData>
    <row r="1">
      <c t="s" s="4" r="A1">
        <v>42</v>
      </c>
      <c s="20" r="B1"/>
      <c s="20" r="C1"/>
      <c s="20" r="D1"/>
      <c s="20" r="E1"/>
    </row>
    <row r="2">
      <c t="s" s="24" r="A2">
        <v>1</v>
      </c>
      <c s="24" r="B2"/>
      <c t="str" s="13" r="C2">
        <f>IF((CONCATENATE(F6,F7,F8,F9,F10,F11,F12,F13,F14,F15,F16,F17,F18,F19,F20,F21,F22,F23,F24,F25,F26,F27,F28)&lt;&gt;""),CONCATENATE("Fix required: ",F6,F7,F8,F9,F10,F11,F12,F13,F14,F15,F16,F17,F18,F19,F20,F21,F22,F23,F24,F25,F26,F27,F28),CONCATENATE("bppolicynew ",C6))</f>
        <v>Fix required: Enter policy name.  </v>
      </c>
      <c s="5" r="D2"/>
      <c s="18" r="E2"/>
      <c s="1" r="F2"/>
    </row>
    <row r="3">
      <c t="s" s="24" r="A3">
        <v>2</v>
      </c>
      <c s="24" r="B3"/>
      <c t="str" s="13" r="C3">
        <f>IF((CONCATENATE(F6,F7,F8,F9,F10,F11,F12,F13,F14,F15,F16,F17,F18,F19,F20,F21,F22,F23,F24,F25,F26,F27,F28)&lt;&gt;""),CONCATENATE("Fix required: ",F6,F7,F8,F9,F10,F11,F12,F13,F14,F15,F16,F17,F18,F19,F20,F21,F22,F23,F24,F25,F26,F27,F28),CONCATENATE("bpplinfo ",C6," -modify",E6,E7,E8,E9,E10,E11,E12,E13,E14,E15,E16,E17,E18,E19,E20,E21,E23,E24,E25,E26,E27,E28))</f>
        <v>Fix required: Enter policy name.  </v>
      </c>
      <c s="5" r="D3"/>
      <c s="18" r="E3"/>
      <c s="1" r="F3"/>
    </row>
    <row r="4">
      <c s="15" r="A4"/>
      <c s="15" r="B4"/>
      <c s="15" r="C4"/>
      <c s="15" r="D4"/>
      <c s="15" r="E4"/>
      <c s="20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s="23" r="C6"/>
      <c t="s" s="16" r="D6">
        <v>9</v>
      </c>
      <c t="str" s="6" r="E6">
        <f>" -pt MS-Windows"</f>
        <v> -pt MS-Windows</v>
      </c>
      <c t="str" s="6" r="F6">
        <f>IF((C6&lt;&gt;""),"","Enter policy name.  ")</f>
        <v>Enter policy name.  </v>
      </c>
      <c s="1" r="G6"/>
    </row>
    <row r="7">
      <c t="s" s="23" r="A7">
        <v>8</v>
      </c>
      <c t="s" s="16" r="B7">
        <v>10</v>
      </c>
      <c s="23" r="C7"/>
      <c t="s" s="16" r="D7">
        <v>11</v>
      </c>
      <c t="str" s="6" r="E7">
        <f>IF((A7&lt;&gt;""),IF((A7&lt;&gt;""),CONCATENATE(" -data_class ",IF((C7&lt;&gt;""),C7,"*NULL*")),""),"")</f>
        <v> -data_class *NULL*</v>
      </c>
      <c s="6" r="F7"/>
      <c s="1" r="G7"/>
    </row>
    <row r="8">
      <c t="s" s="23" r="A8">
        <v>8</v>
      </c>
      <c t="s" s="16" r="B8">
        <v>12</v>
      </c>
      <c s="23" r="C8"/>
      <c t="s" s="16" r="D8">
        <v>13</v>
      </c>
      <c t="str" s="6" r="E8">
        <f>IF((A8&lt;&gt;""),CONCATENATE(" -residence ",IF((C8&lt;&gt;""),C8,"*NULL*")),"")</f>
        <v> -residence *NULL*</v>
      </c>
      <c s="6" r="F8"/>
      <c s="1" r="G8"/>
    </row>
    <row r="9">
      <c t="s" s="23" r="A9">
        <v>8</v>
      </c>
      <c t="s" s="16" r="B9">
        <v>14</v>
      </c>
      <c s="23" r="C9"/>
      <c t="s" s="16" r="D9">
        <v>15</v>
      </c>
      <c t="str" s="6" r="E9">
        <f>IF((A9&lt;&gt;""),CONCATENATE(" -res_is_stl ",IF((C9&lt;&gt;""),1,0)),"")</f>
        <v> -res_is_stl 0</v>
      </c>
      <c s="6" r="F9"/>
      <c s="1" r="G9"/>
    </row>
    <row r="10">
      <c t="s" s="23" r="A10">
        <v>8</v>
      </c>
      <c t="s" s="16" r="B10">
        <v>16</v>
      </c>
      <c s="23" r="C10"/>
      <c t="s" s="16" r="D10">
        <v>17</v>
      </c>
      <c t="str" s="6" r="E10">
        <f>IF((A10&lt;&gt;""),CONCATENATE(" -pool ",IF((C10&lt;&gt;""),C10,"*NULL*")),"")</f>
        <v> -pool *NULL*</v>
      </c>
      <c s="6" r="F10"/>
      <c s="1" r="G10"/>
    </row>
    <row r="11">
      <c t="s" s="23" r="A11">
        <v>8</v>
      </c>
      <c t="s" s="16" r="B11">
        <v>18</v>
      </c>
      <c s="23" r="C11"/>
      <c t="s" s="16" r="D11">
        <v>19</v>
      </c>
      <c t="str" s="6" r="E11">
        <f>IF((A11&lt;&gt;""),IF((C11&lt;&gt;""),CONCATENATE(" -chkpt 1 -chkpt_intrvl ",C11)," -chkpt 0"),"")</f>
        <v> -chkpt 0</v>
      </c>
      <c s="6" r="F11"/>
      <c s="1" r="G11"/>
    </row>
    <row r="12">
      <c t="s" s="23" r="A12">
        <v>8</v>
      </c>
      <c t="s" s="16" r="B12">
        <v>20</v>
      </c>
      <c s="23" r="C12"/>
      <c t="s" s="16" r="D12">
        <v>21</v>
      </c>
      <c t="str" s="6" r="E12">
        <f>IF((A12&lt;&gt;""),IF((C12&lt;&gt;""),CONCATENATE(" -policyjobs ",C12)," -policyjobs 0"),"")</f>
        <v> -policyjobs 0</v>
      </c>
      <c s="6" r="F12"/>
      <c s="1" r="G12"/>
    </row>
    <row r="13">
      <c t="s" s="23" r="A13">
        <v>8</v>
      </c>
      <c t="s" s="16" r="B13">
        <v>22</v>
      </c>
      <c s="23" r="C13"/>
      <c t="s" s="16" r="D13">
        <v>23</v>
      </c>
      <c t="str" s="6" r="E13">
        <f>IF((A13&lt;&gt;""),IF((C13&lt;&gt;""),CONCATENATE(" -priority ",C13)," -priority 0"),"")</f>
        <v> -priority 0</v>
      </c>
      <c s="6" r="F13"/>
      <c s="1" r="G13"/>
    </row>
    <row r="14">
      <c t="s" s="23" r="A14">
        <v>8</v>
      </c>
      <c t="s" s="16" r="B14">
        <v>24</v>
      </c>
      <c s="23" r="C14"/>
      <c t="s" s="16" r="D14">
        <v>25</v>
      </c>
      <c t="str" s="6" r="E14">
        <f>IF((A14&lt;&gt;""),CONCATENATE(" -sg ",IF((C14&lt;&gt;""),C14,"*ANY*")),"")</f>
        <v> -sg *ANY*</v>
      </c>
      <c s="6" r="F14"/>
      <c s="1" r="G14"/>
    </row>
    <row r="15">
      <c t="s" s="23" r="A15">
        <v>8</v>
      </c>
      <c t="s" s="16" r="B15">
        <v>26</v>
      </c>
      <c s="21" r="C15"/>
      <c t="s" s="16" r="D15">
        <v>27</v>
      </c>
      <c t="str" s="6" r="E15">
        <f>IF((A15&lt;&gt;""),IF((C15&lt;&gt;""),CONCATENATE(" -active -ef ",CHAR(34),C15,CHAR(34))," -inactive"),"")</f>
        <v> -inactive</v>
      </c>
      <c s="6" r="F15"/>
      <c s="1" r="G15"/>
    </row>
    <row r="16">
      <c t="s" s="23" r="A16">
        <v>8</v>
      </c>
      <c t="s" s="16" r="B16">
        <v>43</v>
      </c>
      <c s="23" r="C16"/>
      <c t="s" s="16" r="D16">
        <v>29</v>
      </c>
      <c t="str" s="6" r="E16">
        <f>IF((A16&lt;&gt;""),CONCATENATE(" -follownfs ",IF((C16&lt;&gt;""),1,0)),"")</f>
        <v> -follownfs 0</v>
      </c>
      <c s="6" r="F16"/>
      <c s="1" r="G16"/>
    </row>
    <row r="17">
      <c t="s" s="23" r="A17">
        <v>8</v>
      </c>
      <c t="s" s="16" r="B17">
        <v>30</v>
      </c>
      <c s="23" r="C17"/>
      <c t="s" s="16" r="D17">
        <v>29</v>
      </c>
      <c t="str" s="6" r="E17">
        <f>IF((A17&lt;&gt;""),CONCATENATE(" -crossmp ",IF((C17&lt;&gt;""),1,0)),"")</f>
        <v> -crossmp 0</v>
      </c>
      <c s="6" r="F17"/>
      <c s="1" r="G17"/>
    </row>
    <row r="18">
      <c t="s" s="23" r="A18">
        <v>8</v>
      </c>
      <c t="s" s="16" r="B18">
        <v>31</v>
      </c>
      <c s="23" r="C18"/>
      <c t="s" s="16" r="D18">
        <v>29</v>
      </c>
      <c t="str" s="6" r="E18">
        <f>IF((A18&lt;&gt;""),CONCATENATE(" -compress ",IF((C18&lt;&gt;""),1,0)),"")</f>
        <v> -compress 0</v>
      </c>
      <c s="6" r="F18"/>
      <c s="1" r="G18"/>
    </row>
    <row r="19">
      <c t="s" s="23" r="A19">
        <v>8</v>
      </c>
      <c t="s" s="16" r="B19">
        <v>32</v>
      </c>
      <c s="23" r="C19"/>
      <c t="s" s="16" r="D19">
        <v>29</v>
      </c>
      <c t="str" s="6" r="E19">
        <f>IF((A19&lt;&gt;""),CONCATENATE(" -encrypt ",IF((C19&lt;&gt;""),1,0)),"")</f>
        <v> -encrypt 0</v>
      </c>
      <c s="6" r="F19"/>
      <c s="1" r="G19"/>
    </row>
    <row r="20">
      <c t="s" s="23" r="A20">
        <v>8</v>
      </c>
      <c t="s" s="16" r="B20">
        <v>33</v>
      </c>
      <c s="23" r="C20"/>
      <c t="s" s="16" r="D20">
        <v>29</v>
      </c>
      <c t="str" s="6" r="E20">
        <f>IF((A20&lt;&gt;""),CONCATENATE(" -collect_bmr_info ",IF((C20&lt;&gt;""),1,0)),"")</f>
        <v> -collect_bmr_info 0</v>
      </c>
      <c t="str" s="6" r="F20">
        <f>CONCATENATE(IF(AND((C20&lt;&gt;""),(C19&lt;&gt;"")),"Can not enable BMR with Encryption.  ",""),IF((C20&lt;&gt;""),IF(AND((C21&lt;&gt;""),(C22&lt;&gt;"")),"","BMR requires TIR with move detection.  "),""))</f>
        <v/>
      </c>
      <c s="1" r="G20"/>
    </row>
    <row r="21">
      <c t="s" s="23" r="A21">
        <v>8</v>
      </c>
      <c t="s" s="16" r="B21">
        <v>34</v>
      </c>
      <c s="23" r="C21"/>
      <c t="s" s="16" r="D21">
        <v>29</v>
      </c>
      <c t="str" s="6" r="E21">
        <f>IF((A21&lt;&gt;""),CONCATENATE(" -collect_tir_info ",IF((C22&lt;&gt;""),2,IF((C21&lt;&gt;""),1,0))),"")</f>
        <v> -collect_tir_info 0</v>
      </c>
      <c s="6" r="F21"/>
      <c s="1" r="G21"/>
    </row>
    <row r="22">
      <c s="16" r="A22"/>
      <c t="s" s="16" r="B22">
        <v>35</v>
      </c>
      <c s="23" r="C22"/>
      <c t="s" s="16" r="D22">
        <v>29</v>
      </c>
      <c s="6" r="E22"/>
      <c s="6" r="F22"/>
      <c s="1" r="G22"/>
    </row>
    <row r="23">
      <c t="s" s="23" r="A23">
        <v>8</v>
      </c>
      <c t="s" s="16" r="B23">
        <v>36</v>
      </c>
      <c s="23" r="C23"/>
      <c t="s" s="16" r="D23">
        <v>29</v>
      </c>
      <c t="str" s="6" r="E23">
        <f>IF((A23&lt;&gt;""),CONCATENATE(" -multiple_streams ",IF((C23&lt;&gt;""),1,0)),"")</f>
        <v> -multiple_streams 0</v>
      </c>
      <c s="6" r="F23"/>
      <c s="1" r="G23"/>
    </row>
    <row r="24">
      <c t="s" s="23" r="A24">
        <v>8</v>
      </c>
      <c t="s" s="16" r="B24">
        <v>37</v>
      </c>
      <c s="23" r="C24"/>
      <c t="s" s="16" r="D24">
        <v>29</v>
      </c>
      <c t="str" s="6" r="E24">
        <f>IF((A24&lt;&gt;""),CONCATENATE(" -ignore_client_direct ",IF((C24&lt;&gt;""),1,0)),"")</f>
        <v> -ignore_client_direct 0</v>
      </c>
      <c s="6" r="F24"/>
      <c s="1" r="G24"/>
    </row>
    <row r="25">
      <c t="s" s="23" r="A25">
        <v>8</v>
      </c>
      <c t="s" s="16" r="B25">
        <v>44</v>
      </c>
      <c s="23" r="C25"/>
      <c t="s" s="16" r="D25">
        <v>29</v>
      </c>
      <c t="str" s="6" r="E25">
        <f>IF((A25&lt;&gt;""),CONCATENATE(" -granular_restore_info ",IF((C25&lt;&gt;""),1,0)),"")</f>
        <v> -granular_restore_info 0</v>
      </c>
      <c t="str" s="6" r="F25">
        <f>CONCATENATE(IF(AND((C25&lt;&gt;""),(C18&lt;&gt;"")),"Can not enable Granular Recovery with Compression. ",""),IF(AND((C25&lt;&gt;""),(C19&lt;&gt;"")),"Can not enable Granular Recovery with Encryption. ",""))</f>
        <v/>
      </c>
      <c s="1" r="G25"/>
    </row>
    <row r="26">
      <c t="s" s="23" r="A26">
        <v>8</v>
      </c>
      <c t="s" s="16" r="B26">
        <v>38</v>
      </c>
      <c s="23" r="C26"/>
      <c t="s" s="16" r="D26">
        <v>29</v>
      </c>
      <c t="str" s="6" r="E26">
        <f>IF((A26&lt;&gt;""),CONCATENATE(" -use_accelerator ",IF((C26&lt;&gt;""),1,0)),"")</f>
        <v> -use_accelerator 0</v>
      </c>
      <c t="str" s="6" r="F26">
        <f>CONCATENATE(IF(AND((C26&lt;&gt;""),(C18&lt;&gt;"")),"Can not enable Accelerator with Compression. ",""),IF(AND((C26&lt;&gt;""),(C19&lt;&gt;"")),"Can not enable Accelerator with Encryption. ",""))</f>
        <v/>
      </c>
      <c s="1" r="G26"/>
    </row>
    <row r="27">
      <c t="s" s="23" r="A27">
        <v>8</v>
      </c>
      <c t="s" s="16" r="B27">
        <v>39</v>
      </c>
      <c s="23" r="C27"/>
      <c t="s" s="16" r="D27">
        <v>39</v>
      </c>
      <c t="str" s="6" r="E27">
        <f>IF((A27&lt;&gt;""),IF((C27&lt;&gt;""),CONCATENATE(" -keyword ",CHAR(34),C27,CHAR(34))," -keyword *NULL*"),"")</f>
        <v> -keyword *NULL*</v>
      </c>
      <c s="6" r="F27"/>
      <c s="1" r="G27"/>
    </row>
    <row r="28">
      <c t="s" s="23" r="A28">
        <v>8</v>
      </c>
      <c t="s" s="16" r="B28">
        <v>40</v>
      </c>
      <c s="23" r="C28"/>
      <c t="s" s="16" r="D28">
        <v>41</v>
      </c>
      <c t="str" s="6" r="E28">
        <f>IF((A28&lt;&gt;""),IF((C28&lt;&gt;""),CONCATENATE(" -enable_meta_indexing 1 -index_server_name ",C28)," -enable_meta_indexing 0"),"")</f>
        <v> -enable_meta_indexing 0</v>
      </c>
      <c s="6" r="F28"/>
      <c s="1" r="G28"/>
    </row>
    <row r="29">
      <c s="9" r="A29"/>
      <c s="9" r="B29"/>
      <c s="9" r="C29"/>
      <c s="9" r="D29"/>
      <c s="9" r="E29"/>
      <c s="9" r="F29"/>
    </row>
  </sheetData>
  <mergeCells count="5">
    <mergeCell ref="A1:E1"/>
    <mergeCell ref="A2:B2"/>
    <mergeCell ref="C2:E2"/>
    <mergeCell ref="A3:B3"/>
    <mergeCell ref="C3:E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3.86"/>
    <col min="3" customWidth="1" max="3" width="18.71"/>
    <col min="4" customWidth="1" max="4" width="52.71"/>
    <col min="5" customWidth="1" max="5" width="30.0"/>
  </cols>
  <sheetData>
    <row r="1">
      <c t="s" s="4" r="A1">
        <v>45</v>
      </c>
      <c s="20" r="B1"/>
      <c s="20" r="C1"/>
      <c s="20" r="D1"/>
      <c s="20" r="E1"/>
      <c s="10" r="F1"/>
    </row>
    <row r="2">
      <c t="s" s="24" r="A2">
        <v>1</v>
      </c>
      <c s="24" r="B2"/>
      <c t="str" s="13" r="C2">
        <f>#REF!</f>
        <v>Fix required: Enter policy name.  </v>
      </c>
      <c s="5" r="D2"/>
      <c s="18" r="E2"/>
      <c s="7" r="F2"/>
    </row>
    <row r="3">
      <c t="s" s="24" r="A3">
        <v>2</v>
      </c>
      <c s="24" r="B3"/>
      <c t="str" s="13" r="C3">
        <f>IF((CONCATENATE(F6,F7,F8,F9,F10,F11,F12,F13,F14,F15,F16,F17,F18,F20,CONCATENATE(F19,F21,F22,F23,F24,F25,F26,F27,F28,F29,F30,F31,F32,F33,F34,F35))&lt;&gt;""),CONCATENATE("Fix required: ",F6,F7,F8,F9,F10,F11,F12,F13,F14,F15,F16,F17,F18,F20,CONCATENATE(F19,F21,F22,F23,F24,F25,F26,F27,F28,F29,F30,F31,F32,F33,F34,F35)),CONCATENATE("bpplinfo ",C6," -modify",E6," &amp;&amp; ","bpplinfo ",C6," -modify",E6,E7,E8,E9,E10,E11,E12,E13,E14,E15,E16,E17,E18,E20,CONCATENATE(E19,E21,E22,E23,E24,E25,E26,E27,E28,E29,E30,E31,E32,E33,E34,E35)))</f>
        <v>Fix required: Enter policy name.  </v>
      </c>
      <c s="5" r="D3"/>
      <c s="18" r="E3"/>
      <c s="7" r="F3"/>
    </row>
    <row r="4">
      <c s="15" r="A4"/>
      <c s="15" r="B4"/>
      <c s="15" r="C4"/>
      <c s="15" r="D4"/>
      <c s="15" r="E4"/>
      <c s="4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s="23" r="C6"/>
      <c t="s" s="16" r="D6">
        <v>9</v>
      </c>
      <c t="str" s="6" r="E6">
        <f>" -pt VMware -snapshot_method VMware_v2"</f>
        <v> -pt VMware -snapshot_method VMware_v2</v>
      </c>
      <c t="str" s="6" r="F6">
        <f>IF((C6&lt;&gt;""),"","Enter policy name.  ")</f>
        <v>Enter policy name.  </v>
      </c>
      <c s="1" r="G6"/>
    </row>
    <row r="7">
      <c t="s" s="23" r="A7">
        <v>8</v>
      </c>
      <c t="s" s="16" r="B7">
        <v>10</v>
      </c>
      <c s="23" r="C7"/>
      <c t="s" s="16" r="D7">
        <v>11</v>
      </c>
      <c t="str" s="6" r="E7">
        <f>IF((A7&lt;&gt;""),IF((A7&lt;&gt;""),CONCATENATE(" -data_class ",IF((C7&lt;&gt;""),C7,"*NULL*")),""),"")</f>
        <v> -data_class *NULL*</v>
      </c>
      <c s="6" r="F7"/>
      <c s="1" r="G7"/>
    </row>
    <row r="8">
      <c t="s" s="23" r="A8">
        <v>8</v>
      </c>
      <c t="s" s="16" r="B8">
        <v>12</v>
      </c>
      <c s="23" r="C8"/>
      <c t="s" s="16" r="D8">
        <v>13</v>
      </c>
      <c t="str" s="6" r="E8">
        <f>IF((A8&lt;&gt;""),CONCATENATE(" -residence ",IF((C8&lt;&gt;""),C8,"*NULL*")),"")</f>
        <v> -residence *NULL*</v>
      </c>
      <c s="6" r="F8"/>
      <c s="1" r="G8"/>
    </row>
    <row r="9">
      <c t="s" s="23" r="A9">
        <v>8</v>
      </c>
      <c t="s" s="16" r="B9">
        <v>14</v>
      </c>
      <c s="23" r="C9"/>
      <c t="s" s="16" r="D9">
        <v>15</v>
      </c>
      <c t="str" s="6" r="E9">
        <f>IF((A9&lt;&gt;""),CONCATENATE(" -res_is_stl ",IF((C9&lt;&gt;""),1,0)),"")</f>
        <v> -res_is_stl 0</v>
      </c>
      <c s="6" r="F9"/>
      <c s="1" r="G9"/>
    </row>
    <row r="10">
      <c t="s" s="23" r="A10">
        <v>8</v>
      </c>
      <c t="s" s="16" r="B10">
        <v>16</v>
      </c>
      <c s="23" r="C10"/>
      <c t="s" s="16" r="D10">
        <v>17</v>
      </c>
      <c t="str" s="6" r="E10">
        <f>IF((A10&lt;&gt;""),CONCATENATE(" -pool ",IF((C10&lt;&gt;""),C10,"*NULL*")),"")</f>
        <v> -pool *NULL*</v>
      </c>
      <c s="6" r="F10"/>
      <c s="1" r="G10"/>
    </row>
    <row r="11">
      <c t="s" s="23" r="A11">
        <v>8</v>
      </c>
      <c t="s" s="16" r="B11">
        <v>20</v>
      </c>
      <c s="23" r="C11"/>
      <c t="s" s="16" r="D11">
        <v>21</v>
      </c>
      <c t="str" s="6" r="E11">
        <f>IF((A11&lt;&gt;""),IF((C11&lt;&gt;""),CONCATENATE(" -policyjobs ",C11)," -policyjobs 0"),"")</f>
        <v> -policyjobs 0</v>
      </c>
      <c s="6" r="F11"/>
      <c s="1" r="G11"/>
    </row>
    <row r="12">
      <c t="s" s="23" r="A12">
        <v>8</v>
      </c>
      <c t="s" s="16" r="B12">
        <v>22</v>
      </c>
      <c s="23" r="C12"/>
      <c t="s" s="16" r="D12">
        <v>23</v>
      </c>
      <c t="str" s="6" r="E12">
        <f>IF((A12&lt;&gt;""),IF((C12&lt;&gt;""),CONCATENATE(" -priority ",C12)," -priority 0"),"")</f>
        <v> -priority 0</v>
      </c>
      <c s="6" r="F12"/>
      <c s="1" r="G12"/>
    </row>
    <row r="13">
      <c t="s" s="23" r="A13">
        <v>8</v>
      </c>
      <c t="s" s="16" r="B13">
        <v>24</v>
      </c>
      <c s="23" r="C13"/>
      <c t="s" s="16" r="D13">
        <v>25</v>
      </c>
      <c t="str" s="6" r="E13">
        <f>IF((A13&lt;&gt;""),CONCATENATE(" -sg ",IF((C13&lt;&gt;""),C13,"*ANY*")),"")</f>
        <v> -sg *ANY*</v>
      </c>
      <c s="6" r="F13"/>
      <c s="1" r="G13"/>
    </row>
    <row r="14">
      <c t="s" s="23" r="A14">
        <v>8</v>
      </c>
      <c t="s" s="16" r="B14">
        <v>26</v>
      </c>
      <c s="21" r="C14"/>
      <c t="s" s="16" r="D14">
        <v>27</v>
      </c>
      <c t="str" s="6" r="E14">
        <f>IF((A14&lt;&gt;""),IF((C14&lt;&gt;""),CONCATENATE(" -active -ef ",CHAR(34),C14,CHAR(34))," -inactive"),"")</f>
        <v> -inactive</v>
      </c>
      <c s="6" r="F14"/>
      <c s="1" r="G14"/>
    </row>
    <row r="15">
      <c t="s" s="23" r="A15">
        <v>8</v>
      </c>
      <c t="s" s="16" r="B15">
        <v>37</v>
      </c>
      <c s="23" r="C15"/>
      <c t="s" s="16" r="D15">
        <v>29</v>
      </c>
      <c t="str" s="6" r="E15">
        <f>IF((A15&lt;&gt;""),CONCATENATE(" -ignore_client_direct ",IF((C15&lt;&gt;""),1,0)),"")</f>
        <v> -ignore_client_direct 0</v>
      </c>
      <c s="6" r="F15"/>
      <c s="1" r="G15"/>
    </row>
    <row r="16">
      <c t="s" s="23" r="A16">
        <v>8</v>
      </c>
      <c t="s" s="16" r="B16">
        <v>39</v>
      </c>
      <c s="23" r="C16"/>
      <c t="s" s="16" r="D16">
        <v>39</v>
      </c>
      <c t="str" s="6" r="E16">
        <f>IF((A16&lt;&gt;""),IF((C16&lt;&gt;""),CONCATENATE(" -keyword ",CHAR(34),C16,CHAR(34))," -keyword *NULL*"),"")</f>
        <v> -keyword *NULL*</v>
      </c>
      <c s="6" r="F16"/>
      <c s="1" r="G16"/>
    </row>
    <row r="17">
      <c t="s" s="23" r="A17">
        <v>8</v>
      </c>
      <c t="s" s="16" r="B17">
        <v>40</v>
      </c>
      <c s="23" r="C17"/>
      <c t="s" s="16" r="D17">
        <v>41</v>
      </c>
      <c t="str" s="6" r="E17">
        <f>IF((A17&lt;&gt;""),IF((C17&lt;&gt;""),CONCATENATE(" -enable_meta_indexing 1 -index_server_name ",C17)," -enable_meta_indexing 0"),"")</f>
        <v> -enable_meta_indexing 0</v>
      </c>
      <c s="6" r="F17"/>
      <c s="1" r="G17"/>
    </row>
    <row r="18">
      <c t="s" s="16" r="A18">
        <v>8</v>
      </c>
      <c t="s" s="16" r="B18">
        <v>46</v>
      </c>
      <c s="3" r="C18"/>
      <c s="16" r="D18"/>
      <c t="str" s="6" r="E18">
        <f>CONCATENATE(" -alt_client_name ",IF((C18&lt;&gt;""),C18,"MEDIA_SERVER"))</f>
        <v> -alt_client_name MEDIA_SERVER</v>
      </c>
      <c s="6" r="F18"/>
      <c s="1" r="G18"/>
    </row>
    <row r="19">
      <c t="s" s="16" r="A19">
        <v>8</v>
      </c>
      <c t="s" s="16" r="B19">
        <v>47</v>
      </c>
      <c t="s" s="3" r="C19">
        <v>8</v>
      </c>
      <c s="16" r="D19"/>
      <c t="str" s="6" r="E19">
        <f>CONCATENATE(" -snapshot_method_args ","Virtual_machine_backup=",IF((C19&lt;&gt;""),2,1))</f>
        <v> -snapshot_method_args Virtual_machine_backup=2</v>
      </c>
      <c s="6" r="F19"/>
      <c s="1" r="G19"/>
    </row>
    <row r="20">
      <c t="s" s="16" r="A20">
        <v>8</v>
      </c>
      <c t="s" s="16" r="B20">
        <v>48</v>
      </c>
      <c s="3" r="C20"/>
      <c s="16" r="D20"/>
      <c t="str" s="6" r="E20">
        <f>CONCATENATE(" -blkincr ",IF((C20&lt;&gt;""),1,0))</f>
        <v> -blkincr 0</v>
      </c>
      <c s="6" r="F20"/>
      <c s="1" r="G20"/>
    </row>
    <row r="21">
      <c t="s" s="16" r="A21">
        <v>8</v>
      </c>
      <c t="s" s="16" r="B21">
        <v>49</v>
      </c>
      <c t="s" s="3" r="C21">
        <v>8</v>
      </c>
      <c s="16" r="D21"/>
      <c t="str" s="6" r="E21">
        <f>CONCATENATE(",filesystem_optimization=",IF((C21&lt;&gt;""),1,0))</f>
        <v>,filesystem_optimization=1</v>
      </c>
      <c s="6" r="F21"/>
      <c s="1" r="G21"/>
    </row>
    <row r="22">
      <c t="s" s="23" r="A22">
        <v>8</v>
      </c>
      <c t="s" s="16" r="B22">
        <v>50</v>
      </c>
      <c t="s" s="3" r="C22">
        <v>8</v>
      </c>
      <c s="16" r="D22"/>
      <c t="str" s="6" r="E22">
        <f>IF((A22&lt;&gt;""),CONCATENATE(",exclude_swap=",IF((C22&lt;&gt;""),1,0)),"")</f>
        <v>,exclude_swap=1</v>
      </c>
      <c s="6" r="F22"/>
      <c s="1" r="G22"/>
    </row>
    <row r="23">
      <c t="s" s="16" r="A23">
        <v>8</v>
      </c>
      <c t="s" s="16" r="B23">
        <v>51</v>
      </c>
      <c s="3" r="C23">
        <v>0</v>
      </c>
      <c t="s" s="16" r="D23">
        <v>52</v>
      </c>
      <c t="str" s="6" r="E23">
        <f>CONCATENATE(",nameuse=",C23)</f>
        <v>,nameuse=0</v>
      </c>
      <c t="str" s="6" r="F23">
        <f>IF((A23&lt;&gt;""),IF((C23&lt;&gt;""),"",CONCATENATE("Enter ",B23)),"")</f>
        <v/>
      </c>
      <c s="1" r="G23"/>
    </row>
    <row r="24">
      <c t="s" s="16" r="A24">
        <v>8</v>
      </c>
      <c t="s" s="16" r="B24">
        <v>53</v>
      </c>
      <c s="3" r="C24">
        <v>2</v>
      </c>
      <c t="s" s="16" r="D24">
        <v>54</v>
      </c>
      <c t="str" s="6" r="E24">
        <f>CONCATENATE(",snapact=",C24)</f>
        <v>,snapact=2</v>
      </c>
      <c t="str" s="6" r="F24">
        <f>IF((A24&lt;&gt;""),IF((C24&lt;&gt;""),"",CONCATENATE("Enter ",B24)),"")</f>
        <v/>
      </c>
      <c s="1" r="G24"/>
    </row>
    <row r="25">
      <c t="s" s="16" r="A25">
        <v>8</v>
      </c>
      <c t="s" s="16" r="B25">
        <v>55</v>
      </c>
      <c t="s" s="3" r="C25">
        <v>56</v>
      </c>
      <c t="s" s="16" r="D25">
        <v>57</v>
      </c>
      <c t="str" s="6" r="E25">
        <f>CONCATENATE(",trantype=",C25)</f>
        <v>,trantype=san:hotadd:nbd:nbdssl</v>
      </c>
      <c t="str" s="6" r="F25">
        <f>IF((A25&lt;&gt;""),IF((C25&lt;&gt;""),"",CONCATENATE("Enter ",B25)),"")</f>
        <v/>
      </c>
      <c s="1" r="G25"/>
    </row>
    <row r="26">
      <c t="s" s="16" r="A26">
        <v>8</v>
      </c>
      <c t="s" s="16" r="B26">
        <v>58</v>
      </c>
      <c t="s" s="3" r="C26">
        <v>8</v>
      </c>
      <c s="16" r="D26"/>
      <c t="str" s="6" r="E26">
        <f>CONCATENATE(",disable_quiesce=",IF((C26&lt;&gt;""),1,0))</f>
        <v>,disable_quiesce=1</v>
      </c>
      <c s="6" r="F26"/>
      <c s="1" r="G26"/>
    </row>
    <row r="27">
      <c t="s" s="23" r="A27">
        <v>8</v>
      </c>
      <c t="s" s="16" r="B27">
        <v>59</v>
      </c>
      <c s="3" r="C27">
        <v>0</v>
      </c>
      <c t="s" s="16" r="D27">
        <v>60</v>
      </c>
      <c t="str" s="6" r="E27">
        <f>IF((A27&lt;&gt;""),CONCATENATE(",drive_selection=",C27),"")</f>
        <v>,drive_selection=0</v>
      </c>
      <c t="str" s="6" r="F27">
        <f>IF((A27&lt;&gt;""),IF((C27&lt;&gt;""),"",CONCATENATE("Enter ",B27)),"")</f>
        <v/>
      </c>
      <c s="1" r="G27"/>
    </row>
    <row r="28">
      <c t="s" s="23" r="A28">
        <v>8</v>
      </c>
      <c t="s" s="16" r="B28">
        <v>61</v>
      </c>
      <c t="s" s="3" r="C28">
        <v>8</v>
      </c>
      <c t="s" s="16" r="D28">
        <v>62</v>
      </c>
      <c t="str" s="6" r="E28">
        <f>IF((A28&lt;&gt;""),CONCATENATE(",skipnodisk=",IF((C28&lt;&gt;""),1,0)),"")</f>
        <v>,skipnodisk=1</v>
      </c>
      <c s="6" r="F28"/>
      <c s="1" r="G28"/>
    </row>
    <row r="29">
      <c t="s" s="23" r="A29">
        <v>8</v>
      </c>
      <c t="s" s="16" r="B29">
        <v>63</v>
      </c>
      <c s="3" r="C29">
        <v>0</v>
      </c>
      <c t="s" s="16" r="D29">
        <v>64</v>
      </c>
      <c t="str" s="6" r="E29">
        <f>IF((A29&lt;&gt;""),CONCATENATE(",post_events=",C29),"")</f>
        <v>,post_events=0</v>
      </c>
      <c t="str" s="6" r="F29">
        <f>IF((A29&lt;&gt;""),IF((C29&lt;&gt;""),"",CONCATENATE("Enter ",B29)),"")</f>
        <v/>
      </c>
      <c s="1" r="G29"/>
    </row>
    <row r="30">
      <c t="s" s="23" r="A30">
        <v>8</v>
      </c>
      <c t="s" s="16" r="B30">
        <v>65</v>
      </c>
      <c s="16" r="C30"/>
      <c s="16" r="D30"/>
      <c t="str" s="6" r="E30">
        <f>IF((A30&lt;&gt;""),CONCATENATE(" -ASC_apps_attr ",CHAR(34),E33,E31,E35,CHAR(34)),"")</f>
        <v> -ASC_apps_attr ""</v>
      </c>
      <c s="6" r="F30"/>
      <c s="1" r="G30"/>
    </row>
    <row r="31">
      <c s="16" r="A31"/>
      <c t="s" s="16" r="B31">
        <v>66</v>
      </c>
      <c s="3" r="C31"/>
      <c s="16" r="D31"/>
      <c t="str" s="6" r="E31">
        <f>IF((C32&lt;&gt;"")," exchange:;truncatelogs=1",IF((C31&lt;&gt;"")," exchange:",""))</f>
        <v/>
      </c>
      <c s="6" r="F31"/>
      <c s="1" r="G31"/>
    </row>
    <row r="32">
      <c s="16" r="A32"/>
      <c t="s" s="16" r="B32">
        <v>67</v>
      </c>
      <c s="3" r="C32"/>
      <c s="16" r="D32"/>
      <c s="6" r="E32"/>
      <c s="6" r="F32"/>
      <c s="1" r="G32"/>
    </row>
    <row r="33">
      <c s="16" r="A33"/>
      <c t="s" s="16" r="B33">
        <v>68</v>
      </c>
      <c s="3" r="C33"/>
      <c s="16" r="D33"/>
      <c t="str" s="6" r="E33">
        <f>IF((C34&lt;&gt;"")," mssql:;truncatelogs=1",IF((C33&lt;&gt;"")," mssql:",""))</f>
        <v/>
      </c>
      <c s="6" r="F33"/>
      <c s="1" r="G33"/>
    </row>
    <row r="34">
      <c s="16" r="A34"/>
      <c t="s" s="16" r="B34">
        <v>69</v>
      </c>
      <c s="3" r="C34"/>
      <c s="16" r="D34"/>
      <c s="6" r="E34"/>
      <c s="6" r="F34"/>
      <c s="1" r="G34"/>
    </row>
    <row r="35">
      <c s="16" r="A35"/>
      <c t="s" s="16" r="B35">
        <v>70</v>
      </c>
      <c s="3" r="C35"/>
      <c s="16" r="D35"/>
      <c t="str" s="6" r="E35">
        <f>IF((C35&lt;&gt;"")," sharepoint:","")</f>
        <v/>
      </c>
      <c s="6" r="F35"/>
      <c s="1" r="G35"/>
    </row>
    <row r="36">
      <c s="9" r="A36"/>
      <c s="9" r="B36"/>
      <c s="9" r="C36"/>
      <c s="9" r="D36"/>
      <c s="9" r="E36"/>
      <c s="14" r="F36"/>
    </row>
    <row r="37">
      <c s="10" r="F37"/>
    </row>
    <row r="38">
      <c s="10" r="F38"/>
    </row>
    <row r="39">
      <c s="10" r="F39"/>
    </row>
    <row r="40">
      <c s="10" r="F40"/>
    </row>
    <row r="41">
      <c s="10" r="F41"/>
    </row>
    <row r="42">
      <c s="10" r="F42"/>
    </row>
    <row r="43">
      <c s="10" r="F43"/>
    </row>
    <row r="44">
      <c s="10" r="F44"/>
    </row>
    <row r="45">
      <c s="10" r="F45"/>
    </row>
    <row r="46">
      <c s="10" r="F46"/>
    </row>
    <row r="47">
      <c s="10" r="F47"/>
    </row>
    <row r="48">
      <c s="10" r="F48"/>
    </row>
    <row r="49">
      <c s="10" r="F49"/>
    </row>
    <row r="50">
      <c s="10" r="F50"/>
    </row>
    <row r="51">
      <c s="10" r="F51"/>
    </row>
    <row r="52">
      <c s="10" r="F52"/>
    </row>
    <row r="53">
      <c s="10" r="F53"/>
    </row>
    <row r="54">
      <c s="10" r="F54"/>
    </row>
    <row r="55">
      <c s="10" r="F55"/>
    </row>
    <row r="56">
      <c s="10" r="F56"/>
    </row>
    <row r="57">
      <c s="10" r="F57"/>
    </row>
    <row r="58">
      <c s="10" r="F58"/>
    </row>
    <row r="59">
      <c s="10" r="F59"/>
    </row>
    <row r="60">
      <c s="10" r="F60"/>
    </row>
    <row r="61">
      <c s="10" r="F61"/>
    </row>
    <row r="62">
      <c s="10" r="F62"/>
    </row>
    <row r="63">
      <c s="10" r="F63"/>
    </row>
    <row r="64">
      <c s="10" r="F64"/>
    </row>
    <row r="65">
      <c s="10" r="F65"/>
    </row>
    <row r="66">
      <c s="10" r="F66"/>
    </row>
    <row r="67">
      <c s="10" r="F67"/>
    </row>
    <row r="68">
      <c s="10" r="F68"/>
    </row>
    <row r="69">
      <c s="10" r="F69"/>
    </row>
    <row r="70">
      <c s="10" r="F70"/>
    </row>
    <row r="71">
      <c s="10" r="F71"/>
    </row>
    <row r="72">
      <c s="10" r="F72"/>
    </row>
    <row r="73">
      <c s="10" r="F73"/>
    </row>
    <row r="74">
      <c s="10" r="F74"/>
    </row>
    <row r="75">
      <c s="10" r="F75"/>
    </row>
    <row r="76">
      <c s="10" r="F76"/>
    </row>
    <row r="77">
      <c s="10" r="F77"/>
    </row>
    <row r="78">
      <c s="10" r="F78"/>
    </row>
    <row r="79">
      <c s="10" r="F79"/>
    </row>
    <row r="80">
      <c s="10" r="F80"/>
    </row>
    <row r="81">
      <c s="10" r="F81"/>
    </row>
    <row r="82">
      <c s="10" r="F82"/>
    </row>
    <row r="83">
      <c s="10" r="F83"/>
    </row>
    <row r="84">
      <c s="10" r="F84"/>
    </row>
    <row r="85">
      <c s="10" r="F85"/>
    </row>
    <row r="86">
      <c s="10" r="F86"/>
    </row>
    <row r="87">
      <c s="10" r="F87"/>
    </row>
    <row r="88">
      <c s="10" r="F88"/>
    </row>
    <row r="89">
      <c s="10" r="F89"/>
    </row>
    <row r="90">
      <c s="10" r="F90"/>
    </row>
    <row r="91">
      <c s="10" r="F91"/>
    </row>
    <row r="92">
      <c s="10" r="F92"/>
    </row>
    <row r="93">
      <c s="10" r="F93"/>
    </row>
    <row r="94">
      <c s="10" r="F94"/>
    </row>
    <row r="95">
      <c s="10" r="F95"/>
    </row>
    <row r="96">
      <c s="10" r="F96"/>
    </row>
    <row r="97">
      <c s="10" r="F97"/>
    </row>
    <row r="98">
      <c s="10" r="F98"/>
    </row>
    <row r="99">
      <c s="10" r="F99"/>
    </row>
    <row r="100">
      <c s="10" r="F100"/>
    </row>
    <row r="101">
      <c s="10" r="F101"/>
    </row>
    <row r="102">
      <c s="10" r="F102"/>
    </row>
    <row r="103">
      <c s="10" r="F103"/>
    </row>
    <row r="104">
      <c s="10" r="F104"/>
    </row>
    <row r="105">
      <c s="10" r="F105"/>
    </row>
    <row r="106">
      <c s="10" r="F106"/>
    </row>
    <row r="107">
      <c s="10" r="F107"/>
    </row>
    <row r="108">
      <c s="10" r="F108"/>
    </row>
    <row r="109">
      <c s="10" r="F109"/>
    </row>
    <row r="110">
      <c s="10" r="F110"/>
    </row>
    <row r="111">
      <c s="10" r="F111"/>
    </row>
  </sheetData>
  <mergeCells count="5">
    <mergeCell ref="A1:E1"/>
    <mergeCell ref="A2:B2"/>
    <mergeCell ref="C2:E2"/>
    <mergeCell ref="A3:B3"/>
    <mergeCell ref="C3:E3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3.29"/>
    <col min="4" customWidth="1" max="4" width="51.14"/>
    <col min="5" customWidth="1" max="5" width="26.71"/>
    <col min="6" max="6" hidden="1"/>
  </cols>
  <sheetData>
    <row r="1">
      <c t="s" s="4" r="A1">
        <v>71</v>
      </c>
      <c s="20" r="B1"/>
      <c s="20" r="C1"/>
      <c s="20" r="D1"/>
      <c s="20" r="E1"/>
      <c s="10" r="F1"/>
    </row>
    <row r="2">
      <c t="s" s="24" r="A2">
        <v>1</v>
      </c>
      <c s="24" r="B2"/>
      <c t="str" s="13" r="C2">
        <f>IF((CONCATENATE(F6,F7,F8,F9,F10,F11,F12,F13,F14,F15,F16,F17,F18,F19,F20,F21,F22,F23,F24)&lt;&gt;""),CONCATENATE("Fix required: ",F6,F7,F8,F9,F10,F11,F12,F13,F14,F15,F16,F17,F18,F19,F20,F21,F22,F23,F24),CONCATENATE("bppolicynew ",C6))</f>
        <v>Fix required: Enter Hyper-V host</v>
      </c>
      <c s="5" r="D2"/>
      <c s="18" r="E2"/>
      <c s="7" r="F2"/>
    </row>
    <row r="3">
      <c t="s" s="24" r="A3">
        <v>2</v>
      </c>
      <c s="24" r="B3"/>
      <c t="str" s="13" r="C3">
        <f>IF((CONCATENATE(F6,F7,F8,F9,F10,F11,F12,F13,F14,F15,F16,F17,F18,F19,F20,F21,F22,F23,F24)&lt;&gt;""),CONCATENATE("Fix required: ",F6,F7,F8,F9,F10,F11,F12,F13,F14,F15,F16,F17,F18,F19,F20,F21,F22,F23,F24),CONCATENATE("bpplinfo ",C6," -modify",E6," &amp;&amp; ","bpplinfo ",C6," -modify",E6,E7,E8,E9,E10,E11,E12,E13,E14,E15,E16,E17,E18,E19,E20,E21,E22,E23,E24))</f>
        <v>Fix required: Enter Hyper-V host</v>
      </c>
      <c s="5" r="D3"/>
      <c s="18" r="E3"/>
      <c s="7" r="F3"/>
    </row>
    <row r="4">
      <c s="15" r="A4"/>
      <c s="15" r="B4"/>
      <c s="15" r="C4"/>
      <c s="15" r="D4"/>
      <c s="15" r="E4"/>
      <c s="4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t="s" s="23" r="C6">
        <v>72</v>
      </c>
      <c t="s" s="16" r="D6">
        <v>9</v>
      </c>
      <c t="str" s="6" r="E6">
        <f>" -pt Hyper-V -snapshot_method Hyper-V_v2"</f>
        <v> -pt Hyper-V -snapshot_method Hyper-V_v2</v>
      </c>
      <c t="str" s="6" r="F6">
        <f>IF((C6&lt;&gt;""),"","Enter policy name.  ")</f>
        <v/>
      </c>
      <c s="1" r="G6"/>
    </row>
    <row r="7">
      <c t="s" s="23" r="A7">
        <v>8</v>
      </c>
      <c t="s" s="16" r="B7">
        <v>10</v>
      </c>
      <c s="23" r="C7"/>
      <c t="s" s="16" r="D7">
        <v>11</v>
      </c>
      <c t="str" s="6" r="E7">
        <f>IF((A7&lt;&gt;""),IF((A7&lt;&gt;""),CONCATENATE(" -data_class ",IF((C7&lt;&gt;""),C7,"*NULL*")),""),"")</f>
        <v> -data_class *NULL*</v>
      </c>
      <c s="6" r="F7"/>
      <c s="1" r="G7"/>
    </row>
    <row r="8">
      <c t="s" s="23" r="A8">
        <v>8</v>
      </c>
      <c t="s" s="16" r="B8">
        <v>12</v>
      </c>
      <c s="23" r="C8"/>
      <c t="s" s="16" r="D8">
        <v>13</v>
      </c>
      <c t="str" s="6" r="E8">
        <f>IF((A8&lt;&gt;""),CONCATENATE(" -residence ",IF((C8&lt;&gt;""),C8,"*NULL*")),"")</f>
        <v> -residence *NULL*</v>
      </c>
      <c s="6" r="F8"/>
      <c s="1" r="G8"/>
    </row>
    <row r="9">
      <c t="s" s="23" r="A9">
        <v>8</v>
      </c>
      <c t="s" s="16" r="B9">
        <v>14</v>
      </c>
      <c s="23" r="C9"/>
      <c t="s" s="16" r="D9">
        <v>15</v>
      </c>
      <c t="str" s="6" r="E9">
        <f>IF((A9&lt;&gt;""),CONCATENATE(" -res_is_stl ",IF((C9&lt;&gt;""),1,0)),"")</f>
        <v> -res_is_stl 0</v>
      </c>
      <c s="6" r="F9"/>
      <c s="1" r="G9"/>
    </row>
    <row r="10">
      <c t="s" s="23" r="A10">
        <v>8</v>
      </c>
      <c t="s" s="16" r="B10">
        <v>16</v>
      </c>
      <c s="23" r="C10"/>
      <c t="s" s="16" r="D10">
        <v>17</v>
      </c>
      <c t="str" s="6" r="E10">
        <f>IF((A10&lt;&gt;""),CONCATENATE(" -pool ",IF((C10&lt;&gt;""),C10,"*NULL*")),"")</f>
        <v> -pool *NULL*</v>
      </c>
      <c s="6" r="F10"/>
      <c s="1" r="G10"/>
    </row>
    <row r="11">
      <c t="s" s="23" r="A11">
        <v>8</v>
      </c>
      <c t="s" s="16" r="B11">
        <v>20</v>
      </c>
      <c s="23" r="C11"/>
      <c t="s" s="16" r="D11">
        <v>21</v>
      </c>
      <c t="str" s="6" r="E11">
        <f>IF((A11&lt;&gt;""),IF((C11&lt;&gt;""),CONCATENATE(" -policyjobs ",C11)," -policyjobs 0"),"")</f>
        <v> -policyjobs 0</v>
      </c>
      <c s="6" r="F11"/>
      <c s="1" r="G11"/>
    </row>
    <row r="12">
      <c t="s" s="23" r="A12">
        <v>8</v>
      </c>
      <c t="s" s="16" r="B12">
        <v>22</v>
      </c>
      <c s="23" r="C12"/>
      <c t="s" s="16" r="D12">
        <v>23</v>
      </c>
      <c t="str" s="6" r="E12">
        <f>IF((A12&lt;&gt;""),IF((C12&lt;&gt;""),CONCATENATE(" -priority ",C12)," -priority 0"),"")</f>
        <v> -priority 0</v>
      </c>
      <c s="6" r="F12"/>
      <c s="1" r="G12"/>
    </row>
    <row r="13">
      <c t="s" s="23" r="A13">
        <v>8</v>
      </c>
      <c t="s" s="16" r="B13">
        <v>24</v>
      </c>
      <c s="23" r="C13"/>
      <c t="s" s="16" r="D13">
        <v>25</v>
      </c>
      <c t="str" s="6" r="E13">
        <f>IF((A13&lt;&gt;""),CONCATENATE(" -sg ",IF((C13&lt;&gt;""),C13,"*ANY*")),"")</f>
        <v> -sg *ANY*</v>
      </c>
      <c s="6" r="F13"/>
      <c s="1" r="G13"/>
    </row>
    <row r="14">
      <c t="s" s="23" r="A14">
        <v>8</v>
      </c>
      <c t="s" s="16" r="B14">
        <v>26</v>
      </c>
      <c s="21" r="C14"/>
      <c t="s" s="16" r="D14">
        <v>27</v>
      </c>
      <c t="str" s="6" r="E14">
        <f>IF((A14&lt;&gt;""),IF((C14&lt;&gt;""),CONCATENATE(" -active -ef ",CHAR(34),C14,CHAR(34))," -inactive"),"")</f>
        <v> -inactive</v>
      </c>
      <c s="6" r="F14"/>
      <c s="1" r="G14"/>
    </row>
    <row r="15">
      <c t="s" s="23" r="A15">
        <v>8</v>
      </c>
      <c t="s" s="16" r="B15">
        <v>37</v>
      </c>
      <c s="23" r="C15"/>
      <c t="s" s="16" r="D15">
        <v>29</v>
      </c>
      <c t="str" s="6" r="E15">
        <f>IF((A15&lt;&gt;""),CONCATENATE(" -ignore_client_direct ",IF((C15&lt;&gt;""),1,0)),"")</f>
        <v> -ignore_client_direct 0</v>
      </c>
      <c s="6" r="F15"/>
      <c s="1" r="G15"/>
    </row>
    <row r="16">
      <c t="s" s="23" r="A16">
        <v>8</v>
      </c>
      <c t="s" s="16" r="B16">
        <v>39</v>
      </c>
      <c s="23" r="C16"/>
      <c t="s" s="16" r="D16">
        <v>39</v>
      </c>
      <c t="str" s="6" r="E16">
        <f>IF((A16&lt;&gt;""),IF((C16&lt;&gt;""),CONCATENATE(" -keyword ",CHAR(34),C16,CHAR(34))," -keyword *NULL*"),"")</f>
        <v> -keyword *NULL*</v>
      </c>
      <c s="6" r="F16"/>
      <c s="1" r="G16"/>
    </row>
    <row r="17">
      <c t="s" s="23" r="A17">
        <v>8</v>
      </c>
      <c t="s" s="16" r="B17">
        <v>40</v>
      </c>
      <c s="23" r="C17"/>
      <c t="s" s="16" r="D17">
        <v>41</v>
      </c>
      <c t="str" s="6" r="E17">
        <f>IF((A17&lt;&gt;""),IF((C17&lt;&gt;""),CONCATENATE(" -enable_meta_indexing 1 -index_server_name ",C17)," -enable_meta_indexing 0"),"")</f>
        <v> -enable_meta_indexing 0</v>
      </c>
      <c s="6" r="F17"/>
      <c s="1" r="G17"/>
    </row>
    <row r="18">
      <c t="s" s="16" r="A18">
        <v>8</v>
      </c>
      <c t="s" s="16" r="B18">
        <v>73</v>
      </c>
      <c s="3" r="C18"/>
      <c s="16" r="D18"/>
      <c t="str" s="6" r="E18">
        <f>CONCATENATE(" -use_virtual_machine 2  -hyperv_server ",C18)</f>
        <v> -use_virtual_machine 2  -hyperv_server </v>
      </c>
      <c t="str" s="6" r="F18">
        <f>IF((A18&lt;&gt;""),IF((C18&lt;&gt;""),"",CONCATENATE("Enter ",B18)),"")</f>
        <v>Enter Hyper-V host</v>
      </c>
      <c s="1" r="G18"/>
    </row>
    <row r="19">
      <c t="s" s="16" r="A19">
        <v>8</v>
      </c>
      <c t="s" s="16" r="B19">
        <v>47</v>
      </c>
      <c t="s" s="3" r="C19">
        <v>8</v>
      </c>
      <c s="16" r="D19"/>
      <c t="str" s="6" r="E19">
        <f>CONCATENATE(" -snapshot_method_args ","Virtual_machine_backup=",IF((C19&lt;&gt;""),2,1),",file_system_optimization=0,vmgrt=0")</f>
        <v> -snapshot_method_args Virtual_machine_backup=2,file_system_optimization=0,vmgrt=0</v>
      </c>
      <c s="6" r="F19"/>
      <c s="1" r="G19"/>
    </row>
    <row r="20">
      <c t="s" s="16" r="A20">
        <v>8</v>
      </c>
      <c t="s" s="16" r="B20">
        <v>51</v>
      </c>
      <c s="3" r="C20">
        <v>0</v>
      </c>
      <c t="s" s="16" r="D20">
        <v>74</v>
      </c>
      <c t="str" s="6" r="E20">
        <f>CONCATENATE(",nameuse=",C20)</f>
        <v>,nameuse=0</v>
      </c>
      <c t="str" s="6" r="F20">
        <f>IF((A20&lt;&gt;""),IF((C20&lt;&gt;""),"",CONCATENATE("Enter ",B20)),"")</f>
        <v/>
      </c>
      <c s="1" r="G20"/>
    </row>
    <row r="21">
      <c t="s" s="16" r="A21">
        <v>8</v>
      </c>
      <c t="s" s="16" r="B21">
        <v>75</v>
      </c>
      <c t="s" s="3" r="C21">
        <v>8</v>
      </c>
      <c s="16" r="D21"/>
      <c t="str" s="6" r="E21">
        <f>CONCATENATE(",allow_offline_backup=",IF((C21&lt;&gt;""),1,0))</f>
        <v>,allow_offline_backup=1</v>
      </c>
      <c s="6" r="F21"/>
      <c s="1" r="G21"/>
    </row>
    <row r="22">
      <c t="s" s="16" r="A22">
        <v>8</v>
      </c>
      <c t="s" s="16" r="B22">
        <v>76</v>
      </c>
      <c s="3" r="C22">
        <v>0</v>
      </c>
      <c s="16" r="D22"/>
      <c t="str" s="6" r="E22">
        <f>CONCATENATE(",csv_timeout=",C22)</f>
        <v>,csv_timeout=0</v>
      </c>
      <c t="str" s="6" r="F22">
        <f>IF((A22&lt;&gt;""),IF((C22&lt;&gt;""),"",CONCATENATE("Enter ",B22)),"")</f>
        <v/>
      </c>
      <c s="1" r="G22"/>
    </row>
    <row r="23">
      <c t="s" s="16" r="A23">
        <v>8</v>
      </c>
      <c t="s" s="16" r="B23">
        <v>77</v>
      </c>
      <c s="3" r="C23">
        <v>0</v>
      </c>
      <c t="s" s="16" r="D23">
        <v>78</v>
      </c>
      <c t="str" s="6" r="E23">
        <f>CONCATENATE(",prov_type=",C23)</f>
        <v>,prov_type=0</v>
      </c>
      <c t="str" s="6" r="F23">
        <f>IF((A23&lt;&gt;""),IF((C23&lt;&gt;""),"",CONCATENATE("Enter ",B23)),"")</f>
        <v/>
      </c>
      <c s="1" r="G23"/>
    </row>
    <row r="24">
      <c t="s" s="16" r="A24">
        <v>8</v>
      </c>
      <c t="s" s="16" r="B24">
        <v>79</v>
      </c>
      <c s="3" r="C24">
        <v>0</v>
      </c>
      <c t="s" s="16" r="D24">
        <v>80</v>
      </c>
      <c t="str" s="6" r="E24">
        <f>CONCATENATE(",snap_attr=",C24)</f>
        <v>,snap_attr=0</v>
      </c>
      <c t="str" s="6" r="F24">
        <f>IF((A24&lt;&gt;""),IF((C24&lt;&gt;""),"",CONCATENATE("Enter ",B24)),"")</f>
        <v/>
      </c>
      <c s="1" r="G24"/>
    </row>
    <row r="25">
      <c s="9" r="A25"/>
      <c s="9" r="B25"/>
      <c s="9" r="C25"/>
      <c s="9" r="D25"/>
      <c s="9" r="E25"/>
      <c s="9" r="F25"/>
    </row>
  </sheetData>
  <mergeCells count="5">
    <mergeCell ref="A1:E1"/>
    <mergeCell ref="A2:B2"/>
    <mergeCell ref="C2:E2"/>
    <mergeCell ref="A3:B3"/>
    <mergeCell ref="C3:E3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1.86"/>
    <col min="3" customWidth="1" max="3" width="18.71"/>
    <col min="4" customWidth="1" max="4" width="52.71"/>
    <col min="5" customWidth="1" max="5" width="30.0"/>
    <col min="6" max="6" hidden="1"/>
  </cols>
  <sheetData>
    <row r="1">
      <c t="s" s="4" r="A1">
        <v>81</v>
      </c>
      <c s="20" r="B1"/>
      <c s="20" r="C1"/>
      <c s="20" r="D1"/>
      <c s="20" r="E1"/>
      <c s="10" r="F1"/>
    </row>
    <row r="2">
      <c t="s" s="24" r="A2">
        <v>1</v>
      </c>
      <c s="24" r="B2"/>
      <c t="str" s="13" r="C2">
        <f>#REF!</f>
        <v>Fix required: Enter policy name.  </v>
      </c>
      <c s="5" r="D2"/>
      <c s="18" r="E2"/>
      <c s="7" r="F2"/>
    </row>
    <row r="3">
      <c t="s" s="24" r="A3">
        <v>2</v>
      </c>
      <c s="24" r="B3"/>
      <c t="str" s="13" r="C3">
        <f>#REF!</f>
        <v>Fix required: Enter policy name.  </v>
      </c>
      <c s="5" r="D3"/>
      <c s="18" r="E3"/>
      <c s="7" r="F3"/>
    </row>
    <row r="4">
      <c s="15" r="A4"/>
      <c s="15" r="B4"/>
      <c s="15" r="C4"/>
      <c s="15" r="D4"/>
      <c s="15" r="E4"/>
      <c s="4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s="23" r="C6"/>
      <c t="s" s="16" r="D6">
        <v>9</v>
      </c>
      <c t="str" s="16" r="E6">
        <f>" -pt NDMP"</f>
        <v> -pt NDMP</v>
      </c>
      <c t="str" s="6" r="F6">
        <f>IF((C6&lt;&gt;""),"","Enter policy name.  ")</f>
        <v>Enter policy name.  </v>
      </c>
      <c s="1" r="G6"/>
    </row>
    <row r="7">
      <c t="s" s="23" r="A7">
        <v>8</v>
      </c>
      <c t="s" s="16" r="B7">
        <v>10</v>
      </c>
      <c s="23" r="C7"/>
      <c t="s" s="16" r="D7">
        <v>11</v>
      </c>
      <c t="str" s="16" r="E7">
        <f>IF((A7&lt;&gt;""),IF((A7&lt;&gt;""),CONCATENATE(" -data_class ",IF((C7&lt;&gt;""),C7,"*NULL*")),""),"")</f>
        <v> -data_class *NULL*</v>
      </c>
      <c s="6" r="F7"/>
      <c s="1" r="G7"/>
    </row>
    <row r="8">
      <c t="s" s="23" r="A8">
        <v>8</v>
      </c>
      <c t="s" s="16" r="B8">
        <v>12</v>
      </c>
      <c s="23" r="C8"/>
      <c t="s" s="16" r="D8">
        <v>13</v>
      </c>
      <c t="str" s="16" r="E8">
        <f>IF((A8&lt;&gt;""),CONCATENATE(" -residence ",IF((C8&lt;&gt;""),C8,"*NULL*")),"")</f>
        <v> -residence *NULL*</v>
      </c>
      <c s="6" r="F8"/>
      <c s="1" r="G8"/>
    </row>
    <row r="9">
      <c t="s" s="23" r="A9">
        <v>8</v>
      </c>
      <c t="s" s="16" r="B9">
        <v>14</v>
      </c>
      <c s="23" r="C9"/>
      <c t="s" s="16" r="D9">
        <v>15</v>
      </c>
      <c t="str" s="16" r="E9">
        <f>IF((A9&lt;&gt;""),CONCATENATE(" -res_is_stl ",IF((C9&lt;&gt;""),1,0)),"")</f>
        <v> -res_is_stl 0</v>
      </c>
      <c s="6" r="F9"/>
      <c s="1" r="G9"/>
    </row>
    <row r="10">
      <c t="s" s="23" r="A10">
        <v>8</v>
      </c>
      <c t="s" s="16" r="B10">
        <v>16</v>
      </c>
      <c s="23" r="C10"/>
      <c t="s" s="16" r="D10">
        <v>17</v>
      </c>
      <c t="str" s="16" r="E10">
        <f>IF((A10&lt;&gt;""),CONCATENATE(" -pool ",IF((C10&lt;&gt;""),C10,"*NULL*")),"")</f>
        <v> -pool *NULL*</v>
      </c>
      <c s="6" r="F10"/>
      <c s="1" r="G10"/>
    </row>
    <row r="11">
      <c t="s" s="23" r="A11">
        <v>8</v>
      </c>
      <c t="s" s="16" r="B11">
        <v>20</v>
      </c>
      <c s="23" r="C11"/>
      <c t="s" s="16" r="D11">
        <v>21</v>
      </c>
      <c t="str" s="16" r="E11">
        <f>IF((A11&lt;&gt;""),IF((C11&lt;&gt;""),CONCATENATE(" -policyjobs ",C11)," -policyjobs 0"),"")</f>
        <v> -policyjobs 0</v>
      </c>
      <c s="6" r="F11"/>
      <c s="1" r="G11"/>
    </row>
    <row r="12">
      <c t="s" s="23" r="A12">
        <v>8</v>
      </c>
      <c t="s" s="16" r="B12">
        <v>22</v>
      </c>
      <c s="23" r="C12"/>
      <c t="s" s="16" r="D12">
        <v>23</v>
      </c>
      <c t="str" s="16" r="E12">
        <f>IF((A12&lt;&gt;""),IF((C12&lt;&gt;""),CONCATENATE(" -priority ",C12)," -priority 0"),"")</f>
        <v> -priority 0</v>
      </c>
      <c s="6" r="F12"/>
      <c s="1" r="G12"/>
    </row>
    <row r="13">
      <c t="s" s="23" r="A13">
        <v>8</v>
      </c>
      <c t="s" s="16" r="B13">
        <v>24</v>
      </c>
      <c s="23" r="C13"/>
      <c t="s" s="16" r="D13">
        <v>25</v>
      </c>
      <c t="str" s="16" r="E13">
        <f>IF((A13&lt;&gt;""),CONCATENATE(" -sg ",IF((C13&lt;&gt;""),C13,"*ANY*")),"")</f>
        <v> -sg *ANY*</v>
      </c>
      <c s="6" r="F13"/>
      <c s="1" r="G13"/>
    </row>
    <row r="14">
      <c t="s" s="23" r="A14">
        <v>8</v>
      </c>
      <c t="s" s="16" r="B14">
        <v>26</v>
      </c>
      <c s="21" r="C14"/>
      <c t="s" s="16" r="D14">
        <v>27</v>
      </c>
      <c t="str" s="16" r="E14">
        <f>IF((A14&lt;&gt;""),IF((C14&lt;&gt;""),CONCATENATE(" -active -ef ",CHAR(34),C14,CHAR(34))," -inactive"),"")</f>
        <v> -inactive</v>
      </c>
      <c s="6" r="F14"/>
      <c s="1" r="G14"/>
    </row>
    <row r="15">
      <c t="s" s="23" r="A15">
        <v>8</v>
      </c>
      <c t="s" s="16" r="B15">
        <v>36</v>
      </c>
      <c s="23" r="C15"/>
      <c t="s" s="16" r="D15">
        <v>29</v>
      </c>
      <c t="str" s="16" r="E15">
        <f>IF((A15&lt;&gt;""),CONCATENATE(" -multiple_streams ",IF((C15&lt;&gt;""),1,0)),"")</f>
        <v> -multiple_streams 0</v>
      </c>
      <c s="6" r="F15"/>
      <c s="1" r="G15"/>
    </row>
    <row r="16">
      <c t="s" s="23" r="A16">
        <v>8</v>
      </c>
      <c t="s" s="16" r="B16">
        <v>39</v>
      </c>
      <c s="23" r="C16"/>
      <c t="s" s="16" r="D16">
        <v>39</v>
      </c>
      <c t="str" s="16" r="E16">
        <f>IF((A16&lt;&gt;""),IF((C16&lt;&gt;""),CONCATENATE(" -keyword ",CHAR(34),C16,CHAR(34))," -keyword *NULL*"),"")</f>
        <v> -keyword *NULL*</v>
      </c>
      <c s="6" r="F16"/>
      <c s="1" r="G16"/>
    </row>
    <row r="17">
      <c t="s" s="23" r="A17">
        <v>8</v>
      </c>
      <c t="s" s="16" r="B17">
        <v>40</v>
      </c>
      <c s="23" r="C17"/>
      <c t="s" s="16" r="D17">
        <v>41</v>
      </c>
      <c t="str" s="16" r="E17">
        <f>IF((A17&lt;&gt;""),IF((C17&lt;&gt;""),CONCATENATE(" -enable_meta_indexing 1 -index_server_name ",C17)," -enable_meta_indexing 0"),"")</f>
        <v> -enable_meta_indexing 0</v>
      </c>
      <c s="6" r="F17"/>
      <c s="1" r="G17"/>
    </row>
    <row r="18">
      <c s="9" r="A18"/>
      <c s="9" r="B18"/>
      <c s="9" r="C18"/>
      <c s="9" r="D18"/>
      <c s="9" r="E18"/>
      <c s="14" r="F18"/>
    </row>
    <row r="19">
      <c s="10" r="F19"/>
    </row>
    <row r="20">
      <c s="10" r="F20"/>
    </row>
    <row r="21">
      <c s="10" r="F21"/>
    </row>
    <row r="22">
      <c s="10" r="F22"/>
    </row>
    <row r="23">
      <c s="10" r="F23"/>
    </row>
    <row r="24">
      <c s="10" r="F24"/>
    </row>
    <row r="25">
      <c s="10" r="F25"/>
    </row>
    <row r="26">
      <c s="10" r="F26"/>
    </row>
    <row r="27">
      <c s="10" r="F27"/>
    </row>
    <row r="28">
      <c s="10" r="F28"/>
    </row>
    <row r="29">
      <c s="10" r="F29"/>
    </row>
    <row r="30">
      <c s="10" r="F30"/>
    </row>
    <row r="31">
      <c s="10" r="F31"/>
    </row>
    <row r="32">
      <c s="10" r="F32"/>
    </row>
    <row r="33">
      <c s="10" r="F33"/>
    </row>
    <row r="34">
      <c s="10" r="F34"/>
    </row>
    <row r="35">
      <c s="10" r="F35"/>
    </row>
    <row r="36">
      <c s="10" r="F36"/>
    </row>
    <row r="37">
      <c s="10" r="F37"/>
    </row>
    <row r="38">
      <c s="10" r="F38"/>
    </row>
    <row r="39">
      <c s="10" r="F39"/>
    </row>
    <row r="40">
      <c s="10" r="F40"/>
    </row>
    <row r="41">
      <c s="10" r="F41"/>
    </row>
    <row r="42">
      <c s="10" r="F42"/>
    </row>
    <row r="43">
      <c s="10" r="F43"/>
    </row>
    <row r="44">
      <c s="10" r="F44"/>
    </row>
    <row r="45">
      <c s="10" r="F45"/>
    </row>
    <row r="46">
      <c s="10" r="F46"/>
    </row>
    <row r="47">
      <c s="10" r="F47"/>
    </row>
    <row r="48">
      <c s="10" r="F48"/>
    </row>
    <row r="49">
      <c s="10" r="F49"/>
    </row>
    <row r="50">
      <c s="10" r="F50"/>
    </row>
    <row r="51">
      <c s="10" r="F51"/>
    </row>
    <row r="52">
      <c s="10" r="F52"/>
    </row>
    <row r="53">
      <c s="10" r="F53"/>
    </row>
    <row r="54">
      <c s="10" r="F54"/>
    </row>
    <row r="55">
      <c s="10" r="F55"/>
    </row>
    <row r="56">
      <c s="10" r="F56"/>
    </row>
    <row r="57">
      <c s="10" r="F57"/>
    </row>
    <row r="58">
      <c s="10" r="F58"/>
    </row>
    <row r="59">
      <c s="10" r="F59"/>
    </row>
    <row r="60">
      <c s="10" r="F60"/>
    </row>
    <row r="61">
      <c s="10" r="F61"/>
    </row>
    <row r="62">
      <c s="10" r="F62"/>
    </row>
    <row r="63">
      <c s="10" r="F63"/>
    </row>
    <row r="64">
      <c s="10" r="F64"/>
    </row>
    <row r="65">
      <c s="10" r="F65"/>
    </row>
    <row r="66">
      <c s="10" r="F66"/>
    </row>
    <row r="67">
      <c s="10" r="F67"/>
    </row>
    <row r="68">
      <c s="10" r="F68"/>
    </row>
    <row r="69">
      <c s="10" r="F69"/>
    </row>
    <row r="70">
      <c s="10" r="F70"/>
    </row>
    <row r="71">
      <c s="10" r="F71"/>
    </row>
    <row r="72">
      <c s="10" r="F72"/>
    </row>
    <row r="73">
      <c s="10" r="F73"/>
    </row>
    <row r="74">
      <c s="10" r="F74"/>
    </row>
    <row r="75">
      <c s="10" r="F75"/>
    </row>
    <row r="76">
      <c s="10" r="F76"/>
    </row>
    <row r="77">
      <c s="10" r="F77"/>
    </row>
    <row r="78">
      <c s="10" r="F78"/>
    </row>
    <row r="79">
      <c s="10" r="F79"/>
    </row>
    <row r="80">
      <c s="10" r="F80"/>
    </row>
    <row r="81">
      <c s="10" r="F81"/>
    </row>
    <row r="82">
      <c s="10" r="F82"/>
    </row>
    <row r="83">
      <c s="10" r="F83"/>
    </row>
    <row r="84">
      <c s="10" r="F84"/>
    </row>
    <row r="85">
      <c s="10" r="F85"/>
    </row>
    <row r="86">
      <c s="10" r="F86"/>
    </row>
    <row r="87">
      <c s="10" r="F87"/>
    </row>
    <row r="88">
      <c s="10" r="F88"/>
    </row>
    <row r="89">
      <c s="10" r="F89"/>
    </row>
    <row r="90">
      <c s="10" r="F90"/>
    </row>
    <row r="91">
      <c s="10" r="F91"/>
    </row>
    <row r="92">
      <c s="10" r="F92"/>
    </row>
    <row r="93">
      <c s="10" r="F93"/>
    </row>
  </sheetData>
  <mergeCells count="5">
    <mergeCell ref="A1:E1"/>
    <mergeCell ref="A2:B2"/>
    <mergeCell ref="C2:E2"/>
    <mergeCell ref="A3:B3"/>
    <mergeCell ref="C3:E3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1.86"/>
    <col min="4" customWidth="1" max="4" width="55.0"/>
    <col min="5" customWidth="1" max="5" width="30.0"/>
    <col min="6" max="6" hidden="1"/>
  </cols>
  <sheetData>
    <row r="1">
      <c t="s" s="4" r="A1">
        <v>82</v>
      </c>
      <c s="20" r="B1"/>
      <c s="20" r="C1"/>
      <c s="20" r="D1"/>
      <c s="20" r="E1"/>
      <c s="10" r="F1"/>
    </row>
    <row r="2">
      <c t="s" s="24" r="A2">
        <v>83</v>
      </c>
      <c s="24" r="B2"/>
      <c t="str" s="13" r="C2">
        <f>IF((CONCATENATE(F6,F7,F8,F9,F10,F11,F12,F13,F14,F15,F16,F17,F18,F19,F20,F21,F22,F23,F24)&lt;&gt;""),CONCATENATE("Fix required: ",F6,F7,F8,F9,F10,F11,F12,F13,F14,F15,F16,F17,F18,F19,F20,F21,F22,F23,F24),CONCATENATE("bpplsched ",C6," -add ",C7,E6,E7,E8,E9,E10,E11,E12,E14,E17,E19,E21,E22,E23,E24))</f>
        <v>Fix required: Enter policy name. Enter schedule name. </v>
      </c>
      <c s="3" r="D2"/>
      <c s="3" r="E2"/>
      <c s="7" r="F2"/>
    </row>
    <row r="3">
      <c t="s" s="24" r="A3">
        <v>84</v>
      </c>
      <c s="24" r="B3"/>
      <c t="str" s="13" r="C3">
        <f>IF((CONCATENATE(F6,F7,F8,F9,F10,F11,F12,F13,F14,F15,F16,F17,F18,F19,F20,F21,F22,F23,F24)&lt;&gt;0),CONCATENATE("Fix required: ",F6,F7,F8,F9,F10,F11,F12,F13,F14,F15,F16,F17,F18,F19,F20,F21,F22,F23,F24),CONCATENATE("bpplschedrep ",C6," ",C7,E6,E7,E8,E9,E10,E11,E12,E14,E17,E19,E21,E22,E23,E24))</f>
        <v>Fix required: Enter policy name. Enter schedule name. </v>
      </c>
      <c s="3" r="D3"/>
      <c s="3" r="E3"/>
      <c s="7" r="F3"/>
    </row>
    <row r="4">
      <c s="15" r="A4"/>
      <c s="15" r="B4"/>
      <c s="15" r="C4"/>
      <c s="15" r="D4"/>
      <c s="15" r="E4"/>
      <c s="4" r="F4"/>
    </row>
    <row r="5">
      <c s="24" r="A5"/>
      <c t="s" s="24" r="B5">
        <v>3</v>
      </c>
      <c t="s" s="24" r="C5">
        <v>4</v>
      </c>
      <c t="s" s="24" r="D5">
        <v>5</v>
      </c>
      <c t="s" s="24" r="E5">
        <v>6</v>
      </c>
      <c t="s" s="12" r="F5">
        <v>7</v>
      </c>
      <c s="1" r="G5"/>
    </row>
    <row r="6">
      <c t="s" s="16" r="A6">
        <v>8</v>
      </c>
      <c t="s" s="16" r="B6">
        <v>9</v>
      </c>
      <c s="23" r="C6"/>
      <c t="s" s="16" r="D6">
        <v>9</v>
      </c>
      <c s="16" r="E6"/>
      <c t="str" s="6" r="F6">
        <f>IF((C6&lt;&gt;""),"","Enter policy name. ")</f>
        <v>Enter policy name. </v>
      </c>
      <c s="1" r="G6"/>
    </row>
    <row r="7">
      <c t="s" s="16" r="A7">
        <v>8</v>
      </c>
      <c t="s" s="16" r="B7">
        <v>85</v>
      </c>
      <c s="23" r="C7"/>
      <c t="s" s="16" r="D7">
        <v>85</v>
      </c>
      <c s="16" r="E7"/>
      <c t="str" s="6" r="F7">
        <f>IF((C7&lt;&gt;""),"","Enter schedule name. ")</f>
        <v>Enter schedule name. </v>
      </c>
      <c s="1" r="G7"/>
    </row>
    <row r="8">
      <c t="s" s="23" r="A8">
        <v>8</v>
      </c>
      <c t="s" s="16" r="B8">
        <v>86</v>
      </c>
      <c s="23" r="C8"/>
      <c t="s" s="16" r="D8">
        <v>87</v>
      </c>
      <c t="str" s="16" r="E8">
        <f>IF((A8&lt;&gt;""),CONCATENATE(" -st ",IF((C8&lt;&gt;""),C8,"FULL")),"")</f>
        <v> -st FULL</v>
      </c>
      <c s="6" r="F8"/>
      <c s="1" r="G8"/>
    </row>
    <row r="9">
      <c t="s" s="23" r="A9">
        <v>8</v>
      </c>
      <c t="s" s="16" r="B9">
        <v>88</v>
      </c>
      <c s="23" r="C9"/>
      <c t="s" s="16" r="D9">
        <v>29</v>
      </c>
      <c t="str" s="16" r="E9">
        <f>IF((A9&lt;&gt;""),CONCATENATE(" -synthetic ",IF((C9&lt;&gt;""),1,0)),"")</f>
        <v> -synthetic 0</v>
      </c>
      <c t="str" s="6" r="F9">
        <f>IF((C9&lt;&gt;""),IF(OR((C8="FULL"),(C8="CINC")),"","Schedule type must be FULL or CINC if Synthetic backup is enabled. "),"")</f>
        <v/>
      </c>
      <c s="1" r="G9"/>
    </row>
    <row r="10">
      <c t="s" s="23" r="A10">
        <v>8</v>
      </c>
      <c t="s" s="16" r="B10">
        <v>89</v>
      </c>
      <c s="23" r="C10"/>
      <c t="s" s="16" r="D10">
        <v>29</v>
      </c>
      <c t="str" s="16" r="E10">
        <f>IF((A10&lt;&gt;""),CONCATENATE(" -checksum_change_detection ",IF((C10&lt;&gt;""),1,0)),"")</f>
        <v> -checksum_change_detection 0</v>
      </c>
      <c t="str" s="6" r="F10">
        <f>IF(AND((C10&lt;&gt;""),(C8&lt;&gt;"FULL")),"Schedule type must be FULL. ","")</f>
        <v/>
      </c>
      <c s="1" r="G10"/>
    </row>
    <row r="11">
      <c t="s" s="23" r="A11">
        <v>8</v>
      </c>
      <c t="s" s="16" r="B11">
        <v>90</v>
      </c>
      <c s="23" r="C11"/>
      <c t="s" s="16" r="D11">
        <v>29</v>
      </c>
      <c t="str" s="16" r="E11">
        <f>IF((A11&lt;&gt;""),CONCATENATE(" -sched_indexing ",IF((C11&lt;&gt;""),1,0)),"")</f>
        <v> -sched_indexing 0</v>
      </c>
      <c s="6" r="F11"/>
      <c s="1" r="G11"/>
    </row>
    <row r="12">
      <c t="s" s="23" r="A12">
        <v>8</v>
      </c>
      <c t="s" s="16" r="B12">
        <v>91</v>
      </c>
      <c s="23" r="C12"/>
      <c t="s" s="16" r="D12">
        <v>92</v>
      </c>
      <c t="str" s="16" r="E12">
        <f>IF((A12&lt;&gt;""), IF((C12&lt;&gt;""),IF((C13&lt;&gt;"")," -cal 2"," -cal 1")," -cal 0"),"")</f>
        <v> -cal 0</v>
      </c>
      <c s="6" r="F12"/>
      <c s="1" r="G12"/>
    </row>
    <row r="13">
      <c t="s" s="23" r="A13">
        <v>8</v>
      </c>
      <c t="s" s="16" r="B13">
        <v>93</v>
      </c>
      <c s="23" r="C13"/>
      <c t="s" s="16" r="D13">
        <v>29</v>
      </c>
      <c s="16" r="E13"/>
      <c s="6" r="F13"/>
      <c s="1" r="G13"/>
    </row>
    <row r="14">
      <c t="s" s="23" r="A14">
        <v>8</v>
      </c>
      <c t="s" s="16" r="B14">
        <v>94</v>
      </c>
      <c s="23" r="C14">
        <v>0</v>
      </c>
      <c s="16" r="D14"/>
      <c t="str" s="16" r="E14">
        <f>IF((A14&lt;&gt;""),IF((C12&lt;&gt;""),"",CONCATENATE(" -freq ",(3600*(C14+(24*(C15+(7*C16))))))))</f>
        <v> -freq 0</v>
      </c>
      <c s="6" r="F14"/>
      <c s="1" r="G14"/>
    </row>
    <row r="15">
      <c s="16" r="A15"/>
      <c t="s" s="16" r="B15">
        <v>95</v>
      </c>
      <c s="23" r="C15">
        <v>0</v>
      </c>
      <c s="16" r="D15"/>
      <c s="16" r="E15"/>
      <c s="6" r="F15"/>
      <c s="1" r="G15"/>
    </row>
    <row r="16">
      <c s="16" r="A16"/>
      <c t="s" s="16" r="B16">
        <v>96</v>
      </c>
      <c s="23" r="C16">
        <v>0</v>
      </c>
      <c s="16" r="D16"/>
      <c s="16" r="E16"/>
      <c s="6" r="F16"/>
      <c s="1" r="G16"/>
    </row>
    <row r="17">
      <c t="s" s="23" r="A17">
        <v>8</v>
      </c>
      <c t="s" s="16" r="B17">
        <v>97</v>
      </c>
      <c s="23" r="C17"/>
      <c t="s" s="16" r="D17">
        <v>98</v>
      </c>
      <c t="str" s="16" r="E17">
        <f>IF((A17&lt;&gt;""),IF((C17&lt;&gt;""),CONCATENATE(" -number_copies ",C17),""),"")</f>
        <v/>
      </c>
      <c s="6" r="F17"/>
      <c s="1" r="G17"/>
    </row>
    <row r="18">
      <c t="s" s="23" r="A18">
        <v>8</v>
      </c>
      <c t="s" s="16" r="B18">
        <v>99</v>
      </c>
      <c s="23" r="C18"/>
      <c t="s" s="16" r="D18">
        <v>100</v>
      </c>
      <c t="str" s="16" r="E18">
        <f>IF((A18&lt;&gt;""),IF((C17&gt;1),CONCATENATE("-fail_on_error ",C18),""),"")</f>
        <v/>
      </c>
      <c t="str" s="6" r="F18">
        <f>IF(AND((C17&gt;1),(C18="")),"Must specify flag for each copy(delimitated by comma). ","")</f>
        <v/>
      </c>
      <c s="1" r="G18"/>
    </row>
    <row r="19">
      <c t="s" s="23" r="A19">
        <v>8</v>
      </c>
      <c t="s" s="16" r="B19">
        <v>101</v>
      </c>
      <c s="23" r="C19"/>
      <c t="s" s="16" r="D19">
        <v>102</v>
      </c>
      <c t="str" s="16" r="E19">
        <f>IF((A19&lt;&gt;""),CONCATENATE(" -residence ",IF((C19&lt;&gt;""),C19,"*NULL*")),"")</f>
        <v> -residence *NULL*</v>
      </c>
      <c t="str" s="6" r="F19">
        <f>IF(AND((C17&gt;1),(C19="")),"Must specify storage unit for each copy(delimitated by comma). ","")</f>
        <v/>
      </c>
      <c s="1" r="G19"/>
    </row>
    <row r="20">
      <c t="s" s="23" r="A20">
        <v>8</v>
      </c>
      <c t="s" s="16" r="B20">
        <v>14</v>
      </c>
      <c s="23" r="C20"/>
      <c t="s" s="16" r="D20">
        <v>15</v>
      </c>
      <c t="str" s="16" r="E20">
        <f>IF((A20&lt;&gt;""),IF((C19&lt;&gt;""),CONCATENATE(" -res_is_stl ",IF((C20&lt;&gt;""),1,0)),""),"")</f>
        <v/>
      </c>
      <c s="6" r="F20"/>
      <c s="1" r="G20"/>
    </row>
    <row r="21">
      <c t="s" s="23" r="A21">
        <v>8</v>
      </c>
      <c t="s" s="16" r="B21">
        <v>103</v>
      </c>
      <c s="23" r="C21"/>
      <c t="s" s="16" r="D21">
        <v>104</v>
      </c>
      <c t="str" s="16" r="E21">
        <f>IF((A21&lt;&gt;""),CONCATENATE(" -pool ",IF((C21&lt;&gt;""),C21,"*NULL*")),"")</f>
        <v> -pool *NULL*</v>
      </c>
      <c t="str" s="6" r="F21">
        <f>IF(AND((C17&gt;1),(C21="")),"Must specify storage unit for each copy(delimitated by comma). ","")</f>
        <v/>
      </c>
      <c s="1" r="G21"/>
    </row>
    <row r="22">
      <c t="s" s="23" r="A22">
        <v>8</v>
      </c>
      <c t="s" s="16" r="B22">
        <v>105</v>
      </c>
      <c s="23" r="C22"/>
      <c t="s" s="16" r="D22">
        <v>106</v>
      </c>
      <c t="str" s="16" r="E22">
        <f>IF((A22&lt;&gt;""),IF((C22&lt;&gt;""),CONCATENATE(" -sg ",C22),""))</f>
        <v/>
      </c>
      <c t="str" s="6" r="F22">
        <f>IF(AND((C17&gt;1),(C22="")),"Must specify storage unit for each copy(delimitated by comma). ","")</f>
        <v/>
      </c>
      <c s="1" r="G22"/>
    </row>
    <row r="23">
      <c t="s" s="23" r="A23">
        <v>8</v>
      </c>
      <c t="s" s="16" r="B23">
        <v>107</v>
      </c>
      <c s="23" r="C23">
        <v>0</v>
      </c>
      <c t="s" s="16" r="D23">
        <v>108</v>
      </c>
      <c t="str" s="16" r="E23">
        <f>IF((A23&lt;&gt;""),CONCATENATE(" -rl ",IF((C23&lt;&gt;""),C23,1)),"")</f>
        <v> -rl 0</v>
      </c>
      <c s="6" r="F23"/>
      <c s="1" r="G23"/>
    </row>
    <row r="24">
      <c t="s" s="23" r="A24">
        <v>8</v>
      </c>
      <c t="s" s="16" r="B24">
        <v>109</v>
      </c>
      <c s="23" r="C24">
        <v>1</v>
      </c>
      <c t="s" s="16" r="D24">
        <v>110</v>
      </c>
      <c t="str" s="16" r="E24">
        <f>IF((A24&lt;&gt;""),CONCATENATE(" -mpxmax ",IF((C24&lt;&gt;""),C24,1)),"")</f>
        <v> -mpxmax 1</v>
      </c>
      <c s="6" r="F24"/>
      <c s="1" r="G24"/>
    </row>
    <row r="25">
      <c s="9" r="A25"/>
      <c s="9" r="B25"/>
      <c s="9" r="C25"/>
      <c s="9" r="D25"/>
      <c s="9" r="E25"/>
      <c s="14" r="F25"/>
    </row>
    <row r="26">
      <c s="10" r="F26"/>
    </row>
    <row r="27">
      <c s="10" r="F27"/>
    </row>
    <row r="28">
      <c s="10" r="F28"/>
    </row>
    <row r="29">
      <c s="10" r="F29"/>
    </row>
    <row r="30">
      <c s="10" r="F30"/>
    </row>
    <row r="31">
      <c s="10" r="F31"/>
    </row>
    <row r="32">
      <c s="10" r="F32"/>
    </row>
    <row r="33">
      <c s="10" r="F33"/>
    </row>
    <row r="34">
      <c s="10" r="F34"/>
    </row>
    <row r="35">
      <c s="10" r="F35"/>
    </row>
    <row r="36">
      <c s="10" r="F36"/>
    </row>
    <row r="37">
      <c s="10" r="F37"/>
    </row>
    <row r="38">
      <c s="10" r="F38"/>
    </row>
    <row r="39">
      <c s="10" r="F39"/>
    </row>
    <row r="40">
      <c s="10" r="F40"/>
    </row>
    <row r="41">
      <c s="10" r="F41"/>
    </row>
    <row r="42">
      <c s="10" r="F42"/>
    </row>
    <row r="43">
      <c s="10" r="F43"/>
    </row>
    <row r="44">
      <c s="10" r="F44"/>
    </row>
    <row r="45">
      <c s="10" r="F45"/>
    </row>
    <row r="46">
      <c s="10" r="F46"/>
    </row>
    <row r="47">
      <c s="10" r="F47"/>
    </row>
    <row r="48">
      <c s="10" r="F48"/>
    </row>
    <row r="49">
      <c s="10" r="F49"/>
    </row>
    <row r="50">
      <c s="10" r="F50"/>
    </row>
    <row r="51">
      <c s="10" r="F51"/>
    </row>
    <row r="52">
      <c s="10" r="F52"/>
    </row>
    <row r="53">
      <c s="10" r="F53"/>
    </row>
    <row r="54">
      <c s="10" r="F54"/>
    </row>
    <row r="55">
      <c s="10" r="F55"/>
    </row>
    <row r="56">
      <c s="10" r="F56"/>
    </row>
    <row r="57">
      <c s="10" r="F57"/>
    </row>
    <row r="58">
      <c s="10" r="F58"/>
    </row>
    <row r="59">
      <c s="10" r="F59"/>
    </row>
    <row r="60">
      <c s="10" r="F60"/>
    </row>
    <row r="61">
      <c s="10" r="F61"/>
    </row>
    <row r="62">
      <c s="10" r="F62"/>
    </row>
    <row r="63">
      <c s="10" r="F63"/>
    </row>
    <row r="64">
      <c s="10" r="F64"/>
    </row>
    <row r="65">
      <c s="10" r="F65"/>
    </row>
    <row r="66">
      <c s="10" r="F66"/>
    </row>
    <row r="67">
      <c s="10" r="F67"/>
    </row>
    <row r="68">
      <c s="10" r="F68"/>
    </row>
    <row r="69">
      <c s="10" r="F69"/>
    </row>
    <row r="70">
      <c s="10" r="F70"/>
    </row>
    <row r="71">
      <c s="10" r="F71"/>
    </row>
    <row r="72">
      <c s="10" r="F72"/>
    </row>
    <row r="73">
      <c s="10" r="F73"/>
    </row>
    <row r="74">
      <c s="10" r="F74"/>
    </row>
    <row r="75">
      <c s="10" r="F75"/>
    </row>
    <row r="76">
      <c s="10" r="F76"/>
    </row>
    <row r="77">
      <c s="10" r="F77"/>
    </row>
    <row r="78">
      <c s="10" r="F78"/>
    </row>
    <row r="79">
      <c s="10" r="F79"/>
    </row>
    <row r="80">
      <c s="10" r="F80"/>
    </row>
    <row r="81">
      <c s="10" r="F81"/>
    </row>
    <row r="82">
      <c s="10" r="F82"/>
    </row>
    <row r="83">
      <c s="10" r="F83"/>
    </row>
    <row r="84">
      <c s="10" r="F84"/>
    </row>
    <row r="85">
      <c s="10" r="F85"/>
    </row>
    <row r="86">
      <c s="10" r="F86"/>
    </row>
    <row r="87">
      <c s="10" r="F87"/>
    </row>
    <row r="88">
      <c s="10" r="F88"/>
    </row>
    <row r="89">
      <c s="10" r="F89"/>
    </row>
    <row r="90">
      <c s="10" r="F90"/>
    </row>
    <row r="91">
      <c s="10" r="F91"/>
    </row>
    <row r="92">
      <c s="10" r="F92"/>
    </row>
    <row r="93">
      <c s="10" r="F93"/>
    </row>
    <row r="94">
      <c s="10" r="F94"/>
    </row>
    <row r="95">
      <c s="10" r="F95"/>
    </row>
    <row r="96">
      <c s="10" r="F96"/>
    </row>
    <row r="97">
      <c s="10" r="F97"/>
    </row>
    <row r="98">
      <c s="10" r="F98"/>
    </row>
    <row r="99">
      <c s="10" r="F99"/>
    </row>
    <row r="100">
      <c s="10" r="F100"/>
    </row>
    <row r="101">
      <c s="10" r="F101"/>
    </row>
  </sheetData>
  <mergeCells count="5">
    <mergeCell ref="A1:E1"/>
    <mergeCell ref="A2:B2"/>
    <mergeCell ref="C2:E2"/>
    <mergeCell ref="A3:B3"/>
    <mergeCell ref="C3:E3"/>
  </mergeCells>
  <dataValidations>
    <dataValidation showErrorMessage="1" sqref="C14:C16 C23" allowBlank="1" prompt="数値を入力してください 次の値以上 0" type="whole" operator="greaterThanOrEqual" showInputMessage="1">
      <formula1>0</formula1>
    </dataValidation>
    <dataValidation showErrorMessage="1" sqref="C17 C24" allowBlank="1" prompt="数値を入力してください 次の値以上 1" type="whole" operator="greaterThanOrEqual" showInputMessage="1">
      <formula1>1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.43"/>
    <col min="2" customWidth="1" max="2" width="31.86"/>
    <col min="3" customWidth="1" max="3" width="18.71"/>
    <col min="4" customWidth="1" max="4" width="19.14"/>
    <col min="5" customWidth="1" max="5" width="30.0"/>
    <col min="6" max="6" hidden="1"/>
  </cols>
  <sheetData>
    <row r="1">
      <c t="s" s="4" r="A1">
        <v>111</v>
      </c>
      <c s="20" r="B1"/>
      <c s="20" r="C1"/>
      <c s="20" r="D1"/>
      <c s="20" r="E1"/>
    </row>
    <row r="2">
      <c t="s" s="24" r="A2">
        <v>84</v>
      </c>
      <c s="24" r="B2"/>
      <c t="str" s="13" r="C2">
        <f>IF((CONCATENATE(F6,F7,F8,F9,F10,F11,F12,F13)&lt;&gt;""),CONCATENATE("Fix required: ",F6,F7,F8,F9,F10,F11,F12,F13),CONCATENATE("bpplschedwin ",C5," ",C6,E7,E8,E9,E10,E11,E12,E13))</f>
        <v>Fix required: Enter schedule name. </v>
      </c>
      <c s="3" r="D2"/>
      <c s="3" r="E2"/>
      <c s="1" r="F2"/>
    </row>
    <row r="3">
      <c s="15" r="A3"/>
      <c s="15" r="B3"/>
      <c s="15" r="C3"/>
      <c s="15" r="D3"/>
      <c s="15" r="E3"/>
      <c s="20" r="F3"/>
    </row>
    <row r="4">
      <c s="24" r="A4"/>
      <c t="s" s="24" r="B4">
        <v>3</v>
      </c>
      <c t="s" s="24" r="C4">
        <v>112</v>
      </c>
      <c t="s" s="24" r="D4">
        <v>113</v>
      </c>
      <c t="s" s="24" r="E4">
        <v>6</v>
      </c>
      <c t="s" s="12" r="F4">
        <v>7</v>
      </c>
      <c s="1" r="G4"/>
    </row>
    <row r="5">
      <c t="s" s="16" r="A5">
        <v>8</v>
      </c>
      <c t="s" s="16" r="B5">
        <v>9</v>
      </c>
      <c s="23" r="C5"/>
      <c s="16" r="D5"/>
      <c s="16" r="E5"/>
      <c t="str" s="6" r="F5">
        <f>IF((C5&lt;&gt;""),"","Enter policy name. ")</f>
        <v>Enter policy name. </v>
      </c>
      <c s="1" r="G5"/>
    </row>
    <row r="6">
      <c t="s" s="16" r="A6">
        <v>8</v>
      </c>
      <c t="s" s="16" r="B6">
        <v>85</v>
      </c>
      <c s="23" r="C6"/>
      <c s="16" r="D6"/>
      <c s="16" r="E6"/>
      <c t="str" s="6" r="F6">
        <f>IF((C6&lt;&gt;""),"","Enter schedule name. ")</f>
        <v>Enter schedule name. </v>
      </c>
      <c s="1" r="G6"/>
    </row>
    <row r="7">
      <c t="s" s="23" r="A7">
        <v>8</v>
      </c>
      <c t="s" s="16" r="B7">
        <v>114</v>
      </c>
      <c s="11" r="C7">
        <v>0</v>
      </c>
      <c s="11" r="D7">
        <v>0</v>
      </c>
      <c t="str" s="19" r="E7">
        <f>IF((A7&lt;&gt;""),CONCATENATE(" -0 ",INT(((VALUE(C7)*3600)*24))," ",INT(((VALUE(D7)*3600)*24))),"")</f>
        <v> -0 0 0</v>
      </c>
      <c s="6" r="F7"/>
      <c s="1" r="G7"/>
    </row>
    <row r="8">
      <c t="s" s="23" r="A8">
        <v>8</v>
      </c>
      <c t="s" s="16" r="B8">
        <v>115</v>
      </c>
      <c s="11" r="C8">
        <v>0</v>
      </c>
      <c s="11" r="D8">
        <v>0</v>
      </c>
      <c t="str" s="19" r="E8">
        <f>IF((A8&lt;&gt;""),CONCATENATE(" -1 ",INT(((VALUE(C8)*3600)*24))," ",INT(((VALUE(D8)*3600)*24))),"")</f>
        <v> -1 0 0</v>
      </c>
      <c s="6" r="F8"/>
      <c s="1" r="G8"/>
    </row>
    <row r="9">
      <c t="s" s="23" r="A9">
        <v>8</v>
      </c>
      <c t="s" s="16" r="B9">
        <v>116</v>
      </c>
      <c s="11" r="C9">
        <v>0</v>
      </c>
      <c s="11" r="D9">
        <v>0</v>
      </c>
      <c t="str" s="19" r="E9">
        <f>IF((A9&lt;&gt;""),CONCATENATE(" -2 ",INT(((VALUE(C9)*3600)*24))," ",INT(((VALUE(D9)*3600)*24))),"")</f>
        <v> -2 0 0</v>
      </c>
      <c s="6" r="F9"/>
      <c s="1" r="G9"/>
    </row>
    <row r="10">
      <c t="s" s="23" r="A10">
        <v>8</v>
      </c>
      <c t="s" s="16" r="B10">
        <v>117</v>
      </c>
      <c s="11" r="C10">
        <v>0</v>
      </c>
      <c s="11" r="D10">
        <v>0</v>
      </c>
      <c t="str" s="19" r="E10">
        <f>IF((A10&lt;&gt;""),CONCATENATE(" -3 ",INT(((VALUE(C10)*3600)*24))," ",INT(((VALUE(D10)*3600)*24))),"")</f>
        <v> -3 0 0</v>
      </c>
      <c s="6" r="F10"/>
      <c s="1" r="G10"/>
    </row>
    <row r="11">
      <c t="s" s="23" r="A11">
        <v>8</v>
      </c>
      <c t="s" s="16" r="B11">
        <v>118</v>
      </c>
      <c s="11" r="C11">
        <v>0</v>
      </c>
      <c s="11" r="D11">
        <v>0</v>
      </c>
      <c t="str" s="19" r="E11">
        <f>IF((A11&lt;&gt;""),CONCATENATE(" -4 ",INT(((VALUE(C11)*3600)*24))," ",INT(((VALUE(D11)*3600)*24))),"")</f>
        <v> -4 0 0</v>
      </c>
      <c s="6" r="F11"/>
      <c s="1" r="G11"/>
    </row>
    <row r="12">
      <c t="s" s="23" r="A12">
        <v>8</v>
      </c>
      <c t="s" s="16" r="B12">
        <v>119</v>
      </c>
      <c s="11" r="C12">
        <v>0</v>
      </c>
      <c s="11" r="D12">
        <v>0</v>
      </c>
      <c t="str" s="19" r="E12">
        <f>IF((A12&lt;&gt;""),CONCATENATE(" -5 ",INT(((VALUE(C12)*3600)*24))," ",INT(((VALUE(D12)*3600)*24))),"")</f>
        <v> -5 0 0</v>
      </c>
      <c s="6" r="F12"/>
      <c s="1" r="G12"/>
    </row>
    <row r="13">
      <c t="s" s="23" r="A13">
        <v>8</v>
      </c>
      <c t="s" s="16" r="B13">
        <v>120</v>
      </c>
      <c s="11" r="C13">
        <v>0</v>
      </c>
      <c s="11" r="D13">
        <v>0</v>
      </c>
      <c t="str" s="19" r="E13">
        <f>IF((A13&lt;&gt;""),CONCATENATE(" -6 ",INT(((VALUE(C13)*3600)*24))," ",INT(((VALUE(D13)*3600)*24))),"")</f>
        <v> -6 0 0</v>
      </c>
      <c s="6" r="F13"/>
      <c s="1" r="G13"/>
    </row>
    <row r="14">
      <c s="9" r="A14"/>
      <c s="9" r="B14"/>
      <c s="9" r="C14"/>
      <c s="9" r="D14"/>
      <c s="9" r="E14"/>
      <c s="9" r="F14"/>
    </row>
  </sheetData>
  <mergeCells count="3">
    <mergeCell ref="A1:E1"/>
    <mergeCell ref="A2:B2"/>
    <mergeCell ref="C2:E2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.86"/>
    <col min="2" customWidth="1" max="8" width="4.43"/>
    <col min="9" customWidth="1" max="9" width="4.71"/>
    <col min="12" max="12" hidden="1"/>
  </cols>
  <sheetData>
    <row r="1">
      <c t="s" s="4" r="A1">
        <v>121</v>
      </c>
      <c s="20" r="B1"/>
      <c s="20" r="C1"/>
      <c s="20" r="D1"/>
      <c s="20" r="E1"/>
      <c s="20" r="F1"/>
      <c s="20" r="G1"/>
      <c s="20" r="H1"/>
      <c s="20" r="I1"/>
      <c s="20" r="J1"/>
      <c s="20" r="K1"/>
    </row>
    <row r="2">
      <c t="s" s="12" r="A2">
        <v>84</v>
      </c>
      <c s="24" r="B2"/>
      <c s="24" r="C2"/>
      <c s="24" r="D2"/>
      <c s="24" r="E2"/>
      <c s="24" r="F2"/>
      <c t="str" s="13" r="G2">
        <f>IF((CONCATENATE(L5,L6)&lt;&gt;""),CONCATENATE("Fix required: ",L5,L6),CONCATENATE("bpplschedrep ",D5," ",D6,J10,J12,J14,J16,J20,J21,J22,J23,J24))</f>
        <v>Fix required: Enter policy name. Enter schedule name. </v>
      </c>
      <c s="15" r="H2"/>
      <c s="15" r="I2"/>
      <c s="15" r="J2"/>
      <c s="18" r="K2"/>
      <c s="1" r="L2"/>
    </row>
    <row r="3">
      <c s="15" r="A3"/>
      <c s="15" r="B3"/>
      <c s="15" r="C3"/>
      <c s="15" r="D3"/>
      <c s="15" r="E3"/>
      <c s="15" r="F3"/>
      <c s="15" r="G3"/>
      <c s="9" r="H3"/>
      <c s="9" r="I3"/>
      <c s="9" r="J3"/>
      <c s="9" r="K3"/>
      <c s="20" r="L3"/>
    </row>
    <row r="4">
      <c t="s" s="24" r="A4">
        <v>3</v>
      </c>
      <c s="24" r="B4"/>
      <c s="3" r="C4"/>
      <c t="s" s="24" r="D4">
        <v>4</v>
      </c>
      <c s="24" r="E4"/>
      <c s="24" r="F4"/>
      <c s="24" r="G4"/>
      <c s="1" r="H4"/>
      <c s="8" r="K4"/>
      <c t="s" s="12" r="L4">
        <v>7</v>
      </c>
      <c s="1" r="M4"/>
    </row>
    <row r="5">
      <c t="s" s="16" r="A5">
        <v>9</v>
      </c>
      <c s="23" r="B5"/>
      <c s="3" r="C5"/>
      <c s="3" r="D5"/>
      <c s="3" r="E5"/>
      <c s="3" r="F5"/>
      <c s="3" r="G5"/>
      <c s="1" r="H5"/>
      <c s="8" r="K5"/>
      <c t="str" s="6" r="L5">
        <f>IF((D5&lt;&gt;""),"","Enter policy name. ")</f>
        <v>Enter policy name. </v>
      </c>
      <c s="1" r="M5"/>
    </row>
    <row r="6">
      <c t="s" s="16" r="A6">
        <v>85</v>
      </c>
      <c s="23" r="B6"/>
      <c s="3" r="C6"/>
      <c s="3" r="D6"/>
      <c s="3" r="E6"/>
      <c s="3" r="F6"/>
      <c s="3" r="G6"/>
      <c s="1" r="H6"/>
      <c s="8" r="K6"/>
      <c t="str" s="6" r="L6">
        <f>IF((D6&lt;&gt;""),"","Enter schedule name. ")</f>
        <v>Enter schedule name. </v>
      </c>
      <c s="1" r="M6"/>
    </row>
    <row r="7">
      <c s="9" r="A7"/>
      <c s="9" r="B7"/>
      <c s="9" r="C7"/>
      <c s="9" r="D7"/>
      <c s="9" r="E7"/>
      <c s="9" r="F7"/>
      <c s="9" r="G7"/>
      <c s="2" r="L7"/>
    </row>
    <row r="8">
      <c t="s" s="4" r="A8">
        <v>122</v>
      </c>
      <c s="20" r="B8"/>
      <c s="20" r="C8"/>
      <c s="20" r="D8"/>
      <c s="20" r="E8"/>
      <c s="20" r="F8"/>
      <c s="20" r="G8"/>
      <c s="20" r="H8"/>
      <c s="20" r="J8"/>
    </row>
    <row r="9">
      <c s="24" r="A9">
        <v>1</v>
      </c>
      <c s="24" r="B9">
        <v>2</v>
      </c>
      <c s="24" r="C9">
        <v>3</v>
      </c>
      <c s="24" r="D9">
        <v>4</v>
      </c>
      <c s="24" r="E9">
        <v>5</v>
      </c>
      <c s="24" r="F9">
        <v>6</v>
      </c>
      <c s="24" r="G9">
        <v>7</v>
      </c>
      <c s="24" r="H9">
        <v>8</v>
      </c>
      <c s="22" r="I9"/>
      <c t="s" s="24" r="J9">
        <v>6</v>
      </c>
      <c s="1" r="K9"/>
    </row>
    <row r="10">
      <c s="3" r="A10"/>
      <c s="3" r="B10"/>
      <c s="3" r="C10"/>
      <c s="3" r="D10"/>
      <c s="3" r="E10"/>
      <c s="3" r="F10"/>
      <c s="3" r="G10"/>
      <c s="3" r="H10"/>
      <c s="22" r="I10"/>
      <c t="str" s="6" r="J10">
        <f>CONCATENATE(IF((A10&lt;&gt;"")," -dayomonth 1",""),IF((B10&lt;&gt;"")," -dayomonth 2",""),IF((C10&lt;&gt;"")," -dayomonth 3",""),IF((D10&lt;&gt;"")," -dayomonth 4",""),IF((E10&lt;&gt;"")," -dayomonth 5",""),IF((F10&lt;&gt;"")," -dayomonth 6",""),IF((G10&lt;&gt;"")," -dayomonth 7",""),IF((H10&lt;&gt;"")," -dayomonth 8",""))</f>
        <v/>
      </c>
      <c s="1" r="K10"/>
    </row>
    <row r="11">
      <c s="24" r="A11">
        <v>9</v>
      </c>
      <c s="24" r="B11">
        <v>10</v>
      </c>
      <c s="24" r="C11">
        <v>11</v>
      </c>
      <c s="24" r="D11">
        <v>12</v>
      </c>
      <c s="24" r="E11">
        <v>13</v>
      </c>
      <c s="24" r="F11">
        <v>14</v>
      </c>
      <c s="24" r="G11">
        <v>15</v>
      </c>
      <c s="24" r="H11">
        <v>16</v>
      </c>
      <c s="22" r="I11"/>
      <c s="6" r="J11"/>
      <c s="1" r="K11"/>
    </row>
    <row r="12">
      <c s="3" r="A12"/>
      <c s="3" r="B12"/>
      <c s="3" r="C12"/>
      <c s="3" r="D12"/>
      <c s="3" r="E12"/>
      <c s="3" r="F12"/>
      <c s="3" r="G12"/>
      <c s="3" r="H12"/>
      <c s="22" r="I12"/>
      <c t="str" s="6" r="J12">
        <f>CONCATENATE(IF((A12&lt;&gt;"")," -dayomonth 9",""),IF((B12&lt;&gt;"")," -dayomonth 10",""),IF((C12&lt;&gt;"")," -dayomonth 11",""),IF((D12&lt;&gt;"")," -dayomonth 12",""),IF((E12&lt;&gt;"")," -dayomonth 13",""),IF((F12&lt;&gt;"")," -dayomonth 14",""),IF((G12&lt;&gt;"")," -dayomonth 15",""),IF((H12&lt;&gt;"")," -dayomonth 16",""))</f>
        <v/>
      </c>
      <c s="1" r="K12"/>
    </row>
    <row r="13">
      <c s="24" r="A13">
        <v>17</v>
      </c>
      <c s="24" r="B13">
        <v>18</v>
      </c>
      <c s="24" r="C13">
        <v>19</v>
      </c>
      <c s="24" r="D13">
        <v>20</v>
      </c>
      <c s="24" r="E13">
        <v>21</v>
      </c>
      <c s="24" r="F13">
        <v>22</v>
      </c>
      <c s="24" r="G13">
        <v>23</v>
      </c>
      <c s="24" r="H13">
        <v>24</v>
      </c>
      <c s="22" r="I13"/>
      <c s="6" r="J13"/>
      <c s="1" r="K13"/>
    </row>
    <row r="14">
      <c s="3" r="A14"/>
      <c s="3" r="B14"/>
      <c s="3" r="C14"/>
      <c s="3" r="D14"/>
      <c s="3" r="E14"/>
      <c s="3" r="F14"/>
      <c s="3" r="G14"/>
      <c s="3" r="H14"/>
      <c s="22" r="I14"/>
      <c t="str" s="6" r="J14">
        <f>CONCATENATE(IF((A14&lt;&gt;"")," -dayomonth 17",""),IF((B14&lt;&gt;"")," -dayomonth 18",""),IF((C14&lt;&gt;"")," -dayomonth 19",""),IF((D14&lt;&gt;"")," -dayomonth 20",""),IF((E14&lt;&gt;"")," -dayomonth 21",""),IF((F14&lt;&gt;"")," -dayomonth 22",""),IF((G14&lt;&gt;"")," -dayomonth 23",""),IF((H14&lt;&gt;"")," -dayomonth 24",""))</f>
        <v/>
      </c>
      <c s="1" r="K14"/>
    </row>
    <row r="15">
      <c s="24" r="A15">
        <v>25</v>
      </c>
      <c s="24" r="B15">
        <v>26</v>
      </c>
      <c s="24" r="C15">
        <v>27</v>
      </c>
      <c s="24" r="D15">
        <v>28</v>
      </c>
      <c s="24" r="E15">
        <v>29</v>
      </c>
      <c s="24" r="F15">
        <v>30</v>
      </c>
      <c s="24" r="G15">
        <v>31</v>
      </c>
      <c t="s" s="24" r="H15">
        <v>123</v>
      </c>
      <c s="22" r="I15"/>
      <c s="6" r="J15"/>
      <c s="1" r="K15"/>
    </row>
    <row r="16">
      <c s="3" r="A16"/>
      <c s="3" r="B16"/>
      <c s="3" r="C16"/>
      <c s="3" r="D16"/>
      <c s="3" r="E16"/>
      <c s="3" r="F16"/>
      <c s="3" r="G16"/>
      <c s="3" r="H16"/>
      <c s="22" r="I16"/>
      <c t="str" s="6" r="J16">
        <f>CONCATENATE(IF((A16&lt;&gt;"")," -dayomonth 25",""),IF((B16&lt;&gt;"")," -dayomonth 26",""),IF((C16&lt;&gt;"")," -dayomonth 27",""),IF((D16&lt;&gt;"")," -dayomonth 28",""),IF((E16&lt;&gt;"")," -dayomonth 29",""),IF((F16&lt;&gt;"")," -dayomonth 30",""),IF((G16&lt;&gt;"")," -dayomonth 31",""),IF((H16&lt;&gt;"")," -dayomonth l",""))</f>
        <v/>
      </c>
      <c s="1" r="K16"/>
    </row>
    <row r="17">
      <c s="9" r="A17"/>
      <c s="9" r="B17"/>
      <c s="9" r="C17"/>
      <c s="9" r="D17"/>
      <c s="9" r="E17"/>
      <c s="9" r="F17"/>
      <c s="9" r="G17"/>
      <c s="9" r="H17"/>
      <c s="9" r="J17"/>
    </row>
    <row r="18">
      <c t="s" s="4" r="A18">
        <v>124</v>
      </c>
      <c s="20" r="B18"/>
      <c s="20" r="C18"/>
      <c s="20" r="D18"/>
      <c s="20" r="E18"/>
      <c s="20" r="F18"/>
      <c s="20" r="G18"/>
      <c s="20" r="H18"/>
      <c s="20" r="J18"/>
    </row>
    <row r="19">
      <c s="24" r="A19"/>
      <c t="s" s="24" r="B19">
        <v>125</v>
      </c>
      <c t="s" s="24" r="C19">
        <v>126</v>
      </c>
      <c t="s" s="24" r="D19">
        <v>127</v>
      </c>
      <c t="s" s="24" r="E19">
        <v>128</v>
      </c>
      <c t="s" s="24" r="F19">
        <v>129</v>
      </c>
      <c t="s" s="24" r="G19">
        <v>130</v>
      </c>
      <c t="s" s="24" r="H19">
        <v>131</v>
      </c>
      <c s="22" r="I19"/>
      <c t="s" s="24" r="J19">
        <v>6</v>
      </c>
      <c s="1" r="K19"/>
    </row>
    <row r="20">
      <c s="24" r="A20">
        <v>1</v>
      </c>
      <c s="3" r="B20"/>
      <c s="3" r="C20"/>
      <c s="3" r="D20"/>
      <c s="3" r="E20"/>
      <c s="3" r="F20"/>
      <c s="3" r="G20"/>
      <c s="3" r="H20"/>
      <c s="22" r="I20"/>
      <c t="str" s="6" r="J20">
        <f>CONCATENATE(IF((B20&lt;&gt;"")," -weekday Sunday 1",""),IF((C20&lt;&gt;"")," -weekday Monday 1",""),IF((D20&lt;&gt;"")," -weekday Tuesday 1",""),IF((E20&lt;&gt;"")," -weekday Wednesday 1",""),IF((F20&lt;&gt;"")," -weekday Thursday 1",""),IF((G20&lt;&gt;"")," -weekday Friday 1",""),IF((H20&lt;&gt;"")," -weekday Saturday 1",""))</f>
        <v/>
      </c>
      <c s="1" r="K20"/>
    </row>
    <row r="21">
      <c s="24" r="A21">
        <v>2</v>
      </c>
      <c s="3" r="B21"/>
      <c s="3" r="C21"/>
      <c s="3" r="D21"/>
      <c s="3" r="E21"/>
      <c s="3" r="F21"/>
      <c s="3" r="G21"/>
      <c s="3" r="H21"/>
      <c s="22" r="I21"/>
      <c t="str" s="6" r="J21">
        <f>CONCATENATE(IF((B21&lt;&gt;"")," -weekday Sunday 2",""),IF((C21&lt;&gt;"")," -weekday Monday 2",""),IF((D21&lt;&gt;"")," -weekday Tuesday 2",""),IF((E21&lt;&gt;"")," -weekday Wednesday 2",""),IF((F21&lt;&gt;"")," -weekday Thursday 2",""),IF((G21&lt;&gt;"")," -weekday Friday 2",""),IF((H21&lt;&gt;"")," -weekday Saturday 2",""))</f>
        <v/>
      </c>
      <c s="1" r="K21"/>
    </row>
    <row r="22">
      <c s="24" r="A22">
        <v>3</v>
      </c>
      <c s="3" r="B22"/>
      <c s="3" r="C22"/>
      <c s="3" r="D22"/>
      <c s="3" r="E22"/>
      <c s="3" r="F22"/>
      <c s="3" r="G22"/>
      <c s="3" r="H22"/>
      <c s="22" r="I22"/>
      <c t="str" s="6" r="J22">
        <f>CONCATENATE(IF((B22&lt;&gt;"")," -weekday Sunday 3",""),IF((C22&lt;&gt;"")," -weekday Monday 3",""),IF((D22&lt;&gt;"")," -weekday Tuesday 3",""),IF((E22&lt;&gt;"")," -weekday Wednesday 3",""),IF((F22&lt;&gt;"")," -weekday Thursday 3",""),IF((G22&lt;&gt;"")," -weekday Friday 3",""),IF((H22&lt;&gt;"")," -weekday Saturday 3",""))</f>
        <v/>
      </c>
      <c s="1" r="K22"/>
    </row>
    <row r="23">
      <c s="24" r="A23">
        <v>4</v>
      </c>
      <c s="3" r="B23"/>
      <c s="3" r="C23"/>
      <c s="3" r="D23"/>
      <c s="3" r="E23"/>
      <c s="3" r="F23"/>
      <c s="3" r="G23"/>
      <c s="3" r="H23"/>
      <c s="22" r="I23"/>
      <c t="str" s="6" r="J23">
        <f>CONCATENATE(IF((B23&lt;&gt;"")," -weekday Sunday 4",""),IF((C23&lt;&gt;"")," -weekday Monday 4",""),IF((D23&lt;&gt;"")," -weekday Tuesday 4",""),IF((E23&lt;&gt;"")," -weekday Wednesday 4",""),IF((F23&lt;&gt;"")," -weekday Thursday 4",""),IF((G23&lt;&gt;"")," -weekday Friday 4",""),IF((H23&lt;&gt;"")," -weekday Saturday 4",""))</f>
        <v/>
      </c>
      <c s="1" r="K23"/>
    </row>
    <row r="24">
      <c t="s" s="24" r="A24">
        <v>123</v>
      </c>
      <c s="3" r="B24"/>
      <c s="3" r="C24"/>
      <c s="3" r="D24"/>
      <c s="3" r="E24"/>
      <c s="3" r="F24"/>
      <c s="3" r="G24"/>
      <c s="3" r="H24"/>
      <c s="22" r="I24"/>
      <c t="str" s="6" r="J24">
        <f>CONCATENATE(IF((B24&lt;&gt;"")," -weekday Sunday 5",""),IF((C24&lt;&gt;"")," -weekday Monday 5",""),IF((D24&lt;&gt;"")," -weekday Tuesday 5",""),IF((E24&lt;&gt;"")," -weekday Wednesday 5",""),IF((F24&lt;&gt;"")," -weekday Thursday 5",""),IF((G24&lt;&gt;"")," -weekday Friday 5",""),IF((H24&lt;&gt;"")," -weekday Saturday 5",""))</f>
        <v/>
      </c>
      <c s="1" r="K24"/>
    </row>
    <row r="25">
      <c s="9" r="A25"/>
      <c s="9" r="B25"/>
      <c s="9" r="C25"/>
      <c s="9" r="D25"/>
      <c s="9" r="E25"/>
      <c s="9" r="F25"/>
      <c s="9" r="G25"/>
      <c s="9" r="H25"/>
      <c s="9" r="J25"/>
    </row>
  </sheetData>
  <mergeCells count="11">
    <mergeCell ref="A1:K1"/>
    <mergeCell ref="A2:F2"/>
    <mergeCell ref="G2:K2"/>
    <mergeCell ref="A4:C4"/>
    <mergeCell ref="D4:G4"/>
    <mergeCell ref="A5:C5"/>
    <mergeCell ref="D5:G5"/>
    <mergeCell ref="A6:C6"/>
    <mergeCell ref="D6:G6"/>
    <mergeCell ref="A8:H8"/>
    <mergeCell ref="A18:H18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4" customWidth="1" max="4" width="22.86"/>
    <col min="5" customWidth="1" max="5" width="38.0"/>
  </cols>
  <sheetData>
    <row r="1">
      <c t="s" r="A1">
        <v>132</v>
      </c>
    </row>
    <row r="2">
      <c s="20" r="A2"/>
      <c s="20" r="B2"/>
    </row>
    <row r="3">
      <c t="s" s="24" r="A3">
        <v>9</v>
      </c>
      <c s="3" r="B3"/>
      <c s="1" r="C3"/>
    </row>
    <row r="4">
      <c s="15" r="A4"/>
      <c s="15" r="B4"/>
      <c s="20" r="C4"/>
      <c s="20" r="D4"/>
      <c s="20" r="E4"/>
    </row>
    <row r="5">
      <c t="s" s="24" r="A5">
        <v>133</v>
      </c>
      <c t="s" s="24" r="B5">
        <v>134</v>
      </c>
      <c t="s" s="24" r="C5">
        <v>135</v>
      </c>
      <c t="s" s="12" r="D5">
        <v>90</v>
      </c>
      <c t="s" s="24" r="E5">
        <v>136</v>
      </c>
      <c s="1" r="F5"/>
    </row>
    <row r="6">
      <c s="13" r="A6"/>
      <c s="13" r="B6"/>
      <c s="13" r="C6"/>
      <c t="s" s="13" r="D6">
        <v>8</v>
      </c>
      <c t="str" s="6" r="E6">
        <f>IF(AND(($B$3&lt;&gt;""),(A6&lt;&gt;""),(B6&lt;&gt;""),(C6&lt;&gt;"")),CONCATENATE("bpplclients ",$B$3," -add ",A6," ",B6," ",C6,IF((D6&lt;&gt;""),""," 0 1")),"Fix required: Enter policy name and its client.")</f>
        <v>Fix required: Enter policy name and its client.</v>
      </c>
      <c s="1" r="F6"/>
    </row>
    <row r="7">
      <c s="13" r="A7"/>
      <c s="13" r="B7"/>
      <c s="13" r="C7"/>
      <c t="s" s="13" r="D7">
        <v>8</v>
      </c>
      <c t="str" s="6" r="E7">
        <f>IF(AND(($B$3&lt;&gt;""),(A7&lt;&gt;""),(B7&lt;&gt;""),(C7&lt;&gt;"")),CONCATENATE("bpplclients ",$B$3," -add ",A7," ",B7," ",C7,IF((D7&lt;&gt;""),""," 0 1")),"Fix required: Enter policy name and its client.")</f>
        <v>Fix required: Enter policy name and its client.</v>
      </c>
      <c s="1" r="F7"/>
    </row>
    <row r="8">
      <c s="13" r="A8"/>
      <c s="13" r="B8"/>
      <c s="13" r="C8"/>
      <c t="s" s="13" r="D8">
        <v>8</v>
      </c>
      <c t="str" s="6" r="E8">
        <f>IF(AND(($B$3&lt;&gt;""),(A8&lt;&gt;""),(B8&lt;&gt;""),(C8&lt;&gt;"")),CONCATENATE("bpplclients ",$B$3," -add ",A8," ",B8," ",C8,IF((D8&lt;&gt;""),""," 0 1")),"Fix required: Enter policy name and its client.")</f>
        <v>Fix required: Enter policy name and its client.</v>
      </c>
      <c s="1" r="F8"/>
    </row>
    <row r="9">
      <c s="13" r="A9"/>
      <c s="13" r="B9"/>
      <c s="13" r="C9"/>
      <c t="s" s="13" r="D9">
        <v>8</v>
      </c>
      <c t="str" s="6" r="E9">
        <f>IF(AND(($B$3&lt;&gt;""),(A9&lt;&gt;""),(B9&lt;&gt;""),(C9&lt;&gt;"")),CONCATENATE("bpplclients ",$B$3," -add ",A9," ",B9," ",C9,IF((D9&lt;&gt;""),""," 0 1")),"Fix required: Enter policy name and its client.")</f>
        <v>Fix required: Enter policy name and its client.</v>
      </c>
      <c s="1" r="F9"/>
    </row>
    <row r="10">
      <c s="13" r="A10"/>
      <c s="13" r="B10"/>
      <c s="13" r="C10"/>
      <c t="s" s="13" r="D10">
        <v>8</v>
      </c>
      <c t="str" s="6" r="E10">
        <f>IF(AND(($B$3&lt;&gt;""),(A10&lt;&gt;""),(B10&lt;&gt;""),(C10&lt;&gt;"")),CONCATENATE("bpplclients ",$B$3," -add ",A10," ",B10," ",C10,IF((D10&lt;&gt;""),""," 0 1")),"Fix required: Enter policy name and its client.")</f>
        <v>Fix required: Enter policy name and its client.</v>
      </c>
      <c s="1" r="F10"/>
    </row>
    <row r="11">
      <c s="13" r="A11"/>
      <c s="13" r="B11"/>
      <c s="13" r="C11"/>
      <c t="s" s="13" r="D11">
        <v>8</v>
      </c>
      <c t="str" s="6" r="E11">
        <f>IF(AND(($B$3&lt;&gt;""),(A11&lt;&gt;""),(B11&lt;&gt;""),(C11&lt;&gt;"")),CONCATENATE("bpplclients ",$B$3," -add ",A11," ",B11," ",C11,IF((D11&lt;&gt;""),""," 0 1")),"Fix required: Enter policy name and its client.")</f>
        <v>Fix required: Enter policy name and its client.</v>
      </c>
      <c s="1" r="F11"/>
    </row>
    <row r="12">
      <c s="13" r="A12"/>
      <c s="13" r="B12"/>
      <c s="13" r="C12"/>
      <c t="s" s="13" r="D12">
        <v>8</v>
      </c>
      <c t="str" s="6" r="E12">
        <f>IF(AND(($B$3&lt;&gt;""),(A12&lt;&gt;""),(B12&lt;&gt;""),(C12&lt;&gt;"")),CONCATENATE("bpplclients ",$B$3," -add ",A12," ",B12," ",C12,IF((D12&lt;&gt;""),""," 0 1")),"Fix required: Enter policy name and its client.")</f>
        <v>Fix required: Enter policy name and its client.</v>
      </c>
      <c s="1" r="F12"/>
    </row>
    <row r="13">
      <c s="13" r="A13"/>
      <c s="13" r="B13"/>
      <c s="13" r="C13"/>
      <c t="s" s="13" r="D13">
        <v>8</v>
      </c>
      <c t="str" s="6" r="E13">
        <f>IF(AND(($B$3&lt;&gt;""),(A13&lt;&gt;""),(B13&lt;&gt;""),(C13&lt;&gt;"")),CONCATENATE("bpplclients ",$B$3," -add ",A13," ",B13," ",C13,IF((D13&lt;&gt;""),""," 0 1")),"Fix required: Enter policy name and its client.")</f>
        <v>Fix required: Enter policy name and its client.</v>
      </c>
      <c s="1" r="F13"/>
    </row>
    <row r="14">
      <c s="13" r="A14"/>
      <c s="13" r="B14"/>
      <c s="13" r="C14"/>
      <c t="s" s="13" r="D14">
        <v>8</v>
      </c>
      <c t="str" s="6" r="E14">
        <f>IF(AND(($B$3&lt;&gt;""),(A14&lt;&gt;""),(B14&lt;&gt;""),(C14&lt;&gt;"")),CONCATENATE("bpplclients ",$B$3," -add ",A14," ",B14," ",C14,IF((D14&lt;&gt;""),""," 0 1")),"Fix required: Enter policy name and its client.")</f>
        <v>Fix required: Enter policy name and its client.</v>
      </c>
      <c s="1" r="F14"/>
    </row>
    <row r="15">
      <c s="13" r="A15"/>
      <c s="13" r="B15"/>
      <c s="13" r="C15"/>
      <c t="s" s="13" r="D15">
        <v>8</v>
      </c>
      <c t="str" s="6" r="E15">
        <f>IF(AND(($B$3&lt;&gt;""),(A15&lt;&gt;""),(B15&lt;&gt;""),(C15&lt;&gt;"")),CONCATENATE("bpplclients ",$B$3," -add ",A15," ",B15," ",C15,IF((D15&lt;&gt;""),""," 0 1")),"Fix required: Enter policy name and its client.")</f>
        <v>Fix required: Enter policy name and its client.</v>
      </c>
      <c s="1" r="F15"/>
    </row>
    <row r="16">
      <c s="13" r="A16"/>
      <c s="13" r="B16"/>
      <c s="13" r="C16"/>
      <c t="s" s="13" r="D16">
        <v>8</v>
      </c>
      <c t="str" s="6" r="E16">
        <f>IF(AND(($B$3&lt;&gt;""),(A16&lt;&gt;""),(B16&lt;&gt;""),(C16&lt;&gt;"")),CONCATENATE("bpplclients ",$B$3," -add ",A16," ",B16," ",C16,IF((D16&lt;&gt;""),""," 0 1")),"Fix required: Enter policy name and its client.")</f>
        <v>Fix required: Enter policy name and its client.</v>
      </c>
      <c s="1" r="F16"/>
    </row>
    <row r="17">
      <c s="13" r="A17"/>
      <c s="13" r="B17"/>
      <c s="13" r="C17"/>
      <c t="s" s="13" r="D17">
        <v>8</v>
      </c>
      <c t="str" s="6" r="E17">
        <f>IF(AND(($B$3&lt;&gt;""),(A17&lt;&gt;""),(B17&lt;&gt;""),(C17&lt;&gt;"")),CONCATENATE("bpplclients ",$B$3," -add ",A17," ",B17," ",C17,IF((D17&lt;&gt;""),""," 0 1")),"Fix required: Enter policy name and its client.")</f>
        <v>Fix required: Enter policy name and its client.</v>
      </c>
      <c s="1" r="F17"/>
    </row>
    <row r="18">
      <c s="13" r="A18"/>
      <c s="13" r="B18"/>
      <c s="13" r="C18"/>
      <c t="s" s="13" r="D18">
        <v>8</v>
      </c>
      <c t="str" s="6" r="E18">
        <f>IF(AND(($B$3&lt;&gt;""),(A18&lt;&gt;""),(B18&lt;&gt;""),(C18&lt;&gt;"")),CONCATENATE("bpplclients ",$B$3," -add ",A18," ",B18," ",C18,IF((D18&lt;&gt;""),""," 0 1")),"Fix required: Enter policy name and its client.")</f>
        <v>Fix required: Enter policy name and its client.</v>
      </c>
      <c s="1" r="F18"/>
    </row>
    <row r="19">
      <c s="13" r="A19"/>
      <c s="13" r="B19"/>
      <c s="13" r="C19"/>
      <c t="s" s="13" r="D19">
        <v>8</v>
      </c>
      <c t="str" s="6" r="E19">
        <f>IF(AND(($B$3&lt;&gt;""),(A19&lt;&gt;""),(B19&lt;&gt;""),(C19&lt;&gt;"")),CONCATENATE("bpplclients ",$B$3," -add ",A19," ",B19," ",C19,IF((D19&lt;&gt;""),""," 0 1")),"Fix required: Enter policy name and its client.")</f>
        <v>Fix required: Enter policy name and its client.</v>
      </c>
      <c s="1" r="F19"/>
    </row>
    <row r="20">
      <c s="13" r="A20"/>
      <c s="13" r="B20"/>
      <c s="13" r="C20"/>
      <c t="s" s="13" r="D20">
        <v>8</v>
      </c>
      <c t="str" s="6" r="E20">
        <f>IF(AND(($B$3&lt;&gt;""),(A20&lt;&gt;""),(B20&lt;&gt;""),(C20&lt;&gt;"")),CONCATENATE("bpplclients ",$B$3," -add ",A20," ",B20," ",C20,IF((D20&lt;&gt;""),""," 0 1")),"Fix required: Enter policy name and its client.")</f>
        <v>Fix required: Enter policy name and its client.</v>
      </c>
      <c s="1" r="F20"/>
    </row>
    <row r="21">
      <c s="13" r="A21"/>
      <c s="13" r="B21"/>
      <c s="13" r="C21"/>
      <c t="s" s="13" r="D21">
        <v>8</v>
      </c>
      <c t="str" s="6" r="E21">
        <f>IF(AND(($B$3&lt;&gt;""),(A21&lt;&gt;""),(B21&lt;&gt;""),(C21&lt;&gt;"")),CONCATENATE("bpplclients ",$B$3," -add ",A21," ",B21," ",C21,IF((D21&lt;&gt;""),""," 0 1")),"Fix required: Enter policy name and its client.")</f>
        <v>Fix required: Enter policy name and its client.</v>
      </c>
      <c s="1" r="F21"/>
    </row>
    <row r="22">
      <c s="13" r="A22"/>
      <c s="13" r="B22"/>
      <c s="13" r="C22"/>
      <c t="s" s="13" r="D22">
        <v>8</v>
      </c>
      <c t="str" s="6" r="E22">
        <f>IF(AND(($B$3&lt;&gt;""),(A22&lt;&gt;""),(B22&lt;&gt;""),(C22&lt;&gt;"")),CONCATENATE("bpplclients ",$B$3," -add ",A22," ",B22," ",C22,IF((D22&lt;&gt;""),""," 0 1")),"Fix required: Enter policy name and its client.")</f>
        <v>Fix required: Enter policy name and its client.</v>
      </c>
      <c s="1" r="F22"/>
    </row>
    <row r="23">
      <c s="13" r="A23"/>
      <c s="13" r="B23"/>
      <c s="13" r="C23"/>
      <c t="s" s="13" r="D23">
        <v>8</v>
      </c>
      <c t="str" s="6" r="E23">
        <f>IF(AND(($B$3&lt;&gt;""),(A23&lt;&gt;""),(B23&lt;&gt;""),(C23&lt;&gt;"")),CONCATENATE("bpplclients ",$B$3," -add ",A23," ",B23," ",C23,IF((D23&lt;&gt;""),""," 0 1")),"Fix required: Enter policy name and its client.")</f>
        <v>Fix required: Enter policy name and its client.</v>
      </c>
      <c s="1" r="F23"/>
    </row>
    <row r="24">
      <c s="13" r="A24"/>
      <c s="13" r="B24"/>
      <c s="13" r="C24"/>
      <c t="s" s="13" r="D24">
        <v>8</v>
      </c>
      <c t="str" s="6" r="E24">
        <f>IF(AND(($B$3&lt;&gt;""),(A24&lt;&gt;""),(B24&lt;&gt;""),(C24&lt;&gt;"")),CONCATENATE("bpplclients ",$B$3," -add ",A24," ",B24," ",C24,IF((D24&lt;&gt;""),""," 0 1")),"Fix required: Enter policy name and its client.")</f>
        <v>Fix required: Enter policy name and its client.</v>
      </c>
      <c s="1" r="F24"/>
    </row>
    <row r="25">
      <c s="13" r="A25"/>
      <c s="13" r="B25"/>
      <c s="13" r="C25"/>
      <c t="s" s="13" r="D25">
        <v>8</v>
      </c>
      <c t="str" s="6" r="E25">
        <f>IF(AND(($B$3&lt;&gt;""),(A25&lt;&gt;""),(B25&lt;&gt;""),(C25&lt;&gt;"")),CONCATENATE("bpplclients ",$B$3," -add ",A25," ",B25," ",C25,IF((D25&lt;&gt;""),""," 0 1")),"Fix required: Enter policy name and its client.")</f>
        <v>Fix required: Enter policy name and its client.</v>
      </c>
      <c s="1" r="F25"/>
    </row>
    <row r="26">
      <c s="13" r="A26"/>
      <c s="13" r="B26"/>
      <c s="13" r="C26"/>
      <c t="s" s="13" r="D26">
        <v>8</v>
      </c>
      <c t="str" s="6" r="E26">
        <f>IF(AND(($B$3&lt;&gt;""),(A26&lt;&gt;""),(B26&lt;&gt;""),(C26&lt;&gt;"")),CONCATENATE("bpplclients ",$B$3," -add ",A26," ",B26," ",C26,IF((D26&lt;&gt;""),""," 0 1")),"Fix required: Enter policy name and its client.")</f>
        <v>Fix required: Enter policy name and its client.</v>
      </c>
      <c s="1" r="F26"/>
    </row>
    <row r="27">
      <c s="13" r="A27"/>
      <c s="13" r="B27"/>
      <c s="13" r="C27"/>
      <c t="s" s="13" r="D27">
        <v>8</v>
      </c>
      <c t="str" s="6" r="E27">
        <f>IF(AND(($B$3&lt;&gt;""),(A27&lt;&gt;""),(B27&lt;&gt;""),(C27&lt;&gt;"")),CONCATENATE("bpplclients ",$B$3," -add ",A27," ",B27," ",C27,IF((D27&lt;&gt;""),""," 0 1")),"Fix required: Enter policy name and its client.")</f>
        <v>Fix required: Enter policy name and its client.</v>
      </c>
      <c s="1" r="F27"/>
    </row>
    <row r="28">
      <c s="13" r="A28"/>
      <c s="13" r="B28"/>
      <c s="13" r="C28"/>
      <c t="s" s="13" r="D28">
        <v>8</v>
      </c>
      <c t="str" s="6" r="E28">
        <f>IF(AND(($B$3&lt;&gt;""),(A28&lt;&gt;""),(B28&lt;&gt;""),(C28&lt;&gt;"")),CONCATENATE("bpplclients ",$B$3," -add ",A28," ",B28," ",C28,IF((D28&lt;&gt;""),""," 0 1")),"Fix required: Enter policy name and its client.")</f>
        <v>Fix required: Enter policy name and its client.</v>
      </c>
      <c s="1" r="F28"/>
    </row>
    <row r="29">
      <c s="13" r="A29"/>
      <c s="13" r="B29"/>
      <c s="13" r="C29"/>
      <c t="s" s="13" r="D29">
        <v>8</v>
      </c>
      <c t="str" s="6" r="E29">
        <f>IF(AND(($B$3&lt;&gt;""),(A29&lt;&gt;""),(B29&lt;&gt;""),(C29&lt;&gt;"")),CONCATENATE("bpplclients ",$B$3," -add ",A29," ",B29," ",C29,IF((D29&lt;&gt;""),""," 0 1")),"Fix required: Enter policy name and its client.")</f>
        <v>Fix required: Enter policy name and its client.</v>
      </c>
      <c s="1" r="F29"/>
    </row>
    <row r="30">
      <c s="13" r="A30"/>
      <c s="13" r="B30"/>
      <c s="13" r="C30"/>
      <c t="s" s="13" r="D30">
        <v>8</v>
      </c>
      <c t="str" s="6" r="E30">
        <f>IF(AND(($B$3&lt;&gt;""),(A30&lt;&gt;""),(B30&lt;&gt;""),(C30&lt;&gt;"")),CONCATENATE("bpplclients ",$B$3," -add ",A30," ",B30," ",C30,IF((D30&lt;&gt;""),""," 0 1")),"Fix required: Enter policy name and its client.")</f>
        <v>Fix required: Enter policy name and its client.</v>
      </c>
      <c s="1" r="F30"/>
    </row>
    <row r="31">
      <c s="9" r="A31"/>
      <c s="9" r="B31"/>
      <c s="9" r="C31"/>
      <c s="9" r="D31"/>
      <c s="9" r="E31"/>
    </row>
  </sheetData>
  <mergeCells count="1">
    <mergeCell ref="A1:E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29.29"/>
    <col min="2" customWidth="1" max="2" width="44.43"/>
  </cols>
  <sheetData>
    <row r="1">
      <c t="s" s="10" r="A1">
        <v>137</v>
      </c>
    </row>
    <row r="2">
      <c s="20" r="A2"/>
      <c s="20" r="B2"/>
    </row>
    <row r="3">
      <c t="s" s="24" r="A3">
        <v>9</v>
      </c>
      <c s="3" r="B3"/>
      <c s="1" r="C3"/>
    </row>
    <row r="4">
      <c s="15" r="A4"/>
      <c s="15" r="B4"/>
    </row>
    <row r="5">
      <c t="s" s="24" r="A5">
        <v>138</v>
      </c>
      <c t="s" s="24" r="B5">
        <v>136</v>
      </c>
      <c s="25" r="C5"/>
    </row>
    <row r="6">
      <c s="13" r="A6"/>
      <c t="str" s="6" r="B6">
        <f>IF(AND(($B$3&lt;&gt;""),(A6&lt;&gt;"")),CONCATENATE("bpplinclude ",$B$3," ",CHAR(34),A6,CHAR(34)),"Fix required: Enter policy name and backup target.")</f>
        <v>Fix required: Enter policy name and backup target.</v>
      </c>
      <c s="1" r="C6"/>
    </row>
    <row r="7">
      <c s="13" r="A7"/>
      <c t="str" s="6" r="B7">
        <f>IF(AND(($B$3&lt;&gt;""),(A7&lt;&gt;"")),CONCATENATE("bpplinclude ",$B$3," ",CHAR(34),A7,CHAR(34)),"Fix required: Enter policy name and backup target.")</f>
        <v>Fix required: Enter policy name and backup target.</v>
      </c>
      <c s="1" r="C7"/>
    </row>
    <row r="8">
      <c s="13" r="A8"/>
      <c t="str" s="6" r="B8">
        <f>IF(AND(($B$3&lt;&gt;""),(A8&lt;&gt;"")),CONCATENATE("bpplinclude ",$B$3," ",CHAR(34),A8,CHAR(34)),"Fix required: Enter policy name and backup target.")</f>
        <v>Fix required: Enter policy name and backup target.</v>
      </c>
      <c s="1" r="C8"/>
    </row>
    <row r="9">
      <c s="13" r="A9"/>
      <c t="str" s="6" r="B9">
        <f>IF(AND(($B$3&lt;&gt;""),(A9&lt;&gt;"")),CONCATENATE("bpplinclude ",$B$3," ",CHAR(34),A9,CHAR(34)),"Fix required: Enter policy name and backup target.")</f>
        <v>Fix required: Enter policy name and backup target.</v>
      </c>
      <c s="1" r="C9"/>
    </row>
    <row r="10">
      <c s="13" r="A10"/>
      <c t="str" s="6" r="B10">
        <f>IF(AND(($B$3&lt;&gt;""),(A10&lt;&gt;"")),CONCATENATE("bpplinclude ",$B$3," ",CHAR(34),A10,CHAR(34)),"Fix required: Enter policy name and backup target.")</f>
        <v>Fix required: Enter policy name and backup target.</v>
      </c>
      <c s="1" r="C10"/>
    </row>
    <row r="11">
      <c s="13" r="A11"/>
      <c t="str" s="6" r="B11">
        <f>IF(AND(($B$3&lt;&gt;""),(A11&lt;&gt;"")),CONCATENATE("bpplinclude ",$B$3," ",CHAR(34),A11,CHAR(34)),"Fix required: Enter policy name and backup target.")</f>
        <v>Fix required: Enter policy name and backup target.</v>
      </c>
      <c s="1" r="C11"/>
    </row>
    <row r="12">
      <c s="13" r="A12"/>
      <c t="str" s="6" r="B12">
        <f>IF(AND(($B$3&lt;&gt;""),(A12&lt;&gt;"")),CONCATENATE("bpplinclude ",$B$3," ",CHAR(34),A12,CHAR(34)),"Fix required: Enter policy name and backup target.")</f>
        <v>Fix required: Enter policy name and backup target.</v>
      </c>
      <c s="1" r="C12"/>
    </row>
    <row r="13">
      <c s="13" r="A13"/>
      <c t="str" s="6" r="B13">
        <f>IF(AND(($B$3&lt;&gt;""),(A13&lt;&gt;"")),CONCATENATE("bpplinclude ",$B$3," ",CHAR(34),A13,CHAR(34)),"Fix required: Enter policy name and backup target.")</f>
        <v>Fix required: Enter policy name and backup target.</v>
      </c>
      <c s="1" r="C13"/>
    </row>
    <row r="14">
      <c s="13" r="A14"/>
      <c t="str" s="6" r="B14">
        <f>IF(AND(($B$3&lt;&gt;""),(A14&lt;&gt;"")),CONCATENATE("bpplinclude ",$B$3," ",CHAR(34),A14,CHAR(34)),"Fix required: Enter policy name and backup target.")</f>
        <v>Fix required: Enter policy name and backup target.</v>
      </c>
      <c s="1" r="C14"/>
    </row>
    <row r="15">
      <c s="13" r="A15"/>
      <c t="str" s="6" r="B15">
        <f>IF(AND(($B$3&lt;&gt;""),(A15&lt;&gt;"")),CONCATENATE("bpplinclude ",$B$3," ",CHAR(34),A15,CHAR(34)),"Fix required: Enter policy name and backup target.")</f>
        <v>Fix required: Enter policy name and backup target.</v>
      </c>
      <c s="1" r="C15"/>
    </row>
    <row r="16">
      <c s="13" r="A16"/>
      <c t="str" s="6" r="B16">
        <f>IF(AND(($B$3&lt;&gt;""),(A16&lt;&gt;"")),CONCATENATE("bpplinclude ",$B$3," ",CHAR(34),A16,CHAR(34)),"Fix required: Enter policy name and backup target.")</f>
        <v>Fix required: Enter policy name and backup target.</v>
      </c>
      <c s="1" r="C16"/>
    </row>
    <row r="17">
      <c s="13" r="A17"/>
      <c t="str" s="6" r="B17">
        <f>IF(AND(($B$3&lt;&gt;""),(A17&lt;&gt;"")),CONCATENATE("bpplinclude ",$B$3," ",CHAR(34),A17,CHAR(34)),"Fix required: Enter policy name and backup target.")</f>
        <v>Fix required: Enter policy name and backup target.</v>
      </c>
      <c s="1" r="C17"/>
    </row>
    <row r="18">
      <c s="13" r="A18"/>
      <c t="str" s="6" r="B18">
        <f>IF(AND(($B$3&lt;&gt;""),(A18&lt;&gt;"")),CONCATENATE("bpplinclude ",$B$3," ",CHAR(34),A18,CHAR(34)),"Fix required: Enter policy name and backup target.")</f>
        <v>Fix required: Enter policy name and backup target.</v>
      </c>
      <c s="1" r="C18"/>
    </row>
    <row r="19">
      <c s="13" r="A19"/>
      <c t="str" s="6" r="B19">
        <f>IF(AND(($B$3&lt;&gt;""),(A19&lt;&gt;"")),CONCATENATE("bpplinclude ",$B$3," ",CHAR(34),A19,CHAR(34)),"Fix required: Enter policy name and backup target.")</f>
        <v>Fix required: Enter policy name and backup target.</v>
      </c>
      <c s="1" r="C19"/>
    </row>
    <row r="20">
      <c s="13" r="A20"/>
      <c t="str" s="6" r="B20">
        <f>IF(AND(($B$3&lt;&gt;""),(A20&lt;&gt;"")),CONCATENATE("bpplinclude ",$B$3," ",CHAR(34),A20,CHAR(34)),"Fix required: Enter policy name and backup target.")</f>
        <v>Fix required: Enter policy name and backup target.</v>
      </c>
      <c s="1" r="C20"/>
    </row>
    <row r="21">
      <c s="13" r="A21"/>
      <c t="str" s="6" r="B21">
        <f>IF(AND(($B$3&lt;&gt;""),(A21&lt;&gt;"")),CONCATENATE("bpplinclude ",$B$3," ",CHAR(34),A21,CHAR(34)),"Fix required: Enter policy name and backup target.")</f>
        <v>Fix required: Enter policy name and backup target.</v>
      </c>
      <c s="1" r="C21"/>
    </row>
    <row r="22">
      <c s="13" r="A22"/>
      <c t="str" s="6" r="B22">
        <f>IF(AND(($B$3&lt;&gt;""),(A22&lt;&gt;"")),CONCATENATE("bpplinclude ",$B$3," ",CHAR(34),A22,CHAR(34)),"Fix required: Enter policy name and backup target.")</f>
        <v>Fix required: Enter policy name and backup target.</v>
      </c>
      <c s="1" r="C22"/>
    </row>
    <row r="23">
      <c s="13" r="A23"/>
      <c t="str" s="6" r="B23">
        <f>IF(AND(($B$3&lt;&gt;""),(A23&lt;&gt;"")),CONCATENATE("bpplinclude ",$B$3," ",CHAR(34),A23,CHAR(34)),"Fix required: Enter policy name and backup target.")</f>
        <v>Fix required: Enter policy name and backup target.</v>
      </c>
      <c s="1" r="C23"/>
    </row>
    <row r="24">
      <c s="13" r="A24"/>
      <c t="str" s="6" r="B24">
        <f>IF(AND(($B$3&lt;&gt;""),(A24&lt;&gt;"")),CONCATENATE("bpplinclude ",$B$3," ",CHAR(34),A24,CHAR(34)),"Fix required: Enter policy name and backup target.")</f>
        <v>Fix required: Enter policy name and backup target.</v>
      </c>
      <c s="1" r="C24"/>
    </row>
    <row r="25">
      <c s="13" r="A25"/>
      <c t="str" s="6" r="B25">
        <f>IF(AND(($B$3&lt;&gt;""),(A25&lt;&gt;"")),CONCATENATE("bpplinclude ",$B$3," ",CHAR(34),A25,CHAR(34)),"Fix required: Enter policy name and backup target.")</f>
        <v>Fix required: Enter policy name and backup target.</v>
      </c>
      <c s="1" r="C25"/>
    </row>
    <row r="26">
      <c s="13" r="A26"/>
      <c t="str" s="6" r="B26">
        <f>IF(AND(($B$3&lt;&gt;""),(A26&lt;&gt;"")),CONCATENATE("bpplinclude ",$B$3," ",CHAR(34),A26,CHAR(34)),"Fix required: Enter policy name and backup target.")</f>
        <v>Fix required: Enter policy name and backup target.</v>
      </c>
      <c s="1" r="C26"/>
    </row>
    <row r="27">
      <c s="13" r="A27"/>
      <c t="str" s="6" r="B27">
        <f>IF(AND(($B$3&lt;&gt;""),(A27&lt;&gt;"")),CONCATENATE("bpplinclude ",$B$3," ",CHAR(34),A27,CHAR(34)),"Fix required: Enter policy name and backup target.")</f>
        <v>Fix required: Enter policy name and backup target.</v>
      </c>
      <c s="1" r="C27"/>
    </row>
    <row r="28">
      <c s="13" r="A28"/>
      <c t="str" s="6" r="B28">
        <f>IF(AND(($B$3&lt;&gt;""),(A28&lt;&gt;"")),CONCATENATE("bpplinclude ",$B$3," ",CHAR(34),A28,CHAR(34)),"Fix required: Enter policy name and backup target.")</f>
        <v>Fix required: Enter policy name and backup target.</v>
      </c>
      <c s="1" r="C28"/>
    </row>
    <row r="29">
      <c s="13" r="A29"/>
      <c t="str" s="6" r="B29">
        <f>IF(AND(($B$3&lt;&gt;""),(A29&lt;&gt;"")),CONCATENATE("bpplinclude ",$B$3," ",CHAR(34),A29,CHAR(34)),"Fix required: Enter policy name and backup target.")</f>
        <v>Fix required: Enter policy name and backup target.</v>
      </c>
      <c s="1" r="C29"/>
    </row>
    <row r="30">
      <c s="13" r="A30"/>
      <c t="str" s="6" r="B30">
        <f>IF(AND(($B$3&lt;&gt;""),(A30&lt;&gt;"")),CONCATENATE("bpplinclude ",$B$3," ",CHAR(34),A30,CHAR(34)),"Fix required: Enter policy name and backup target.")</f>
        <v>Fix required: Enter policy name and backup target.</v>
      </c>
      <c s="1" r="C30"/>
    </row>
    <row r="31">
      <c s="9" r="A31"/>
      <c s="9" r="B31"/>
    </row>
  </sheetData>
  <mergeCells count="1">
    <mergeCell ref="A1:B1"/>
  </mergeCells>
</worksheet>
</file>