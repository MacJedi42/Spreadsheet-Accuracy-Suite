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T:\CDO-PHA\IAAF Council Reports - GS\Reports to Council\2014\"/>
    </mc:Choice>
  </mc:AlternateContent>
  <bookViews>
    <workbookView xWindow="0" yWindow="0" windowWidth="23040" windowHeight="9120"/>
  </bookViews>
  <sheets>
    <sheet name="Sheet1" sheetId="1" r:id="rId1"/>
  </sheets>
  <externalReferences>
    <externalReference r:id="rId2"/>
  </externalReferenc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T60" i="1" l="1"/>
  <c r="S60" i="1"/>
  <c r="R60" i="1"/>
  <c r="Q60" i="1"/>
  <c r="T59" i="1"/>
  <c r="S59" i="1"/>
  <c r="R59" i="1"/>
  <c r="Q59" i="1"/>
  <c r="O59" i="1"/>
  <c r="N59" i="1"/>
  <c r="M59" i="1"/>
  <c r="L59" i="1"/>
  <c r="T58" i="1"/>
  <c r="S58" i="1"/>
  <c r="R58" i="1"/>
  <c r="Q58" i="1"/>
  <c r="O58" i="1"/>
  <c r="N58" i="1"/>
  <c r="M58" i="1"/>
  <c r="L58" i="1"/>
  <c r="T57" i="1"/>
  <c r="S57" i="1"/>
  <c r="R57" i="1"/>
  <c r="Q57" i="1"/>
  <c r="O57" i="1"/>
  <c r="N57" i="1"/>
  <c r="M57" i="1"/>
  <c r="L57" i="1"/>
  <c r="J57" i="1"/>
  <c r="I57" i="1"/>
  <c r="H57" i="1"/>
  <c r="G57" i="1"/>
  <c r="T56" i="1"/>
  <c r="S56" i="1"/>
  <c r="R56" i="1"/>
  <c r="Q56" i="1"/>
  <c r="O56" i="1"/>
  <c r="N56" i="1"/>
  <c r="M56" i="1"/>
  <c r="L56" i="1"/>
  <c r="J56" i="1"/>
  <c r="I56" i="1"/>
  <c r="H56" i="1"/>
  <c r="G56" i="1"/>
  <c r="E56" i="1"/>
  <c r="D56" i="1"/>
  <c r="C56" i="1"/>
  <c r="B56" i="1"/>
  <c r="T55" i="1"/>
  <c r="S55" i="1"/>
  <c r="R55" i="1"/>
  <c r="Q55" i="1"/>
  <c r="O55" i="1"/>
  <c r="N55" i="1"/>
  <c r="M55" i="1"/>
  <c r="L55" i="1"/>
  <c r="J55" i="1"/>
  <c r="I55" i="1"/>
  <c r="H55" i="1"/>
  <c r="G55" i="1"/>
  <c r="E55" i="1"/>
  <c r="D55" i="1"/>
  <c r="C55" i="1"/>
  <c r="B55" i="1"/>
  <c r="T54" i="1"/>
  <c r="S54" i="1"/>
  <c r="R54" i="1"/>
  <c r="Q54" i="1"/>
  <c r="O54" i="1"/>
  <c r="N54" i="1"/>
  <c r="M54" i="1"/>
  <c r="L54" i="1"/>
  <c r="J54" i="1"/>
  <c r="I54" i="1"/>
  <c r="H54" i="1"/>
  <c r="G54" i="1"/>
  <c r="E54" i="1"/>
  <c r="D54" i="1"/>
  <c r="C54" i="1"/>
  <c r="B54" i="1"/>
  <c r="T53" i="1"/>
  <c r="S53" i="1"/>
  <c r="R53" i="1"/>
  <c r="Q53" i="1"/>
  <c r="O53" i="1"/>
  <c r="N53" i="1"/>
  <c r="M53" i="1"/>
  <c r="L53" i="1"/>
  <c r="J53" i="1"/>
  <c r="I53" i="1"/>
  <c r="H53" i="1"/>
  <c r="G53" i="1"/>
  <c r="E53" i="1"/>
  <c r="D53" i="1"/>
  <c r="C53" i="1"/>
  <c r="B53" i="1"/>
  <c r="T52" i="1"/>
  <c r="S52" i="1"/>
  <c r="R52" i="1"/>
  <c r="Q52" i="1"/>
  <c r="O52" i="1"/>
  <c r="N52" i="1"/>
  <c r="M52" i="1"/>
  <c r="L52" i="1"/>
  <c r="I52" i="1"/>
  <c r="H52" i="1"/>
  <c r="G52" i="1"/>
  <c r="E52" i="1"/>
  <c r="D52" i="1"/>
  <c r="C52" i="1"/>
  <c r="B52" i="1"/>
  <c r="T51" i="1"/>
  <c r="S51" i="1"/>
  <c r="R51" i="1"/>
  <c r="Q51" i="1"/>
  <c r="O51" i="1"/>
  <c r="N51" i="1"/>
  <c r="M51" i="1"/>
  <c r="L51" i="1"/>
  <c r="J51" i="1"/>
  <c r="I51" i="1"/>
  <c r="H51" i="1"/>
  <c r="G51" i="1"/>
  <c r="E51" i="1"/>
  <c r="D51" i="1"/>
  <c r="C51" i="1"/>
  <c r="B51" i="1"/>
  <c r="T50" i="1"/>
  <c r="S50" i="1"/>
  <c r="R50" i="1"/>
  <c r="Q50" i="1"/>
  <c r="O50" i="1"/>
  <c r="N50" i="1"/>
  <c r="M50" i="1"/>
  <c r="L50" i="1"/>
  <c r="J50" i="1"/>
  <c r="I50" i="1"/>
  <c r="H50" i="1"/>
  <c r="G50" i="1"/>
  <c r="E50" i="1"/>
  <c r="D50" i="1"/>
  <c r="C50" i="1"/>
  <c r="B50" i="1"/>
  <c r="T49" i="1"/>
  <c r="S49" i="1"/>
  <c r="R49" i="1"/>
  <c r="Q49" i="1"/>
  <c r="O49" i="1"/>
  <c r="N49" i="1"/>
  <c r="M49" i="1"/>
  <c r="L49" i="1"/>
  <c r="J49" i="1"/>
  <c r="I49" i="1"/>
  <c r="H49" i="1"/>
  <c r="G49" i="1"/>
  <c r="E49" i="1"/>
  <c r="D49" i="1"/>
  <c r="C49" i="1"/>
  <c r="B49" i="1"/>
  <c r="T48" i="1"/>
  <c r="S48" i="1"/>
  <c r="R48" i="1"/>
  <c r="Q48" i="1"/>
  <c r="O48" i="1"/>
  <c r="N48" i="1"/>
  <c r="M48" i="1"/>
  <c r="L48" i="1"/>
  <c r="J48" i="1"/>
  <c r="I48" i="1"/>
  <c r="H48" i="1"/>
  <c r="G48" i="1"/>
  <c r="E48" i="1"/>
  <c r="D48" i="1"/>
  <c r="C48" i="1"/>
  <c r="B48" i="1"/>
  <c r="T47" i="1"/>
  <c r="S47" i="1"/>
  <c r="R47" i="1"/>
  <c r="Q47" i="1"/>
  <c r="O47" i="1"/>
  <c r="N47" i="1"/>
  <c r="M47" i="1"/>
  <c r="L47" i="1"/>
  <c r="J47" i="1"/>
  <c r="I47" i="1"/>
  <c r="H47" i="1"/>
  <c r="G47" i="1"/>
  <c r="E47" i="1"/>
  <c r="D47" i="1"/>
  <c r="C47" i="1"/>
  <c r="B47" i="1"/>
  <c r="T46" i="1"/>
  <c r="S46" i="1"/>
  <c r="R46" i="1"/>
  <c r="Q46" i="1"/>
  <c r="O46" i="1"/>
  <c r="N46" i="1"/>
  <c r="M46" i="1"/>
  <c r="L46" i="1"/>
  <c r="J46" i="1"/>
  <c r="I46" i="1"/>
  <c r="H46" i="1"/>
  <c r="G46" i="1"/>
  <c r="E46" i="1"/>
  <c r="D46" i="1"/>
  <c r="C46" i="1"/>
  <c r="B46" i="1"/>
  <c r="T45" i="1"/>
  <c r="S45" i="1"/>
  <c r="R45" i="1"/>
  <c r="Q45" i="1"/>
  <c r="O45" i="1"/>
  <c r="N45" i="1"/>
  <c r="M45" i="1"/>
  <c r="L45" i="1"/>
  <c r="J45" i="1"/>
  <c r="I45" i="1"/>
  <c r="H45" i="1"/>
  <c r="G45" i="1"/>
  <c r="E45" i="1"/>
  <c r="D45" i="1"/>
  <c r="C45" i="1"/>
  <c r="B45" i="1"/>
  <c r="Q44" i="1"/>
  <c r="L44" i="1"/>
  <c r="G44" i="1"/>
  <c r="B44" i="1"/>
  <c r="O42" i="1"/>
  <c r="N42" i="1"/>
  <c r="M42" i="1"/>
  <c r="L42" i="1"/>
  <c r="O41" i="1"/>
  <c r="N41" i="1"/>
  <c r="M41" i="1"/>
  <c r="L41" i="1"/>
  <c r="O40" i="1"/>
  <c r="N40" i="1"/>
  <c r="M40" i="1"/>
  <c r="L40" i="1"/>
  <c r="O39" i="1"/>
  <c r="N39" i="1"/>
  <c r="M39" i="1"/>
  <c r="L39" i="1"/>
  <c r="E39" i="1"/>
  <c r="D39" i="1"/>
  <c r="C39" i="1"/>
  <c r="B39" i="1"/>
  <c r="O38" i="1"/>
  <c r="N38" i="1"/>
  <c r="M38" i="1"/>
  <c r="L38" i="1"/>
  <c r="J38" i="1"/>
  <c r="I38" i="1"/>
  <c r="H38" i="1"/>
  <c r="G38" i="1"/>
  <c r="E38" i="1"/>
  <c r="D38" i="1"/>
  <c r="C38" i="1"/>
  <c r="B38" i="1"/>
  <c r="O37" i="1"/>
  <c r="N37" i="1"/>
  <c r="M37" i="1"/>
  <c r="L37" i="1"/>
  <c r="J37" i="1"/>
  <c r="I37" i="1"/>
  <c r="H37" i="1"/>
  <c r="G37" i="1"/>
  <c r="E37" i="1"/>
  <c r="D37" i="1"/>
  <c r="C37" i="1"/>
  <c r="B37" i="1"/>
  <c r="O36" i="1"/>
  <c r="N36" i="1"/>
  <c r="M36" i="1"/>
  <c r="L36" i="1"/>
  <c r="J36" i="1"/>
  <c r="I36" i="1"/>
  <c r="H36" i="1"/>
  <c r="G36" i="1"/>
  <c r="E36" i="1"/>
  <c r="D36" i="1"/>
  <c r="C36" i="1"/>
  <c r="B36" i="1"/>
  <c r="O35" i="1"/>
  <c r="N35" i="1"/>
  <c r="M35" i="1"/>
  <c r="L35" i="1"/>
  <c r="J35" i="1"/>
  <c r="I35" i="1"/>
  <c r="H35" i="1"/>
  <c r="G35" i="1"/>
  <c r="E35" i="1"/>
  <c r="D35" i="1"/>
  <c r="C35" i="1"/>
  <c r="B35" i="1"/>
  <c r="N34" i="1"/>
  <c r="M34" i="1"/>
  <c r="L34" i="1"/>
  <c r="I34" i="1"/>
  <c r="H34" i="1"/>
  <c r="G34" i="1"/>
  <c r="E34" i="1"/>
  <c r="D34" i="1"/>
  <c r="C34" i="1"/>
  <c r="B34" i="1"/>
  <c r="T33" i="1"/>
  <c r="S33" i="1"/>
  <c r="R33" i="1"/>
  <c r="Q33" i="1"/>
  <c r="O33" i="1"/>
  <c r="N33" i="1"/>
  <c r="M33" i="1"/>
  <c r="L33" i="1"/>
  <c r="J33" i="1"/>
  <c r="I33" i="1"/>
  <c r="H33" i="1"/>
  <c r="G33" i="1"/>
  <c r="E33" i="1"/>
  <c r="D33" i="1"/>
  <c r="C33" i="1"/>
  <c r="B33" i="1"/>
  <c r="Q32" i="1"/>
  <c r="L32" i="1"/>
  <c r="G32" i="1"/>
  <c r="B32" i="1"/>
  <c r="O29" i="1"/>
  <c r="N29" i="1"/>
  <c r="M29" i="1"/>
  <c r="L29" i="1"/>
  <c r="O28" i="1"/>
  <c r="N28" i="1"/>
  <c r="M28" i="1"/>
  <c r="L28" i="1"/>
  <c r="Y27" i="1"/>
  <c r="X27" i="1"/>
  <c r="W27" i="1"/>
  <c r="V27" i="1"/>
  <c r="T27" i="1"/>
  <c r="S27" i="1"/>
  <c r="R27" i="1"/>
  <c r="Q27" i="1"/>
  <c r="O27" i="1"/>
  <c r="N27" i="1"/>
  <c r="M27" i="1"/>
  <c r="L27" i="1"/>
  <c r="J27" i="1"/>
  <c r="I27" i="1"/>
  <c r="H27" i="1"/>
  <c r="G27" i="1"/>
  <c r="Y26" i="1"/>
  <c r="X26" i="1"/>
  <c r="W26" i="1"/>
  <c r="V26" i="1"/>
  <c r="T26" i="1"/>
  <c r="S26" i="1"/>
  <c r="R26" i="1"/>
  <c r="Q26" i="1"/>
  <c r="O26" i="1"/>
  <c r="N26" i="1"/>
  <c r="M26" i="1"/>
  <c r="L26" i="1"/>
  <c r="J26" i="1"/>
  <c r="I26" i="1"/>
  <c r="H26" i="1"/>
  <c r="G26" i="1"/>
  <c r="Y25" i="1"/>
  <c r="X25" i="1"/>
  <c r="W25" i="1"/>
  <c r="V25" i="1"/>
  <c r="T25" i="1"/>
  <c r="S25" i="1"/>
  <c r="R25" i="1"/>
  <c r="Q25" i="1"/>
  <c r="O25" i="1"/>
  <c r="N25" i="1"/>
  <c r="M25" i="1"/>
  <c r="L25" i="1"/>
  <c r="J25" i="1"/>
  <c r="I25" i="1"/>
  <c r="H25" i="1"/>
  <c r="G25" i="1"/>
  <c r="Y24" i="1"/>
  <c r="X24" i="1"/>
  <c r="W24" i="1"/>
  <c r="V24" i="1"/>
  <c r="T24" i="1"/>
  <c r="S24" i="1"/>
  <c r="R24" i="1"/>
  <c r="Q24" i="1"/>
  <c r="O24" i="1"/>
  <c r="N24" i="1"/>
  <c r="M24" i="1"/>
  <c r="L24" i="1"/>
  <c r="J24" i="1"/>
  <c r="I24" i="1"/>
  <c r="H24" i="1"/>
  <c r="G24" i="1"/>
  <c r="E24" i="1"/>
  <c r="D24" i="1"/>
  <c r="C24" i="1"/>
  <c r="B24" i="1"/>
  <c r="Y23" i="1"/>
  <c r="X23" i="1"/>
  <c r="W23" i="1"/>
  <c r="V23" i="1"/>
  <c r="T23" i="1"/>
  <c r="S23" i="1"/>
  <c r="R23" i="1"/>
  <c r="Q23" i="1"/>
  <c r="O23" i="1"/>
  <c r="N23" i="1"/>
  <c r="M23" i="1"/>
  <c r="L23" i="1"/>
  <c r="J23" i="1"/>
  <c r="I23" i="1"/>
  <c r="H23" i="1"/>
  <c r="G23" i="1"/>
  <c r="D23" i="1"/>
  <c r="C23" i="1"/>
  <c r="B23" i="1"/>
  <c r="Y22" i="1"/>
  <c r="X22" i="1"/>
  <c r="W22" i="1"/>
  <c r="V22" i="1"/>
  <c r="T22" i="1"/>
  <c r="S22" i="1"/>
  <c r="R22" i="1"/>
  <c r="Q22" i="1"/>
  <c r="O22" i="1"/>
  <c r="N22" i="1"/>
  <c r="M22" i="1"/>
  <c r="L22" i="1"/>
  <c r="J22" i="1"/>
  <c r="I22" i="1"/>
  <c r="H22" i="1"/>
  <c r="G22" i="1"/>
  <c r="E22" i="1"/>
  <c r="D22" i="1"/>
  <c r="C22" i="1"/>
  <c r="B22" i="1"/>
  <c r="Y21" i="1"/>
  <c r="X21" i="1"/>
  <c r="W21" i="1"/>
  <c r="V21" i="1"/>
  <c r="T21" i="1"/>
  <c r="S21" i="1"/>
  <c r="R21" i="1"/>
  <c r="Q21" i="1"/>
  <c r="O21" i="1"/>
  <c r="N21" i="1"/>
  <c r="M21" i="1"/>
  <c r="L21" i="1"/>
  <c r="J21" i="1"/>
  <c r="I21" i="1"/>
  <c r="H21" i="1"/>
  <c r="G21" i="1"/>
  <c r="E21" i="1"/>
  <c r="D21" i="1"/>
  <c r="C21" i="1"/>
  <c r="B21" i="1"/>
  <c r="Y20" i="1"/>
  <c r="X20" i="1"/>
  <c r="W20" i="1"/>
  <c r="V20" i="1"/>
  <c r="T20" i="1"/>
  <c r="S20" i="1"/>
  <c r="R20" i="1"/>
  <c r="Q20" i="1"/>
  <c r="O20" i="1"/>
  <c r="N20" i="1"/>
  <c r="M20" i="1"/>
  <c r="L20" i="1"/>
  <c r="J20" i="1"/>
  <c r="I20" i="1"/>
  <c r="H20" i="1"/>
  <c r="G20" i="1"/>
  <c r="E20" i="1"/>
  <c r="D20" i="1"/>
  <c r="C20" i="1"/>
  <c r="B20" i="1"/>
  <c r="Y19" i="1"/>
  <c r="X19" i="1"/>
  <c r="W19" i="1"/>
  <c r="V19" i="1"/>
  <c r="T19" i="1"/>
  <c r="S19" i="1"/>
  <c r="R19" i="1"/>
  <c r="Q19" i="1"/>
  <c r="O19" i="1"/>
  <c r="N19" i="1"/>
  <c r="M19" i="1"/>
  <c r="L19" i="1"/>
  <c r="J19" i="1"/>
  <c r="I19" i="1"/>
  <c r="H19" i="1"/>
  <c r="G19" i="1"/>
  <c r="E19" i="1"/>
  <c r="D19" i="1"/>
  <c r="C19" i="1"/>
  <c r="B19" i="1"/>
  <c r="Y18" i="1"/>
  <c r="X18" i="1"/>
  <c r="W18" i="1"/>
  <c r="V18" i="1"/>
  <c r="T18" i="1"/>
  <c r="S18" i="1"/>
  <c r="R18" i="1"/>
  <c r="Q18" i="1"/>
  <c r="O18" i="1"/>
  <c r="N18" i="1"/>
  <c r="M18" i="1"/>
  <c r="L18" i="1"/>
  <c r="J18" i="1"/>
  <c r="I18" i="1"/>
  <c r="H18" i="1"/>
  <c r="G18" i="1"/>
  <c r="E18" i="1"/>
  <c r="D18" i="1"/>
  <c r="C18" i="1"/>
  <c r="B18" i="1"/>
  <c r="Y17" i="1"/>
  <c r="X17" i="1"/>
  <c r="W17" i="1"/>
  <c r="V17" i="1"/>
  <c r="T17" i="1"/>
  <c r="S17" i="1"/>
  <c r="R17" i="1"/>
  <c r="Q17" i="1"/>
  <c r="O17" i="1"/>
  <c r="N17" i="1"/>
  <c r="M17" i="1"/>
  <c r="L17" i="1"/>
  <c r="J17" i="1"/>
  <c r="I17" i="1"/>
  <c r="H17" i="1"/>
  <c r="G17" i="1"/>
  <c r="E17" i="1"/>
  <c r="D17" i="1"/>
  <c r="C17" i="1"/>
  <c r="B17" i="1"/>
  <c r="Y16" i="1"/>
  <c r="X16" i="1"/>
  <c r="W16" i="1"/>
  <c r="V16" i="1"/>
  <c r="T16" i="1"/>
  <c r="S16" i="1"/>
  <c r="R16" i="1"/>
  <c r="Q16" i="1"/>
  <c r="O16" i="1"/>
  <c r="N16" i="1"/>
  <c r="M16" i="1"/>
  <c r="L16" i="1"/>
  <c r="J16" i="1"/>
  <c r="I16" i="1"/>
  <c r="H16" i="1"/>
  <c r="G16" i="1"/>
  <c r="E16" i="1"/>
  <c r="D16" i="1"/>
  <c r="C16" i="1"/>
  <c r="B16" i="1"/>
  <c r="V15" i="1"/>
  <c r="Q15" i="1"/>
  <c r="L15" i="1"/>
  <c r="G15" i="1"/>
  <c r="B15" i="1"/>
  <c r="E12" i="1"/>
  <c r="D12" i="1"/>
  <c r="C12" i="1"/>
  <c r="B12" i="1"/>
  <c r="J11" i="1"/>
  <c r="I11" i="1"/>
  <c r="H11" i="1"/>
  <c r="G11" i="1"/>
  <c r="E11" i="1"/>
  <c r="D11" i="1"/>
  <c r="C11" i="1"/>
  <c r="B11" i="1"/>
  <c r="J10" i="1"/>
  <c r="I10" i="1"/>
  <c r="H10" i="1"/>
  <c r="G10" i="1"/>
  <c r="E10" i="1"/>
  <c r="D10" i="1"/>
  <c r="C10" i="1"/>
  <c r="B10" i="1"/>
  <c r="J9" i="1"/>
  <c r="I9" i="1"/>
  <c r="H9" i="1"/>
  <c r="G9" i="1"/>
  <c r="E9" i="1"/>
  <c r="D9" i="1"/>
  <c r="C9" i="1"/>
  <c r="B9" i="1"/>
  <c r="Y8" i="1"/>
  <c r="X8" i="1"/>
  <c r="W8" i="1"/>
  <c r="V8" i="1"/>
  <c r="O8" i="1"/>
  <c r="N8" i="1"/>
  <c r="M8" i="1"/>
  <c r="L8" i="1"/>
  <c r="J8" i="1"/>
  <c r="I8" i="1"/>
  <c r="H8" i="1"/>
  <c r="G8" i="1"/>
  <c r="E8" i="1"/>
  <c r="D8" i="1"/>
  <c r="C8" i="1"/>
  <c r="B8" i="1"/>
  <c r="Y7" i="1"/>
  <c r="X7" i="1"/>
  <c r="W7" i="1"/>
  <c r="V7" i="1"/>
  <c r="O7" i="1"/>
  <c r="N7" i="1"/>
  <c r="M7" i="1"/>
  <c r="L7" i="1"/>
  <c r="J7" i="1"/>
  <c r="I7" i="1"/>
  <c r="H7" i="1"/>
  <c r="G7" i="1"/>
  <c r="E7" i="1"/>
  <c r="D7" i="1"/>
  <c r="C7" i="1"/>
  <c r="B7" i="1"/>
  <c r="Y6" i="1"/>
  <c r="X6" i="1"/>
  <c r="W6" i="1"/>
  <c r="V6" i="1"/>
  <c r="O6" i="1"/>
  <c r="N6" i="1"/>
  <c r="M6" i="1"/>
  <c r="L6" i="1"/>
  <c r="J6" i="1"/>
  <c r="I6" i="1"/>
  <c r="H6" i="1"/>
  <c r="G6" i="1"/>
  <c r="E6" i="1"/>
  <c r="D6" i="1"/>
  <c r="C6" i="1"/>
  <c r="B6" i="1"/>
  <c r="Y5" i="1"/>
  <c r="X5" i="1"/>
  <c r="W5" i="1"/>
  <c r="V5" i="1"/>
  <c r="O5" i="1"/>
  <c r="N5" i="1"/>
  <c r="M5" i="1"/>
  <c r="L5" i="1"/>
  <c r="J5" i="1"/>
  <c r="I5" i="1"/>
  <c r="H5" i="1"/>
  <c r="G5" i="1"/>
  <c r="E5" i="1"/>
  <c r="D5" i="1"/>
  <c r="C5" i="1"/>
  <c r="B5" i="1"/>
  <c r="Y4" i="1"/>
  <c r="X4" i="1"/>
  <c r="W4" i="1"/>
  <c r="V4" i="1"/>
  <c r="O4" i="1"/>
  <c r="N4" i="1"/>
  <c r="M4" i="1"/>
  <c r="L4" i="1"/>
  <c r="J4" i="1"/>
  <c r="I4" i="1"/>
  <c r="H4" i="1"/>
  <c r="G4" i="1"/>
  <c r="D4" i="1"/>
  <c r="C4" i="1"/>
  <c r="B4" i="1"/>
  <c r="Y3" i="1"/>
  <c r="X3" i="1"/>
  <c r="W3" i="1"/>
  <c r="V3" i="1"/>
  <c r="O3" i="1"/>
  <c r="N3" i="1"/>
  <c r="M3" i="1"/>
  <c r="L3" i="1"/>
  <c r="J3" i="1"/>
  <c r="I3" i="1"/>
  <c r="H3" i="1"/>
  <c r="G3" i="1"/>
  <c r="E3" i="1"/>
  <c r="D3" i="1"/>
  <c r="C3" i="1"/>
  <c r="B3" i="1"/>
  <c r="V2" i="1"/>
  <c r="Q2" i="1"/>
  <c r="L2" i="1"/>
  <c r="G2" i="1"/>
  <c r="B2" i="1"/>
</calcChain>
</file>

<file path=xl/sharedStrings.xml><?xml version="1.0" encoding="utf-8"?>
<sst xmlns="http://schemas.openxmlformats.org/spreadsheetml/2006/main" count="6" uniqueCount="4">
  <si>
    <t>4 x 400m Relay</t>
  </si>
  <si>
    <t>W</t>
  </si>
  <si>
    <t>MC</t>
  </si>
  <si>
    <t>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</si>
</sst>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1"/>
      <color theme="1"/>
      <name val="Calibri"/>
      <family val="2"/>
      <scheme val="minor"/>
    </font>
    <font>
      <sz val="9"/>
      <color theme="1"/>
      <name val="Arial"/>
      <family val="2"/>
    </font>
    <font>
      <b/>
      <sz val="9"/>
      <color theme="1"/>
      <name val="Arial"/>
      <family val="2"/>
    </font>
    <font>
      <i/>
      <sz val="9"/>
      <color theme="1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</fills>
  <borders count="24">
    <border>
      <left/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/>
      <diagonal/>
    </border>
    <border>
      <left/>
      <right/>
      <top style="hair">
        <color indexed="64"/>
      </top>
      <bottom/>
      <diagonal/>
    </border>
    <border>
      <left/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hair">
        <color indexed="64"/>
      </bottom>
      <diagonal/>
    </border>
    <border>
      <left/>
      <right/>
      <top/>
      <bottom style="hair">
        <color indexed="64"/>
      </bottom>
      <diagonal/>
    </border>
    <border>
      <left/>
      <right style="thin">
        <color indexed="64"/>
      </right>
      <top/>
      <bottom style="hair">
        <color indexed="64"/>
      </bottom>
      <diagonal/>
    </border>
  </borders>
  <cellStyleXfs count="1">
    <xf numFmtId="0" fontId="0" fillId="0" borderId="0"/>
  </cellStyleXfs>
  <cellXfs count="92">
    <xf numFmtId="0" fontId="0" fillId="0" borderId="0" xfId="0"/>
    <xf numFmtId="0" fontId="1" fillId="2" borderId="0" xfId="0" applyFont="1" applyFill="1" applyBorder="1"/>
    <xf numFmtId="0" fontId="1" fillId="2" borderId="0" xfId="0" applyFont="1" applyFill="1" applyAlignment="1">
      <alignment horizontal="left"/>
    </xf>
    <xf numFmtId="0" fontId="1" fillId="2" borderId="0" xfId="0" applyFont="1" applyFill="1"/>
    <xf numFmtId="0" fontId="1" fillId="2" borderId="0" xfId="0" applyFont="1" applyFill="1" applyAlignment="1">
      <alignment horizontal="center"/>
    </xf>
    <xf numFmtId="0" fontId="1" fillId="2" borderId="1" xfId="0" applyFont="1" applyFill="1" applyBorder="1"/>
    <xf numFmtId="20" fontId="2" fillId="3" borderId="2" xfId="0" applyNumberFormat="1" applyFont="1" applyFill="1" applyBorder="1" applyAlignment="1">
      <alignment horizontal="left"/>
    </xf>
    <xf numFmtId="0" fontId="2" fillId="3" borderId="3" xfId="0" applyFont="1" applyFill="1" applyBorder="1"/>
    <xf numFmtId="0" fontId="2" fillId="3" borderId="3" xfId="0" applyFont="1" applyFill="1" applyBorder="1" applyAlignment="1">
      <alignment horizontal="center"/>
    </xf>
    <xf numFmtId="0" fontId="2" fillId="3" borderId="4" xfId="0" applyFont="1" applyFill="1" applyBorder="1"/>
    <xf numFmtId="0" fontId="1" fillId="3" borderId="5" xfId="0" applyFont="1" applyFill="1" applyBorder="1"/>
    <xf numFmtId="0" fontId="1" fillId="3" borderId="5" xfId="0" applyFont="1" applyFill="1" applyBorder="1" applyAlignment="1">
      <alignment horizontal="center"/>
    </xf>
    <xf numFmtId="0" fontId="1" fillId="3" borderId="6" xfId="0" applyFont="1" applyFill="1" applyBorder="1"/>
    <xf numFmtId="20" fontId="2" fillId="3" borderId="7" xfId="0" applyNumberFormat="1" applyFont="1" applyFill="1" applyBorder="1" applyAlignment="1">
      <alignment horizontal="left"/>
    </xf>
    <xf numFmtId="20" fontId="1" fillId="2" borderId="1" xfId="0" applyNumberFormat="1" applyFont="1" applyFill="1" applyBorder="1" applyAlignment="1">
      <alignment horizontal="center"/>
    </xf>
    <xf numFmtId="20" fontId="2" fillId="0" borderId="8" xfId="0" applyNumberFormat="1" applyFont="1" applyFill="1" applyBorder="1" applyAlignment="1">
      <alignment horizontal="center"/>
    </xf>
    <xf numFmtId="20" fontId="2" fillId="0" borderId="9" xfId="0" applyNumberFormat="1" applyFont="1" applyFill="1" applyBorder="1"/>
    <xf numFmtId="20" fontId="2" fillId="0" borderId="9" xfId="0" applyNumberFormat="1" applyFont="1" applyFill="1" applyBorder="1" applyAlignment="1">
      <alignment horizontal="center"/>
    </xf>
    <xf numFmtId="20" fontId="2" fillId="0" borderId="10" xfId="0" applyNumberFormat="1" applyFont="1" applyFill="1" applyBorder="1" applyAlignment="1">
      <alignment horizontal="center"/>
    </xf>
    <xf numFmtId="20" fontId="1" fillId="0" borderId="8" xfId="0" applyNumberFormat="1" applyFont="1" applyFill="1" applyBorder="1" applyAlignment="1">
      <alignment horizontal="center"/>
    </xf>
    <xf numFmtId="20" fontId="1" fillId="0" borderId="9" xfId="0" applyNumberFormat="1" applyFont="1" applyFill="1" applyBorder="1" applyAlignment="1">
      <alignment horizontal="left"/>
    </xf>
    <xf numFmtId="20" fontId="1" fillId="0" borderId="9" xfId="0" applyNumberFormat="1" applyFont="1" applyFill="1" applyBorder="1" applyAlignment="1">
      <alignment horizontal="center"/>
    </xf>
    <xf numFmtId="20" fontId="1" fillId="0" borderId="10" xfId="0" applyNumberFormat="1" applyFont="1" applyFill="1" applyBorder="1" applyAlignment="1">
      <alignment horizontal="center"/>
    </xf>
    <xf numFmtId="20" fontId="1" fillId="3" borderId="8" xfId="0" applyNumberFormat="1" applyFont="1" applyFill="1" applyBorder="1" applyAlignment="1">
      <alignment horizontal="center"/>
    </xf>
    <xf numFmtId="20" fontId="1" fillId="3" borderId="9" xfId="0" applyNumberFormat="1" applyFont="1" applyFill="1" applyBorder="1" applyAlignment="1">
      <alignment horizontal="left"/>
    </xf>
    <xf numFmtId="20" fontId="1" fillId="3" borderId="9" xfId="0" applyNumberFormat="1" applyFont="1" applyFill="1" applyBorder="1" applyAlignment="1">
      <alignment horizontal="center"/>
    </xf>
    <xf numFmtId="20" fontId="1" fillId="3" borderId="10" xfId="0" applyNumberFormat="1" applyFont="1" applyFill="1" applyBorder="1" applyAlignment="1">
      <alignment horizontal="center"/>
    </xf>
    <xf numFmtId="20" fontId="1" fillId="0" borderId="11" xfId="0" applyNumberFormat="1" applyFont="1" applyFill="1" applyBorder="1" applyAlignment="1">
      <alignment horizontal="center"/>
    </xf>
    <xf numFmtId="20" fontId="1" fillId="0" borderId="12" xfId="0" applyNumberFormat="1" applyFont="1" applyFill="1" applyBorder="1" applyAlignment="1">
      <alignment horizontal="left"/>
    </xf>
    <xf numFmtId="20" fontId="1" fillId="0" borderId="12" xfId="0" applyNumberFormat="1" applyFont="1" applyFill="1" applyBorder="1" applyAlignment="1">
      <alignment horizontal="center"/>
    </xf>
    <xf numFmtId="20" fontId="1" fillId="0" borderId="13" xfId="0" applyNumberFormat="1" applyFont="1" applyFill="1" applyBorder="1" applyAlignment="1">
      <alignment horizontal="center"/>
    </xf>
    <xf numFmtId="20" fontId="1" fillId="0" borderId="9" xfId="0" applyNumberFormat="1" applyFont="1" applyFill="1" applyBorder="1"/>
    <xf numFmtId="20" fontId="1" fillId="0" borderId="12" xfId="0" applyNumberFormat="1" applyFont="1" applyFill="1" applyBorder="1"/>
    <xf numFmtId="20" fontId="1" fillId="2" borderId="1" xfId="0" applyNumberFormat="1" applyFont="1" applyFill="1" applyBorder="1"/>
    <xf numFmtId="20" fontId="1" fillId="0" borderId="14" xfId="0" applyNumberFormat="1" applyFont="1" applyFill="1" applyBorder="1" applyAlignment="1">
      <alignment horizontal="center"/>
    </xf>
    <xf numFmtId="20" fontId="1" fillId="0" borderId="15" xfId="0" applyNumberFormat="1" applyFont="1" applyFill="1" applyBorder="1"/>
    <xf numFmtId="20" fontId="1" fillId="0" borderId="15" xfId="0" applyNumberFormat="1" applyFont="1" applyFill="1" applyBorder="1" applyAlignment="1">
      <alignment horizontal="center"/>
    </xf>
    <xf numFmtId="20" fontId="1" fillId="0" borderId="16" xfId="0" applyNumberFormat="1" applyFont="1" applyFill="1" applyBorder="1" applyAlignment="1">
      <alignment horizontal="center"/>
    </xf>
    <xf numFmtId="20" fontId="1" fillId="3" borderId="14" xfId="0" applyNumberFormat="1" applyFont="1" applyFill="1" applyBorder="1" applyAlignment="1">
      <alignment horizontal="center"/>
    </xf>
    <xf numFmtId="20" fontId="1" fillId="3" borderId="15" xfId="0" applyNumberFormat="1" applyFont="1" applyFill="1" applyBorder="1"/>
    <xf numFmtId="20" fontId="1" fillId="3" borderId="15" xfId="0" applyNumberFormat="1" applyFont="1" applyFill="1" applyBorder="1" applyAlignment="1">
      <alignment horizontal="center"/>
    </xf>
    <xf numFmtId="20" fontId="1" fillId="2" borderId="0" xfId="0" applyNumberFormat="1" applyFont="1" applyFill="1" applyBorder="1"/>
    <xf numFmtId="20" fontId="1" fillId="2" borderId="0" xfId="0" applyNumberFormat="1" applyFont="1" applyFill="1" applyBorder="1" applyAlignment="1">
      <alignment horizontal="center"/>
    </xf>
    <xf numFmtId="20" fontId="3" fillId="0" borderId="8" xfId="0" applyNumberFormat="1" applyFont="1" applyFill="1" applyBorder="1" applyAlignment="1">
      <alignment horizontal="center"/>
    </xf>
    <xf numFmtId="20" fontId="3" fillId="0" borderId="9" xfId="0" applyNumberFormat="1" applyFont="1" applyFill="1" applyBorder="1" applyAlignment="1">
      <alignment horizontal="left"/>
    </xf>
    <xf numFmtId="20" fontId="3" fillId="0" borderId="9" xfId="0" applyNumberFormat="1" applyFont="1" applyFill="1" applyBorder="1" applyAlignment="1">
      <alignment horizontal="center"/>
    </xf>
    <xf numFmtId="20" fontId="3" fillId="0" borderId="10" xfId="0" applyNumberFormat="1" applyFont="1" applyFill="1" applyBorder="1" applyAlignment="1">
      <alignment horizontal="center"/>
    </xf>
    <xf numFmtId="20" fontId="3" fillId="0" borderId="11" xfId="0" applyNumberFormat="1" applyFont="1" applyFill="1" applyBorder="1" applyAlignment="1">
      <alignment horizontal="center"/>
    </xf>
    <xf numFmtId="20" fontId="3" fillId="0" borderId="12" xfId="0" applyNumberFormat="1" applyFont="1" applyFill="1" applyBorder="1" applyAlignment="1">
      <alignment horizontal="left"/>
    </xf>
    <xf numFmtId="20" fontId="3" fillId="0" borderId="12" xfId="0" applyNumberFormat="1" applyFont="1" applyFill="1" applyBorder="1" applyAlignment="1">
      <alignment horizontal="center"/>
    </xf>
    <xf numFmtId="20" fontId="3" fillId="0" borderId="13" xfId="0" applyNumberFormat="1" applyFont="1" applyFill="1" applyBorder="1" applyAlignment="1">
      <alignment horizontal="center"/>
    </xf>
    <xf numFmtId="20" fontId="2" fillId="2" borderId="1" xfId="0" applyNumberFormat="1" applyFont="1" applyFill="1" applyBorder="1" applyAlignment="1">
      <alignment horizontal="center"/>
    </xf>
    <xf numFmtId="20" fontId="2" fillId="0" borderId="9" xfId="0" applyNumberFormat="1" applyFont="1" applyFill="1" applyBorder="1" applyAlignment="1">
      <alignment horizontal="left"/>
    </xf>
    <xf numFmtId="20" fontId="2" fillId="0" borderId="11" xfId="0" applyNumberFormat="1" applyFont="1" applyFill="1" applyBorder="1" applyAlignment="1">
      <alignment horizontal="center"/>
    </xf>
    <xf numFmtId="20" fontId="2" fillId="0" borderId="12" xfId="0" applyNumberFormat="1" applyFont="1" applyFill="1" applyBorder="1" applyAlignment="1">
      <alignment horizontal="left"/>
    </xf>
    <xf numFmtId="20" fontId="2" fillId="0" borderId="12" xfId="0" applyNumberFormat="1" applyFont="1" applyFill="1" applyBorder="1" applyAlignment="1">
      <alignment horizontal="center"/>
    </xf>
    <xf numFmtId="20" fontId="2" fillId="0" borderId="13" xfId="0" applyNumberFormat="1" applyFont="1" applyFill="1" applyBorder="1" applyAlignment="1">
      <alignment horizontal="center"/>
    </xf>
    <xf numFmtId="20" fontId="3" fillId="2" borderId="1" xfId="0" applyNumberFormat="1" applyFont="1" applyFill="1" applyBorder="1" applyAlignment="1">
      <alignment horizontal="center"/>
    </xf>
    <xf numFmtId="20" fontId="1" fillId="0" borderId="18" xfId="0" applyNumberFormat="1" applyFont="1" applyFill="1" applyBorder="1" applyAlignment="1">
      <alignment horizontal="center"/>
    </xf>
    <xf numFmtId="20" fontId="1" fillId="0" borderId="19" xfId="0" applyNumberFormat="1" applyFont="1" applyFill="1" applyBorder="1"/>
    <xf numFmtId="20" fontId="1" fillId="0" borderId="19" xfId="0" applyNumberFormat="1" applyFont="1" applyFill="1" applyBorder="1" applyAlignment="1">
      <alignment horizontal="center"/>
    </xf>
    <xf numFmtId="20" fontId="1" fillId="0" borderId="20" xfId="0" applyNumberFormat="1" applyFont="1" applyFill="1" applyBorder="1" applyAlignment="1">
      <alignment horizontal="center"/>
    </xf>
    <xf numFmtId="20" fontId="1" fillId="0" borderId="19" xfId="0" applyNumberFormat="1" applyFont="1" applyFill="1" applyBorder="1" applyAlignment="1">
      <alignment horizontal="left"/>
    </xf>
    <xf numFmtId="20" fontId="3" fillId="2" borderId="0" xfId="0" applyNumberFormat="1" applyFont="1" applyFill="1" applyBorder="1" applyAlignment="1">
      <alignment horizontal="center"/>
    </xf>
    <xf numFmtId="20" fontId="1" fillId="2" borderId="0" xfId="0" applyNumberFormat="1" applyFont="1" applyFill="1" applyBorder="1" applyAlignment="1">
      <alignment horizontal="left"/>
    </xf>
    <xf numFmtId="20" fontId="3" fillId="2" borderId="0" xfId="0" applyNumberFormat="1" applyFont="1" applyFill="1" applyBorder="1" applyAlignment="1">
      <alignment horizontal="left"/>
    </xf>
    <xf numFmtId="20" fontId="3" fillId="2" borderId="0" xfId="0" applyNumberFormat="1" applyFont="1" applyFill="1" applyBorder="1"/>
    <xf numFmtId="0" fontId="1" fillId="3" borderId="3" xfId="0" applyFont="1" applyFill="1" applyBorder="1"/>
    <xf numFmtId="0" fontId="1" fillId="3" borderId="3" xfId="0" applyFont="1" applyFill="1" applyBorder="1" applyAlignment="1">
      <alignment horizontal="center"/>
    </xf>
    <xf numFmtId="0" fontId="1" fillId="3" borderId="4" xfId="0" applyFont="1" applyFill="1" applyBorder="1"/>
    <xf numFmtId="20" fontId="2" fillId="2" borderId="0" xfId="0" applyNumberFormat="1" applyFont="1" applyFill="1" applyBorder="1" applyAlignment="1">
      <alignment horizontal="left"/>
    </xf>
    <xf numFmtId="0" fontId="1" fillId="2" borderId="0" xfId="0" applyFont="1" applyFill="1" applyBorder="1" applyAlignment="1">
      <alignment horizontal="center"/>
    </xf>
    <xf numFmtId="20" fontId="1" fillId="0" borderId="21" xfId="0" applyNumberFormat="1" applyFont="1" applyFill="1" applyBorder="1" applyAlignment="1">
      <alignment horizontal="center"/>
    </xf>
    <xf numFmtId="20" fontId="1" fillId="0" borderId="22" xfId="0" applyNumberFormat="1" applyFont="1" applyFill="1" applyBorder="1"/>
    <xf numFmtId="20" fontId="1" fillId="0" borderId="22" xfId="0" applyNumberFormat="1" applyFont="1" applyFill="1" applyBorder="1" applyAlignment="1">
      <alignment horizontal="center"/>
    </xf>
    <xf numFmtId="20" fontId="1" fillId="0" borderId="23" xfId="0" applyNumberFormat="1" applyFont="1" applyFill="1" applyBorder="1" applyAlignment="1">
      <alignment horizontal="center"/>
    </xf>
    <xf numFmtId="20" fontId="1" fillId="0" borderId="17" xfId="0" applyNumberFormat="1" applyFont="1" applyFill="1" applyBorder="1" applyAlignment="1">
      <alignment horizontal="center"/>
    </xf>
    <xf numFmtId="20" fontId="1" fillId="0" borderId="0" xfId="0" applyNumberFormat="1" applyFont="1" applyFill="1" applyBorder="1"/>
    <xf numFmtId="20" fontId="1" fillId="0" borderId="0" xfId="0" applyNumberFormat="1" applyFont="1" applyFill="1" applyBorder="1" applyAlignment="1">
      <alignment horizontal="center"/>
    </xf>
    <xf numFmtId="20" fontId="1" fillId="0" borderId="1" xfId="0" applyNumberFormat="1" applyFont="1" applyFill="1" applyBorder="1" applyAlignment="1">
      <alignment horizontal="center"/>
    </xf>
    <xf numFmtId="20" fontId="3" fillId="0" borderId="21" xfId="0" applyNumberFormat="1" applyFont="1" applyFill="1" applyBorder="1" applyAlignment="1">
      <alignment horizontal="center"/>
    </xf>
    <xf numFmtId="20" fontId="3" fillId="0" borderId="22" xfId="0" applyNumberFormat="1" applyFont="1" applyFill="1" applyBorder="1"/>
    <xf numFmtId="20" fontId="3" fillId="0" borderId="22" xfId="0" applyNumberFormat="1" applyFont="1" applyFill="1" applyBorder="1" applyAlignment="1">
      <alignment horizontal="center"/>
    </xf>
    <xf numFmtId="20" fontId="3" fillId="0" borderId="23" xfId="0" applyNumberFormat="1" applyFont="1" applyFill="1" applyBorder="1" applyAlignment="1">
      <alignment horizontal="center"/>
    </xf>
    <xf numFmtId="20" fontId="2" fillId="0" borderId="21" xfId="0" applyNumberFormat="1" applyFont="1" applyFill="1" applyBorder="1" applyAlignment="1">
      <alignment horizontal="center"/>
    </xf>
    <xf numFmtId="20" fontId="2" fillId="0" borderId="22" xfId="0" applyNumberFormat="1" applyFont="1" applyFill="1" applyBorder="1"/>
    <xf numFmtId="20" fontId="2" fillId="0" borderId="22" xfId="0" applyNumberFormat="1" applyFont="1" applyFill="1" applyBorder="1" applyAlignment="1">
      <alignment horizontal="center"/>
    </xf>
    <xf numFmtId="20" fontId="2" fillId="0" borderId="23" xfId="0" applyNumberFormat="1" applyFont="1" applyFill="1" applyBorder="1" applyAlignment="1">
      <alignment horizontal="center"/>
    </xf>
    <xf numFmtId="0" fontId="1" fillId="0" borderId="18" xfId="0" applyFont="1" applyFill="1" applyBorder="1" applyAlignment="1">
      <alignment horizontal="left"/>
    </xf>
    <xf numFmtId="0" fontId="1" fillId="0" borderId="19" xfId="0" applyFont="1" applyFill="1" applyBorder="1"/>
    <xf numFmtId="0" fontId="1" fillId="0" borderId="19" xfId="0" applyFont="1" applyFill="1" applyBorder="1" applyAlignment="1">
      <alignment horizontal="center"/>
    </xf>
    <xf numFmtId="0" fontId="1" fillId="0" borderId="20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cdomine\AppData\Local\Microsoft\Windows\Temporary%20Internet%20Files\Content.Outlook\QRGLAR3E\Copy%20of%20Beijing2015WCH%20Timetable%20Final%20Proposal%2031%20Mar'14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1Sa a "/>
      <sheetName val="1Sa p"/>
      <sheetName val="2Su a"/>
      <sheetName val="2Su p"/>
      <sheetName val="3M a"/>
      <sheetName val="3M p"/>
      <sheetName val="4Tu a"/>
      <sheetName val="4Tu p"/>
      <sheetName val="5W a"/>
      <sheetName val="5W p"/>
      <sheetName val="6Th a"/>
      <sheetName val="6Th p"/>
      <sheetName val="7F a"/>
      <sheetName val="7F p"/>
      <sheetName val="8Sa a"/>
      <sheetName val="8Sa p"/>
      <sheetName val="9Su a"/>
      <sheetName val="9Su p"/>
      <sheetName val="Sum."/>
      <sheetName val="Events_List"/>
      <sheetName val="Layout"/>
      <sheetName val="Distr."/>
      <sheetName val="Struct."/>
      <sheetName val="Qual."/>
    </sheetNames>
    <sheetDataSet>
      <sheetData sheetId="0">
        <row r="1">
          <cell r="A1" t="str">
            <v>DAY 1 - Saturday, Morning, 22 August</v>
          </cell>
        </row>
        <row r="25">
          <cell r="A25">
            <v>0.31597222222222221</v>
          </cell>
          <cell r="D25" t="str">
            <v>Marathon</v>
          </cell>
          <cell r="K25" t="str">
            <v>M</v>
          </cell>
          <cell r="M25" t="str">
            <v>Final</v>
          </cell>
        </row>
        <row r="26">
          <cell r="A26">
            <v>0.375</v>
          </cell>
          <cell r="D26" t="str">
            <v>100m H Hep</v>
          </cell>
          <cell r="K26" t="str">
            <v>W</v>
          </cell>
        </row>
        <row r="27">
          <cell r="A27">
            <v>0.39583333333333331</v>
          </cell>
          <cell r="D27" t="str">
            <v>Hammer Throw</v>
          </cell>
          <cell r="K27" t="str">
            <v>M</v>
          </cell>
          <cell r="M27" t="str">
            <v>Q A</v>
          </cell>
        </row>
        <row r="28">
          <cell r="A28">
            <v>0.4236111111111111</v>
          </cell>
          <cell r="D28" t="str">
            <v>Shot Put</v>
          </cell>
          <cell r="K28" t="str">
            <v>W</v>
          </cell>
          <cell r="M28" t="str">
            <v>Q A+B</v>
          </cell>
        </row>
        <row r="29">
          <cell r="A29">
            <v>0.43055555555555558</v>
          </cell>
          <cell r="D29" t="str">
            <v>High Jump Hep</v>
          </cell>
          <cell r="K29" t="str">
            <v>W</v>
          </cell>
          <cell r="M29" t="str">
            <v>A+B</v>
          </cell>
        </row>
        <row r="30">
          <cell r="A30">
            <v>0.43402777777777773</v>
          </cell>
          <cell r="D30" t="str">
            <v>3000m SC</v>
          </cell>
          <cell r="K30" t="str">
            <v>M</v>
          </cell>
          <cell r="M30" t="str">
            <v>R1</v>
          </cell>
        </row>
        <row r="31">
          <cell r="A31">
            <v>0.4548611111111111</v>
          </cell>
          <cell r="D31" t="str">
            <v>Hammer Throw</v>
          </cell>
          <cell r="K31" t="str">
            <v>M</v>
          </cell>
          <cell r="M31" t="str">
            <v>Q B</v>
          </cell>
        </row>
        <row r="32">
          <cell r="A32">
            <v>0.46875</v>
          </cell>
          <cell r="D32" t="str">
            <v>1500m</v>
          </cell>
          <cell r="K32" t="str">
            <v>W</v>
          </cell>
          <cell r="M32" t="str">
            <v>R1</v>
          </cell>
        </row>
        <row r="33">
          <cell r="A33">
            <v>0.49305555555555558</v>
          </cell>
          <cell r="D33" t="str">
            <v>800m</v>
          </cell>
          <cell r="K33" t="str">
            <v>M</v>
          </cell>
          <cell r="M33" t="str">
            <v>R1</v>
          </cell>
        </row>
        <row r="34">
          <cell r="A34">
            <v>0.52777777777777779</v>
          </cell>
          <cell r="D34" t="str">
            <v>100m</v>
          </cell>
          <cell r="K34" t="str">
            <v>M</v>
          </cell>
          <cell r="M34" t="str">
            <v>Prelim.</v>
          </cell>
        </row>
      </sheetData>
      <sheetData sheetId="1">
        <row r="1">
          <cell r="A1" t="str">
            <v>DAY 1 - Saturday, Evening, 22 August</v>
          </cell>
        </row>
        <row r="25">
          <cell r="A25">
            <v>0.76388888888888884</v>
          </cell>
          <cell r="D25" t="str">
            <v>Marathon</v>
          </cell>
          <cell r="K25" t="str">
            <v>M</v>
          </cell>
          <cell r="M25" t="str">
            <v>MC</v>
          </cell>
        </row>
        <row r="26">
          <cell r="A26">
            <v>0.77083333333333326</v>
          </cell>
          <cell r="D26" t="str">
            <v>Shot Put Hep</v>
          </cell>
          <cell r="K26" t="str">
            <v>W</v>
          </cell>
          <cell r="M26" t="str">
            <v>A+B</v>
          </cell>
        </row>
        <row r="27">
          <cell r="A27">
            <v>0.77430555555555547</v>
          </cell>
          <cell r="D27" t="str">
            <v>400m H</v>
          </cell>
          <cell r="K27" t="str">
            <v>M</v>
          </cell>
          <cell r="M27" t="str">
            <v>R1</v>
          </cell>
        </row>
        <row r="28">
          <cell r="A28">
            <v>0.77777777777777779</v>
          </cell>
          <cell r="D28" t="str">
            <v>Pole Vault</v>
          </cell>
          <cell r="K28" t="str">
            <v>M</v>
          </cell>
          <cell r="M28" t="str">
            <v>Q A+B</v>
          </cell>
        </row>
        <row r="29">
          <cell r="A29">
            <v>0.79861111111111116</v>
          </cell>
          <cell r="D29" t="str">
            <v>Triple Jump</v>
          </cell>
          <cell r="K29" t="str">
            <v>W</v>
          </cell>
          <cell r="M29" t="str">
            <v>Q A+B</v>
          </cell>
        </row>
        <row r="30">
          <cell r="A30">
            <v>0.80555555555555547</v>
          </cell>
          <cell r="D30" t="str">
            <v>100m</v>
          </cell>
          <cell r="K30" t="str">
            <v>M</v>
          </cell>
          <cell r="M30" t="str">
            <v>R1</v>
          </cell>
        </row>
        <row r="31">
          <cell r="A31">
            <v>0.83680555555555547</v>
          </cell>
          <cell r="D31" t="str">
            <v>Shot Put</v>
          </cell>
          <cell r="K31" t="str">
            <v>W</v>
          </cell>
          <cell r="M31" t="str">
            <v>Final</v>
          </cell>
        </row>
        <row r="32">
          <cell r="A32">
            <v>0.84375</v>
          </cell>
          <cell r="D32" t="str">
            <v>200m Hep</v>
          </cell>
          <cell r="K32" t="str">
            <v>W</v>
          </cell>
        </row>
        <row r="33">
          <cell r="A33">
            <v>0.86805555555555547</v>
          </cell>
          <cell r="D33" t="str">
            <v>10,000m</v>
          </cell>
          <cell r="K33" t="str">
            <v>M</v>
          </cell>
          <cell r="M33" t="str">
            <v>Final</v>
          </cell>
        </row>
      </sheetData>
      <sheetData sheetId="2">
        <row r="1">
          <cell r="A1" t="str">
            <v>DAY 2 - Sunday, Morning, 23 August</v>
          </cell>
        </row>
        <row r="25">
          <cell r="A25">
            <v>0.35416666666666669</v>
          </cell>
          <cell r="D25" t="str">
            <v>20km Race Walk</v>
          </cell>
          <cell r="K25" t="str">
            <v>M</v>
          </cell>
          <cell r="M25" t="str">
            <v>Final</v>
          </cell>
        </row>
        <row r="26">
          <cell r="A26">
            <v>0.375</v>
          </cell>
          <cell r="D26" t="str">
            <v>Long Jump Hep</v>
          </cell>
          <cell r="K26" t="str">
            <v>W</v>
          </cell>
          <cell r="M26" t="str">
            <v>A+B</v>
          </cell>
        </row>
        <row r="27">
          <cell r="A27">
            <v>0.38194444444444442</v>
          </cell>
          <cell r="D27" t="str">
            <v>100m</v>
          </cell>
          <cell r="K27" t="str">
            <v>W</v>
          </cell>
          <cell r="M27" t="str">
            <v>Prelim.</v>
          </cell>
        </row>
        <row r="28">
          <cell r="A28">
            <v>0.4201388888888889</v>
          </cell>
          <cell r="D28" t="str">
            <v>Shot Put</v>
          </cell>
          <cell r="K28" t="str">
            <v>M</v>
          </cell>
          <cell r="M28" t="str">
            <v>Q A+B</v>
          </cell>
        </row>
        <row r="29">
          <cell r="A29">
            <v>0.43402777777777773</v>
          </cell>
          <cell r="D29" t="str">
            <v>400m H</v>
          </cell>
          <cell r="K29" t="str">
            <v>W</v>
          </cell>
          <cell r="M29" t="str">
            <v>R1</v>
          </cell>
        </row>
        <row r="30">
          <cell r="A30">
            <v>0.4513888888888889</v>
          </cell>
          <cell r="D30" t="str">
            <v>Javelin Throw Hep</v>
          </cell>
          <cell r="K30" t="str">
            <v>W</v>
          </cell>
          <cell r="M30" t="str">
            <v>A</v>
          </cell>
        </row>
        <row r="31">
          <cell r="A31">
            <v>0.46527777777777773</v>
          </cell>
          <cell r="D31" t="str">
            <v>400m</v>
          </cell>
          <cell r="K31" t="str">
            <v>M</v>
          </cell>
          <cell r="M31" t="str">
            <v>R1</v>
          </cell>
        </row>
        <row r="32">
          <cell r="A32">
            <v>0.5</v>
          </cell>
          <cell r="D32" t="str">
            <v>100m</v>
          </cell>
          <cell r="K32" t="str">
            <v>W</v>
          </cell>
          <cell r="M32" t="str">
            <v>R1</v>
          </cell>
        </row>
        <row r="33">
          <cell r="A33">
            <v>0.50347222222222221</v>
          </cell>
          <cell r="D33" t="str">
            <v>Javelin Throw Hep</v>
          </cell>
          <cell r="K33" t="str">
            <v>W</v>
          </cell>
          <cell r="M33" t="str">
            <v>B</v>
          </cell>
        </row>
      </sheetData>
      <sheetData sheetId="3">
        <row r="1">
          <cell r="A1" t="str">
            <v>DAY 2 - Sunday, Evening, 23 August</v>
          </cell>
        </row>
        <row r="25">
          <cell r="A25">
            <v>0.75694444444444453</v>
          </cell>
          <cell r="D25" t="str">
            <v>Shot Put</v>
          </cell>
          <cell r="K25" t="str">
            <v>W</v>
          </cell>
          <cell r="M25" t="str">
            <v>MC</v>
          </cell>
        </row>
        <row r="26">
          <cell r="A26">
            <v>0.76041666666666663</v>
          </cell>
          <cell r="D26" t="str">
            <v>10,000m</v>
          </cell>
          <cell r="K26" t="str">
            <v>M</v>
          </cell>
          <cell r="M26" t="str">
            <v>MC</v>
          </cell>
        </row>
        <row r="27">
          <cell r="A27">
            <v>0.76388888888888884</v>
          </cell>
          <cell r="D27" t="str">
            <v>20km RW</v>
          </cell>
          <cell r="K27" t="str">
            <v>M</v>
          </cell>
          <cell r="M27" t="str">
            <v>MC</v>
          </cell>
        </row>
        <row r="28">
          <cell r="A28">
            <v>0.77083333333333326</v>
          </cell>
          <cell r="D28" t="str">
            <v>Hammer Throw</v>
          </cell>
          <cell r="K28" t="str">
            <v>M</v>
          </cell>
          <cell r="M28" t="str">
            <v>Final</v>
          </cell>
        </row>
        <row r="29">
          <cell r="A29">
            <v>0.77777777777777779</v>
          </cell>
          <cell r="D29" t="str">
            <v>400m H</v>
          </cell>
          <cell r="K29" t="str">
            <v>M</v>
          </cell>
          <cell r="M29" t="str">
            <v>SF</v>
          </cell>
        </row>
        <row r="30">
          <cell r="A30">
            <v>0.79861111111111116</v>
          </cell>
          <cell r="D30" t="str">
            <v>100m</v>
          </cell>
          <cell r="K30" t="str">
            <v>M</v>
          </cell>
          <cell r="M30" t="str">
            <v>SF</v>
          </cell>
        </row>
        <row r="31">
          <cell r="A31">
            <v>0.8125</v>
          </cell>
          <cell r="D31" t="str">
            <v>Shot Put</v>
          </cell>
          <cell r="K31" t="str">
            <v>M</v>
          </cell>
          <cell r="M31" t="str">
            <v>Final</v>
          </cell>
        </row>
        <row r="32">
          <cell r="A32">
            <v>0.81944444444444453</v>
          </cell>
          <cell r="D32" t="str">
            <v>800m Hep</v>
          </cell>
          <cell r="K32" t="str">
            <v>W</v>
          </cell>
          <cell r="M32" t="str">
            <v>Final</v>
          </cell>
        </row>
        <row r="33">
          <cell r="A33">
            <v>0.84375</v>
          </cell>
          <cell r="D33" t="str">
            <v>800m</v>
          </cell>
          <cell r="K33" t="str">
            <v>M</v>
          </cell>
          <cell r="M33" t="str">
            <v>SF</v>
          </cell>
        </row>
        <row r="34">
          <cell r="A34">
            <v>0.86458333333333337</v>
          </cell>
          <cell r="D34" t="str">
            <v>1500m</v>
          </cell>
          <cell r="K34" t="str">
            <v>W</v>
          </cell>
          <cell r="M34" t="str">
            <v>SF</v>
          </cell>
        </row>
        <row r="35">
          <cell r="A35">
            <v>0.87847222222222221</v>
          </cell>
          <cell r="D35" t="str">
            <v>Hammer Throw</v>
          </cell>
          <cell r="K35" t="str">
            <v>M</v>
          </cell>
          <cell r="M35" t="str">
            <v>MC</v>
          </cell>
        </row>
        <row r="36">
          <cell r="A36">
            <v>0.88541666666666663</v>
          </cell>
          <cell r="D36" t="str">
            <v>100m</v>
          </cell>
          <cell r="K36" t="str">
            <v>M</v>
          </cell>
          <cell r="M36" t="str">
            <v>Final</v>
          </cell>
        </row>
      </sheetData>
      <sheetData sheetId="4">
        <row r="1">
          <cell r="A1" t="str">
            <v>DAY 3 - Monday, Morning, 24 August</v>
          </cell>
        </row>
        <row r="25">
          <cell r="A25">
            <v>0.39583333333333331</v>
          </cell>
          <cell r="D25" t="str">
            <v>Pole Vault</v>
          </cell>
          <cell r="K25" t="str">
            <v>W</v>
          </cell>
          <cell r="M25" t="str">
            <v>Q A+B</v>
          </cell>
        </row>
        <row r="26">
          <cell r="A26">
            <v>0.39930555555555558</v>
          </cell>
          <cell r="D26" t="str">
            <v>Discus Throw</v>
          </cell>
          <cell r="K26" t="str">
            <v>W</v>
          </cell>
          <cell r="M26" t="str">
            <v>Q A</v>
          </cell>
        </row>
        <row r="27">
          <cell r="A27">
            <v>0.40625</v>
          </cell>
          <cell r="D27" t="str">
            <v>3000m SC</v>
          </cell>
          <cell r="K27" t="str">
            <v>W</v>
          </cell>
          <cell r="M27" t="str">
            <v>R1</v>
          </cell>
        </row>
        <row r="28">
          <cell r="A28">
            <v>0.41666666666666669</v>
          </cell>
          <cell r="D28" t="str">
            <v>Long Jump</v>
          </cell>
          <cell r="K28" t="str">
            <v>M</v>
          </cell>
          <cell r="M28" t="str">
            <v>Q A+B</v>
          </cell>
        </row>
        <row r="29">
          <cell r="A29">
            <v>0.44791666666666669</v>
          </cell>
          <cell r="D29" t="str">
            <v>400m</v>
          </cell>
          <cell r="K29" t="str">
            <v>W</v>
          </cell>
          <cell r="M29" t="str">
            <v>R1</v>
          </cell>
        </row>
        <row r="30">
          <cell r="A30">
            <v>0.4548611111111111</v>
          </cell>
          <cell r="D30" t="str">
            <v>Discus Throw</v>
          </cell>
          <cell r="K30" t="str">
            <v>W</v>
          </cell>
          <cell r="M30" t="str">
            <v>Q B</v>
          </cell>
        </row>
      </sheetData>
      <sheetData sheetId="5">
        <row r="1">
          <cell r="A1" t="str">
            <v>DAY 3 - Monday, Evening, 24 August</v>
          </cell>
        </row>
        <row r="25">
          <cell r="A25">
            <v>0.7777777777777779</v>
          </cell>
          <cell r="D25" t="str">
            <v>Heptathlon</v>
          </cell>
          <cell r="K25" t="str">
            <v>W</v>
          </cell>
          <cell r="M25" t="str">
            <v>MC</v>
          </cell>
        </row>
        <row r="26">
          <cell r="A26">
            <v>0.78125</v>
          </cell>
          <cell r="D26" t="str">
            <v>Shot Put</v>
          </cell>
          <cell r="K26" t="str">
            <v>M</v>
          </cell>
          <cell r="M26" t="str">
            <v>MC</v>
          </cell>
        </row>
        <row r="27">
          <cell r="A27">
            <v>0.78472222222222221</v>
          </cell>
          <cell r="D27" t="str">
            <v>100m</v>
          </cell>
          <cell r="K27" t="str">
            <v>M</v>
          </cell>
          <cell r="M27" t="str">
            <v>MC</v>
          </cell>
        </row>
        <row r="28">
          <cell r="A28">
            <v>0.79166666666666663</v>
          </cell>
          <cell r="D28" t="str">
            <v>Javelin Throw</v>
          </cell>
          <cell r="K28" t="str">
            <v>M</v>
          </cell>
          <cell r="M28" t="str">
            <v>Q A</v>
          </cell>
        </row>
        <row r="29">
          <cell r="A29">
            <v>0.79513888888888884</v>
          </cell>
          <cell r="D29" t="str">
            <v>Pole Vault</v>
          </cell>
          <cell r="K29" t="str">
            <v>M</v>
          </cell>
          <cell r="M29" t="str">
            <v>Final</v>
          </cell>
        </row>
        <row r="30">
          <cell r="A30">
            <v>0.79861111111111116</v>
          </cell>
          <cell r="D30" t="str">
            <v>400m H</v>
          </cell>
          <cell r="K30" t="str">
            <v>W</v>
          </cell>
          <cell r="M30" t="str">
            <v>SF</v>
          </cell>
        </row>
        <row r="31">
          <cell r="A31">
            <v>0.8125</v>
          </cell>
          <cell r="D31" t="str">
            <v>Triple Jump</v>
          </cell>
          <cell r="K31" t="str">
            <v>W</v>
          </cell>
          <cell r="M31" t="str">
            <v>Final</v>
          </cell>
        </row>
        <row r="32">
          <cell r="A32">
            <v>0.81944444444444453</v>
          </cell>
          <cell r="D32" t="str">
            <v>100m</v>
          </cell>
          <cell r="K32" t="str">
            <v>W</v>
          </cell>
          <cell r="M32" t="str">
            <v>SF</v>
          </cell>
        </row>
        <row r="33">
          <cell r="A33">
            <v>0.83680555555555558</v>
          </cell>
          <cell r="D33" t="str">
            <v>400m</v>
          </cell>
          <cell r="K33" t="str">
            <v>M</v>
          </cell>
          <cell r="M33" t="str">
            <v>SF</v>
          </cell>
        </row>
        <row r="34">
          <cell r="A34">
            <v>0.85069444444444453</v>
          </cell>
          <cell r="D34" t="str">
            <v>Javelin Throw</v>
          </cell>
          <cell r="K34" t="str">
            <v>M</v>
          </cell>
          <cell r="M34" t="str">
            <v>Q B</v>
          </cell>
        </row>
        <row r="35">
          <cell r="A35">
            <v>0.85763888888888884</v>
          </cell>
          <cell r="D35" t="str">
            <v>10,000m</v>
          </cell>
          <cell r="K35" t="str">
            <v>W</v>
          </cell>
          <cell r="M35" t="str">
            <v>Final</v>
          </cell>
        </row>
        <row r="36">
          <cell r="A36">
            <v>0.88541666666666674</v>
          </cell>
          <cell r="D36" t="str">
            <v>3000m SC</v>
          </cell>
          <cell r="K36" t="str">
            <v>M</v>
          </cell>
          <cell r="M36" t="str">
            <v>Final</v>
          </cell>
        </row>
        <row r="37">
          <cell r="A37">
            <v>0.89375000000000004</v>
          </cell>
          <cell r="D37" t="str">
            <v>Triple Jump</v>
          </cell>
          <cell r="K37" t="str">
            <v>W</v>
          </cell>
          <cell r="M37" t="str">
            <v>MC</v>
          </cell>
        </row>
        <row r="38">
          <cell r="A38">
            <v>0.89930555555555558</v>
          </cell>
          <cell r="D38" t="str">
            <v>100m</v>
          </cell>
          <cell r="K38" t="str">
            <v>W</v>
          </cell>
          <cell r="M38" t="str">
            <v>Final</v>
          </cell>
        </row>
      </sheetData>
      <sheetData sheetId="6">
        <row r="1">
          <cell r="A1" t="str">
            <v>DAY 4 - Tuesday, Morning, 25 August</v>
          </cell>
        </row>
      </sheetData>
      <sheetData sheetId="7">
        <row r="1">
          <cell r="A1" t="str">
            <v>DAY 4 - Tuesday, Evening, 25 August</v>
          </cell>
        </row>
        <row r="25">
          <cell r="A25">
            <v>0.77430555555555558</v>
          </cell>
          <cell r="D25" t="str">
            <v>Pole Vault</v>
          </cell>
          <cell r="K25" t="str">
            <v>M</v>
          </cell>
          <cell r="M25" t="str">
            <v>MC</v>
          </cell>
        </row>
        <row r="26">
          <cell r="A26">
            <v>0.7777777777777779</v>
          </cell>
          <cell r="D26" t="str">
            <v>10,000m</v>
          </cell>
          <cell r="K26" t="str">
            <v>W</v>
          </cell>
          <cell r="M26" t="str">
            <v>MC</v>
          </cell>
        </row>
        <row r="27">
          <cell r="A27">
            <v>0.78125</v>
          </cell>
          <cell r="D27" t="str">
            <v>3000m SC</v>
          </cell>
          <cell r="K27" t="str">
            <v>M</v>
          </cell>
          <cell r="M27" t="str">
            <v>MC</v>
          </cell>
        </row>
        <row r="28">
          <cell r="A28">
            <v>0.78472222222222221</v>
          </cell>
          <cell r="D28" t="str">
            <v>100m</v>
          </cell>
          <cell r="K28" t="str">
            <v>W</v>
          </cell>
          <cell r="M28" t="str">
            <v>MC</v>
          </cell>
        </row>
        <row r="29">
          <cell r="A29">
            <v>0.79166666666666674</v>
          </cell>
          <cell r="D29" t="str">
            <v>Discus Throw</v>
          </cell>
          <cell r="K29" t="str">
            <v xml:space="preserve">W </v>
          </cell>
          <cell r="M29" t="str">
            <v>Final</v>
          </cell>
        </row>
        <row r="30">
          <cell r="A30">
            <v>0.79513888888888884</v>
          </cell>
          <cell r="D30" t="str">
            <v>400m</v>
          </cell>
          <cell r="K30" t="str">
            <v>W</v>
          </cell>
          <cell r="M30" t="str">
            <v>SF</v>
          </cell>
        </row>
        <row r="31">
          <cell r="A31">
            <v>0.8090277777777779</v>
          </cell>
          <cell r="D31" t="str">
            <v>Long Jump</v>
          </cell>
          <cell r="K31" t="str">
            <v>M</v>
          </cell>
          <cell r="M31" t="str">
            <v>Final</v>
          </cell>
        </row>
        <row r="32">
          <cell r="A32">
            <v>0.81944444444444453</v>
          </cell>
          <cell r="D32" t="str">
            <v>200m</v>
          </cell>
          <cell r="K32" t="str">
            <v>M</v>
          </cell>
          <cell r="M32" t="str">
            <v>R1</v>
          </cell>
        </row>
        <row r="33">
          <cell r="A33">
            <v>0.85763888888888884</v>
          </cell>
          <cell r="D33" t="str">
            <v>400m H</v>
          </cell>
          <cell r="K33" t="str">
            <v>M</v>
          </cell>
          <cell r="M33" t="str">
            <v>Final</v>
          </cell>
        </row>
        <row r="34">
          <cell r="A34">
            <v>0.8715277777777779</v>
          </cell>
          <cell r="D34" t="str">
            <v>1500m</v>
          </cell>
          <cell r="K34" t="str">
            <v>W</v>
          </cell>
          <cell r="M34" t="str">
            <v>Final</v>
          </cell>
        </row>
        <row r="35">
          <cell r="A35">
            <v>0.87638888888888899</v>
          </cell>
          <cell r="D35" t="str">
            <v>Discus Throw</v>
          </cell>
          <cell r="K35" t="str">
            <v>W</v>
          </cell>
          <cell r="M35" t="str">
            <v>MC</v>
          </cell>
        </row>
        <row r="36">
          <cell r="A36">
            <v>0.88194444444444453</v>
          </cell>
          <cell r="D36" t="str">
            <v>800m</v>
          </cell>
          <cell r="K36" t="str">
            <v>M</v>
          </cell>
          <cell r="M36" t="str">
            <v>Final</v>
          </cell>
        </row>
      </sheetData>
      <sheetData sheetId="8">
        <row r="1">
          <cell r="A1" t="str">
            <v>DAY 5 - Wednesday, Morning, 26 August</v>
          </cell>
        </row>
        <row r="25">
          <cell r="A25">
            <v>0.39583333333333331</v>
          </cell>
          <cell r="D25" t="str">
            <v>Hammer Throw</v>
          </cell>
          <cell r="K25" t="str">
            <v>W</v>
          </cell>
          <cell r="M25" t="str">
            <v>Q A</v>
          </cell>
        </row>
        <row r="26">
          <cell r="A26">
            <v>0.39930555555555558</v>
          </cell>
          <cell r="D26" t="str">
            <v>5000m</v>
          </cell>
          <cell r="K26" t="str">
            <v>M</v>
          </cell>
          <cell r="M26" t="str">
            <v>R1</v>
          </cell>
        </row>
        <row r="27">
          <cell r="A27">
            <v>0.41666666666666669</v>
          </cell>
          <cell r="D27" t="str">
            <v>Triple Jump</v>
          </cell>
          <cell r="K27" t="str">
            <v>M</v>
          </cell>
          <cell r="M27" t="str">
            <v>Q A+B</v>
          </cell>
        </row>
        <row r="28">
          <cell r="A28">
            <v>0.43402777777777773</v>
          </cell>
          <cell r="D28" t="str">
            <v>800m</v>
          </cell>
          <cell r="K28" t="str">
            <v>W</v>
          </cell>
          <cell r="M28" t="str">
            <v>R1</v>
          </cell>
        </row>
        <row r="29">
          <cell r="A29">
            <v>0.4548611111111111</v>
          </cell>
          <cell r="D29" t="str">
            <v>Hammer Throw</v>
          </cell>
          <cell r="K29" t="str">
            <v>W</v>
          </cell>
          <cell r="M29" t="str">
            <v>Q B</v>
          </cell>
        </row>
        <row r="30">
          <cell r="A30">
            <v>0.47222222222222227</v>
          </cell>
          <cell r="D30" t="str">
            <v>110m H</v>
          </cell>
          <cell r="K30" t="str">
            <v>M</v>
          </cell>
          <cell r="M30" t="str">
            <v>R1</v>
          </cell>
        </row>
      </sheetData>
      <sheetData sheetId="9">
        <row r="1">
          <cell r="A1" t="str">
            <v>DAY 5 - Wednesday Evening, 26 August</v>
          </cell>
        </row>
        <row r="25">
          <cell r="A25">
            <v>0.77430555555555558</v>
          </cell>
          <cell r="D25" t="str">
            <v>1500m</v>
          </cell>
          <cell r="K25" t="str">
            <v>W</v>
          </cell>
          <cell r="M25" t="str">
            <v>MC</v>
          </cell>
        </row>
        <row r="26">
          <cell r="A26">
            <v>0.7777777777777779</v>
          </cell>
          <cell r="D26" t="str">
            <v>400m H</v>
          </cell>
          <cell r="K26" t="str">
            <v>M</v>
          </cell>
          <cell r="M26" t="str">
            <v>MC</v>
          </cell>
        </row>
        <row r="27">
          <cell r="A27">
            <v>0.78125</v>
          </cell>
          <cell r="D27" t="str">
            <v>Long Jump</v>
          </cell>
          <cell r="K27" t="str">
            <v>M</v>
          </cell>
          <cell r="M27" t="str">
            <v>MC</v>
          </cell>
        </row>
        <row r="28">
          <cell r="A28">
            <v>0.78472222222222221</v>
          </cell>
          <cell r="D28" t="str">
            <v>800m</v>
          </cell>
          <cell r="K28" t="str">
            <v>M</v>
          </cell>
          <cell r="M28" t="str">
            <v>MC</v>
          </cell>
        </row>
        <row r="29">
          <cell r="A29">
            <v>0.79166666666666663</v>
          </cell>
          <cell r="D29" t="str">
            <v>Pole Vault</v>
          </cell>
          <cell r="K29" t="str">
            <v>W</v>
          </cell>
          <cell r="M29" t="str">
            <v>Final</v>
          </cell>
        </row>
        <row r="30">
          <cell r="A30">
            <v>0.79513888888888884</v>
          </cell>
          <cell r="D30" t="str">
            <v>Javelin Throw</v>
          </cell>
          <cell r="K30" t="str">
            <v>M</v>
          </cell>
          <cell r="M30" t="str">
            <v>Final</v>
          </cell>
        </row>
        <row r="31">
          <cell r="A31">
            <v>0.80208333333333337</v>
          </cell>
          <cell r="D31" t="str">
            <v>200m</v>
          </cell>
          <cell r="K31" t="str">
            <v>W</v>
          </cell>
          <cell r="M31" t="str">
            <v>R1</v>
          </cell>
        </row>
        <row r="32">
          <cell r="A32">
            <v>0.8402777777777779</v>
          </cell>
          <cell r="D32" t="str">
            <v>400m H</v>
          </cell>
          <cell r="K32" t="str">
            <v>W</v>
          </cell>
          <cell r="M32" t="str">
            <v>Final</v>
          </cell>
        </row>
        <row r="33">
          <cell r="A33">
            <v>0.85416666666666674</v>
          </cell>
          <cell r="D33" t="str">
            <v>200m</v>
          </cell>
          <cell r="K33" t="str">
            <v>M</v>
          </cell>
          <cell r="M33" t="str">
            <v>SF</v>
          </cell>
        </row>
        <row r="34">
          <cell r="A34">
            <v>0.875</v>
          </cell>
          <cell r="D34" t="str">
            <v>3000m SC</v>
          </cell>
          <cell r="K34" t="str">
            <v>W</v>
          </cell>
          <cell r="M34" t="str">
            <v>Final</v>
          </cell>
        </row>
        <row r="35">
          <cell r="A35">
            <v>0.88402777777777775</v>
          </cell>
          <cell r="D35" t="str">
            <v>400m H</v>
          </cell>
          <cell r="K35" t="str">
            <v>W</v>
          </cell>
          <cell r="M35" t="str">
            <v>MC</v>
          </cell>
        </row>
        <row r="36">
          <cell r="A36">
            <v>0.89236111111111116</v>
          </cell>
          <cell r="D36" t="str">
            <v>400m</v>
          </cell>
          <cell r="K36" t="str">
            <v>M</v>
          </cell>
          <cell r="M36" t="str">
            <v>Final</v>
          </cell>
        </row>
      </sheetData>
      <sheetData sheetId="10">
        <row r="1">
          <cell r="A1" t="str">
            <v>DAY 6 - Thursday, Morning, 27 August</v>
          </cell>
        </row>
        <row r="25">
          <cell r="A25">
            <v>0.39583333333333331</v>
          </cell>
          <cell r="D25" t="str">
            <v>Discus Throw</v>
          </cell>
          <cell r="K25" t="str">
            <v>M</v>
          </cell>
          <cell r="M25" t="str">
            <v>Q A</v>
          </cell>
        </row>
        <row r="26">
          <cell r="A26">
            <v>0.39930555555555558</v>
          </cell>
          <cell r="D26" t="str">
            <v>High Jump</v>
          </cell>
          <cell r="K26" t="str">
            <v>W</v>
          </cell>
          <cell r="M26" t="str">
            <v>Q A+B</v>
          </cell>
        </row>
        <row r="27">
          <cell r="A27">
            <v>0.40277777777777773</v>
          </cell>
          <cell r="D27" t="str">
            <v>5000m</v>
          </cell>
          <cell r="K27" t="str">
            <v>W</v>
          </cell>
          <cell r="M27" t="str">
            <v>R1</v>
          </cell>
        </row>
        <row r="28">
          <cell r="A28">
            <v>0.43055555555555558</v>
          </cell>
          <cell r="D28" t="str">
            <v>Long Jump</v>
          </cell>
          <cell r="K28" t="str">
            <v>W</v>
          </cell>
          <cell r="M28" t="str">
            <v>Q A+B</v>
          </cell>
        </row>
        <row r="29">
          <cell r="A29">
            <v>0.44097222222222227</v>
          </cell>
          <cell r="D29" t="str">
            <v>1500m</v>
          </cell>
          <cell r="K29" t="str">
            <v>M</v>
          </cell>
          <cell r="M29" t="str">
            <v>R1</v>
          </cell>
        </row>
        <row r="30">
          <cell r="A30">
            <v>0.4513888888888889</v>
          </cell>
          <cell r="D30" t="str">
            <v>Discus Throw</v>
          </cell>
          <cell r="K30" t="str">
            <v>M</v>
          </cell>
          <cell r="M30" t="str">
            <v>Q B</v>
          </cell>
        </row>
        <row r="31">
          <cell r="A31">
            <v>0.46875</v>
          </cell>
          <cell r="D31" t="str">
            <v>100m H</v>
          </cell>
          <cell r="K31" t="str">
            <v>W</v>
          </cell>
          <cell r="M31" t="str">
            <v>R1</v>
          </cell>
        </row>
      </sheetData>
      <sheetData sheetId="11">
        <row r="1">
          <cell r="A1" t="str">
            <v>DAY 6 - Thursday, Evening, 27 August</v>
          </cell>
        </row>
        <row r="25">
          <cell r="A25">
            <v>0.77430555555555558</v>
          </cell>
          <cell r="D25" t="str">
            <v>Javelin Throw</v>
          </cell>
          <cell r="K25" t="str">
            <v>M</v>
          </cell>
          <cell r="M25" t="str">
            <v>MC</v>
          </cell>
        </row>
        <row r="26">
          <cell r="A26">
            <v>0.7777777777777779</v>
          </cell>
          <cell r="D26" t="str">
            <v>3000m SC</v>
          </cell>
          <cell r="K26" t="str">
            <v>W</v>
          </cell>
          <cell r="M26" t="str">
            <v>MC</v>
          </cell>
        </row>
        <row r="27">
          <cell r="A27">
            <v>0.78125</v>
          </cell>
          <cell r="D27" t="str">
            <v>Pole Vault</v>
          </cell>
          <cell r="K27" t="str">
            <v>W</v>
          </cell>
          <cell r="M27" t="str">
            <v>MC</v>
          </cell>
        </row>
        <row r="28">
          <cell r="A28">
            <v>0.78472222222222221</v>
          </cell>
          <cell r="D28" t="str">
            <v>400m</v>
          </cell>
          <cell r="K28" t="str">
            <v>M</v>
          </cell>
          <cell r="M28" t="str">
            <v>MC</v>
          </cell>
        </row>
        <row r="29">
          <cell r="A29">
            <v>0.79166666666666663</v>
          </cell>
          <cell r="D29" t="str">
            <v>Hammer Throw</v>
          </cell>
          <cell r="K29" t="str">
            <v>W</v>
          </cell>
          <cell r="M29" t="str">
            <v>Final</v>
          </cell>
        </row>
        <row r="30">
          <cell r="A30">
            <v>0.79513888888888884</v>
          </cell>
          <cell r="D30" t="str">
            <v>110m H</v>
          </cell>
          <cell r="K30" t="str">
            <v>M</v>
          </cell>
          <cell r="M30" t="str">
            <v>SF</v>
          </cell>
        </row>
        <row r="31">
          <cell r="A31">
            <v>0.80555555555555558</v>
          </cell>
          <cell r="D31" t="str">
            <v>Triple Jump</v>
          </cell>
          <cell r="K31" t="str">
            <v>M</v>
          </cell>
          <cell r="M31" t="str">
            <v>Final</v>
          </cell>
        </row>
        <row r="32">
          <cell r="A32">
            <v>0.81944444444444453</v>
          </cell>
          <cell r="D32" t="str">
            <v>200m</v>
          </cell>
          <cell r="K32" t="str">
            <v>W</v>
          </cell>
          <cell r="M32" t="str">
            <v>SF</v>
          </cell>
        </row>
        <row r="33">
          <cell r="A33">
            <v>0.84375</v>
          </cell>
          <cell r="D33" t="str">
            <v>800m</v>
          </cell>
          <cell r="K33" t="str">
            <v>W</v>
          </cell>
          <cell r="M33" t="str">
            <v>SF</v>
          </cell>
        </row>
        <row r="34">
          <cell r="A34">
            <v>0.86805555555555558</v>
          </cell>
          <cell r="D34" t="str">
            <v>400m</v>
          </cell>
          <cell r="K34" t="str">
            <v>W</v>
          </cell>
          <cell r="M34" t="str">
            <v>Final</v>
          </cell>
        </row>
        <row r="35">
          <cell r="A35">
            <v>0.8715277777777779</v>
          </cell>
          <cell r="D35" t="str">
            <v>Hammer Throw</v>
          </cell>
          <cell r="K35" t="str">
            <v>W</v>
          </cell>
          <cell r="M35" t="str">
            <v>MC</v>
          </cell>
        </row>
        <row r="36">
          <cell r="A36">
            <v>0.87847222222222221</v>
          </cell>
          <cell r="D36" t="str">
            <v>200m</v>
          </cell>
          <cell r="K36" t="str">
            <v>M</v>
          </cell>
          <cell r="M36" t="str">
            <v>Final</v>
          </cell>
        </row>
      </sheetData>
      <sheetData sheetId="12">
        <row r="1">
          <cell r="A1" t="str">
            <v>DAY 7 - Friday, Morning, 28 August</v>
          </cell>
        </row>
        <row r="25">
          <cell r="A25">
            <v>0.35416666666666669</v>
          </cell>
          <cell r="D25" t="str">
            <v>20km Race Walk</v>
          </cell>
          <cell r="K25" t="str">
            <v>W</v>
          </cell>
          <cell r="M25" t="str">
            <v>Final</v>
          </cell>
        </row>
        <row r="26">
          <cell r="A26">
            <v>0.375</v>
          </cell>
          <cell r="D26" t="str">
            <v>100m Dec</v>
          </cell>
          <cell r="K26" t="str">
            <v>M</v>
          </cell>
        </row>
        <row r="27">
          <cell r="A27">
            <v>0.40625</v>
          </cell>
          <cell r="D27" t="str">
            <v>High Jump</v>
          </cell>
          <cell r="K27" t="str">
            <v>M</v>
          </cell>
          <cell r="M27" t="str">
            <v>Q A+B</v>
          </cell>
        </row>
        <row r="28">
          <cell r="A28">
            <v>0.4201388888888889</v>
          </cell>
          <cell r="D28" t="str">
            <v>Long Jump Dec</v>
          </cell>
          <cell r="K28" t="str">
            <v>M</v>
          </cell>
          <cell r="M28" t="str">
            <v>A+B</v>
          </cell>
        </row>
        <row r="29">
          <cell r="A29">
            <v>0.47222222222222227</v>
          </cell>
          <cell r="D29" t="str">
            <v>20km RW</v>
          </cell>
          <cell r="K29" t="str">
            <v>W</v>
          </cell>
          <cell r="M29" t="str">
            <v>MC</v>
          </cell>
        </row>
        <row r="30">
          <cell r="A30">
            <v>0.49652777777777773</v>
          </cell>
          <cell r="D30" t="str">
            <v>Shot Put Dec</v>
          </cell>
          <cell r="K30" t="str">
            <v>M</v>
          </cell>
          <cell r="M30" t="str">
            <v>A+B</v>
          </cell>
        </row>
      </sheetData>
      <sheetData sheetId="13">
        <row r="1">
          <cell r="A1" t="str">
            <v>DAY 7 - Friday, Evening, 28 August</v>
          </cell>
        </row>
        <row r="25">
          <cell r="A25">
            <v>0.67708333333333337</v>
          </cell>
          <cell r="D25" t="str">
            <v>High Jump Dec</v>
          </cell>
          <cell r="K25" t="str">
            <v xml:space="preserve">M </v>
          </cell>
          <cell r="M25" t="str">
            <v>A+B</v>
          </cell>
        </row>
        <row r="26">
          <cell r="A26">
            <v>0.78125</v>
          </cell>
          <cell r="D26" t="str">
            <v>400m</v>
          </cell>
          <cell r="K26" t="str">
            <v>W</v>
          </cell>
          <cell r="M26" t="str">
            <v>MC</v>
          </cell>
        </row>
        <row r="27">
          <cell r="A27">
            <v>0.78472222222222221</v>
          </cell>
          <cell r="D27" t="str">
            <v>200m</v>
          </cell>
          <cell r="K27" t="str">
            <v>M</v>
          </cell>
          <cell r="M27" t="str">
            <v>MC</v>
          </cell>
        </row>
        <row r="28">
          <cell r="A28">
            <v>0.79166666666666674</v>
          </cell>
          <cell r="D28" t="str">
            <v>Javelin Throw</v>
          </cell>
          <cell r="K28" t="str">
            <v>W</v>
          </cell>
          <cell r="M28" t="str">
            <v>Q A</v>
          </cell>
        </row>
        <row r="29">
          <cell r="A29">
            <v>0.82638888888888884</v>
          </cell>
          <cell r="D29" t="str">
            <v>Long Jump</v>
          </cell>
          <cell r="K29" t="str">
            <v>W</v>
          </cell>
          <cell r="M29" t="str">
            <v>Final</v>
          </cell>
        </row>
        <row r="30">
          <cell r="A30">
            <v>0.8090277777777779</v>
          </cell>
          <cell r="D30" t="str">
            <v>100m H</v>
          </cell>
          <cell r="K30" t="str">
            <v>W</v>
          </cell>
          <cell r="M30" t="str">
            <v>SF</v>
          </cell>
        </row>
        <row r="31">
          <cell r="A31">
            <v>0.82986111111111116</v>
          </cell>
          <cell r="D31" t="str">
            <v>1500m</v>
          </cell>
          <cell r="K31" t="str">
            <v>M</v>
          </cell>
          <cell r="M31" t="str">
            <v>SF</v>
          </cell>
        </row>
        <row r="32">
          <cell r="A32">
            <v>0.84722222222222221</v>
          </cell>
          <cell r="D32" t="str">
            <v>400m Dec</v>
          </cell>
          <cell r="K32" t="str">
            <v>M</v>
          </cell>
        </row>
        <row r="33">
          <cell r="A33">
            <v>0.85069444444444453</v>
          </cell>
          <cell r="D33" t="str">
            <v>Javelin Throw</v>
          </cell>
          <cell r="K33" t="str">
            <v>W</v>
          </cell>
          <cell r="M33" t="str">
            <v>Q B</v>
          </cell>
        </row>
        <row r="34">
          <cell r="A34">
            <v>0.875</v>
          </cell>
          <cell r="D34" t="str">
            <v>200m</v>
          </cell>
          <cell r="K34" t="str">
            <v>W</v>
          </cell>
          <cell r="M34" t="str">
            <v>Final</v>
          </cell>
        </row>
        <row r="35">
          <cell r="A35">
            <v>0.88888888888888884</v>
          </cell>
          <cell r="D35" t="str">
            <v>110m H</v>
          </cell>
          <cell r="K35" t="str">
            <v>M</v>
          </cell>
          <cell r="M35" t="str">
            <v>Final</v>
          </cell>
        </row>
        <row r="36">
          <cell r="A36">
            <v>0.89166666666666661</v>
          </cell>
          <cell r="D36" t="str">
            <v>Triple Jump</v>
          </cell>
          <cell r="K36" t="str">
            <v>M</v>
          </cell>
          <cell r="M36" t="str">
            <v>MC</v>
          </cell>
        </row>
        <row r="37">
          <cell r="A37">
            <v>0.89930555555555558</v>
          </cell>
          <cell r="D37" t="str">
            <v>100m H</v>
          </cell>
          <cell r="K37" t="str">
            <v>W</v>
          </cell>
          <cell r="M37" t="str">
            <v>Final</v>
          </cell>
        </row>
      </sheetData>
      <sheetData sheetId="14">
        <row r="1">
          <cell r="A1" t="str">
            <v>DAY 8 - Saturday, Morning 29 August</v>
          </cell>
        </row>
        <row r="25">
          <cell r="A25">
            <v>0.3125</v>
          </cell>
          <cell r="D25" t="str">
            <v>50km Race Walk</v>
          </cell>
          <cell r="K25" t="str">
            <v>M</v>
          </cell>
          <cell r="M25" t="str">
            <v>Final</v>
          </cell>
        </row>
        <row r="26">
          <cell r="A26">
            <v>0.375</v>
          </cell>
          <cell r="D26" t="str">
            <v>110m H Dec</v>
          </cell>
          <cell r="K26" t="str">
            <v>M</v>
          </cell>
        </row>
        <row r="27">
          <cell r="A27">
            <v>0.4201388888888889</v>
          </cell>
          <cell r="D27" t="str">
            <v>Discus Throw Dec</v>
          </cell>
          <cell r="K27" t="str">
            <v>M</v>
          </cell>
          <cell r="M27" t="str">
            <v>A</v>
          </cell>
        </row>
        <row r="28">
          <cell r="A28">
            <v>0.42708333333333331</v>
          </cell>
          <cell r="D28" t="str">
            <v>4 x 400m Relay</v>
          </cell>
          <cell r="K28" t="str">
            <v>W</v>
          </cell>
          <cell r="M28" t="str">
            <v>R1</v>
          </cell>
        </row>
        <row r="29">
          <cell r="A29">
            <v>0.44444444444444442</v>
          </cell>
          <cell r="D29" t="str">
            <v>4 x 400m Relay</v>
          </cell>
          <cell r="K29" t="str">
            <v>M</v>
          </cell>
          <cell r="M29" t="str">
            <v>R1</v>
          </cell>
        </row>
        <row r="30">
          <cell r="A30">
            <v>0.47222222222222227</v>
          </cell>
          <cell r="D30" t="str">
            <v>Discus Throw Dec</v>
          </cell>
          <cell r="K30" t="str">
            <v>M</v>
          </cell>
          <cell r="M30" t="str">
            <v>B</v>
          </cell>
        </row>
        <row r="31">
          <cell r="A31">
            <v>0.5</v>
          </cell>
          <cell r="D31" t="str">
            <v>4 x 100m Relay</v>
          </cell>
          <cell r="K31" t="str">
            <v>W</v>
          </cell>
          <cell r="M31" t="str">
            <v>R1</v>
          </cell>
        </row>
        <row r="32">
          <cell r="A32">
            <v>0.50694444444444442</v>
          </cell>
          <cell r="D32" t="str">
            <v>50km RW</v>
          </cell>
          <cell r="K32" t="str">
            <v>M</v>
          </cell>
          <cell r="M32" t="str">
            <v>MC</v>
          </cell>
        </row>
        <row r="33">
          <cell r="A33">
            <v>0.51388888888888895</v>
          </cell>
          <cell r="D33" t="str">
            <v>4 x 100m Relay</v>
          </cell>
          <cell r="K33" t="str">
            <v>M</v>
          </cell>
          <cell r="M33" t="str">
            <v>R1</v>
          </cell>
        </row>
        <row r="34">
          <cell r="A34">
            <v>0.55208333333333337</v>
          </cell>
          <cell r="D34" t="str">
            <v>Pole Vault Dec</v>
          </cell>
          <cell r="K34" t="str">
            <v>M</v>
          </cell>
          <cell r="M34" t="str">
            <v>A+B</v>
          </cell>
        </row>
      </sheetData>
      <sheetData sheetId="15">
        <row r="1">
          <cell r="A1" t="str">
            <v>DAY 8 - Saturday, Evening, 29 August</v>
          </cell>
        </row>
        <row r="25">
          <cell r="A25">
            <v>0.75347222222222221</v>
          </cell>
          <cell r="D25" t="str">
            <v>200m</v>
          </cell>
          <cell r="K25" t="str">
            <v>W</v>
          </cell>
          <cell r="M25" t="str">
            <v>MC</v>
          </cell>
        </row>
        <row r="26">
          <cell r="A26">
            <v>0.75694444444444453</v>
          </cell>
          <cell r="D26" t="str">
            <v>Long Jump</v>
          </cell>
          <cell r="K26" t="str">
            <v>W</v>
          </cell>
          <cell r="M26" t="str">
            <v>MC</v>
          </cell>
        </row>
        <row r="27">
          <cell r="A27">
            <v>0.76041666666666663</v>
          </cell>
          <cell r="D27" t="str">
            <v>110m H</v>
          </cell>
          <cell r="K27" t="str">
            <v>M</v>
          </cell>
          <cell r="M27" t="str">
            <v>MC</v>
          </cell>
        </row>
        <row r="28">
          <cell r="A28">
            <v>0.76388888888888884</v>
          </cell>
          <cell r="D28" t="str">
            <v>100m H</v>
          </cell>
          <cell r="K28" t="str">
            <v>W</v>
          </cell>
          <cell r="M28" t="str">
            <v>MC</v>
          </cell>
        </row>
        <row r="29">
          <cell r="A29">
            <v>0.70833333333333337</v>
          </cell>
          <cell r="D29" t="str">
            <v>Javelin Throw Dec</v>
          </cell>
          <cell r="K29" t="str">
            <v>M</v>
          </cell>
          <cell r="M29" t="str">
            <v>A</v>
          </cell>
        </row>
        <row r="30">
          <cell r="A30">
            <v>0.77083333333333337</v>
          </cell>
          <cell r="D30" t="str">
            <v>High Jump</v>
          </cell>
          <cell r="K30" t="str">
            <v>W</v>
          </cell>
          <cell r="M30" t="str">
            <v>Final</v>
          </cell>
        </row>
        <row r="31">
          <cell r="A31">
            <v>0.76388888888888884</v>
          </cell>
          <cell r="D31" t="str">
            <v>Javelin Throw Dec</v>
          </cell>
          <cell r="K31" t="str">
            <v>M</v>
          </cell>
          <cell r="M31" t="str">
            <v>B</v>
          </cell>
        </row>
        <row r="32">
          <cell r="A32">
            <v>0.80208333333333337</v>
          </cell>
          <cell r="D32" t="str">
            <v>800m</v>
          </cell>
          <cell r="K32" t="str">
            <v>W</v>
          </cell>
          <cell r="M32" t="str">
            <v>Final</v>
          </cell>
        </row>
        <row r="33">
          <cell r="A33">
            <v>0.8125</v>
          </cell>
          <cell r="D33" t="str">
            <v>5000m</v>
          </cell>
          <cell r="K33" t="str">
            <v>M</v>
          </cell>
          <cell r="M33" t="str">
            <v>Final</v>
          </cell>
        </row>
        <row r="34">
          <cell r="A34">
            <v>0.82638888888888884</v>
          </cell>
          <cell r="D34" t="str">
            <v>Discus Throw</v>
          </cell>
          <cell r="K34" t="str">
            <v>M</v>
          </cell>
          <cell r="M34" t="str">
            <v>Final</v>
          </cell>
        </row>
        <row r="35">
          <cell r="A35">
            <v>0.84027777777777779</v>
          </cell>
          <cell r="D35" t="str">
            <v>1500m Dec</v>
          </cell>
          <cell r="K35" t="str">
            <v>M</v>
          </cell>
          <cell r="M35" t="str">
            <v>Final</v>
          </cell>
        </row>
        <row r="36">
          <cell r="A36">
            <v>0.86805555555555547</v>
          </cell>
          <cell r="D36" t="str">
            <v>4 x 100m Relay</v>
          </cell>
          <cell r="K36" t="str">
            <v>W</v>
          </cell>
          <cell r="M36" t="str">
            <v>Final</v>
          </cell>
        </row>
        <row r="37">
          <cell r="A37">
            <v>0.875</v>
          </cell>
          <cell r="D37" t="str">
            <v>800m</v>
          </cell>
          <cell r="K37" t="str">
            <v>W</v>
          </cell>
          <cell r="M37" t="str">
            <v>MC</v>
          </cell>
        </row>
        <row r="38">
          <cell r="A38">
            <v>0.88194444444444453</v>
          </cell>
          <cell r="D38" t="str">
            <v>4 x 100m Relay</v>
          </cell>
          <cell r="K38" t="str">
            <v>M</v>
          </cell>
          <cell r="M38" t="str">
            <v>Final</v>
          </cell>
        </row>
        <row r="39">
          <cell r="A39">
            <v>0.88541666666666663</v>
          </cell>
          <cell r="D39" t="str">
            <v>5000m</v>
          </cell>
          <cell r="K39" t="str">
            <v>M</v>
          </cell>
          <cell r="M39" t="str">
            <v>MC</v>
          </cell>
        </row>
      </sheetData>
      <sheetData sheetId="16">
        <row r="1">
          <cell r="A1" t="str">
            <v>DAY 9 - Sunday, Morning 30 August</v>
          </cell>
        </row>
        <row r="25">
          <cell r="A25">
            <v>0.3125</v>
          </cell>
          <cell r="D25" t="str">
            <v>Marathon</v>
          </cell>
          <cell r="K25" t="str">
            <v>W</v>
          </cell>
          <cell r="M25" t="str">
            <v>Final</v>
          </cell>
        </row>
      </sheetData>
      <sheetData sheetId="17">
        <row r="1">
          <cell r="A1" t="str">
            <v>DAY 9 - Sunday, Evening, 30 August</v>
          </cell>
        </row>
        <row r="25">
          <cell r="A25">
            <v>0.75</v>
          </cell>
          <cell r="D25" t="str">
            <v>High Jump</v>
          </cell>
          <cell r="K25" t="str">
            <v>W</v>
          </cell>
          <cell r="M25" t="str">
            <v>MC</v>
          </cell>
        </row>
        <row r="26">
          <cell r="A26">
            <v>0.75347222222222221</v>
          </cell>
          <cell r="D26" t="str">
            <v>Decathlon</v>
          </cell>
          <cell r="K26" t="str">
            <v>M</v>
          </cell>
          <cell r="M26" t="str">
            <v>MC</v>
          </cell>
        </row>
        <row r="27">
          <cell r="A27">
            <v>0.75694444444444453</v>
          </cell>
          <cell r="D27" t="str">
            <v>4 x 100m Relay</v>
          </cell>
          <cell r="K27" t="str">
            <v>W</v>
          </cell>
          <cell r="M27" t="str">
            <v>MC</v>
          </cell>
        </row>
        <row r="28">
          <cell r="A28">
            <v>0.76041666666666663</v>
          </cell>
          <cell r="D28" t="str">
            <v>Discus Throw</v>
          </cell>
          <cell r="K28" t="str">
            <v>M</v>
          </cell>
          <cell r="M28" t="str">
            <v>MC</v>
          </cell>
        </row>
        <row r="29">
          <cell r="A29">
            <v>0.76388888888888884</v>
          </cell>
          <cell r="D29" t="str">
            <v>4 x 100m Relay</v>
          </cell>
          <cell r="K29" t="str">
            <v>M</v>
          </cell>
          <cell r="M29" t="str">
            <v>MC</v>
          </cell>
        </row>
        <row r="30">
          <cell r="A30">
            <v>0.77083333333333326</v>
          </cell>
          <cell r="D30" t="str">
            <v>High Jump</v>
          </cell>
          <cell r="K30" t="str">
            <v>M</v>
          </cell>
          <cell r="M30" t="str">
            <v>Final</v>
          </cell>
        </row>
        <row r="31">
          <cell r="A31">
            <v>0.78125</v>
          </cell>
          <cell r="D31" t="str">
            <v>Javelin Throw</v>
          </cell>
          <cell r="K31" t="str">
            <v>W</v>
          </cell>
          <cell r="M31" t="str">
            <v>Final</v>
          </cell>
        </row>
        <row r="32">
          <cell r="A32">
            <v>0.80208333333333337</v>
          </cell>
          <cell r="D32" t="str">
            <v>5000m</v>
          </cell>
          <cell r="K32" t="str">
            <v>W</v>
          </cell>
          <cell r="M32" t="str">
            <v>Final</v>
          </cell>
        </row>
        <row r="33">
          <cell r="A33">
            <v>0.82291666666666663</v>
          </cell>
          <cell r="D33" t="str">
            <v>1500m</v>
          </cell>
          <cell r="K33" t="str">
            <v>M</v>
          </cell>
          <cell r="M33" t="str">
            <v>Final</v>
          </cell>
        </row>
        <row r="34">
          <cell r="A34">
            <v>0.83680555555555547</v>
          </cell>
          <cell r="D34" t="str">
            <v>4 x 400m Relay</v>
          </cell>
          <cell r="K34" t="str">
            <v>W</v>
          </cell>
          <cell r="M34" t="str">
            <v>Final</v>
          </cell>
        </row>
        <row r="35">
          <cell r="A35">
            <v>0.84375</v>
          </cell>
          <cell r="D35" t="str">
            <v>Marathon</v>
          </cell>
          <cell r="K35" t="str">
            <v>W</v>
          </cell>
          <cell r="M35" t="str">
            <v>MC</v>
          </cell>
        </row>
        <row r="36">
          <cell r="A36">
            <v>0.85069444444444453</v>
          </cell>
          <cell r="D36" t="str">
            <v>4 x 400m Relay</v>
          </cell>
          <cell r="K36" t="str">
            <v>M</v>
          </cell>
          <cell r="M36" t="str">
            <v>Final</v>
          </cell>
        </row>
        <row r="37">
          <cell r="A37">
            <v>0.85416666666666663</v>
          </cell>
          <cell r="D37" t="str">
            <v>5000m</v>
          </cell>
          <cell r="K37" t="str">
            <v>W</v>
          </cell>
          <cell r="M37" t="str">
            <v>MC</v>
          </cell>
        </row>
        <row r="38">
          <cell r="A38">
            <v>0.85763888888888884</v>
          </cell>
          <cell r="D38" t="str">
            <v>1500m</v>
          </cell>
          <cell r="K38" t="str">
            <v>M</v>
          </cell>
          <cell r="M38" t="str">
            <v>MC</v>
          </cell>
        </row>
        <row r="39">
          <cell r="A39">
            <v>0.86111111111111116</v>
          </cell>
          <cell r="D39" t="str">
            <v>Javelin Throw</v>
          </cell>
          <cell r="K39" t="str">
            <v>W</v>
          </cell>
          <cell r="M39" t="str">
            <v>MC</v>
          </cell>
        </row>
        <row r="40">
          <cell r="A40">
            <v>0.86458333333333337</v>
          </cell>
          <cell r="D40" t="str">
            <v>High Jump</v>
          </cell>
          <cell r="K40" t="str">
            <v>M</v>
          </cell>
          <cell r="M40" t="str">
            <v>MC</v>
          </cell>
        </row>
      </sheetData>
      <sheetData sheetId="18"/>
      <sheetData sheetId="19"/>
      <sheetData sheetId="20"/>
      <sheetData sheetId="21"/>
      <sheetData sheetId="22"/>
      <sheetData sheetId="23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64"/>
  <sheetViews>
    <sheetView tabSelected="1" workbookViewId="0">
      <selection activeCell="C13" sqref="C13"/>
    </sheetView>
  </sheetViews>
  <sheetFormatPr defaultRowHeight="14.4" x14ac:dyDescent="0.3"/>
  <cols>
    <col min="1" max="1" width="2.109375" customWidth="1"/>
    <col min="2" max="2" width="6.21875" customWidth="1"/>
    <col min="3" max="3" width="13.44140625" customWidth="1"/>
    <col min="5" max="5" width="8" customWidth="1"/>
    <col min="6" max="6" width="2.109375" customWidth="1"/>
    <col min="7" max="7" width="6.21875" customWidth="1"/>
    <col min="8" max="8" width="15" customWidth="1"/>
    <col min="9" max="9" width="5.88671875" customWidth="1"/>
    <col min="10" max="10" width="7.5546875" customWidth="1"/>
    <col min="11" max="11" width="2.109375" customWidth="1"/>
    <col min="12" max="12" width="6.21875" customWidth="1"/>
    <col min="13" max="13" width="11.44140625" customWidth="1"/>
    <col min="14" max="14" width="4.21875" customWidth="1"/>
    <col min="16" max="16" width="2.109375" customWidth="1"/>
    <col min="17" max="17" width="7.5546875" customWidth="1"/>
    <col min="18" max="18" width="13.109375" customWidth="1"/>
    <col min="19" max="19" width="6" customWidth="1"/>
    <col min="20" max="20" width="7.5546875" customWidth="1"/>
    <col min="21" max="21" width="1.6640625" customWidth="1"/>
    <col min="22" max="22" width="6.21875" customWidth="1"/>
    <col min="23" max="23" width="13.109375" customWidth="1"/>
    <col min="24" max="24" width="4.33203125" customWidth="1"/>
    <col min="25" max="25" width="8.33203125" customWidth="1"/>
    <col min="26" max="26" width="2.109375" customWidth="1"/>
  </cols>
  <sheetData>
    <row r="1" spans="1:26" x14ac:dyDescent="0.3">
      <c r="A1" s="1"/>
      <c r="B1" s="2"/>
      <c r="C1" s="3"/>
      <c r="D1" s="4"/>
      <c r="E1" s="3"/>
      <c r="F1" s="1"/>
      <c r="G1" s="2"/>
      <c r="H1" s="3"/>
      <c r="I1" s="4"/>
      <c r="J1" s="3"/>
      <c r="K1" s="1"/>
      <c r="L1" s="2"/>
      <c r="M1" s="3"/>
      <c r="N1" s="4"/>
      <c r="O1" s="3"/>
      <c r="P1" s="1"/>
      <c r="Q1" s="2"/>
      <c r="R1" s="3"/>
      <c r="S1" s="4"/>
      <c r="T1" s="3"/>
      <c r="U1" s="1"/>
      <c r="V1" s="2"/>
      <c r="W1" s="3"/>
      <c r="X1" s="4"/>
      <c r="Y1" s="3"/>
      <c r="Z1" s="1"/>
    </row>
    <row r="2" spans="1:26" x14ac:dyDescent="0.3">
      <c r="A2" s="5"/>
      <c r="B2" s="6" t="str">
        <f>'[1]1Sa a '!A1</f>
        <v>DAY 1 - Saturday, Morning, 22 August</v>
      </c>
      <c r="C2" s="7"/>
      <c r="D2" s="8"/>
      <c r="E2" s="9"/>
      <c r="F2" s="5"/>
      <c r="G2" s="6" t="str">
        <f>'[1]2Su a'!A1</f>
        <v>DAY 2 - Sunday, Morning, 23 August</v>
      </c>
      <c r="H2" s="10"/>
      <c r="I2" s="11"/>
      <c r="J2" s="12"/>
      <c r="K2" s="5"/>
      <c r="L2" s="13" t="str">
        <f>'[1]3M a'!A1</f>
        <v>DAY 3 - Monday, Morning, 24 August</v>
      </c>
      <c r="M2" s="10"/>
      <c r="N2" s="11"/>
      <c r="O2" s="12"/>
      <c r="P2" s="5"/>
      <c r="Q2" s="13" t="str">
        <f>'[1]4Tu a'!A1</f>
        <v>DAY 4 - Tuesday, Morning, 25 August</v>
      </c>
      <c r="R2" s="10"/>
      <c r="S2" s="11"/>
      <c r="T2" s="12"/>
      <c r="U2" s="5"/>
      <c r="V2" s="13" t="str">
        <f>'[1]5W a'!A1</f>
        <v>DAY 5 - Wednesday, Morning, 26 August</v>
      </c>
      <c r="W2" s="10"/>
      <c r="X2" s="11"/>
      <c r="Y2" s="12"/>
      <c r="Z2" s="5"/>
    </row>
    <row r="3" spans="1:26" x14ac:dyDescent="0.3">
      <c r="A3" s="14"/>
      <c r="B3" s="15">
        <f>'[1]1Sa a '!A25</f>
        <v>0.31597222222222221</v>
      </c>
      <c r="C3" s="16" t="str">
        <f>'[1]1Sa a '!D25</f>
        <v>Marathon</v>
      </c>
      <c r="D3" s="17" t="str">
        <f>'[1]1Sa a '!K25</f>
        <v>M</v>
      </c>
      <c r="E3" s="18" t="str">
        <f>'[1]1Sa a '!M25</f>
        <v>Final</v>
      </c>
      <c r="F3" s="14"/>
      <c r="G3" s="15">
        <f>'[1]2Su a'!A25</f>
        <v>0.35416666666666669</v>
      </c>
      <c r="H3" s="16" t="str">
        <f>'[1]2Su a'!D25</f>
        <v>20km Race Walk</v>
      </c>
      <c r="I3" s="17" t="str">
        <f>'[1]2Su a'!K25</f>
        <v>M</v>
      </c>
      <c r="J3" s="18" t="str">
        <f>'[1]2Su a'!M25</f>
        <v>Final</v>
      </c>
      <c r="K3" s="14"/>
      <c r="L3" s="19">
        <f>'[1]3M a'!A25</f>
        <v>0.39583333333333331</v>
      </c>
      <c r="M3" s="20" t="str">
        <f>'[1]3M a'!D25</f>
        <v>Pole Vault</v>
      </c>
      <c r="N3" s="21" t="str">
        <f>'[1]3M a'!K25</f>
        <v>W</v>
      </c>
      <c r="O3" s="22" t="str">
        <f>'[1]3M a'!M25</f>
        <v>Q A+B</v>
      </c>
      <c r="P3" s="14"/>
      <c r="Q3" s="23"/>
      <c r="R3" s="24"/>
      <c r="S3" s="25"/>
      <c r="T3" s="26"/>
      <c r="U3" s="14"/>
      <c r="V3" s="27">
        <f>'[1]5W a'!A25</f>
        <v>0.39583333333333331</v>
      </c>
      <c r="W3" s="28" t="str">
        <f>'[1]5W a'!D25</f>
        <v>Hammer Throw</v>
      </c>
      <c r="X3" s="29" t="str">
        <f>'[1]5W a'!K25</f>
        <v>W</v>
      </c>
      <c r="Y3" s="30" t="str">
        <f>'[1]5W a'!M25</f>
        <v>Q A</v>
      </c>
      <c r="Z3" s="14"/>
    </row>
    <row r="4" spans="1:26" x14ac:dyDescent="0.3">
      <c r="A4" s="14"/>
      <c r="B4" s="19">
        <f>'[1]1Sa a '!A26</f>
        <v>0.375</v>
      </c>
      <c r="C4" s="31" t="str">
        <f>'[1]1Sa a '!D26</f>
        <v>100m H Hep</v>
      </c>
      <c r="D4" s="21" t="str">
        <f>'[1]1Sa a '!K26</f>
        <v>W</v>
      </c>
      <c r="E4" s="22"/>
      <c r="F4" s="14"/>
      <c r="G4" s="19">
        <f>'[1]2Su a'!A26</f>
        <v>0.375</v>
      </c>
      <c r="H4" s="31" t="str">
        <f>'[1]2Su a'!D26</f>
        <v>Long Jump Hep</v>
      </c>
      <c r="I4" s="21" t="str">
        <f>'[1]2Su a'!K26</f>
        <v>W</v>
      </c>
      <c r="J4" s="22" t="str">
        <f>'[1]2Su a'!M26</f>
        <v>A+B</v>
      </c>
      <c r="K4" s="14"/>
      <c r="L4" s="19">
        <f>'[1]3M a'!A26</f>
        <v>0.39930555555555558</v>
      </c>
      <c r="M4" s="20" t="str">
        <f>'[1]3M a'!D26</f>
        <v>Discus Throw</v>
      </c>
      <c r="N4" s="21" t="str">
        <f>'[1]3M a'!K26</f>
        <v>W</v>
      </c>
      <c r="O4" s="22" t="str">
        <f>'[1]3M a'!M26</f>
        <v>Q A</v>
      </c>
      <c r="P4" s="14"/>
      <c r="Q4" s="23"/>
      <c r="R4" s="24"/>
      <c r="S4" s="25"/>
      <c r="T4" s="26"/>
      <c r="U4" s="14"/>
      <c r="V4" s="27">
        <f>'[1]5W a'!A26</f>
        <v>0.39930555555555558</v>
      </c>
      <c r="W4" s="28" t="str">
        <f>'[1]5W a'!D26</f>
        <v>5000m</v>
      </c>
      <c r="X4" s="29" t="str">
        <f>'[1]5W a'!K26</f>
        <v>M</v>
      </c>
      <c r="Y4" s="30" t="str">
        <f>'[1]5W a'!M26</f>
        <v>R1</v>
      </c>
      <c r="Z4" s="14"/>
    </row>
    <row r="5" spans="1:26" x14ac:dyDescent="0.3">
      <c r="A5" s="14"/>
      <c r="B5" s="19">
        <f>'[1]1Sa a '!A27</f>
        <v>0.39583333333333331</v>
      </c>
      <c r="C5" s="31" t="str">
        <f>'[1]1Sa a '!D27</f>
        <v>Hammer Throw</v>
      </c>
      <c r="D5" s="21" t="str">
        <f>'[1]1Sa a '!K27</f>
        <v>M</v>
      </c>
      <c r="E5" s="22" t="str">
        <f>'[1]1Sa a '!M27</f>
        <v>Q A</v>
      </c>
      <c r="F5" s="14"/>
      <c r="G5" s="19">
        <f>'[1]2Su a'!A27</f>
        <v>0.38194444444444442</v>
      </c>
      <c r="H5" s="31" t="str">
        <f>'[1]2Su a'!D27</f>
        <v>100m</v>
      </c>
      <c r="I5" s="21" t="str">
        <f>'[1]2Su a'!K27</f>
        <v>W</v>
      </c>
      <c r="J5" s="22" t="str">
        <f>'[1]2Su a'!M27</f>
        <v>Prelim.</v>
      </c>
      <c r="K5" s="14"/>
      <c r="L5" s="19">
        <f>'[1]3M a'!A27</f>
        <v>0.40625</v>
      </c>
      <c r="M5" s="20" t="str">
        <f>'[1]3M a'!D27</f>
        <v>3000m SC</v>
      </c>
      <c r="N5" s="21" t="str">
        <f>'[1]3M a'!K27</f>
        <v>W</v>
      </c>
      <c r="O5" s="22" t="str">
        <f>'[1]3M a'!M27</f>
        <v>R1</v>
      </c>
      <c r="P5" s="14"/>
      <c r="Q5" s="23"/>
      <c r="R5" s="24"/>
      <c r="S5" s="25"/>
      <c r="T5" s="26"/>
      <c r="U5" s="14"/>
      <c r="V5" s="27">
        <f>'[1]5W a'!A27</f>
        <v>0.41666666666666669</v>
      </c>
      <c r="W5" s="28" t="str">
        <f>'[1]5W a'!D27</f>
        <v>Triple Jump</v>
      </c>
      <c r="X5" s="29" t="str">
        <f>'[1]5W a'!K27</f>
        <v>M</v>
      </c>
      <c r="Y5" s="30" t="str">
        <f>'[1]5W a'!M27</f>
        <v>Q A+B</v>
      </c>
      <c r="Z5" s="14"/>
    </row>
    <row r="6" spans="1:26" x14ac:dyDescent="0.3">
      <c r="A6" s="14"/>
      <c r="B6" s="19">
        <f>'[1]1Sa a '!A28</f>
        <v>0.4236111111111111</v>
      </c>
      <c r="C6" s="31" t="str">
        <f>'[1]1Sa a '!D28</f>
        <v>Shot Put</v>
      </c>
      <c r="D6" s="21" t="str">
        <f>'[1]1Sa a '!K28</f>
        <v>W</v>
      </c>
      <c r="E6" s="22" t="str">
        <f>'[1]1Sa a '!M28</f>
        <v>Q A+B</v>
      </c>
      <c r="F6" s="14"/>
      <c r="G6" s="19">
        <f>'[1]2Su a'!A28</f>
        <v>0.4201388888888889</v>
      </c>
      <c r="H6" s="31" t="str">
        <f>'[1]2Su a'!D28</f>
        <v>Shot Put</v>
      </c>
      <c r="I6" s="21" t="str">
        <f>'[1]2Su a'!K28</f>
        <v>M</v>
      </c>
      <c r="J6" s="22" t="str">
        <f>'[1]2Su a'!M28</f>
        <v>Q A+B</v>
      </c>
      <c r="K6" s="14"/>
      <c r="L6" s="19">
        <f>'[1]3M a'!A28</f>
        <v>0.41666666666666669</v>
      </c>
      <c r="M6" s="20" t="str">
        <f>'[1]3M a'!D28</f>
        <v>Long Jump</v>
      </c>
      <c r="N6" s="21" t="str">
        <f>'[1]3M a'!K28</f>
        <v>M</v>
      </c>
      <c r="O6" s="22" t="str">
        <f>'[1]3M a'!M28</f>
        <v>Q A+B</v>
      </c>
      <c r="P6" s="14"/>
      <c r="Q6" s="23"/>
      <c r="R6" s="24"/>
      <c r="S6" s="25"/>
      <c r="T6" s="26"/>
      <c r="U6" s="14"/>
      <c r="V6" s="27">
        <f>'[1]5W a'!A28</f>
        <v>0.43402777777777773</v>
      </c>
      <c r="W6" s="28" t="str">
        <f>'[1]5W a'!D28</f>
        <v>800m</v>
      </c>
      <c r="X6" s="29" t="str">
        <f>'[1]5W a'!K28</f>
        <v>W</v>
      </c>
      <c r="Y6" s="30" t="str">
        <f>'[1]5W a'!M28</f>
        <v>R1</v>
      </c>
      <c r="Z6" s="14"/>
    </row>
    <row r="7" spans="1:26" x14ac:dyDescent="0.3">
      <c r="A7" s="14"/>
      <c r="B7" s="19">
        <f>'[1]1Sa a '!A29</f>
        <v>0.43055555555555558</v>
      </c>
      <c r="C7" s="31" t="str">
        <f>'[1]1Sa a '!D29</f>
        <v>High Jump Hep</v>
      </c>
      <c r="D7" s="21" t="str">
        <f>'[1]1Sa a '!K29</f>
        <v>W</v>
      </c>
      <c r="E7" s="22" t="str">
        <f>'[1]1Sa a '!M29</f>
        <v>A+B</v>
      </c>
      <c r="F7" s="14"/>
      <c r="G7" s="19">
        <f>'[1]2Su a'!A29</f>
        <v>0.43402777777777773</v>
      </c>
      <c r="H7" s="31" t="str">
        <f>'[1]2Su a'!D29</f>
        <v>400m H</v>
      </c>
      <c r="I7" s="21" t="str">
        <f>'[1]2Su a'!K29</f>
        <v>W</v>
      </c>
      <c r="J7" s="22" t="str">
        <f>'[1]2Su a'!M29</f>
        <v>R1</v>
      </c>
      <c r="K7" s="14"/>
      <c r="L7" s="19">
        <f>'[1]3M a'!A29</f>
        <v>0.44791666666666669</v>
      </c>
      <c r="M7" s="20" t="str">
        <f>'[1]3M a'!D29</f>
        <v>400m</v>
      </c>
      <c r="N7" s="21" t="str">
        <f>'[1]3M a'!K29</f>
        <v>W</v>
      </c>
      <c r="O7" s="22" t="str">
        <f>'[1]3M a'!M29</f>
        <v>R1</v>
      </c>
      <c r="P7" s="14"/>
      <c r="Q7" s="23"/>
      <c r="R7" s="24"/>
      <c r="S7" s="25"/>
      <c r="T7" s="26"/>
      <c r="U7" s="14"/>
      <c r="V7" s="27">
        <f>'[1]5W a'!A29</f>
        <v>0.4548611111111111</v>
      </c>
      <c r="W7" s="28" t="str">
        <f>'[1]5W a'!D29</f>
        <v>Hammer Throw</v>
      </c>
      <c r="X7" s="29" t="str">
        <f>'[1]5W a'!K29</f>
        <v>W</v>
      </c>
      <c r="Y7" s="30" t="str">
        <f>'[1]5W a'!M29</f>
        <v>Q B</v>
      </c>
      <c r="Z7" s="14"/>
    </row>
    <row r="8" spans="1:26" x14ac:dyDescent="0.3">
      <c r="A8" s="14"/>
      <c r="B8" s="19">
        <f>'[1]1Sa a '!A30</f>
        <v>0.43402777777777773</v>
      </c>
      <c r="C8" s="31" t="str">
        <f>'[1]1Sa a '!D30</f>
        <v>3000m SC</v>
      </c>
      <c r="D8" s="21" t="str">
        <f>'[1]1Sa a '!K30</f>
        <v>M</v>
      </c>
      <c r="E8" s="22" t="str">
        <f>'[1]1Sa a '!M30</f>
        <v>R1</v>
      </c>
      <c r="F8" s="14"/>
      <c r="G8" s="19">
        <f>'[1]2Su a'!A30</f>
        <v>0.4513888888888889</v>
      </c>
      <c r="H8" s="31" t="str">
        <f>'[1]2Su a'!D30</f>
        <v>Javelin Throw Hep</v>
      </c>
      <c r="I8" s="21" t="str">
        <f>'[1]2Su a'!K30</f>
        <v>W</v>
      </c>
      <c r="J8" s="22" t="str">
        <f>'[1]2Su a'!M30</f>
        <v>A</v>
      </c>
      <c r="K8" s="14"/>
      <c r="L8" s="19">
        <f>'[1]3M a'!A30</f>
        <v>0.4548611111111111</v>
      </c>
      <c r="M8" s="20" t="str">
        <f>'[1]3M a'!D30</f>
        <v>Discus Throw</v>
      </c>
      <c r="N8" s="21" t="str">
        <f>'[1]3M a'!K30</f>
        <v>W</v>
      </c>
      <c r="O8" s="22" t="str">
        <f>'[1]3M a'!M30</f>
        <v>Q B</v>
      </c>
      <c r="P8" s="14"/>
      <c r="Q8" s="23"/>
      <c r="R8" s="24"/>
      <c r="S8" s="25"/>
      <c r="T8" s="26"/>
      <c r="U8" s="14"/>
      <c r="V8" s="27">
        <f>'[1]5W a'!A30</f>
        <v>0.47222222222222227</v>
      </c>
      <c r="W8" s="28" t="str">
        <f>'[1]5W a'!D30</f>
        <v>110m H</v>
      </c>
      <c r="X8" s="29" t="str">
        <f>'[1]5W a'!K30</f>
        <v>M</v>
      </c>
      <c r="Y8" s="30" t="str">
        <f>'[1]5W a'!M30</f>
        <v>R1</v>
      </c>
      <c r="Z8" s="14"/>
    </row>
    <row r="9" spans="1:26" x14ac:dyDescent="0.3">
      <c r="A9" s="14"/>
      <c r="B9" s="19">
        <f>'[1]1Sa a '!A31</f>
        <v>0.4548611111111111</v>
      </c>
      <c r="C9" s="31" t="str">
        <f>'[1]1Sa a '!D31</f>
        <v>Hammer Throw</v>
      </c>
      <c r="D9" s="21" t="str">
        <f>'[1]1Sa a '!K31</f>
        <v>M</v>
      </c>
      <c r="E9" s="22" t="str">
        <f>'[1]1Sa a '!M31</f>
        <v>Q B</v>
      </c>
      <c r="F9" s="14"/>
      <c r="G9" s="19">
        <f>'[1]2Su a'!A31</f>
        <v>0.46527777777777773</v>
      </c>
      <c r="H9" s="31" t="str">
        <f>'[1]2Su a'!D31</f>
        <v>400m</v>
      </c>
      <c r="I9" s="21" t="str">
        <f>'[1]2Su a'!K31</f>
        <v>M</v>
      </c>
      <c r="J9" s="22" t="str">
        <f>'[1]2Su a'!M31</f>
        <v>R1</v>
      </c>
      <c r="K9" s="14"/>
      <c r="L9" s="19"/>
      <c r="M9" s="20"/>
      <c r="N9" s="21"/>
      <c r="O9" s="22"/>
      <c r="P9" s="14"/>
      <c r="Q9" s="23"/>
      <c r="R9" s="24"/>
      <c r="S9" s="25"/>
      <c r="T9" s="26"/>
      <c r="U9" s="14"/>
      <c r="V9" s="27"/>
      <c r="W9" s="28"/>
      <c r="X9" s="29"/>
      <c r="Y9" s="30"/>
      <c r="Z9" s="14"/>
    </row>
    <row r="10" spans="1:26" x14ac:dyDescent="0.3">
      <c r="A10" s="14"/>
      <c r="B10" s="19">
        <f>'[1]1Sa a '!A32</f>
        <v>0.46875</v>
      </c>
      <c r="C10" s="31" t="str">
        <f>'[1]1Sa a '!D32</f>
        <v>1500m</v>
      </c>
      <c r="D10" s="21" t="str">
        <f>'[1]1Sa a '!K32</f>
        <v>W</v>
      </c>
      <c r="E10" s="22" t="str">
        <f>'[1]1Sa a '!M32</f>
        <v>R1</v>
      </c>
      <c r="F10" s="14"/>
      <c r="G10" s="19">
        <f>'[1]2Su a'!A32</f>
        <v>0.5</v>
      </c>
      <c r="H10" s="31" t="str">
        <f>'[1]2Su a'!D32</f>
        <v>100m</v>
      </c>
      <c r="I10" s="21" t="str">
        <f>'[1]2Su a'!K32</f>
        <v>W</v>
      </c>
      <c r="J10" s="22" t="str">
        <f>'[1]2Su a'!M32</f>
        <v>R1</v>
      </c>
      <c r="K10" s="14"/>
      <c r="L10" s="19"/>
      <c r="M10" s="20"/>
      <c r="N10" s="21"/>
      <c r="O10" s="22"/>
      <c r="P10" s="14"/>
      <c r="Q10" s="23"/>
      <c r="R10" s="24"/>
      <c r="S10" s="25"/>
      <c r="T10" s="26"/>
      <c r="U10" s="14"/>
      <c r="V10" s="27"/>
      <c r="W10" s="28"/>
      <c r="X10" s="29"/>
      <c r="Y10" s="30"/>
      <c r="Z10" s="14"/>
    </row>
    <row r="11" spans="1:26" x14ac:dyDescent="0.3">
      <c r="A11" s="14"/>
      <c r="B11" s="19">
        <f>'[1]1Sa a '!A33</f>
        <v>0.49305555555555558</v>
      </c>
      <c r="C11" s="31" t="str">
        <f>'[1]1Sa a '!D33</f>
        <v>800m</v>
      </c>
      <c r="D11" s="21" t="str">
        <f>'[1]1Sa a '!K33</f>
        <v>M</v>
      </c>
      <c r="E11" s="22" t="str">
        <f>'[1]1Sa a '!M33</f>
        <v>R1</v>
      </c>
      <c r="F11" s="14"/>
      <c r="G11" s="19">
        <f>'[1]2Su a'!A33</f>
        <v>0.50347222222222221</v>
      </c>
      <c r="H11" s="31" t="str">
        <f>'[1]2Su a'!D33</f>
        <v>Javelin Throw Hep</v>
      </c>
      <c r="I11" s="21" t="str">
        <f>'[1]2Su a'!K33</f>
        <v>W</v>
      </c>
      <c r="J11" s="22" t="str">
        <f>'[1]2Su a'!M33</f>
        <v>B</v>
      </c>
      <c r="K11" s="14"/>
      <c r="L11" s="19"/>
      <c r="M11" s="20"/>
      <c r="N11" s="21"/>
      <c r="O11" s="22"/>
      <c r="P11" s="14"/>
      <c r="Q11" s="23"/>
      <c r="R11" s="24"/>
      <c r="S11" s="25"/>
      <c r="T11" s="26"/>
      <c r="U11" s="14"/>
      <c r="V11" s="27"/>
      <c r="W11" s="28"/>
      <c r="X11" s="29"/>
      <c r="Y11" s="30"/>
      <c r="Z11" s="14"/>
    </row>
    <row r="12" spans="1:26" x14ac:dyDescent="0.3">
      <c r="A12" s="14"/>
      <c r="B12" s="27">
        <f>'[1]1Sa a '!A34</f>
        <v>0.52777777777777779</v>
      </c>
      <c r="C12" s="32" t="str">
        <f>'[1]1Sa a '!D34</f>
        <v>100m</v>
      </c>
      <c r="D12" s="29" t="str">
        <f>'[1]1Sa a '!K34</f>
        <v>M</v>
      </c>
      <c r="E12" s="30" t="str">
        <f>'[1]1Sa a '!M34</f>
        <v>Prelim.</v>
      </c>
      <c r="F12" s="14"/>
      <c r="G12" s="19"/>
      <c r="H12" s="31"/>
      <c r="I12" s="21"/>
      <c r="J12" s="22"/>
      <c r="K12" s="14"/>
      <c r="L12" s="19"/>
      <c r="M12" s="20"/>
      <c r="N12" s="21"/>
      <c r="O12" s="22"/>
      <c r="P12" s="14"/>
      <c r="Q12" s="23"/>
      <c r="R12" s="24"/>
      <c r="S12" s="25"/>
      <c r="T12" s="26"/>
      <c r="U12" s="14"/>
      <c r="V12" s="27"/>
      <c r="W12" s="28"/>
      <c r="X12" s="29"/>
      <c r="Y12" s="30"/>
      <c r="Z12" s="14"/>
    </row>
    <row r="13" spans="1:26" x14ac:dyDescent="0.3">
      <c r="A13" s="33"/>
      <c r="B13" s="34"/>
      <c r="C13" s="35"/>
      <c r="D13" s="36"/>
      <c r="E13" s="37"/>
      <c r="F13" s="33"/>
      <c r="G13" s="34"/>
      <c r="H13" s="35"/>
      <c r="I13" s="36"/>
      <c r="J13" s="37"/>
      <c r="K13" s="33"/>
      <c r="L13" s="34"/>
      <c r="M13" s="35"/>
      <c r="N13" s="36"/>
      <c r="O13" s="37"/>
      <c r="P13" s="33"/>
      <c r="Q13" s="38"/>
      <c r="R13" s="39"/>
      <c r="S13" s="40"/>
      <c r="T13" s="40"/>
      <c r="U13" s="33"/>
      <c r="V13" s="34"/>
      <c r="W13" s="35"/>
      <c r="X13" s="36"/>
      <c r="Y13" s="37"/>
      <c r="Z13" s="33"/>
    </row>
    <row r="14" spans="1:26" x14ac:dyDescent="0.3">
      <c r="A14" s="41"/>
      <c r="B14" s="42"/>
      <c r="C14" s="41"/>
      <c r="D14" s="42"/>
      <c r="E14" s="42"/>
      <c r="F14" s="41"/>
      <c r="G14" s="42"/>
      <c r="H14" s="41"/>
      <c r="I14" s="42"/>
      <c r="J14" s="42"/>
      <c r="K14" s="41"/>
      <c r="L14" s="42"/>
      <c r="M14" s="41"/>
      <c r="N14" s="42"/>
      <c r="O14" s="42"/>
      <c r="P14" s="41"/>
      <c r="Q14" s="42"/>
      <c r="R14" s="41"/>
      <c r="S14" s="42"/>
      <c r="T14" s="42"/>
      <c r="U14" s="41"/>
      <c r="V14" s="42"/>
      <c r="W14" s="41"/>
      <c r="X14" s="42"/>
      <c r="Y14" s="42"/>
      <c r="Z14" s="41"/>
    </row>
    <row r="15" spans="1:26" x14ac:dyDescent="0.3">
      <c r="A15" s="5"/>
      <c r="B15" s="6" t="str">
        <f>'[1]1Sa p'!A1</f>
        <v>DAY 1 - Saturday, Evening, 22 August</v>
      </c>
      <c r="C15" s="7"/>
      <c r="D15" s="8"/>
      <c r="E15" s="9"/>
      <c r="F15" s="5"/>
      <c r="G15" s="6" t="str">
        <f>'[1]2Su p'!A1</f>
        <v>DAY 2 - Sunday, Evening, 23 August</v>
      </c>
      <c r="H15" s="7"/>
      <c r="I15" s="8"/>
      <c r="J15" s="9"/>
      <c r="K15" s="5"/>
      <c r="L15" s="6" t="str">
        <f>'[1]3M p'!A1</f>
        <v>DAY 3 - Monday, Evening, 24 August</v>
      </c>
      <c r="M15" s="7"/>
      <c r="N15" s="8"/>
      <c r="O15" s="9"/>
      <c r="P15" s="5"/>
      <c r="Q15" s="6" t="str">
        <f>'[1]4Tu p'!A1</f>
        <v>DAY 4 - Tuesday, Evening, 25 August</v>
      </c>
      <c r="R15" s="7"/>
      <c r="S15" s="8"/>
      <c r="T15" s="9"/>
      <c r="U15" s="5"/>
      <c r="V15" s="6" t="str">
        <f>'[1]5W p'!A1</f>
        <v>DAY 5 - Wednesday Evening, 26 August</v>
      </c>
      <c r="W15" s="7"/>
      <c r="X15" s="8"/>
      <c r="Y15" s="9"/>
      <c r="Z15" s="5"/>
    </row>
    <row r="16" spans="1:26" x14ac:dyDescent="0.3">
      <c r="A16" s="14"/>
      <c r="B16" s="43">
        <f>'[1]1Sa p'!A25</f>
        <v>0.76388888888888884</v>
      </c>
      <c r="C16" s="44" t="str">
        <f>'[1]1Sa p'!D25</f>
        <v>Marathon</v>
      </c>
      <c r="D16" s="45" t="str">
        <f>'[1]1Sa p'!K25</f>
        <v>M</v>
      </c>
      <c r="E16" s="46" t="str">
        <f>'[1]1Sa p'!M25</f>
        <v>MC</v>
      </c>
      <c r="F16" s="14"/>
      <c r="G16" s="43">
        <f>'[1]2Su p'!A25</f>
        <v>0.75694444444444453</v>
      </c>
      <c r="H16" s="44" t="str">
        <f>'[1]2Su p'!D25</f>
        <v>Shot Put</v>
      </c>
      <c r="I16" s="45" t="str">
        <f>'[1]2Su p'!K25</f>
        <v>W</v>
      </c>
      <c r="J16" s="46" t="str">
        <f>'[1]2Su p'!M25</f>
        <v>MC</v>
      </c>
      <c r="K16" s="14"/>
      <c r="L16" s="43">
        <f>'[1]3M p'!A25</f>
        <v>0.7777777777777779</v>
      </c>
      <c r="M16" s="44" t="str">
        <f>'[1]3M p'!D25</f>
        <v>Heptathlon</v>
      </c>
      <c r="N16" s="45" t="str">
        <f>'[1]3M p'!K25</f>
        <v>W</v>
      </c>
      <c r="O16" s="46" t="str">
        <f>'[1]3M p'!M25</f>
        <v>MC</v>
      </c>
      <c r="P16" s="14"/>
      <c r="Q16" s="43">
        <f>'[1]4Tu p'!A25</f>
        <v>0.77430555555555558</v>
      </c>
      <c r="R16" s="44" t="str">
        <f>'[1]4Tu p'!D25</f>
        <v>Pole Vault</v>
      </c>
      <c r="S16" s="45" t="str">
        <f>'[1]4Tu p'!K25</f>
        <v>M</v>
      </c>
      <c r="T16" s="46" t="str">
        <f>'[1]4Tu p'!M25</f>
        <v>MC</v>
      </c>
      <c r="U16" s="14"/>
      <c r="V16" s="47">
        <f>'[1]5W p'!A25</f>
        <v>0.77430555555555558</v>
      </c>
      <c r="W16" s="48" t="str">
        <f>'[1]5W p'!D25</f>
        <v>1500m</v>
      </c>
      <c r="X16" s="49" t="str">
        <f>'[1]5W p'!K25</f>
        <v>W</v>
      </c>
      <c r="Y16" s="50" t="str">
        <f>'[1]5W p'!M25</f>
        <v>MC</v>
      </c>
      <c r="Z16" s="14"/>
    </row>
    <row r="17" spans="1:26" x14ac:dyDescent="0.3">
      <c r="A17" s="51"/>
      <c r="B17" s="19">
        <f>'[1]1Sa p'!A26</f>
        <v>0.77083333333333326</v>
      </c>
      <c r="C17" s="20" t="str">
        <f>'[1]1Sa p'!D26</f>
        <v>Shot Put Hep</v>
      </c>
      <c r="D17" s="21" t="str">
        <f>'[1]1Sa p'!K26</f>
        <v>W</v>
      </c>
      <c r="E17" s="22" t="str">
        <f>'[1]1Sa p'!M26</f>
        <v>A+B</v>
      </c>
      <c r="F17" s="51"/>
      <c r="G17" s="43">
        <f>'[1]2Su p'!A26</f>
        <v>0.76041666666666663</v>
      </c>
      <c r="H17" s="44" t="str">
        <f>'[1]2Su p'!D26</f>
        <v>10,000m</v>
      </c>
      <c r="I17" s="45" t="str">
        <f>'[1]2Su p'!K26</f>
        <v>M</v>
      </c>
      <c r="J17" s="46" t="str">
        <f>'[1]2Su p'!M26</f>
        <v>MC</v>
      </c>
      <c r="K17" s="51"/>
      <c r="L17" s="43">
        <f>'[1]3M p'!A26</f>
        <v>0.78125</v>
      </c>
      <c r="M17" s="44" t="str">
        <f>'[1]3M p'!D26</f>
        <v>Shot Put</v>
      </c>
      <c r="N17" s="45" t="str">
        <f>'[1]3M p'!K26</f>
        <v>M</v>
      </c>
      <c r="O17" s="46" t="str">
        <f>'[1]3M p'!M26</f>
        <v>MC</v>
      </c>
      <c r="P17" s="51"/>
      <c r="Q17" s="43">
        <f>'[1]4Tu p'!A26</f>
        <v>0.7777777777777779</v>
      </c>
      <c r="R17" s="44" t="str">
        <f>'[1]4Tu p'!D26</f>
        <v>10,000m</v>
      </c>
      <c r="S17" s="45" t="str">
        <f>'[1]4Tu p'!K26</f>
        <v>W</v>
      </c>
      <c r="T17" s="46" t="str">
        <f>'[1]4Tu p'!M26</f>
        <v>MC</v>
      </c>
      <c r="U17" s="51"/>
      <c r="V17" s="47">
        <f>'[1]5W p'!A26</f>
        <v>0.7777777777777779</v>
      </c>
      <c r="W17" s="48" t="str">
        <f>'[1]5W p'!D26</f>
        <v>400m H</v>
      </c>
      <c r="X17" s="49" t="str">
        <f>'[1]5W p'!K26</f>
        <v>M</v>
      </c>
      <c r="Y17" s="50" t="str">
        <f>'[1]5W p'!M26</f>
        <v>MC</v>
      </c>
      <c r="Z17" s="51"/>
    </row>
    <row r="18" spans="1:26" x14ac:dyDescent="0.3">
      <c r="A18" s="14"/>
      <c r="B18" s="19">
        <f>'[1]1Sa p'!A27</f>
        <v>0.77430555555555547</v>
      </c>
      <c r="C18" s="20" t="str">
        <f>'[1]1Sa p'!D27</f>
        <v>400m H</v>
      </c>
      <c r="D18" s="21" t="str">
        <f>'[1]1Sa p'!K27</f>
        <v>M</v>
      </c>
      <c r="E18" s="22" t="str">
        <f>'[1]1Sa p'!M27</f>
        <v>R1</v>
      </c>
      <c r="F18" s="14"/>
      <c r="G18" s="43">
        <f>'[1]2Su p'!A27</f>
        <v>0.76388888888888884</v>
      </c>
      <c r="H18" s="44" t="str">
        <f>'[1]2Su p'!D27</f>
        <v>20km RW</v>
      </c>
      <c r="I18" s="45" t="str">
        <f>'[1]2Su p'!K27</f>
        <v>M</v>
      </c>
      <c r="J18" s="46" t="str">
        <f>'[1]2Su p'!M27</f>
        <v>MC</v>
      </c>
      <c r="K18" s="14"/>
      <c r="L18" s="43">
        <f>'[1]3M p'!A27</f>
        <v>0.78472222222222221</v>
      </c>
      <c r="M18" s="44" t="str">
        <f>'[1]3M p'!D27</f>
        <v>100m</v>
      </c>
      <c r="N18" s="45" t="str">
        <f>'[1]3M p'!K27</f>
        <v>M</v>
      </c>
      <c r="O18" s="46" t="str">
        <f>'[1]3M p'!M27</f>
        <v>MC</v>
      </c>
      <c r="P18" s="14"/>
      <c r="Q18" s="43">
        <f>'[1]4Tu p'!A27</f>
        <v>0.78125</v>
      </c>
      <c r="R18" s="44" t="str">
        <f>'[1]4Tu p'!D27</f>
        <v>3000m SC</v>
      </c>
      <c r="S18" s="45" t="str">
        <f>'[1]4Tu p'!K27</f>
        <v>M</v>
      </c>
      <c r="T18" s="46" t="str">
        <f>'[1]4Tu p'!M27</f>
        <v>MC</v>
      </c>
      <c r="U18" s="14"/>
      <c r="V18" s="47">
        <f>'[1]5W p'!A27</f>
        <v>0.78125</v>
      </c>
      <c r="W18" s="48" t="str">
        <f>'[1]5W p'!D27</f>
        <v>Long Jump</v>
      </c>
      <c r="X18" s="49" t="str">
        <f>'[1]5W p'!K27</f>
        <v>M</v>
      </c>
      <c r="Y18" s="50" t="str">
        <f>'[1]5W p'!M27</f>
        <v>MC</v>
      </c>
      <c r="Z18" s="14"/>
    </row>
    <row r="19" spans="1:26" x14ac:dyDescent="0.3">
      <c r="A19" s="51"/>
      <c r="B19" s="19">
        <f>'[1]1Sa p'!A28</f>
        <v>0.77777777777777779</v>
      </c>
      <c r="C19" s="20" t="str">
        <f>'[1]1Sa p'!D28</f>
        <v>Pole Vault</v>
      </c>
      <c r="D19" s="21" t="str">
        <f>'[1]1Sa p'!K28</f>
        <v>M</v>
      </c>
      <c r="E19" s="22" t="str">
        <f>'[1]1Sa p'!M28</f>
        <v>Q A+B</v>
      </c>
      <c r="F19" s="51"/>
      <c r="G19" s="15">
        <f>'[1]2Su p'!A28</f>
        <v>0.77083333333333326</v>
      </c>
      <c r="H19" s="52" t="str">
        <f>'[1]2Su p'!D28</f>
        <v>Hammer Throw</v>
      </c>
      <c r="I19" s="17" t="str">
        <f>'[1]2Su p'!K28</f>
        <v>M</v>
      </c>
      <c r="J19" s="18" t="str">
        <f>'[1]2Su p'!M28</f>
        <v>Final</v>
      </c>
      <c r="K19" s="51"/>
      <c r="L19" s="19">
        <f>'[1]3M p'!A28</f>
        <v>0.79166666666666663</v>
      </c>
      <c r="M19" s="20" t="str">
        <f>'[1]3M p'!D28</f>
        <v>Javelin Throw</v>
      </c>
      <c r="N19" s="21" t="str">
        <f>'[1]3M p'!K28</f>
        <v>M</v>
      </c>
      <c r="O19" s="22" t="str">
        <f>'[1]3M p'!M28</f>
        <v>Q A</v>
      </c>
      <c r="P19" s="51"/>
      <c r="Q19" s="19">
        <f>'[1]4Tu p'!A28</f>
        <v>0.78472222222222221</v>
      </c>
      <c r="R19" s="20" t="str">
        <f>'[1]4Tu p'!D28</f>
        <v>100m</v>
      </c>
      <c r="S19" s="21" t="str">
        <f>'[1]4Tu p'!K28</f>
        <v>W</v>
      </c>
      <c r="T19" s="22" t="str">
        <f>'[1]4Tu p'!M28</f>
        <v>MC</v>
      </c>
      <c r="U19" s="51"/>
      <c r="V19" s="47">
        <f>'[1]5W p'!A28</f>
        <v>0.78472222222222221</v>
      </c>
      <c r="W19" s="48" t="str">
        <f>'[1]5W p'!D28</f>
        <v>800m</v>
      </c>
      <c r="X19" s="49" t="str">
        <f>'[1]5W p'!K28</f>
        <v>M</v>
      </c>
      <c r="Y19" s="50" t="str">
        <f>'[1]5W p'!M28</f>
        <v>MC</v>
      </c>
      <c r="Z19" s="51"/>
    </row>
    <row r="20" spans="1:26" x14ac:dyDescent="0.3">
      <c r="A20" s="51"/>
      <c r="B20" s="19">
        <f>'[1]1Sa p'!A29</f>
        <v>0.79861111111111116</v>
      </c>
      <c r="C20" s="20" t="str">
        <f>'[1]1Sa p'!D29</f>
        <v>Triple Jump</v>
      </c>
      <c r="D20" s="21" t="str">
        <f>'[1]1Sa p'!K29</f>
        <v>W</v>
      </c>
      <c r="E20" s="22" t="str">
        <f>'[1]1Sa p'!M29</f>
        <v>Q A+B</v>
      </c>
      <c r="F20" s="51"/>
      <c r="G20" s="19">
        <f>'[1]2Su p'!A29</f>
        <v>0.77777777777777779</v>
      </c>
      <c r="H20" s="20" t="str">
        <f>'[1]2Su p'!D29</f>
        <v>400m H</v>
      </c>
      <c r="I20" s="21" t="str">
        <f>'[1]2Su p'!K29</f>
        <v>M</v>
      </c>
      <c r="J20" s="22" t="str">
        <f>'[1]2Su p'!M29</f>
        <v>SF</v>
      </c>
      <c r="K20" s="51"/>
      <c r="L20" s="15">
        <f>'[1]3M p'!A29</f>
        <v>0.79513888888888884</v>
      </c>
      <c r="M20" s="52" t="str">
        <f>'[1]3M p'!D29</f>
        <v>Pole Vault</v>
      </c>
      <c r="N20" s="17" t="str">
        <f>'[1]3M p'!K29</f>
        <v>M</v>
      </c>
      <c r="O20" s="18" t="str">
        <f>'[1]3M p'!M29</f>
        <v>Final</v>
      </c>
      <c r="P20" s="51"/>
      <c r="Q20" s="15">
        <f>'[1]4Tu p'!A29</f>
        <v>0.79166666666666674</v>
      </c>
      <c r="R20" s="52" t="str">
        <f>'[1]4Tu p'!D29</f>
        <v>Discus Throw</v>
      </c>
      <c r="S20" s="17" t="str">
        <f>'[1]4Tu p'!K29</f>
        <v xml:space="preserve">W </v>
      </c>
      <c r="T20" s="18" t="str">
        <f>'[1]4Tu p'!M29</f>
        <v>Final</v>
      </c>
      <c r="U20" s="51"/>
      <c r="V20" s="53">
        <f>'[1]5W p'!A29</f>
        <v>0.79166666666666663</v>
      </c>
      <c r="W20" s="54" t="str">
        <f>'[1]5W p'!D29</f>
        <v>Pole Vault</v>
      </c>
      <c r="X20" s="55" t="str">
        <f>'[1]5W p'!K29</f>
        <v>W</v>
      </c>
      <c r="Y20" s="56" t="str">
        <f>'[1]5W p'!M29</f>
        <v>Final</v>
      </c>
      <c r="Z20" s="51"/>
    </row>
    <row r="21" spans="1:26" x14ac:dyDescent="0.3">
      <c r="A21" s="14"/>
      <c r="B21" s="19">
        <f>'[1]1Sa p'!A30</f>
        <v>0.80555555555555547</v>
      </c>
      <c r="C21" s="20" t="str">
        <f>'[1]1Sa p'!D30</f>
        <v>100m</v>
      </c>
      <c r="D21" s="21" t="str">
        <f>'[1]1Sa p'!K30</f>
        <v>M</v>
      </c>
      <c r="E21" s="22" t="str">
        <f>'[1]1Sa p'!M30</f>
        <v>R1</v>
      </c>
      <c r="F21" s="14"/>
      <c r="G21" s="19">
        <f>'[1]2Su p'!A30</f>
        <v>0.79861111111111116</v>
      </c>
      <c r="H21" s="20" t="str">
        <f>'[1]2Su p'!D30</f>
        <v>100m</v>
      </c>
      <c r="I21" s="21" t="str">
        <f>'[1]2Su p'!K30</f>
        <v>M</v>
      </c>
      <c r="J21" s="22" t="str">
        <f>'[1]2Su p'!M30</f>
        <v>SF</v>
      </c>
      <c r="K21" s="14"/>
      <c r="L21" s="19">
        <f>'[1]3M p'!A30</f>
        <v>0.79861111111111116</v>
      </c>
      <c r="M21" s="20" t="str">
        <f>'[1]3M p'!D30</f>
        <v>400m H</v>
      </c>
      <c r="N21" s="21" t="str">
        <f>'[1]3M p'!K30</f>
        <v>W</v>
      </c>
      <c r="O21" s="22" t="str">
        <f>'[1]3M p'!M30</f>
        <v>SF</v>
      </c>
      <c r="P21" s="14"/>
      <c r="Q21" s="19">
        <f>'[1]4Tu p'!A30</f>
        <v>0.79513888888888884</v>
      </c>
      <c r="R21" s="20" t="str">
        <f>'[1]4Tu p'!D30</f>
        <v>400m</v>
      </c>
      <c r="S21" s="21" t="str">
        <f>'[1]4Tu p'!K30</f>
        <v>W</v>
      </c>
      <c r="T21" s="22" t="str">
        <f>'[1]4Tu p'!M30</f>
        <v>SF</v>
      </c>
      <c r="U21" s="14"/>
      <c r="V21" s="53">
        <f>'[1]5W p'!A30</f>
        <v>0.79513888888888884</v>
      </c>
      <c r="W21" s="54" t="str">
        <f>'[1]5W p'!D30</f>
        <v>Javelin Throw</v>
      </c>
      <c r="X21" s="55" t="str">
        <f>'[1]5W p'!K30</f>
        <v>M</v>
      </c>
      <c r="Y21" s="56" t="str">
        <f>'[1]5W p'!M30</f>
        <v>Final</v>
      </c>
      <c r="Z21" s="14"/>
    </row>
    <row r="22" spans="1:26" x14ac:dyDescent="0.3">
      <c r="A22" s="14"/>
      <c r="B22" s="15">
        <f>'[1]1Sa p'!A31</f>
        <v>0.83680555555555547</v>
      </c>
      <c r="C22" s="52" t="str">
        <f>'[1]1Sa p'!D31</f>
        <v>Shot Put</v>
      </c>
      <c r="D22" s="17" t="str">
        <f>'[1]1Sa p'!K31</f>
        <v>W</v>
      </c>
      <c r="E22" s="18" t="str">
        <f>'[1]1Sa p'!M31</f>
        <v>Final</v>
      </c>
      <c r="F22" s="14"/>
      <c r="G22" s="15">
        <f>'[1]2Su p'!A31</f>
        <v>0.8125</v>
      </c>
      <c r="H22" s="52" t="str">
        <f>'[1]2Su p'!D31</f>
        <v>Shot Put</v>
      </c>
      <c r="I22" s="17" t="str">
        <f>'[1]2Su p'!K31</f>
        <v>M</v>
      </c>
      <c r="J22" s="18" t="str">
        <f>'[1]2Su p'!M31</f>
        <v>Final</v>
      </c>
      <c r="K22" s="14"/>
      <c r="L22" s="15">
        <f>'[1]3M p'!A31</f>
        <v>0.8125</v>
      </c>
      <c r="M22" s="52" t="str">
        <f>'[1]3M p'!D31</f>
        <v>Triple Jump</v>
      </c>
      <c r="N22" s="17" t="str">
        <f>'[1]3M p'!K31</f>
        <v>W</v>
      </c>
      <c r="O22" s="18" t="str">
        <f>'[1]3M p'!M31</f>
        <v>Final</v>
      </c>
      <c r="P22" s="14"/>
      <c r="Q22" s="15">
        <f>'[1]4Tu p'!A31</f>
        <v>0.8090277777777779</v>
      </c>
      <c r="R22" s="52" t="str">
        <f>'[1]4Tu p'!D31</f>
        <v>Long Jump</v>
      </c>
      <c r="S22" s="17" t="str">
        <f>'[1]4Tu p'!K31</f>
        <v>M</v>
      </c>
      <c r="T22" s="18" t="str">
        <f>'[1]4Tu p'!M31</f>
        <v>Final</v>
      </c>
      <c r="U22" s="14"/>
      <c r="V22" s="27">
        <f>'[1]5W p'!A31</f>
        <v>0.80208333333333337</v>
      </c>
      <c r="W22" s="28" t="str">
        <f>'[1]5W p'!D31</f>
        <v>200m</v>
      </c>
      <c r="X22" s="29" t="str">
        <f>'[1]5W p'!K31</f>
        <v>W</v>
      </c>
      <c r="Y22" s="30" t="str">
        <f>'[1]5W p'!M31</f>
        <v>R1</v>
      </c>
      <c r="Z22" s="14"/>
    </row>
    <row r="23" spans="1:26" x14ac:dyDescent="0.3">
      <c r="A23" s="51"/>
      <c r="B23" s="19">
        <f>'[1]1Sa p'!A32</f>
        <v>0.84375</v>
      </c>
      <c r="C23" s="20" t="str">
        <f>'[1]1Sa p'!D32</f>
        <v>200m Hep</v>
      </c>
      <c r="D23" s="21" t="str">
        <f>'[1]1Sa p'!K32</f>
        <v>W</v>
      </c>
      <c r="E23" s="22"/>
      <c r="F23" s="51"/>
      <c r="G23" s="15">
        <f>'[1]2Su p'!A32</f>
        <v>0.81944444444444453</v>
      </c>
      <c r="H23" s="52" t="str">
        <f>'[1]2Su p'!D32</f>
        <v>800m Hep</v>
      </c>
      <c r="I23" s="17" t="str">
        <f>'[1]2Su p'!K32</f>
        <v>W</v>
      </c>
      <c r="J23" s="18" t="str">
        <f>'[1]2Su p'!M32</f>
        <v>Final</v>
      </c>
      <c r="K23" s="51"/>
      <c r="L23" s="19">
        <f>'[1]3M p'!A32</f>
        <v>0.81944444444444453</v>
      </c>
      <c r="M23" s="20" t="str">
        <f>'[1]3M p'!D32</f>
        <v>100m</v>
      </c>
      <c r="N23" s="21" t="str">
        <f>'[1]3M p'!K32</f>
        <v>W</v>
      </c>
      <c r="O23" s="22" t="str">
        <f>'[1]3M p'!M32</f>
        <v>SF</v>
      </c>
      <c r="P23" s="51"/>
      <c r="Q23" s="19">
        <f>'[1]4Tu p'!A32</f>
        <v>0.81944444444444453</v>
      </c>
      <c r="R23" s="20" t="str">
        <f>'[1]4Tu p'!D32</f>
        <v>200m</v>
      </c>
      <c r="S23" s="21" t="str">
        <f>'[1]4Tu p'!K32</f>
        <v>M</v>
      </c>
      <c r="T23" s="22" t="str">
        <f>'[1]4Tu p'!M32</f>
        <v>R1</v>
      </c>
      <c r="U23" s="51"/>
      <c r="V23" s="53">
        <f>'[1]5W p'!A32</f>
        <v>0.8402777777777779</v>
      </c>
      <c r="W23" s="54" t="str">
        <f>'[1]5W p'!D32</f>
        <v>400m H</v>
      </c>
      <c r="X23" s="55" t="str">
        <f>'[1]5W p'!K32</f>
        <v>W</v>
      </c>
      <c r="Y23" s="56" t="str">
        <f>'[1]5W p'!M32</f>
        <v>Final</v>
      </c>
      <c r="Z23" s="51"/>
    </row>
    <row r="24" spans="1:26" x14ac:dyDescent="0.3">
      <c r="A24" s="51"/>
      <c r="B24" s="15">
        <f>'[1]1Sa p'!A33</f>
        <v>0.86805555555555547</v>
      </c>
      <c r="C24" s="52" t="str">
        <f>'[1]1Sa p'!D33</f>
        <v>10,000m</v>
      </c>
      <c r="D24" s="17" t="str">
        <f>'[1]1Sa p'!K33</f>
        <v>M</v>
      </c>
      <c r="E24" s="18" t="str">
        <f>'[1]1Sa p'!M33</f>
        <v>Final</v>
      </c>
      <c r="F24" s="51"/>
      <c r="G24" s="19">
        <f>'[1]2Su p'!A33</f>
        <v>0.84375</v>
      </c>
      <c r="H24" s="20" t="str">
        <f>'[1]2Su p'!D33</f>
        <v>800m</v>
      </c>
      <c r="I24" s="21" t="str">
        <f>'[1]2Su p'!K33</f>
        <v>M</v>
      </c>
      <c r="J24" s="22" t="str">
        <f>'[1]2Su p'!M33</f>
        <v>SF</v>
      </c>
      <c r="K24" s="51"/>
      <c r="L24" s="19">
        <f>'[1]3M p'!A33</f>
        <v>0.83680555555555558</v>
      </c>
      <c r="M24" s="20" t="str">
        <f>'[1]3M p'!D33</f>
        <v>400m</v>
      </c>
      <c r="N24" s="21" t="str">
        <f>'[1]3M p'!K33</f>
        <v>M</v>
      </c>
      <c r="O24" s="22" t="str">
        <f>'[1]3M p'!M33</f>
        <v>SF</v>
      </c>
      <c r="P24" s="51"/>
      <c r="Q24" s="15">
        <f>'[1]4Tu p'!A33</f>
        <v>0.85763888888888884</v>
      </c>
      <c r="R24" s="52" t="str">
        <f>'[1]4Tu p'!D33</f>
        <v>400m H</v>
      </c>
      <c r="S24" s="17" t="str">
        <f>'[1]4Tu p'!K33</f>
        <v>M</v>
      </c>
      <c r="T24" s="18" t="str">
        <f>'[1]4Tu p'!M33</f>
        <v>Final</v>
      </c>
      <c r="U24" s="51"/>
      <c r="V24" s="27">
        <f>'[1]5W p'!A33</f>
        <v>0.85416666666666674</v>
      </c>
      <c r="W24" s="28" t="str">
        <f>'[1]5W p'!D33</f>
        <v>200m</v>
      </c>
      <c r="X24" s="29" t="str">
        <f>'[1]5W p'!K33</f>
        <v>M</v>
      </c>
      <c r="Y24" s="30" t="str">
        <f>'[1]5W p'!M33</f>
        <v>SF</v>
      </c>
      <c r="Z24" s="51"/>
    </row>
    <row r="25" spans="1:26" x14ac:dyDescent="0.3">
      <c r="A25" s="14"/>
      <c r="B25" s="19"/>
      <c r="C25" s="20"/>
      <c r="D25" s="21"/>
      <c r="E25" s="22"/>
      <c r="F25" s="14"/>
      <c r="G25" s="19">
        <f>'[1]2Su p'!A34</f>
        <v>0.86458333333333337</v>
      </c>
      <c r="H25" s="20" t="str">
        <f>'[1]2Su p'!D34</f>
        <v>1500m</v>
      </c>
      <c r="I25" s="21" t="str">
        <f>'[1]2Su p'!K34</f>
        <v>W</v>
      </c>
      <c r="J25" s="22" t="str">
        <f>'[1]2Su p'!M34</f>
        <v>SF</v>
      </c>
      <c r="K25" s="14"/>
      <c r="L25" s="19">
        <f>'[1]3M p'!A34</f>
        <v>0.85069444444444453</v>
      </c>
      <c r="M25" s="20" t="str">
        <f>'[1]3M p'!D34</f>
        <v>Javelin Throw</v>
      </c>
      <c r="N25" s="21" t="str">
        <f>'[1]3M p'!K34</f>
        <v>M</v>
      </c>
      <c r="O25" s="22" t="str">
        <f>'[1]3M p'!M34</f>
        <v>Q B</v>
      </c>
      <c r="P25" s="14"/>
      <c r="Q25" s="15">
        <f>'[1]4Tu p'!A34</f>
        <v>0.8715277777777779</v>
      </c>
      <c r="R25" s="52" t="str">
        <f>'[1]4Tu p'!D34</f>
        <v>1500m</v>
      </c>
      <c r="S25" s="17" t="str">
        <f>'[1]4Tu p'!K34</f>
        <v>W</v>
      </c>
      <c r="T25" s="18" t="str">
        <f>'[1]4Tu p'!M34</f>
        <v>Final</v>
      </c>
      <c r="U25" s="14"/>
      <c r="V25" s="53">
        <f>'[1]5W p'!A34</f>
        <v>0.875</v>
      </c>
      <c r="W25" s="54" t="str">
        <f>'[1]5W p'!D34</f>
        <v>3000m SC</v>
      </c>
      <c r="X25" s="55" t="str">
        <f>'[1]5W p'!K34</f>
        <v>W</v>
      </c>
      <c r="Y25" s="56" t="str">
        <f>'[1]5W p'!M34</f>
        <v>Final</v>
      </c>
      <c r="Z25" s="14"/>
    </row>
    <row r="26" spans="1:26" x14ac:dyDescent="0.3">
      <c r="A26" s="57"/>
      <c r="B26" s="19"/>
      <c r="C26" s="20"/>
      <c r="D26" s="21"/>
      <c r="E26" s="22"/>
      <c r="F26" s="57"/>
      <c r="G26" s="19">
        <f>'[1]2Su p'!A35</f>
        <v>0.87847222222222221</v>
      </c>
      <c r="H26" s="20" t="str">
        <f>'[1]2Su p'!D35</f>
        <v>Hammer Throw</v>
      </c>
      <c r="I26" s="21" t="str">
        <f>'[1]2Su p'!K35</f>
        <v>M</v>
      </c>
      <c r="J26" s="22" t="str">
        <f>'[1]2Su p'!M35</f>
        <v>MC</v>
      </c>
      <c r="K26" s="57"/>
      <c r="L26" s="15">
        <f>'[1]3M p'!A35</f>
        <v>0.85763888888888884</v>
      </c>
      <c r="M26" s="52" t="str">
        <f>'[1]3M p'!D35</f>
        <v>10,000m</v>
      </c>
      <c r="N26" s="17" t="str">
        <f>'[1]3M p'!K35</f>
        <v>W</v>
      </c>
      <c r="O26" s="18" t="str">
        <f>'[1]3M p'!M35</f>
        <v>Final</v>
      </c>
      <c r="P26" s="57"/>
      <c r="Q26" s="19">
        <f>'[1]4Tu p'!A35</f>
        <v>0.87638888888888899</v>
      </c>
      <c r="R26" s="20" t="str">
        <f>'[1]4Tu p'!D35</f>
        <v>Discus Throw</v>
      </c>
      <c r="S26" s="21" t="str">
        <f>'[1]4Tu p'!K35</f>
        <v>W</v>
      </c>
      <c r="T26" s="22" t="str">
        <f>'[1]4Tu p'!M35</f>
        <v>MC</v>
      </c>
      <c r="U26" s="57"/>
      <c r="V26" s="47">
        <f>'[1]5W p'!A35</f>
        <v>0.88402777777777775</v>
      </c>
      <c r="W26" s="48" t="str">
        <f>'[1]5W p'!D35</f>
        <v>400m H</v>
      </c>
      <c r="X26" s="49" t="str">
        <f>'[1]5W p'!K35</f>
        <v>W</v>
      </c>
      <c r="Y26" s="50" t="str">
        <f>'[1]5W p'!M35</f>
        <v>MC</v>
      </c>
      <c r="Z26" s="57"/>
    </row>
    <row r="27" spans="1:26" x14ac:dyDescent="0.3">
      <c r="A27" s="51"/>
      <c r="B27" s="19"/>
      <c r="C27" s="20"/>
      <c r="D27" s="21"/>
      <c r="E27" s="22"/>
      <c r="F27" s="51"/>
      <c r="G27" s="15">
        <f>'[1]2Su p'!A36</f>
        <v>0.88541666666666663</v>
      </c>
      <c r="H27" s="52" t="str">
        <f>'[1]2Su p'!D36</f>
        <v>100m</v>
      </c>
      <c r="I27" s="17" t="str">
        <f>'[1]2Su p'!K36</f>
        <v>M</v>
      </c>
      <c r="J27" s="18" t="str">
        <f>'[1]2Su p'!M36</f>
        <v>Final</v>
      </c>
      <c r="K27" s="51"/>
      <c r="L27" s="15">
        <f>'[1]3M p'!A36</f>
        <v>0.88541666666666674</v>
      </c>
      <c r="M27" s="52" t="str">
        <f>'[1]3M p'!D36</f>
        <v>3000m SC</v>
      </c>
      <c r="N27" s="17" t="str">
        <f>'[1]3M p'!K36</f>
        <v>M</v>
      </c>
      <c r="O27" s="18" t="str">
        <f>'[1]3M p'!M36</f>
        <v>Final</v>
      </c>
      <c r="P27" s="51"/>
      <c r="Q27" s="15">
        <f>'[1]4Tu p'!A36</f>
        <v>0.88194444444444453</v>
      </c>
      <c r="R27" s="52" t="str">
        <f>'[1]4Tu p'!D36</f>
        <v>800m</v>
      </c>
      <c r="S27" s="17" t="str">
        <f>'[1]4Tu p'!K36</f>
        <v>M</v>
      </c>
      <c r="T27" s="18" t="str">
        <f>'[1]4Tu p'!M36</f>
        <v>Final</v>
      </c>
      <c r="U27" s="51"/>
      <c r="V27" s="53">
        <f>'[1]5W p'!A36</f>
        <v>0.89236111111111116</v>
      </c>
      <c r="W27" s="54" t="str">
        <f>'[1]5W p'!D36</f>
        <v>400m</v>
      </c>
      <c r="X27" s="55" t="str">
        <f>'[1]5W p'!K36</f>
        <v>M</v>
      </c>
      <c r="Y27" s="56" t="str">
        <f>'[1]5W p'!M36</f>
        <v>Final</v>
      </c>
      <c r="Z27" s="51"/>
    </row>
    <row r="28" spans="1:26" x14ac:dyDescent="0.3">
      <c r="A28" s="57"/>
      <c r="B28" s="19"/>
      <c r="C28" s="20"/>
      <c r="D28" s="21"/>
      <c r="E28" s="22"/>
      <c r="F28" s="57"/>
      <c r="G28" s="19"/>
      <c r="H28" s="20"/>
      <c r="I28" s="21"/>
      <c r="J28" s="22"/>
      <c r="K28" s="57"/>
      <c r="L28" s="19">
        <f>'[1]3M p'!A37</f>
        <v>0.89375000000000004</v>
      </c>
      <c r="M28" s="20" t="str">
        <f>'[1]3M p'!D37</f>
        <v>Triple Jump</v>
      </c>
      <c r="N28" s="21" t="str">
        <f>'[1]3M p'!K37</f>
        <v>W</v>
      </c>
      <c r="O28" s="22" t="str">
        <f>'[1]3M p'!M37</f>
        <v>MC</v>
      </c>
      <c r="P28" s="57"/>
      <c r="Q28" s="19"/>
      <c r="R28" s="20"/>
      <c r="S28" s="21"/>
      <c r="T28" s="22"/>
      <c r="U28" s="57"/>
      <c r="V28" s="27"/>
      <c r="W28" s="28"/>
      <c r="X28" s="29"/>
      <c r="Y28" s="30"/>
      <c r="Z28" s="57"/>
    </row>
    <row r="29" spans="1:26" x14ac:dyDescent="0.3">
      <c r="A29" s="51"/>
      <c r="B29" s="19"/>
      <c r="C29" s="20"/>
      <c r="D29" s="21"/>
      <c r="E29" s="22"/>
      <c r="F29" s="51"/>
      <c r="G29" s="19"/>
      <c r="H29" s="20"/>
      <c r="I29" s="21"/>
      <c r="J29" s="22"/>
      <c r="K29" s="51"/>
      <c r="L29" s="15">
        <f>'[1]3M p'!A38</f>
        <v>0.89930555555555558</v>
      </c>
      <c r="M29" s="52" t="str">
        <f>'[1]3M p'!D38</f>
        <v>100m</v>
      </c>
      <c r="N29" s="17" t="str">
        <f>'[1]3M p'!K38</f>
        <v>W</v>
      </c>
      <c r="O29" s="18" t="str">
        <f>'[1]3M p'!M38</f>
        <v>Final</v>
      </c>
      <c r="P29" s="51"/>
      <c r="Q29" s="19"/>
      <c r="R29" s="20"/>
      <c r="S29" s="21"/>
      <c r="T29" s="22"/>
      <c r="U29" s="51"/>
      <c r="V29" s="27"/>
      <c r="W29" s="28"/>
      <c r="X29" s="29"/>
      <c r="Y29" s="30"/>
      <c r="Z29" s="51"/>
    </row>
    <row r="30" spans="1:26" x14ac:dyDescent="0.3">
      <c r="A30" s="57"/>
      <c r="B30" s="58"/>
      <c r="C30" s="59"/>
      <c r="D30" s="60"/>
      <c r="E30" s="61"/>
      <c r="F30" s="57"/>
      <c r="G30" s="58"/>
      <c r="H30" s="59"/>
      <c r="I30" s="60"/>
      <c r="J30" s="61"/>
      <c r="K30" s="57"/>
      <c r="L30" s="58"/>
      <c r="M30" s="59"/>
      <c r="N30" s="60"/>
      <c r="O30" s="61"/>
      <c r="P30" s="57"/>
      <c r="Q30" s="58"/>
      <c r="R30" s="62"/>
      <c r="S30" s="60"/>
      <c r="T30" s="61"/>
      <c r="U30" s="57"/>
      <c r="V30" s="58"/>
      <c r="W30" s="62"/>
      <c r="X30" s="60"/>
      <c r="Y30" s="61"/>
      <c r="Z30" s="57"/>
    </row>
    <row r="31" spans="1:26" x14ac:dyDescent="0.3">
      <c r="A31" s="63"/>
      <c r="B31" s="64"/>
      <c r="C31" s="41"/>
      <c r="D31" s="42"/>
      <c r="E31" s="42"/>
      <c r="F31" s="63"/>
      <c r="G31" s="65"/>
      <c r="H31" s="66"/>
      <c r="I31" s="63"/>
      <c r="J31" s="63"/>
      <c r="K31" s="63"/>
      <c r="L31" s="64"/>
      <c r="M31" s="41"/>
      <c r="N31" s="42"/>
      <c r="O31" s="42"/>
      <c r="P31" s="63"/>
      <c r="Q31" s="64"/>
      <c r="R31" s="41"/>
      <c r="S31" s="42"/>
      <c r="T31" s="42"/>
      <c r="U31" s="63"/>
      <c r="V31" s="64"/>
      <c r="W31" s="41"/>
      <c r="X31" s="42"/>
      <c r="Y31" s="42"/>
      <c r="Z31" s="63"/>
    </row>
    <row r="32" spans="1:26" x14ac:dyDescent="0.3">
      <c r="A32" s="5"/>
      <c r="B32" s="6" t="str">
        <f>'[1]6Th a'!A1</f>
        <v>DAY 6 - Thursday, Morning, 27 August</v>
      </c>
      <c r="C32" s="7"/>
      <c r="D32" s="8"/>
      <c r="E32" s="9"/>
      <c r="F32" s="5"/>
      <c r="G32" s="6" t="str">
        <f>'[1]7F a'!A1</f>
        <v>DAY 7 - Friday, Morning, 28 August</v>
      </c>
      <c r="H32" s="10"/>
      <c r="I32" s="11"/>
      <c r="J32" s="12"/>
      <c r="K32" s="5"/>
      <c r="L32" s="6" t="str">
        <f>'[1]8Sa a'!A1</f>
        <v>DAY 8 - Saturday, Morning 29 August</v>
      </c>
      <c r="M32" s="67"/>
      <c r="N32" s="68"/>
      <c r="O32" s="69"/>
      <c r="P32" s="5"/>
      <c r="Q32" s="6" t="str">
        <f>'[1]9Su a'!A1</f>
        <v>DAY 9 - Sunday, Morning 30 August</v>
      </c>
      <c r="R32" s="67"/>
      <c r="S32" s="68"/>
      <c r="T32" s="69"/>
      <c r="U32" s="5"/>
      <c r="V32" s="70"/>
      <c r="W32" s="1"/>
      <c r="X32" s="71"/>
      <c r="Y32" s="1"/>
      <c r="Z32" s="5"/>
    </row>
    <row r="33" spans="1:26" x14ac:dyDescent="0.3">
      <c r="A33" s="14"/>
      <c r="B33" s="19">
        <f>'[1]6Th a'!A25</f>
        <v>0.39583333333333331</v>
      </c>
      <c r="C33" s="31" t="str">
        <f>'[1]6Th a'!D25</f>
        <v>Discus Throw</v>
      </c>
      <c r="D33" s="21" t="str">
        <f>'[1]6Th a'!K25</f>
        <v>M</v>
      </c>
      <c r="E33" s="21" t="str">
        <f>'[1]6Th a'!M25</f>
        <v>Q A</v>
      </c>
      <c r="F33" s="14"/>
      <c r="G33" s="15">
        <f>'[1]7F a'!A25</f>
        <v>0.35416666666666669</v>
      </c>
      <c r="H33" s="52" t="str">
        <f>'[1]7F a'!D25</f>
        <v>20km Race Walk</v>
      </c>
      <c r="I33" s="17" t="str">
        <f>'[1]7F a'!K25</f>
        <v>W</v>
      </c>
      <c r="J33" s="18" t="str">
        <f>'[1]7F a'!M25</f>
        <v>Final</v>
      </c>
      <c r="K33" s="14"/>
      <c r="L33" s="53">
        <f>'[1]8Sa a'!A25</f>
        <v>0.3125</v>
      </c>
      <c r="M33" s="52" t="str">
        <f>'[1]8Sa a'!D25</f>
        <v>50km Race Walk</v>
      </c>
      <c r="N33" s="55" t="str">
        <f>'[1]8Sa a'!K25</f>
        <v>M</v>
      </c>
      <c r="O33" s="56" t="str">
        <f>'[1]8Sa a'!M25</f>
        <v>Final</v>
      </c>
      <c r="P33" s="14"/>
      <c r="Q33" s="15">
        <f>'[1]9Su a'!A25</f>
        <v>0.3125</v>
      </c>
      <c r="R33" s="52" t="str">
        <f>'[1]9Su a'!D25</f>
        <v>Marathon</v>
      </c>
      <c r="S33" s="17" t="str">
        <f>'[1]9Su a'!K25</f>
        <v>W</v>
      </c>
      <c r="T33" s="18" t="str">
        <f>'[1]9Su a'!M25</f>
        <v>Final</v>
      </c>
      <c r="U33" s="14"/>
      <c r="V33" s="42"/>
      <c r="W33" s="41"/>
      <c r="X33" s="42"/>
      <c r="Y33" s="42"/>
      <c r="Z33" s="14"/>
    </row>
    <row r="34" spans="1:26" x14ac:dyDescent="0.3">
      <c r="A34" s="14"/>
      <c r="B34" s="19">
        <f>'[1]6Th a'!A26</f>
        <v>0.39930555555555558</v>
      </c>
      <c r="C34" s="31" t="str">
        <f>'[1]6Th a'!D26</f>
        <v>High Jump</v>
      </c>
      <c r="D34" s="21" t="str">
        <f>'[1]6Th a'!K26</f>
        <v>W</v>
      </c>
      <c r="E34" s="21" t="str">
        <f>'[1]6Th a'!M26</f>
        <v>Q A+B</v>
      </c>
      <c r="F34" s="14"/>
      <c r="G34" s="19">
        <f>'[1]7F a'!A26</f>
        <v>0.375</v>
      </c>
      <c r="H34" s="20" t="str">
        <f>'[1]7F a'!D26</f>
        <v>100m Dec</v>
      </c>
      <c r="I34" s="21" t="str">
        <f>'[1]7F a'!K26</f>
        <v>M</v>
      </c>
      <c r="J34" s="22"/>
      <c r="K34" s="14"/>
      <c r="L34" s="27">
        <f>'[1]8Sa a'!A26</f>
        <v>0.375</v>
      </c>
      <c r="M34" s="20" t="str">
        <f>'[1]8Sa a'!D26</f>
        <v>110m H Dec</v>
      </c>
      <c r="N34" s="29" t="str">
        <f>'[1]8Sa a'!K26</f>
        <v>M</v>
      </c>
      <c r="O34" s="30"/>
      <c r="P34" s="14"/>
      <c r="Q34" s="19"/>
      <c r="R34" s="31"/>
      <c r="S34" s="21"/>
      <c r="T34" s="22"/>
      <c r="U34" s="14"/>
      <c r="V34" s="42"/>
      <c r="W34" s="41"/>
      <c r="X34" s="42"/>
      <c r="Y34" s="42"/>
      <c r="Z34" s="14"/>
    </row>
    <row r="35" spans="1:26" x14ac:dyDescent="0.3">
      <c r="A35" s="14"/>
      <c r="B35" s="19">
        <f>'[1]6Th a'!A27</f>
        <v>0.40277777777777773</v>
      </c>
      <c r="C35" s="31" t="str">
        <f>'[1]6Th a'!D27</f>
        <v>5000m</v>
      </c>
      <c r="D35" s="21" t="str">
        <f>'[1]6Th a'!K27</f>
        <v>W</v>
      </c>
      <c r="E35" s="21" t="str">
        <f>'[1]6Th a'!M27</f>
        <v>R1</v>
      </c>
      <c r="F35" s="14"/>
      <c r="G35" s="19">
        <f>'[1]7F a'!A27</f>
        <v>0.40625</v>
      </c>
      <c r="H35" s="20" t="str">
        <f>'[1]7F a'!D27</f>
        <v>High Jump</v>
      </c>
      <c r="I35" s="21" t="str">
        <f>'[1]7F a'!K27</f>
        <v>M</v>
      </c>
      <c r="J35" s="22" t="str">
        <f>'[1]7F a'!M27</f>
        <v>Q A+B</v>
      </c>
      <c r="K35" s="14"/>
      <c r="L35" s="27">
        <f>'[1]8Sa a'!A27</f>
        <v>0.4201388888888889</v>
      </c>
      <c r="M35" s="20" t="str">
        <f>'[1]8Sa a'!D27</f>
        <v>Discus Throw Dec</v>
      </c>
      <c r="N35" s="29" t="str">
        <f>'[1]8Sa a'!K27</f>
        <v>M</v>
      </c>
      <c r="O35" s="30" t="str">
        <f>'[1]8Sa a'!M27</f>
        <v>A</v>
      </c>
      <c r="P35" s="14"/>
      <c r="Q35" s="19"/>
      <c r="R35" s="31"/>
      <c r="S35" s="21"/>
      <c r="T35" s="22"/>
      <c r="U35" s="14"/>
      <c r="V35" s="42"/>
      <c r="W35" s="41"/>
      <c r="X35" s="42"/>
      <c r="Y35" s="42"/>
      <c r="Z35" s="14"/>
    </row>
    <row r="36" spans="1:26" x14ac:dyDescent="0.3">
      <c r="A36" s="14"/>
      <c r="B36" s="19">
        <f>'[1]6Th a'!A28</f>
        <v>0.43055555555555558</v>
      </c>
      <c r="C36" s="31" t="str">
        <f>'[1]6Th a'!D28</f>
        <v>Long Jump</v>
      </c>
      <c r="D36" s="21" t="str">
        <f>'[1]6Th a'!K28</f>
        <v>W</v>
      </c>
      <c r="E36" s="21" t="str">
        <f>'[1]6Th a'!M28</f>
        <v>Q A+B</v>
      </c>
      <c r="F36" s="14"/>
      <c r="G36" s="19">
        <f>'[1]7F a'!A28</f>
        <v>0.4201388888888889</v>
      </c>
      <c r="H36" s="20" t="str">
        <f>'[1]7F a'!D28</f>
        <v>Long Jump Dec</v>
      </c>
      <c r="I36" s="21" t="str">
        <f>'[1]7F a'!K28</f>
        <v>M</v>
      </c>
      <c r="J36" s="22" t="str">
        <f>'[1]7F a'!M28</f>
        <v>A+B</v>
      </c>
      <c r="K36" s="14"/>
      <c r="L36" s="27">
        <f>'[1]8Sa a'!A28</f>
        <v>0.42708333333333331</v>
      </c>
      <c r="M36" s="20" t="str">
        <f>'[1]8Sa a'!D28</f>
        <v>4 x 400m Relay</v>
      </c>
      <c r="N36" s="29" t="str">
        <f>'[1]8Sa a'!K28</f>
        <v>W</v>
      </c>
      <c r="O36" s="30" t="str">
        <f>'[1]8Sa a'!M28</f>
        <v>R1</v>
      </c>
      <c r="P36" s="14"/>
      <c r="Q36" s="19"/>
      <c r="R36" s="31"/>
      <c r="S36" s="21"/>
      <c r="T36" s="22"/>
      <c r="U36" s="14"/>
      <c r="V36" s="42"/>
      <c r="W36" s="41"/>
      <c r="X36" s="42"/>
      <c r="Y36" s="42"/>
      <c r="Z36" s="14"/>
    </row>
    <row r="37" spans="1:26" x14ac:dyDescent="0.3">
      <c r="A37" s="14"/>
      <c r="B37" s="19">
        <f>'[1]6Th a'!A29</f>
        <v>0.44097222222222227</v>
      </c>
      <c r="C37" s="31" t="str">
        <f>'[1]6Th a'!D29</f>
        <v>1500m</v>
      </c>
      <c r="D37" s="21" t="str">
        <f>'[1]6Th a'!K29</f>
        <v>M</v>
      </c>
      <c r="E37" s="21" t="str">
        <f>'[1]6Th a'!M29</f>
        <v>R1</v>
      </c>
      <c r="F37" s="14"/>
      <c r="G37" s="43">
        <f>'[1]7F a'!A29</f>
        <v>0.47222222222222227</v>
      </c>
      <c r="H37" s="44" t="str">
        <f>'[1]7F a'!D29</f>
        <v>20km RW</v>
      </c>
      <c r="I37" s="45" t="str">
        <f>'[1]7F a'!K29</f>
        <v>W</v>
      </c>
      <c r="J37" s="46" t="str">
        <f>'[1]7F a'!M29</f>
        <v>MC</v>
      </c>
      <c r="K37" s="14"/>
      <c r="L37" s="27">
        <f>'[1]8Sa a'!A29</f>
        <v>0.44444444444444442</v>
      </c>
      <c r="M37" s="20" t="str">
        <f>'[1]8Sa a'!D29</f>
        <v>4 x 400m Relay</v>
      </c>
      <c r="N37" s="29" t="str">
        <f>'[1]8Sa a'!K29</f>
        <v>M</v>
      </c>
      <c r="O37" s="30" t="str">
        <f>'[1]8Sa a'!M29</f>
        <v>R1</v>
      </c>
      <c r="P37" s="14"/>
      <c r="Q37" s="19"/>
      <c r="R37" s="31"/>
      <c r="S37" s="21"/>
      <c r="T37" s="22"/>
      <c r="U37" s="14"/>
      <c r="V37" s="42"/>
      <c r="W37" s="41"/>
      <c r="X37" s="42"/>
      <c r="Y37" s="42"/>
      <c r="Z37" s="14"/>
    </row>
    <row r="38" spans="1:26" x14ac:dyDescent="0.3">
      <c r="A38" s="14"/>
      <c r="B38" s="19">
        <f>'[1]6Th a'!A30</f>
        <v>0.4513888888888889</v>
      </c>
      <c r="C38" s="31" t="str">
        <f>'[1]6Th a'!D30</f>
        <v>Discus Throw</v>
      </c>
      <c r="D38" s="21" t="str">
        <f>'[1]6Th a'!K30</f>
        <v>M</v>
      </c>
      <c r="E38" s="21" t="str">
        <f>'[1]6Th a'!M30</f>
        <v>Q B</v>
      </c>
      <c r="F38" s="14"/>
      <c r="G38" s="19">
        <f>'[1]7F a'!A30</f>
        <v>0.49652777777777773</v>
      </c>
      <c r="H38" s="20" t="str">
        <f>'[1]7F a'!D30</f>
        <v>Shot Put Dec</v>
      </c>
      <c r="I38" s="21" t="str">
        <f>'[1]7F a'!K30</f>
        <v>M</v>
      </c>
      <c r="J38" s="22" t="str">
        <f>'[1]7F a'!M30</f>
        <v>A+B</v>
      </c>
      <c r="K38" s="14"/>
      <c r="L38" s="27">
        <f>'[1]8Sa a'!A30</f>
        <v>0.47222222222222227</v>
      </c>
      <c r="M38" s="20" t="str">
        <f>'[1]8Sa a'!D30</f>
        <v>Discus Throw Dec</v>
      </c>
      <c r="N38" s="29" t="str">
        <f>'[1]8Sa a'!K30</f>
        <v>M</v>
      </c>
      <c r="O38" s="30" t="str">
        <f>'[1]8Sa a'!M30</f>
        <v>B</v>
      </c>
      <c r="P38" s="14"/>
      <c r="Q38" s="19"/>
      <c r="R38" s="31"/>
      <c r="S38" s="21"/>
      <c r="T38" s="22"/>
      <c r="U38" s="14"/>
      <c r="V38" s="42"/>
      <c r="W38" s="41"/>
      <c r="X38" s="42"/>
      <c r="Y38" s="42"/>
      <c r="Z38" s="14"/>
    </row>
    <row r="39" spans="1:26" x14ac:dyDescent="0.3">
      <c r="A39" s="14"/>
      <c r="B39" s="19">
        <f>'[1]6Th a'!A31</f>
        <v>0.46875</v>
      </c>
      <c r="C39" s="31" t="str">
        <f>'[1]6Th a'!D31</f>
        <v>100m H</v>
      </c>
      <c r="D39" s="21" t="str">
        <f>'[1]6Th a'!K31</f>
        <v>W</v>
      </c>
      <c r="E39" s="21" t="str">
        <f>'[1]6Th a'!M31</f>
        <v>R1</v>
      </c>
      <c r="F39" s="14"/>
      <c r="G39" s="19"/>
      <c r="H39" s="20"/>
      <c r="I39" s="21"/>
      <c r="J39" s="22"/>
      <c r="K39" s="14"/>
      <c r="L39" s="27">
        <f>'[1]8Sa a'!A31</f>
        <v>0.5</v>
      </c>
      <c r="M39" s="20" t="str">
        <f>'[1]8Sa a'!D31</f>
        <v>4 x 100m Relay</v>
      </c>
      <c r="N39" s="29" t="str">
        <f>'[1]8Sa a'!K31</f>
        <v>W</v>
      </c>
      <c r="O39" s="30" t="str">
        <f>'[1]8Sa a'!M31</f>
        <v>R1</v>
      </c>
      <c r="P39" s="14"/>
      <c r="Q39" s="19"/>
      <c r="R39" s="31"/>
      <c r="S39" s="21"/>
      <c r="T39" s="22"/>
      <c r="U39" s="14"/>
      <c r="V39" s="42"/>
      <c r="W39" s="41"/>
      <c r="X39" s="42"/>
      <c r="Y39" s="42"/>
      <c r="Z39" s="14"/>
    </row>
    <row r="40" spans="1:26" x14ac:dyDescent="0.3">
      <c r="A40" s="14"/>
      <c r="B40" s="19"/>
      <c r="C40" s="31"/>
      <c r="D40" s="21"/>
      <c r="E40" s="21"/>
      <c r="F40" s="14"/>
      <c r="G40" s="19"/>
      <c r="H40" s="20"/>
      <c r="I40" s="21"/>
      <c r="J40" s="22"/>
      <c r="K40" s="14"/>
      <c r="L40" s="47">
        <f>'[1]8Sa a'!A32</f>
        <v>0.50694444444444442</v>
      </c>
      <c r="M40" s="44" t="str">
        <f>'[1]8Sa a'!D32</f>
        <v>50km RW</v>
      </c>
      <c r="N40" s="49" t="str">
        <f>'[1]8Sa a'!K32</f>
        <v>M</v>
      </c>
      <c r="O40" s="50" t="str">
        <f>'[1]8Sa a'!M32</f>
        <v>MC</v>
      </c>
      <c r="P40" s="14"/>
      <c r="Q40" s="19"/>
      <c r="R40" s="31"/>
      <c r="S40" s="21"/>
      <c r="T40" s="22"/>
      <c r="U40" s="14"/>
      <c r="V40" s="42"/>
      <c r="W40" s="41"/>
      <c r="X40" s="42"/>
      <c r="Y40" s="42"/>
      <c r="Z40" s="14"/>
    </row>
    <row r="41" spans="1:26" x14ac:dyDescent="0.3">
      <c r="A41" s="33"/>
      <c r="B41" s="19"/>
      <c r="C41" s="31"/>
      <c r="D41" s="21"/>
      <c r="E41" s="21"/>
      <c r="F41" s="33"/>
      <c r="G41" s="19"/>
      <c r="H41" s="31"/>
      <c r="I41" s="21"/>
      <c r="J41" s="21"/>
      <c r="K41" s="33"/>
      <c r="L41" s="27">
        <f>'[1]8Sa a'!A33</f>
        <v>0.51388888888888895</v>
      </c>
      <c r="M41" s="20" t="str">
        <f>'[1]8Sa a'!D33</f>
        <v>4 x 100m Relay</v>
      </c>
      <c r="N41" s="29" t="str">
        <f>'[1]8Sa a'!K33</f>
        <v>M</v>
      </c>
      <c r="O41" s="30" t="str">
        <f>'[1]8Sa a'!M33</f>
        <v>R1</v>
      </c>
      <c r="P41" s="33"/>
      <c r="Q41" s="19"/>
      <c r="R41" s="31"/>
      <c r="S41" s="21"/>
      <c r="T41" s="22"/>
      <c r="U41" s="33"/>
      <c r="V41" s="42"/>
      <c r="W41" s="41"/>
      <c r="X41" s="42"/>
      <c r="Y41" s="42"/>
      <c r="Z41" s="33"/>
    </row>
    <row r="42" spans="1:26" x14ac:dyDescent="0.3">
      <c r="A42" s="33"/>
      <c r="B42" s="19"/>
      <c r="C42" s="31"/>
      <c r="D42" s="21"/>
      <c r="E42" s="21"/>
      <c r="F42" s="33"/>
      <c r="G42" s="72"/>
      <c r="H42" s="73"/>
      <c r="I42" s="74"/>
      <c r="J42" s="75"/>
      <c r="K42" s="33"/>
      <c r="L42" s="27">
        <f>'[1]8Sa a'!A34</f>
        <v>0.55208333333333337</v>
      </c>
      <c r="M42" s="20" t="str">
        <f>'[1]8Sa a'!D34</f>
        <v>Pole Vault Dec</v>
      </c>
      <c r="N42" s="29" t="str">
        <f>'[1]8Sa a'!K34</f>
        <v>M</v>
      </c>
      <c r="O42" s="30" t="str">
        <f>'[1]8Sa a'!M34</f>
        <v>A+B</v>
      </c>
      <c r="P42" s="33"/>
      <c r="Q42" s="19"/>
      <c r="R42" s="31"/>
      <c r="S42" s="21"/>
      <c r="T42" s="22"/>
      <c r="U42" s="33"/>
      <c r="V42" s="42"/>
      <c r="W42" s="41"/>
      <c r="X42" s="42"/>
      <c r="Y42" s="42"/>
      <c r="Z42" s="33"/>
    </row>
    <row r="43" spans="1:26" x14ac:dyDescent="0.3">
      <c r="A43" s="33"/>
      <c r="B43" s="72"/>
      <c r="C43" s="73"/>
      <c r="D43" s="74"/>
      <c r="E43" s="74"/>
      <c r="F43" s="33"/>
      <c r="G43" s="72"/>
      <c r="H43" s="73"/>
      <c r="I43" s="74"/>
      <c r="J43" s="75"/>
      <c r="K43" s="33"/>
      <c r="L43" s="58"/>
      <c r="M43" s="62"/>
      <c r="N43" s="60"/>
      <c r="O43" s="61"/>
      <c r="P43" s="33"/>
      <c r="Q43" s="76"/>
      <c r="R43" s="77"/>
      <c r="S43" s="78"/>
      <c r="T43" s="79"/>
      <c r="U43" s="33"/>
      <c r="V43" s="42"/>
      <c r="W43" s="41"/>
      <c r="X43" s="42"/>
      <c r="Y43" s="42"/>
      <c r="Z43" s="33"/>
    </row>
    <row r="44" spans="1:26" x14ac:dyDescent="0.3">
      <c r="A44" s="5"/>
      <c r="B44" s="6" t="str">
        <f>'[1]6Th p'!A1</f>
        <v>DAY 6 - Thursday, Evening, 27 August</v>
      </c>
      <c r="C44" s="7"/>
      <c r="D44" s="8"/>
      <c r="E44" s="9"/>
      <c r="F44" s="5"/>
      <c r="G44" s="6" t="str">
        <f>'[1]7F p'!A1</f>
        <v>DAY 7 - Friday, Evening, 28 August</v>
      </c>
      <c r="H44" s="67"/>
      <c r="I44" s="68"/>
      <c r="J44" s="69"/>
      <c r="K44" s="5"/>
      <c r="L44" s="6" t="str">
        <f>'[1]8Sa p'!A1</f>
        <v>DAY 8 - Saturday, Evening, 29 August</v>
      </c>
      <c r="M44" s="67"/>
      <c r="N44" s="68"/>
      <c r="O44" s="69"/>
      <c r="P44" s="5"/>
      <c r="Q44" s="6" t="str">
        <f>'[1]9Su p'!A1</f>
        <v>DAY 9 - Sunday, Evening, 30 August</v>
      </c>
      <c r="R44" s="67"/>
      <c r="S44" s="68"/>
      <c r="T44" s="69"/>
      <c r="U44" s="5"/>
      <c r="V44" s="70"/>
      <c r="W44" s="1"/>
      <c r="X44" s="71"/>
      <c r="Y44" s="1"/>
      <c r="Z44" s="5"/>
    </row>
    <row r="45" spans="1:26" x14ac:dyDescent="0.3">
      <c r="A45" s="14"/>
      <c r="B45" s="43">
        <f>'[1]6Th p'!A25</f>
        <v>0.77430555555555558</v>
      </c>
      <c r="C45" s="44" t="str">
        <f>'[1]6Th p'!D25</f>
        <v>Javelin Throw</v>
      </c>
      <c r="D45" s="45" t="str">
        <f>'[1]6Th p'!K25</f>
        <v>M</v>
      </c>
      <c r="E45" s="46" t="str">
        <f>'[1]6Th p'!M25</f>
        <v>MC</v>
      </c>
      <c r="F45" s="14"/>
      <c r="G45" s="72">
        <f>'[1]7F p'!A25</f>
        <v>0.67708333333333337</v>
      </c>
      <c r="H45" s="73" t="str">
        <f>'[1]7F p'!D25</f>
        <v>High Jump Dec</v>
      </c>
      <c r="I45" s="74" t="str">
        <f>'[1]7F p'!K25</f>
        <v xml:space="preserve">M </v>
      </c>
      <c r="J45" s="75" t="str">
        <f>'[1]7F p'!M25</f>
        <v>A+B</v>
      </c>
      <c r="K45" s="14"/>
      <c r="L45" s="43">
        <f>'[1]8Sa p'!A25</f>
        <v>0.75347222222222221</v>
      </c>
      <c r="M45" s="44" t="str">
        <f>'[1]8Sa p'!D25</f>
        <v>200m</v>
      </c>
      <c r="N45" s="45" t="str">
        <f>'[1]8Sa p'!K25</f>
        <v>W</v>
      </c>
      <c r="O45" s="46" t="str">
        <f>'[1]8Sa p'!M25</f>
        <v>MC</v>
      </c>
      <c r="P45" s="14"/>
      <c r="Q45" s="80">
        <f>'[1]9Su p'!A25</f>
        <v>0.75</v>
      </c>
      <c r="R45" s="81" t="str">
        <f>'[1]9Su p'!D25</f>
        <v>High Jump</v>
      </c>
      <c r="S45" s="82" t="str">
        <f>'[1]9Su p'!K25</f>
        <v>W</v>
      </c>
      <c r="T45" s="83" t="str">
        <f>'[1]9Su p'!M25</f>
        <v>MC</v>
      </c>
      <c r="U45" s="14"/>
      <c r="V45" s="64"/>
      <c r="W45" s="41"/>
      <c r="X45" s="42"/>
      <c r="Y45" s="42"/>
      <c r="Z45" s="14"/>
    </row>
    <row r="46" spans="1:26" x14ac:dyDescent="0.3">
      <c r="A46" s="51"/>
      <c r="B46" s="43">
        <f>'[1]6Th p'!A26</f>
        <v>0.7777777777777779</v>
      </c>
      <c r="C46" s="44" t="str">
        <f>'[1]6Th p'!D26</f>
        <v>3000m SC</v>
      </c>
      <c r="D46" s="45" t="str">
        <f>'[1]6Th p'!K26</f>
        <v>W</v>
      </c>
      <c r="E46" s="46" t="str">
        <f>'[1]6Th p'!M26</f>
        <v>MC</v>
      </c>
      <c r="F46" s="51"/>
      <c r="G46" s="80">
        <f>'[1]7F p'!A26</f>
        <v>0.78125</v>
      </c>
      <c r="H46" s="81" t="str">
        <f>'[1]7F p'!D26</f>
        <v>400m</v>
      </c>
      <c r="I46" s="82" t="str">
        <f>'[1]7F p'!K26</f>
        <v>W</v>
      </c>
      <c r="J46" s="83" t="str">
        <f>'[1]7F p'!M26</f>
        <v>MC</v>
      </c>
      <c r="K46" s="51"/>
      <c r="L46" s="43">
        <f>'[1]8Sa p'!A26</f>
        <v>0.75694444444444453</v>
      </c>
      <c r="M46" s="44" t="str">
        <f>'[1]8Sa p'!D26</f>
        <v>Long Jump</v>
      </c>
      <c r="N46" s="45" t="str">
        <f>'[1]8Sa p'!K26</f>
        <v>W</v>
      </c>
      <c r="O46" s="46" t="str">
        <f>'[1]8Sa p'!M26</f>
        <v>MC</v>
      </c>
      <c r="P46" s="51"/>
      <c r="Q46" s="80">
        <f>'[1]9Su p'!A26</f>
        <v>0.75347222222222221</v>
      </c>
      <c r="R46" s="81" t="str">
        <f>'[1]9Su p'!D26</f>
        <v>Decathlon</v>
      </c>
      <c r="S46" s="82" t="str">
        <f>'[1]9Su p'!K26</f>
        <v>M</v>
      </c>
      <c r="T46" s="83" t="str">
        <f>'[1]9Su p'!M26</f>
        <v>MC</v>
      </c>
      <c r="U46" s="51"/>
      <c r="V46" s="64"/>
      <c r="W46" s="41"/>
      <c r="X46" s="42"/>
      <c r="Y46" s="42"/>
      <c r="Z46" s="51"/>
    </row>
    <row r="47" spans="1:26" x14ac:dyDescent="0.3">
      <c r="A47" s="14"/>
      <c r="B47" s="43">
        <f>'[1]6Th p'!A27</f>
        <v>0.78125</v>
      </c>
      <c r="C47" s="44" t="str">
        <f>'[1]6Th p'!D27</f>
        <v>Pole Vault</v>
      </c>
      <c r="D47" s="45" t="str">
        <f>'[1]6Th p'!K27</f>
        <v>W</v>
      </c>
      <c r="E47" s="46" t="str">
        <f>'[1]6Th p'!M27</f>
        <v>MC</v>
      </c>
      <c r="F47" s="14"/>
      <c r="G47" s="80">
        <f>'[1]7F p'!A27</f>
        <v>0.78472222222222221</v>
      </c>
      <c r="H47" s="81" t="str">
        <f>'[1]7F p'!D27</f>
        <v>200m</v>
      </c>
      <c r="I47" s="82" t="str">
        <f>'[1]7F p'!K27</f>
        <v>M</v>
      </c>
      <c r="J47" s="83" t="str">
        <f>'[1]7F p'!M27</f>
        <v>MC</v>
      </c>
      <c r="K47" s="14"/>
      <c r="L47" s="43">
        <f>'[1]8Sa p'!A27</f>
        <v>0.76041666666666663</v>
      </c>
      <c r="M47" s="44" t="str">
        <f>'[1]8Sa p'!D27</f>
        <v>110m H</v>
      </c>
      <c r="N47" s="45" t="str">
        <f>'[1]8Sa p'!K27</f>
        <v>M</v>
      </c>
      <c r="O47" s="46" t="str">
        <f>'[1]8Sa p'!M27</f>
        <v>MC</v>
      </c>
      <c r="P47" s="14"/>
      <c r="Q47" s="80">
        <f>'[1]9Su p'!A27</f>
        <v>0.75694444444444453</v>
      </c>
      <c r="R47" s="81" t="str">
        <f>'[1]9Su p'!D27</f>
        <v>4 x 100m Relay</v>
      </c>
      <c r="S47" s="82" t="str">
        <f>'[1]9Su p'!K27</f>
        <v>W</v>
      </c>
      <c r="T47" s="83" t="str">
        <f>'[1]9Su p'!M27</f>
        <v>MC</v>
      </c>
      <c r="U47" s="14"/>
      <c r="V47" s="64"/>
      <c r="W47" s="41"/>
      <c r="X47" s="42"/>
      <c r="Y47" s="42"/>
      <c r="Z47" s="14"/>
    </row>
    <row r="48" spans="1:26" x14ac:dyDescent="0.3">
      <c r="A48" s="51"/>
      <c r="B48" s="43">
        <f>'[1]6Th p'!A28</f>
        <v>0.78472222222222221</v>
      </c>
      <c r="C48" s="44" t="str">
        <f>'[1]6Th p'!D28</f>
        <v>400m</v>
      </c>
      <c r="D48" s="45" t="str">
        <f>'[1]6Th p'!K28</f>
        <v>M</v>
      </c>
      <c r="E48" s="46" t="str">
        <f>'[1]6Th p'!M28</f>
        <v>MC</v>
      </c>
      <c r="F48" s="51"/>
      <c r="G48" s="72">
        <f>'[1]7F p'!A28</f>
        <v>0.79166666666666674</v>
      </c>
      <c r="H48" s="73" t="str">
        <f>'[1]7F p'!D28</f>
        <v>Javelin Throw</v>
      </c>
      <c r="I48" s="74" t="str">
        <f>'[1]7F p'!K28</f>
        <v>W</v>
      </c>
      <c r="J48" s="75" t="str">
        <f>'[1]7F p'!M28</f>
        <v>Q A</v>
      </c>
      <c r="K48" s="51"/>
      <c r="L48" s="43">
        <f>'[1]8Sa p'!A28</f>
        <v>0.76388888888888884</v>
      </c>
      <c r="M48" s="44" t="str">
        <f>'[1]8Sa p'!D28</f>
        <v>100m H</v>
      </c>
      <c r="N48" s="45" t="str">
        <f>'[1]8Sa p'!K28</f>
        <v>W</v>
      </c>
      <c r="O48" s="46" t="str">
        <f>'[1]8Sa p'!M28</f>
        <v>MC</v>
      </c>
      <c r="P48" s="51"/>
      <c r="Q48" s="80">
        <f>'[1]9Su p'!A28</f>
        <v>0.76041666666666663</v>
      </c>
      <c r="R48" s="81" t="str">
        <f>'[1]9Su p'!D28</f>
        <v>Discus Throw</v>
      </c>
      <c r="S48" s="82" t="str">
        <f>'[1]9Su p'!K28</f>
        <v>M</v>
      </c>
      <c r="T48" s="83" t="str">
        <f>'[1]9Su p'!M28</f>
        <v>MC</v>
      </c>
      <c r="U48" s="51"/>
      <c r="V48" s="64"/>
      <c r="W48" s="41"/>
      <c r="X48" s="42"/>
      <c r="Y48" s="42"/>
      <c r="Z48" s="51"/>
    </row>
    <row r="49" spans="1:26" x14ac:dyDescent="0.3">
      <c r="A49" s="51"/>
      <c r="B49" s="15">
        <f>'[1]6Th p'!A29</f>
        <v>0.79166666666666663</v>
      </c>
      <c r="C49" s="52" t="str">
        <f>'[1]6Th p'!D29</f>
        <v>Hammer Throw</v>
      </c>
      <c r="D49" s="17" t="str">
        <f>'[1]6Th p'!K29</f>
        <v>W</v>
      </c>
      <c r="E49" s="18" t="str">
        <f>'[1]6Th p'!M29</f>
        <v>Final</v>
      </c>
      <c r="F49" s="51"/>
      <c r="G49" s="84">
        <f>'[1]7F p'!A29</f>
        <v>0.82638888888888884</v>
      </c>
      <c r="H49" s="85" t="str">
        <f>'[1]7F p'!D29</f>
        <v>Long Jump</v>
      </c>
      <c r="I49" s="86" t="str">
        <f>'[1]7F p'!K29</f>
        <v>W</v>
      </c>
      <c r="J49" s="87" t="str">
        <f>'[1]7F p'!M29</f>
        <v>Final</v>
      </c>
      <c r="K49" s="51"/>
      <c r="L49" s="19">
        <f>'[1]8Sa p'!A29</f>
        <v>0.70833333333333337</v>
      </c>
      <c r="M49" s="20" t="str">
        <f>'[1]8Sa p'!D29</f>
        <v>Javelin Throw Dec</v>
      </c>
      <c r="N49" s="21" t="str">
        <f>'[1]8Sa p'!K29</f>
        <v>M</v>
      </c>
      <c r="O49" s="22" t="str">
        <f>'[1]8Sa p'!M29</f>
        <v>A</v>
      </c>
      <c r="P49" s="51"/>
      <c r="Q49" s="80">
        <f>'[1]9Su p'!A29</f>
        <v>0.76388888888888884</v>
      </c>
      <c r="R49" s="81" t="str">
        <f>'[1]9Su p'!D29</f>
        <v>4 x 100m Relay</v>
      </c>
      <c r="S49" s="82" t="str">
        <f>'[1]9Su p'!K29</f>
        <v>M</v>
      </c>
      <c r="T49" s="83" t="str">
        <f>'[1]9Su p'!M29</f>
        <v>MC</v>
      </c>
      <c r="U49" s="51"/>
      <c r="V49" s="64"/>
      <c r="W49" s="41"/>
      <c r="X49" s="42"/>
      <c r="Y49" s="42"/>
      <c r="Z49" s="51"/>
    </row>
    <row r="50" spans="1:26" x14ac:dyDescent="0.3">
      <c r="A50" s="14"/>
      <c r="B50" s="19">
        <f>'[1]6Th p'!A30</f>
        <v>0.79513888888888884</v>
      </c>
      <c r="C50" s="20" t="str">
        <f>'[1]6Th p'!D30</f>
        <v>110m H</v>
      </c>
      <c r="D50" s="21" t="str">
        <f>'[1]6Th p'!K30</f>
        <v>M</v>
      </c>
      <c r="E50" s="22" t="str">
        <f>'[1]6Th p'!M30</f>
        <v>SF</v>
      </c>
      <c r="F50" s="14"/>
      <c r="G50" s="72">
        <f>'[1]7F p'!A30</f>
        <v>0.8090277777777779</v>
      </c>
      <c r="H50" s="73" t="str">
        <f>'[1]7F p'!D30</f>
        <v>100m H</v>
      </c>
      <c r="I50" s="74" t="str">
        <f>'[1]7F p'!K30</f>
        <v>W</v>
      </c>
      <c r="J50" s="75" t="str">
        <f>'[1]7F p'!M30</f>
        <v>SF</v>
      </c>
      <c r="K50" s="14"/>
      <c r="L50" s="15">
        <f>'[1]8Sa p'!A30</f>
        <v>0.77083333333333337</v>
      </c>
      <c r="M50" s="52" t="str">
        <f>'[1]8Sa p'!D30</f>
        <v>High Jump</v>
      </c>
      <c r="N50" s="17" t="str">
        <f>'[1]8Sa p'!K30</f>
        <v>W</v>
      </c>
      <c r="O50" s="18" t="str">
        <f>'[1]8Sa p'!M30</f>
        <v>Final</v>
      </c>
      <c r="P50" s="14"/>
      <c r="Q50" s="84">
        <f>'[1]9Su p'!A30</f>
        <v>0.77083333333333326</v>
      </c>
      <c r="R50" s="85" t="str">
        <f>'[1]9Su p'!D30</f>
        <v>High Jump</v>
      </c>
      <c r="S50" s="86" t="str">
        <f>'[1]9Su p'!K30</f>
        <v>M</v>
      </c>
      <c r="T50" s="87" t="str">
        <f>'[1]9Su p'!M30</f>
        <v>Final</v>
      </c>
      <c r="U50" s="14"/>
      <c r="V50" s="64"/>
      <c r="W50" s="41"/>
      <c r="X50" s="42"/>
      <c r="Y50" s="42"/>
      <c r="Z50" s="14"/>
    </row>
    <row r="51" spans="1:26" x14ac:dyDescent="0.3">
      <c r="A51" s="14"/>
      <c r="B51" s="15">
        <f>'[1]6Th p'!A31</f>
        <v>0.80555555555555558</v>
      </c>
      <c r="C51" s="52" t="str">
        <f>'[1]6Th p'!D31</f>
        <v>Triple Jump</v>
      </c>
      <c r="D51" s="17" t="str">
        <f>'[1]6Th p'!K31</f>
        <v>M</v>
      </c>
      <c r="E51" s="18" t="str">
        <f>'[1]6Th p'!M31</f>
        <v>Final</v>
      </c>
      <c r="F51" s="14"/>
      <c r="G51" s="72">
        <f>'[1]7F p'!A31</f>
        <v>0.82986111111111116</v>
      </c>
      <c r="H51" s="73" t="str">
        <f>'[1]7F p'!D31</f>
        <v>1500m</v>
      </c>
      <c r="I51" s="74" t="str">
        <f>'[1]7F p'!K31</f>
        <v>M</v>
      </c>
      <c r="J51" s="75" t="str">
        <f>'[1]7F p'!M31</f>
        <v>SF</v>
      </c>
      <c r="K51" s="14"/>
      <c r="L51" s="19">
        <f>'[1]8Sa p'!A31</f>
        <v>0.76388888888888884</v>
      </c>
      <c r="M51" s="20" t="str">
        <f>'[1]8Sa p'!D31</f>
        <v>Javelin Throw Dec</v>
      </c>
      <c r="N51" s="21" t="str">
        <f>'[1]8Sa p'!K31</f>
        <v>M</v>
      </c>
      <c r="O51" s="22" t="str">
        <f>'[1]8Sa p'!M31</f>
        <v>B</v>
      </c>
      <c r="P51" s="14"/>
      <c r="Q51" s="84">
        <f>'[1]9Su p'!A31</f>
        <v>0.78125</v>
      </c>
      <c r="R51" s="85" t="str">
        <f>'[1]9Su p'!D31</f>
        <v>Javelin Throw</v>
      </c>
      <c r="S51" s="86" t="str">
        <f>'[1]9Su p'!K31</f>
        <v>W</v>
      </c>
      <c r="T51" s="87" t="str">
        <f>'[1]9Su p'!M31</f>
        <v>Final</v>
      </c>
      <c r="U51" s="14"/>
      <c r="V51" s="64"/>
      <c r="W51" s="41"/>
      <c r="X51" s="42"/>
      <c r="Y51" s="42"/>
      <c r="Z51" s="14"/>
    </row>
    <row r="52" spans="1:26" x14ac:dyDescent="0.3">
      <c r="A52" s="51"/>
      <c r="B52" s="19">
        <f>'[1]6Th p'!A32</f>
        <v>0.81944444444444453</v>
      </c>
      <c r="C52" s="20" t="str">
        <f>'[1]6Th p'!D32</f>
        <v>200m</v>
      </c>
      <c r="D52" s="21" t="str">
        <f>'[1]6Th p'!K32</f>
        <v>W</v>
      </c>
      <c r="E52" s="22" t="str">
        <f>'[1]6Th p'!M32</f>
        <v>SF</v>
      </c>
      <c r="F52" s="51"/>
      <c r="G52" s="72">
        <f>'[1]7F p'!A32</f>
        <v>0.84722222222222221</v>
      </c>
      <c r="H52" s="73" t="str">
        <f>'[1]7F p'!D32</f>
        <v>400m Dec</v>
      </c>
      <c r="I52" s="74" t="str">
        <f>'[1]7F p'!K32</f>
        <v>M</v>
      </c>
      <c r="J52" s="75"/>
      <c r="K52" s="51"/>
      <c r="L52" s="15">
        <f>'[1]8Sa p'!A32</f>
        <v>0.80208333333333337</v>
      </c>
      <c r="M52" s="52" t="str">
        <f>'[1]8Sa p'!D32</f>
        <v>800m</v>
      </c>
      <c r="N52" s="17" t="str">
        <f>'[1]8Sa p'!K32</f>
        <v>W</v>
      </c>
      <c r="O52" s="18" t="str">
        <f>'[1]8Sa p'!M32</f>
        <v>Final</v>
      </c>
      <c r="P52" s="51"/>
      <c r="Q52" s="84">
        <f>'[1]9Su p'!A32</f>
        <v>0.80208333333333337</v>
      </c>
      <c r="R52" s="85" t="str">
        <f>'[1]9Su p'!D32</f>
        <v>5000m</v>
      </c>
      <c r="S52" s="86" t="str">
        <f>'[1]9Su p'!K32</f>
        <v>W</v>
      </c>
      <c r="T52" s="87" t="str">
        <f>'[1]9Su p'!M32</f>
        <v>Final</v>
      </c>
      <c r="U52" s="51"/>
      <c r="V52" s="64"/>
      <c r="W52" s="41"/>
      <c r="X52" s="42"/>
      <c r="Y52" s="42"/>
      <c r="Z52" s="51"/>
    </row>
    <row r="53" spans="1:26" x14ac:dyDescent="0.3">
      <c r="A53" s="51"/>
      <c r="B53" s="19">
        <f>'[1]6Th p'!A33</f>
        <v>0.84375</v>
      </c>
      <c r="C53" s="20" t="str">
        <f>'[1]6Th p'!D33</f>
        <v>800m</v>
      </c>
      <c r="D53" s="21" t="str">
        <f>'[1]6Th p'!K33</f>
        <v>W</v>
      </c>
      <c r="E53" s="22" t="str">
        <f>'[1]6Th p'!M33</f>
        <v>SF</v>
      </c>
      <c r="F53" s="51"/>
      <c r="G53" s="72">
        <f>'[1]7F p'!A33</f>
        <v>0.85069444444444453</v>
      </c>
      <c r="H53" s="73" t="str">
        <f>'[1]7F p'!D33</f>
        <v>Javelin Throw</v>
      </c>
      <c r="I53" s="74" t="str">
        <f>'[1]7F p'!K33</f>
        <v>W</v>
      </c>
      <c r="J53" s="75" t="str">
        <f>'[1]7F p'!M33</f>
        <v>Q B</v>
      </c>
      <c r="K53" s="51"/>
      <c r="L53" s="15">
        <f>'[1]8Sa p'!A33</f>
        <v>0.8125</v>
      </c>
      <c r="M53" s="52" t="str">
        <f>'[1]8Sa p'!D33</f>
        <v>5000m</v>
      </c>
      <c r="N53" s="17" t="str">
        <f>'[1]8Sa p'!K33</f>
        <v>M</v>
      </c>
      <c r="O53" s="18" t="str">
        <f>'[1]8Sa p'!M33</f>
        <v>Final</v>
      </c>
      <c r="P53" s="51"/>
      <c r="Q53" s="84">
        <f>'[1]9Su p'!A33</f>
        <v>0.82291666666666663</v>
      </c>
      <c r="R53" s="85" t="str">
        <f>'[1]9Su p'!D33</f>
        <v>1500m</v>
      </c>
      <c r="S53" s="86" t="str">
        <f>'[1]9Su p'!K33</f>
        <v>M</v>
      </c>
      <c r="T53" s="87" t="str">
        <f>'[1]9Su p'!M33</f>
        <v>Final</v>
      </c>
      <c r="U53" s="51"/>
      <c r="V53" s="64"/>
      <c r="W53" s="41"/>
      <c r="X53" s="42"/>
      <c r="Y53" s="42"/>
      <c r="Z53" s="51"/>
    </row>
    <row r="54" spans="1:26" x14ac:dyDescent="0.3">
      <c r="A54" s="14"/>
      <c r="B54" s="15">
        <f>'[1]6Th p'!A34</f>
        <v>0.86805555555555558</v>
      </c>
      <c r="C54" s="52" t="str">
        <f>'[1]6Th p'!D34</f>
        <v>400m</v>
      </c>
      <c r="D54" s="17" t="str">
        <f>'[1]6Th p'!K34</f>
        <v>W</v>
      </c>
      <c r="E54" s="18" t="str">
        <f>'[1]6Th p'!M34</f>
        <v>Final</v>
      </c>
      <c r="F54" s="14"/>
      <c r="G54" s="84">
        <f>'[1]7F p'!A34</f>
        <v>0.875</v>
      </c>
      <c r="H54" s="85" t="str">
        <f>'[1]7F p'!D34</f>
        <v>200m</v>
      </c>
      <c r="I54" s="86" t="str">
        <f>'[1]7F p'!K34</f>
        <v>W</v>
      </c>
      <c r="J54" s="87" t="str">
        <f>'[1]7F p'!M34</f>
        <v>Final</v>
      </c>
      <c r="K54" s="14"/>
      <c r="L54" s="15">
        <f>'[1]8Sa p'!A34</f>
        <v>0.82638888888888884</v>
      </c>
      <c r="M54" s="52" t="str">
        <f>'[1]8Sa p'!D34</f>
        <v>Discus Throw</v>
      </c>
      <c r="N54" s="17" t="str">
        <f>'[1]8Sa p'!K34</f>
        <v>M</v>
      </c>
      <c r="O54" s="18" t="str">
        <f>'[1]8Sa p'!M34</f>
        <v>Final</v>
      </c>
      <c r="P54" s="14"/>
      <c r="Q54" s="84">
        <f>'[1]9Su p'!A34</f>
        <v>0.83680555555555547</v>
      </c>
      <c r="R54" s="85" t="str">
        <f>'[1]9Su p'!D34</f>
        <v>4 x 400m Relay</v>
      </c>
      <c r="S54" s="86" t="str">
        <f>'[1]9Su p'!K34</f>
        <v>W</v>
      </c>
      <c r="T54" s="87" t="str">
        <f>'[1]9Su p'!M34</f>
        <v>Final</v>
      </c>
      <c r="U54" s="14"/>
      <c r="V54" s="64"/>
      <c r="W54" s="41"/>
      <c r="X54" s="42"/>
      <c r="Y54" s="42"/>
      <c r="Z54" s="14"/>
    </row>
    <row r="55" spans="1:26" x14ac:dyDescent="0.3">
      <c r="A55" s="57"/>
      <c r="B55" s="43">
        <f>'[1]6Th p'!A35</f>
        <v>0.8715277777777779</v>
      </c>
      <c r="C55" s="44" t="str">
        <f>'[1]6Th p'!D35</f>
        <v>Hammer Throw</v>
      </c>
      <c r="D55" s="45" t="str">
        <f>'[1]6Th p'!K35</f>
        <v>W</v>
      </c>
      <c r="E55" s="46" t="str">
        <f>'[1]6Th p'!M35</f>
        <v>MC</v>
      </c>
      <c r="F55" s="57"/>
      <c r="G55" s="84">
        <f>'[1]7F p'!A35</f>
        <v>0.88888888888888884</v>
      </c>
      <c r="H55" s="85" t="str">
        <f>'[1]7F p'!D35</f>
        <v>110m H</v>
      </c>
      <c r="I55" s="86" t="str">
        <f>'[1]7F p'!K35</f>
        <v>M</v>
      </c>
      <c r="J55" s="87" t="str">
        <f>'[1]7F p'!M35</f>
        <v>Final</v>
      </c>
      <c r="K55" s="57"/>
      <c r="L55" s="15">
        <f>'[1]8Sa p'!A35</f>
        <v>0.84027777777777779</v>
      </c>
      <c r="M55" s="52" t="str">
        <f>'[1]8Sa p'!D35</f>
        <v>1500m Dec</v>
      </c>
      <c r="N55" s="17" t="str">
        <f>'[1]8Sa p'!K35</f>
        <v>M</v>
      </c>
      <c r="O55" s="18" t="str">
        <f>'[1]8Sa p'!M35</f>
        <v>Final</v>
      </c>
      <c r="P55" s="57"/>
      <c r="Q55" s="80">
        <f>'[1]9Su p'!A35</f>
        <v>0.84375</v>
      </c>
      <c r="R55" s="81" t="str">
        <f>'[1]9Su p'!D35</f>
        <v>Marathon</v>
      </c>
      <c r="S55" s="82" t="str">
        <f>'[1]9Su p'!K35</f>
        <v>W</v>
      </c>
      <c r="T55" s="83" t="str">
        <f>'[1]9Su p'!M35</f>
        <v>MC</v>
      </c>
      <c r="U55" s="57"/>
      <c r="V55" s="64"/>
      <c r="W55" s="41"/>
      <c r="X55" s="42"/>
      <c r="Y55" s="42"/>
      <c r="Z55" s="57"/>
    </row>
    <row r="56" spans="1:26" x14ac:dyDescent="0.3">
      <c r="A56" s="51"/>
      <c r="B56" s="15">
        <f>'[1]6Th p'!A36</f>
        <v>0.87847222222222221</v>
      </c>
      <c r="C56" s="52" t="str">
        <f>'[1]6Th p'!D36</f>
        <v>200m</v>
      </c>
      <c r="D56" s="17" t="str">
        <f>'[1]6Th p'!K36</f>
        <v>M</v>
      </c>
      <c r="E56" s="18" t="str">
        <f>'[1]6Th p'!M36</f>
        <v>Final</v>
      </c>
      <c r="F56" s="51"/>
      <c r="G56" s="80">
        <f>'[1]7F p'!A36</f>
        <v>0.89166666666666661</v>
      </c>
      <c r="H56" s="81" t="str">
        <f>'[1]7F p'!D36</f>
        <v>Triple Jump</v>
      </c>
      <c r="I56" s="82" t="str">
        <f>'[1]7F p'!K36</f>
        <v>M</v>
      </c>
      <c r="J56" s="83" t="str">
        <f>'[1]7F p'!M36</f>
        <v>MC</v>
      </c>
      <c r="K56" s="51"/>
      <c r="L56" s="15">
        <f>'[1]8Sa p'!A36</f>
        <v>0.86805555555555547</v>
      </c>
      <c r="M56" s="52" t="str">
        <f>'[1]8Sa p'!D36</f>
        <v>4 x 100m Relay</v>
      </c>
      <c r="N56" s="17" t="str">
        <f>'[1]8Sa p'!K36</f>
        <v>W</v>
      </c>
      <c r="O56" s="18" t="str">
        <f>'[1]8Sa p'!M36</f>
        <v>Final</v>
      </c>
      <c r="P56" s="51"/>
      <c r="Q56" s="84">
        <f>'[1]9Su p'!A36</f>
        <v>0.85069444444444453</v>
      </c>
      <c r="R56" s="85" t="str">
        <f>'[1]9Su p'!D36</f>
        <v>4 x 400m Relay</v>
      </c>
      <c r="S56" s="86" t="str">
        <f>'[1]9Su p'!K36</f>
        <v>M</v>
      </c>
      <c r="T56" s="87" t="str">
        <f>'[1]9Su p'!M36</f>
        <v>Final</v>
      </c>
      <c r="U56" s="51"/>
      <c r="V56" s="64"/>
      <c r="W56" s="41"/>
      <c r="X56" s="42"/>
      <c r="Y56" s="42"/>
      <c r="Z56" s="51"/>
    </row>
    <row r="57" spans="1:26" x14ac:dyDescent="0.3">
      <c r="A57" s="57"/>
      <c r="B57" s="19"/>
      <c r="C57" s="20"/>
      <c r="D57" s="21"/>
      <c r="E57" s="22"/>
      <c r="F57" s="57"/>
      <c r="G57" s="84">
        <f>'[1]7F p'!A37</f>
        <v>0.89930555555555558</v>
      </c>
      <c r="H57" s="85" t="str">
        <f>'[1]7F p'!D37</f>
        <v>100m H</v>
      </c>
      <c r="I57" s="86" t="str">
        <f>'[1]7F p'!K37</f>
        <v>W</v>
      </c>
      <c r="J57" s="87" t="str">
        <f>'[1]7F p'!M37</f>
        <v>Final</v>
      </c>
      <c r="K57" s="57"/>
      <c r="L57" s="43">
        <f>'[1]8Sa p'!A37</f>
        <v>0.875</v>
      </c>
      <c r="M57" s="44" t="str">
        <f>'[1]8Sa p'!D37</f>
        <v>800m</v>
      </c>
      <c r="N57" s="45" t="str">
        <f>'[1]8Sa p'!K37</f>
        <v>W</v>
      </c>
      <c r="O57" s="46" t="str">
        <f>'[1]8Sa p'!M37</f>
        <v>MC</v>
      </c>
      <c r="P57" s="57"/>
      <c r="Q57" s="80">
        <f>'[1]9Su p'!A37</f>
        <v>0.85416666666666663</v>
      </c>
      <c r="R57" s="81" t="str">
        <f>'[1]9Su p'!D37</f>
        <v>5000m</v>
      </c>
      <c r="S57" s="82" t="str">
        <f>'[1]9Su p'!K37</f>
        <v>W</v>
      </c>
      <c r="T57" s="83" t="str">
        <f>'[1]9Su p'!M37</f>
        <v>MC</v>
      </c>
      <c r="U57" s="57"/>
      <c r="V57" s="64"/>
      <c r="W57" s="41"/>
      <c r="X57" s="42"/>
      <c r="Y57" s="42"/>
      <c r="Z57" s="57"/>
    </row>
    <row r="58" spans="1:26" x14ac:dyDescent="0.3">
      <c r="A58" s="51"/>
      <c r="B58" s="19"/>
      <c r="C58" s="20"/>
      <c r="D58" s="21"/>
      <c r="E58" s="22"/>
      <c r="F58" s="51"/>
      <c r="G58" s="72"/>
      <c r="H58" s="73"/>
      <c r="I58" s="74"/>
      <c r="J58" s="75"/>
      <c r="K58" s="51"/>
      <c r="L58" s="15">
        <f>'[1]8Sa p'!A38</f>
        <v>0.88194444444444453</v>
      </c>
      <c r="M58" s="52" t="str">
        <f>'[1]8Sa p'!D38</f>
        <v>4 x 100m Relay</v>
      </c>
      <c r="N58" s="17" t="str">
        <f>'[1]8Sa p'!K38</f>
        <v>M</v>
      </c>
      <c r="O58" s="18" t="str">
        <f>'[1]8Sa p'!M38</f>
        <v>Final</v>
      </c>
      <c r="P58" s="51"/>
      <c r="Q58" s="80">
        <f>'[1]9Su p'!A38</f>
        <v>0.85763888888888884</v>
      </c>
      <c r="R58" s="81" t="str">
        <f>'[1]9Su p'!D38</f>
        <v>1500m</v>
      </c>
      <c r="S58" s="82" t="str">
        <f>'[1]9Su p'!K38</f>
        <v>M</v>
      </c>
      <c r="T58" s="83" t="str">
        <f>'[1]9Su p'!M38</f>
        <v>MC</v>
      </c>
      <c r="U58" s="51"/>
      <c r="V58" s="64"/>
      <c r="W58" s="41"/>
      <c r="X58" s="42"/>
      <c r="Y58" s="42"/>
      <c r="Z58" s="51"/>
    </row>
    <row r="59" spans="1:26" x14ac:dyDescent="0.3">
      <c r="A59" s="51"/>
      <c r="B59" s="19"/>
      <c r="C59" s="20"/>
      <c r="D59" s="21"/>
      <c r="E59" s="22"/>
      <c r="F59" s="51"/>
      <c r="G59" s="72"/>
      <c r="H59" s="73"/>
      <c r="I59" s="74"/>
      <c r="J59" s="75"/>
      <c r="K59" s="51"/>
      <c r="L59" s="43">
        <f>'[1]8Sa p'!A39</f>
        <v>0.88541666666666663</v>
      </c>
      <c r="M59" s="44" t="str">
        <f>'[1]8Sa p'!D39</f>
        <v>5000m</v>
      </c>
      <c r="N59" s="45" t="str">
        <f>'[1]8Sa p'!K39</f>
        <v>M</v>
      </c>
      <c r="O59" s="46" t="str">
        <f>'[1]8Sa p'!M39</f>
        <v>MC</v>
      </c>
      <c r="P59" s="51"/>
      <c r="Q59" s="80">
        <f>'[1]9Su p'!A39</f>
        <v>0.86111111111111116</v>
      </c>
      <c r="R59" s="81" t="str">
        <f>'[1]9Su p'!D39</f>
        <v>Javelin Throw</v>
      </c>
      <c r="S59" s="82" t="str">
        <f>'[1]9Su p'!K39</f>
        <v>W</v>
      </c>
      <c r="T59" s="83" t="str">
        <f>'[1]9Su p'!M39</f>
        <v>MC</v>
      </c>
      <c r="U59" s="51"/>
      <c r="V59" s="64"/>
      <c r="W59" s="41"/>
      <c r="X59" s="42"/>
      <c r="Y59" s="42"/>
      <c r="Z59" s="51"/>
    </row>
    <row r="60" spans="1:26" x14ac:dyDescent="0.3">
      <c r="A60" s="57"/>
      <c r="B60" s="19"/>
      <c r="C60" s="20"/>
      <c r="D60" s="21"/>
      <c r="E60" s="22"/>
      <c r="F60" s="57"/>
      <c r="G60" s="72"/>
      <c r="H60" s="73"/>
      <c r="I60" s="74"/>
      <c r="J60" s="75"/>
      <c r="K60" s="57"/>
      <c r="L60" s="19"/>
      <c r="M60" s="20"/>
      <c r="N60" s="21"/>
      <c r="O60" s="22"/>
      <c r="P60" s="57"/>
      <c r="Q60" s="80">
        <f>'[1]9Su p'!A40</f>
        <v>0.86458333333333337</v>
      </c>
      <c r="R60" s="81" t="str">
        <f>'[1]9Su p'!D40</f>
        <v>High Jump</v>
      </c>
      <c r="S60" s="82" t="str">
        <f>'[1]9Su p'!K40</f>
        <v>M</v>
      </c>
      <c r="T60" s="83" t="str">
        <f>'[1]9Su p'!M40</f>
        <v>MC</v>
      </c>
      <c r="U60" s="57"/>
      <c r="V60" s="64"/>
      <c r="W60" s="41"/>
      <c r="X60" s="42"/>
      <c r="Y60" s="42"/>
      <c r="Z60" s="57"/>
    </row>
    <row r="61" spans="1:26" x14ac:dyDescent="0.3">
      <c r="A61" s="63"/>
      <c r="B61" s="27"/>
      <c r="C61" s="28"/>
      <c r="D61" s="29"/>
      <c r="E61" s="30"/>
      <c r="F61" s="63"/>
      <c r="G61" s="76"/>
      <c r="H61" s="77"/>
      <c r="I61" s="78"/>
      <c r="J61" s="79"/>
      <c r="K61" s="63"/>
      <c r="L61" s="27"/>
      <c r="M61" s="28"/>
      <c r="N61" s="29"/>
      <c r="O61" s="30"/>
      <c r="P61" s="63"/>
      <c r="Q61" s="72"/>
      <c r="R61" s="73"/>
      <c r="S61" s="74"/>
      <c r="T61" s="75"/>
      <c r="U61" s="63"/>
      <c r="V61" s="64"/>
      <c r="W61" s="41"/>
      <c r="X61" s="42"/>
      <c r="Y61" s="42"/>
      <c r="Z61" s="63"/>
    </row>
    <row r="62" spans="1:26" x14ac:dyDescent="0.3">
      <c r="A62" s="63"/>
      <c r="B62" s="27"/>
      <c r="C62" s="28"/>
      <c r="D62" s="29"/>
      <c r="E62" s="30"/>
      <c r="F62" s="63"/>
      <c r="G62" s="76"/>
      <c r="H62" s="77"/>
      <c r="I62" s="78"/>
      <c r="J62" s="79"/>
      <c r="K62" s="63"/>
      <c r="L62" s="27"/>
      <c r="M62" s="28"/>
      <c r="N62" s="29"/>
      <c r="O62" s="30"/>
      <c r="P62" s="63"/>
      <c r="Q62" s="72"/>
      <c r="R62" s="81" t="s">
        <v>0</v>
      </c>
      <c r="S62" s="82" t="s">
        <v>1</v>
      </c>
      <c r="T62" s="83" t="s">
        <v>2</v>
      </c>
      <c r="U62" s="63"/>
      <c r="V62" s="64"/>
      <c r="W62" s="41"/>
      <c r="X62" s="42"/>
      <c r="Y62" s="42"/>
      <c r="Z62" s="63"/>
    </row>
    <row r="63" spans="1:26" x14ac:dyDescent="0.3">
      <c r="A63" s="1"/>
      <c r="B63" s="27"/>
      <c r="C63" s="32"/>
      <c r="D63" s="29"/>
      <c r="E63" s="30"/>
      <c r="F63" s="1"/>
      <c r="G63" s="27"/>
      <c r="H63" s="32"/>
      <c r="I63" s="29"/>
      <c r="J63" s="30"/>
      <c r="K63" s="1"/>
      <c r="L63" s="27"/>
      <c r="M63" s="32"/>
      <c r="N63" s="29"/>
      <c r="O63" s="30"/>
      <c r="P63" s="1"/>
      <c r="Q63" s="72"/>
      <c r="R63" s="81" t="s">
        <v>0</v>
      </c>
      <c r="S63" s="82" t="s">
        <v>3</v>
      </c>
      <c r="T63" s="83" t="s">
        <v>2</v>
      </c>
      <c r="U63" s="1"/>
      <c r="V63" s="2"/>
      <c r="W63" s="3"/>
      <c r="X63" s="4"/>
      <c r="Y63" s="3"/>
      <c r="Z63" s="1"/>
    </row>
    <row r="64" spans="1:26" x14ac:dyDescent="0.3">
      <c r="A64" s="1"/>
      <c r="B64" s="88"/>
      <c r="C64" s="89"/>
      <c r="D64" s="90"/>
      <c r="E64" s="91"/>
      <c r="F64" s="1"/>
      <c r="G64" s="88"/>
      <c r="H64" s="89"/>
      <c r="I64" s="90"/>
      <c r="J64" s="91"/>
      <c r="K64" s="1"/>
      <c r="L64" s="88"/>
      <c r="M64" s="89"/>
      <c r="N64" s="90"/>
      <c r="O64" s="91"/>
      <c r="P64" s="1"/>
      <c r="Q64" s="58"/>
      <c r="R64" s="59"/>
      <c r="S64" s="60"/>
      <c r="T64" s="61"/>
      <c r="U64" s="1"/>
      <c r="V64" s="2"/>
      <c r="W64" s="3"/>
      <c r="X64" s="4"/>
      <c r="Y64" s="3"/>
      <c r="Z64" s="1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IAAF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Claude DOMINE</dc:creator>
  <cp:lastModifiedBy>Claude DOMINE</cp:lastModifiedBy>
  <dcterms:created xsi:type="dcterms:W3CDTF">2014-04-03T15:55:59Z</dcterms:created>
  <dcterms:modified xsi:type="dcterms:W3CDTF">2014-04-03T15:58:51Z</dcterms:modified>
</cp:coreProperties>
</file>