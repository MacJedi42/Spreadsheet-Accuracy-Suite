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028" windowWidth="9672" windowHeight="6192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H9" i="6" l="1"/>
  <c r="H7" i="6"/>
  <c r="H6" i="6"/>
  <c r="F9" i="6"/>
  <c r="E9" i="6"/>
  <c r="E7" i="6"/>
  <c r="E6" i="6"/>
  <c r="D9" i="6"/>
  <c r="D7" i="6"/>
  <c r="D6" i="6"/>
  <c r="C9" i="6"/>
  <c r="C8" i="6"/>
  <c r="C10" i="6" s="1"/>
  <c r="C7" i="6"/>
  <c r="C6" i="6"/>
  <c r="B9" i="6"/>
  <c r="B7" i="6"/>
  <c r="B6" i="6"/>
  <c r="R6" i="8"/>
  <c r="R5" i="8"/>
  <c r="E11" i="6"/>
  <c r="R4" i="8"/>
  <c r="Q6" i="8"/>
  <c r="Q5" i="8"/>
  <c r="Q4" i="8"/>
  <c r="O6" i="8"/>
  <c r="O5" i="8"/>
  <c r="O4" i="8"/>
  <c r="M6" i="8"/>
  <c r="M5" i="8"/>
  <c r="M4" i="8"/>
  <c r="I6" i="8"/>
  <c r="I5" i="8"/>
  <c r="I4" i="8"/>
  <c r="H6" i="8"/>
  <c r="H5" i="8"/>
  <c r="H4" i="8"/>
  <c r="F6" i="8"/>
  <c r="F5" i="8"/>
  <c r="F4" i="8"/>
  <c r="E6" i="8"/>
  <c r="E5" i="8"/>
  <c r="E4" i="8"/>
  <c r="D6" i="8"/>
  <c r="D5" i="8"/>
  <c r="D4" i="8"/>
  <c r="S1017" i="7"/>
  <c r="T1017" i="7"/>
  <c r="U1017" i="7"/>
  <c r="V1017" i="7"/>
  <c r="W1017" i="7"/>
  <c r="X1017" i="7"/>
  <c r="Y1017" i="7"/>
  <c r="B1017" i="7"/>
  <c r="C1017" i="7"/>
  <c r="N6" i="8" s="1"/>
  <c r="C12" i="6" s="1"/>
  <c r="E1017" i="7"/>
  <c r="F1017" i="7"/>
  <c r="H1017" i="7"/>
  <c r="J1017" i="7"/>
  <c r="K1017" i="7"/>
  <c r="L1017" i="7"/>
  <c r="M1017" i="7"/>
  <c r="N1017" i="7"/>
  <c r="O1017" i="7"/>
  <c r="P1017" i="7"/>
  <c r="I1017" i="1"/>
  <c r="J6" i="8" s="1"/>
  <c r="H1017" i="1"/>
  <c r="S1016" i="7"/>
  <c r="T1016" i="7"/>
  <c r="U1016" i="7"/>
  <c r="V1016" i="7"/>
  <c r="W1016" i="7"/>
  <c r="X1016" i="7"/>
  <c r="Y1016" i="7"/>
  <c r="B1016" i="7"/>
  <c r="C1016" i="7"/>
  <c r="E1016" i="7"/>
  <c r="F1016" i="7"/>
  <c r="H1016" i="7"/>
  <c r="J1016" i="7"/>
  <c r="K1016" i="7"/>
  <c r="L1016" i="7"/>
  <c r="M1016" i="7"/>
  <c r="N1016" i="7"/>
  <c r="O1016" i="7"/>
  <c r="P1016" i="7"/>
  <c r="I1016" i="1"/>
  <c r="H1016" i="1"/>
  <c r="E8" i="6"/>
  <c r="E10" i="6"/>
  <c r="I1015" i="1"/>
  <c r="G1015" i="7"/>
  <c r="H1015" i="1"/>
  <c r="S1015" i="7"/>
  <c r="T1015" i="7"/>
  <c r="U1015" i="7"/>
  <c r="V1015" i="7"/>
  <c r="W1015" i="7"/>
  <c r="X1015" i="7"/>
  <c r="Y1015" i="7"/>
  <c r="B1015" i="7"/>
  <c r="C1015" i="7"/>
  <c r="E1015" i="7"/>
  <c r="F1015" i="7"/>
  <c r="H1015" i="7"/>
  <c r="J1015" i="7"/>
  <c r="K1015" i="7"/>
  <c r="L1015" i="7"/>
  <c r="M1015" i="7"/>
  <c r="N1015" i="7"/>
  <c r="O1015" i="7"/>
  <c r="P1015" i="7"/>
  <c r="S1014" i="7"/>
  <c r="T1014" i="7"/>
  <c r="U1014" i="7"/>
  <c r="V1014" i="7"/>
  <c r="W1014" i="7"/>
  <c r="X1014" i="7"/>
  <c r="Y1014" i="7"/>
  <c r="B1014" i="7"/>
  <c r="C1014" i="7"/>
  <c r="E1014" i="7"/>
  <c r="H1014" i="7"/>
  <c r="J1014" i="7"/>
  <c r="K1014" i="7"/>
  <c r="L1014" i="7"/>
  <c r="M1014" i="7"/>
  <c r="N1014" i="7"/>
  <c r="O1014" i="7"/>
  <c r="P1014" i="7"/>
  <c r="H1014" i="1"/>
  <c r="F1014" i="7"/>
  <c r="I1014" i="1"/>
  <c r="S1013" i="7"/>
  <c r="T1013" i="7"/>
  <c r="U1013" i="7"/>
  <c r="V1013" i="7"/>
  <c r="W1013" i="7"/>
  <c r="X1013" i="7"/>
  <c r="Y1013" i="7"/>
  <c r="B1013" i="7"/>
  <c r="C1013" i="7"/>
  <c r="E1013" i="7"/>
  <c r="D12" i="6"/>
  <c r="F1013" i="7"/>
  <c r="H1013" i="7"/>
  <c r="J1013" i="7"/>
  <c r="K1013" i="7"/>
  <c r="L1013" i="7"/>
  <c r="M1013" i="7"/>
  <c r="N1013" i="7"/>
  <c r="O1013" i="7"/>
  <c r="P1013" i="7"/>
  <c r="I1013" i="1"/>
  <c r="H1013" i="1"/>
  <c r="S1012" i="7"/>
  <c r="T1012" i="7"/>
  <c r="U1012" i="7"/>
  <c r="V1012" i="7"/>
  <c r="W1012" i="7"/>
  <c r="X1012" i="7"/>
  <c r="Y1012" i="7"/>
  <c r="B1012" i="7"/>
  <c r="C1012" i="7"/>
  <c r="E1012" i="7"/>
  <c r="F1012" i="7"/>
  <c r="H1012" i="7"/>
  <c r="J1012" i="7"/>
  <c r="K1012" i="7"/>
  <c r="L1012" i="7"/>
  <c r="M1012" i="7"/>
  <c r="N1012" i="7"/>
  <c r="O1012" i="7"/>
  <c r="P1012" i="7"/>
  <c r="I1012" i="1"/>
  <c r="H1012" i="1"/>
  <c r="S1011" i="7"/>
  <c r="T1011" i="7"/>
  <c r="U1011" i="7"/>
  <c r="V1011" i="7"/>
  <c r="W1011" i="7"/>
  <c r="X1011" i="7"/>
  <c r="Y1011" i="7"/>
  <c r="B1011" i="7"/>
  <c r="C1011" i="7"/>
  <c r="E1011" i="7"/>
  <c r="F1011" i="7"/>
  <c r="H1011" i="7"/>
  <c r="J1011" i="7"/>
  <c r="K1011" i="7"/>
  <c r="L1011" i="7"/>
  <c r="M1011" i="7"/>
  <c r="N1011" i="7"/>
  <c r="O1011" i="7"/>
  <c r="P1011" i="7"/>
  <c r="H1011" i="1"/>
  <c r="I1011" i="1"/>
  <c r="G1011" i="7"/>
  <c r="S1010" i="7"/>
  <c r="T1010" i="7"/>
  <c r="U1010" i="7"/>
  <c r="V1010" i="7"/>
  <c r="W1010" i="7"/>
  <c r="X1010" i="7"/>
  <c r="Y1010" i="7"/>
  <c r="B1010" i="7"/>
  <c r="C1010" i="7"/>
  <c r="E1010" i="7"/>
  <c r="F1010" i="7"/>
  <c r="H1010" i="7"/>
  <c r="J1010" i="7"/>
  <c r="K1010" i="7"/>
  <c r="L1010" i="7"/>
  <c r="M1010" i="7"/>
  <c r="N1010" i="7"/>
  <c r="O1010" i="7"/>
  <c r="P101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I1010" i="1"/>
  <c r="H1010" i="1"/>
  <c r="T1009" i="7"/>
  <c r="B1009" i="7"/>
  <c r="C1009" i="7"/>
  <c r="E1009" i="7"/>
  <c r="F1009" i="7"/>
  <c r="H1009" i="7"/>
  <c r="J1009" i="7"/>
  <c r="K1009" i="7"/>
  <c r="L1009" i="7"/>
  <c r="M1009" i="7"/>
  <c r="P1009" i="7"/>
  <c r="I1009" i="1"/>
  <c r="H1009" i="1"/>
  <c r="B1008" i="7"/>
  <c r="C1008" i="7"/>
  <c r="E1008" i="7"/>
  <c r="H1008" i="7"/>
  <c r="J1008" i="7"/>
  <c r="K1008" i="7"/>
  <c r="L1008" i="7"/>
  <c r="M1008" i="7"/>
  <c r="P1008" i="7"/>
  <c r="H1008" i="1"/>
  <c r="I1008" i="1"/>
  <c r="Y1007" i="7"/>
  <c r="B1007" i="7"/>
  <c r="C1007" i="7"/>
  <c r="E1007" i="7"/>
  <c r="H1007" i="7"/>
  <c r="J1007" i="7"/>
  <c r="K1007" i="7"/>
  <c r="L1007" i="7"/>
  <c r="M1007" i="7"/>
  <c r="P1007" i="7"/>
  <c r="I1007" i="1"/>
  <c r="H1007" i="1"/>
  <c r="H11" i="8"/>
  <c r="H10" i="8"/>
  <c r="H12" i="8"/>
  <c r="F11" i="8"/>
  <c r="F10" i="8"/>
  <c r="F12" i="8"/>
  <c r="E11" i="8"/>
  <c r="E10" i="8"/>
  <c r="E12" i="8"/>
  <c r="D11" i="8"/>
  <c r="D10" i="8"/>
  <c r="D12" i="8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I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B1003" i="7"/>
  <c r="C1003" i="7"/>
  <c r="E1003" i="7"/>
  <c r="H1003" i="7"/>
  <c r="J1003" i="7"/>
  <c r="K1003" i="7"/>
  <c r="L1003" i="7"/>
  <c r="M1003" i="7"/>
  <c r="P1003" i="7"/>
  <c r="I1003" i="1"/>
  <c r="H1003" i="1"/>
  <c r="B1002" i="7"/>
  <c r="C1002" i="7"/>
  <c r="E1002" i="7"/>
  <c r="H1002" i="7"/>
  <c r="J1002" i="7"/>
  <c r="K1002" i="7"/>
  <c r="L1002" i="7"/>
  <c r="M1002" i="7"/>
  <c r="P1002" i="7"/>
  <c r="H1002" i="1"/>
  <c r="B8" i="6"/>
  <c r="B10" i="6"/>
  <c r="H8" i="6"/>
  <c r="H10" i="6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56" i="1"/>
  <c r="K857" i="1"/>
  <c r="K858" i="1"/>
  <c r="K859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I1000" i="1"/>
  <c r="H1000" i="1"/>
  <c r="B1000" i="7"/>
  <c r="C1000" i="7"/>
  <c r="E1000" i="7"/>
  <c r="F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I999" i="1"/>
  <c r="H999" i="1"/>
  <c r="D13" i="6"/>
  <c r="C13" i="6"/>
  <c r="B13" i="6"/>
  <c r="D14" i="6"/>
  <c r="C14" i="6"/>
  <c r="B14" i="6"/>
  <c r="D8" i="6"/>
  <c r="D10" i="6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I992" i="1"/>
  <c r="H991" i="1"/>
  <c r="B991" i="7"/>
  <c r="C991" i="7"/>
  <c r="E991" i="7"/>
  <c r="J991" i="7"/>
  <c r="K991" i="7"/>
  <c r="L991" i="7"/>
  <c r="M991" i="7"/>
  <c r="P991" i="7"/>
  <c r="H990" i="1"/>
  <c r="H989" i="1"/>
  <c r="H988" i="1"/>
  <c r="I988" i="1"/>
  <c r="H987" i="1"/>
  <c r="I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Y831" i="7"/>
  <c r="H780" i="7"/>
  <c r="Y832" i="7"/>
  <c r="H781" i="7"/>
  <c r="H782" i="7"/>
  <c r="Y834" i="7"/>
  <c r="H783" i="7"/>
  <c r="H784" i="7"/>
  <c r="H785" i="7"/>
  <c r="Y837" i="7"/>
  <c r="H786" i="7"/>
  <c r="H787" i="7"/>
  <c r="Y839" i="7"/>
  <c r="H788" i="7"/>
  <c r="H789" i="7"/>
  <c r="Y945" i="7"/>
  <c r="Y841" i="7"/>
  <c r="H790" i="7"/>
  <c r="Y842" i="7"/>
  <c r="H791" i="7"/>
  <c r="H792" i="7"/>
  <c r="Y844" i="7"/>
  <c r="H793" i="7"/>
  <c r="H794" i="7"/>
  <c r="Y846" i="7"/>
  <c r="H795" i="7"/>
  <c r="Y847" i="7"/>
  <c r="H796" i="7"/>
  <c r="Y848" i="7"/>
  <c r="H797" i="7"/>
  <c r="Y849" i="7"/>
  <c r="H798" i="7"/>
  <c r="Y850" i="7"/>
  <c r="H799" i="7"/>
  <c r="Y851" i="7"/>
  <c r="H800" i="7"/>
  <c r="H801" i="7"/>
  <c r="Y853" i="7"/>
  <c r="H802" i="7"/>
  <c r="H803" i="7"/>
  <c r="H804" i="7"/>
  <c r="H805" i="7"/>
  <c r="Y857" i="7"/>
  <c r="H806" i="7"/>
  <c r="Y858" i="7"/>
  <c r="H807" i="7"/>
  <c r="H808" i="7"/>
  <c r="Y860" i="7"/>
  <c r="H809" i="7"/>
  <c r="H810" i="7"/>
  <c r="H811" i="7"/>
  <c r="Y863" i="7"/>
  <c r="H812" i="7"/>
  <c r="Y864" i="7"/>
  <c r="H813" i="7"/>
  <c r="H814" i="7"/>
  <c r="H815" i="7"/>
  <c r="Y867" i="7"/>
  <c r="H816" i="7"/>
  <c r="H817" i="7"/>
  <c r="Y869" i="7"/>
  <c r="H818" i="7"/>
  <c r="H819" i="7"/>
  <c r="Y871" i="7"/>
  <c r="H820" i="7"/>
  <c r="Y872" i="7"/>
  <c r="H821" i="7"/>
  <c r="Y873" i="7"/>
  <c r="H822" i="7"/>
  <c r="Y874" i="7"/>
  <c r="H823" i="7"/>
  <c r="H824" i="7"/>
  <c r="Y876" i="7"/>
  <c r="H825" i="7"/>
  <c r="H826" i="7"/>
  <c r="Y878" i="7"/>
  <c r="H827" i="7"/>
  <c r="Y879" i="7"/>
  <c r="H828" i="7"/>
  <c r="H829" i="7"/>
  <c r="H830" i="7"/>
  <c r="H831" i="7"/>
  <c r="H832" i="7"/>
  <c r="Y884" i="7"/>
  <c r="H833" i="7"/>
  <c r="H834" i="7"/>
  <c r="H835" i="7"/>
  <c r="H836" i="7"/>
  <c r="H837" i="7"/>
  <c r="H838" i="7"/>
  <c r="H839" i="7"/>
  <c r="H840" i="7"/>
  <c r="H841" i="7"/>
  <c r="H842" i="7"/>
  <c r="Y946" i="7"/>
  <c r="H843" i="7"/>
  <c r="H844" i="7"/>
  <c r="Y896" i="7"/>
  <c r="H845" i="7"/>
  <c r="H846" i="7"/>
  <c r="H847" i="7"/>
  <c r="H848" i="7"/>
  <c r="H849" i="7"/>
  <c r="H850" i="7"/>
  <c r="Y902" i="7"/>
  <c r="H851" i="7"/>
  <c r="Y903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Y919" i="7"/>
  <c r="H868" i="7"/>
  <c r="H869" i="7"/>
  <c r="H870" i="7"/>
  <c r="H871" i="7"/>
  <c r="H872" i="7"/>
  <c r="Y924" i="7"/>
  <c r="H873" i="7"/>
  <c r="H874" i="7"/>
  <c r="H875" i="7"/>
  <c r="H876" i="7"/>
  <c r="Y928" i="7"/>
  <c r="H877" i="7"/>
  <c r="H878" i="7"/>
  <c r="H879" i="7"/>
  <c r="Y931" i="7"/>
  <c r="H880" i="7"/>
  <c r="H881" i="7"/>
  <c r="H882" i="7"/>
  <c r="H883" i="7"/>
  <c r="Y987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Y984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Y1002" i="7"/>
  <c r="H951" i="7"/>
  <c r="H952" i="7"/>
  <c r="H953" i="7"/>
  <c r="Y1005" i="7"/>
  <c r="H954" i="7"/>
  <c r="H955" i="7"/>
  <c r="H956" i="7"/>
  <c r="H957" i="7"/>
  <c r="Y1009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Y829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I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I983" i="1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I982" i="1"/>
  <c r="J982" i="7"/>
  <c r="K982" i="7"/>
  <c r="L982" i="7"/>
  <c r="M982" i="7"/>
  <c r="H981" i="1"/>
  <c r="I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I978" i="1"/>
  <c r="B978" i="7"/>
  <c r="C978" i="7"/>
  <c r="D978" i="7"/>
  <c r="E978" i="7"/>
  <c r="J978" i="7"/>
  <c r="K978" i="7"/>
  <c r="L978" i="7"/>
  <c r="M978" i="7"/>
  <c r="H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I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I974" i="1"/>
  <c r="B973" i="7"/>
  <c r="C973" i="7"/>
  <c r="D973" i="7"/>
  <c r="E973" i="7"/>
  <c r="J973" i="7"/>
  <c r="K973" i="7"/>
  <c r="L973" i="7"/>
  <c r="M973" i="7"/>
  <c r="H973" i="1"/>
  <c r="I973" i="1"/>
  <c r="B972" i="7"/>
  <c r="C972" i="7"/>
  <c r="D972" i="7"/>
  <c r="E972" i="7"/>
  <c r="J972" i="7"/>
  <c r="K972" i="7"/>
  <c r="L972" i="7"/>
  <c r="M972" i="7"/>
  <c r="H972" i="1"/>
  <c r="I972" i="1"/>
  <c r="B971" i="7"/>
  <c r="C971" i="7"/>
  <c r="D971" i="7"/>
  <c r="E971" i="7"/>
  <c r="J971" i="7"/>
  <c r="K971" i="7"/>
  <c r="L971" i="7"/>
  <c r="M971" i="7"/>
  <c r="H971" i="1"/>
  <c r="I971" i="1"/>
  <c r="B970" i="7"/>
  <c r="C970" i="7"/>
  <c r="D970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I969" i="1"/>
  <c r="B968" i="7"/>
  <c r="C968" i="7"/>
  <c r="D968" i="7"/>
  <c r="E968" i="7"/>
  <c r="J968" i="7"/>
  <c r="K968" i="7"/>
  <c r="L968" i="7"/>
  <c r="M968" i="7"/>
  <c r="H968" i="1"/>
  <c r="I968" i="1"/>
  <c r="B967" i="7"/>
  <c r="C967" i="7"/>
  <c r="D967" i="7"/>
  <c r="E967" i="7"/>
  <c r="J967" i="7"/>
  <c r="K967" i="7"/>
  <c r="L967" i="7"/>
  <c r="M967" i="7"/>
  <c r="H967" i="1"/>
  <c r="I967" i="1"/>
  <c r="B966" i="7"/>
  <c r="C966" i="7"/>
  <c r="D966" i="7"/>
  <c r="E966" i="7"/>
  <c r="J966" i="7"/>
  <c r="K966" i="7"/>
  <c r="L966" i="7"/>
  <c r="M966" i="7"/>
  <c r="H966" i="1"/>
  <c r="I966" i="1"/>
  <c r="B965" i="7"/>
  <c r="C965" i="7"/>
  <c r="D965" i="7"/>
  <c r="E965" i="7"/>
  <c r="J965" i="7"/>
  <c r="K965" i="7"/>
  <c r="L965" i="7"/>
  <c r="M965" i="7"/>
  <c r="H965" i="1"/>
  <c r="I965" i="1"/>
  <c r="B964" i="7"/>
  <c r="C964" i="7"/>
  <c r="D964" i="7"/>
  <c r="E964" i="7"/>
  <c r="J964" i="7"/>
  <c r="K964" i="7"/>
  <c r="L964" i="7"/>
  <c r="M964" i="7"/>
  <c r="H964" i="1"/>
  <c r="I964" i="1"/>
  <c r="B963" i="7"/>
  <c r="C963" i="7"/>
  <c r="D963" i="7"/>
  <c r="E963" i="7"/>
  <c r="J963" i="7"/>
  <c r="K963" i="7"/>
  <c r="L963" i="7"/>
  <c r="M963" i="7"/>
  <c r="H963" i="1"/>
  <c r="I963" i="1"/>
  <c r="B962" i="7"/>
  <c r="C962" i="7"/>
  <c r="D962" i="7"/>
  <c r="E962" i="7"/>
  <c r="J962" i="7"/>
  <c r="K962" i="7"/>
  <c r="L962" i="7"/>
  <c r="M962" i="7"/>
  <c r="H962" i="1"/>
  <c r="I962" i="1"/>
  <c r="B961" i="7"/>
  <c r="C961" i="7"/>
  <c r="D961" i="7"/>
  <c r="E961" i="7"/>
  <c r="J961" i="7"/>
  <c r="K961" i="7"/>
  <c r="L961" i="7"/>
  <c r="M961" i="7"/>
  <c r="H961" i="1"/>
  <c r="I961" i="1"/>
  <c r="B960" i="7"/>
  <c r="C960" i="7"/>
  <c r="D960" i="7"/>
  <c r="E960" i="7"/>
  <c r="J960" i="7"/>
  <c r="K960" i="7"/>
  <c r="L960" i="7"/>
  <c r="M960" i="7"/>
  <c r="H960" i="1"/>
  <c r="I960" i="1"/>
  <c r="B959" i="7"/>
  <c r="C959" i="7"/>
  <c r="D959" i="7"/>
  <c r="E959" i="7"/>
  <c r="J959" i="7"/>
  <c r="K959" i="7"/>
  <c r="L959" i="7"/>
  <c r="M959" i="7"/>
  <c r="H959" i="1"/>
  <c r="I959" i="1"/>
  <c r="H958" i="1"/>
  <c r="I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I956" i="1"/>
  <c r="H955" i="1"/>
  <c r="I955" i="1"/>
  <c r="H954" i="1"/>
  <c r="I954" i="1"/>
  <c r="H953" i="1"/>
  <c r="I953" i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U1004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I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I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I945" i="1"/>
  <c r="H944" i="1"/>
  <c r="I944" i="1"/>
  <c r="B943" i="7"/>
  <c r="C943" i="7"/>
  <c r="D943" i="7"/>
  <c r="E943" i="7"/>
  <c r="J943" i="7"/>
  <c r="K943" i="7"/>
  <c r="L943" i="7"/>
  <c r="M943" i="7"/>
  <c r="H943" i="1"/>
  <c r="I943" i="1"/>
  <c r="B942" i="7"/>
  <c r="C942" i="7"/>
  <c r="D942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E939" i="7"/>
  <c r="J939" i="7"/>
  <c r="K939" i="7"/>
  <c r="L939" i="7"/>
  <c r="M939" i="7"/>
  <c r="H939" i="1"/>
  <c r="I939" i="1"/>
  <c r="B938" i="7"/>
  <c r="C938" i="7"/>
  <c r="D938" i="7"/>
  <c r="E938" i="7"/>
  <c r="J938" i="7"/>
  <c r="K938" i="7"/>
  <c r="L938" i="7"/>
  <c r="M938" i="7"/>
  <c r="H938" i="1"/>
  <c r="I938" i="1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I936" i="1"/>
  <c r="B935" i="7"/>
  <c r="C935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I934" i="1"/>
  <c r="B933" i="7"/>
  <c r="C933" i="7"/>
  <c r="D933" i="7"/>
  <c r="E933" i="7"/>
  <c r="J933" i="7"/>
  <c r="K933" i="7"/>
  <c r="L933" i="7"/>
  <c r="M933" i="7"/>
  <c r="H933" i="1"/>
  <c r="I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I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E929" i="7"/>
  <c r="J929" i="7"/>
  <c r="K929" i="7"/>
  <c r="L929" i="7"/>
  <c r="M929" i="7"/>
  <c r="H929" i="1"/>
  <c r="I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I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I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I922" i="1"/>
  <c r="B921" i="7"/>
  <c r="C921" i="7"/>
  <c r="D921" i="7"/>
  <c r="E921" i="7"/>
  <c r="H921" i="1"/>
  <c r="I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I920" i="1"/>
  <c r="H919" i="1"/>
  <c r="I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I917" i="1"/>
  <c r="B916" i="7"/>
  <c r="S968" i="7"/>
  <c r="C916" i="7"/>
  <c r="D916" i="7"/>
  <c r="E916" i="7"/>
  <c r="H916" i="1"/>
  <c r="I916" i="1"/>
  <c r="B915" i="7"/>
  <c r="C915" i="7"/>
  <c r="D915" i="7"/>
  <c r="E915" i="7"/>
  <c r="H915" i="1"/>
  <c r="I915" i="1"/>
  <c r="B914" i="7"/>
  <c r="C914" i="7"/>
  <c r="D914" i="7"/>
  <c r="E914" i="7"/>
  <c r="H914" i="1"/>
  <c r="I914" i="1"/>
  <c r="B913" i="7"/>
  <c r="C913" i="7"/>
  <c r="D913" i="7"/>
  <c r="E913" i="7"/>
  <c r="H913" i="1"/>
  <c r="I913" i="1"/>
  <c r="B912" i="7"/>
  <c r="C912" i="7"/>
  <c r="D912" i="7"/>
  <c r="U964" i="7"/>
  <c r="E912" i="7"/>
  <c r="H912" i="1"/>
  <c r="B911" i="7"/>
  <c r="C911" i="7"/>
  <c r="D911" i="7"/>
  <c r="E911" i="7"/>
  <c r="H911" i="1"/>
  <c r="I911" i="1"/>
  <c r="H910" i="1"/>
  <c r="I910" i="1"/>
  <c r="B910" i="7"/>
  <c r="C910" i="7"/>
  <c r="D910" i="7"/>
  <c r="E910" i="7"/>
  <c r="B909" i="7"/>
  <c r="C909" i="7"/>
  <c r="D909" i="7"/>
  <c r="E909" i="7"/>
  <c r="H909" i="1"/>
  <c r="I909" i="1"/>
  <c r="B908" i="7"/>
  <c r="C908" i="7"/>
  <c r="D908" i="7"/>
  <c r="E908" i="7"/>
  <c r="H908" i="1"/>
  <c r="I908" i="1"/>
  <c r="B907" i="7"/>
  <c r="C907" i="7"/>
  <c r="D907" i="7"/>
  <c r="E907" i="7"/>
  <c r="H907" i="1"/>
  <c r="I907" i="1"/>
  <c r="G910" i="7"/>
  <c r="B906" i="7"/>
  <c r="C906" i="7"/>
  <c r="D906" i="7"/>
  <c r="E906" i="7"/>
  <c r="H906" i="1"/>
  <c r="I906" i="1"/>
  <c r="B905" i="7"/>
  <c r="C905" i="7"/>
  <c r="D905" i="7"/>
  <c r="E905" i="7"/>
  <c r="H905" i="1"/>
  <c r="I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I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I899" i="1"/>
  <c r="G902" i="7"/>
  <c r="B898" i="7"/>
  <c r="C898" i="7"/>
  <c r="D898" i="7"/>
  <c r="E898" i="7"/>
  <c r="H898" i="1"/>
  <c r="I898" i="1"/>
  <c r="B897" i="7"/>
  <c r="C897" i="7"/>
  <c r="D897" i="7"/>
  <c r="E897" i="7"/>
  <c r="H897" i="1"/>
  <c r="I897" i="1"/>
  <c r="B896" i="7"/>
  <c r="C896" i="7"/>
  <c r="D896" i="7"/>
  <c r="E896" i="7"/>
  <c r="H896" i="1"/>
  <c r="I896" i="1"/>
  <c r="E895" i="7"/>
  <c r="D895" i="7"/>
  <c r="C895" i="7"/>
  <c r="B895" i="7"/>
  <c r="H895" i="1"/>
  <c r="I895" i="1"/>
  <c r="E894" i="7"/>
  <c r="D894" i="7"/>
  <c r="C894" i="7"/>
  <c r="B894" i="7"/>
  <c r="H894" i="1"/>
  <c r="I894" i="1"/>
  <c r="B893" i="7"/>
  <c r="C893" i="7"/>
  <c r="D893" i="7"/>
  <c r="E893" i="7"/>
  <c r="H893" i="1"/>
  <c r="I893" i="1"/>
  <c r="B892" i="7"/>
  <c r="C892" i="7"/>
  <c r="D892" i="7"/>
  <c r="E892" i="7"/>
  <c r="H892" i="1"/>
  <c r="B891" i="7"/>
  <c r="C891" i="7"/>
  <c r="D891" i="7"/>
  <c r="E891" i="7"/>
  <c r="H891" i="1"/>
  <c r="I891" i="1"/>
  <c r="E890" i="7"/>
  <c r="D890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I889" i="1"/>
  <c r="E888" i="7"/>
  <c r="D888" i="7"/>
  <c r="C888" i="7"/>
  <c r="B888" i="7"/>
  <c r="H888" i="1"/>
  <c r="I888" i="1"/>
  <c r="E887" i="7"/>
  <c r="D887" i="7"/>
  <c r="C887" i="7"/>
  <c r="B887" i="7"/>
  <c r="H887" i="1"/>
  <c r="I887" i="1"/>
  <c r="E886" i="7"/>
  <c r="D886" i="7"/>
  <c r="C886" i="7"/>
  <c r="B886" i="7"/>
  <c r="H886" i="1"/>
  <c r="I886" i="1"/>
  <c r="E885" i="7"/>
  <c r="D885" i="7"/>
  <c r="C885" i="7"/>
  <c r="B885" i="7"/>
  <c r="H885" i="1"/>
  <c r="I885" i="1"/>
  <c r="E884" i="7"/>
  <c r="D884" i="7"/>
  <c r="C884" i="7"/>
  <c r="B884" i="7"/>
  <c r="H884" i="1"/>
  <c r="I884" i="1"/>
  <c r="E883" i="7"/>
  <c r="D883" i="7"/>
  <c r="C883" i="7"/>
  <c r="B883" i="7"/>
  <c r="H883" i="1"/>
  <c r="I883" i="1"/>
  <c r="E882" i="7"/>
  <c r="D882" i="7"/>
  <c r="C882" i="7"/>
  <c r="B882" i="7"/>
  <c r="H882" i="1"/>
  <c r="I882" i="1"/>
  <c r="E881" i="7"/>
  <c r="D881" i="7"/>
  <c r="C881" i="7"/>
  <c r="B881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C876" i="7"/>
  <c r="B876" i="7"/>
  <c r="H876" i="1"/>
  <c r="I876" i="1"/>
  <c r="E875" i="7"/>
  <c r="D875" i="7"/>
  <c r="C875" i="7"/>
  <c r="B875" i="7"/>
  <c r="H875" i="1"/>
  <c r="I875" i="1"/>
  <c r="E874" i="7"/>
  <c r="D874" i="7"/>
  <c r="C874" i="7"/>
  <c r="B874" i="7"/>
  <c r="H874" i="1"/>
  <c r="I874" i="1"/>
  <c r="E873" i="7"/>
  <c r="D873" i="7"/>
  <c r="C873" i="7"/>
  <c r="B873" i="7"/>
  <c r="H873" i="1"/>
  <c r="H872" i="1"/>
  <c r="I872" i="1"/>
  <c r="E872" i="7"/>
  <c r="D872" i="7"/>
  <c r="C872" i="7"/>
  <c r="B872" i="7"/>
  <c r="D871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I869" i="1"/>
  <c r="E868" i="7"/>
  <c r="D868" i="7"/>
  <c r="C868" i="7"/>
  <c r="B868" i="7"/>
  <c r="H868" i="1"/>
  <c r="I868" i="1"/>
  <c r="E867" i="7"/>
  <c r="D867" i="7"/>
  <c r="C867" i="7"/>
  <c r="B867" i="7"/>
  <c r="H867" i="1"/>
  <c r="I867" i="1"/>
  <c r="E866" i="7"/>
  <c r="D866" i="7"/>
  <c r="C866" i="7"/>
  <c r="B866" i="7"/>
  <c r="H866" i="1"/>
  <c r="I866" i="1"/>
  <c r="H865" i="1"/>
  <c r="I865" i="1"/>
  <c r="E865" i="7"/>
  <c r="D865" i="7"/>
  <c r="C865" i="7"/>
  <c r="B865" i="7"/>
  <c r="H864" i="1"/>
  <c r="H863" i="1"/>
  <c r="I863" i="1"/>
  <c r="H862" i="1"/>
  <c r="I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H860" i="1"/>
  <c r="E864" i="7"/>
  <c r="V916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C860" i="7"/>
  <c r="B860" i="7"/>
  <c r="E859" i="7"/>
  <c r="D859" i="7"/>
  <c r="C859" i="7"/>
  <c r="B859" i="7"/>
  <c r="H859" i="1"/>
  <c r="H858" i="1"/>
  <c r="E858" i="7"/>
  <c r="D858" i="7"/>
  <c r="C858" i="7"/>
  <c r="B858" i="7"/>
  <c r="E857" i="7"/>
  <c r="D857" i="7"/>
  <c r="C857" i="7"/>
  <c r="B857" i="7"/>
  <c r="H857" i="1"/>
  <c r="I857" i="1"/>
  <c r="H856" i="1"/>
  <c r="I856" i="1"/>
  <c r="H855" i="1"/>
  <c r="I855" i="1"/>
  <c r="H854" i="1"/>
  <c r="E856" i="7"/>
  <c r="D856" i="7"/>
  <c r="U960" i="7"/>
  <c r="C856" i="7"/>
  <c r="B856" i="7"/>
  <c r="E855" i="7"/>
  <c r="D855" i="7"/>
  <c r="C855" i="7"/>
  <c r="B855" i="7"/>
  <c r="H853" i="1"/>
  <c r="E854" i="7"/>
  <c r="D854" i="7"/>
  <c r="C854" i="7"/>
  <c r="B854" i="7"/>
  <c r="E853" i="7"/>
  <c r="D853" i="7"/>
  <c r="C853" i="7"/>
  <c r="B853" i="7"/>
  <c r="E852" i="7"/>
  <c r="D852" i="7"/>
  <c r="C852" i="7"/>
  <c r="B852" i="7"/>
  <c r="H852" i="1"/>
  <c r="I852" i="1"/>
  <c r="H851" i="1"/>
  <c r="E851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T954" i="7"/>
  <c r="B850" i="7"/>
  <c r="H850" i="1"/>
  <c r="H849" i="1"/>
  <c r="H848" i="1"/>
  <c r="I848" i="1"/>
  <c r="H847" i="1"/>
  <c r="H846" i="1"/>
  <c r="I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M844" i="7"/>
  <c r="L844" i="7"/>
  <c r="K844" i="7"/>
  <c r="J844" i="7"/>
  <c r="E844" i="7"/>
  <c r="D844" i="7"/>
  <c r="C844" i="7"/>
  <c r="B844" i="7"/>
  <c r="H844" i="1"/>
  <c r="I844" i="1"/>
  <c r="H843" i="1"/>
  <c r="I843" i="1"/>
  <c r="H842" i="1"/>
  <c r="H841" i="1"/>
  <c r="I841" i="1"/>
  <c r="H840" i="1"/>
  <c r="H839" i="1"/>
  <c r="H838" i="1"/>
  <c r="H837" i="1"/>
  <c r="I837" i="1"/>
  <c r="M843" i="7"/>
  <c r="L843" i="7"/>
  <c r="K843" i="7"/>
  <c r="J843" i="7"/>
  <c r="E843" i="7"/>
  <c r="D843" i="7"/>
  <c r="U895" i="7"/>
  <c r="C843" i="7"/>
  <c r="B843" i="7"/>
  <c r="M842" i="7"/>
  <c r="L842" i="7"/>
  <c r="K842" i="7"/>
  <c r="J842" i="7"/>
  <c r="E842" i="7"/>
  <c r="D842" i="7"/>
  <c r="U894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C836" i="7"/>
  <c r="T992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C834" i="7"/>
  <c r="B834" i="7"/>
  <c r="M833" i="7"/>
  <c r="L833" i="7"/>
  <c r="K833" i="7"/>
  <c r="J833" i="7"/>
  <c r="E833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D831" i="7"/>
  <c r="C831" i="7"/>
  <c r="B831" i="7"/>
  <c r="M830" i="7"/>
  <c r="L830" i="7"/>
  <c r="K830" i="7"/>
  <c r="J830" i="7"/>
  <c r="E830" i="7"/>
  <c r="D830" i="7"/>
  <c r="C830" i="7"/>
  <c r="B830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V931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S975" i="7"/>
  <c r="M818" i="7"/>
  <c r="L818" i="7"/>
  <c r="K818" i="7"/>
  <c r="J818" i="7"/>
  <c r="E818" i="7"/>
  <c r="D818" i="7"/>
  <c r="U870" i="7"/>
  <c r="C818" i="7"/>
  <c r="T974" i="7"/>
  <c r="B818" i="7"/>
  <c r="M817" i="7"/>
  <c r="L817" i="7"/>
  <c r="K817" i="7"/>
  <c r="J817" i="7"/>
  <c r="E817" i="7"/>
  <c r="D817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T915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C807" i="7"/>
  <c r="B807" i="7"/>
  <c r="M806" i="7"/>
  <c r="L806" i="7"/>
  <c r="K806" i="7"/>
  <c r="J806" i="7"/>
  <c r="E806" i="7"/>
  <c r="D806" i="7"/>
  <c r="U858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C804" i="7"/>
  <c r="B804" i="7"/>
  <c r="S960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T906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U904" i="7"/>
  <c r="C800" i="7"/>
  <c r="B800" i="7"/>
  <c r="M799" i="7"/>
  <c r="L799" i="7"/>
  <c r="K799" i="7"/>
  <c r="J799" i="7"/>
  <c r="E799" i="7"/>
  <c r="D799" i="7"/>
  <c r="C799" i="7"/>
  <c r="T903" i="7"/>
  <c r="B799" i="7"/>
  <c r="M798" i="7"/>
  <c r="L798" i="7"/>
  <c r="K798" i="7"/>
  <c r="J798" i="7"/>
  <c r="E798" i="7"/>
  <c r="D798" i="7"/>
  <c r="C798" i="7"/>
  <c r="T850" i="7"/>
  <c r="B798" i="7"/>
  <c r="M797" i="7"/>
  <c r="L797" i="7"/>
  <c r="K797" i="7"/>
  <c r="J797" i="7"/>
  <c r="E797" i="7"/>
  <c r="D797" i="7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T898" i="7"/>
  <c r="B794" i="7"/>
  <c r="M793" i="7"/>
  <c r="L793" i="7"/>
  <c r="K793" i="7"/>
  <c r="J793" i="7"/>
  <c r="E793" i="7"/>
  <c r="V897" i="7"/>
  <c r="D793" i="7"/>
  <c r="C793" i="7"/>
  <c r="T897" i="7"/>
  <c r="B793" i="7"/>
  <c r="M792" i="7"/>
  <c r="L792" i="7"/>
  <c r="K792" i="7"/>
  <c r="J792" i="7"/>
  <c r="E792" i="7"/>
  <c r="D792" i="7"/>
  <c r="C792" i="7"/>
  <c r="T844" i="7"/>
  <c r="B792" i="7"/>
  <c r="M791" i="7"/>
  <c r="L791" i="7"/>
  <c r="K791" i="7"/>
  <c r="J791" i="7"/>
  <c r="E791" i="7"/>
  <c r="D791" i="7"/>
  <c r="C791" i="7"/>
  <c r="B791" i="7"/>
  <c r="M790" i="7"/>
  <c r="L790" i="7"/>
  <c r="K790" i="7"/>
  <c r="J790" i="7"/>
  <c r="E790" i="7"/>
  <c r="D790" i="7"/>
  <c r="C790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M789" i="7"/>
  <c r="L789" i="7"/>
  <c r="K789" i="7"/>
  <c r="J789" i="7"/>
  <c r="E789" i="7"/>
  <c r="D789" i="7"/>
  <c r="U841" i="7"/>
  <c r="C789" i="7"/>
  <c r="B789" i="7"/>
  <c r="S841" i="7"/>
  <c r="M788" i="7"/>
  <c r="L788" i="7"/>
  <c r="K788" i="7"/>
  <c r="J788" i="7"/>
  <c r="E788" i="7"/>
  <c r="D788" i="7"/>
  <c r="U840" i="7"/>
  <c r="C788" i="7"/>
  <c r="B788" i="7"/>
  <c r="M787" i="7"/>
  <c r="L787" i="7"/>
  <c r="K787" i="7"/>
  <c r="J787" i="7"/>
  <c r="E787" i="7"/>
  <c r="D787" i="7"/>
  <c r="U839" i="7"/>
  <c r="C787" i="7"/>
  <c r="B787" i="7"/>
  <c r="M786" i="7"/>
  <c r="L786" i="7"/>
  <c r="K786" i="7"/>
  <c r="J786" i="7"/>
  <c r="E786" i="7"/>
  <c r="D786" i="7"/>
  <c r="U838" i="7"/>
  <c r="C786" i="7"/>
  <c r="B786" i="7"/>
  <c r="M785" i="7"/>
  <c r="L785" i="7"/>
  <c r="K785" i="7"/>
  <c r="J785" i="7"/>
  <c r="E785" i="7"/>
  <c r="D785" i="7"/>
  <c r="U837" i="7"/>
  <c r="C785" i="7"/>
  <c r="B785" i="7"/>
  <c r="M784" i="7"/>
  <c r="L784" i="7"/>
  <c r="K784" i="7"/>
  <c r="J784" i="7"/>
  <c r="E784" i="7"/>
  <c r="D784" i="7"/>
  <c r="U836" i="7"/>
  <c r="C784" i="7"/>
  <c r="B784" i="7"/>
  <c r="M783" i="7"/>
  <c r="L783" i="7"/>
  <c r="K783" i="7"/>
  <c r="J783" i="7"/>
  <c r="E783" i="7"/>
  <c r="D783" i="7"/>
  <c r="U835" i="7"/>
  <c r="C783" i="7"/>
  <c r="B783" i="7"/>
  <c r="M782" i="7"/>
  <c r="L782" i="7"/>
  <c r="K782" i="7"/>
  <c r="J782" i="7"/>
  <c r="E782" i="7"/>
  <c r="D782" i="7"/>
  <c r="U834" i="7"/>
  <c r="C782" i="7"/>
  <c r="B782" i="7"/>
  <c r="S834" i="7"/>
  <c r="M781" i="7"/>
  <c r="L781" i="7"/>
  <c r="K781" i="7"/>
  <c r="J781" i="7"/>
  <c r="E781" i="7"/>
  <c r="D781" i="7"/>
  <c r="U833" i="7"/>
  <c r="C781" i="7"/>
  <c r="B781" i="7"/>
  <c r="M780" i="7"/>
  <c r="L780" i="7"/>
  <c r="K780" i="7"/>
  <c r="J780" i="7"/>
  <c r="E780" i="7"/>
  <c r="D780" i="7"/>
  <c r="U832" i="7"/>
  <c r="C780" i="7"/>
  <c r="B780" i="7"/>
  <c r="M779" i="7"/>
  <c r="L779" i="7"/>
  <c r="K779" i="7"/>
  <c r="J779" i="7"/>
  <c r="E779" i="7"/>
  <c r="D779" i="7"/>
  <c r="U831" i="7"/>
  <c r="C779" i="7"/>
  <c r="T935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T933" i="7"/>
  <c r="B777" i="7"/>
  <c r="M776" i="7"/>
  <c r="L776" i="7"/>
  <c r="K776" i="7"/>
  <c r="J776" i="7"/>
  <c r="E776" i="7"/>
  <c r="D776" i="7"/>
  <c r="U932" i="7"/>
  <c r="C776" i="7"/>
  <c r="B776" i="7"/>
  <c r="M775" i="7"/>
  <c r="L775" i="7"/>
  <c r="K775" i="7"/>
  <c r="J775" i="7"/>
  <c r="E775" i="7"/>
  <c r="D775" i="7"/>
  <c r="C775" i="7"/>
  <c r="B775" i="7"/>
  <c r="M774" i="7"/>
  <c r="L774" i="7"/>
  <c r="K774" i="7"/>
  <c r="J774" i="7"/>
  <c r="E774" i="7"/>
  <c r="V930" i="7"/>
  <c r="D774" i="7"/>
  <c r="C774" i="7"/>
  <c r="B774" i="7"/>
  <c r="M773" i="7"/>
  <c r="L773" i="7"/>
  <c r="K773" i="7"/>
  <c r="J773" i="7"/>
  <c r="E773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V927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D768" i="7"/>
  <c r="C768" i="7"/>
  <c r="B768" i="7"/>
  <c r="M767" i="7"/>
  <c r="L767" i="7"/>
  <c r="K767" i="7"/>
  <c r="J767" i="7"/>
  <c r="E767" i="7"/>
  <c r="V923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C761" i="7"/>
  <c r="B761" i="7"/>
  <c r="M760" i="7"/>
  <c r="L760" i="7"/>
  <c r="K760" i="7"/>
  <c r="J760" i="7"/>
  <c r="E760" i="7"/>
  <c r="D760" i="7"/>
  <c r="U916" i="7"/>
  <c r="C760" i="7"/>
  <c r="B760" i="7"/>
  <c r="S969" i="7"/>
  <c r="M759" i="7"/>
  <c r="L759" i="7"/>
  <c r="K759" i="7"/>
  <c r="J759" i="7"/>
  <c r="E759" i="7"/>
  <c r="D759" i="7"/>
  <c r="C759" i="7"/>
  <c r="B759" i="7"/>
  <c r="M758" i="7"/>
  <c r="L758" i="7"/>
  <c r="K758" i="7"/>
  <c r="J758" i="7"/>
  <c r="E758" i="7"/>
  <c r="D758" i="7"/>
  <c r="C758" i="7"/>
  <c r="B758" i="7"/>
  <c r="S967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U912" i="7"/>
  <c r="C756" i="7"/>
  <c r="B756" i="7"/>
  <c r="M755" i="7"/>
  <c r="L755" i="7"/>
  <c r="K755" i="7"/>
  <c r="J755" i="7"/>
  <c r="E755" i="7"/>
  <c r="V964" i="7"/>
  <c r="D755" i="7"/>
  <c r="C755" i="7"/>
  <c r="B755" i="7"/>
  <c r="M754" i="7"/>
  <c r="L754" i="7"/>
  <c r="K754" i="7"/>
  <c r="J754" i="7"/>
  <c r="E754" i="7"/>
  <c r="D754" i="7"/>
  <c r="U910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D751" i="7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C749" i="7"/>
  <c r="B749" i="7"/>
  <c r="M748" i="7"/>
  <c r="L748" i="7"/>
  <c r="K748" i="7"/>
  <c r="J748" i="7"/>
  <c r="E748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U952" i="7"/>
  <c r="C743" i="7"/>
  <c r="T795" i="7"/>
  <c r="B743" i="7"/>
  <c r="M742" i="7"/>
  <c r="L742" i="7"/>
  <c r="K742" i="7"/>
  <c r="J742" i="7"/>
  <c r="E742" i="7"/>
  <c r="D742" i="7"/>
  <c r="C742" i="7"/>
  <c r="T794" i="7"/>
  <c r="B742" i="7"/>
  <c r="M741" i="7"/>
  <c r="L741" i="7"/>
  <c r="K741" i="7"/>
  <c r="J741" i="7"/>
  <c r="E741" i="7"/>
  <c r="D741" i="7"/>
  <c r="U950" i="7"/>
  <c r="C741" i="7"/>
  <c r="B741" i="7"/>
  <c r="M740" i="7"/>
  <c r="L740" i="7"/>
  <c r="K740" i="7"/>
  <c r="J740" i="7"/>
  <c r="E740" i="7"/>
  <c r="D740" i="7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V842" i="7"/>
  <c r="D738" i="7"/>
  <c r="U790" i="7"/>
  <c r="C738" i="7"/>
  <c r="T790" i="7"/>
  <c r="B738" i="7"/>
  <c r="M737" i="7"/>
  <c r="L737" i="7"/>
  <c r="K737" i="7"/>
  <c r="J737" i="7"/>
  <c r="E737" i="7"/>
  <c r="D737" i="7"/>
  <c r="C737" i="7"/>
  <c r="B737" i="7"/>
  <c r="M736" i="7"/>
  <c r="L736" i="7"/>
  <c r="K736" i="7"/>
  <c r="J736" i="7"/>
  <c r="E736" i="7"/>
  <c r="D736" i="7"/>
  <c r="C736" i="7"/>
  <c r="T945" i="7"/>
  <c r="B736" i="7"/>
  <c r="M735" i="7"/>
  <c r="L735" i="7"/>
  <c r="K735" i="7"/>
  <c r="J735" i="7"/>
  <c r="E735" i="7"/>
  <c r="D735" i="7"/>
  <c r="C735" i="7"/>
  <c r="T891" i="7"/>
  <c r="B735" i="7"/>
  <c r="M734" i="7"/>
  <c r="L734" i="7"/>
  <c r="K734" i="7"/>
  <c r="J734" i="7"/>
  <c r="E734" i="7"/>
  <c r="D734" i="7"/>
  <c r="C734" i="7"/>
  <c r="B734" i="7"/>
  <c r="M733" i="7"/>
  <c r="L733" i="7"/>
  <c r="K733" i="7"/>
  <c r="J733" i="7"/>
  <c r="E733" i="7"/>
  <c r="D733" i="7"/>
  <c r="C733" i="7"/>
  <c r="B733" i="7"/>
  <c r="M732" i="7"/>
  <c r="L732" i="7"/>
  <c r="K732" i="7"/>
  <c r="J732" i="7"/>
  <c r="E732" i="7"/>
  <c r="D732" i="7"/>
  <c r="C732" i="7"/>
  <c r="B732" i="7"/>
  <c r="M731" i="7"/>
  <c r="L731" i="7"/>
  <c r="K731" i="7"/>
  <c r="J731" i="7"/>
  <c r="E731" i="7"/>
  <c r="D731" i="7"/>
  <c r="C731" i="7"/>
  <c r="B731" i="7"/>
  <c r="M730" i="7"/>
  <c r="L730" i="7"/>
  <c r="K730" i="7"/>
  <c r="J730" i="7"/>
  <c r="E730" i="7"/>
  <c r="V886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S877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D719" i="7"/>
  <c r="C719" i="7"/>
  <c r="B719" i="7"/>
  <c r="S875" i="7"/>
  <c r="S823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M716" i="7"/>
  <c r="L716" i="7"/>
  <c r="K716" i="7"/>
  <c r="J716" i="7"/>
  <c r="E716" i="7"/>
  <c r="D716" i="7"/>
  <c r="C716" i="7"/>
  <c r="B716" i="7"/>
  <c r="S925" i="7"/>
  <c r="M715" i="7"/>
  <c r="L715" i="7"/>
  <c r="K715" i="7"/>
  <c r="J715" i="7"/>
  <c r="E715" i="7"/>
  <c r="D715" i="7"/>
  <c r="C715" i="7"/>
  <c r="B715" i="7"/>
  <c r="M714" i="7"/>
  <c r="L714" i="7"/>
  <c r="K714" i="7"/>
  <c r="J714" i="7"/>
  <c r="E714" i="7"/>
  <c r="D714" i="7"/>
  <c r="C714" i="7"/>
  <c r="B714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U921" i="7"/>
  <c r="C712" i="7"/>
  <c r="T764" i="7"/>
  <c r="T816" i="7"/>
  <c r="B712" i="7"/>
  <c r="S816" i="7"/>
  <c r="M711" i="7"/>
  <c r="L711" i="7"/>
  <c r="K711" i="7"/>
  <c r="J711" i="7"/>
  <c r="E711" i="7"/>
  <c r="D711" i="7"/>
  <c r="C711" i="7"/>
  <c r="B711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T813" i="7"/>
  <c r="B709" i="7"/>
  <c r="M708" i="7"/>
  <c r="L708" i="7"/>
  <c r="K708" i="7"/>
  <c r="J708" i="7"/>
  <c r="E708" i="7"/>
  <c r="D708" i="7"/>
  <c r="C708" i="7"/>
  <c r="B708" i="7"/>
  <c r="M707" i="7"/>
  <c r="L707" i="7"/>
  <c r="K707" i="7"/>
  <c r="J707" i="7"/>
  <c r="E707" i="7"/>
  <c r="D707" i="7"/>
  <c r="C707" i="7"/>
  <c r="B707" i="7"/>
  <c r="M706" i="7"/>
  <c r="L706" i="7"/>
  <c r="K706" i="7"/>
  <c r="J706" i="7"/>
  <c r="E706" i="7"/>
  <c r="D706" i="7"/>
  <c r="U758" i="7"/>
  <c r="C706" i="7"/>
  <c r="B706" i="7"/>
  <c r="M705" i="7"/>
  <c r="L705" i="7"/>
  <c r="K705" i="7"/>
  <c r="J705" i="7"/>
  <c r="E705" i="7"/>
  <c r="D705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M696" i="7"/>
  <c r="L696" i="7"/>
  <c r="K696" i="7"/>
  <c r="J696" i="7"/>
  <c r="E696" i="7"/>
  <c r="D696" i="7"/>
  <c r="C696" i="7"/>
  <c r="B696" i="7"/>
  <c r="M695" i="7"/>
  <c r="L695" i="7"/>
  <c r="K695" i="7"/>
  <c r="J695" i="7"/>
  <c r="E695" i="7"/>
  <c r="V904" i="7"/>
  <c r="D695" i="7"/>
  <c r="C695" i="7"/>
  <c r="B695" i="7"/>
  <c r="M694" i="7"/>
  <c r="L694" i="7"/>
  <c r="K694" i="7"/>
  <c r="J694" i="7"/>
  <c r="E694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S741" i="7"/>
  <c r="M688" i="7"/>
  <c r="L688" i="7"/>
  <c r="K688" i="7"/>
  <c r="J688" i="7"/>
  <c r="E688" i="7"/>
  <c r="D688" i="7"/>
  <c r="C688" i="7"/>
  <c r="B688" i="7"/>
  <c r="S897" i="7"/>
  <c r="M687" i="7"/>
  <c r="L687" i="7"/>
  <c r="K687" i="7"/>
  <c r="J687" i="7"/>
  <c r="E687" i="7"/>
  <c r="D687" i="7"/>
  <c r="C687" i="7"/>
  <c r="B687" i="7"/>
  <c r="S739" i="7"/>
  <c r="M686" i="7"/>
  <c r="L686" i="7"/>
  <c r="K686" i="7"/>
  <c r="J686" i="7"/>
  <c r="E686" i="7"/>
  <c r="D686" i="7"/>
  <c r="C686" i="7"/>
  <c r="T738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B684" i="7"/>
  <c r="M683" i="7"/>
  <c r="L683" i="7"/>
  <c r="K683" i="7"/>
  <c r="E683" i="7"/>
  <c r="D683" i="7"/>
  <c r="C683" i="7"/>
  <c r="B683" i="7"/>
  <c r="M682" i="7"/>
  <c r="L682" i="7"/>
  <c r="K682" i="7"/>
  <c r="E682" i="7"/>
  <c r="D682" i="7"/>
  <c r="C682" i="7"/>
  <c r="B682" i="7"/>
  <c r="M681" i="7"/>
  <c r="L681" i="7"/>
  <c r="K681" i="7"/>
  <c r="E681" i="7"/>
  <c r="D681" i="7"/>
  <c r="C681" i="7"/>
  <c r="B681" i="7"/>
  <c r="M680" i="7"/>
  <c r="L680" i="7"/>
  <c r="K680" i="7"/>
  <c r="E680" i="7"/>
  <c r="V836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M677" i="7"/>
  <c r="L677" i="7"/>
  <c r="K677" i="7"/>
  <c r="E677" i="7"/>
  <c r="D677" i="7"/>
  <c r="C677" i="7"/>
  <c r="B677" i="7"/>
  <c r="M676" i="7"/>
  <c r="L676" i="7"/>
  <c r="K676" i="7"/>
  <c r="E676" i="7"/>
  <c r="D676" i="7"/>
  <c r="C676" i="7"/>
  <c r="B676" i="7"/>
  <c r="S728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B674" i="7"/>
  <c r="S726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B672" i="7"/>
  <c r="M671" i="7"/>
  <c r="L671" i="7"/>
  <c r="K671" i="7"/>
  <c r="E671" i="7"/>
  <c r="D671" i="7"/>
  <c r="C671" i="7"/>
  <c r="T880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M664" i="7"/>
  <c r="L664" i="7"/>
  <c r="K664" i="7"/>
  <c r="E664" i="7"/>
  <c r="D664" i="7"/>
  <c r="U820" i="7"/>
  <c r="C664" i="7"/>
  <c r="B664" i="7"/>
  <c r="S716" i="7"/>
  <c r="M663" i="7"/>
  <c r="L663" i="7"/>
  <c r="K663" i="7"/>
  <c r="E663" i="7"/>
  <c r="V767" i="7"/>
  <c r="D663" i="7"/>
  <c r="U715" i="7"/>
  <c r="C663" i="7"/>
  <c r="B663" i="7"/>
  <c r="M662" i="7"/>
  <c r="L662" i="7"/>
  <c r="K662" i="7"/>
  <c r="E662" i="7"/>
  <c r="D662" i="7"/>
  <c r="C662" i="7"/>
  <c r="B662" i="7"/>
  <c r="S714" i="7"/>
  <c r="M661" i="7"/>
  <c r="L661" i="7"/>
  <c r="K661" i="7"/>
  <c r="E661" i="7"/>
  <c r="D661" i="7"/>
  <c r="C661" i="7"/>
  <c r="B661" i="7"/>
  <c r="M660" i="7"/>
  <c r="L660" i="7"/>
  <c r="K660" i="7"/>
  <c r="E660" i="7"/>
  <c r="D660" i="7"/>
  <c r="C660" i="7"/>
  <c r="B660" i="7"/>
  <c r="M659" i="7"/>
  <c r="L659" i="7"/>
  <c r="K659" i="7"/>
  <c r="E659" i="7"/>
  <c r="D659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U707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T862" i="7"/>
  <c r="B653" i="7"/>
  <c r="M652" i="7"/>
  <c r="L652" i="7"/>
  <c r="K652" i="7"/>
  <c r="E652" i="7"/>
  <c r="V861" i="7"/>
  <c r="D652" i="7"/>
  <c r="C652" i="7"/>
  <c r="B652" i="7"/>
  <c r="M651" i="7"/>
  <c r="L651" i="7"/>
  <c r="K651" i="7"/>
  <c r="E651" i="7"/>
  <c r="D651" i="7"/>
  <c r="C651" i="7"/>
  <c r="B651" i="7"/>
  <c r="M650" i="7"/>
  <c r="L650" i="7"/>
  <c r="K650" i="7"/>
  <c r="E650" i="7"/>
  <c r="D650" i="7"/>
  <c r="C650" i="7"/>
  <c r="T806" i="7"/>
  <c r="B650" i="7"/>
  <c r="S859" i="7"/>
  <c r="M649" i="7"/>
  <c r="L649" i="7"/>
  <c r="K649" i="7"/>
  <c r="E649" i="7"/>
  <c r="D649" i="7"/>
  <c r="C649" i="7"/>
  <c r="B649" i="7"/>
  <c r="M648" i="7"/>
  <c r="L648" i="7"/>
  <c r="K648" i="7"/>
  <c r="E648" i="7"/>
  <c r="D648" i="7"/>
  <c r="C648" i="7"/>
  <c r="T804" i="7"/>
  <c r="B648" i="7"/>
  <c r="M647" i="7"/>
  <c r="L647" i="7"/>
  <c r="K647" i="7"/>
  <c r="E647" i="7"/>
  <c r="D647" i="7"/>
  <c r="C647" i="7"/>
  <c r="B647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M644" i="7"/>
  <c r="L644" i="7"/>
  <c r="K644" i="7"/>
  <c r="E644" i="7"/>
  <c r="D644" i="7"/>
  <c r="U853" i="7"/>
  <c r="C644" i="7"/>
  <c r="T696" i="7"/>
  <c r="B644" i="7"/>
  <c r="M643" i="7"/>
  <c r="L643" i="7"/>
  <c r="K643" i="7"/>
  <c r="E643" i="7"/>
  <c r="D643" i="7"/>
  <c r="C643" i="7"/>
  <c r="T747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U796" i="7"/>
  <c r="C640" i="7"/>
  <c r="B640" i="7"/>
  <c r="M639" i="7"/>
  <c r="L639" i="7"/>
  <c r="K639" i="7"/>
  <c r="E639" i="7"/>
  <c r="D639" i="7"/>
  <c r="C639" i="7"/>
  <c r="B639" i="7"/>
  <c r="M638" i="7"/>
  <c r="L638" i="7"/>
  <c r="K638" i="7"/>
  <c r="E638" i="7"/>
  <c r="D638" i="7"/>
  <c r="U690" i="7"/>
  <c r="C638" i="7"/>
  <c r="B638" i="7"/>
  <c r="M637" i="7"/>
  <c r="L637" i="7"/>
  <c r="K637" i="7"/>
  <c r="E637" i="7"/>
  <c r="D637" i="7"/>
  <c r="C637" i="7"/>
  <c r="B637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B635" i="7"/>
  <c r="M634" i="7"/>
  <c r="K634" i="7"/>
  <c r="E634" i="7"/>
  <c r="D634" i="7"/>
  <c r="C634" i="7"/>
  <c r="B634" i="7"/>
  <c r="S686" i="7"/>
  <c r="M633" i="7"/>
  <c r="K633" i="7"/>
  <c r="E633" i="7"/>
  <c r="D633" i="7"/>
  <c r="C633" i="7"/>
  <c r="B633" i="7"/>
  <c r="M632" i="7"/>
  <c r="K632" i="7"/>
  <c r="E632" i="7"/>
  <c r="D632" i="7"/>
  <c r="C632" i="7"/>
  <c r="B632" i="7"/>
  <c r="M631" i="7"/>
  <c r="K631" i="7"/>
  <c r="E631" i="7"/>
  <c r="D631" i="7"/>
  <c r="C631" i="7"/>
  <c r="B631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T732" i="7"/>
  <c r="B628" i="7"/>
  <c r="M627" i="7"/>
  <c r="K627" i="7"/>
  <c r="E627" i="7"/>
  <c r="D627" i="7"/>
  <c r="C627" i="7"/>
  <c r="B627" i="7"/>
  <c r="S731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B624" i="7"/>
  <c r="S780" i="7"/>
  <c r="M623" i="7"/>
  <c r="K623" i="7"/>
  <c r="E623" i="7"/>
  <c r="D623" i="7"/>
  <c r="C623" i="7"/>
  <c r="T832" i="7"/>
  <c r="B623" i="7"/>
  <c r="S727" i="7"/>
  <c r="M622" i="7"/>
  <c r="K622" i="7"/>
  <c r="E622" i="7"/>
  <c r="V674" i="7"/>
  <c r="D622" i="7"/>
  <c r="C622" i="7"/>
  <c r="B622" i="7"/>
  <c r="M621" i="7"/>
  <c r="K621" i="7"/>
  <c r="E621" i="7"/>
  <c r="V673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U671" i="7"/>
  <c r="C619" i="7"/>
  <c r="B619" i="7"/>
  <c r="M618" i="7"/>
  <c r="K618" i="7"/>
  <c r="E618" i="7"/>
  <c r="D618" i="7"/>
  <c r="C618" i="7"/>
  <c r="B618" i="7"/>
  <c r="S722" i="7"/>
  <c r="M617" i="7"/>
  <c r="K617" i="7"/>
  <c r="E617" i="7"/>
  <c r="D617" i="7"/>
  <c r="C617" i="7"/>
  <c r="B617" i="7"/>
  <c r="M616" i="7"/>
  <c r="K616" i="7"/>
  <c r="E616" i="7"/>
  <c r="D616" i="7"/>
  <c r="C616" i="7"/>
  <c r="T772" i="7"/>
  <c r="B616" i="7"/>
  <c r="M615" i="7"/>
  <c r="K615" i="7"/>
  <c r="E615" i="7"/>
  <c r="V719" i="7"/>
  <c r="D615" i="7"/>
  <c r="C615" i="7"/>
  <c r="B615" i="7"/>
  <c r="S719" i="7"/>
  <c r="M614" i="7"/>
  <c r="K614" i="7"/>
  <c r="E614" i="7"/>
  <c r="D614" i="7"/>
  <c r="U666" i="7"/>
  <c r="C614" i="7"/>
  <c r="B614" i="7"/>
  <c r="M613" i="7"/>
  <c r="K613" i="7"/>
  <c r="E613" i="7"/>
  <c r="D613" i="7"/>
  <c r="C613" i="7"/>
  <c r="T665" i="7"/>
  <c r="B613" i="7"/>
  <c r="S822" i="7"/>
  <c r="M612" i="7"/>
  <c r="K612" i="7"/>
  <c r="E612" i="7"/>
  <c r="V664" i="7"/>
  <c r="D612" i="7"/>
  <c r="C612" i="7"/>
  <c r="B612" i="7"/>
  <c r="M611" i="7"/>
  <c r="K611" i="7"/>
  <c r="E611" i="7"/>
  <c r="D611" i="7"/>
  <c r="C611" i="7"/>
  <c r="B611" i="7"/>
  <c r="M610" i="7"/>
  <c r="K610" i="7"/>
  <c r="E610" i="7"/>
  <c r="V714" i="7"/>
  <c r="D610" i="7"/>
  <c r="C610" i="7"/>
  <c r="B610" i="7"/>
  <c r="M609" i="7"/>
  <c r="K609" i="7"/>
  <c r="E609" i="7"/>
  <c r="D609" i="7"/>
  <c r="C609" i="7"/>
  <c r="B609" i="7"/>
  <c r="M608" i="7"/>
  <c r="K608" i="7"/>
  <c r="E608" i="7"/>
  <c r="D608" i="7"/>
  <c r="U712" i="7"/>
  <c r="C608" i="7"/>
  <c r="B608" i="7"/>
  <c r="M607" i="7"/>
  <c r="K607" i="7"/>
  <c r="E607" i="7"/>
  <c r="D607" i="7"/>
  <c r="C607" i="7"/>
  <c r="B607" i="7"/>
  <c r="M606" i="7"/>
  <c r="K606" i="7"/>
  <c r="E606" i="7"/>
  <c r="V710" i="7"/>
  <c r="D606" i="7"/>
  <c r="C606" i="7"/>
  <c r="B606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U654" i="7"/>
  <c r="C602" i="7"/>
  <c r="B602" i="7"/>
  <c r="M601" i="7"/>
  <c r="K601" i="7"/>
  <c r="E601" i="7"/>
  <c r="V757" i="7"/>
  <c r="D601" i="7"/>
  <c r="C601" i="7"/>
  <c r="B601" i="7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C598" i="7"/>
  <c r="B598" i="7"/>
  <c r="M597" i="7"/>
  <c r="K597" i="7"/>
  <c r="E597" i="7"/>
  <c r="D597" i="7"/>
  <c r="U701" i="7"/>
  <c r="C597" i="7"/>
  <c r="B597" i="7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D594" i="7"/>
  <c r="C594" i="7"/>
  <c r="B594" i="7"/>
  <c r="M593" i="7"/>
  <c r="K593" i="7"/>
  <c r="E593" i="7"/>
  <c r="D593" i="7"/>
  <c r="C593" i="7"/>
  <c r="B593" i="7"/>
  <c r="S802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S695" i="7"/>
  <c r="M590" i="7"/>
  <c r="K590" i="7"/>
  <c r="E590" i="7"/>
  <c r="D590" i="7"/>
  <c r="C590" i="7"/>
  <c r="B590" i="7"/>
  <c r="M589" i="7"/>
  <c r="K589" i="7"/>
  <c r="E589" i="7"/>
  <c r="D589" i="7"/>
  <c r="C589" i="7"/>
  <c r="B589" i="7"/>
  <c r="M588" i="7"/>
  <c r="K588" i="7"/>
  <c r="E588" i="7"/>
  <c r="V797" i="7"/>
  <c r="D588" i="7"/>
  <c r="C588" i="7"/>
  <c r="B588" i="7"/>
  <c r="M587" i="7"/>
  <c r="K587" i="7"/>
  <c r="E587" i="7"/>
  <c r="D587" i="7"/>
  <c r="C587" i="7"/>
  <c r="B587" i="7"/>
  <c r="M586" i="7"/>
  <c r="K586" i="7"/>
  <c r="E586" i="7"/>
  <c r="D586" i="7"/>
  <c r="C586" i="7"/>
  <c r="B586" i="7"/>
  <c r="M585" i="7"/>
  <c r="K585" i="7"/>
  <c r="E585" i="7"/>
  <c r="D585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M582" i="7"/>
  <c r="K582" i="7"/>
  <c r="E582" i="7"/>
  <c r="D582" i="7"/>
  <c r="C582" i="7"/>
  <c r="B582" i="7"/>
  <c r="M581" i="7"/>
  <c r="K581" i="7"/>
  <c r="E581" i="7"/>
  <c r="D581" i="7"/>
  <c r="C581" i="7"/>
  <c r="B581" i="7"/>
  <c r="S737" i="7"/>
  <c r="E580" i="7"/>
  <c r="D580" i="7"/>
  <c r="C580" i="7"/>
  <c r="B580" i="7"/>
  <c r="E579" i="7"/>
  <c r="D579" i="7"/>
  <c r="C579" i="7"/>
  <c r="B579" i="7"/>
  <c r="S735" i="7"/>
  <c r="E578" i="7"/>
  <c r="D578" i="7"/>
  <c r="C578" i="7"/>
  <c r="B578" i="7"/>
  <c r="E577" i="7"/>
  <c r="D577" i="7"/>
  <c r="C577" i="7"/>
  <c r="B577" i="7"/>
  <c r="E576" i="7"/>
  <c r="D576" i="7"/>
  <c r="C576" i="7"/>
  <c r="B576" i="7"/>
  <c r="E575" i="7"/>
  <c r="D575" i="7"/>
  <c r="C575" i="7"/>
  <c r="B575" i="7"/>
  <c r="E574" i="7"/>
  <c r="D574" i="7"/>
  <c r="C574" i="7"/>
  <c r="T678" i="7"/>
  <c r="B574" i="7"/>
  <c r="E573" i="7"/>
  <c r="D573" i="7"/>
  <c r="C573" i="7"/>
  <c r="B573" i="7"/>
  <c r="E572" i="7"/>
  <c r="D572" i="7"/>
  <c r="C572" i="7"/>
  <c r="B572" i="7"/>
  <c r="E571" i="7"/>
  <c r="D571" i="7"/>
  <c r="U727" i="7"/>
  <c r="C571" i="7"/>
  <c r="B571" i="7"/>
  <c r="E570" i="7"/>
  <c r="D570" i="7"/>
  <c r="U674" i="7"/>
  <c r="C570" i="7"/>
  <c r="B570" i="7"/>
  <c r="E569" i="7"/>
  <c r="D569" i="7"/>
  <c r="C569" i="7"/>
  <c r="B569" i="7"/>
  <c r="E568" i="7"/>
  <c r="D568" i="7"/>
  <c r="C568" i="7"/>
  <c r="B568" i="7"/>
  <c r="E567" i="7"/>
  <c r="D567" i="7"/>
  <c r="C567" i="7"/>
  <c r="B567" i="7"/>
  <c r="E566" i="7"/>
  <c r="V775" i="7"/>
  <c r="V722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C563" i="7"/>
  <c r="T719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B559" i="7"/>
  <c r="S715" i="7"/>
  <c r="E558" i="7"/>
  <c r="D558" i="7"/>
  <c r="C558" i="7"/>
  <c r="B558" i="7"/>
  <c r="E557" i="7"/>
  <c r="D557" i="7"/>
  <c r="C557" i="7"/>
  <c r="B557" i="7"/>
  <c r="E556" i="7"/>
  <c r="D556" i="7"/>
  <c r="C556" i="7"/>
  <c r="T608" i="7"/>
  <c r="B556" i="7"/>
  <c r="E555" i="7"/>
  <c r="D555" i="7"/>
  <c r="C555" i="7"/>
  <c r="B555" i="7"/>
  <c r="E554" i="7"/>
  <c r="D554" i="7"/>
  <c r="C554" i="7"/>
  <c r="B554" i="7"/>
  <c r="E553" i="7"/>
  <c r="D553" i="7"/>
  <c r="C553" i="7"/>
  <c r="B553" i="7"/>
  <c r="E552" i="7"/>
  <c r="D552" i="7"/>
  <c r="C552" i="7"/>
  <c r="B552" i="7"/>
  <c r="E551" i="7"/>
  <c r="D551" i="7"/>
  <c r="C551" i="7"/>
  <c r="B551" i="7"/>
  <c r="E550" i="7"/>
  <c r="V602" i="7"/>
  <c r="D550" i="7"/>
  <c r="C550" i="7"/>
  <c r="T706" i="7"/>
  <c r="B550" i="7"/>
  <c r="E549" i="7"/>
  <c r="D549" i="7"/>
  <c r="C549" i="7"/>
  <c r="B549" i="7"/>
  <c r="E548" i="7"/>
  <c r="D548" i="7"/>
  <c r="C548" i="7"/>
  <c r="B548" i="7"/>
  <c r="E547" i="7"/>
  <c r="D547" i="7"/>
  <c r="U651" i="7"/>
  <c r="C547" i="7"/>
  <c r="B547" i="7"/>
  <c r="E546" i="7"/>
  <c r="V598" i="7"/>
  <c r="D546" i="7"/>
  <c r="C546" i="7"/>
  <c r="B546" i="7"/>
  <c r="E545" i="7"/>
  <c r="V701" i="7"/>
  <c r="D545" i="7"/>
  <c r="C545" i="7"/>
  <c r="B545" i="7"/>
  <c r="E544" i="7"/>
  <c r="D544" i="7"/>
  <c r="C544" i="7"/>
  <c r="B544" i="7"/>
  <c r="E543" i="7"/>
  <c r="V595" i="7"/>
  <c r="D543" i="7"/>
  <c r="U699" i="7"/>
  <c r="C543" i="7"/>
  <c r="B543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U695" i="7"/>
  <c r="C539" i="7"/>
  <c r="B539" i="7"/>
  <c r="E538" i="7"/>
  <c r="D538" i="7"/>
  <c r="C538" i="7"/>
  <c r="B538" i="7"/>
  <c r="E537" i="7"/>
  <c r="D537" i="7"/>
  <c r="U693" i="7"/>
  <c r="C537" i="7"/>
  <c r="B537" i="7"/>
  <c r="E536" i="7"/>
  <c r="V588" i="7"/>
  <c r="D536" i="7"/>
  <c r="C536" i="7"/>
  <c r="B536" i="7"/>
  <c r="E535" i="7"/>
  <c r="V639" i="7"/>
  <c r="D535" i="7"/>
  <c r="C535" i="7"/>
  <c r="B535" i="7"/>
  <c r="S691" i="7"/>
  <c r="E534" i="7"/>
  <c r="D534" i="7"/>
  <c r="C534" i="7"/>
  <c r="B534" i="7"/>
  <c r="S743" i="7"/>
  <c r="E533" i="7"/>
  <c r="D533" i="7"/>
  <c r="C533" i="7"/>
  <c r="B533" i="7"/>
  <c r="S689" i="7"/>
  <c r="E532" i="7"/>
  <c r="D532" i="7"/>
  <c r="C532" i="7"/>
  <c r="B532" i="7"/>
  <c r="S688" i="7"/>
  <c r="E531" i="7"/>
  <c r="V583" i="7"/>
  <c r="D531" i="7"/>
  <c r="C531" i="7"/>
  <c r="E530" i="7"/>
  <c r="D530" i="7"/>
  <c r="U686" i="7"/>
  <c r="C530" i="7"/>
  <c r="T739" i="7"/>
  <c r="E529" i="7"/>
  <c r="D529" i="7"/>
  <c r="C529" i="7"/>
  <c r="T685" i="7"/>
  <c r="E528" i="7"/>
  <c r="D528" i="7"/>
  <c r="C528" i="7"/>
  <c r="T632" i="7"/>
  <c r="E527" i="7"/>
  <c r="D527" i="7"/>
  <c r="C527" i="7"/>
  <c r="T736" i="7"/>
  <c r="E526" i="7"/>
  <c r="D526" i="7"/>
  <c r="C526" i="7"/>
  <c r="E525" i="7"/>
  <c r="D525" i="7"/>
  <c r="C525" i="7"/>
  <c r="E524" i="7"/>
  <c r="D524" i="7"/>
  <c r="C524" i="7"/>
  <c r="E523" i="7"/>
  <c r="D523" i="7"/>
  <c r="C523" i="7"/>
  <c r="E522" i="7"/>
  <c r="D522" i="7"/>
  <c r="C522" i="7"/>
  <c r="T626" i="7"/>
  <c r="E521" i="7"/>
  <c r="D521" i="7"/>
  <c r="C521" i="7"/>
  <c r="E520" i="7"/>
  <c r="D520" i="7"/>
  <c r="C520" i="7"/>
  <c r="T729" i="7"/>
  <c r="E519" i="7"/>
  <c r="V623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U670" i="7"/>
  <c r="C514" i="7"/>
  <c r="E513" i="7"/>
  <c r="D513" i="7"/>
  <c r="C513" i="7"/>
  <c r="E512" i="7"/>
  <c r="D512" i="7"/>
  <c r="C512" i="7"/>
  <c r="E511" i="7"/>
  <c r="D511" i="7"/>
  <c r="C511" i="7"/>
  <c r="E510" i="7"/>
  <c r="D510" i="7"/>
  <c r="C510" i="7"/>
  <c r="E509" i="7"/>
  <c r="D509" i="7"/>
  <c r="U665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C505" i="7"/>
  <c r="E504" i="7"/>
  <c r="D504" i="7"/>
  <c r="C504" i="7"/>
  <c r="E503" i="7"/>
  <c r="D503" i="7"/>
  <c r="C503" i="7"/>
  <c r="E502" i="7"/>
  <c r="V606" i="7"/>
  <c r="D502" i="7"/>
  <c r="C502" i="7"/>
  <c r="E501" i="7"/>
  <c r="V605" i="7"/>
  <c r="D501" i="7"/>
  <c r="C501" i="7"/>
  <c r="E500" i="7"/>
  <c r="D500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E495" i="7"/>
  <c r="D495" i="7"/>
  <c r="C495" i="7"/>
  <c r="E494" i="7"/>
  <c r="D494" i="7"/>
  <c r="C494" i="7"/>
  <c r="E493" i="7"/>
  <c r="D493" i="7"/>
  <c r="U702" i="7"/>
  <c r="C493" i="7"/>
  <c r="E492" i="7"/>
  <c r="D492" i="7"/>
  <c r="C492" i="7"/>
  <c r="E491" i="7"/>
  <c r="D491" i="7"/>
  <c r="C491" i="7"/>
  <c r="T700" i="7"/>
  <c r="E490" i="7"/>
  <c r="D490" i="7"/>
  <c r="C490" i="7"/>
  <c r="E489" i="7"/>
  <c r="D489" i="7"/>
  <c r="C489" i="7"/>
  <c r="E488" i="7"/>
  <c r="D488" i="7"/>
  <c r="C488" i="7"/>
  <c r="E487" i="7"/>
  <c r="D487" i="7"/>
  <c r="C487" i="7"/>
  <c r="E486" i="7"/>
  <c r="D486" i="7"/>
  <c r="C486" i="7"/>
  <c r="E485" i="7"/>
  <c r="D485" i="7"/>
  <c r="C485" i="7"/>
  <c r="T694" i="7"/>
  <c r="E484" i="7"/>
  <c r="D484" i="7"/>
  <c r="C484" i="7"/>
  <c r="E483" i="7"/>
  <c r="D483" i="7"/>
  <c r="C483" i="7"/>
  <c r="E482" i="7"/>
  <c r="D482" i="7"/>
  <c r="C482" i="7"/>
  <c r="T638" i="7"/>
  <c r="E481" i="7"/>
  <c r="D481" i="7"/>
  <c r="C481" i="7"/>
  <c r="E480" i="7"/>
  <c r="D480" i="7"/>
  <c r="C480" i="7"/>
  <c r="E479" i="7"/>
  <c r="D479" i="7"/>
  <c r="U635" i="7"/>
  <c r="U688" i="7"/>
  <c r="C479" i="7"/>
  <c r="E478" i="7"/>
  <c r="D478" i="7"/>
  <c r="C478" i="7"/>
  <c r="E477" i="7"/>
  <c r="D477" i="7"/>
  <c r="C477" i="7"/>
  <c r="E476" i="7"/>
  <c r="D476" i="7"/>
  <c r="C476" i="7"/>
  <c r="E475" i="7"/>
  <c r="D475" i="7"/>
  <c r="C475" i="7"/>
  <c r="T631" i="7"/>
  <c r="E474" i="7"/>
  <c r="D474" i="7"/>
  <c r="C474" i="7"/>
  <c r="E473" i="7"/>
  <c r="D473" i="7"/>
  <c r="C473" i="7"/>
  <c r="E472" i="7"/>
  <c r="D472" i="7"/>
  <c r="C472" i="7"/>
  <c r="E471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U675" i="7"/>
  <c r="C466" i="7"/>
  <c r="E465" i="7"/>
  <c r="D465" i="7"/>
  <c r="C465" i="7"/>
  <c r="E464" i="7"/>
  <c r="D464" i="7"/>
  <c r="C464" i="7"/>
  <c r="E463" i="7"/>
  <c r="V619" i="7"/>
  <c r="D463" i="7"/>
  <c r="C463" i="7"/>
  <c r="E462" i="7"/>
  <c r="D462" i="7"/>
  <c r="C462" i="7"/>
  <c r="E461" i="7"/>
  <c r="V670" i="7"/>
  <c r="D461" i="7"/>
  <c r="C461" i="7"/>
  <c r="E460" i="7"/>
  <c r="D460" i="7"/>
  <c r="C460" i="7"/>
  <c r="E459" i="7"/>
  <c r="D459" i="7"/>
  <c r="U668" i="7"/>
  <c r="C459" i="7"/>
  <c r="E458" i="7"/>
  <c r="D458" i="7"/>
  <c r="C458" i="7"/>
  <c r="E457" i="7"/>
  <c r="D457" i="7"/>
  <c r="C457" i="7"/>
  <c r="E456" i="7"/>
  <c r="D456" i="7"/>
  <c r="C456" i="7"/>
  <c r="E455" i="7"/>
  <c r="D455" i="7"/>
  <c r="C455" i="7"/>
  <c r="E454" i="7"/>
  <c r="D454" i="7"/>
  <c r="C454" i="7"/>
  <c r="E453" i="7"/>
  <c r="D453" i="7"/>
  <c r="C453" i="7"/>
  <c r="E452" i="7"/>
  <c r="D452" i="7"/>
  <c r="C452" i="7"/>
  <c r="E451" i="7"/>
  <c r="D451" i="7"/>
  <c r="C451" i="7"/>
  <c r="E450" i="7"/>
  <c r="D450" i="7"/>
  <c r="C450" i="7"/>
  <c r="E449" i="7"/>
  <c r="D449" i="7"/>
  <c r="C449" i="7"/>
  <c r="E448" i="7"/>
  <c r="D448" i="7"/>
  <c r="C448" i="7"/>
  <c r="E447" i="7"/>
  <c r="D447" i="7"/>
  <c r="C447" i="7"/>
  <c r="E446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T598" i="7"/>
  <c r="E441" i="7"/>
  <c r="D441" i="7"/>
  <c r="C441" i="7"/>
  <c r="T650" i="7"/>
  <c r="E440" i="7"/>
  <c r="D440" i="7"/>
  <c r="C440" i="7"/>
  <c r="E439" i="7"/>
  <c r="D439" i="7"/>
  <c r="C439" i="7"/>
  <c r="E438" i="7"/>
  <c r="D438" i="7"/>
  <c r="C438" i="7"/>
  <c r="T594" i="7"/>
  <c r="E437" i="7"/>
  <c r="D437" i="7"/>
  <c r="C437" i="7"/>
  <c r="E436" i="7"/>
  <c r="D436" i="7"/>
  <c r="C436" i="7"/>
  <c r="E435" i="7"/>
  <c r="D435" i="7"/>
  <c r="C435" i="7"/>
  <c r="E434" i="7"/>
  <c r="V590" i="7"/>
  <c r="D434" i="7"/>
  <c r="C434" i="7"/>
  <c r="E433" i="7"/>
  <c r="D433" i="7"/>
  <c r="C433" i="7"/>
  <c r="E432" i="7"/>
  <c r="D432" i="7"/>
  <c r="C432" i="7"/>
  <c r="T588" i="7"/>
  <c r="E431" i="7"/>
  <c r="D431" i="7"/>
  <c r="C431" i="7"/>
  <c r="E430" i="7"/>
  <c r="V586" i="7"/>
  <c r="D430" i="7"/>
  <c r="C430" i="7"/>
  <c r="E429" i="7"/>
  <c r="D429" i="7"/>
  <c r="U638" i="7"/>
  <c r="C429" i="7"/>
  <c r="E428" i="7"/>
  <c r="D428" i="7"/>
  <c r="C428" i="7"/>
  <c r="T637" i="7"/>
  <c r="E427" i="7"/>
  <c r="D427" i="7"/>
  <c r="C427" i="7"/>
  <c r="E426" i="7"/>
  <c r="C426" i="7"/>
  <c r="E425" i="7"/>
  <c r="C425" i="7"/>
  <c r="E424" i="7"/>
  <c r="C424" i="7"/>
  <c r="E423" i="7"/>
  <c r="C423" i="7"/>
  <c r="E422" i="7"/>
  <c r="V630" i="7"/>
  <c r="C422" i="7"/>
  <c r="E421" i="7"/>
  <c r="V629" i="7"/>
  <c r="C421" i="7"/>
  <c r="E420" i="7"/>
  <c r="V628" i="7"/>
  <c r="C420" i="7"/>
  <c r="E419" i="7"/>
  <c r="C419" i="7"/>
  <c r="E418" i="7"/>
  <c r="V626" i="7"/>
  <c r="C418" i="7"/>
  <c r="E417" i="7"/>
  <c r="C417" i="7"/>
  <c r="E416" i="7"/>
  <c r="C416" i="7"/>
  <c r="E415" i="7"/>
  <c r="C415" i="7"/>
  <c r="E414" i="7"/>
  <c r="V622" i="7"/>
  <c r="C414" i="7"/>
  <c r="E413" i="7"/>
  <c r="C413" i="7"/>
  <c r="T621" i="7"/>
  <c r="E412" i="7"/>
  <c r="C412" i="7"/>
  <c r="E411" i="7"/>
  <c r="C411" i="7"/>
  <c r="T619" i="7"/>
  <c r="E410" i="7"/>
  <c r="C410" i="7"/>
  <c r="E409" i="7"/>
  <c r="C409" i="7"/>
  <c r="E408" i="7"/>
  <c r="C408" i="7"/>
  <c r="E407" i="7"/>
  <c r="C407" i="7"/>
  <c r="T615" i="7"/>
  <c r="E406" i="7"/>
  <c r="C406" i="7"/>
  <c r="E405" i="7"/>
  <c r="C405" i="7"/>
  <c r="T613" i="7"/>
  <c r="E404" i="7"/>
  <c r="C404" i="7"/>
  <c r="E403" i="7"/>
  <c r="C403" i="7"/>
  <c r="T611" i="7"/>
  <c r="E402" i="7"/>
  <c r="C402" i="7"/>
  <c r="E401" i="7"/>
  <c r="C401" i="7"/>
  <c r="T609" i="7"/>
  <c r="E400" i="7"/>
  <c r="C400" i="7"/>
  <c r="E399" i="7"/>
  <c r="C399" i="7"/>
  <c r="T607" i="7"/>
  <c r="E398" i="7"/>
  <c r="C398" i="7"/>
  <c r="E397" i="7"/>
  <c r="C397" i="7"/>
  <c r="E396" i="7"/>
  <c r="C396" i="7"/>
  <c r="E395" i="7"/>
  <c r="C395" i="7"/>
  <c r="T603" i="7"/>
  <c r="E394" i="7"/>
  <c r="C394" i="7"/>
  <c r="E393" i="7"/>
  <c r="C393" i="7"/>
  <c r="E392" i="7"/>
  <c r="V600" i="7"/>
  <c r="C392" i="7"/>
  <c r="E391" i="7"/>
  <c r="C391" i="7"/>
  <c r="E390" i="7"/>
  <c r="C390" i="7"/>
  <c r="E389" i="7"/>
  <c r="C389" i="7"/>
  <c r="E388" i="7"/>
  <c r="C388" i="7"/>
  <c r="T596" i="7"/>
  <c r="E387" i="7"/>
  <c r="C387" i="7"/>
  <c r="E386" i="7"/>
  <c r="C386" i="7"/>
  <c r="E385" i="7"/>
  <c r="V593" i="7"/>
  <c r="C385" i="7"/>
  <c r="E384" i="7"/>
  <c r="C384" i="7"/>
  <c r="E383" i="7"/>
  <c r="C383" i="7"/>
  <c r="E382" i="7"/>
  <c r="C382" i="7"/>
  <c r="T590" i="7"/>
  <c r="E381" i="7"/>
  <c r="C381" i="7"/>
  <c r="E380" i="7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I836" i="1"/>
  <c r="H835" i="1"/>
  <c r="I835" i="1"/>
  <c r="H834" i="1"/>
  <c r="H833" i="1"/>
  <c r="H832" i="1"/>
  <c r="H831" i="1"/>
  <c r="I831" i="1"/>
  <c r="H830" i="1"/>
  <c r="H829" i="1"/>
  <c r="H828" i="1"/>
  <c r="H827" i="1"/>
  <c r="H826" i="1"/>
  <c r="H825" i="1"/>
  <c r="H824" i="1"/>
  <c r="F824" i="7"/>
  <c r="H823" i="1"/>
  <c r="H822" i="1"/>
  <c r="H821" i="1"/>
  <c r="H820" i="1"/>
  <c r="H819" i="1"/>
  <c r="H818" i="1"/>
  <c r="I818" i="1"/>
  <c r="H817" i="1"/>
  <c r="H816" i="1"/>
  <c r="I816" i="1"/>
  <c r="H815" i="1"/>
  <c r="H814" i="1"/>
  <c r="I814" i="1"/>
  <c r="H813" i="1"/>
  <c r="H812" i="1"/>
  <c r="H811" i="1"/>
  <c r="I811" i="1"/>
  <c r="H810" i="1"/>
  <c r="I810" i="1"/>
  <c r="H809" i="1"/>
  <c r="H808" i="1"/>
  <c r="H807" i="1"/>
  <c r="H806" i="1"/>
  <c r="H805" i="1"/>
  <c r="H804" i="1"/>
  <c r="H803" i="1"/>
  <c r="F805" i="7"/>
  <c r="I803" i="1"/>
  <c r="H802" i="1"/>
  <c r="I802" i="1"/>
  <c r="H801" i="1"/>
  <c r="H800" i="1"/>
  <c r="H799" i="1"/>
  <c r="H798" i="1"/>
  <c r="H797" i="1"/>
  <c r="I797" i="1"/>
  <c r="H796" i="1"/>
  <c r="H795" i="1"/>
  <c r="F795" i="7"/>
  <c r="H794" i="1"/>
  <c r="H79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H792" i="1"/>
  <c r="H791" i="1"/>
  <c r="I791" i="1"/>
  <c r="H790" i="1"/>
  <c r="I790" i="1"/>
  <c r="H789" i="1"/>
  <c r="I789" i="1"/>
  <c r="H788" i="1"/>
  <c r="H787" i="1"/>
  <c r="H786" i="1"/>
  <c r="H785" i="1"/>
  <c r="I785" i="1"/>
  <c r="H784" i="1"/>
  <c r="H783" i="1"/>
  <c r="H782" i="1"/>
  <c r="H781" i="1"/>
  <c r="I781" i="1"/>
  <c r="H780" i="1"/>
  <c r="N988" i="7"/>
  <c r="H779" i="1"/>
  <c r="H778" i="1"/>
  <c r="I778" i="1"/>
  <c r="H777" i="1"/>
  <c r="H776" i="1"/>
  <c r="I776" i="1"/>
  <c r="H775" i="1"/>
  <c r="I775" i="1"/>
  <c r="H774" i="1"/>
  <c r="H773" i="1"/>
  <c r="H772" i="1"/>
  <c r="H771" i="1"/>
  <c r="I771" i="1"/>
  <c r="H770" i="1"/>
  <c r="H769" i="1"/>
  <c r="H768" i="1"/>
  <c r="H767" i="1"/>
  <c r="H766" i="1"/>
  <c r="I766" i="1"/>
  <c r="H765" i="1"/>
  <c r="H764" i="1"/>
  <c r="H763" i="1"/>
  <c r="H710" i="1"/>
  <c r="H762" i="1"/>
  <c r="H761" i="1"/>
  <c r="H760" i="1"/>
  <c r="H759" i="1"/>
  <c r="I759" i="1"/>
  <c r="H758" i="1"/>
  <c r="H757" i="1"/>
  <c r="H756" i="1"/>
  <c r="H755" i="1"/>
  <c r="H754" i="1"/>
  <c r="N858" i="7"/>
  <c r="H753" i="1"/>
  <c r="H752" i="1"/>
  <c r="H751" i="1"/>
  <c r="N803" i="7"/>
  <c r="H750" i="1"/>
  <c r="H749" i="1"/>
  <c r="I749" i="1"/>
  <c r="H748" i="1"/>
  <c r="N956" i="7"/>
  <c r="H747" i="1"/>
  <c r="F748" i="7"/>
  <c r="H746" i="1"/>
  <c r="H745" i="1"/>
  <c r="I745" i="1"/>
  <c r="H744" i="1"/>
  <c r="H743" i="1"/>
  <c r="I743" i="1"/>
  <c r="H742" i="1"/>
  <c r="H741" i="1"/>
  <c r="F742" i="7"/>
  <c r="F743" i="7"/>
  <c r="H740" i="1"/>
  <c r="H739" i="1"/>
  <c r="H737" i="1"/>
  <c r="H738" i="1"/>
  <c r="H736" i="1"/>
  <c r="I736" i="1"/>
  <c r="H735" i="1"/>
  <c r="H734" i="1"/>
  <c r="H733" i="1"/>
  <c r="H732" i="1"/>
  <c r="H731" i="1"/>
  <c r="H730" i="1"/>
  <c r="I730" i="1"/>
  <c r="H729" i="1"/>
  <c r="I729" i="1"/>
  <c r="H728" i="1"/>
  <c r="H727" i="1"/>
  <c r="F727" i="7"/>
  <c r="H726" i="1"/>
  <c r="H725" i="1"/>
  <c r="H724" i="1"/>
  <c r="H723" i="1"/>
  <c r="N931" i="7"/>
  <c r="I723" i="1"/>
  <c r="H722" i="1"/>
  <c r="H721" i="1"/>
  <c r="F721" i="7"/>
  <c r="H720" i="1"/>
  <c r="I720" i="1"/>
  <c r="H719" i="1"/>
  <c r="I719" i="1"/>
  <c r="H718" i="1"/>
  <c r="H717" i="1"/>
  <c r="H716" i="1"/>
  <c r="I716" i="1"/>
  <c r="O872" i="7"/>
  <c r="H714" i="1"/>
  <c r="H715" i="1"/>
  <c r="H713" i="1"/>
  <c r="I713" i="1"/>
  <c r="H712" i="1"/>
  <c r="H711" i="1"/>
  <c r="H709" i="1"/>
  <c r="I709" i="1"/>
  <c r="G711" i="7"/>
  <c r="H708" i="1"/>
  <c r="H707" i="1"/>
  <c r="I707" i="1"/>
  <c r="H706" i="1"/>
  <c r="H705" i="1"/>
  <c r="F708" i="7"/>
  <c r="I705" i="1"/>
  <c r="H704" i="1"/>
  <c r="I704" i="1"/>
  <c r="H703" i="1"/>
  <c r="H702" i="1"/>
  <c r="H701" i="1"/>
  <c r="H700" i="1"/>
  <c r="H699" i="1"/>
  <c r="H698" i="1"/>
  <c r="H697" i="1"/>
  <c r="H692" i="1"/>
  <c r="H693" i="1"/>
  <c r="I693" i="1"/>
  <c r="H694" i="1"/>
  <c r="N902" i="7"/>
  <c r="H695" i="1"/>
  <c r="I695" i="1"/>
  <c r="H696" i="1"/>
  <c r="H691" i="1"/>
  <c r="I691" i="1"/>
  <c r="H690" i="1"/>
  <c r="H689" i="1"/>
  <c r="H688" i="1"/>
  <c r="I688" i="1"/>
  <c r="H687" i="1"/>
  <c r="I687" i="1"/>
  <c r="H686" i="1"/>
  <c r="H685" i="1"/>
  <c r="I685" i="1"/>
  <c r="H684" i="1"/>
  <c r="H683" i="1"/>
  <c r="H682" i="1"/>
  <c r="I682" i="1"/>
  <c r="H681" i="1"/>
  <c r="I681" i="1"/>
  <c r="H680" i="1"/>
  <c r="H679" i="1"/>
  <c r="I679" i="1"/>
  <c r="H678" i="1"/>
  <c r="F681" i="7"/>
  <c r="H677" i="1"/>
  <c r="H676" i="1"/>
  <c r="H675" i="1"/>
  <c r="H674" i="1"/>
  <c r="H673" i="1"/>
  <c r="I673" i="1"/>
  <c r="H672" i="1"/>
  <c r="H671" i="1"/>
  <c r="I671" i="1"/>
  <c r="H670" i="1"/>
  <c r="H669" i="1"/>
  <c r="H668" i="1"/>
  <c r="H667" i="1"/>
  <c r="I667" i="1"/>
  <c r="H666" i="1"/>
  <c r="H665" i="1"/>
  <c r="H662" i="1"/>
  <c r="H663" i="1"/>
  <c r="I663" i="1"/>
  <c r="H664" i="1"/>
  <c r="H610" i="1"/>
  <c r="H611" i="1"/>
  <c r="I611" i="1"/>
  <c r="H612" i="1"/>
  <c r="I612" i="1"/>
  <c r="H613" i="1"/>
  <c r="H558" i="1"/>
  <c r="F560" i="7"/>
  <c r="H559" i="1"/>
  <c r="H560" i="1"/>
  <c r="H561" i="1"/>
  <c r="H506" i="1"/>
  <c r="H507" i="1"/>
  <c r="N715" i="7"/>
  <c r="H508" i="1"/>
  <c r="H509" i="1"/>
  <c r="H454" i="1"/>
  <c r="H455" i="1"/>
  <c r="H456" i="1"/>
  <c r="H457" i="1"/>
  <c r="H661" i="1"/>
  <c r="H581" i="1"/>
  <c r="N685" i="7"/>
  <c r="H582" i="1"/>
  <c r="I582" i="1"/>
  <c r="H583" i="1"/>
  <c r="I583" i="1"/>
  <c r="H584" i="1"/>
  <c r="H585" i="1"/>
  <c r="H586" i="1"/>
  <c r="H587" i="1"/>
  <c r="H588" i="1"/>
  <c r="H589" i="1"/>
  <c r="H590" i="1"/>
  <c r="I590" i="1"/>
  <c r="H591" i="1"/>
  <c r="H592" i="1"/>
  <c r="H593" i="1"/>
  <c r="H594" i="1"/>
  <c r="I594" i="1"/>
  <c r="H595" i="1"/>
  <c r="I595" i="1"/>
  <c r="H596" i="1"/>
  <c r="N700" i="7"/>
  <c r="H597" i="1"/>
  <c r="H598" i="1"/>
  <c r="I598" i="1"/>
  <c r="H599" i="1"/>
  <c r="I599" i="1"/>
  <c r="H600" i="1"/>
  <c r="H601" i="1"/>
  <c r="H602" i="1"/>
  <c r="I602" i="1"/>
  <c r="H603" i="1"/>
  <c r="H604" i="1"/>
  <c r="I604" i="1"/>
  <c r="H605" i="1"/>
  <c r="H606" i="1"/>
  <c r="H607" i="1"/>
  <c r="H608" i="1"/>
  <c r="H609" i="1"/>
  <c r="H633" i="1"/>
  <c r="H634" i="1"/>
  <c r="I634" i="1"/>
  <c r="O686" i="7"/>
  <c r="H635" i="1"/>
  <c r="N843" i="7"/>
  <c r="H636" i="1"/>
  <c r="H637" i="1"/>
  <c r="I637" i="1"/>
  <c r="H638" i="1"/>
  <c r="H639" i="1"/>
  <c r="H640" i="1"/>
  <c r="H641" i="1"/>
  <c r="N849" i="7"/>
  <c r="H642" i="1"/>
  <c r="H643" i="1"/>
  <c r="I643" i="1"/>
  <c r="H644" i="1"/>
  <c r="I644" i="1"/>
  <c r="H645" i="1"/>
  <c r="H646" i="1"/>
  <c r="H647" i="1"/>
  <c r="H648" i="1"/>
  <c r="I648" i="1"/>
  <c r="H649" i="1"/>
  <c r="I649" i="1"/>
  <c r="H650" i="1"/>
  <c r="H651" i="1"/>
  <c r="H652" i="1"/>
  <c r="H653" i="1"/>
  <c r="H654" i="1"/>
  <c r="I654" i="1"/>
  <c r="H655" i="1"/>
  <c r="H656" i="1"/>
  <c r="H657" i="1"/>
  <c r="H658" i="1"/>
  <c r="H659" i="1"/>
  <c r="H660" i="1"/>
  <c r="I660" i="1"/>
  <c r="H557" i="1"/>
  <c r="H505" i="1"/>
  <c r="H453" i="1"/>
  <c r="H556" i="1"/>
  <c r="H504" i="1"/>
  <c r="H452" i="1"/>
  <c r="H555" i="1"/>
  <c r="I555" i="1"/>
  <c r="H503" i="1"/>
  <c r="H451" i="1"/>
  <c r="H554" i="1"/>
  <c r="I554" i="1"/>
  <c r="H502" i="1"/>
  <c r="N606" i="7"/>
  <c r="H450" i="1"/>
  <c r="H553" i="1"/>
  <c r="H501" i="1"/>
  <c r="H449" i="1"/>
  <c r="H552" i="1"/>
  <c r="I552" i="1"/>
  <c r="H500" i="1"/>
  <c r="H448" i="1"/>
  <c r="H551" i="1"/>
  <c r="H499" i="1"/>
  <c r="H447" i="1"/>
  <c r="H550" i="1"/>
  <c r="I550" i="1"/>
  <c r="H498" i="1"/>
  <c r="H446" i="1"/>
  <c r="H549" i="1"/>
  <c r="I549" i="1"/>
  <c r="H497" i="1"/>
  <c r="H445" i="1"/>
  <c r="H548" i="1"/>
  <c r="H496" i="1"/>
  <c r="H444" i="1"/>
  <c r="H547" i="1"/>
  <c r="I547" i="1"/>
  <c r="H495" i="1"/>
  <c r="H443" i="1"/>
  <c r="H529" i="1"/>
  <c r="H530" i="1"/>
  <c r="I530" i="1"/>
  <c r="H531" i="1"/>
  <c r="I531" i="1"/>
  <c r="H532" i="1"/>
  <c r="I532" i="1"/>
  <c r="H533" i="1"/>
  <c r="H534" i="1"/>
  <c r="H535" i="1"/>
  <c r="I535" i="1"/>
  <c r="H536" i="1"/>
  <c r="I536" i="1"/>
  <c r="H537" i="1"/>
  <c r="I537" i="1"/>
  <c r="H538" i="1"/>
  <c r="H539" i="1"/>
  <c r="H540" i="1"/>
  <c r="I540" i="1"/>
  <c r="H541" i="1"/>
  <c r="H542" i="1"/>
  <c r="I542" i="1"/>
  <c r="H543" i="1"/>
  <c r="H544" i="1"/>
  <c r="F546" i="7"/>
  <c r="W598" i="7"/>
  <c r="H545" i="1"/>
  <c r="I545" i="1"/>
  <c r="H546" i="1"/>
  <c r="I546" i="1"/>
  <c r="H562" i="1"/>
  <c r="I562" i="1"/>
  <c r="H563" i="1"/>
  <c r="H564" i="1"/>
  <c r="H565" i="1"/>
  <c r="H566" i="1"/>
  <c r="H567" i="1"/>
  <c r="H568" i="1"/>
  <c r="F569" i="7"/>
  <c r="W621" i="7"/>
  <c r="H569" i="1"/>
  <c r="N777" i="7"/>
  <c r="H570" i="1"/>
  <c r="H571" i="1"/>
  <c r="I571" i="1"/>
  <c r="H572" i="1"/>
  <c r="H573" i="1"/>
  <c r="H574" i="1"/>
  <c r="H575" i="1"/>
  <c r="H576" i="1"/>
  <c r="H577" i="1"/>
  <c r="H578" i="1"/>
  <c r="H579" i="1"/>
  <c r="H528" i="1"/>
  <c r="H580" i="1"/>
  <c r="H614" i="1"/>
  <c r="H615" i="1"/>
  <c r="H616" i="1"/>
  <c r="I616" i="1"/>
  <c r="H617" i="1"/>
  <c r="F620" i="7"/>
  <c r="H618" i="1"/>
  <c r="H619" i="1"/>
  <c r="I619" i="1"/>
  <c r="H620" i="1"/>
  <c r="H621" i="1"/>
  <c r="H622" i="1"/>
  <c r="H623" i="1"/>
  <c r="H624" i="1"/>
  <c r="H625" i="1"/>
  <c r="H626" i="1"/>
  <c r="H627" i="1"/>
  <c r="I627" i="1"/>
  <c r="H628" i="1"/>
  <c r="H629" i="1"/>
  <c r="H630" i="1"/>
  <c r="H631" i="1"/>
  <c r="H63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F29" i="7"/>
  <c r="H27" i="1"/>
  <c r="H28" i="1"/>
  <c r="H29" i="1"/>
  <c r="H30" i="1"/>
  <c r="F31" i="7"/>
  <c r="H31" i="1"/>
  <c r="H32" i="1"/>
  <c r="H33" i="1"/>
  <c r="H34" i="1"/>
  <c r="H35" i="1"/>
  <c r="H36" i="1"/>
  <c r="H37" i="1"/>
  <c r="H38" i="1"/>
  <c r="H39" i="1"/>
  <c r="H40" i="1"/>
  <c r="H41" i="1"/>
  <c r="H42" i="1"/>
  <c r="F44" i="7"/>
  <c r="H43" i="1"/>
  <c r="H44" i="1"/>
  <c r="H45" i="1"/>
  <c r="H46" i="1"/>
  <c r="F49" i="7"/>
  <c r="H47" i="1"/>
  <c r="H48" i="1"/>
  <c r="H49" i="1"/>
  <c r="H50" i="1"/>
  <c r="H51" i="1"/>
  <c r="H52" i="1"/>
  <c r="H53" i="1"/>
  <c r="H54" i="1"/>
  <c r="H55" i="1"/>
  <c r="F57" i="7"/>
  <c r="H56" i="1"/>
  <c r="H57" i="1"/>
  <c r="H58" i="1"/>
  <c r="H59" i="1"/>
  <c r="H60" i="1"/>
  <c r="H61" i="1"/>
  <c r="H62" i="1"/>
  <c r="H63" i="1"/>
  <c r="H64" i="1"/>
  <c r="F67" i="7"/>
  <c r="H65" i="1"/>
  <c r="F68" i="7"/>
  <c r="H66" i="1"/>
  <c r="H67" i="1"/>
  <c r="H68" i="1"/>
  <c r="H69" i="1"/>
  <c r="H70" i="1"/>
  <c r="H71" i="1"/>
  <c r="F74" i="7"/>
  <c r="H72" i="1"/>
  <c r="H73" i="1"/>
  <c r="H74" i="1"/>
  <c r="H75" i="1"/>
  <c r="H76" i="1"/>
  <c r="F77" i="7"/>
  <c r="H77" i="1"/>
  <c r="H78" i="1"/>
  <c r="H79" i="1"/>
  <c r="H80" i="1"/>
  <c r="C81" i="1"/>
  <c r="H81" i="1"/>
  <c r="F81" i="7"/>
  <c r="H82" i="1"/>
  <c r="F85" i="7"/>
  <c r="H83" i="1"/>
  <c r="H84" i="1"/>
  <c r="H85" i="1"/>
  <c r="H86" i="1"/>
  <c r="F87" i="7"/>
  <c r="H87" i="1"/>
  <c r="H88" i="1"/>
  <c r="F91" i="7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F115" i="7"/>
  <c r="H116" i="1"/>
  <c r="H117" i="1"/>
  <c r="H118" i="1"/>
  <c r="H119" i="1"/>
  <c r="H120" i="1"/>
  <c r="H121" i="1"/>
  <c r="F124" i="7"/>
  <c r="H122" i="1"/>
  <c r="H123" i="1"/>
  <c r="H124" i="1"/>
  <c r="H125" i="1"/>
  <c r="H126" i="1"/>
  <c r="H127" i="1"/>
  <c r="H128" i="1"/>
  <c r="F128" i="7"/>
  <c r="H129" i="1"/>
  <c r="H130" i="1"/>
  <c r="H131" i="1"/>
  <c r="F134" i="7"/>
  <c r="H132" i="1"/>
  <c r="H133" i="1"/>
  <c r="H134" i="1"/>
  <c r="H135" i="1"/>
  <c r="H136" i="1"/>
  <c r="H137" i="1"/>
  <c r="F139" i="7"/>
  <c r="H138" i="1"/>
  <c r="H139" i="1"/>
  <c r="F141" i="7"/>
  <c r="H140" i="1"/>
  <c r="H141" i="1"/>
  <c r="H142" i="1"/>
  <c r="F145" i="7"/>
  <c r="H143" i="1"/>
  <c r="H144" i="1"/>
  <c r="F147" i="7"/>
  <c r="H145" i="1"/>
  <c r="H146" i="1"/>
  <c r="H147" i="1"/>
  <c r="H148" i="1"/>
  <c r="F148" i="7"/>
  <c r="F150" i="7"/>
  <c r="H149" i="1"/>
  <c r="H150" i="1"/>
  <c r="H151" i="1"/>
  <c r="H152" i="1"/>
  <c r="H153" i="1"/>
  <c r="H154" i="1"/>
  <c r="H155" i="1"/>
  <c r="H156" i="1"/>
  <c r="F159" i="7"/>
  <c r="H157" i="1"/>
  <c r="H158" i="1"/>
  <c r="H159" i="1"/>
  <c r="H160" i="1"/>
  <c r="H161" i="1"/>
  <c r="H162" i="1"/>
  <c r="H163" i="1"/>
  <c r="F166" i="7"/>
  <c r="H164" i="1"/>
  <c r="H165" i="1"/>
  <c r="H166" i="1"/>
  <c r="H167" i="1"/>
  <c r="H168" i="1"/>
  <c r="H169" i="1"/>
  <c r="H170" i="1"/>
  <c r="H171" i="1"/>
  <c r="F174" i="7"/>
  <c r="H172" i="1"/>
  <c r="H173" i="1"/>
  <c r="F175" i="7"/>
  <c r="H174" i="1"/>
  <c r="H175" i="1"/>
  <c r="H176" i="1"/>
  <c r="H177" i="1"/>
  <c r="H178" i="1"/>
  <c r="F178" i="7"/>
  <c r="H179" i="1"/>
  <c r="H180" i="1"/>
  <c r="H181" i="1"/>
  <c r="H182" i="1"/>
  <c r="H183" i="1"/>
  <c r="H184" i="1"/>
  <c r="H185" i="1"/>
  <c r="H186" i="1"/>
  <c r="H187" i="1"/>
  <c r="H188" i="1"/>
  <c r="F190" i="7"/>
  <c r="H189" i="1"/>
  <c r="H190" i="1"/>
  <c r="H191" i="1"/>
  <c r="H192" i="1"/>
  <c r="H193" i="1"/>
  <c r="H194" i="1"/>
  <c r="F196" i="7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F210" i="7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F229" i="7"/>
  <c r="H227" i="1"/>
  <c r="H228" i="1"/>
  <c r="H229" i="1"/>
  <c r="H230" i="1"/>
  <c r="H231" i="1"/>
  <c r="H232" i="1"/>
  <c r="F234" i="7"/>
  <c r="H233" i="1"/>
  <c r="H234" i="1"/>
  <c r="H235" i="1"/>
  <c r="H236" i="1"/>
  <c r="H237" i="1"/>
  <c r="H238" i="1"/>
  <c r="F240" i="7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F256" i="7"/>
  <c r="H254" i="1"/>
  <c r="H255" i="1"/>
  <c r="H256" i="1"/>
  <c r="H257" i="1"/>
  <c r="H258" i="1"/>
  <c r="F261" i="7"/>
  <c r="H259" i="1"/>
  <c r="H260" i="1"/>
  <c r="H261" i="1"/>
  <c r="H262" i="1"/>
  <c r="H263" i="1"/>
  <c r="H264" i="1"/>
  <c r="F267" i="7"/>
  <c r="H265" i="1"/>
  <c r="H266" i="1"/>
  <c r="H267" i="1"/>
  <c r="H268" i="1"/>
  <c r="H269" i="1"/>
  <c r="F269" i="7"/>
  <c r="H270" i="1"/>
  <c r="F273" i="7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F285" i="7"/>
  <c r="H285" i="1"/>
  <c r="H286" i="1"/>
  <c r="H287" i="1"/>
  <c r="H288" i="1"/>
  <c r="H289" i="1"/>
  <c r="H290" i="1"/>
  <c r="H291" i="1"/>
  <c r="F291" i="7"/>
  <c r="H292" i="1"/>
  <c r="H293" i="1"/>
  <c r="F295" i="7"/>
  <c r="H294" i="1"/>
  <c r="H295" i="1"/>
  <c r="H296" i="1"/>
  <c r="H297" i="1"/>
  <c r="H298" i="1"/>
  <c r="H299" i="1"/>
  <c r="F302" i="7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F315" i="7"/>
  <c r="H314" i="1"/>
  <c r="F317" i="7"/>
  <c r="H315" i="1"/>
  <c r="H316" i="1"/>
  <c r="F318" i="7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F336" i="7"/>
  <c r="H334" i="1"/>
  <c r="H335" i="1"/>
  <c r="F338" i="7"/>
  <c r="H336" i="1"/>
  <c r="H337" i="1"/>
  <c r="H338" i="1"/>
  <c r="H339" i="1"/>
  <c r="H340" i="1"/>
  <c r="H341" i="1"/>
  <c r="H342" i="1"/>
  <c r="H343" i="1"/>
  <c r="H344" i="1"/>
  <c r="H345" i="1"/>
  <c r="H346" i="1"/>
  <c r="F349" i="7"/>
  <c r="H347" i="1"/>
  <c r="H348" i="1"/>
  <c r="H349" i="1"/>
  <c r="H350" i="1"/>
  <c r="H351" i="1"/>
  <c r="H352" i="1"/>
  <c r="H353" i="1"/>
  <c r="H354" i="1"/>
  <c r="H355" i="1"/>
  <c r="H356" i="1"/>
  <c r="H357" i="1"/>
  <c r="F359" i="7"/>
  <c r="H358" i="1"/>
  <c r="H359" i="1"/>
  <c r="H360" i="1"/>
  <c r="H361" i="1"/>
  <c r="H362" i="1"/>
  <c r="F365" i="7"/>
  <c r="H363" i="1"/>
  <c r="H364" i="1"/>
  <c r="H365" i="1"/>
  <c r="H366" i="1"/>
  <c r="H367" i="1"/>
  <c r="H368" i="1"/>
  <c r="H369" i="1"/>
  <c r="H370" i="1"/>
  <c r="F373" i="7"/>
  <c r="H371" i="1"/>
  <c r="H372" i="1"/>
  <c r="H373" i="1"/>
  <c r="H374" i="1"/>
  <c r="H375" i="1"/>
  <c r="H376" i="1"/>
  <c r="H377" i="1"/>
  <c r="H378" i="1"/>
  <c r="H379" i="1"/>
  <c r="H380" i="1"/>
  <c r="H381" i="1"/>
  <c r="F383" i="7"/>
  <c r="H382" i="1"/>
  <c r="H383" i="1"/>
  <c r="H384" i="1"/>
  <c r="H385" i="1"/>
  <c r="H386" i="1"/>
  <c r="H387" i="1"/>
  <c r="H388" i="1"/>
  <c r="H389" i="1"/>
  <c r="H390" i="1"/>
  <c r="H391" i="1"/>
  <c r="H392" i="1"/>
  <c r="H393" i="1"/>
  <c r="F393" i="7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N589" i="7"/>
  <c r="H434" i="1"/>
  <c r="H435" i="1"/>
  <c r="H436" i="1"/>
  <c r="F438" i="7"/>
  <c r="H437" i="1"/>
  <c r="H438" i="1"/>
  <c r="H439" i="1"/>
  <c r="H440" i="1"/>
  <c r="F440" i="7"/>
  <c r="H441" i="1"/>
  <c r="H442" i="1"/>
  <c r="H458" i="1"/>
  <c r="H459" i="1"/>
  <c r="H460" i="1"/>
  <c r="H461" i="1"/>
  <c r="H462" i="1"/>
  <c r="H463" i="1"/>
  <c r="H464" i="1"/>
  <c r="H465" i="1"/>
  <c r="H466" i="1"/>
  <c r="H467" i="1"/>
  <c r="F469" i="7"/>
  <c r="H468" i="1"/>
  <c r="H469" i="1"/>
  <c r="H470" i="1"/>
  <c r="H471" i="1"/>
  <c r="H472" i="1"/>
  <c r="H473" i="1"/>
  <c r="H474" i="1"/>
  <c r="H475" i="1"/>
  <c r="F478" i="7"/>
  <c r="H476" i="1"/>
  <c r="H477" i="1"/>
  <c r="H478" i="1"/>
  <c r="H479" i="1"/>
  <c r="H480" i="1"/>
  <c r="H481" i="1"/>
  <c r="N585" i="7"/>
  <c r="H482" i="1"/>
  <c r="H483" i="1"/>
  <c r="H484" i="1"/>
  <c r="H485" i="1"/>
  <c r="H486" i="1"/>
  <c r="H487" i="1"/>
  <c r="H488" i="1"/>
  <c r="H489" i="1"/>
  <c r="H490" i="1"/>
  <c r="H491" i="1"/>
  <c r="H492" i="1"/>
  <c r="F494" i="7"/>
  <c r="H493" i="1"/>
  <c r="H494" i="1"/>
  <c r="F497" i="7"/>
  <c r="H510" i="1"/>
  <c r="H511" i="1"/>
  <c r="H512" i="1"/>
  <c r="F515" i="7"/>
  <c r="H513" i="1"/>
  <c r="H514" i="1"/>
  <c r="H515" i="1"/>
  <c r="H516" i="1"/>
  <c r="H517" i="1"/>
  <c r="H518" i="1"/>
  <c r="H519" i="1"/>
  <c r="F521" i="7"/>
  <c r="H520" i="1"/>
  <c r="H521" i="1"/>
  <c r="H522" i="1"/>
  <c r="F525" i="7"/>
  <c r="H523" i="1"/>
  <c r="H524" i="1"/>
  <c r="H525" i="1"/>
  <c r="H526" i="1"/>
  <c r="N630" i="7"/>
  <c r="H527" i="1"/>
  <c r="F899" i="7"/>
  <c r="F911" i="7"/>
  <c r="F912" i="7"/>
  <c r="F906" i="7"/>
  <c r="C82" i="7"/>
  <c r="F934" i="7"/>
  <c r="F933" i="7"/>
  <c r="F927" i="7"/>
  <c r="F936" i="7"/>
  <c r="F898" i="7"/>
  <c r="F929" i="7"/>
  <c r="F870" i="7"/>
  <c r="F903" i="7"/>
  <c r="F915" i="7"/>
  <c r="F914" i="7"/>
  <c r="F900" i="7"/>
  <c r="F908" i="7"/>
  <c r="F909" i="7"/>
  <c r="F937" i="7"/>
  <c r="F875" i="7"/>
  <c r="F869" i="7"/>
  <c r="F879" i="7"/>
  <c r="F918" i="7"/>
  <c r="F916" i="7"/>
  <c r="F902" i="7"/>
  <c r="F901" i="7"/>
  <c r="F886" i="7"/>
  <c r="F884" i="7"/>
  <c r="F887" i="7"/>
  <c r="F889" i="7"/>
  <c r="F890" i="7"/>
  <c r="F928" i="7"/>
  <c r="F920" i="7"/>
  <c r="F919" i="7"/>
  <c r="F921" i="7"/>
  <c r="F949" i="7"/>
  <c r="F945" i="7"/>
  <c r="F953" i="7"/>
  <c r="F961" i="7"/>
  <c r="F866" i="7"/>
  <c r="F868" i="7"/>
  <c r="F959" i="7"/>
  <c r="F952" i="7"/>
  <c r="F948" i="7"/>
  <c r="F947" i="7"/>
  <c r="F944" i="7"/>
  <c r="F943" i="7"/>
  <c r="F963" i="7"/>
  <c r="F926" i="7"/>
  <c r="F950" i="7"/>
  <c r="W1002" i="7"/>
  <c r="F954" i="7"/>
  <c r="F955" i="7"/>
  <c r="F964" i="7"/>
  <c r="V958" i="7"/>
  <c r="F946" i="7"/>
  <c r="F942" i="7"/>
  <c r="F941" i="7"/>
  <c r="F962" i="7"/>
  <c r="F894" i="7"/>
  <c r="F951" i="7"/>
  <c r="F968" i="7"/>
  <c r="F891" i="7"/>
  <c r="F892" i="7"/>
  <c r="F893" i="7"/>
  <c r="F896" i="7"/>
  <c r="F897" i="7"/>
  <c r="F895" i="7"/>
  <c r="C84" i="7"/>
  <c r="F878" i="7"/>
  <c r="F877" i="7"/>
  <c r="F940" i="7"/>
  <c r="F966" i="7"/>
  <c r="F967" i="7"/>
  <c r="F956" i="7"/>
  <c r="F972" i="7"/>
  <c r="F922" i="7"/>
  <c r="F923" i="7"/>
  <c r="F925" i="7"/>
  <c r="F924" i="7"/>
  <c r="F970" i="7"/>
  <c r="F971" i="7"/>
  <c r="F935" i="7"/>
  <c r="F917" i="7"/>
  <c r="F969" i="7"/>
  <c r="F858" i="7"/>
  <c r="F888" i="7"/>
  <c r="F885" i="7"/>
  <c r="F965" i="7"/>
  <c r="F910" i="7"/>
  <c r="F454" i="7"/>
  <c r="N959" i="7"/>
  <c r="N972" i="7"/>
  <c r="N827" i="7"/>
  <c r="F847" i="7"/>
  <c r="F846" i="7"/>
  <c r="F974" i="7"/>
  <c r="F981" i="7"/>
  <c r="F986" i="7"/>
  <c r="F985" i="7"/>
  <c r="N894" i="7"/>
  <c r="N938" i="7"/>
  <c r="N748" i="7"/>
  <c r="N893" i="7"/>
  <c r="T928" i="7"/>
  <c r="F989" i="7"/>
  <c r="S902" i="7"/>
  <c r="U972" i="7"/>
  <c r="U861" i="7"/>
  <c r="V938" i="7"/>
  <c r="S916" i="7"/>
  <c r="V688" i="7"/>
  <c r="S971" i="7"/>
  <c r="U774" i="7"/>
  <c r="U969" i="7"/>
  <c r="U979" i="7"/>
  <c r="V747" i="7"/>
  <c r="T745" i="7"/>
  <c r="S911" i="7"/>
  <c r="S685" i="7"/>
  <c r="U971" i="7"/>
  <c r="U973" i="7"/>
  <c r="T721" i="7"/>
  <c r="T737" i="7"/>
  <c r="V951" i="7"/>
  <c r="V603" i="7"/>
  <c r="U786" i="7"/>
  <c r="T668" i="7"/>
  <c r="T936" i="7"/>
  <c r="S980" i="7"/>
  <c r="V833" i="7"/>
  <c r="V902" i="7"/>
  <c r="V715" i="7"/>
  <c r="U731" i="7"/>
  <c r="S705" i="7"/>
  <c r="T939" i="7"/>
  <c r="V827" i="7"/>
  <c r="U744" i="7"/>
  <c r="S698" i="7"/>
  <c r="S782" i="7"/>
  <c r="T777" i="7"/>
  <c r="S863" i="7"/>
  <c r="V659" i="7"/>
  <c r="T929" i="7"/>
  <c r="T932" i="7"/>
  <c r="T969" i="7"/>
  <c r="S826" i="7"/>
  <c r="S933" i="7"/>
  <c r="S986" i="7"/>
  <c r="T744" i="7"/>
  <c r="S697" i="7"/>
  <c r="S730" i="7"/>
  <c r="T825" i="7"/>
  <c r="T800" i="7"/>
  <c r="T883" i="7"/>
  <c r="S970" i="7"/>
  <c r="S978" i="7"/>
  <c r="S930" i="7"/>
  <c r="V740" i="7"/>
  <c r="U896" i="7"/>
  <c r="T878" i="7"/>
  <c r="S976" i="7"/>
  <c r="S977" i="7"/>
  <c r="S954" i="7"/>
  <c r="V741" i="7"/>
  <c r="V847" i="7"/>
  <c r="U852" i="7"/>
  <c r="U862" i="7"/>
  <c r="T967" i="7"/>
  <c r="V955" i="7"/>
  <c r="U722" i="7"/>
  <c r="U658" i="7"/>
  <c r="V618" i="7"/>
  <c r="U982" i="7"/>
  <c r="V666" i="7"/>
  <c r="T646" i="7"/>
  <c r="U754" i="7"/>
  <c r="S709" i="7"/>
  <c r="S776" i="7"/>
  <c r="S851" i="7"/>
  <c r="T819" i="7"/>
  <c r="U681" i="7"/>
  <c r="V939" i="7"/>
  <c r="V784" i="7"/>
  <c r="V941" i="7"/>
  <c r="V786" i="7"/>
  <c r="V943" i="7"/>
  <c r="V944" i="7"/>
  <c r="V893" i="7"/>
  <c r="V841" i="7"/>
  <c r="V894" i="7"/>
  <c r="V967" i="7"/>
  <c r="V915" i="7"/>
  <c r="V863" i="7"/>
  <c r="V971" i="7"/>
  <c r="T583" i="7"/>
  <c r="V780" i="7"/>
  <c r="V728" i="7"/>
  <c r="V988" i="7"/>
  <c r="V936" i="7"/>
  <c r="V832" i="7"/>
  <c r="V885" i="7"/>
  <c r="V990" i="7"/>
  <c r="V937" i="7"/>
  <c r="T827" i="7"/>
  <c r="T831" i="7"/>
  <c r="V712" i="7"/>
  <c r="U908" i="7"/>
  <c r="U855" i="7"/>
  <c r="T740" i="7"/>
  <c r="T635" i="7"/>
  <c r="U716" i="7"/>
  <c r="U768" i="7"/>
  <c r="V616" i="7"/>
  <c r="T630" i="7"/>
  <c r="V687" i="7"/>
  <c r="V739" i="7"/>
  <c r="S950" i="7"/>
  <c r="S848" i="7"/>
  <c r="S849" i="7"/>
  <c r="S901" i="7"/>
  <c r="S955" i="7"/>
  <c r="S850" i="7"/>
  <c r="S906" i="7"/>
  <c r="S959" i="7"/>
  <c r="S804" i="7"/>
  <c r="S961" i="7"/>
  <c r="S908" i="7"/>
  <c r="S909" i="7"/>
  <c r="T614" i="7"/>
  <c r="T773" i="7"/>
  <c r="U640" i="7"/>
  <c r="T951" i="7"/>
  <c r="S873" i="7"/>
  <c r="S874" i="7"/>
  <c r="U845" i="7"/>
  <c r="U783" i="7"/>
  <c r="U793" i="7"/>
  <c r="V950" i="7"/>
  <c r="T851" i="7"/>
  <c r="T958" i="7"/>
  <c r="S812" i="7"/>
  <c r="T834" i="7"/>
  <c r="U907" i="7"/>
  <c r="U911" i="7"/>
  <c r="U914" i="7"/>
  <c r="T751" i="7"/>
  <c r="V969" i="7"/>
  <c r="T684" i="7"/>
  <c r="V743" i="7"/>
  <c r="U965" i="7"/>
  <c r="T931" i="7"/>
  <c r="T748" i="7"/>
  <c r="U897" i="7"/>
  <c r="U898" i="7"/>
  <c r="U900" i="7"/>
  <c r="T955" i="7"/>
  <c r="U958" i="7"/>
  <c r="V900" i="7"/>
  <c r="T930" i="7"/>
  <c r="S964" i="7"/>
  <c r="T770" i="7"/>
  <c r="S789" i="7"/>
  <c r="S842" i="7"/>
  <c r="S855" i="7"/>
  <c r="S907" i="7"/>
  <c r="S962" i="7"/>
  <c r="Y964" i="7"/>
  <c r="Y990" i="7"/>
  <c r="Y982" i="7"/>
  <c r="Y974" i="7"/>
  <c r="Y966" i="7"/>
  <c r="Y958" i="7"/>
  <c r="Y950" i="7"/>
  <c r="Y942" i="7"/>
  <c r="Y926" i="7"/>
  <c r="Y910" i="7"/>
  <c r="Y916" i="7"/>
  <c r="Y989" i="7"/>
  <c r="Y981" i="7"/>
  <c r="Y973" i="7"/>
  <c r="Y965" i="7"/>
  <c r="Y957" i="7"/>
  <c r="Y949" i="7"/>
  <c r="Y941" i="7"/>
  <c r="Y933" i="7"/>
  <c r="Y917" i="7"/>
  <c r="Y901" i="7"/>
  <c r="Y899" i="7"/>
  <c r="Y979" i="7"/>
  <c r="Y988" i="7"/>
  <c r="Y972" i="7"/>
  <c r="Y956" i="7"/>
  <c r="Y940" i="7"/>
  <c r="Y908" i="7"/>
  <c r="Y971" i="7"/>
  <c r="Y955" i="7"/>
  <c r="Y939" i="7"/>
  <c r="Y923" i="7"/>
  <c r="Y907" i="7"/>
  <c r="V640" i="7"/>
  <c r="U869" i="7"/>
  <c r="V826" i="7"/>
  <c r="S786" i="7"/>
  <c r="V879" i="7"/>
  <c r="V935" i="7"/>
  <c r="V862" i="7"/>
  <c r="U922" i="7"/>
  <c r="S821" i="7"/>
  <c r="U818" i="7"/>
  <c r="U787" i="7"/>
  <c r="U860" i="7"/>
  <c r="U951" i="7"/>
  <c r="S958" i="7"/>
  <c r="S989" i="7"/>
  <c r="T707" i="7"/>
  <c r="V818" i="7"/>
  <c r="U807" i="7"/>
  <c r="U720" i="7"/>
  <c r="V648" i="7"/>
  <c r="T755" i="7"/>
  <c r="S712" i="7"/>
  <c r="V782" i="7"/>
  <c r="V845" i="7"/>
  <c r="V794" i="7"/>
  <c r="U899" i="7"/>
  <c r="U901" i="7"/>
  <c r="U956" i="7"/>
  <c r="V989" i="7"/>
  <c r="T639" i="7"/>
  <c r="S699" i="7"/>
  <c r="S830" i="7"/>
  <c r="S778" i="7"/>
  <c r="V887" i="7"/>
  <c r="S710" i="7"/>
  <c r="V793" i="7"/>
  <c r="U877" i="7"/>
  <c r="V732" i="7"/>
  <c r="T877" i="7"/>
  <c r="T884" i="7"/>
  <c r="V584" i="7"/>
  <c r="S910" i="7"/>
  <c r="S806" i="7"/>
  <c r="S865" i="7"/>
  <c r="U927" i="7"/>
  <c r="U970" i="7"/>
  <c r="V899" i="7"/>
  <c r="Y934" i="7"/>
  <c r="Y986" i="7"/>
  <c r="Y954" i="7"/>
  <c r="Y886" i="7"/>
  <c r="Y938" i="7"/>
  <c r="Y870" i="7"/>
  <c r="Y922" i="7"/>
  <c r="Y854" i="7"/>
  <c r="Y906" i="7"/>
  <c r="Y838" i="7"/>
  <c r="Y890" i="7"/>
  <c r="V963" i="7"/>
  <c r="V953" i="7"/>
  <c r="Y925" i="7"/>
  <c r="Y977" i="7"/>
  <c r="Y909" i="7"/>
  <c r="Y961" i="7"/>
  <c r="Y893" i="7"/>
  <c r="Y877" i="7"/>
  <c r="Y929" i="7"/>
  <c r="Y861" i="7"/>
  <c r="Y913" i="7"/>
  <c r="Y845" i="7"/>
  <c r="Y897" i="7"/>
  <c r="Y889" i="7"/>
  <c r="Y921" i="7"/>
  <c r="Y953" i="7"/>
  <c r="Y985" i="7"/>
  <c r="Y898" i="7"/>
  <c r="Y930" i="7"/>
  <c r="Y962" i="7"/>
  <c r="U977" i="7"/>
  <c r="U976" i="7"/>
  <c r="U650" i="7"/>
  <c r="S963" i="7"/>
  <c r="V954" i="7"/>
  <c r="U846" i="7"/>
  <c r="U974" i="7"/>
  <c r="S790" i="7"/>
  <c r="V848" i="7"/>
  <c r="V959" i="7"/>
  <c r="Y881" i="7"/>
  <c r="F990" i="7"/>
  <c r="F987" i="7"/>
  <c r="G935" i="7"/>
  <c r="G891" i="7"/>
  <c r="G890" i="7"/>
  <c r="G923" i="7"/>
  <c r="G922" i="7"/>
  <c r="G929" i="7"/>
  <c r="G899" i="7"/>
  <c r="G898" i="7"/>
  <c r="G896" i="7"/>
  <c r="G962" i="7"/>
  <c r="G963" i="7"/>
  <c r="G870" i="7"/>
  <c r="G879" i="7"/>
  <c r="G878" i="7"/>
  <c r="G887" i="7"/>
  <c r="G886" i="7"/>
  <c r="G889" i="7"/>
  <c r="G897" i="7"/>
  <c r="G911" i="7"/>
  <c r="G918" i="7"/>
  <c r="G919" i="7"/>
  <c r="G921" i="7"/>
  <c r="G920" i="7"/>
  <c r="G928" i="7"/>
  <c r="G934" i="7"/>
  <c r="G961" i="7"/>
  <c r="G967" i="7"/>
  <c r="G966" i="7"/>
  <c r="G974" i="7"/>
  <c r="G884" i="7"/>
  <c r="G908" i="7"/>
  <c r="G868" i="7"/>
  <c r="G926" i="7"/>
  <c r="G900" i="7"/>
  <c r="G885" i="7"/>
  <c r="G901" i="7"/>
  <c r="G909" i="7"/>
  <c r="G925" i="7"/>
  <c r="G927" i="7"/>
  <c r="G888" i="7"/>
  <c r="V683" i="7"/>
  <c r="F517" i="7"/>
  <c r="I621" i="1"/>
  <c r="I580" i="1"/>
  <c r="N625" i="7"/>
  <c r="I565" i="1"/>
  <c r="S692" i="7"/>
  <c r="S747" i="7"/>
  <c r="S694" i="7"/>
  <c r="U842" i="7"/>
  <c r="T690" i="7"/>
  <c r="V692" i="7"/>
  <c r="V812" i="7"/>
  <c r="V865" i="7"/>
  <c r="V940" i="7"/>
  <c r="I839" i="1"/>
  <c r="N939" i="7"/>
  <c r="V816" i="7"/>
  <c r="V868" i="7"/>
  <c r="T824" i="7"/>
  <c r="T981" i="7"/>
  <c r="V926" i="7"/>
  <c r="G969" i="7"/>
  <c r="V817" i="7"/>
  <c r="S846" i="7"/>
  <c r="F216" i="7"/>
  <c r="F374" i="7"/>
  <c r="I585" i="1"/>
  <c r="F585" i="7"/>
  <c r="I559" i="1"/>
  <c r="N663" i="7"/>
  <c r="N767" i="7"/>
  <c r="F561" i="7"/>
  <c r="T593" i="7"/>
  <c r="V730" i="7"/>
  <c r="T687" i="7"/>
  <c r="U636" i="7"/>
  <c r="T692" i="7"/>
  <c r="T797" i="7"/>
  <c r="T640" i="7"/>
  <c r="S928" i="7"/>
  <c r="S876" i="7"/>
  <c r="F399" i="7"/>
  <c r="I556" i="1"/>
  <c r="F559" i="7"/>
  <c r="F558" i="7"/>
  <c r="G984" i="7"/>
  <c r="T823" i="7"/>
  <c r="U864" i="7"/>
  <c r="F488" i="7"/>
  <c r="I623" i="1"/>
  <c r="I615" i="1"/>
  <c r="F547" i="7"/>
  <c r="I638" i="1"/>
  <c r="I608" i="1"/>
  <c r="O712" i="7"/>
  <c r="I600" i="1"/>
  <c r="F602" i="7"/>
  <c r="F594" i="7"/>
  <c r="S843" i="7"/>
  <c r="V922" i="7"/>
  <c r="G968" i="7"/>
  <c r="F337" i="7"/>
  <c r="F335" i="7"/>
  <c r="F524" i="7"/>
  <c r="U789" i="7"/>
  <c r="N584" i="7"/>
  <c r="F431" i="7"/>
  <c r="N666" i="7"/>
  <c r="I574" i="1"/>
  <c r="N743" i="7"/>
  <c r="N604" i="7"/>
  <c r="N708" i="7"/>
  <c r="U875" i="7"/>
  <c r="U980" i="7"/>
  <c r="F398" i="7"/>
  <c r="I715" i="1"/>
  <c r="F715" i="7"/>
  <c r="I722" i="1"/>
  <c r="O826" i="7"/>
  <c r="N826" i="7"/>
  <c r="F730" i="7"/>
  <c r="N782" i="7"/>
  <c r="I737" i="1"/>
  <c r="N841" i="7"/>
  <c r="N945" i="7"/>
  <c r="U742" i="7"/>
  <c r="T672" i="7"/>
  <c r="I840" i="1"/>
  <c r="N614" i="7"/>
  <c r="F460" i="7"/>
  <c r="F127" i="7"/>
  <c r="N688" i="7"/>
  <c r="I606" i="1"/>
  <c r="I690" i="1"/>
  <c r="N898" i="7"/>
  <c r="I698" i="1"/>
  <c r="F700" i="7"/>
  <c r="F701" i="7"/>
  <c r="I706" i="1"/>
  <c r="F770" i="7"/>
  <c r="I792" i="1"/>
  <c r="F793" i="7"/>
  <c r="F792" i="7"/>
  <c r="F794" i="7"/>
  <c r="T771" i="7"/>
  <c r="T817" i="7"/>
  <c r="S926" i="7"/>
  <c r="S979" i="7"/>
  <c r="I853" i="1"/>
  <c r="F639" i="7"/>
  <c r="F311" i="7"/>
  <c r="F37" i="7"/>
  <c r="F452" i="7"/>
  <c r="I683" i="1"/>
  <c r="F686" i="7"/>
  <c r="S783" i="7"/>
  <c r="I850" i="1"/>
  <c r="F851" i="7"/>
  <c r="F298" i="7"/>
  <c r="N828" i="7"/>
  <c r="F557" i="7"/>
  <c r="F36" i="7"/>
  <c r="F532" i="7"/>
  <c r="F455" i="7"/>
  <c r="I774" i="1"/>
  <c r="I813" i="1"/>
  <c r="I829" i="1"/>
  <c r="S729" i="7"/>
  <c r="I912" i="1"/>
  <c r="F913" i="7"/>
  <c r="F238" i="7"/>
  <c r="F58" i="7"/>
  <c r="I628" i="1"/>
  <c r="I770" i="1"/>
  <c r="N934" i="7"/>
  <c r="I793" i="1"/>
  <c r="I809" i="1"/>
  <c r="S751" i="7"/>
  <c r="F118" i="7"/>
  <c r="I640" i="1"/>
  <c r="I633" i="1"/>
  <c r="I677" i="1"/>
  <c r="I757" i="1"/>
  <c r="V901" i="7"/>
  <c r="T980" i="7"/>
  <c r="I564" i="1"/>
  <c r="F160" i="7"/>
  <c r="I601" i="1"/>
  <c r="I670" i="1"/>
  <c r="F673" i="7"/>
  <c r="I678" i="1"/>
  <c r="I726" i="1"/>
  <c r="U923" i="7"/>
  <c r="I847" i="1"/>
  <c r="F850" i="7"/>
  <c r="T904" i="7"/>
  <c r="N622" i="7"/>
  <c r="I668" i="1"/>
  <c r="U698" i="7"/>
  <c r="V835" i="7"/>
  <c r="S799" i="7"/>
  <c r="U953" i="7"/>
  <c r="F366" i="7"/>
  <c r="I711" i="1"/>
  <c r="S701" i="7"/>
  <c r="U747" i="7"/>
  <c r="S761" i="7"/>
  <c r="S711" i="7"/>
  <c r="T814" i="7"/>
  <c r="N636" i="7"/>
  <c r="N656" i="7"/>
  <c r="I738" i="1"/>
  <c r="V581" i="7"/>
  <c r="U844" i="7"/>
  <c r="U847" i="7"/>
  <c r="V962" i="7"/>
  <c r="T968" i="7"/>
  <c r="V975" i="7"/>
  <c r="U978" i="7"/>
  <c r="U933" i="7"/>
  <c r="T957" i="7"/>
  <c r="Y952" i="7"/>
  <c r="Y900" i="7"/>
  <c r="V983" i="7"/>
  <c r="S988" i="7"/>
  <c r="S947" i="7"/>
  <c r="V956" i="7"/>
  <c r="T984" i="7"/>
  <c r="Y894" i="7"/>
  <c r="G869" i="7"/>
  <c r="Y875" i="7"/>
  <c r="Y927" i="7"/>
  <c r="Y887" i="7"/>
  <c r="Y835" i="7"/>
  <c r="Y862" i="7"/>
  <c r="Y914" i="7"/>
  <c r="Y883" i="7"/>
  <c r="T989" i="7"/>
  <c r="U968" i="7"/>
  <c r="U975" i="7"/>
  <c r="V991" i="7"/>
  <c r="I970" i="1"/>
  <c r="G973" i="7"/>
  <c r="F973" i="7"/>
  <c r="S974" i="7"/>
  <c r="T988" i="7"/>
  <c r="U983" i="7"/>
  <c r="S982" i="7"/>
  <c r="I979" i="1"/>
  <c r="F982" i="7"/>
  <c r="V965" i="7"/>
  <c r="V980" i="7"/>
  <c r="I980" i="1"/>
  <c r="G983" i="7"/>
  <c r="F983" i="7"/>
  <c r="Y880" i="7"/>
  <c r="Y932" i="7"/>
  <c r="Y836" i="7"/>
  <c r="Y888" i="7"/>
  <c r="Y830" i="7"/>
  <c r="Y882" i="7"/>
  <c r="I985" i="1"/>
  <c r="F988" i="7"/>
  <c r="T987" i="7"/>
  <c r="T982" i="7"/>
  <c r="Y991" i="7"/>
  <c r="V970" i="7"/>
  <c r="V968" i="7"/>
  <c r="G936" i="7"/>
  <c r="F979" i="7"/>
  <c r="Y852" i="7"/>
  <c r="Y904" i="7"/>
  <c r="Y892" i="7"/>
  <c r="Y840" i="7"/>
  <c r="G903" i="7"/>
  <c r="G924" i="7"/>
  <c r="F984" i="7"/>
  <c r="Y976" i="7"/>
  <c r="N990" i="7"/>
  <c r="T991" i="7"/>
  <c r="I946" i="1"/>
  <c r="Y983" i="7"/>
  <c r="I977" i="1"/>
  <c r="G980" i="7"/>
  <c r="F980" i="7"/>
  <c r="F991" i="7"/>
  <c r="G914" i="7"/>
  <c r="F439" i="7"/>
  <c r="F437" i="7"/>
  <c r="N599" i="7"/>
  <c r="F217" i="7"/>
  <c r="F218" i="7"/>
  <c r="F498" i="7"/>
  <c r="N706" i="7"/>
  <c r="N654" i="7"/>
  <c r="I651" i="1"/>
  <c r="G654" i="7"/>
  <c r="F642" i="7"/>
  <c r="N744" i="7"/>
  <c r="F392" i="7"/>
  <c r="N623" i="7"/>
  <c r="F416" i="7"/>
  <c r="F415" i="7"/>
  <c r="F66" i="7"/>
  <c r="N731" i="7"/>
  <c r="N621" i="7"/>
  <c r="I569" i="1"/>
  <c r="N725" i="7"/>
  <c r="N673" i="7"/>
  <c r="S725" i="7"/>
  <c r="F288" i="7"/>
  <c r="F289" i="7"/>
  <c r="F774" i="7"/>
  <c r="I825" i="1"/>
  <c r="V675" i="7"/>
  <c r="V627" i="7"/>
  <c r="V680" i="7"/>
  <c r="T581" i="7"/>
  <c r="T633" i="7"/>
  <c r="O725" i="7"/>
  <c r="F499" i="7"/>
  <c r="F296" i="7"/>
  <c r="N590" i="7"/>
  <c r="I538" i="1"/>
  <c r="N642" i="7"/>
  <c r="I815" i="1"/>
  <c r="F818" i="7"/>
  <c r="W870" i="7"/>
  <c r="V620" i="7"/>
  <c r="U660" i="7"/>
  <c r="U713" i="7"/>
  <c r="T663" i="7"/>
  <c r="V613" i="7"/>
  <c r="T724" i="7"/>
  <c r="N935" i="7"/>
  <c r="F782" i="7"/>
  <c r="N987" i="7"/>
  <c r="I779" i="1"/>
  <c r="I880" i="1"/>
  <c r="G881" i="7"/>
  <c r="F882" i="7"/>
  <c r="F880" i="7"/>
  <c r="F883" i="7"/>
  <c r="F881" i="7"/>
  <c r="T985" i="7"/>
  <c r="F331" i="7"/>
  <c r="I588" i="1"/>
  <c r="F589" i="7"/>
  <c r="F811" i="7"/>
  <c r="N861" i="7"/>
  <c r="N913" i="7"/>
  <c r="N873" i="7"/>
  <c r="N925" i="7"/>
  <c r="T666" i="7"/>
  <c r="V636" i="7"/>
  <c r="T695" i="7"/>
  <c r="I626" i="1"/>
  <c r="N730" i="7"/>
  <c r="I620" i="1"/>
  <c r="N672" i="7"/>
  <c r="N823" i="7"/>
  <c r="N658" i="7"/>
  <c r="I589" i="1"/>
  <c r="N641" i="7"/>
  <c r="I560" i="1"/>
  <c r="G562" i="7"/>
  <c r="F563" i="7"/>
  <c r="F562" i="7"/>
  <c r="F698" i="7"/>
  <c r="I700" i="1"/>
  <c r="I739" i="1"/>
  <c r="F739" i="7"/>
  <c r="N895" i="7"/>
  <c r="N947" i="7"/>
  <c r="N951" i="7"/>
  <c r="I795" i="1"/>
  <c r="N899" i="7"/>
  <c r="T681" i="7"/>
  <c r="V631" i="7"/>
  <c r="V737" i="7"/>
  <c r="S748" i="7"/>
  <c r="S696" i="7"/>
  <c r="V650" i="7"/>
  <c r="V702" i="7"/>
  <c r="T705" i="7"/>
  <c r="T758" i="7"/>
  <c r="U812" i="7"/>
  <c r="U760" i="7"/>
  <c r="V709" i="7"/>
  <c r="T820" i="7"/>
  <c r="U874" i="7"/>
  <c r="V790" i="7"/>
  <c r="V738" i="7"/>
  <c r="V895" i="7"/>
  <c r="U865" i="7"/>
  <c r="F467" i="7"/>
  <c r="F391" i="7"/>
  <c r="F340" i="7"/>
  <c r="F271" i="7"/>
  <c r="I568" i="1"/>
  <c r="I804" i="1"/>
  <c r="N960" i="7"/>
  <c r="F241" i="7"/>
  <c r="F466" i="7"/>
  <c r="F326" i="7"/>
  <c r="F107" i="7"/>
  <c r="F106" i="7"/>
  <c r="F78" i="7"/>
  <c r="F80" i="7"/>
  <c r="F28" i="7"/>
  <c r="F684" i="7"/>
  <c r="F482" i="7"/>
  <c r="N635" i="7"/>
  <c r="F480" i="7"/>
  <c r="N587" i="7"/>
  <c r="F382" i="7"/>
  <c r="F105" i="7"/>
  <c r="F99" i="7"/>
  <c r="N906" i="7"/>
  <c r="N802" i="7"/>
  <c r="F728" i="7"/>
  <c r="I725" i="1"/>
  <c r="I731" i="1"/>
  <c r="F732" i="7"/>
  <c r="U764" i="7"/>
  <c r="U659" i="7"/>
  <c r="U711" i="7"/>
  <c r="U661" i="7"/>
  <c r="U766" i="7"/>
  <c r="U772" i="7"/>
  <c r="T835" i="7"/>
  <c r="V783" i="7"/>
  <c r="V679" i="7"/>
  <c r="F208" i="7"/>
  <c r="F479" i="7"/>
  <c r="F351" i="7"/>
  <c r="F138" i="7"/>
  <c r="I661" i="1"/>
  <c r="F508" i="7"/>
  <c r="V957" i="7"/>
  <c r="T940" i="7"/>
  <c r="T889" i="7"/>
  <c r="T943" i="7"/>
  <c r="T944" i="7"/>
  <c r="F367" i="7"/>
  <c r="F235" i="7"/>
  <c r="F661" i="7"/>
  <c r="I642" i="1"/>
  <c r="I561" i="1"/>
  <c r="U710" i="7"/>
  <c r="F248" i="7"/>
  <c r="I656" i="1"/>
  <c r="N760" i="7"/>
  <c r="I672" i="1"/>
  <c r="O724" i="7"/>
  <c r="I684" i="1"/>
  <c r="F707" i="7"/>
  <c r="I768" i="1"/>
  <c r="T648" i="7"/>
  <c r="S938" i="7"/>
  <c r="S939" i="7"/>
  <c r="F465" i="7"/>
  <c r="I578" i="1"/>
  <c r="I533" i="1"/>
  <c r="F656" i="7"/>
  <c r="F657" i="7"/>
  <c r="I655" i="1"/>
  <c r="N901" i="7"/>
  <c r="F745" i="7"/>
  <c r="N953" i="7"/>
  <c r="N868" i="7"/>
  <c r="I764" i="1"/>
  <c r="O816" i="7"/>
  <c r="I799" i="1"/>
  <c r="I806" i="1"/>
  <c r="N937" i="7"/>
  <c r="V660" i="7"/>
  <c r="V612" i="7"/>
  <c r="T680" i="7"/>
  <c r="T628" i="7"/>
  <c r="F434" i="7"/>
  <c r="F348" i="7"/>
  <c r="F239" i="7"/>
  <c r="F223" i="7"/>
  <c r="F149" i="7"/>
  <c r="F120" i="7"/>
  <c r="F76" i="7"/>
  <c r="F75" i="7"/>
  <c r="F55" i="7"/>
  <c r="F550" i="7"/>
  <c r="I557" i="1"/>
  <c r="N609" i="7"/>
  <c r="I692" i="1"/>
  <c r="I800" i="1"/>
  <c r="U678" i="7"/>
  <c r="U808" i="7"/>
  <c r="U704" i="7"/>
  <c r="S882" i="7"/>
  <c r="S884" i="7"/>
  <c r="F19" i="7"/>
  <c r="F628" i="7"/>
  <c r="N796" i="7"/>
  <c r="F507" i="7"/>
  <c r="N967" i="7"/>
  <c r="F61" i="7"/>
  <c r="N824" i="7"/>
  <c r="I724" i="1"/>
  <c r="G726" i="7"/>
  <c r="I782" i="1"/>
  <c r="N834" i="7"/>
  <c r="F784" i="7"/>
  <c r="N886" i="7"/>
  <c r="I794" i="1"/>
  <c r="N950" i="7"/>
  <c r="V919" i="7"/>
  <c r="U925" i="7"/>
  <c r="U926" i="7"/>
  <c r="F651" i="7"/>
  <c r="W703" i="7"/>
  <c r="F650" i="7"/>
  <c r="F719" i="7"/>
  <c r="I541" i="1"/>
  <c r="I832" i="1"/>
  <c r="O884" i="7"/>
  <c r="V615" i="7"/>
  <c r="U930" i="7"/>
  <c r="V594" i="7"/>
  <c r="U779" i="7"/>
  <c r="U785" i="7"/>
  <c r="V942" i="7"/>
  <c r="V785" i="7"/>
  <c r="V946" i="7"/>
  <c r="U639" i="7"/>
  <c r="U736" i="7"/>
  <c r="U738" i="7"/>
  <c r="U739" i="7"/>
  <c r="T815" i="7"/>
  <c r="V908" i="7"/>
  <c r="S857" i="7"/>
  <c r="V875" i="7"/>
  <c r="V889" i="7"/>
  <c r="T887" i="7"/>
  <c r="T970" i="7"/>
  <c r="U963" i="7"/>
  <c r="U913" i="7"/>
  <c r="V866" i="7"/>
  <c r="G877" i="7"/>
  <c r="V984" i="7"/>
  <c r="G956" i="7"/>
  <c r="Y891" i="7"/>
  <c r="Y943" i="7"/>
  <c r="Y865" i="7"/>
  <c r="Y969" i="7"/>
  <c r="G965" i="7"/>
  <c r="Y947" i="7"/>
  <c r="Y905" i="7"/>
  <c r="G794" i="7"/>
  <c r="G882" i="7"/>
  <c r="G880" i="7"/>
  <c r="O895" i="7"/>
  <c r="O947" i="7"/>
  <c r="O987" i="7"/>
  <c r="G739" i="7"/>
  <c r="I993" i="1"/>
  <c r="F286" i="7"/>
  <c r="F310" i="7"/>
  <c r="O767" i="7"/>
  <c r="N583" i="7"/>
  <c r="F376" i="7"/>
  <c r="F375" i="7"/>
  <c r="T782" i="7"/>
  <c r="F292" i="7"/>
  <c r="F567" i="7"/>
  <c r="V823" i="7"/>
  <c r="F413" i="7"/>
  <c r="F407" i="7"/>
  <c r="N598" i="7"/>
  <c r="F390" i="7"/>
  <c r="F384" i="7"/>
  <c r="F358" i="7"/>
  <c r="F361" i="7"/>
  <c r="F360" i="7"/>
  <c r="F255" i="7"/>
  <c r="I696" i="1"/>
  <c r="F699" i="7"/>
  <c r="F726" i="7"/>
  <c r="N776" i="7"/>
  <c r="F724" i="7"/>
  <c r="W776" i="7"/>
  <c r="N835" i="7"/>
  <c r="N887" i="7"/>
  <c r="I761" i="1"/>
  <c r="N917" i="7"/>
  <c r="F762" i="7"/>
  <c r="N969" i="7"/>
  <c r="F763" i="7"/>
  <c r="N865" i="7"/>
  <c r="I786" i="1"/>
  <c r="F786" i="7"/>
  <c r="I830" i="1"/>
  <c r="F832" i="7"/>
  <c r="V625" i="7"/>
  <c r="V678" i="7"/>
  <c r="U816" i="7"/>
  <c r="U868" i="7"/>
  <c r="U817" i="7"/>
  <c r="U765" i="7"/>
  <c r="T821" i="7"/>
  <c r="T784" i="7"/>
  <c r="T836" i="7"/>
  <c r="T941" i="7"/>
  <c r="T888" i="7"/>
  <c r="T942" i="7"/>
  <c r="T786" i="7"/>
  <c r="T838" i="7"/>
  <c r="T787" i="7"/>
  <c r="T839" i="7"/>
  <c r="T840" i="7"/>
  <c r="T788" i="7"/>
  <c r="T892" i="7"/>
  <c r="T893" i="7"/>
  <c r="T841" i="7"/>
  <c r="T791" i="7"/>
  <c r="T948" i="7"/>
  <c r="T949" i="7"/>
  <c r="T792" i="7"/>
  <c r="O899" i="7"/>
  <c r="S703" i="7"/>
  <c r="S808" i="7"/>
  <c r="U717" i="7"/>
  <c r="T623" i="7"/>
  <c r="F209" i="7"/>
  <c r="F207" i="7"/>
  <c r="F206" i="7"/>
  <c r="F200" i="7"/>
  <c r="F201" i="7"/>
  <c r="F193" i="7"/>
  <c r="F192" i="7"/>
  <c r="F184" i="7"/>
  <c r="N651" i="7"/>
  <c r="F446" i="7"/>
  <c r="F503" i="7"/>
  <c r="F505" i="7"/>
  <c r="I658" i="1"/>
  <c r="O866" i="7"/>
  <c r="N710" i="7"/>
  <c r="N866" i="7"/>
  <c r="I639" i="1"/>
  <c r="N691" i="7"/>
  <c r="F640" i="7"/>
  <c r="I609" i="1"/>
  <c r="O713" i="7"/>
  <c r="N817" i="7"/>
  <c r="F612" i="7"/>
  <c r="W664" i="7"/>
  <c r="F610" i="7"/>
  <c r="F611" i="7"/>
  <c r="N713" i="7"/>
  <c r="N765" i="7"/>
  <c r="I596" i="1"/>
  <c r="F596" i="7"/>
  <c r="N648" i="7"/>
  <c r="N752" i="7"/>
  <c r="I584" i="1"/>
  <c r="F457" i="7"/>
  <c r="F458" i="7"/>
  <c r="F459" i="7"/>
  <c r="N613" i="7"/>
  <c r="I610" i="1"/>
  <c r="F613" i="7"/>
  <c r="N714" i="7"/>
  <c r="N662" i="7"/>
  <c r="I680" i="1"/>
  <c r="G680" i="7"/>
  <c r="X732" i="7"/>
  <c r="N836" i="7"/>
  <c r="I788" i="1"/>
  <c r="F791" i="7"/>
  <c r="N944" i="7"/>
  <c r="N892" i="7"/>
  <c r="F316" i="7"/>
  <c r="F270" i="7"/>
  <c r="F570" i="7"/>
  <c r="N723" i="7"/>
  <c r="N671" i="7"/>
  <c r="N775" i="7"/>
  <c r="F568" i="7"/>
  <c r="I567" i="1"/>
  <c r="I534" i="1"/>
  <c r="G537" i="7"/>
  <c r="F537" i="7"/>
  <c r="F536" i="7"/>
  <c r="F535" i="7"/>
  <c r="N742" i="7"/>
  <c r="N638" i="7"/>
  <c r="I703" i="1"/>
  <c r="G706" i="7"/>
  <c r="N755" i="7"/>
  <c r="N837" i="7"/>
  <c r="I763" i="1"/>
  <c r="G765" i="7"/>
  <c r="N971" i="7"/>
  <c r="I819" i="1"/>
  <c r="N871" i="7"/>
  <c r="V693" i="7"/>
  <c r="T625" i="7"/>
  <c r="T677" i="7"/>
  <c r="V684" i="7"/>
  <c r="V789" i="7"/>
  <c r="F526" i="7"/>
  <c r="S835" i="7"/>
  <c r="S887" i="7"/>
  <c r="S888" i="7"/>
  <c r="S941" i="7"/>
  <c r="S890" i="7"/>
  <c r="S838" i="7"/>
  <c r="S942" i="7"/>
  <c r="S891" i="7"/>
  <c r="S943" i="7"/>
  <c r="S839" i="7"/>
  <c r="T894" i="7"/>
  <c r="T842" i="7"/>
  <c r="T946" i="7"/>
  <c r="T843" i="7"/>
  <c r="T947" i="7"/>
  <c r="T918" i="7"/>
  <c r="T971" i="7"/>
  <c r="T867" i="7"/>
  <c r="T972" i="7"/>
  <c r="T868" i="7"/>
  <c r="T869" i="7"/>
  <c r="T973" i="7"/>
  <c r="T921" i="7"/>
  <c r="T870" i="7"/>
  <c r="T922" i="7"/>
  <c r="T975" i="7"/>
  <c r="T923" i="7"/>
  <c r="T924" i="7"/>
  <c r="T872" i="7"/>
  <c r="T976" i="7"/>
  <c r="T977" i="7"/>
  <c r="T925" i="7"/>
  <c r="T873" i="7"/>
  <c r="T926" i="7"/>
  <c r="T978" i="7"/>
  <c r="T927" i="7"/>
  <c r="T875" i="7"/>
  <c r="I838" i="1"/>
  <c r="F839" i="7"/>
  <c r="F841" i="7"/>
  <c r="F838" i="7"/>
  <c r="F840" i="7"/>
  <c r="O951" i="7"/>
  <c r="T920" i="7"/>
  <c r="V736" i="7"/>
  <c r="T895" i="7"/>
  <c r="V642" i="7"/>
  <c r="V799" i="7"/>
  <c r="F309" i="7"/>
  <c r="F307" i="7"/>
  <c r="F301" i="7"/>
  <c r="F294" i="7"/>
  <c r="F92" i="7"/>
  <c r="I812" i="1"/>
  <c r="F815" i="7"/>
  <c r="F813" i="7"/>
  <c r="V744" i="7"/>
  <c r="T679" i="7"/>
  <c r="T627" i="7"/>
  <c r="T731" i="7"/>
  <c r="T642" i="7"/>
  <c r="T799" i="7"/>
  <c r="T746" i="7"/>
  <c r="F814" i="7"/>
  <c r="T629" i="7"/>
  <c r="F518" i="7"/>
  <c r="N726" i="7"/>
  <c r="V703" i="7"/>
  <c r="S840" i="7"/>
  <c r="S944" i="7"/>
  <c r="S892" i="7"/>
  <c r="O777" i="7"/>
  <c r="G946" i="7"/>
  <c r="T979" i="7"/>
  <c r="S940" i="7"/>
  <c r="V651" i="7"/>
  <c r="N923" i="7"/>
  <c r="F371" i="7"/>
  <c r="F233" i="7"/>
  <c r="F227" i="7"/>
  <c r="F228" i="7"/>
  <c r="I807" i="1"/>
  <c r="F810" i="7"/>
  <c r="N859" i="7"/>
  <c r="F808" i="7"/>
  <c r="F809" i="7"/>
  <c r="S740" i="7"/>
  <c r="S793" i="7"/>
  <c r="U637" i="7"/>
  <c r="U689" i="7"/>
  <c r="U741" i="7"/>
  <c r="U794" i="7"/>
  <c r="S797" i="7"/>
  <c r="S744" i="7"/>
  <c r="U641" i="7"/>
  <c r="U798" i="7"/>
  <c r="U745" i="7"/>
  <c r="U849" i="7"/>
  <c r="U797" i="7"/>
  <c r="V976" i="7"/>
  <c r="V871" i="7"/>
  <c r="V819" i="7"/>
  <c r="V924" i="7"/>
  <c r="V872" i="7"/>
  <c r="V977" i="7"/>
  <c r="V978" i="7"/>
  <c r="V821" i="7"/>
  <c r="V925" i="7"/>
  <c r="V979" i="7"/>
  <c r="V874" i="7"/>
  <c r="V876" i="7"/>
  <c r="V928" i="7"/>
  <c r="U879" i="7"/>
  <c r="U931" i="7"/>
  <c r="U984" i="7"/>
  <c r="U985" i="7"/>
  <c r="F516" i="7"/>
  <c r="N617" i="7"/>
  <c r="F346" i="7"/>
  <c r="F344" i="7"/>
  <c r="F330" i="7"/>
  <c r="F328" i="7"/>
  <c r="F249" i="7"/>
  <c r="F114" i="7"/>
  <c r="I647" i="1"/>
  <c r="O699" i="7"/>
  <c r="F649" i="7"/>
  <c r="I665" i="1"/>
  <c r="F666" i="7"/>
  <c r="W718" i="7"/>
  <c r="F687" i="7"/>
  <c r="I699" i="1"/>
  <c r="N907" i="7"/>
  <c r="N855" i="7"/>
  <c r="V657" i="7"/>
  <c r="T584" i="7"/>
  <c r="T636" i="7"/>
  <c r="V662" i="7"/>
  <c r="V610" i="7"/>
  <c r="S742" i="7"/>
  <c r="T691" i="7"/>
  <c r="G971" i="7"/>
  <c r="N667" i="7"/>
  <c r="F513" i="7"/>
  <c r="F444" i="7"/>
  <c r="N597" i="7"/>
  <c r="N618" i="7"/>
  <c r="N603" i="7"/>
  <c r="F397" i="7"/>
  <c r="F368" i="7"/>
  <c r="F12" i="7"/>
  <c r="S770" i="7"/>
  <c r="S800" i="7"/>
  <c r="U644" i="7"/>
  <c r="U649" i="7"/>
  <c r="S756" i="7"/>
  <c r="T675" i="7"/>
  <c r="T779" i="7"/>
  <c r="U732" i="7"/>
  <c r="U784" i="7"/>
  <c r="U788" i="7"/>
  <c r="U684" i="7"/>
  <c r="S801" i="7"/>
  <c r="S854" i="7"/>
  <c r="S749" i="7"/>
  <c r="T698" i="7"/>
  <c r="T750" i="7"/>
  <c r="U751" i="7"/>
  <c r="U856" i="7"/>
  <c r="U821" i="7"/>
  <c r="U769" i="7"/>
  <c r="V770" i="7"/>
  <c r="S775" i="7"/>
  <c r="S723" i="7"/>
  <c r="S880" i="7"/>
  <c r="T881" i="7"/>
  <c r="T776" i="7"/>
  <c r="U725" i="7"/>
  <c r="U829" i="7"/>
  <c r="S895" i="7"/>
  <c r="S948" i="7"/>
  <c r="S792" i="7"/>
  <c r="S949" i="7"/>
  <c r="S896" i="7"/>
  <c r="S844" i="7"/>
  <c r="S794" i="7"/>
  <c r="S898" i="7"/>
  <c r="S951" i="7"/>
  <c r="S795" i="7"/>
  <c r="S952" i="7"/>
  <c r="S847" i="7"/>
  <c r="N600" i="7"/>
  <c r="F191" i="7"/>
  <c r="F177" i="7"/>
  <c r="F56" i="7"/>
  <c r="F54" i="7"/>
  <c r="F32" i="7"/>
  <c r="I618" i="1"/>
  <c r="N774" i="7"/>
  <c r="F531" i="7"/>
  <c r="N632" i="7"/>
  <c r="I573" i="1"/>
  <c r="G576" i="7"/>
  <c r="V707" i="7"/>
  <c r="V655" i="7"/>
  <c r="V661" i="7"/>
  <c r="V765" i="7"/>
  <c r="F284" i="7"/>
  <c r="I697" i="1"/>
  <c r="I728" i="1"/>
  <c r="F731" i="7"/>
  <c r="I742" i="1"/>
  <c r="N846" i="7"/>
  <c r="O967" i="7"/>
  <c r="I821" i="1"/>
  <c r="O873" i="7"/>
  <c r="N983" i="7"/>
  <c r="V733" i="7"/>
  <c r="V671" i="7"/>
  <c r="V723" i="7"/>
  <c r="V621" i="7"/>
  <c r="T798" i="7"/>
  <c r="U803" i="7"/>
  <c r="V981" i="7"/>
  <c r="V929" i="7"/>
  <c r="V982" i="7"/>
  <c r="V878" i="7"/>
  <c r="F98" i="7"/>
  <c r="F83" i="7"/>
  <c r="I613" i="1"/>
  <c r="F614" i="7"/>
  <c r="W666" i="7"/>
  <c r="F680" i="7"/>
  <c r="I758" i="1"/>
  <c r="F761" i="7"/>
  <c r="V609" i="7"/>
  <c r="T659" i="7"/>
  <c r="T711" i="7"/>
  <c r="V658" i="7"/>
  <c r="T749" i="7"/>
  <c r="T853" i="7"/>
  <c r="T907" i="7"/>
  <c r="T854" i="7"/>
  <c r="T803" i="7"/>
  <c r="T855" i="7"/>
  <c r="T754" i="7"/>
  <c r="T913" i="7"/>
  <c r="S758" i="7"/>
  <c r="S759" i="7"/>
  <c r="S917" i="7"/>
  <c r="S813" i="7"/>
  <c r="S814" i="7"/>
  <c r="S866" i="7"/>
  <c r="S919" i="7"/>
  <c r="S762" i="7"/>
  <c r="V856" i="7"/>
  <c r="V857" i="7"/>
  <c r="V858" i="7"/>
  <c r="U967" i="7"/>
  <c r="U811" i="7"/>
  <c r="U915" i="7"/>
  <c r="C83" i="7"/>
  <c r="C81" i="7"/>
  <c r="I871" i="1"/>
  <c r="G872" i="7"/>
  <c r="F874" i="7"/>
  <c r="F871" i="7"/>
  <c r="F872" i="7"/>
  <c r="N975" i="7"/>
  <c r="F873" i="7"/>
  <c r="I873" i="1"/>
  <c r="F876" i="7"/>
  <c r="N874" i="7"/>
  <c r="F265" i="7"/>
  <c r="F264" i="7"/>
  <c r="F167" i="7"/>
  <c r="F42" i="7"/>
  <c r="F551" i="7"/>
  <c r="F675" i="7"/>
  <c r="I717" i="1"/>
  <c r="I808" i="1"/>
  <c r="G811" i="7"/>
  <c r="N912" i="7"/>
  <c r="T589" i="7"/>
  <c r="V853" i="7"/>
  <c r="V750" i="7"/>
  <c r="U759" i="7"/>
  <c r="V973" i="7"/>
  <c r="V920" i="7"/>
  <c r="U871" i="7"/>
  <c r="U928" i="7"/>
  <c r="T934" i="7"/>
  <c r="T830" i="7"/>
  <c r="T937" i="7"/>
  <c r="T885" i="7"/>
  <c r="T886" i="7"/>
  <c r="T938" i="7"/>
  <c r="F555" i="7"/>
  <c r="I762" i="1"/>
  <c r="O918" i="7"/>
  <c r="N970" i="7"/>
  <c r="N918" i="7"/>
  <c r="F777" i="7"/>
  <c r="W829" i="7"/>
  <c r="I780" i="1"/>
  <c r="G781" i="7"/>
  <c r="F781" i="7"/>
  <c r="T587" i="7"/>
  <c r="T618" i="7"/>
  <c r="T670" i="7"/>
  <c r="T722" i="7"/>
  <c r="T783" i="7"/>
  <c r="T720" i="7"/>
  <c r="V763" i="7"/>
  <c r="V869" i="7"/>
  <c r="V870" i="7"/>
  <c r="U822" i="7"/>
  <c r="U825" i="7"/>
  <c r="U878" i="7"/>
  <c r="U830" i="7"/>
  <c r="U778" i="7"/>
  <c r="F496" i="7"/>
  <c r="F495" i="7"/>
  <c r="F225" i="7"/>
  <c r="F224" i="7"/>
  <c r="F447" i="7"/>
  <c r="F449" i="7"/>
  <c r="F659" i="7"/>
  <c r="F584" i="7"/>
  <c r="I675" i="1"/>
  <c r="F709" i="7"/>
  <c r="I708" i="1"/>
  <c r="F710" i="7"/>
  <c r="N958" i="7"/>
  <c r="I750" i="1"/>
  <c r="I756" i="1"/>
  <c r="G759" i="7"/>
  <c r="N884" i="7"/>
  <c r="V592" i="7"/>
  <c r="T616" i="7"/>
  <c r="T617" i="7"/>
  <c r="V614" i="7"/>
  <c r="T682" i="7"/>
  <c r="T734" i="7"/>
  <c r="T796" i="7"/>
  <c r="T693" i="7"/>
  <c r="U859" i="7"/>
  <c r="U806" i="7"/>
  <c r="S788" i="7"/>
  <c r="U959" i="7"/>
  <c r="U854" i="7"/>
  <c r="U906" i="7"/>
  <c r="T908" i="7"/>
  <c r="T961" i="7"/>
  <c r="T856" i="7"/>
  <c r="T963" i="7"/>
  <c r="T809" i="7"/>
  <c r="I904" i="1"/>
  <c r="G906" i="7"/>
  <c r="F905" i="7"/>
  <c r="F907" i="7"/>
  <c r="F904" i="7"/>
  <c r="G941" i="7"/>
  <c r="I957" i="1"/>
  <c r="F960" i="7"/>
  <c r="F957" i="7"/>
  <c r="F958" i="7"/>
  <c r="F462" i="7"/>
  <c r="F342" i="7"/>
  <c r="F279" i="7"/>
  <c r="T702" i="7"/>
  <c r="S927" i="7"/>
  <c r="F169" i="7"/>
  <c r="F135" i="7"/>
  <c r="F679" i="7"/>
  <c r="I676" i="1"/>
  <c r="G679" i="7"/>
  <c r="I710" i="1"/>
  <c r="U672" i="7"/>
  <c r="S772" i="7"/>
  <c r="U966" i="7"/>
  <c r="U924" i="7"/>
  <c r="F352" i="7"/>
  <c r="F329" i="7"/>
  <c r="F82" i="7"/>
  <c r="F16" i="7"/>
  <c r="I551" i="1"/>
  <c r="F554" i="7"/>
  <c r="T655" i="7"/>
  <c r="V814" i="7"/>
  <c r="V773" i="7"/>
  <c r="F327" i="7"/>
  <c r="F59" i="7"/>
  <c r="I823" i="1"/>
  <c r="O875" i="7"/>
  <c r="N875" i="7"/>
  <c r="T730" i="7"/>
  <c r="S704" i="7"/>
  <c r="T727" i="7"/>
  <c r="U902" i="7"/>
  <c r="U929" i="7"/>
  <c r="S918" i="7"/>
  <c r="T986" i="7"/>
  <c r="V992" i="7"/>
  <c r="Y833" i="7"/>
  <c r="Y885" i="7"/>
  <c r="T990" i="7"/>
  <c r="T996" i="7"/>
  <c r="Y920" i="7"/>
  <c r="Y868" i="7"/>
  <c r="S995" i="7"/>
  <c r="S996" i="7"/>
  <c r="V996" i="7"/>
  <c r="O993" i="7"/>
  <c r="T993" i="7"/>
  <c r="T995" i="7"/>
  <c r="Y937" i="7"/>
  <c r="F992" i="7"/>
  <c r="I989" i="1"/>
  <c r="N996" i="7"/>
  <c r="I892" i="1"/>
  <c r="G892" i="7"/>
  <c r="O996" i="7"/>
  <c r="I991" i="1"/>
  <c r="F994" i="7"/>
  <c r="I942" i="1"/>
  <c r="G942" i="7"/>
  <c r="N994" i="7"/>
  <c r="Y843" i="7"/>
  <c r="Y895" i="7"/>
  <c r="N993" i="7"/>
  <c r="S993" i="7"/>
  <c r="T994" i="7"/>
  <c r="Y944" i="7"/>
  <c r="Y996" i="7"/>
  <c r="Y936" i="7"/>
  <c r="N992" i="7"/>
  <c r="V995" i="7"/>
  <c r="G964" i="7"/>
  <c r="Y992" i="7"/>
  <c r="V994" i="7"/>
  <c r="Y856" i="7"/>
  <c r="Y960" i="7"/>
  <c r="I995" i="1"/>
  <c r="S992" i="7"/>
  <c r="U993" i="7"/>
  <c r="Y994" i="7"/>
  <c r="Y980" i="7"/>
  <c r="Y912" i="7"/>
  <c r="F993" i="7"/>
  <c r="Y963" i="7"/>
  <c r="Y975" i="7"/>
  <c r="Y948" i="7"/>
  <c r="I990" i="1"/>
  <c r="O966" i="7"/>
  <c r="G621" i="7"/>
  <c r="O979" i="7"/>
  <c r="G611" i="7"/>
  <c r="G612" i="7"/>
  <c r="G945" i="7"/>
  <c r="G943" i="7"/>
  <c r="G944" i="7"/>
  <c r="G782" i="7"/>
  <c r="O988" i="7"/>
  <c r="G809" i="7"/>
  <c r="O847" i="7"/>
  <c r="G894" i="7"/>
  <c r="G893" i="7"/>
  <c r="O944" i="7"/>
  <c r="G536" i="7"/>
  <c r="O986" i="7"/>
  <c r="G764" i="7"/>
  <c r="O727" i="7"/>
  <c r="G791" i="7"/>
  <c r="O892" i="7"/>
  <c r="G871" i="7"/>
  <c r="G874" i="7"/>
  <c r="G904" i="7"/>
  <c r="G905" i="7"/>
  <c r="I998" i="1"/>
  <c r="G999" i="7"/>
  <c r="F998" i="7"/>
  <c r="E13" i="6"/>
  <c r="F1001" i="7"/>
  <c r="W665" i="7"/>
  <c r="W966" i="7"/>
  <c r="G570" i="7"/>
  <c r="O810" i="7"/>
  <c r="O914" i="7"/>
  <c r="G778" i="7"/>
  <c r="T602" i="7"/>
  <c r="T654" i="7"/>
  <c r="T606" i="7"/>
  <c r="T658" i="7"/>
  <c r="T763" i="7"/>
  <c r="T710" i="7"/>
  <c r="S718" i="7"/>
  <c r="S771" i="7"/>
  <c r="U685" i="7"/>
  <c r="U737" i="7"/>
  <c r="V686" i="7"/>
  <c r="V791" i="7"/>
  <c r="S754" i="7"/>
  <c r="S702" i="7"/>
  <c r="S807" i="7"/>
  <c r="T651" i="7"/>
  <c r="S707" i="7"/>
  <c r="S864" i="7"/>
  <c r="S811" i="7"/>
  <c r="S763" i="7"/>
  <c r="S867" i="7"/>
  <c r="S818" i="7"/>
  <c r="W865" i="7"/>
  <c r="F514" i="7"/>
  <c r="F420" i="7"/>
  <c r="F153" i="7"/>
  <c r="F154" i="7"/>
  <c r="F21" i="7"/>
  <c r="F20" i="7"/>
  <c r="F631" i="7"/>
  <c r="I629" i="1"/>
  <c r="G629" i="7"/>
  <c r="F629" i="7"/>
  <c r="F565" i="7"/>
  <c r="F566" i="7"/>
  <c r="F564" i="7"/>
  <c r="W616" i="7"/>
  <c r="N771" i="7"/>
  <c r="N615" i="7"/>
  <c r="O898" i="7"/>
  <c r="F104" i="7"/>
  <c r="F319" i="7"/>
  <c r="G725" i="7"/>
  <c r="F618" i="7"/>
  <c r="W670" i="7"/>
  <c r="F441" i="7"/>
  <c r="F443" i="7"/>
  <c r="F442" i="7"/>
  <c r="F334" i="7"/>
  <c r="F332" i="7"/>
  <c r="F333" i="7"/>
  <c r="F324" i="7"/>
  <c r="F325" i="7"/>
  <c r="F185" i="7"/>
  <c r="F176" i="7"/>
  <c r="F168" i="7"/>
  <c r="F123" i="7"/>
  <c r="F622" i="7"/>
  <c r="F578" i="7"/>
  <c r="F577" i="7"/>
  <c r="N627" i="7"/>
  <c r="N679" i="7"/>
  <c r="N783" i="7"/>
  <c r="F576" i="7"/>
  <c r="I575" i="1"/>
  <c r="F456" i="7"/>
  <c r="F453" i="7"/>
  <c r="N661" i="7"/>
  <c r="N978" i="7"/>
  <c r="F773" i="7"/>
  <c r="N926" i="7"/>
  <c r="N822" i="7"/>
  <c r="O893" i="7"/>
  <c r="O945" i="7"/>
  <c r="O720" i="7"/>
  <c r="N624" i="7"/>
  <c r="F520" i="7"/>
  <c r="F523" i="7"/>
  <c r="F484" i="7"/>
  <c r="F483" i="7"/>
  <c r="F481" i="7"/>
  <c r="F275" i="7"/>
  <c r="F274" i="7"/>
  <c r="F110" i="7"/>
  <c r="F112" i="7"/>
  <c r="F627" i="7"/>
  <c r="O775" i="7"/>
  <c r="O723" i="7"/>
  <c r="F836" i="7"/>
  <c r="N885" i="7"/>
  <c r="N989" i="7"/>
  <c r="F834" i="7"/>
  <c r="F835" i="7"/>
  <c r="I833" i="1"/>
  <c r="O885" i="7"/>
  <c r="I597" i="1"/>
  <c r="F597" i="7"/>
  <c r="F599" i="7"/>
  <c r="W651" i="7"/>
  <c r="N612" i="7"/>
  <c r="F509" i="7"/>
  <c r="I796" i="1"/>
  <c r="F799" i="7"/>
  <c r="F797" i="7"/>
  <c r="I827" i="1"/>
  <c r="N879" i="7"/>
  <c r="T612" i="7"/>
  <c r="T769" i="7"/>
  <c r="V774" i="7"/>
  <c r="V617" i="7"/>
  <c r="V669" i="7"/>
  <c r="V638" i="7"/>
  <c r="V690" i="7"/>
  <c r="V742" i="7"/>
  <c r="U694" i="7"/>
  <c r="U642" i="7"/>
  <c r="U799" i="7"/>
  <c r="U746" i="7"/>
  <c r="T708" i="7"/>
  <c r="F414" i="7"/>
  <c r="W622" i="7"/>
  <c r="F572" i="7"/>
  <c r="I570" i="1"/>
  <c r="G989" i="7"/>
  <c r="N649" i="7"/>
  <c r="F142" i="7"/>
  <c r="I563" i="1"/>
  <c r="F755" i="7"/>
  <c r="V652" i="7"/>
  <c r="G795" i="7"/>
  <c r="F426" i="7"/>
  <c r="F395" i="7"/>
  <c r="F388" i="7"/>
  <c r="F385" i="7"/>
  <c r="F379" i="7"/>
  <c r="F377" i="7"/>
  <c r="F372" i="7"/>
  <c r="F369" i="7"/>
  <c r="F354" i="7"/>
  <c r="F353" i="7"/>
  <c r="F355" i="7"/>
  <c r="F347" i="7"/>
  <c r="F140" i="7"/>
  <c r="F130" i="7"/>
  <c r="F131" i="7"/>
  <c r="F69" i="7"/>
  <c r="F41" i="7"/>
  <c r="F43" i="7"/>
  <c r="F33" i="7"/>
  <c r="F35" i="7"/>
  <c r="F34" i="7"/>
  <c r="F26" i="7"/>
  <c r="F27" i="7"/>
  <c r="F11" i="7"/>
  <c r="I614" i="1"/>
  <c r="G614" i="7"/>
  <c r="F617" i="7"/>
  <c r="W669" i="7"/>
  <c r="F502" i="7"/>
  <c r="N607" i="7"/>
  <c r="F506" i="7"/>
  <c r="N711" i="7"/>
  <c r="F685" i="7"/>
  <c r="F682" i="7"/>
  <c r="F683" i="7"/>
  <c r="W735" i="7"/>
  <c r="G707" i="7"/>
  <c r="F713" i="7"/>
  <c r="F711" i="7"/>
  <c r="F714" i="7"/>
  <c r="F712" i="7"/>
  <c r="N763" i="7"/>
  <c r="N770" i="7"/>
  <c r="F720" i="7"/>
  <c r="I718" i="1"/>
  <c r="N921" i="7"/>
  <c r="I765" i="1"/>
  <c r="F768" i="7"/>
  <c r="F766" i="7"/>
  <c r="N869" i="7"/>
  <c r="F767" i="7"/>
  <c r="W819" i="7"/>
  <c r="N991" i="7"/>
  <c r="F783" i="7"/>
  <c r="F785" i="7"/>
  <c r="W994" i="7"/>
  <c r="I783" i="1"/>
  <c r="G541" i="7"/>
  <c r="G539" i="7"/>
  <c r="O689" i="7"/>
  <c r="F512" i="7"/>
  <c r="N616" i="7"/>
  <c r="F282" i="7"/>
  <c r="F281" i="7"/>
  <c r="F93" i="7"/>
  <c r="I539" i="1"/>
  <c r="G542" i="7"/>
  <c r="N591" i="7"/>
  <c r="F540" i="7"/>
  <c r="I801" i="1"/>
  <c r="G803" i="7"/>
  <c r="N905" i="7"/>
  <c r="F801" i="7"/>
  <c r="F804" i="7"/>
  <c r="N957" i="7"/>
  <c r="G540" i="7"/>
  <c r="G731" i="7"/>
  <c r="O834" i="7"/>
  <c r="N665" i="7"/>
  <c r="N717" i="7"/>
  <c r="I820" i="1"/>
  <c r="N924" i="7"/>
  <c r="N976" i="7"/>
  <c r="N872" i="7"/>
  <c r="F822" i="7"/>
  <c r="W978" i="7"/>
  <c r="U673" i="7"/>
  <c r="U726" i="7"/>
  <c r="T704" i="7"/>
  <c r="T757" i="7"/>
  <c r="T600" i="7"/>
  <c r="T604" i="7"/>
  <c r="T761" i="7"/>
  <c r="T662" i="7"/>
  <c r="T610" i="7"/>
  <c r="S720" i="7"/>
  <c r="V656" i="7"/>
  <c r="V813" i="7"/>
  <c r="S872" i="7"/>
  <c r="S768" i="7"/>
  <c r="S820" i="7"/>
  <c r="F511" i="7"/>
  <c r="O772" i="7"/>
  <c r="F802" i="7"/>
  <c r="F280" i="7"/>
  <c r="G988" i="7"/>
  <c r="V809" i="7"/>
  <c r="F619" i="7"/>
  <c r="W723" i="7"/>
  <c r="N634" i="7"/>
  <c r="F404" i="7"/>
  <c r="N611" i="7"/>
  <c r="F406" i="7"/>
  <c r="F161" i="7"/>
  <c r="F623" i="7"/>
  <c r="I576" i="1"/>
  <c r="O732" i="7"/>
  <c r="N680" i="7"/>
  <c r="F579" i="7"/>
  <c r="N732" i="7"/>
  <c r="I543" i="1"/>
  <c r="N699" i="7"/>
  <c r="N647" i="7"/>
  <c r="N595" i="7"/>
  <c r="N751" i="7"/>
  <c r="F545" i="7"/>
  <c r="F544" i="7"/>
  <c r="W648" i="7"/>
  <c r="I859" i="1"/>
  <c r="F859" i="7"/>
  <c r="F862" i="7"/>
  <c r="F860" i="7"/>
  <c r="N911" i="7"/>
  <c r="V914" i="7"/>
  <c r="V966" i="7"/>
  <c r="O846" i="7"/>
  <c r="N719" i="7"/>
  <c r="F757" i="7"/>
  <c r="N701" i="7"/>
  <c r="S764" i="7"/>
  <c r="N769" i="7"/>
  <c r="N853" i="7"/>
  <c r="V760" i="7"/>
  <c r="N963" i="7"/>
  <c r="W995" i="7"/>
  <c r="F820" i="7"/>
  <c r="W872" i="7"/>
  <c r="N728" i="7"/>
  <c r="N805" i="7"/>
  <c r="F542" i="7"/>
  <c r="N669" i="7"/>
  <c r="S693" i="7"/>
  <c r="F421" i="7"/>
  <c r="N985" i="7"/>
  <c r="N829" i="7"/>
  <c r="N881" i="7"/>
  <c r="F780" i="7"/>
  <c r="W936" i="7"/>
  <c r="N933" i="7"/>
  <c r="F779" i="7"/>
  <c r="I777" i="1"/>
  <c r="O985" i="7"/>
  <c r="F778" i="7"/>
  <c r="I784" i="1"/>
  <c r="N940" i="7"/>
  <c r="N888" i="7"/>
  <c r="G793" i="7"/>
  <c r="F527" i="7"/>
  <c r="N631" i="7"/>
  <c r="F529" i="7"/>
  <c r="F528" i="7"/>
  <c r="N593" i="7"/>
  <c r="F492" i="7"/>
  <c r="G535" i="7"/>
  <c r="G533" i="7"/>
  <c r="N818" i="7"/>
  <c r="N870" i="7"/>
  <c r="N766" i="7"/>
  <c r="I702" i="1"/>
  <c r="F705" i="7"/>
  <c r="N773" i="7"/>
  <c r="N929" i="7"/>
  <c r="I721" i="1"/>
  <c r="G722" i="7"/>
  <c r="F722" i="7"/>
  <c r="F723" i="7"/>
  <c r="I741" i="1"/>
  <c r="O845" i="7"/>
  <c r="F744" i="7"/>
  <c r="I826" i="1"/>
  <c r="N878" i="7"/>
  <c r="N930" i="7"/>
  <c r="F826" i="7"/>
  <c r="T716" i="7"/>
  <c r="T664" i="7"/>
  <c r="T768" i="7"/>
  <c r="V717" i="7"/>
  <c r="V822" i="7"/>
  <c r="V769" i="7"/>
  <c r="N982" i="7"/>
  <c r="F283" i="7"/>
  <c r="O950" i="7"/>
  <c r="O970" i="7"/>
  <c r="F703" i="7"/>
  <c r="W755" i="7"/>
  <c r="N821" i="7"/>
  <c r="F598" i="7"/>
  <c r="F522" i="7"/>
  <c r="O782" i="7"/>
  <c r="N720" i="7"/>
  <c r="N900" i="7"/>
  <c r="F796" i="7"/>
  <c r="N848" i="7"/>
  <c r="F541" i="7"/>
  <c r="I617" i="1"/>
  <c r="F510" i="7"/>
  <c r="S745" i="7"/>
  <c r="N716" i="7"/>
  <c r="N768" i="7"/>
  <c r="N820" i="7"/>
  <c r="I664" i="1"/>
  <c r="F670" i="7"/>
  <c r="F672" i="7"/>
  <c r="W724" i="7"/>
  <c r="F671" i="7"/>
  <c r="I669" i="1"/>
  <c r="G670" i="7"/>
  <c r="N758" i="7"/>
  <c r="N914" i="7"/>
  <c r="N810" i="7"/>
  <c r="N862" i="7"/>
  <c r="F706" i="7"/>
  <c r="O765" i="7"/>
  <c r="I754" i="1"/>
  <c r="N910" i="7"/>
  <c r="F754" i="7"/>
  <c r="N962" i="7"/>
  <c r="O762" i="7"/>
  <c r="O862" i="7"/>
  <c r="N832" i="7"/>
  <c r="I662" i="1"/>
  <c r="I622" i="1"/>
  <c r="G622" i="7"/>
  <c r="F821" i="7"/>
  <c r="O744" i="7"/>
  <c r="F489" i="7"/>
  <c r="N674" i="7"/>
  <c r="N721" i="7"/>
  <c r="N664" i="7"/>
  <c r="F616" i="7"/>
  <c r="W668" i="7"/>
  <c r="V665" i="7"/>
  <c r="F539" i="7"/>
  <c r="N733" i="7"/>
  <c r="N681" i="7"/>
  <c r="V867" i="7"/>
  <c r="F595" i="7"/>
  <c r="N645" i="7"/>
  <c r="N697" i="7"/>
  <c r="N801" i="7"/>
  <c r="I593" i="1"/>
  <c r="G585" i="7"/>
  <c r="F692" i="7"/>
  <c r="F690" i="7"/>
  <c r="N741" i="7"/>
  <c r="I689" i="1"/>
  <c r="N909" i="7"/>
  <c r="F702" i="7"/>
  <c r="F704" i="7"/>
  <c r="I701" i="1"/>
  <c r="N753" i="7"/>
  <c r="F803" i="7"/>
  <c r="O974" i="7"/>
  <c r="T741" i="7"/>
  <c r="T743" i="7"/>
  <c r="F486" i="7"/>
  <c r="N588" i="7"/>
  <c r="N692" i="7"/>
  <c r="F487" i="7"/>
  <c r="F464" i="7"/>
  <c r="F461" i="7"/>
  <c r="F463" i="7"/>
  <c r="N608" i="7"/>
  <c r="F129" i="7"/>
  <c r="I529" i="1"/>
  <c r="G532" i="7"/>
  <c r="N581" i="7"/>
  <c r="F445" i="7"/>
  <c r="F500" i="7"/>
  <c r="F501" i="7"/>
  <c r="I636" i="1"/>
  <c r="O688" i="7"/>
  <c r="F637" i="7"/>
  <c r="W689" i="7"/>
  <c r="N695" i="7"/>
  <c r="F593" i="7"/>
  <c r="N643" i="7"/>
  <c r="F592" i="7"/>
  <c r="N633" i="7"/>
  <c r="F583" i="7"/>
  <c r="N737" i="7"/>
  <c r="N789" i="7"/>
  <c r="I714" i="1"/>
  <c r="F717" i="7"/>
  <c r="N922" i="7"/>
  <c r="F716" i="7"/>
  <c r="I755" i="1"/>
  <c r="G758" i="7"/>
  <c r="S706" i="7"/>
  <c r="S810" i="7"/>
  <c r="U813" i="7"/>
  <c r="U918" i="7"/>
  <c r="U761" i="7"/>
  <c r="T845" i="7"/>
  <c r="T846" i="7"/>
  <c r="T950" i="7"/>
  <c r="T900" i="7"/>
  <c r="T952" i="7"/>
  <c r="T953" i="7"/>
  <c r="T956" i="7"/>
  <c r="T852" i="7"/>
  <c r="T909" i="7"/>
  <c r="T857" i="7"/>
  <c r="T914" i="7"/>
  <c r="T966" i="7"/>
  <c r="T864" i="7"/>
  <c r="T865" i="7"/>
  <c r="S972" i="7"/>
  <c r="S868" i="7"/>
  <c r="S973" i="7"/>
  <c r="S921" i="7"/>
  <c r="I842" i="1"/>
  <c r="F842" i="7"/>
  <c r="F844" i="7"/>
  <c r="F845" i="7"/>
  <c r="W1001" i="7"/>
  <c r="N946" i="7"/>
  <c r="F843" i="7"/>
  <c r="I854" i="1"/>
  <c r="O958" i="7"/>
  <c r="F857" i="7"/>
  <c r="F856" i="7"/>
  <c r="F855" i="7"/>
  <c r="U961" i="7"/>
  <c r="I860" i="1"/>
  <c r="F863" i="7"/>
  <c r="N964" i="7"/>
  <c r="G981" i="7"/>
  <c r="G982" i="7"/>
  <c r="F408" i="7"/>
  <c r="F409" i="7"/>
  <c r="F277" i="7"/>
  <c r="F276" i="7"/>
  <c r="F90" i="7"/>
  <c r="F88" i="7"/>
  <c r="F52" i="7"/>
  <c r="F53" i="7"/>
  <c r="I653" i="1"/>
  <c r="O861" i="7"/>
  <c r="N809" i="7"/>
  <c r="N705" i="7"/>
  <c r="N694" i="7"/>
  <c r="F645" i="7"/>
  <c r="W697" i="7"/>
  <c r="F604" i="7"/>
  <c r="N637" i="7"/>
  <c r="F586" i="7"/>
  <c r="F664" i="7"/>
  <c r="W716" i="7"/>
  <c r="F663" i="7"/>
  <c r="F615" i="7"/>
  <c r="W667" i="7"/>
  <c r="I746" i="1"/>
  <c r="F746" i="7"/>
  <c r="U687" i="7"/>
  <c r="U740" i="7"/>
  <c r="U771" i="7"/>
  <c r="U667" i="7"/>
  <c r="U719" i="7"/>
  <c r="V838" i="7"/>
  <c r="V681" i="7"/>
  <c r="T801" i="7"/>
  <c r="T697" i="7"/>
  <c r="S929" i="7"/>
  <c r="S981" i="7"/>
  <c r="S931" i="7"/>
  <c r="S879" i="7"/>
  <c r="S983" i="7"/>
  <c r="S984" i="7"/>
  <c r="S932" i="7"/>
  <c r="S935" i="7"/>
  <c r="S987" i="7"/>
  <c r="S990" i="7"/>
  <c r="S886" i="7"/>
  <c r="S893" i="7"/>
  <c r="S945" i="7"/>
  <c r="S946" i="7"/>
  <c r="S894" i="7"/>
  <c r="U957" i="7"/>
  <c r="U905" i="7"/>
  <c r="T959" i="7"/>
  <c r="O881" i="7"/>
  <c r="N594" i="7"/>
  <c r="F493" i="7"/>
  <c r="N646" i="7"/>
  <c r="F485" i="7"/>
  <c r="F477" i="7"/>
  <c r="F476" i="7"/>
  <c r="F470" i="7"/>
  <c r="F468" i="7"/>
  <c r="F400" i="7"/>
  <c r="F268" i="7"/>
  <c r="F266" i="7"/>
  <c r="F247" i="7"/>
  <c r="F246" i="7"/>
  <c r="F215" i="7"/>
  <c r="F89" i="7"/>
  <c r="F62" i="7"/>
  <c r="F60" i="7"/>
  <c r="F582" i="7"/>
  <c r="N683" i="7"/>
  <c r="I566" i="1"/>
  <c r="G567" i="7"/>
  <c r="N722" i="7"/>
  <c r="F662" i="7"/>
  <c r="W714" i="7"/>
  <c r="I659" i="1"/>
  <c r="F655" i="7"/>
  <c r="I652" i="1"/>
  <c r="G655" i="7"/>
  <c r="N860" i="7"/>
  <c r="N808" i="7"/>
  <c r="F652" i="7"/>
  <c r="N750" i="7"/>
  <c r="N698" i="7"/>
  <c r="V624" i="7"/>
  <c r="G979" i="7"/>
  <c r="G538" i="7"/>
  <c r="F519" i="7"/>
  <c r="N592" i="7"/>
  <c r="F491" i="7"/>
  <c r="F490" i="7"/>
  <c r="F304" i="7"/>
  <c r="F303" i="7"/>
  <c r="F272" i="7"/>
  <c r="F109" i="7"/>
  <c r="F102" i="7"/>
  <c r="F101" i="7"/>
  <c r="I577" i="1"/>
  <c r="G577" i="7"/>
  <c r="N629" i="7"/>
  <c r="N668" i="7"/>
  <c r="N772" i="7"/>
  <c r="N596" i="7"/>
  <c r="I544" i="1"/>
  <c r="F534" i="7"/>
  <c r="N727" i="7"/>
  <c r="F678" i="7"/>
  <c r="I712" i="1"/>
  <c r="N920" i="7"/>
  <c r="N764" i="7"/>
  <c r="N816" i="7"/>
  <c r="F771" i="7"/>
  <c r="I769" i="1"/>
  <c r="F772" i="7"/>
  <c r="T620" i="7"/>
  <c r="T673" i="7"/>
  <c r="F189" i="7"/>
  <c r="F181" i="7"/>
  <c r="F117" i="7"/>
  <c r="F116" i="7"/>
  <c r="F86" i="7"/>
  <c r="F543" i="7"/>
  <c r="N928" i="7"/>
  <c r="I772" i="1"/>
  <c r="V597" i="7"/>
  <c r="U663" i="7"/>
  <c r="V974" i="7"/>
  <c r="V921" i="7"/>
  <c r="U876" i="7"/>
  <c r="U824" i="7"/>
  <c r="U981" i="7"/>
  <c r="F854" i="7"/>
  <c r="I861" i="1"/>
  <c r="F864" i="7"/>
  <c r="N965" i="7"/>
  <c r="N619" i="7"/>
  <c r="N684" i="7"/>
  <c r="F533" i="7"/>
  <c r="N709" i="7"/>
  <c r="N738" i="7"/>
  <c r="N811" i="7"/>
  <c r="I732" i="1"/>
  <c r="G732" i="7"/>
  <c r="N784" i="7"/>
  <c r="N790" i="7"/>
  <c r="N819" i="7"/>
  <c r="I767" i="1"/>
  <c r="O871" i="7"/>
  <c r="F769" i="7"/>
  <c r="N919" i="7"/>
  <c r="T582" i="7"/>
  <c r="T634" i="7"/>
  <c r="T683" i="7"/>
  <c r="W1003" i="7"/>
  <c r="F430" i="7"/>
  <c r="F345" i="7"/>
  <c r="F343" i="7"/>
  <c r="F144" i="7"/>
  <c r="N677" i="7"/>
  <c r="N729" i="7"/>
  <c r="I625" i="1"/>
  <c r="G628" i="7"/>
  <c r="N833" i="7"/>
  <c r="N686" i="7"/>
  <c r="F718" i="7"/>
  <c r="W770" i="7"/>
  <c r="N936" i="7"/>
  <c r="N1006" i="7"/>
  <c r="N954" i="7"/>
  <c r="T712" i="7"/>
  <c r="U955" i="7"/>
  <c r="U850" i="7"/>
  <c r="U800" i="7"/>
  <c r="F427" i="7"/>
  <c r="F113" i="7"/>
  <c r="F97" i="7"/>
  <c r="N747" i="7"/>
  <c r="F725" i="7"/>
  <c r="V608" i="7"/>
  <c r="V713" i="7"/>
  <c r="V647" i="7"/>
  <c r="U655" i="7"/>
  <c r="T715" i="7"/>
  <c r="T882" i="7"/>
  <c r="T725" i="7"/>
  <c r="V960" i="7"/>
  <c r="V803" i="7"/>
  <c r="S914" i="7"/>
  <c r="S862" i="7"/>
  <c r="T624" i="7"/>
  <c r="U721" i="7"/>
  <c r="T767" i="7"/>
  <c r="S831" i="7"/>
  <c r="T962" i="7"/>
  <c r="V764" i="7"/>
  <c r="V721" i="7"/>
  <c r="T781" i="7"/>
  <c r="S687" i="7"/>
  <c r="T829" i="7"/>
  <c r="U692" i="7"/>
  <c r="T752" i="7"/>
  <c r="S757" i="7"/>
  <c r="U775" i="7"/>
  <c r="T810" i="7"/>
  <c r="O1002" i="7"/>
  <c r="T1002" i="7"/>
  <c r="F816" i="7"/>
  <c r="V649" i="7"/>
  <c r="V695" i="7"/>
  <c r="S752" i="7"/>
  <c r="S734" i="7"/>
  <c r="T735" i="7"/>
  <c r="V795" i="7"/>
  <c r="I994" i="1"/>
  <c r="G995" i="7"/>
  <c r="F997" i="7"/>
  <c r="V607" i="7"/>
  <c r="T676" i="7"/>
  <c r="U677" i="7"/>
  <c r="V756" i="7"/>
  <c r="I858" i="1"/>
  <c r="F861" i="7"/>
  <c r="W913" i="7"/>
  <c r="S999" i="7"/>
  <c r="O1004" i="7"/>
  <c r="T998" i="7"/>
  <c r="T997" i="7"/>
  <c r="Y911" i="7"/>
  <c r="Y859" i="7"/>
  <c r="I11" i="8"/>
  <c r="T1003" i="7"/>
  <c r="O997" i="7"/>
  <c r="T1004" i="7"/>
  <c r="N1005" i="7"/>
  <c r="U1001" i="7"/>
  <c r="O1000" i="7"/>
  <c r="T1000" i="7"/>
  <c r="Y999" i="7"/>
  <c r="F1005" i="7"/>
  <c r="I1004" i="1"/>
  <c r="F1006" i="7"/>
  <c r="S1001" i="7"/>
  <c r="V1003" i="7"/>
  <c r="V1006" i="7"/>
  <c r="Y1006" i="7"/>
  <c r="Y998" i="7"/>
  <c r="Y915" i="7"/>
  <c r="Y967" i="7"/>
  <c r="F996" i="7"/>
  <c r="N1002" i="7"/>
  <c r="S1002" i="7"/>
  <c r="Y951" i="7"/>
  <c r="F999" i="7"/>
  <c r="I996" i="1"/>
  <c r="G997" i="7"/>
  <c r="V998" i="7"/>
  <c r="N997" i="7"/>
  <c r="S998" i="7"/>
  <c r="S997" i="7"/>
  <c r="T999" i="7"/>
  <c r="N1003" i="7"/>
  <c r="I951" i="1"/>
  <c r="O1003" i="7"/>
  <c r="S1003" i="7"/>
  <c r="S1006" i="7"/>
  <c r="S1005" i="7"/>
  <c r="S1004" i="7"/>
  <c r="Y1003" i="7"/>
  <c r="Y1000" i="7"/>
  <c r="N998" i="7"/>
  <c r="Y968" i="7"/>
  <c r="N999" i="7"/>
  <c r="I947" i="1"/>
  <c r="U1000" i="7"/>
  <c r="V1001" i="7"/>
  <c r="N1001" i="7"/>
  <c r="I949" i="1"/>
  <c r="U1002" i="7"/>
  <c r="V1004" i="7"/>
  <c r="V1000" i="7"/>
  <c r="Y1004" i="7"/>
  <c r="F1004" i="7"/>
  <c r="B11" i="6"/>
  <c r="E14" i="6"/>
  <c r="V997" i="7"/>
  <c r="N1000" i="7"/>
  <c r="S1000" i="7"/>
  <c r="N1004" i="7"/>
  <c r="Y1001" i="7"/>
  <c r="F995" i="7"/>
  <c r="V999" i="7"/>
  <c r="T1001" i="7"/>
  <c r="V1002" i="7"/>
  <c r="I10" i="8"/>
  <c r="I12" i="8"/>
  <c r="G662" i="7"/>
  <c r="W925" i="7"/>
  <c r="W873" i="7"/>
  <c r="W977" i="7"/>
  <c r="G661" i="7"/>
  <c r="O878" i="7"/>
  <c r="O976" i="7"/>
  <c r="O731" i="7"/>
  <c r="G952" i="7"/>
  <c r="G953" i="7"/>
  <c r="G568" i="7"/>
  <c r="O722" i="7"/>
  <c r="G569" i="7"/>
  <c r="W895" i="7"/>
  <c r="O818" i="7"/>
  <c r="O922" i="7"/>
  <c r="W647" i="7"/>
  <c r="O809" i="7"/>
  <c r="W614" i="7"/>
  <c r="O773" i="7"/>
  <c r="G546" i="7"/>
  <c r="G545" i="7"/>
  <c r="G543" i="7"/>
  <c r="W662" i="7"/>
  <c r="G571" i="7"/>
  <c r="W587" i="7"/>
  <c r="W926" i="7"/>
  <c r="W715" i="7"/>
  <c r="W767" i="7"/>
  <c r="G704" i="7"/>
  <c r="G703" i="7"/>
  <c r="O753" i="7"/>
  <c r="W612" i="7"/>
  <c r="O964" i="7"/>
  <c r="W822" i="7"/>
  <c r="W722" i="7"/>
  <c r="G619" i="7"/>
  <c r="G620" i="7"/>
  <c r="G618" i="7"/>
  <c r="W848" i="7"/>
  <c r="G779" i="7"/>
  <c r="O933" i="7"/>
  <c r="O829" i="7"/>
  <c r="G780" i="7"/>
  <c r="W624" i="7"/>
  <c r="G843" i="7"/>
  <c r="G844" i="7"/>
  <c r="O946" i="7"/>
  <c r="W775" i="7"/>
  <c r="G705" i="7"/>
  <c r="G833" i="7"/>
  <c r="O937" i="7"/>
  <c r="W1006" i="7"/>
  <c r="G672" i="7"/>
  <c r="X724" i="7"/>
  <c r="W964" i="7"/>
  <c r="G721" i="7"/>
  <c r="G718" i="7"/>
  <c r="G720" i="7"/>
  <c r="G685" i="7"/>
  <c r="G617" i="7"/>
  <c r="O784" i="7"/>
  <c r="O920" i="7"/>
  <c r="G715" i="7"/>
  <c r="G713" i="7"/>
  <c r="O764" i="7"/>
  <c r="O741" i="7"/>
  <c r="G692" i="7"/>
  <c r="O836" i="7"/>
  <c r="G796" i="7"/>
  <c r="G797" i="7"/>
  <c r="W887" i="7"/>
  <c r="O910" i="7"/>
  <c r="O962" i="7"/>
  <c r="G860" i="7"/>
  <c r="G858" i="7"/>
  <c r="O965" i="7"/>
  <c r="O913" i="7"/>
  <c r="G996" i="7"/>
  <c r="O860" i="7"/>
  <c r="W988" i="7"/>
  <c r="O931" i="7"/>
  <c r="O879" i="7"/>
  <c r="O983" i="7"/>
  <c r="G714" i="7"/>
  <c r="W636" i="7"/>
  <c r="W617" i="7"/>
  <c r="O729" i="7"/>
  <c r="G547" i="7"/>
  <c r="O752" i="7"/>
  <c r="G639" i="7"/>
  <c r="O768" i="7"/>
  <c r="G842" i="7"/>
  <c r="O793" i="7"/>
  <c r="O939" i="7"/>
  <c r="O991" i="7"/>
  <c r="G783" i="7"/>
  <c r="G784" i="7"/>
  <c r="G785" i="7"/>
  <c r="O887" i="7"/>
  <c r="O835" i="7"/>
  <c r="G786" i="7"/>
  <c r="W820" i="7"/>
  <c r="W649" i="7"/>
  <c r="W888" i="7"/>
  <c r="W940" i="7"/>
  <c r="W992" i="7"/>
  <c r="O783" i="7"/>
  <c r="W674" i="7"/>
  <c r="W924" i="7"/>
  <c r="W672" i="7"/>
  <c r="O998" i="7"/>
  <c r="O870" i="7"/>
  <c r="G664" i="7"/>
  <c r="G663" i="7"/>
  <c r="G665" i="7"/>
  <c r="W593" i="7"/>
  <c r="G544" i="7"/>
  <c r="W861" i="7"/>
  <c r="O817" i="7"/>
  <c r="W766" i="7"/>
  <c r="O701" i="7"/>
  <c r="W760" i="7"/>
  <c r="X817" i="7"/>
  <c r="W1007" i="7"/>
  <c r="G1007" i="7"/>
  <c r="G991" i="7"/>
  <c r="G992" i="7"/>
  <c r="G993" i="7"/>
  <c r="G990" i="7"/>
  <c r="G599" i="7"/>
  <c r="G597" i="7"/>
  <c r="G596" i="7"/>
  <c r="O700" i="7"/>
  <c r="W826" i="7"/>
  <c r="W930" i="7"/>
  <c r="X863" i="7"/>
  <c r="W899" i="7"/>
  <c r="W951" i="7"/>
  <c r="N880" i="7"/>
  <c r="F830" i="7"/>
  <c r="F828" i="7"/>
  <c r="N932" i="7"/>
  <c r="I828" i="1"/>
  <c r="F829" i="7"/>
  <c r="F831" i="7"/>
  <c r="N984" i="7"/>
  <c r="G838" i="7"/>
  <c r="O888" i="7"/>
  <c r="G839" i="7"/>
  <c r="O940" i="7"/>
  <c r="O992" i="7"/>
  <c r="V635" i="7"/>
  <c r="V634" i="7"/>
  <c r="G598" i="7"/>
  <c r="O711" i="7"/>
  <c r="O912" i="7"/>
  <c r="G863" i="7"/>
  <c r="X915" i="7"/>
  <c r="O963" i="7"/>
  <c r="G861" i="7"/>
  <c r="G862" i="7"/>
  <c r="G859" i="7"/>
  <c r="O911" i="7"/>
  <c r="O917" i="7"/>
  <c r="O969" i="7"/>
  <c r="G816" i="7"/>
  <c r="O865" i="7"/>
  <c r="X988" i="7"/>
  <c r="X774" i="7"/>
  <c r="O851" i="7"/>
  <c r="G802" i="7"/>
  <c r="F243" i="7"/>
  <c r="F242" i="7"/>
  <c r="F244" i="7"/>
  <c r="F245" i="7"/>
  <c r="F211" i="7"/>
  <c r="F214" i="7"/>
  <c r="F212" i="7"/>
  <c r="F213" i="7"/>
  <c r="G682" i="7"/>
  <c r="O733" i="7"/>
  <c r="G684" i="7"/>
  <c r="G683" i="7"/>
  <c r="G681" i="7"/>
  <c r="X733" i="7"/>
  <c r="U805" i="7"/>
  <c r="U857" i="7"/>
  <c r="U909" i="7"/>
  <c r="T807" i="7"/>
  <c r="T964" i="7"/>
  <c r="T911" i="7"/>
  <c r="S966" i="7"/>
  <c r="S809" i="7"/>
  <c r="S861" i="7"/>
  <c r="S913" i="7"/>
  <c r="V986" i="7"/>
  <c r="V829" i="7"/>
  <c r="V933" i="7"/>
  <c r="T859" i="7"/>
  <c r="X722" i="7"/>
  <c r="G565" i="7"/>
  <c r="O771" i="7"/>
  <c r="O719" i="7"/>
  <c r="G566" i="7"/>
  <c r="G564" i="7"/>
  <c r="W731" i="7"/>
  <c r="W783" i="7"/>
  <c r="W835" i="7"/>
  <c r="W836" i="7"/>
  <c r="U941" i="7"/>
  <c r="U888" i="7"/>
  <c r="W987" i="7"/>
  <c r="F163" i="7"/>
  <c r="G552" i="7"/>
  <c r="O705" i="7"/>
  <c r="O757" i="7"/>
  <c r="G601" i="7"/>
  <c r="X810" i="7"/>
  <c r="G600" i="7"/>
  <c r="G593" i="7"/>
  <c r="W779" i="7"/>
  <c r="W831" i="7"/>
  <c r="W898" i="7"/>
  <c r="W846" i="7"/>
  <c r="W794" i="7"/>
  <c r="U814" i="7"/>
  <c r="U866" i="7"/>
  <c r="U762" i="7"/>
  <c r="U920" i="7"/>
  <c r="U763" i="7"/>
  <c r="U867" i="7"/>
  <c r="U815" i="7"/>
  <c r="S817" i="7"/>
  <c r="S869" i="7"/>
  <c r="S765" i="7"/>
  <c r="S922" i="7"/>
  <c r="S870" i="7"/>
  <c r="S923" i="7"/>
  <c r="S766" i="7"/>
  <c r="S819" i="7"/>
  <c r="S871" i="7"/>
  <c r="S924" i="7"/>
  <c r="S767" i="7"/>
  <c r="U935" i="7"/>
  <c r="U992" i="7"/>
  <c r="W683" i="7"/>
  <c r="G1001" i="7"/>
  <c r="G1000" i="7"/>
  <c r="G998" i="7"/>
  <c r="W635" i="7"/>
  <c r="W583" i="7"/>
  <c r="W973" i="7"/>
  <c r="F252" i="7"/>
  <c r="F250" i="7"/>
  <c r="F251" i="7"/>
  <c r="F253" i="7"/>
  <c r="F222" i="7"/>
  <c r="F219" i="7"/>
  <c r="F221" i="7"/>
  <c r="F156" i="7"/>
  <c r="F158" i="7"/>
  <c r="F155" i="7"/>
  <c r="G691" i="7"/>
  <c r="O740" i="7"/>
  <c r="F697" i="7"/>
  <c r="W749" i="7"/>
  <c r="I694" i="1"/>
  <c r="G696" i="7"/>
  <c r="N746" i="7"/>
  <c r="F694" i="7"/>
  <c r="W746" i="7"/>
  <c r="N798" i="7"/>
  <c r="F695" i="7"/>
  <c r="F696" i="7"/>
  <c r="I734" i="1"/>
  <c r="N942" i="7"/>
  <c r="N786" i="7"/>
  <c r="N838" i="7"/>
  <c r="N890" i="7"/>
  <c r="F736" i="7"/>
  <c r="F737" i="7"/>
  <c r="I747" i="1"/>
  <c r="N799" i="7"/>
  <c r="N955" i="7"/>
  <c r="N851" i="7"/>
  <c r="F747" i="7"/>
  <c r="W799" i="7"/>
  <c r="F750" i="7"/>
  <c r="W980" i="7"/>
  <c r="W928" i="7"/>
  <c r="V792" i="7"/>
  <c r="V949" i="7"/>
  <c r="V844" i="7"/>
  <c r="T860" i="7"/>
  <c r="T965" i="7"/>
  <c r="T808" i="7"/>
  <c r="T912" i="7"/>
  <c r="V828" i="7"/>
  <c r="V985" i="7"/>
  <c r="V880" i="7"/>
  <c r="V932" i="7"/>
  <c r="V987" i="7"/>
  <c r="V830" i="7"/>
  <c r="V882" i="7"/>
  <c r="V934" i="7"/>
  <c r="G690" i="7"/>
  <c r="O751" i="7"/>
  <c r="G748" i="7"/>
  <c r="W591" i="7"/>
  <c r="W853" i="7"/>
  <c r="V668" i="7"/>
  <c r="V825" i="7"/>
  <c r="V720" i="7"/>
  <c r="T723" i="7"/>
  <c r="T775" i="7"/>
  <c r="T671" i="7"/>
  <c r="T828" i="7"/>
  <c r="V776" i="7"/>
  <c r="V672" i="7"/>
  <c r="V724" i="7"/>
  <c r="U676" i="7"/>
  <c r="U780" i="7"/>
  <c r="U881" i="7"/>
  <c r="U724" i="7"/>
  <c r="U828" i="7"/>
  <c r="U776" i="7"/>
  <c r="V777" i="7"/>
  <c r="V725" i="7"/>
  <c r="V726" i="7"/>
  <c r="V778" i="7"/>
  <c r="V883" i="7"/>
  <c r="S889" i="7"/>
  <c r="S732" i="7"/>
  <c r="S836" i="7"/>
  <c r="S784" i="7"/>
  <c r="T837" i="7"/>
  <c r="T890" i="7"/>
  <c r="T785" i="7"/>
  <c r="T733" i="7"/>
  <c r="O975" i="7"/>
  <c r="G768" i="7"/>
  <c r="O923" i="7"/>
  <c r="O819" i="7"/>
  <c r="G769" i="7"/>
  <c r="G770" i="7"/>
  <c r="W646" i="7"/>
  <c r="W922" i="7"/>
  <c r="W597" i="7"/>
  <c r="G698" i="7"/>
  <c r="O905" i="7"/>
  <c r="G700" i="7"/>
  <c r="G815" i="7"/>
  <c r="G814" i="7"/>
  <c r="G812" i="7"/>
  <c r="X864" i="7"/>
  <c r="W654" i="7"/>
  <c r="W938" i="7"/>
  <c r="G767" i="7"/>
  <c r="W650" i="7"/>
  <c r="W754" i="7"/>
  <c r="W854" i="7"/>
  <c r="G875" i="7"/>
  <c r="O925" i="7"/>
  <c r="G876" i="7"/>
  <c r="G873" i="7"/>
  <c r="O977" i="7"/>
  <c r="O717" i="7"/>
  <c r="G616" i="7"/>
  <c r="O821" i="7"/>
  <c r="G613" i="7"/>
  <c r="O769" i="7"/>
  <c r="G615" i="7"/>
  <c r="G702" i="7"/>
  <c r="G701" i="7"/>
  <c r="W939" i="7"/>
  <c r="W834" i="7"/>
  <c r="W628" i="7"/>
  <c r="W733" i="7"/>
  <c r="G602" i="7"/>
  <c r="G766" i="7"/>
  <c r="W884" i="7"/>
  <c r="W759" i="7"/>
  <c r="O716" i="7"/>
  <c r="G772" i="7"/>
  <c r="W972" i="7"/>
  <c r="W955" i="7"/>
  <c r="G951" i="7"/>
  <c r="J11" i="8"/>
  <c r="G948" i="7"/>
  <c r="X1000" i="7"/>
  <c r="U999" i="7"/>
  <c r="W777" i="7"/>
  <c r="T902" i="7"/>
  <c r="W645" i="7"/>
  <c r="N601" i="7"/>
  <c r="F162" i="7"/>
  <c r="G716" i="7"/>
  <c r="N897" i="7"/>
  <c r="W914" i="7"/>
  <c r="F164" i="7"/>
  <c r="F600" i="7"/>
  <c r="W652" i="7"/>
  <c r="O841" i="7"/>
  <c r="O972" i="7"/>
  <c r="F195" i="7"/>
  <c r="G805" i="7"/>
  <c r="F48" i="7"/>
  <c r="F47" i="7"/>
  <c r="F45" i="7"/>
  <c r="F46" i="7"/>
  <c r="F15" i="7"/>
  <c r="F14" i="7"/>
  <c r="I630" i="1"/>
  <c r="F630" i="7"/>
  <c r="F632" i="7"/>
  <c r="F633" i="7"/>
  <c r="W685" i="7"/>
  <c r="F788" i="7"/>
  <c r="N891" i="7"/>
  <c r="F789" i="7"/>
  <c r="F790" i="7"/>
  <c r="F787" i="7"/>
  <c r="I787" i="1"/>
  <c r="N995" i="7"/>
  <c r="W976" i="7"/>
  <c r="O820" i="7"/>
  <c r="G636" i="7"/>
  <c r="W596" i="7"/>
  <c r="O721" i="7"/>
  <c r="G671" i="7"/>
  <c r="X723" i="7"/>
  <c r="G947" i="7"/>
  <c r="G821" i="7"/>
  <c r="G757" i="7"/>
  <c r="G563" i="7"/>
  <c r="O984" i="7"/>
  <c r="U753" i="7"/>
  <c r="W701" i="7"/>
  <c r="W945" i="7"/>
  <c r="N682" i="7"/>
  <c r="W843" i="7"/>
  <c r="G789" i="7"/>
  <c r="W702" i="7"/>
  <c r="O924" i="7"/>
  <c r="G771" i="7"/>
  <c r="F30" i="7"/>
  <c r="T647" i="7"/>
  <c r="G588" i="7"/>
  <c r="S769" i="7"/>
  <c r="F473" i="7"/>
  <c r="W629" i="7"/>
  <c r="N626" i="7"/>
  <c r="N678" i="7"/>
  <c r="F471" i="7"/>
  <c r="W680" i="7"/>
  <c r="F435" i="7"/>
  <c r="W644" i="7"/>
  <c r="F432" i="7"/>
  <c r="W588" i="7"/>
  <c r="F433" i="7"/>
  <c r="W589" i="7"/>
  <c r="N640" i="7"/>
  <c r="F418" i="7"/>
  <c r="F419" i="7"/>
  <c r="F417" i="7"/>
  <c r="F323" i="7"/>
  <c r="F322" i="7"/>
  <c r="F321" i="7"/>
  <c r="F308" i="7"/>
  <c r="F305" i="7"/>
  <c r="F306" i="7"/>
  <c r="F297" i="7"/>
  <c r="F299" i="7"/>
  <c r="F300" i="7"/>
  <c r="F290" i="7"/>
  <c r="F293" i="7"/>
  <c r="F278" i="7"/>
  <c r="F236" i="7"/>
  <c r="F237" i="7"/>
  <c r="F198" i="7"/>
  <c r="F199" i="7"/>
  <c r="F182" i="7"/>
  <c r="F183" i="7"/>
  <c r="F137" i="7"/>
  <c r="F136" i="7"/>
  <c r="F609" i="7"/>
  <c r="N659" i="7"/>
  <c r="N815" i="7"/>
  <c r="I607" i="1"/>
  <c r="O815" i="7"/>
  <c r="I592" i="1"/>
  <c r="N696" i="7"/>
  <c r="N644" i="7"/>
  <c r="F587" i="7"/>
  <c r="W639" i="7"/>
  <c r="F588" i="7"/>
  <c r="N689" i="7"/>
  <c r="I666" i="1"/>
  <c r="N718" i="7"/>
  <c r="F667" i="7"/>
  <c r="F669" i="7"/>
  <c r="W825" i="7"/>
  <c r="F733" i="7"/>
  <c r="N889" i="7"/>
  <c r="I733" i="1"/>
  <c r="N785" i="7"/>
  <c r="F735" i="7"/>
  <c r="W787" i="7"/>
  <c r="N941" i="7"/>
  <c r="N792" i="7"/>
  <c r="I740" i="1"/>
  <c r="F740" i="7"/>
  <c r="W844" i="7"/>
  <c r="N844" i="7"/>
  <c r="F741" i="7"/>
  <c r="F749" i="7"/>
  <c r="W801" i="7"/>
  <c r="N812" i="7"/>
  <c r="I760" i="1"/>
  <c r="O864" i="7"/>
  <c r="N864" i="7"/>
  <c r="F760" i="7"/>
  <c r="W812" i="7"/>
  <c r="N916" i="7"/>
  <c r="O827" i="7"/>
  <c r="G777" i="7"/>
  <c r="T780" i="7"/>
  <c r="T833" i="7"/>
  <c r="V834" i="7"/>
  <c r="V729" i="7"/>
  <c r="V781" i="7"/>
  <c r="V677" i="7"/>
  <c r="T689" i="7"/>
  <c r="T793" i="7"/>
  <c r="U743" i="7"/>
  <c r="U848" i="7"/>
  <c r="U795" i="7"/>
  <c r="U691" i="7"/>
  <c r="V796" i="7"/>
  <c r="V849" i="7"/>
  <c r="V831" i="7"/>
  <c r="V884" i="7"/>
  <c r="V779" i="7"/>
  <c r="V727" i="7"/>
  <c r="V798" i="7"/>
  <c r="V746" i="7"/>
  <c r="V748" i="7"/>
  <c r="V800" i="7"/>
  <c r="V852" i="7"/>
  <c r="V906" i="7"/>
  <c r="V749" i="7"/>
  <c r="V802" i="7"/>
  <c r="V854" i="7"/>
  <c r="V907" i="7"/>
  <c r="V751" i="7"/>
  <c r="V855" i="7"/>
  <c r="V752" i="7"/>
  <c r="V909" i="7"/>
  <c r="V804" i="7"/>
  <c r="V753" i="7"/>
  <c r="V910" i="7"/>
  <c r="V805" i="7"/>
  <c r="V754" i="7"/>
  <c r="V806" i="7"/>
  <c r="V911" i="7"/>
  <c r="V755" i="7"/>
  <c r="V859" i="7"/>
  <c r="V912" i="7"/>
  <c r="V807" i="7"/>
  <c r="V913" i="7"/>
  <c r="V808" i="7"/>
  <c r="T759" i="7"/>
  <c r="T811" i="7"/>
  <c r="T863" i="7"/>
  <c r="T916" i="7"/>
  <c r="T760" i="7"/>
  <c r="T812" i="7"/>
  <c r="T917" i="7"/>
  <c r="T762" i="7"/>
  <c r="T866" i="7"/>
  <c r="V948" i="7"/>
  <c r="V843" i="7"/>
  <c r="S860" i="7"/>
  <c r="S912" i="7"/>
  <c r="S965" i="7"/>
  <c r="G583" i="7"/>
  <c r="W948" i="7"/>
  <c r="F205" i="7"/>
  <c r="F202" i="7"/>
  <c r="F186" i="7"/>
  <c r="F187" i="7"/>
  <c r="F173" i="7"/>
  <c r="F172" i="7"/>
  <c r="F171" i="7"/>
  <c r="F676" i="7"/>
  <c r="W780" i="7"/>
  <c r="N882" i="7"/>
  <c r="N793" i="7"/>
  <c r="N949" i="7"/>
  <c r="N845" i="7"/>
  <c r="T766" i="7"/>
  <c r="T714" i="7"/>
  <c r="T871" i="7"/>
  <c r="V716" i="7"/>
  <c r="V768" i="7"/>
  <c r="V820" i="7"/>
  <c r="V873" i="7"/>
  <c r="S721" i="7"/>
  <c r="S825" i="7"/>
  <c r="U987" i="7"/>
  <c r="U883" i="7"/>
  <c r="U886" i="7"/>
  <c r="U990" i="7"/>
  <c r="U938" i="7"/>
  <c r="U889" i="7"/>
  <c r="U944" i="7"/>
  <c r="U892" i="7"/>
  <c r="U996" i="7"/>
  <c r="U945" i="7"/>
  <c r="U893" i="7"/>
  <c r="W753" i="7"/>
  <c r="G810" i="7"/>
  <c r="O1009" i="7"/>
  <c r="G960" i="7"/>
  <c r="G958" i="7"/>
  <c r="G959" i="7"/>
  <c r="O692" i="7"/>
  <c r="G640" i="7"/>
  <c r="G642" i="7"/>
  <c r="O708" i="7"/>
  <c r="U697" i="7"/>
  <c r="U802" i="7"/>
  <c r="U645" i="7"/>
  <c r="U749" i="7"/>
  <c r="U757" i="7"/>
  <c r="U810" i="7"/>
  <c r="T709" i="7"/>
  <c r="T657" i="7"/>
  <c r="T661" i="7"/>
  <c r="T765" i="7"/>
  <c r="T713" i="7"/>
  <c r="U718" i="7"/>
  <c r="U770" i="7"/>
  <c r="V771" i="7"/>
  <c r="V667" i="7"/>
  <c r="O807" i="7"/>
  <c r="G578" i="7"/>
  <c r="G656" i="7"/>
  <c r="O781" i="7"/>
  <c r="G857" i="7"/>
  <c r="G719" i="7"/>
  <c r="G994" i="7"/>
  <c r="G623" i="7"/>
  <c r="G717" i="7"/>
  <c r="G954" i="7"/>
  <c r="G950" i="7"/>
  <c r="T1006" i="7"/>
  <c r="U947" i="7"/>
  <c r="T717" i="7"/>
  <c r="O833" i="7"/>
  <c r="W704" i="7"/>
  <c r="W768" i="7"/>
  <c r="W732" i="7"/>
  <c r="W774" i="7"/>
  <c r="V762" i="7"/>
  <c r="G957" i="7"/>
  <c r="I674" i="1"/>
  <c r="F677" i="7"/>
  <c r="V766" i="7"/>
  <c r="F170" i="7"/>
  <c r="S717" i="7"/>
  <c r="W866" i="7"/>
  <c r="W918" i="7"/>
  <c r="N734" i="7"/>
  <c r="G592" i="7"/>
  <c r="N830" i="7"/>
  <c r="O957" i="7"/>
  <c r="U653" i="7"/>
  <c r="F94" i="7"/>
  <c r="F96" i="7"/>
  <c r="F95" i="7"/>
  <c r="F574" i="7"/>
  <c r="W626" i="7"/>
  <c r="I572" i="1"/>
  <c r="F573" i="7"/>
  <c r="W625" i="7"/>
  <c r="F575" i="7"/>
  <c r="I646" i="1"/>
  <c r="N854" i="7"/>
  <c r="I641" i="1"/>
  <c r="N693" i="7"/>
  <c r="N797" i="7"/>
  <c r="F644" i="7"/>
  <c r="W696" i="7"/>
  <c r="I603" i="1"/>
  <c r="O759" i="7"/>
  <c r="F606" i="7"/>
  <c r="N759" i="7"/>
  <c r="N707" i="7"/>
  <c r="F603" i="7"/>
  <c r="W655" i="7"/>
  <c r="F605" i="7"/>
  <c r="N655" i="7"/>
  <c r="V604" i="7"/>
  <c r="V761" i="7"/>
  <c r="V708" i="7"/>
  <c r="U748" i="7"/>
  <c r="U696" i="7"/>
  <c r="U801" i="7"/>
  <c r="T652" i="7"/>
  <c r="V653" i="7"/>
  <c r="S760" i="7"/>
  <c r="S708" i="7"/>
  <c r="U657" i="7"/>
  <c r="U709" i="7"/>
  <c r="W603" i="7"/>
  <c r="G840" i="7"/>
  <c r="O942" i="7"/>
  <c r="G841" i="7"/>
  <c r="O994" i="7"/>
  <c r="O890" i="7"/>
  <c r="F180" i="7"/>
  <c r="F179" i="7"/>
  <c r="F157" i="7"/>
  <c r="F552" i="7"/>
  <c r="N653" i="7"/>
  <c r="N739" i="7"/>
  <c r="N791" i="7"/>
  <c r="F636" i="7"/>
  <c r="W688" i="7"/>
  <c r="N687" i="7"/>
  <c r="N650" i="7"/>
  <c r="F601" i="7"/>
  <c r="W653" i="7"/>
  <c r="N754" i="7"/>
  <c r="F691" i="7"/>
  <c r="N740" i="7"/>
  <c r="F689" i="7"/>
  <c r="W741" i="7"/>
  <c r="N883" i="7"/>
  <c r="F729" i="7"/>
  <c r="N831" i="7"/>
  <c r="U714" i="7"/>
  <c r="U662" i="7"/>
  <c r="S713" i="7"/>
  <c r="U767" i="7"/>
  <c r="U819" i="7"/>
  <c r="U723" i="7"/>
  <c r="U880" i="7"/>
  <c r="U882" i="7"/>
  <c r="U934" i="7"/>
  <c r="U986" i="7"/>
  <c r="U936" i="7"/>
  <c r="U988" i="7"/>
  <c r="U884" i="7"/>
  <c r="U887" i="7"/>
  <c r="U991" i="7"/>
  <c r="U939" i="7"/>
  <c r="U942" i="7"/>
  <c r="U890" i="7"/>
  <c r="O906" i="7"/>
  <c r="T660" i="7"/>
  <c r="F638" i="7"/>
  <c r="W690" i="7"/>
  <c r="W763" i="7"/>
  <c r="G710" i="7"/>
  <c r="W761" i="7"/>
  <c r="V811" i="7"/>
  <c r="V654" i="7"/>
  <c r="V758" i="7"/>
  <c r="V706" i="7"/>
  <c r="G637" i="7"/>
  <c r="X689" i="7"/>
  <c r="W1000" i="7"/>
  <c r="O868" i="7"/>
  <c r="G804" i="7"/>
  <c r="G724" i="7"/>
  <c r="X776" i="7"/>
  <c r="O774" i="7"/>
  <c r="O999" i="7"/>
  <c r="N943" i="7"/>
  <c r="W908" i="7"/>
  <c r="N779" i="7"/>
  <c r="G723" i="7"/>
  <c r="X775" i="7"/>
  <c r="W671" i="7"/>
  <c r="W615" i="7"/>
  <c r="O919" i="7"/>
  <c r="F226" i="7"/>
  <c r="W923" i="7"/>
  <c r="W813" i="7"/>
  <c r="N702" i="7"/>
  <c r="U827" i="7"/>
  <c r="O934" i="7"/>
  <c r="G832" i="7"/>
  <c r="O936" i="7"/>
  <c r="O828" i="7"/>
  <c r="O776" i="7"/>
  <c r="F126" i="7"/>
  <c r="F125" i="7"/>
  <c r="F111" i="7"/>
  <c r="F108" i="7"/>
  <c r="F103" i="7"/>
  <c r="F100" i="7"/>
  <c r="F73" i="7"/>
  <c r="F71" i="7"/>
  <c r="F70" i="7"/>
  <c r="F72" i="7"/>
  <c r="F64" i="7"/>
  <c r="F63" i="7"/>
  <c r="F65" i="7"/>
  <c r="F17" i="7"/>
  <c r="F18" i="7"/>
  <c r="I632" i="1"/>
  <c r="F635" i="7"/>
  <c r="N736" i="7"/>
  <c r="N840" i="7"/>
  <c r="N788" i="7"/>
  <c r="N780" i="7"/>
  <c r="I624" i="1"/>
  <c r="G624" i="7"/>
  <c r="N676" i="7"/>
  <c r="F580" i="7"/>
  <c r="W632" i="7"/>
  <c r="I579" i="1"/>
  <c r="F581" i="7"/>
  <c r="N762" i="7"/>
  <c r="N814" i="7"/>
  <c r="F660" i="7"/>
  <c r="F658" i="7"/>
  <c r="W710" i="7"/>
  <c r="F653" i="7"/>
  <c r="N703" i="7"/>
  <c r="N807" i="7"/>
  <c r="F654" i="7"/>
  <c r="I645" i="1"/>
  <c r="F647" i="7"/>
  <c r="F646" i="7"/>
  <c r="F648" i="7"/>
  <c r="N749" i="7"/>
  <c r="N850" i="7"/>
  <c r="F798" i="7"/>
  <c r="I798" i="1"/>
  <c r="O915" i="7"/>
  <c r="O863" i="7"/>
  <c r="G813" i="7"/>
  <c r="I817" i="1"/>
  <c r="N973" i="7"/>
  <c r="F817" i="7"/>
  <c r="F819" i="7"/>
  <c r="F827" i="7"/>
  <c r="N980" i="7"/>
  <c r="N876" i="7"/>
  <c r="I824" i="1"/>
  <c r="V704" i="7"/>
  <c r="V599" i="7"/>
  <c r="U733" i="7"/>
  <c r="U680" i="7"/>
  <c r="V637" i="7"/>
  <c r="V689" i="7"/>
  <c r="V585" i="7"/>
  <c r="T599" i="7"/>
  <c r="T703" i="7"/>
  <c r="T601" i="7"/>
  <c r="T653" i="7"/>
  <c r="O703" i="7"/>
  <c r="O755" i="7"/>
  <c r="F259" i="7"/>
  <c r="F258" i="7"/>
  <c r="F257" i="7"/>
  <c r="F260" i="7"/>
  <c r="F194" i="7"/>
  <c r="F197" i="7"/>
  <c r="F165" i="7"/>
  <c r="N761" i="7"/>
  <c r="I605" i="1"/>
  <c r="G608" i="7"/>
  <c r="N657" i="7"/>
  <c r="F608" i="7"/>
  <c r="W660" i="7"/>
  <c r="O745" i="7"/>
  <c r="F738" i="7"/>
  <c r="N787" i="7"/>
  <c r="I735" i="1"/>
  <c r="I748" i="1"/>
  <c r="N852" i="7"/>
  <c r="N800" i="7"/>
  <c r="N904" i="7"/>
  <c r="F751" i="7"/>
  <c r="T774" i="7"/>
  <c r="T879" i="7"/>
  <c r="U937" i="7"/>
  <c r="U885" i="7"/>
  <c r="U989" i="7"/>
  <c r="U940" i="7"/>
  <c r="U943" i="7"/>
  <c r="U891" i="7"/>
  <c r="U995" i="7"/>
  <c r="O867" i="7"/>
  <c r="W807" i="7"/>
  <c r="U998" i="7"/>
  <c r="G855" i="7"/>
  <c r="W806" i="7"/>
  <c r="F188" i="7"/>
  <c r="N778" i="7"/>
  <c r="O859" i="7"/>
  <c r="O824" i="7"/>
  <c r="G856" i="7"/>
  <c r="G949" i="7"/>
  <c r="G749" i="7"/>
  <c r="O930" i="7"/>
  <c r="G712" i="7"/>
  <c r="N839" i="7"/>
  <c r="I727" i="1"/>
  <c r="O849" i="7"/>
  <c r="O814" i="7"/>
  <c r="S773" i="7"/>
  <c r="G673" i="7"/>
  <c r="X725" i="7"/>
  <c r="O710" i="7"/>
  <c r="W970" i="7"/>
  <c r="U994" i="7"/>
  <c r="F121" i="7"/>
  <c r="S774" i="7"/>
  <c r="W892" i="7"/>
  <c r="W944" i="7"/>
  <c r="G695" i="7"/>
  <c r="G693" i="7"/>
  <c r="F122" i="7"/>
  <c r="I635" i="1"/>
  <c r="G591" i="7"/>
  <c r="G883" i="7"/>
  <c r="O932" i="7"/>
  <c r="G985" i="7"/>
  <c r="G987" i="7"/>
  <c r="G986" i="7"/>
  <c r="W609" i="7"/>
  <c r="G708" i="7"/>
  <c r="O758" i="7"/>
  <c r="G709" i="7"/>
  <c r="G558" i="7"/>
  <c r="X767" i="7"/>
  <c r="G557" i="7"/>
  <c r="U946" i="7"/>
  <c r="F429" i="7"/>
  <c r="F428" i="7"/>
  <c r="N582" i="7"/>
  <c r="F410" i="7"/>
  <c r="W618" i="7"/>
  <c r="F411" i="7"/>
  <c r="W619" i="7"/>
  <c r="F405" i="7"/>
  <c r="W613" i="7"/>
  <c r="N610" i="7"/>
  <c r="F403" i="7"/>
  <c r="W611" i="7"/>
  <c r="N602" i="7"/>
  <c r="F394" i="7"/>
  <c r="W602" i="7"/>
  <c r="F396" i="7"/>
  <c r="F389" i="7"/>
  <c r="F387" i="7"/>
  <c r="W595" i="7"/>
  <c r="F386" i="7"/>
  <c r="W594" i="7"/>
  <c r="F381" i="7"/>
  <c r="N586" i="7"/>
  <c r="F380" i="7"/>
  <c r="F362" i="7"/>
  <c r="F364" i="7"/>
  <c r="F363" i="7"/>
  <c r="F357" i="7"/>
  <c r="F356" i="7"/>
  <c r="F341" i="7"/>
  <c r="F339" i="7"/>
  <c r="F133" i="7"/>
  <c r="F132" i="7"/>
  <c r="F40" i="7"/>
  <c r="F39" i="7"/>
  <c r="F22" i="7"/>
  <c r="F23" i="7"/>
  <c r="F24" i="7"/>
  <c r="F25" i="7"/>
  <c r="F634" i="7"/>
  <c r="N735" i="7"/>
  <c r="I631" i="1"/>
  <c r="F625" i="7"/>
  <c r="F626" i="7"/>
  <c r="N675" i="7"/>
  <c r="F624" i="7"/>
  <c r="W676" i="7"/>
  <c r="G534" i="7"/>
  <c r="I553" i="1"/>
  <c r="N605" i="7"/>
  <c r="F556" i="7"/>
  <c r="F553" i="7"/>
  <c r="W605" i="7"/>
  <c r="N712" i="7"/>
  <c r="F504" i="7"/>
  <c r="N660" i="7"/>
  <c r="F674" i="7"/>
  <c r="F734" i="7"/>
  <c r="G762" i="7"/>
  <c r="G760" i="7"/>
  <c r="F776" i="7"/>
  <c r="W828" i="7"/>
  <c r="F775" i="7"/>
  <c r="W827" i="7"/>
  <c r="I773" i="1"/>
  <c r="N877" i="7"/>
  <c r="N981" i="7"/>
  <c r="N825" i="7"/>
  <c r="T592" i="7"/>
  <c r="T644" i="7"/>
  <c r="V633" i="7"/>
  <c r="V685" i="7"/>
  <c r="V587" i="7"/>
  <c r="V691" i="7"/>
  <c r="V589" i="7"/>
  <c r="V641" i="7"/>
  <c r="V643" i="7"/>
  <c r="V591" i="7"/>
  <c r="V645" i="7"/>
  <c r="V697" i="7"/>
  <c r="U705" i="7"/>
  <c r="S700" i="7"/>
  <c r="T753" i="7"/>
  <c r="T701" i="7"/>
  <c r="T805" i="7"/>
  <c r="T858" i="7"/>
  <c r="T718" i="7"/>
  <c r="T822" i="7"/>
  <c r="U823" i="7"/>
  <c r="V772" i="7"/>
  <c r="V824" i="7"/>
  <c r="V877" i="7"/>
  <c r="U781" i="7"/>
  <c r="U729" i="7"/>
  <c r="T899" i="7"/>
  <c r="T847" i="7"/>
  <c r="T848" i="7"/>
  <c r="T1005" i="7"/>
  <c r="T849" i="7"/>
  <c r="T901" i="7"/>
  <c r="S852" i="7"/>
  <c r="S904" i="7"/>
  <c r="S956" i="7"/>
  <c r="S905" i="7"/>
  <c r="S957" i="7"/>
  <c r="S853" i="7"/>
  <c r="G678" i="7"/>
  <c r="G895" i="7"/>
  <c r="O927" i="7"/>
  <c r="G761" i="7"/>
  <c r="O694" i="7"/>
  <c r="G645" i="7"/>
  <c r="X697" i="7"/>
  <c r="O971" i="7"/>
  <c r="W599" i="7"/>
  <c r="V745" i="7"/>
  <c r="F412" i="7"/>
  <c r="W620" i="7"/>
  <c r="F401" i="7"/>
  <c r="F402" i="7"/>
  <c r="W610" i="7"/>
  <c r="F378" i="7"/>
  <c r="W586" i="7"/>
  <c r="F370" i="7"/>
  <c r="F287" i="7"/>
  <c r="F232" i="7"/>
  <c r="F230" i="7"/>
  <c r="F231" i="7"/>
  <c r="F151" i="7"/>
  <c r="F152" i="7"/>
  <c r="F146" i="7"/>
  <c r="F143" i="7"/>
  <c r="F51" i="7"/>
  <c r="F50" i="7"/>
  <c r="N670" i="7"/>
  <c r="F621" i="7"/>
  <c r="W673" i="7"/>
  <c r="I591" i="1"/>
  <c r="F591" i="7"/>
  <c r="W643" i="7"/>
  <c r="I686" i="1"/>
  <c r="N842" i="7"/>
  <c r="F688" i="7"/>
  <c r="W740" i="7"/>
  <c r="N908" i="7"/>
  <c r="N804" i="7"/>
  <c r="I753" i="1"/>
  <c r="F756" i="7"/>
  <c r="I805" i="1"/>
  <c r="G807" i="7"/>
  <c r="F806" i="7"/>
  <c r="N857" i="7"/>
  <c r="N961" i="7"/>
  <c r="F807" i="7"/>
  <c r="N915" i="7"/>
  <c r="F812" i="7"/>
  <c r="W864" i="7"/>
  <c r="N863" i="7"/>
  <c r="T641" i="7"/>
  <c r="T591" i="7"/>
  <c r="T643" i="7"/>
  <c r="T645" i="7"/>
  <c r="T595" i="7"/>
  <c r="T699" i="7"/>
  <c r="T597" i="7"/>
  <c r="T649" i="7"/>
  <c r="U708" i="7"/>
  <c r="U656" i="7"/>
  <c r="S856" i="7"/>
  <c r="S803" i="7"/>
  <c r="V711" i="7"/>
  <c r="U728" i="7"/>
  <c r="S920" i="7"/>
  <c r="S815" i="7"/>
  <c r="V891" i="7"/>
  <c r="V787" i="7"/>
  <c r="V839" i="7"/>
  <c r="V945" i="7"/>
  <c r="V892" i="7"/>
  <c r="V788" i="7"/>
  <c r="V840" i="7"/>
  <c r="U791" i="7"/>
  <c r="U843" i="7"/>
  <c r="U948" i="7"/>
  <c r="U949" i="7"/>
  <c r="U792" i="7"/>
  <c r="S899" i="7"/>
  <c r="S900" i="7"/>
  <c r="S796" i="7"/>
  <c r="S953" i="7"/>
  <c r="S832" i="7"/>
  <c r="S936" i="7"/>
  <c r="S833" i="7"/>
  <c r="S937" i="7"/>
  <c r="S837" i="7"/>
  <c r="S994" i="7"/>
  <c r="O760" i="7"/>
  <c r="G970" i="7"/>
  <c r="G972" i="7"/>
  <c r="F220" i="7"/>
  <c r="F84" i="7"/>
  <c r="N704" i="7"/>
  <c r="N652" i="7"/>
  <c r="F549" i="7"/>
  <c r="W601" i="7"/>
  <c r="F548" i="7"/>
  <c r="W600" i="7"/>
  <c r="N756" i="7"/>
  <c r="I548" i="1"/>
  <c r="N813" i="7"/>
  <c r="I657" i="1"/>
  <c r="G657" i="7"/>
  <c r="I650" i="1"/>
  <c r="N806" i="7"/>
  <c r="G646" i="7"/>
  <c r="F643" i="7"/>
  <c r="F641" i="7"/>
  <c r="W693" i="7"/>
  <c r="I558" i="1"/>
  <c r="G792" i="7"/>
  <c r="F823" i="7"/>
  <c r="N977" i="7"/>
  <c r="S690" i="7"/>
  <c r="U700" i="7"/>
  <c r="U648" i="7"/>
  <c r="U752" i="7"/>
  <c r="U652" i="7"/>
  <c r="U809" i="7"/>
  <c r="S746" i="7"/>
  <c r="S798" i="7"/>
  <c r="S755" i="7"/>
  <c r="T756" i="7"/>
  <c r="U706" i="7"/>
  <c r="U863" i="7"/>
  <c r="V1008" i="7"/>
  <c r="G955" i="7"/>
  <c r="G699" i="7"/>
  <c r="O730" i="7"/>
  <c r="F475" i="7"/>
  <c r="W631" i="7"/>
  <c r="F474" i="7"/>
  <c r="W630" i="7"/>
  <c r="F423" i="7"/>
  <c r="N628" i="7"/>
  <c r="F422" i="7"/>
  <c r="F203" i="7"/>
  <c r="I587" i="1"/>
  <c r="N639" i="7"/>
  <c r="F590" i="7"/>
  <c r="N795" i="7"/>
  <c r="I581" i="1"/>
  <c r="O715" i="7"/>
  <c r="F764" i="7"/>
  <c r="N867" i="7"/>
  <c r="F765" i="7"/>
  <c r="O823" i="7"/>
  <c r="O843" i="7"/>
  <c r="N986" i="7"/>
  <c r="F833" i="7"/>
  <c r="V632" i="7"/>
  <c r="V611" i="7"/>
  <c r="V663" i="7"/>
  <c r="T686" i="7"/>
  <c r="G913" i="7"/>
  <c r="G912" i="7"/>
  <c r="G915" i="7"/>
  <c r="X967" i="7"/>
  <c r="G916" i="7"/>
  <c r="G917" i="7"/>
  <c r="I930" i="1"/>
  <c r="F930" i="7"/>
  <c r="W982" i="7"/>
  <c r="F931" i="7"/>
  <c r="F932" i="7"/>
  <c r="I937" i="1"/>
  <c r="F938" i="7"/>
  <c r="W990" i="7"/>
  <c r="F939" i="7"/>
  <c r="W991" i="7"/>
  <c r="Y959" i="7"/>
  <c r="Y855" i="7"/>
  <c r="O1008" i="7"/>
  <c r="G907" i="7"/>
  <c r="O808" i="7"/>
  <c r="F262" i="7"/>
  <c r="F263" i="7"/>
  <c r="N620" i="7"/>
  <c r="N724" i="7"/>
  <c r="F571" i="7"/>
  <c r="F448" i="7"/>
  <c r="F451" i="7"/>
  <c r="W607" i="7"/>
  <c r="F450" i="7"/>
  <c r="W606" i="7"/>
  <c r="I586" i="1"/>
  <c r="N690" i="7"/>
  <c r="N794" i="7"/>
  <c r="G674" i="7"/>
  <c r="I751" i="1"/>
  <c r="F753" i="7"/>
  <c r="F759" i="7"/>
  <c r="N966" i="7"/>
  <c r="N927" i="7"/>
  <c r="N979" i="7"/>
  <c r="V694" i="7"/>
  <c r="V696" i="7"/>
  <c r="V644" i="7"/>
  <c r="V646" i="7"/>
  <c r="V698" i="7"/>
  <c r="V596" i="7"/>
  <c r="U826" i="7"/>
  <c r="U669" i="7"/>
  <c r="U773" i="7"/>
  <c r="S724" i="7"/>
  <c r="S829" i="7"/>
  <c r="S733" i="7"/>
  <c r="S785" i="7"/>
  <c r="U734" i="7"/>
  <c r="U682" i="7"/>
  <c r="S753" i="7"/>
  <c r="S858" i="7"/>
  <c r="U755" i="7"/>
  <c r="U703" i="7"/>
  <c r="V705" i="7"/>
  <c r="U782" i="7"/>
  <c r="U730" i="7"/>
  <c r="V888" i="7"/>
  <c r="V731" i="7"/>
  <c r="S736" i="7"/>
  <c r="T789" i="7"/>
  <c r="S791" i="7"/>
  <c r="U919" i="7"/>
  <c r="U872" i="7"/>
  <c r="T983" i="7"/>
  <c r="T826" i="7"/>
  <c r="S827" i="7"/>
  <c r="S985" i="7"/>
  <c r="S828" i="7"/>
  <c r="F853" i="7"/>
  <c r="I851" i="1"/>
  <c r="F852" i="7"/>
  <c r="N903" i="7"/>
  <c r="I864" i="1"/>
  <c r="F867" i="7"/>
  <c r="W919" i="7"/>
  <c r="F865" i="7"/>
  <c r="N968" i="7"/>
  <c r="I975" i="1"/>
  <c r="F975" i="7"/>
  <c r="F976" i="7"/>
  <c r="F978" i="7"/>
  <c r="F977" i="7"/>
  <c r="Y866" i="7"/>
  <c r="Y918" i="7"/>
  <c r="Y970" i="7"/>
  <c r="W663" i="7"/>
  <c r="G849" i="7"/>
  <c r="F436" i="7"/>
  <c r="W592" i="7"/>
  <c r="F350" i="7"/>
  <c r="F119" i="7"/>
  <c r="F79" i="7"/>
  <c r="F538" i="7"/>
  <c r="W590" i="7"/>
  <c r="I752" i="1"/>
  <c r="O960" i="7"/>
  <c r="N856" i="7"/>
  <c r="N896" i="7"/>
  <c r="N948" i="7"/>
  <c r="F800" i="7"/>
  <c r="W852" i="7"/>
  <c r="I822" i="1"/>
  <c r="G823" i="7"/>
  <c r="F825" i="7"/>
  <c r="U646" i="7"/>
  <c r="U664" i="7"/>
  <c r="T585" i="7"/>
  <c r="T667" i="7"/>
  <c r="V682" i="7"/>
  <c r="V734" i="7"/>
  <c r="U756" i="7"/>
  <c r="S787" i="7"/>
  <c r="T742" i="7"/>
  <c r="S845" i="7"/>
  <c r="V864" i="7"/>
  <c r="V917" i="7"/>
  <c r="V918" i="7"/>
  <c r="V815" i="7"/>
  <c r="V972" i="7"/>
  <c r="V881" i="7"/>
  <c r="T896" i="7"/>
  <c r="I845" i="1"/>
  <c r="O1001" i="7"/>
  <c r="F848" i="7"/>
  <c r="U1006" i="7"/>
  <c r="U954" i="7"/>
  <c r="V905" i="7"/>
  <c r="S915" i="7"/>
  <c r="O690" i="7"/>
  <c r="F472" i="7"/>
  <c r="W681" i="7"/>
  <c r="F204" i="7"/>
  <c r="F665" i="7"/>
  <c r="F693" i="7"/>
  <c r="N974" i="7"/>
  <c r="T586" i="7"/>
  <c r="T605" i="7"/>
  <c r="U643" i="7"/>
  <c r="V700" i="7"/>
  <c r="T656" i="7"/>
  <c r="V676" i="7"/>
  <c r="T688" i="7"/>
  <c r="S750" i="7"/>
  <c r="V810" i="7"/>
  <c r="V759" i="7"/>
  <c r="T818" i="7"/>
  <c r="V851" i="7"/>
  <c r="V903" i="7"/>
  <c r="V801" i="7"/>
  <c r="V898" i="7"/>
  <c r="I849" i="1"/>
  <c r="F849" i="7"/>
  <c r="U962" i="7"/>
  <c r="F425" i="7"/>
  <c r="W581" i="7"/>
  <c r="F314" i="7"/>
  <c r="F312" i="7"/>
  <c r="F38" i="7"/>
  <c r="F668" i="7"/>
  <c r="N781" i="7"/>
  <c r="F752" i="7"/>
  <c r="W856" i="7"/>
  <c r="F758" i="7"/>
  <c r="N847" i="7"/>
  <c r="F837" i="7"/>
  <c r="I834" i="1"/>
  <c r="V601" i="7"/>
  <c r="U683" i="7"/>
  <c r="U735" i="7"/>
  <c r="U647" i="7"/>
  <c r="U804" i="7"/>
  <c r="U679" i="7"/>
  <c r="V718" i="7"/>
  <c r="T726" i="7"/>
  <c r="T778" i="7"/>
  <c r="V890" i="7"/>
  <c r="V837" i="7"/>
  <c r="S824" i="7"/>
  <c r="S934" i="7"/>
  <c r="S777" i="7"/>
  <c r="S779" i="7"/>
  <c r="S883" i="7"/>
  <c r="S781" i="7"/>
  <c r="V947" i="7"/>
  <c r="V846" i="7"/>
  <c r="V850" i="7"/>
  <c r="U903" i="7"/>
  <c r="U851" i="7"/>
  <c r="T861" i="7"/>
  <c r="F530" i="7"/>
  <c r="W582" i="7"/>
  <c r="F424" i="7"/>
  <c r="F320" i="7"/>
  <c r="F313" i="7"/>
  <c r="F254" i="7"/>
  <c r="F13" i="7"/>
  <c r="O706" i="7"/>
  <c r="N757" i="7"/>
  <c r="I744" i="1"/>
  <c r="N952" i="7"/>
  <c r="T669" i="7"/>
  <c r="V582" i="7"/>
  <c r="T674" i="7"/>
  <c r="T622" i="7"/>
  <c r="V699" i="7"/>
  <c r="V735" i="7"/>
  <c r="U750" i="7"/>
  <c r="U777" i="7"/>
  <c r="T728" i="7"/>
  <c r="S738" i="7"/>
  <c r="V860" i="7"/>
  <c r="T905" i="7"/>
  <c r="N745" i="7"/>
  <c r="F607" i="7"/>
  <c r="W659" i="7"/>
  <c r="V1007" i="7"/>
  <c r="S903" i="7"/>
  <c r="S805" i="7"/>
  <c r="S881" i="7"/>
  <c r="V896" i="7"/>
  <c r="V961" i="7"/>
  <c r="T960" i="7"/>
  <c r="T802" i="7"/>
  <c r="T919" i="7"/>
  <c r="S878" i="7"/>
  <c r="T874" i="7"/>
  <c r="S991" i="7"/>
  <c r="V952" i="7"/>
  <c r="W1008" i="7"/>
  <c r="T876" i="7"/>
  <c r="U873" i="7"/>
  <c r="T910" i="7"/>
  <c r="S885" i="7"/>
  <c r="S1007" i="7"/>
  <c r="Y978" i="7"/>
  <c r="U1003" i="7"/>
  <c r="U1007" i="7"/>
  <c r="V1005" i="7"/>
  <c r="U1005" i="7"/>
  <c r="U917" i="7"/>
  <c r="V993" i="7"/>
  <c r="Y935" i="7"/>
  <c r="Y1008" i="7"/>
  <c r="Y993" i="7"/>
  <c r="U1008" i="7"/>
  <c r="U1009" i="7"/>
  <c r="T1008" i="7"/>
  <c r="I1006" i="1"/>
  <c r="G1009" i="7"/>
  <c r="F1008" i="7"/>
  <c r="F1007" i="7"/>
  <c r="N1009" i="7"/>
  <c r="S1009" i="7"/>
  <c r="B12" i="6"/>
  <c r="I1002" i="1"/>
  <c r="G1005" i="7"/>
  <c r="F1002" i="7"/>
  <c r="T1007" i="7"/>
  <c r="I1001" i="1"/>
  <c r="N1008" i="7"/>
  <c r="H12" i="6"/>
  <c r="N1007" i="7"/>
  <c r="V1009" i="7"/>
  <c r="Y997" i="7"/>
  <c r="U997" i="7"/>
  <c r="S1008" i="7"/>
  <c r="Y995" i="7"/>
  <c r="F1003" i="7"/>
  <c r="H11" i="6"/>
  <c r="X861" i="7"/>
  <c r="X717" i="7"/>
  <c r="G651" i="7"/>
  <c r="G652" i="7"/>
  <c r="O702" i="7"/>
  <c r="O806" i="7"/>
  <c r="O754" i="7"/>
  <c r="G653" i="7"/>
  <c r="W859" i="7"/>
  <c r="W963" i="7"/>
  <c r="W911" i="7"/>
  <c r="O973" i="7"/>
  <c r="G819" i="7"/>
  <c r="O921" i="7"/>
  <c r="G820" i="7"/>
  <c r="O869" i="7"/>
  <c r="G818" i="7"/>
  <c r="G817" i="7"/>
  <c r="X998" i="7"/>
  <c r="O707" i="7"/>
  <c r="X866" i="7"/>
  <c r="G931" i="7"/>
  <c r="G930" i="7"/>
  <c r="G933" i="7"/>
  <c r="O982" i="7"/>
  <c r="F14" i="6"/>
  <c r="G932" i="7"/>
  <c r="W920" i="7"/>
  <c r="W868" i="7"/>
  <c r="W816" i="7"/>
  <c r="W875" i="7"/>
  <c r="W979" i="7"/>
  <c r="W927" i="7"/>
  <c r="O825" i="7"/>
  <c r="O877" i="7"/>
  <c r="G775" i="7"/>
  <c r="X827" i="7"/>
  <c r="O929" i="7"/>
  <c r="O981" i="7"/>
  <c r="G776" i="7"/>
  <c r="X828" i="7"/>
  <c r="W772" i="7"/>
  <c r="W720" i="7"/>
  <c r="W824" i="7"/>
  <c r="W745" i="7"/>
  <c r="W849" i="7"/>
  <c r="X901" i="7"/>
  <c r="O903" i="7"/>
  <c r="G853" i="7"/>
  <c r="G854" i="7"/>
  <c r="O955" i="7"/>
  <c r="W805" i="7"/>
  <c r="W857" i="7"/>
  <c r="W984" i="7"/>
  <c r="O805" i="7"/>
  <c r="G756" i="7"/>
  <c r="X808" i="7"/>
  <c r="W637" i="7"/>
  <c r="W584" i="7"/>
  <c r="W909" i="7"/>
  <c r="W921" i="7"/>
  <c r="W869" i="7"/>
  <c r="O840" i="7"/>
  <c r="O736" i="7"/>
  <c r="G635" i="7"/>
  <c r="X687" i="7"/>
  <c r="O788" i="7"/>
  <c r="W641" i="7"/>
  <c r="W743" i="7"/>
  <c r="O802" i="7"/>
  <c r="G649" i="7"/>
  <c r="X701" i="7"/>
  <c r="O854" i="7"/>
  <c r="O698" i="7"/>
  <c r="X909" i="7"/>
  <c r="X862" i="7"/>
  <c r="W903" i="7"/>
  <c r="X927" i="7"/>
  <c r="X979" i="7"/>
  <c r="W789" i="7"/>
  <c r="W747" i="7"/>
  <c r="O880" i="7"/>
  <c r="G830" i="7"/>
  <c r="G829" i="7"/>
  <c r="G828" i="7"/>
  <c r="G831" i="7"/>
  <c r="W958" i="7"/>
  <c r="W717" i="7"/>
  <c r="W769" i="7"/>
  <c r="W821" i="7"/>
  <c r="W952" i="7"/>
  <c r="W900" i="7"/>
  <c r="W1004" i="7"/>
  <c r="G976" i="7"/>
  <c r="G975" i="7"/>
  <c r="G977" i="7"/>
  <c r="F13" i="6"/>
  <c r="G978" i="7"/>
  <c r="W905" i="7"/>
  <c r="W957" i="7"/>
  <c r="O803" i="7"/>
  <c r="G753" i="7"/>
  <c r="O907" i="7"/>
  <c r="O855" i="7"/>
  <c r="O959" i="7"/>
  <c r="G754" i="7"/>
  <c r="X963" i="7"/>
  <c r="G752" i="7"/>
  <c r="W623" i="7"/>
  <c r="W675" i="7"/>
  <c r="W983" i="7"/>
  <c r="W817" i="7"/>
  <c r="O795" i="7"/>
  <c r="G590" i="7"/>
  <c r="X694" i="7"/>
  <c r="O743" i="7"/>
  <c r="O691" i="7"/>
  <c r="W797" i="7"/>
  <c r="W890" i="7"/>
  <c r="W838" i="7"/>
  <c r="W786" i="7"/>
  <c r="G555" i="7"/>
  <c r="G554" i="7"/>
  <c r="G553" i="7"/>
  <c r="X709" i="7"/>
  <c r="G556" i="7"/>
  <c r="W738" i="7"/>
  <c r="W686" i="7"/>
  <c r="W585" i="7"/>
  <c r="W638" i="7"/>
  <c r="W691" i="7"/>
  <c r="W790" i="7"/>
  <c r="W705" i="7"/>
  <c r="W757" i="7"/>
  <c r="W809" i="7"/>
  <c r="W656" i="7"/>
  <c r="W604" i="7"/>
  <c r="W708" i="7"/>
  <c r="X997" i="7"/>
  <c r="X945" i="7"/>
  <c r="W658" i="7"/>
  <c r="W815" i="7"/>
  <c r="W627" i="7"/>
  <c r="W784" i="7"/>
  <c r="W679" i="7"/>
  <c r="X692" i="7"/>
  <c r="X744" i="7"/>
  <c r="X829" i="7"/>
  <c r="W793" i="7"/>
  <c r="W897" i="7"/>
  <c r="W950" i="7"/>
  <c r="W845" i="7"/>
  <c r="O941" i="7"/>
  <c r="O889" i="7"/>
  <c r="G734" i="7"/>
  <c r="G733" i="7"/>
  <c r="O785" i="7"/>
  <c r="O837" i="7"/>
  <c r="G735" i="7"/>
  <c r="X787" i="7"/>
  <c r="G736" i="7"/>
  <c r="W692" i="7"/>
  <c r="W744" i="7"/>
  <c r="W640" i="7"/>
  <c r="W661" i="7"/>
  <c r="W713" i="7"/>
  <c r="W818" i="7"/>
  <c r="W765" i="7"/>
  <c r="W947" i="7"/>
  <c r="W684" i="7"/>
  <c r="W736" i="7"/>
  <c r="W727" i="7"/>
  <c r="W968" i="7"/>
  <c r="W802" i="7"/>
  <c r="W959" i="7"/>
  <c r="W788" i="7"/>
  <c r="W874" i="7"/>
  <c r="W737" i="7"/>
  <c r="W906" i="7"/>
  <c r="O796" i="7"/>
  <c r="G746" i="7"/>
  <c r="G745" i="7"/>
  <c r="G747" i="7"/>
  <c r="O848" i="7"/>
  <c r="O900" i="7"/>
  <c r="O952" i="7"/>
  <c r="X726" i="7"/>
  <c r="X778" i="7"/>
  <c r="W778" i="7"/>
  <c r="W830" i="7"/>
  <c r="W726" i="7"/>
  <c r="W729" i="7"/>
  <c r="O856" i="7"/>
  <c r="X777" i="7"/>
  <c r="W932" i="7"/>
  <c r="W880" i="7"/>
  <c r="W969" i="7"/>
  <c r="W917" i="7"/>
  <c r="O709" i="7"/>
  <c r="G660" i="7"/>
  <c r="X712" i="7"/>
  <c r="O813" i="7"/>
  <c r="G659" i="7"/>
  <c r="W750" i="7"/>
  <c r="W698" i="7"/>
  <c r="G574" i="7"/>
  <c r="G575" i="7"/>
  <c r="X784" i="7"/>
  <c r="G573" i="7"/>
  <c r="G572" i="7"/>
  <c r="W728" i="7"/>
  <c r="W942" i="7"/>
  <c r="W837" i="7"/>
  <c r="W785" i="7"/>
  <c r="W943" i="7"/>
  <c r="W839" i="7"/>
  <c r="W996" i="7"/>
  <c r="W891" i="7"/>
  <c r="W814" i="7"/>
  <c r="X920" i="7"/>
  <c r="W934" i="7"/>
  <c r="W882" i="7"/>
  <c r="W986" i="7"/>
  <c r="G1006" i="7"/>
  <c r="W929" i="7"/>
  <c r="W877" i="7"/>
  <c r="W981" i="7"/>
  <c r="O1007" i="7"/>
  <c r="X844" i="7"/>
  <c r="X896" i="7"/>
  <c r="W699" i="7"/>
  <c r="W751" i="7"/>
  <c r="W781" i="7"/>
  <c r="W833" i="7"/>
  <c r="O948" i="7"/>
  <c r="O896" i="7"/>
  <c r="O844" i="7"/>
  <c r="O792" i="7"/>
  <c r="G742" i="7"/>
  <c r="G740" i="7"/>
  <c r="G741" i="7"/>
  <c r="G743" i="7"/>
  <c r="X821" i="7"/>
  <c r="W867" i="7"/>
  <c r="X914" i="7"/>
  <c r="X966" i="7"/>
  <c r="X942" i="7"/>
  <c r="X994" i="7"/>
  <c r="X830" i="7"/>
  <c r="W810" i="7"/>
  <c r="W967" i="7"/>
  <c r="O978" i="7"/>
  <c r="G825" i="7"/>
  <c r="G822" i="7"/>
  <c r="O874" i="7"/>
  <c r="O926" i="7"/>
  <c r="G824" i="7"/>
  <c r="X928" i="7"/>
  <c r="G867" i="7"/>
  <c r="G866" i="7"/>
  <c r="G865" i="7"/>
  <c r="X917" i="7"/>
  <c r="O916" i="7"/>
  <c r="G864" i="7"/>
  <c r="X916" i="7"/>
  <c r="O968" i="7"/>
  <c r="G589" i="7"/>
  <c r="O742" i="7"/>
  <c r="O794" i="7"/>
  <c r="G586" i="7"/>
  <c r="G587" i="7"/>
  <c r="X691" i="7"/>
  <c r="W885" i="7"/>
  <c r="W937" i="7"/>
  <c r="W989" i="7"/>
  <c r="G584" i="7"/>
  <c r="O685" i="7"/>
  <c r="G561" i="7"/>
  <c r="O766" i="7"/>
  <c r="O714" i="7"/>
  <c r="G559" i="7"/>
  <c r="X715" i="7"/>
  <c r="G550" i="7"/>
  <c r="X706" i="7"/>
  <c r="G549" i="7"/>
  <c r="X758" i="7"/>
  <c r="G551" i="7"/>
  <c r="O756" i="7"/>
  <c r="G548" i="7"/>
  <c r="W858" i="7"/>
  <c r="W962" i="7"/>
  <c r="W910" i="7"/>
  <c r="O842" i="7"/>
  <c r="G687" i="7"/>
  <c r="G688" i="7"/>
  <c r="X740" i="7"/>
  <c r="O738" i="7"/>
  <c r="O894" i="7"/>
  <c r="G686" i="7"/>
  <c r="O790" i="7"/>
  <c r="G689" i="7"/>
  <c r="X741" i="7"/>
  <c r="W678" i="7"/>
  <c r="W730" i="7"/>
  <c r="X761" i="7"/>
  <c r="X987" i="7"/>
  <c r="X935" i="7"/>
  <c r="X1001" i="7"/>
  <c r="G647" i="7"/>
  <c r="O697" i="7"/>
  <c r="G648" i="7"/>
  <c r="X700" i="7"/>
  <c r="W971" i="7"/>
  <c r="W657" i="7"/>
  <c r="W709" i="7"/>
  <c r="W916" i="7"/>
  <c r="W832" i="7"/>
  <c r="G607" i="7"/>
  <c r="W771" i="7"/>
  <c r="W719" i="7"/>
  <c r="W823" i="7"/>
  <c r="O696" i="7"/>
  <c r="G595" i="7"/>
  <c r="O748" i="7"/>
  <c r="X999" i="7"/>
  <c r="G744" i="7"/>
  <c r="X953" i="7"/>
  <c r="W998" i="7"/>
  <c r="W841" i="7"/>
  <c r="W893" i="7"/>
  <c r="W711" i="7"/>
  <c r="O761" i="7"/>
  <c r="W886" i="7"/>
  <c r="X925" i="7"/>
  <c r="X977" i="7"/>
  <c r="O749" i="7"/>
  <c r="O789" i="7"/>
  <c r="W634" i="7"/>
  <c r="X913" i="7"/>
  <c r="W796" i="7"/>
  <c r="W798" i="7"/>
  <c r="G837" i="7"/>
  <c r="O990" i="7"/>
  <c r="G836" i="7"/>
  <c r="O938" i="7"/>
  <c r="G834" i="7"/>
  <c r="O886" i="7"/>
  <c r="G848" i="7"/>
  <c r="G846" i="7"/>
  <c r="O897" i="7"/>
  <c r="G847" i="7"/>
  <c r="O949" i="7"/>
  <c r="G845" i="7"/>
  <c r="W752" i="7"/>
  <c r="W700" i="7"/>
  <c r="G790" i="7"/>
  <c r="G788" i="7"/>
  <c r="X840" i="7"/>
  <c r="G787" i="7"/>
  <c r="X996" i="7"/>
  <c r="O943" i="7"/>
  <c r="O891" i="7"/>
  <c r="O839" i="7"/>
  <c r="O995" i="7"/>
  <c r="O928" i="7"/>
  <c r="G826" i="7"/>
  <c r="O980" i="7"/>
  <c r="O876" i="7"/>
  <c r="G827" i="7"/>
  <c r="G677" i="7"/>
  <c r="G676" i="7"/>
  <c r="O778" i="7"/>
  <c r="O830" i="7"/>
  <c r="O726" i="7"/>
  <c r="G675" i="7"/>
  <c r="X727" i="7"/>
  <c r="W792" i="7"/>
  <c r="W949" i="7"/>
  <c r="X688" i="7"/>
  <c r="X857" i="7"/>
  <c r="X995" i="7"/>
  <c r="X911" i="7"/>
  <c r="W896" i="7"/>
  <c r="X873" i="7"/>
  <c r="W842" i="7"/>
  <c r="W894" i="7"/>
  <c r="W946" i="7"/>
  <c r="W999" i="7"/>
  <c r="G697" i="7"/>
  <c r="X749" i="7"/>
  <c r="O746" i="7"/>
  <c r="G694" i="7"/>
  <c r="X746" i="7"/>
  <c r="O858" i="7"/>
  <c r="G1002" i="7"/>
  <c r="G1004" i="7"/>
  <c r="W1005" i="7"/>
  <c r="W953" i="7"/>
  <c r="W901" i="7"/>
  <c r="O961" i="7"/>
  <c r="O909" i="7"/>
  <c r="G808" i="7"/>
  <c r="O857" i="7"/>
  <c r="W677" i="7"/>
  <c r="X908" i="7"/>
  <c r="X960" i="7"/>
  <c r="O852" i="7"/>
  <c r="O904" i="7"/>
  <c r="O800" i="7"/>
  <c r="G751" i="7"/>
  <c r="O956" i="7"/>
  <c r="W931" i="7"/>
  <c r="W879" i="7"/>
  <c r="G801" i="7"/>
  <c r="G799" i="7"/>
  <c r="X851" i="7"/>
  <c r="O954" i="7"/>
  <c r="O902" i="7"/>
  <c r="O1006" i="7"/>
  <c r="G800" i="7"/>
  <c r="O850" i="7"/>
  <c r="G798" i="7"/>
  <c r="W706" i="7"/>
  <c r="W758" i="7"/>
  <c r="W633" i="7"/>
  <c r="O737" i="7"/>
  <c r="O798" i="7"/>
  <c r="G644" i="7"/>
  <c r="X696" i="7"/>
  <c r="O693" i="7"/>
  <c r="G641" i="7"/>
  <c r="X693" i="7"/>
  <c r="G806" i="7"/>
  <c r="O812" i="7"/>
  <c r="G763" i="7"/>
  <c r="X815" i="7"/>
  <c r="G609" i="7"/>
  <c r="G610" i="7"/>
  <c r="O763" i="7"/>
  <c r="W725" i="7"/>
  <c r="X980" i="7"/>
  <c r="W742" i="7"/>
  <c r="O801" i="7"/>
  <c r="W1009" i="7"/>
  <c r="X811" i="7"/>
  <c r="W876" i="7"/>
  <c r="G750" i="7"/>
  <c r="X802" i="7"/>
  <c r="O799" i="7"/>
  <c r="O786" i="7"/>
  <c r="O838" i="7"/>
  <c r="G737" i="7"/>
  <c r="W935" i="7"/>
  <c r="W883" i="7"/>
  <c r="W707" i="7"/>
  <c r="X1005" i="7"/>
  <c r="G1003" i="7"/>
  <c r="G755" i="7"/>
  <c r="X807" i="7"/>
  <c r="O804" i="7"/>
  <c r="W803" i="7"/>
  <c r="W907" i="7"/>
  <c r="W855" i="7"/>
  <c r="O780" i="7"/>
  <c r="G627" i="7"/>
  <c r="O832" i="7"/>
  <c r="O728" i="7"/>
  <c r="G625" i="7"/>
  <c r="G605" i="7"/>
  <c r="G606" i="7"/>
  <c r="G604" i="7"/>
  <c r="X708" i="7"/>
  <c r="X1006" i="7"/>
  <c r="G626" i="7"/>
  <c r="X835" i="7"/>
  <c r="W682" i="7"/>
  <c r="W734" i="7"/>
  <c r="W993" i="7"/>
  <c r="W889" i="7"/>
  <c r="W941" i="7"/>
  <c r="W851" i="7"/>
  <c r="X865" i="7"/>
  <c r="W764" i="7"/>
  <c r="W712" i="7"/>
  <c r="G835" i="7"/>
  <c r="X809" i="7"/>
  <c r="G633" i="7"/>
  <c r="O734" i="7"/>
  <c r="G631" i="7"/>
  <c r="G630" i="7"/>
  <c r="X734" i="7"/>
  <c r="G632" i="7"/>
  <c r="X736" i="7"/>
  <c r="W782" i="7"/>
  <c r="X822" i="7"/>
  <c r="W773" i="7"/>
  <c r="W721" i="7"/>
  <c r="W878" i="7"/>
  <c r="X800" i="7"/>
  <c r="X948" i="7"/>
  <c r="G1008" i="7"/>
  <c r="W804" i="7"/>
  <c r="W961" i="7"/>
  <c r="O750" i="7"/>
  <c r="G851" i="7"/>
  <c r="X1007" i="7"/>
  <c r="O953" i="7"/>
  <c r="O901" i="7"/>
  <c r="O1005" i="7"/>
  <c r="G852" i="7"/>
  <c r="W956" i="7"/>
  <c r="W904" i="7"/>
  <c r="W863" i="7"/>
  <c r="W915" i="7"/>
  <c r="W811" i="7"/>
  <c r="G560" i="7"/>
  <c r="X716" i="7"/>
  <c r="G939" i="7"/>
  <c r="G938" i="7"/>
  <c r="G937" i="7"/>
  <c r="X989" i="7"/>
  <c r="G940" i="7"/>
  <c r="O989" i="7"/>
  <c r="X964" i="7"/>
  <c r="W642" i="7"/>
  <c r="W695" i="7"/>
  <c r="W862" i="7"/>
  <c r="W860" i="7"/>
  <c r="W808" i="7"/>
  <c r="W965" i="7"/>
  <c r="W912" i="7"/>
  <c r="G594" i="7"/>
  <c r="X698" i="7"/>
  <c r="O695" i="7"/>
  <c r="O747" i="7"/>
  <c r="O811" i="7"/>
  <c r="W608" i="7"/>
  <c r="G634" i="7"/>
  <c r="X686" i="7"/>
  <c r="O735" i="7"/>
  <c r="X760" i="7"/>
  <c r="O739" i="7"/>
  <c r="O791" i="7"/>
  <c r="O687" i="7"/>
  <c r="G638" i="7"/>
  <c r="X742" i="7"/>
  <c r="G730" i="7"/>
  <c r="O883" i="7"/>
  <c r="G727" i="7"/>
  <c r="O831" i="7"/>
  <c r="G728" i="7"/>
  <c r="G729" i="7"/>
  <c r="O935" i="7"/>
  <c r="O779" i="7"/>
  <c r="G738" i="7"/>
  <c r="X947" i="7"/>
  <c r="O787" i="7"/>
  <c r="W871" i="7"/>
  <c r="W975" i="7"/>
  <c r="W850" i="7"/>
  <c r="W954" i="7"/>
  <c r="W902" i="7"/>
  <c r="G581" i="7"/>
  <c r="G582" i="7"/>
  <c r="G580" i="7"/>
  <c r="W791" i="7"/>
  <c r="W739" i="7"/>
  <c r="W687" i="7"/>
  <c r="O908" i="7"/>
  <c r="X856" i="7"/>
  <c r="G850" i="7"/>
  <c r="O704" i="7"/>
  <c r="G773" i="7"/>
  <c r="X825" i="7"/>
  <c r="G643" i="7"/>
  <c r="X695" i="7"/>
  <c r="G668" i="7"/>
  <c r="O770" i="7"/>
  <c r="G669" i="7"/>
  <c r="G666" i="7"/>
  <c r="X875" i="7"/>
  <c r="O718" i="7"/>
  <c r="O822" i="7"/>
  <c r="G667" i="7"/>
  <c r="X719" i="7"/>
  <c r="X823" i="7"/>
  <c r="G579" i="7"/>
  <c r="X735" i="7"/>
  <c r="W840" i="7"/>
  <c r="W997" i="7"/>
  <c r="G658" i="7"/>
  <c r="X814" i="7"/>
  <c r="G603" i="7"/>
  <c r="W694" i="7"/>
  <c r="W960" i="7"/>
  <c r="O853" i="7"/>
  <c r="W974" i="7"/>
  <c r="X820" i="7"/>
  <c r="G650" i="7"/>
  <c r="X702" i="7"/>
  <c r="W795" i="7"/>
  <c r="W748" i="7"/>
  <c r="O797" i="7"/>
  <c r="W762" i="7"/>
  <c r="O882" i="7"/>
  <c r="W756" i="7"/>
  <c r="W985" i="7"/>
  <c r="W881" i="7"/>
  <c r="W933" i="7"/>
  <c r="W847" i="7"/>
  <c r="G774" i="7"/>
  <c r="X826" i="7"/>
  <c r="W800" i="7"/>
  <c r="X731" i="7"/>
  <c r="X836" i="7"/>
  <c r="X783" i="7"/>
  <c r="X940" i="7"/>
  <c r="X888" i="7"/>
  <c r="X895" i="7"/>
  <c r="X738" i="7"/>
  <c r="X786" i="7"/>
  <c r="X838" i="7"/>
  <c r="X958" i="7"/>
  <c r="X906" i="7"/>
  <c r="X685" i="7"/>
  <c r="X737" i="7"/>
  <c r="X951" i="7"/>
  <c r="X899" i="7"/>
  <c r="X939" i="7"/>
  <c r="X887" i="7"/>
  <c r="X1003" i="7"/>
  <c r="X898" i="7"/>
  <c r="X950" i="7"/>
  <c r="X773" i="7"/>
  <c r="X721" i="7"/>
  <c r="X789" i="7"/>
  <c r="X714" i="7"/>
  <c r="X766" i="7"/>
  <c r="X803" i="7"/>
  <c r="X855" i="7"/>
  <c r="X813" i="7"/>
  <c r="X938" i="7"/>
  <c r="X886" i="7"/>
  <c r="X699" i="7"/>
  <c r="X874" i="7"/>
  <c r="X978" i="7"/>
  <c r="X926" i="7"/>
  <c r="X846" i="7"/>
  <c r="X794" i="7"/>
  <c r="X711" i="7"/>
  <c r="X763" i="7"/>
  <c r="X750" i="7"/>
  <c r="X1002" i="7"/>
  <c r="X983" i="7"/>
  <c r="X781" i="7"/>
  <c r="X833" i="7"/>
  <c r="X885" i="7"/>
  <c r="X752" i="7"/>
  <c r="X713" i="7"/>
  <c r="X765" i="7"/>
  <c r="X879" i="7"/>
  <c r="X931" i="7"/>
  <c r="X949" i="7"/>
  <c r="X897" i="7"/>
  <c r="X818" i="7"/>
  <c r="X907" i="7"/>
  <c r="X968" i="7"/>
  <c r="X929" i="7"/>
  <c r="X981" i="7"/>
  <c r="X877" i="7"/>
  <c r="X801" i="7"/>
  <c r="X769" i="7"/>
  <c r="X785" i="7"/>
  <c r="X837" i="7"/>
  <c r="X893" i="7"/>
  <c r="X730" i="7"/>
  <c r="X959" i="7"/>
  <c r="X805" i="7"/>
  <c r="X883" i="7"/>
  <c r="X819" i="7"/>
  <c r="X872" i="7"/>
  <c r="X976" i="7"/>
  <c r="X924" i="7"/>
  <c r="X705" i="7"/>
  <c r="X757" i="7"/>
  <c r="X859" i="7"/>
  <c r="X832" i="7"/>
  <c r="X937" i="7"/>
  <c r="X780" i="7"/>
  <c r="X860" i="7"/>
  <c r="X912" i="7"/>
  <c r="X905" i="7"/>
  <c r="X957" i="7"/>
  <c r="X771" i="7"/>
  <c r="X779" i="7"/>
  <c r="X831" i="7"/>
  <c r="X992" i="7"/>
  <c r="X858" i="7"/>
  <c r="X910" i="7"/>
  <c r="X962" i="7"/>
  <c r="X853" i="7"/>
  <c r="X728" i="7"/>
  <c r="X878" i="7"/>
  <c r="X930" i="7"/>
  <c r="X839" i="7"/>
  <c r="X889" i="7"/>
  <c r="X993" i="7"/>
  <c r="X941" i="7"/>
  <c r="X971" i="7"/>
  <c r="X919" i="7"/>
  <c r="X797" i="7"/>
  <c r="X849" i="7"/>
  <c r="X804" i="7"/>
  <c r="X882" i="7"/>
  <c r="X934" i="7"/>
  <c r="X986" i="7"/>
  <c r="X841" i="7"/>
  <c r="X720" i="7"/>
  <c r="X772" i="7"/>
  <c r="X955" i="7"/>
  <c r="X903" i="7"/>
  <c r="X824" i="7"/>
  <c r="X880" i="7"/>
  <c r="X932" i="7"/>
  <c r="X984" i="7"/>
  <c r="X1009" i="7"/>
  <c r="X729" i="7"/>
  <c r="X876" i="7"/>
  <c r="X847" i="7"/>
  <c r="X795" i="7"/>
  <c r="X798" i="7"/>
  <c r="X806" i="7"/>
  <c r="X704" i="7"/>
  <c r="X756" i="7"/>
  <c r="X707" i="7"/>
  <c r="X759" i="7"/>
  <c r="X790" i="7"/>
  <c r="X834" i="7"/>
  <c r="X782" i="7"/>
  <c r="X990" i="7"/>
  <c r="X956" i="7"/>
  <c r="X904" i="7"/>
  <c r="X1008" i="7"/>
  <c r="X854" i="7"/>
  <c r="X753" i="7"/>
  <c r="X892" i="7"/>
  <c r="X943" i="7"/>
  <c r="X946" i="7"/>
  <c r="X842" i="7"/>
  <c r="X894" i="7"/>
  <c r="X900" i="7"/>
  <c r="X952" i="7"/>
  <c r="X1004" i="7"/>
  <c r="X843" i="7"/>
  <c r="X739" i="7"/>
  <c r="X791" i="7"/>
  <c r="X890" i="7"/>
  <c r="X845" i="7"/>
  <c r="X793" i="7"/>
  <c r="X868" i="7"/>
  <c r="X985" i="7"/>
  <c r="X921" i="7"/>
  <c r="X869" i="7"/>
  <c r="X973" i="7"/>
  <c r="X703" i="7"/>
  <c r="X755" i="7"/>
  <c r="X748" i="7"/>
  <c r="X867" i="7"/>
  <c r="X918" i="7"/>
  <c r="X970" i="7"/>
  <c r="X799" i="7"/>
  <c r="X881" i="7"/>
  <c r="X933" i="7"/>
  <c r="X975" i="7"/>
  <c r="X923" i="7"/>
  <c r="X871" i="7"/>
  <c r="X743" i="7"/>
  <c r="X850" i="7"/>
  <c r="X884" i="7"/>
  <c r="X972" i="7"/>
  <c r="X788" i="7"/>
  <c r="X745" i="7"/>
  <c r="X965" i="7"/>
  <c r="X747" i="7"/>
  <c r="X710" i="7"/>
  <c r="X718" i="7"/>
  <c r="X770" i="7"/>
  <c r="X902" i="7"/>
  <c r="X954" i="7"/>
  <c r="X690" i="7"/>
  <c r="X991" i="7"/>
  <c r="X816" i="7"/>
  <c r="X764" i="7"/>
  <c r="X852" i="7"/>
  <c r="X812" i="7"/>
  <c r="X768" i="7"/>
  <c r="X969" i="7"/>
  <c r="X944" i="7"/>
  <c r="X891" i="7"/>
  <c r="X754" i="7"/>
  <c r="X796" i="7"/>
  <c r="X848" i="7"/>
  <c r="X792" i="7"/>
  <c r="X961" i="7"/>
  <c r="X762" i="7"/>
  <c r="X982" i="7"/>
  <c r="X922" i="7"/>
  <c r="X870" i="7"/>
  <c r="X974" i="7"/>
  <c r="X751" i="7"/>
  <c r="X936" i="7"/>
  <c r="G1010" i="7"/>
  <c r="J10" i="8"/>
  <c r="J12" i="8"/>
  <c r="G1012" i="7"/>
  <c r="D11" i="6"/>
  <c r="G1014" i="7"/>
  <c r="G1013" i="7"/>
  <c r="E12" i="6"/>
  <c r="N4" i="8" l="1"/>
  <c r="N5" i="8"/>
  <c r="C11" i="6" s="1"/>
  <c r="F6" i="6"/>
  <c r="J5" i="8"/>
  <c r="G1017" i="7"/>
  <c r="S6" i="8" s="1"/>
  <c r="F12" i="6" s="1"/>
  <c r="J4" i="8"/>
  <c r="F7" i="6"/>
  <c r="G1016" i="7"/>
  <c r="F8" i="6"/>
  <c r="F10" i="6" s="1"/>
  <c r="S5" i="8" l="1"/>
  <c r="F11" i="6" s="1"/>
  <c r="S4" i="8"/>
</calcChain>
</file>

<file path=xl/sharedStrings.xml><?xml version="1.0" encoding="utf-8"?>
<sst xmlns="http://schemas.openxmlformats.org/spreadsheetml/2006/main" count="724" uniqueCount="80">
  <si>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</si>
  <si>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</si>
  <si>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</si>
  <si>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</si>
  <si>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</si>
  <si>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</si>
  <si>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</si>
  <si>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</si>
  <si>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</si>
  <si>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</si>
  <si>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</si>
  <si>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</si>
  <si>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</si>
  <si>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</si>
  <si>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</si>
  <si>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</si>
  <si>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</si>
  <si>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</si>
  <si>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</si>
  <si>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</si>
  <si>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</si>
  <si>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</si>
  <si>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</si>
  <si>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</si>
  <si>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</si>
  <si>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</si>
  <si>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</si>
  <si>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</si>
  <si>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</si>
  <si>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</si>
  <si>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</si>
  <si>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</si>
  <si>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</si>
  <si>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</si>
  <si>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</si>
  <si>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</si>
  <si>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</si>
  <si>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</si>
  <si>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</si>
  <si>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</si>
  <si>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</si>
  <si>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</si>
  <si>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</si>
  <si>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</si>
  <si>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</si>
  <si>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</si>
  <si>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</si>
  <si>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</si>
  <si>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</si>
  <si>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</si>
  <si>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</si>
  <si>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</si>
  <si>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</si>
  <si>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Total 2010 </t>
  </si>
  <si>
    <t xml:space="preserve">  * Miss. River deliveries data incomplete prior to 2004</t>
  </si>
  <si>
    <t>Table 3</t>
  </si>
  <si>
    <t xml:space="preserve">Total 2011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</si>
  <si>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2011 and prior 4-year average.   </t>
    </r>
  </si>
  <si>
    <r>
      <t>2012 YTD</t>
    </r>
    <r>
      <rPr>
        <vertAlign val="superscript"/>
        <sz val="9"/>
        <color indexed="8"/>
        <rFont val="Times New Roman"/>
        <family val="1"/>
      </rPr>
      <t>r</t>
    </r>
  </si>
  <si>
    <t>YTD = year-to-date; p = preliminary data; r = revised data; YTD PNW carloads includes revisions back to August 2011 ; n/a = not available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</si>
  <si>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</si>
  <si>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2012 YTD</t>
  </si>
  <si>
    <t>Last 4wks % 4 yr</t>
  </si>
  <si>
    <t>% change YTD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</si>
  <si>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</si>
  <si>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</si>
  <si>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</si>
  <si>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</si>
  <si>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>2013 YTD as % of 2012 YTD</t>
  </si>
  <si>
    <r>
      <t>Last 4 weeks as % of 2012</t>
    </r>
    <r>
      <rPr>
        <vertAlign val="superscript"/>
        <sz val="10"/>
        <color indexed="8"/>
        <rFont val="Times New Roman"/>
        <family val="1"/>
      </rPr>
      <t>2</t>
    </r>
  </si>
  <si>
    <t xml:space="preserve">Total 2012 </t>
  </si>
  <si>
    <t>2013 YTD</t>
  </si>
  <si>
    <t>Last 4wks % 2012</t>
  </si>
  <si>
    <t>1st Quarter 2012</t>
  </si>
  <si>
    <t>1st Quarter 2013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</si>
  <si>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</si>
  <si>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</si>
  <si>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</si>
  <si>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r>
      <t>05/15/2013</t>
    </r>
    <r>
      <rPr>
        <vertAlign val="superscript"/>
        <sz val="9"/>
        <color indexed="8"/>
        <rFont val="Times New Roman"/>
        <family val="1"/>
      </rPr>
      <t>p</t>
    </r>
  </si>
  <si>
    <r>
      <t>05/08/2013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</si>
</sst>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</numFmts>
  <fonts count="55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0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0" fontId="39" fillId="3" borderId="0"/>
    <xf numFmtId="0" fontId="29" fillId="3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46" fillId="0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</cellStyleXfs>
  <cellXfs count="254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43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43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43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43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" fontId="1" fillId="0" borderId="0" xfId="0" applyNumberFormat="1" applyFont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33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1" fillId="0" borderId="5" xfId="0" applyFont="1" applyFill="1" applyBorder="1" applyAlignment="1">
      <alignment horizontal="center"/>
    </xf>
    <xf numFmtId="0" fontId="51" fillId="0" borderId="5" xfId="0" applyFont="1" applyFill="1" applyBorder="1"/>
    <xf numFmtId="0" fontId="52" fillId="0" borderId="0" xfId="0" applyFont="1" applyFill="1"/>
    <xf numFmtId="0" fontId="51" fillId="0" borderId="7" xfId="0" applyFont="1" applyFill="1" applyBorder="1" applyAlignment="1">
      <alignment horizontal="center"/>
    </xf>
    <xf numFmtId="0" fontId="53" fillId="0" borderId="7" xfId="0" applyFont="1" applyFill="1" applyBorder="1" applyAlignment="1">
      <alignment horizontal="center"/>
    </xf>
    <xf numFmtId="0" fontId="51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37" applyFont="1" applyFill="1" applyBorder="1" applyAlignment="1">
      <alignment horizontal="center"/>
    </xf>
    <xf numFmtId="0" fontId="40" fillId="3" borderId="5" xfId="37" applyFont="1" applyFill="1" applyBorder="1" applyAlignment="1">
      <alignment horizontal="center"/>
    </xf>
    <xf numFmtId="0" fontId="40" fillId="3" borderId="8" xfId="37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39" applyFont="1" applyFill="1" applyBorder="1" applyAlignment="1">
      <alignment horizontal="center"/>
    </xf>
    <xf numFmtId="0" fontId="1" fillId="0" borderId="5" xfId="39" applyFont="1" applyFill="1" applyBorder="1" applyAlignment="1">
      <alignment horizontal="center"/>
    </xf>
    <xf numFmtId="0" fontId="1" fillId="3" borderId="8" xfId="39" applyFont="1" applyFill="1" applyBorder="1" applyAlignment="1">
      <alignment horizontal="center"/>
    </xf>
    <xf numFmtId="0" fontId="40" fillId="0" borderId="5" xfId="39" applyFont="1" applyFill="1" applyBorder="1" applyAlignment="1">
      <alignment horizontal="center"/>
    </xf>
    <xf numFmtId="0" fontId="40" fillId="3" borderId="5" xfId="39" applyFont="1" applyFill="1" applyBorder="1" applyAlignment="1">
      <alignment horizontal="center"/>
    </xf>
    <xf numFmtId="0" fontId="40" fillId="3" borderId="8" xfId="39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41" applyNumberFormat="1" applyFont="1" applyFill="1" applyBorder="1"/>
    <xf numFmtId="0" fontId="1" fillId="3" borderId="5" xfId="41" applyFont="1" applyFill="1" applyBorder="1" applyAlignment="1">
      <alignment horizontal="center"/>
    </xf>
    <xf numFmtId="0" fontId="1" fillId="0" borderId="5" xfId="41" applyFont="1" applyFill="1" applyBorder="1" applyAlignment="1">
      <alignment horizontal="center"/>
    </xf>
    <xf numFmtId="0" fontId="1" fillId="3" borderId="8" xfId="41" applyFont="1" applyFill="1" applyBorder="1" applyAlignment="1">
      <alignment horizontal="center"/>
    </xf>
    <xf numFmtId="1" fontId="1" fillId="0" borderId="0" xfId="43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42" applyNumberFormat="1" applyFont="1" applyFill="1" applyBorder="1"/>
    <xf numFmtId="0" fontId="1" fillId="3" borderId="5" xfId="42" applyFont="1" applyFill="1" applyBorder="1" applyAlignment="1">
      <alignment horizontal="center"/>
    </xf>
    <xf numFmtId="0" fontId="1" fillId="0" borderId="5" xfId="42" applyFont="1" applyFill="1" applyBorder="1" applyAlignment="1">
      <alignment horizontal="center"/>
    </xf>
    <xf numFmtId="0" fontId="1" fillId="3" borderId="8" xfId="4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43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3" fontId="11" fillId="11" borderId="11" xfId="0" applyNumberFormat="1" applyFont="1" applyFill="1" applyBorder="1" applyAlignment="1" applyProtection="1">
      <alignment horizontal="center"/>
    </xf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4" fillId="0" borderId="0" xfId="0" applyNumberFormat="1" applyFont="1" applyFill="1" applyAlignment="1" applyProtection="1">
      <alignment horizontal="center"/>
    </xf>
    <xf numFmtId="37" fontId="54" fillId="0" borderId="0" xfId="0" applyNumberFormat="1" applyFont="1" applyAlignment="1" applyProtection="1">
      <alignment horizontal="center"/>
    </xf>
    <xf numFmtId="169" fontId="51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1" fillId="9" borderId="0" xfId="0" applyNumberFormat="1" applyFont="1" applyFill="1" applyAlignment="1">
      <alignment horizontal="center"/>
    </xf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3" fontId="11" fillId="4" borderId="15" xfId="0" applyNumberFormat="1" applyFont="1" applyFill="1" applyBorder="1" applyAlignment="1" applyProtection="1">
      <alignment horizontal="center"/>
    </xf>
    <xf numFmtId="1" fontId="49" fillId="11" borderId="0" xfId="0" applyNumberFormat="1" applyFont="1" applyFill="1"/>
    <xf numFmtId="0" fontId="49" fillId="0" borderId="0" xfId="0" applyFont="1"/>
    <xf numFmtId="0" fontId="49" fillId="0" borderId="0" xfId="0" applyFont="1" applyAlignment="1">
      <alignment horizontal="center"/>
    </xf>
    <xf numFmtId="172" fontId="50" fillId="7" borderId="0" xfId="0" applyNumberFormat="1" applyFont="1" applyFill="1"/>
    <xf numFmtId="172" fontId="50" fillId="0" borderId="0" xfId="0" applyNumberFormat="1" applyFont="1"/>
    <xf numFmtId="172" fontId="50" fillId="8" borderId="0" xfId="0" applyNumberFormat="1" applyFont="1" applyFill="1"/>
    <xf numFmtId="172" fontId="50" fillId="7" borderId="0" xfId="0" applyNumberFormat="1" applyFont="1" applyFill="1" applyBorder="1"/>
    <xf numFmtId="172" fontId="50" fillId="10" borderId="0" xfId="0" applyNumberFormat="1" applyFont="1" applyFill="1"/>
    <xf numFmtId="172" fontId="50" fillId="0" borderId="0" xfId="0" applyNumberFormat="1" applyFont="1" applyFill="1" applyBorder="1"/>
    <xf numFmtId="3" fontId="51" fillId="10" borderId="0" xfId="0" applyNumberFormat="1" applyFont="1" applyFill="1" applyAlignment="1">
      <alignment horizontal="center"/>
    </xf>
    <xf numFmtId="170" fontId="51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6" xfId="0" applyNumberFormat="1" applyFont="1" applyFill="1" applyBorder="1" applyAlignment="1" applyProtection="1">
      <alignment horizontal="left"/>
    </xf>
    <xf numFmtId="170" fontId="48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1" fillId="10" borderId="0" xfId="0" applyFont="1" applyFill="1" applyAlignment="1">
      <alignment horizontal="center"/>
    </xf>
    <xf numFmtId="164" fontId="11" fillId="11" borderId="16" xfId="0" applyNumberFormat="1" applyFont="1" applyFill="1" applyBorder="1" applyAlignment="1" applyProtection="1">
      <alignment horizontal="lef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3" fontId="11" fillId="0" borderId="0" xfId="0" applyNumberFormat="1" applyFont="1" applyFill="1" applyAlignment="1" applyProtection="1">
      <alignment horizontal="center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67" fontId="11" fillId="11" borderId="0" xfId="0" applyNumberFormat="1" applyFont="1" applyFill="1" applyBorder="1" applyAlignment="1" applyProtection="1">
      <alignment horizontal="left"/>
    </xf>
    <xf numFmtId="167" fontId="11" fillId="11" borderId="6" xfId="0" applyNumberFormat="1" applyFont="1" applyFill="1" applyBorder="1" applyAlignment="1" applyProtection="1">
      <alignment horizontal="right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50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0" xfId="7"/>
    <cellStyle name="Comma0 2" xfId="8"/>
    <cellStyle name="Comma0 3" xfId="9"/>
    <cellStyle name="Comma0 4" xfId="10"/>
    <cellStyle name="Comma0 5" xfId="11"/>
    <cellStyle name="Comma0 6" xfId="12"/>
    <cellStyle name="Currency0" xfId="13"/>
    <cellStyle name="Currency0 2" xfId="14"/>
    <cellStyle name="Currency0 3" xfId="15"/>
    <cellStyle name="Currency0 4" xfId="16"/>
    <cellStyle name="Currency0 5" xfId="17"/>
    <cellStyle name="Currency0 6" xfId="18"/>
    <cellStyle name="Date" xfId="19"/>
    <cellStyle name="Date 2" xfId="20"/>
    <cellStyle name="Date 3" xfId="21"/>
    <cellStyle name="Date 4" xfId="22"/>
    <cellStyle name="Date 5" xfId="23"/>
    <cellStyle name="Date 6" xfId="24"/>
    <cellStyle name="Fixed" xfId="25"/>
    <cellStyle name="Fixed 2" xfId="26"/>
    <cellStyle name="Fixed 3" xfId="27"/>
    <cellStyle name="Fixed 4" xfId="28"/>
    <cellStyle name="Fixed 5" xfId="29"/>
    <cellStyle name="Fixed 6" xfId="30"/>
    <cellStyle name="Heading 1 2" xfId="31"/>
    <cellStyle name="Heading 2 2" xfId="32"/>
    <cellStyle name="Normal" xfId="0" builtinId="0"/>
    <cellStyle name="Normal 2" xfId="33"/>
    <cellStyle name="Normal 2 2" xfId="34"/>
    <cellStyle name="Normal 3" xfId="35"/>
    <cellStyle name="Normal 3 2" xfId="36"/>
    <cellStyle name="Normal 4" xfId="37"/>
    <cellStyle name="Normal 4 2" xfId="38"/>
    <cellStyle name="Normal 5" xfId="39"/>
    <cellStyle name="Normal 5 2" xfId="40"/>
    <cellStyle name="Normal 6" xfId="41"/>
    <cellStyle name="Normal 7" xfId="42"/>
    <cellStyle name="Percent" xfId="43" builtinId="5"/>
    <cellStyle name="Total 2" xfId="44"/>
    <cellStyle name="Total 3" xfId="45"/>
    <cellStyle name="Total 4" xfId="46"/>
    <cellStyle name="Total 5" xfId="47"/>
    <cellStyle name="Total 6" xfId="48"/>
    <cellStyle name="Total 7" xfId="4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3355198108798047"/>
          <c:y val="4.304930633670791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Averages'!$L$894:$L$945</c:f>
              <c:numCache>
                <c:formatCode>#,##0_);\(#,##0\)</c:formatCode>
                <c:ptCount val="52"/>
                <c:pt idx="0">
                  <c:v>780</c:v>
                </c:pt>
                <c:pt idx="1">
                  <c:v>489.25</c:v>
                </c:pt>
                <c:pt idx="2">
                  <c:v>740.5</c:v>
                </c:pt>
                <c:pt idx="3">
                  <c:v>665.25</c:v>
                </c:pt>
                <c:pt idx="4">
                  <c:v>565</c:v>
                </c:pt>
                <c:pt idx="5">
                  <c:v>905.75</c:v>
                </c:pt>
                <c:pt idx="6">
                  <c:v>582.5</c:v>
                </c:pt>
                <c:pt idx="7">
                  <c:v>1004.5</c:v>
                </c:pt>
                <c:pt idx="8">
                  <c:v>909.5</c:v>
                </c:pt>
                <c:pt idx="9">
                  <c:v>974.5</c:v>
                </c:pt>
                <c:pt idx="10">
                  <c:v>682.25</c:v>
                </c:pt>
                <c:pt idx="11">
                  <c:v>938.75</c:v>
                </c:pt>
                <c:pt idx="12">
                  <c:v>703.5</c:v>
                </c:pt>
                <c:pt idx="13">
                  <c:v>843.75</c:v>
                </c:pt>
                <c:pt idx="14">
                  <c:v>907.25</c:v>
                </c:pt>
                <c:pt idx="15">
                  <c:v>1036.25</c:v>
                </c:pt>
                <c:pt idx="16">
                  <c:v>871.75</c:v>
                </c:pt>
                <c:pt idx="17">
                  <c:v>734</c:v>
                </c:pt>
                <c:pt idx="18">
                  <c:v>1049.75</c:v>
                </c:pt>
                <c:pt idx="19">
                  <c:v>969</c:v>
                </c:pt>
                <c:pt idx="20">
                  <c:v>902.25</c:v>
                </c:pt>
                <c:pt idx="21">
                  <c:v>857.5</c:v>
                </c:pt>
                <c:pt idx="22">
                  <c:v>519.25</c:v>
                </c:pt>
                <c:pt idx="23">
                  <c:v>827.25</c:v>
                </c:pt>
                <c:pt idx="24">
                  <c:v>691.25</c:v>
                </c:pt>
                <c:pt idx="25">
                  <c:v>728</c:v>
                </c:pt>
                <c:pt idx="26">
                  <c:v>675.25</c:v>
                </c:pt>
                <c:pt idx="27">
                  <c:v>650.5</c:v>
                </c:pt>
                <c:pt idx="28">
                  <c:v>590.75</c:v>
                </c:pt>
                <c:pt idx="29">
                  <c:v>719.5</c:v>
                </c:pt>
                <c:pt idx="30">
                  <c:v>688.25</c:v>
                </c:pt>
                <c:pt idx="31">
                  <c:v>688.75</c:v>
                </c:pt>
                <c:pt idx="32">
                  <c:v>634.75</c:v>
                </c:pt>
                <c:pt idx="33">
                  <c:v>690</c:v>
                </c:pt>
                <c:pt idx="34">
                  <c:v>542</c:v>
                </c:pt>
                <c:pt idx="35">
                  <c:v>497.5</c:v>
                </c:pt>
                <c:pt idx="36">
                  <c:v>709.25</c:v>
                </c:pt>
                <c:pt idx="37">
                  <c:v>867.25</c:v>
                </c:pt>
                <c:pt idx="38">
                  <c:v>717.25</c:v>
                </c:pt>
                <c:pt idx="39">
                  <c:v>529</c:v>
                </c:pt>
                <c:pt idx="40">
                  <c:v>861</c:v>
                </c:pt>
                <c:pt idx="41">
                  <c:v>688.25</c:v>
                </c:pt>
                <c:pt idx="42">
                  <c:v>1068.5</c:v>
                </c:pt>
                <c:pt idx="43">
                  <c:v>1114.75</c:v>
                </c:pt>
                <c:pt idx="44">
                  <c:v>839.25</c:v>
                </c:pt>
                <c:pt idx="45">
                  <c:v>741.75</c:v>
                </c:pt>
                <c:pt idx="46">
                  <c:v>886.25</c:v>
                </c:pt>
                <c:pt idx="47">
                  <c:v>704</c:v>
                </c:pt>
                <c:pt idx="48">
                  <c:v>820.75</c:v>
                </c:pt>
                <c:pt idx="49">
                  <c:v>429</c:v>
                </c:pt>
                <c:pt idx="50">
                  <c:v>763.25</c:v>
                </c:pt>
                <c:pt idx="51">
                  <c:v>389.75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Averages'!$U$894:$U$945</c:f>
              <c:numCache>
                <c:formatCode>#,##0</c:formatCode>
                <c:ptCount val="52"/>
                <c:pt idx="0">
                  <c:v>669.625</c:v>
                </c:pt>
                <c:pt idx="1">
                  <c:v>630.8125</c:v>
                </c:pt>
                <c:pt idx="2">
                  <c:v>577</c:v>
                </c:pt>
                <c:pt idx="3">
                  <c:v>654.125</c:v>
                </c:pt>
                <c:pt idx="4">
                  <c:v>599.8125</c:v>
                </c:pt>
                <c:pt idx="5">
                  <c:v>669.0625</c:v>
                </c:pt>
                <c:pt idx="6">
                  <c:v>726.9375</c:v>
                </c:pt>
                <c:pt idx="7">
                  <c:v>737.6875</c:v>
                </c:pt>
                <c:pt idx="8">
                  <c:v>812.5625</c:v>
                </c:pt>
                <c:pt idx="9">
                  <c:v>898</c:v>
                </c:pt>
                <c:pt idx="10">
                  <c:v>838.4375</c:v>
                </c:pt>
                <c:pt idx="11">
                  <c:v>887.1875</c:v>
                </c:pt>
                <c:pt idx="12">
                  <c:v>834.125</c:v>
                </c:pt>
                <c:pt idx="13">
                  <c:v>794</c:v>
                </c:pt>
                <c:pt idx="14">
                  <c:v>846.125</c:v>
                </c:pt>
                <c:pt idx="15">
                  <c:v>845.5</c:v>
                </c:pt>
                <c:pt idx="16">
                  <c:v>904.4375</c:v>
                </c:pt>
                <c:pt idx="17">
                  <c:v>870</c:v>
                </c:pt>
                <c:pt idx="18">
                  <c:v>923.8125</c:v>
                </c:pt>
                <c:pt idx="19">
                  <c:v>898.9375</c:v>
                </c:pt>
                <c:pt idx="20">
                  <c:v>914.25</c:v>
                </c:pt>
                <c:pt idx="21">
                  <c:v>932.6875</c:v>
                </c:pt>
                <c:pt idx="22">
                  <c:v>874.0625</c:v>
                </c:pt>
                <c:pt idx="23">
                  <c:v>799.875</c:v>
                </c:pt>
                <c:pt idx="24">
                  <c:v>768.875</c:v>
                </c:pt>
                <c:pt idx="25">
                  <c:v>713.3125</c:v>
                </c:pt>
                <c:pt idx="26">
                  <c:v>667.6875</c:v>
                </c:pt>
                <c:pt idx="27">
                  <c:v>725.8125</c:v>
                </c:pt>
                <c:pt idx="28">
                  <c:v>643.625</c:v>
                </c:pt>
                <c:pt idx="29">
                  <c:v>682.6875</c:v>
                </c:pt>
                <c:pt idx="30">
                  <c:v>681.875</c:v>
                </c:pt>
                <c:pt idx="31">
                  <c:v>663.5625</c:v>
                </c:pt>
                <c:pt idx="32">
                  <c:v>699</c:v>
                </c:pt>
                <c:pt idx="33">
                  <c:v>659.75</c:v>
                </c:pt>
                <c:pt idx="34">
                  <c:v>638.25</c:v>
                </c:pt>
                <c:pt idx="35">
                  <c:v>598.375</c:v>
                </c:pt>
                <c:pt idx="36">
                  <c:v>563.9375</c:v>
                </c:pt>
                <c:pt idx="37">
                  <c:v>627.375</c:v>
                </c:pt>
                <c:pt idx="38">
                  <c:v>697.25</c:v>
                </c:pt>
                <c:pt idx="39">
                  <c:v>724.25</c:v>
                </c:pt>
                <c:pt idx="40">
                  <c:v>743.5625</c:v>
                </c:pt>
                <c:pt idx="41">
                  <c:v>722.625</c:v>
                </c:pt>
                <c:pt idx="42">
                  <c:v>777.25</c:v>
                </c:pt>
                <c:pt idx="43">
                  <c:v>879.1875</c:v>
                </c:pt>
                <c:pt idx="44">
                  <c:v>955.875</c:v>
                </c:pt>
                <c:pt idx="45">
                  <c:v>945.9375</c:v>
                </c:pt>
                <c:pt idx="46">
                  <c:v>916.125</c:v>
                </c:pt>
                <c:pt idx="47">
                  <c:v>827.125</c:v>
                </c:pt>
                <c:pt idx="48">
                  <c:v>809.5625</c:v>
                </c:pt>
                <c:pt idx="49">
                  <c:v>740.9375</c:v>
                </c:pt>
                <c:pt idx="50">
                  <c:v>684.25</c:v>
                </c:pt>
                <c:pt idx="51">
                  <c:v>618.5625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Data'!$F$842:$F$893</c:f>
              <c:numCache>
                <c:formatCode>#,##0</c:formatCode>
                <c:ptCount val="52"/>
                <c:pt idx="0">
                  <c:v>829</c:v>
                </c:pt>
                <c:pt idx="1">
                  <c:v>535</c:v>
                </c:pt>
                <c:pt idx="2">
                  <c:v>688</c:v>
                </c:pt>
                <c:pt idx="3">
                  <c:v>442</c:v>
                </c:pt>
                <c:pt idx="4">
                  <c:v>672</c:v>
                </c:pt>
                <c:pt idx="5">
                  <c:v>949</c:v>
                </c:pt>
                <c:pt idx="6">
                  <c:v>962</c:v>
                </c:pt>
                <c:pt idx="7">
                  <c:v>1172</c:v>
                </c:pt>
                <c:pt idx="8">
                  <c:v>1150</c:v>
                </c:pt>
                <c:pt idx="9">
                  <c:v>1160</c:v>
                </c:pt>
                <c:pt idx="10">
                  <c:v>1165</c:v>
                </c:pt>
                <c:pt idx="11">
                  <c:v>1117</c:v>
                </c:pt>
                <c:pt idx="12">
                  <c:v>552</c:v>
                </c:pt>
                <c:pt idx="13">
                  <c:v>865</c:v>
                </c:pt>
                <c:pt idx="14">
                  <c:v>1305</c:v>
                </c:pt>
                <c:pt idx="15">
                  <c:v>1248</c:v>
                </c:pt>
                <c:pt idx="16">
                  <c:v>891</c:v>
                </c:pt>
                <c:pt idx="17">
                  <c:v>884</c:v>
                </c:pt>
                <c:pt idx="18">
                  <c:v>1036</c:v>
                </c:pt>
                <c:pt idx="19">
                  <c:v>1129</c:v>
                </c:pt>
                <c:pt idx="20">
                  <c:v>979</c:v>
                </c:pt>
                <c:pt idx="21">
                  <c:v>616</c:v>
                </c:pt>
                <c:pt idx="22">
                  <c:v>930</c:v>
                </c:pt>
                <c:pt idx="23" formatCode="#,##0;[Red]#,##0">
                  <c:v>984</c:v>
                </c:pt>
                <c:pt idx="24">
                  <c:v>1041</c:v>
                </c:pt>
                <c:pt idx="25">
                  <c:v>809</c:v>
                </c:pt>
                <c:pt idx="26">
                  <c:v>394</c:v>
                </c:pt>
                <c:pt idx="27">
                  <c:v>1406</c:v>
                </c:pt>
                <c:pt idx="28">
                  <c:v>209</c:v>
                </c:pt>
                <c:pt idx="29">
                  <c:v>1532</c:v>
                </c:pt>
                <c:pt idx="30">
                  <c:v>421</c:v>
                </c:pt>
                <c:pt idx="31">
                  <c:v>1001</c:v>
                </c:pt>
                <c:pt idx="32">
                  <c:v>586</c:v>
                </c:pt>
                <c:pt idx="33">
                  <c:v>725</c:v>
                </c:pt>
                <c:pt idx="34">
                  <c:v>565</c:v>
                </c:pt>
                <c:pt idx="35">
                  <c:v>544</c:v>
                </c:pt>
                <c:pt idx="36">
                  <c:v>964</c:v>
                </c:pt>
                <c:pt idx="37">
                  <c:v>522</c:v>
                </c:pt>
                <c:pt idx="38">
                  <c:v>828</c:v>
                </c:pt>
                <c:pt idx="39">
                  <c:v>464</c:v>
                </c:pt>
                <c:pt idx="40">
                  <c:v>501</c:v>
                </c:pt>
                <c:pt idx="41">
                  <c:v>678</c:v>
                </c:pt>
                <c:pt idx="42">
                  <c:v>1091</c:v>
                </c:pt>
                <c:pt idx="43">
                  <c:v>615</c:v>
                </c:pt>
                <c:pt idx="44">
                  <c:v>782</c:v>
                </c:pt>
                <c:pt idx="45">
                  <c:v>562</c:v>
                </c:pt>
                <c:pt idx="46">
                  <c:v>1104</c:v>
                </c:pt>
                <c:pt idx="47">
                  <c:v>629</c:v>
                </c:pt>
                <c:pt idx="48">
                  <c:v>809</c:v>
                </c:pt>
                <c:pt idx="49">
                  <c:v>500</c:v>
                </c:pt>
                <c:pt idx="50">
                  <c:v>678</c:v>
                </c:pt>
                <c:pt idx="51">
                  <c:v>574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'Weekly Data'!$F$894:$F$943</c:f>
              <c:numCache>
                <c:formatCode>#,##0</c:formatCode>
                <c:ptCount val="50"/>
                <c:pt idx="0">
                  <c:v>468</c:v>
                </c:pt>
                <c:pt idx="1">
                  <c:v>450</c:v>
                </c:pt>
                <c:pt idx="2">
                  <c:v>599</c:v>
                </c:pt>
                <c:pt idx="3">
                  <c:v>460</c:v>
                </c:pt>
                <c:pt idx="4">
                  <c:v>755</c:v>
                </c:pt>
                <c:pt idx="5">
                  <c:v>1023</c:v>
                </c:pt>
                <c:pt idx="6">
                  <c:v>285</c:v>
                </c:pt>
                <c:pt idx="7">
                  <c:v>558</c:v>
                </c:pt>
                <c:pt idx="8">
                  <c:v>374</c:v>
                </c:pt>
                <c:pt idx="9">
                  <c:v>969</c:v>
                </c:pt>
                <c:pt idx="10">
                  <c:v>671</c:v>
                </c:pt>
                <c:pt idx="11">
                  <c:v>881</c:v>
                </c:pt>
                <c:pt idx="12">
                  <c:v>1318</c:v>
                </c:pt>
                <c:pt idx="13">
                  <c:v>1557</c:v>
                </c:pt>
                <c:pt idx="14">
                  <c:v>1116</c:v>
                </c:pt>
                <c:pt idx="15">
                  <c:v>1390</c:v>
                </c:pt>
                <c:pt idx="16">
                  <c:v>1188</c:v>
                </c:pt>
                <c:pt idx="17">
                  <c:v>1090</c:v>
                </c:pt>
                <c:pt idx="18">
                  <c:v>1095</c:v>
                </c:pt>
                <c:pt idx="19">
                  <c:v>1152</c:v>
                </c:pt>
                <c:pt idx="20" formatCode="#,##0_);\(#,##0\)">
                  <c:v>1338</c:v>
                </c:pt>
                <c:pt idx="21">
                  <c:v>1427</c:v>
                </c:pt>
                <c:pt idx="22">
                  <c:v>1117</c:v>
                </c:pt>
                <c:pt idx="23">
                  <c:v>322</c:v>
                </c:pt>
                <c:pt idx="24">
                  <c:v>1016</c:v>
                </c:pt>
                <c:pt idx="25">
                  <c:v>664</c:v>
                </c:pt>
                <c:pt idx="26">
                  <c:v>1467</c:v>
                </c:pt>
                <c:pt idx="27">
                  <c:v>988</c:v>
                </c:pt>
                <c:pt idx="28">
                  <c:v>1381</c:v>
                </c:pt>
                <c:pt idx="29">
                  <c:v>901</c:v>
                </c:pt>
                <c:pt idx="30">
                  <c:v>833</c:v>
                </c:pt>
                <c:pt idx="31">
                  <c:v>1161</c:v>
                </c:pt>
                <c:pt idx="32">
                  <c:v>798</c:v>
                </c:pt>
                <c:pt idx="33">
                  <c:v>651</c:v>
                </c:pt>
                <c:pt idx="34">
                  <c:v>601</c:v>
                </c:pt>
                <c:pt idx="35">
                  <c:v>624</c:v>
                </c:pt>
                <c:pt idx="36">
                  <c:v>1270</c:v>
                </c:pt>
                <c:pt idx="37">
                  <c:v>748</c:v>
                </c:pt>
                <c:pt idx="38">
                  <c:v>662</c:v>
                </c:pt>
                <c:pt idx="39">
                  <c:v>512</c:v>
                </c:pt>
                <c:pt idx="40">
                  <c:v>615</c:v>
                </c:pt>
                <c:pt idx="41">
                  <c:v>1553</c:v>
                </c:pt>
                <c:pt idx="42">
                  <c:v>1898</c:v>
                </c:pt>
                <c:pt idx="43">
                  <c:v>1221</c:v>
                </c:pt>
                <c:pt idx="44">
                  <c:v>1031</c:v>
                </c:pt>
                <c:pt idx="45">
                  <c:v>1298</c:v>
                </c:pt>
                <c:pt idx="46">
                  <c:v>862</c:v>
                </c:pt>
                <c:pt idx="47">
                  <c:v>768</c:v>
                </c:pt>
                <c:pt idx="48">
                  <c:v>778</c:v>
                </c:pt>
                <c:pt idx="49">
                  <c:v>1197</c:v>
                </c:pt>
              </c:numCache>
            </c:numRef>
          </c:val>
          <c:smooth val="0"/>
        </c:ser>
        <c:ser>
          <c:idx val="3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Data'!$F$946:$F$997</c:f>
              <c:numCache>
                <c:formatCode>#,##0</c:formatCode>
                <c:ptCount val="52"/>
                <c:pt idx="0">
                  <c:v>793</c:v>
                </c:pt>
                <c:pt idx="1">
                  <c:v>918</c:v>
                </c:pt>
                <c:pt idx="2">
                  <c:v>951</c:v>
                </c:pt>
                <c:pt idx="3">
                  <c:v>1480</c:v>
                </c:pt>
                <c:pt idx="4">
                  <c:v>603</c:v>
                </c:pt>
                <c:pt idx="5">
                  <c:v>1184</c:v>
                </c:pt>
                <c:pt idx="6">
                  <c:v>930</c:v>
                </c:pt>
                <c:pt idx="7">
                  <c:v>1504</c:v>
                </c:pt>
                <c:pt idx="8">
                  <c:v>1317</c:v>
                </c:pt>
                <c:pt idx="9">
                  <c:v>1164</c:v>
                </c:pt>
                <c:pt idx="10">
                  <c:v>1403</c:v>
                </c:pt>
                <c:pt idx="11">
                  <c:v>1197</c:v>
                </c:pt>
                <c:pt idx="12">
                  <c:v>1494</c:v>
                </c:pt>
                <c:pt idx="13">
                  <c:v>2194</c:v>
                </c:pt>
                <c:pt idx="14">
                  <c:v>1021</c:v>
                </c:pt>
                <c:pt idx="15">
                  <c:v>1577</c:v>
                </c:pt>
                <c:pt idx="16">
                  <c:v>1039</c:v>
                </c:pt>
                <c:pt idx="17">
                  <c:v>1761</c:v>
                </c:pt>
                <c:pt idx="18">
                  <c:v>1376</c:v>
                </c:pt>
                <c:pt idx="19">
                  <c:v>1160</c:v>
                </c:pt>
                <c:pt idx="20">
                  <c:v>1070</c:v>
                </c:pt>
                <c:pt idx="21">
                  <c:v>1246</c:v>
                </c:pt>
                <c:pt idx="22">
                  <c:v>1073</c:v>
                </c:pt>
                <c:pt idx="23" formatCode="#,##0;[Red]#,##0">
                  <c:v>1021</c:v>
                </c:pt>
                <c:pt idx="24" formatCode="#,##0;[Red]#,##0">
                  <c:v>641</c:v>
                </c:pt>
                <c:pt idx="25" formatCode="#,##0;[Red]#,##0">
                  <c:v>762</c:v>
                </c:pt>
                <c:pt idx="26" formatCode="#,##0;[Red]#,##0">
                  <c:v>713</c:v>
                </c:pt>
                <c:pt idx="27" formatCode="#,##0;[Red]#,##0">
                  <c:v>650</c:v>
                </c:pt>
                <c:pt idx="28" formatCode="#,##0;[Red]#,##0">
                  <c:v>1200</c:v>
                </c:pt>
                <c:pt idx="29" formatCode="#,##0;[Red]#,##0">
                  <c:v>662</c:v>
                </c:pt>
                <c:pt idx="30" formatCode="#,##0;[Red]#,##0">
                  <c:v>952</c:v>
                </c:pt>
                <c:pt idx="31" formatCode="#,##0;[Red]#,##0">
                  <c:v>492</c:v>
                </c:pt>
                <c:pt idx="32" formatCode="#,##0;[Red]#,##0">
                  <c:v>662</c:v>
                </c:pt>
                <c:pt idx="33" formatCode="#,##0;[Red]#,##0">
                  <c:v>558</c:v>
                </c:pt>
                <c:pt idx="34" formatCode="#,##0;[Red]#,##0">
                  <c:v>560</c:v>
                </c:pt>
                <c:pt idx="35" formatCode="#,##0;[Red]#,##0">
                  <c:v>277</c:v>
                </c:pt>
                <c:pt idx="36" formatCode="#,##0;[Red]#,##0">
                  <c:v>818</c:v>
                </c:pt>
                <c:pt idx="37" formatCode="#,##0;[Red]#,##0">
                  <c:v>660</c:v>
                </c:pt>
                <c:pt idx="38" formatCode="#,##0;[Red]#,##0">
                  <c:v>374</c:v>
                </c:pt>
                <c:pt idx="39" formatCode="#,##0;[Red]#,##0">
                  <c:v>677</c:v>
                </c:pt>
                <c:pt idx="40" formatCode="#,##0;[Red]#,##0">
                  <c:v>432</c:v>
                </c:pt>
                <c:pt idx="41" formatCode="#,##0;[Red]#,##0">
                  <c:v>102</c:v>
                </c:pt>
                <c:pt idx="42" formatCode="#,##0_);\(#,##0\)">
                  <c:v>93</c:v>
                </c:pt>
                <c:pt idx="43" formatCode="#,##0_);\(#,##0\)">
                  <c:v>319</c:v>
                </c:pt>
                <c:pt idx="44" formatCode="#,##0_);\(#,##0\)">
                  <c:v>180</c:v>
                </c:pt>
                <c:pt idx="45" formatCode="#,##0;[Red]#,##0">
                  <c:v>0</c:v>
                </c:pt>
                <c:pt idx="46" formatCode="#,##0;[Red]#,##0">
                  <c:v>0</c:v>
                </c:pt>
                <c:pt idx="47" formatCode="#,##0;[Red]#,##0">
                  <c:v>0</c:v>
                </c:pt>
                <c:pt idx="48" formatCode="#,##0;[Red]#,##0">
                  <c:v>0</c:v>
                </c:pt>
                <c:pt idx="49" formatCode="#,##0;[Red]#,##0">
                  <c:v>0</c:v>
                </c:pt>
                <c:pt idx="50" formatCode="#,##0;[Red]#,##0">
                  <c:v>0</c:v>
                </c:pt>
                <c:pt idx="51" formatCode="#,##0;[Red]#,##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74336"/>
        <c:axId val="129776256"/>
      </c:lineChart>
      <c:dateAx>
        <c:axId val="12977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294143026642"/>
              <c:y val="0.772325111146821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77625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977625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7743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971474670118291"/>
          <c:y val="0.889181932615566"/>
          <c:w val="0.84549131701003133"/>
          <c:h val="8.98273876479726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5447171718432184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1420096867"/>
          <c:y val="0.12033732245563172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Averages'!$M$842:$M$893</c:f>
              <c:numCache>
                <c:formatCode>#,##0_);\(#,##0\)</c:formatCode>
                <c:ptCount val="52"/>
                <c:pt idx="0">
                  <c:v>3958.75</c:v>
                </c:pt>
                <c:pt idx="1">
                  <c:v>4229.25</c:v>
                </c:pt>
                <c:pt idx="2">
                  <c:v>4716</c:v>
                </c:pt>
                <c:pt idx="3">
                  <c:v>4361.5</c:v>
                </c:pt>
                <c:pt idx="4">
                  <c:v>4366.25</c:v>
                </c:pt>
                <c:pt idx="5">
                  <c:v>4680</c:v>
                </c:pt>
                <c:pt idx="6">
                  <c:v>3965</c:v>
                </c:pt>
                <c:pt idx="7">
                  <c:v>4757</c:v>
                </c:pt>
                <c:pt idx="8">
                  <c:v>4753.75</c:v>
                </c:pt>
                <c:pt idx="9">
                  <c:v>4741.5</c:v>
                </c:pt>
                <c:pt idx="10">
                  <c:v>4485.5</c:v>
                </c:pt>
                <c:pt idx="11">
                  <c:v>5071.75</c:v>
                </c:pt>
                <c:pt idx="12">
                  <c:v>4503</c:v>
                </c:pt>
                <c:pt idx="13">
                  <c:v>4382.75</c:v>
                </c:pt>
                <c:pt idx="14">
                  <c:v>4731.5</c:v>
                </c:pt>
                <c:pt idx="15">
                  <c:v>4438.5</c:v>
                </c:pt>
                <c:pt idx="16">
                  <c:v>4362.75</c:v>
                </c:pt>
                <c:pt idx="17">
                  <c:v>4244.25</c:v>
                </c:pt>
                <c:pt idx="18">
                  <c:v>3722.5</c:v>
                </c:pt>
                <c:pt idx="19">
                  <c:v>3976.25</c:v>
                </c:pt>
                <c:pt idx="20">
                  <c:v>3990.25</c:v>
                </c:pt>
                <c:pt idx="21">
                  <c:v>3621.5</c:v>
                </c:pt>
                <c:pt idx="22">
                  <c:v>3531.5</c:v>
                </c:pt>
                <c:pt idx="23">
                  <c:v>3546.5</c:v>
                </c:pt>
                <c:pt idx="24">
                  <c:v>4197.75</c:v>
                </c:pt>
                <c:pt idx="25">
                  <c:v>3350.25</c:v>
                </c:pt>
                <c:pt idx="26">
                  <c:v>3712</c:v>
                </c:pt>
                <c:pt idx="27">
                  <c:v>3717.25</c:v>
                </c:pt>
                <c:pt idx="28">
                  <c:v>3843.75</c:v>
                </c:pt>
                <c:pt idx="29">
                  <c:v>4099.75</c:v>
                </c:pt>
                <c:pt idx="30">
                  <c:v>3521.5</c:v>
                </c:pt>
                <c:pt idx="31">
                  <c:v>3891</c:v>
                </c:pt>
                <c:pt idx="32">
                  <c:v>3651</c:v>
                </c:pt>
                <c:pt idx="33">
                  <c:v>3656.25</c:v>
                </c:pt>
                <c:pt idx="34">
                  <c:v>3434.75</c:v>
                </c:pt>
                <c:pt idx="35">
                  <c:v>3489.75</c:v>
                </c:pt>
                <c:pt idx="36">
                  <c:v>3851</c:v>
                </c:pt>
                <c:pt idx="37">
                  <c:v>3437.5</c:v>
                </c:pt>
                <c:pt idx="38">
                  <c:v>3751.5</c:v>
                </c:pt>
                <c:pt idx="39">
                  <c:v>4485</c:v>
                </c:pt>
                <c:pt idx="40">
                  <c:v>5673.25</c:v>
                </c:pt>
                <c:pt idx="41">
                  <c:v>5191.25</c:v>
                </c:pt>
                <c:pt idx="42">
                  <c:v>5230.5</c:v>
                </c:pt>
                <c:pt idx="43">
                  <c:v>4919.75</c:v>
                </c:pt>
                <c:pt idx="44">
                  <c:v>4005.5</c:v>
                </c:pt>
                <c:pt idx="45">
                  <c:v>4841.75</c:v>
                </c:pt>
                <c:pt idx="46">
                  <c:v>3884.25</c:v>
                </c:pt>
                <c:pt idx="47">
                  <c:v>4448.75</c:v>
                </c:pt>
                <c:pt idx="48">
                  <c:v>4943.5</c:v>
                </c:pt>
                <c:pt idx="49">
                  <c:v>4108.25</c:v>
                </c:pt>
                <c:pt idx="50">
                  <c:v>3548</c:v>
                </c:pt>
                <c:pt idx="51">
                  <c:v>3311.5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Data'!$G$894:$G$943</c:f>
              <c:numCache>
                <c:formatCode>#,##0</c:formatCode>
                <c:ptCount val="50"/>
                <c:pt idx="0">
                  <c:v>3421</c:v>
                </c:pt>
                <c:pt idx="1">
                  <c:v>3575</c:v>
                </c:pt>
                <c:pt idx="2">
                  <c:v>3739</c:v>
                </c:pt>
                <c:pt idx="3">
                  <c:v>4716</c:v>
                </c:pt>
                <c:pt idx="4">
                  <c:v>4575</c:v>
                </c:pt>
                <c:pt idx="5">
                  <c:v>3628</c:v>
                </c:pt>
                <c:pt idx="6">
                  <c:v>4110</c:v>
                </c:pt>
                <c:pt idx="7">
                  <c:v>4176</c:v>
                </c:pt>
                <c:pt idx="8">
                  <c:v>3054</c:v>
                </c:pt>
                <c:pt idx="9">
                  <c:v>3614</c:v>
                </c:pt>
                <c:pt idx="10">
                  <c:v>3840</c:v>
                </c:pt>
                <c:pt idx="11">
                  <c:v>4731</c:v>
                </c:pt>
                <c:pt idx="12">
                  <c:v>4923</c:v>
                </c:pt>
                <c:pt idx="13">
                  <c:v>3868</c:v>
                </c:pt>
                <c:pt idx="14">
                  <c:v>3990</c:v>
                </c:pt>
                <c:pt idx="15">
                  <c:v>4116</c:v>
                </c:pt>
                <c:pt idx="16">
                  <c:v>3936</c:v>
                </c:pt>
                <c:pt idx="17">
                  <c:v>3219</c:v>
                </c:pt>
                <c:pt idx="18">
                  <c:v>3979</c:v>
                </c:pt>
                <c:pt idx="19">
                  <c:v>3797</c:v>
                </c:pt>
                <c:pt idx="20" formatCode="#,##0_);\(#,##0\)">
                  <c:v>4341</c:v>
                </c:pt>
                <c:pt idx="21">
                  <c:v>3225</c:v>
                </c:pt>
                <c:pt idx="22">
                  <c:v>3684</c:v>
                </c:pt>
                <c:pt idx="23">
                  <c:v>3251</c:v>
                </c:pt>
                <c:pt idx="24">
                  <c:v>3771</c:v>
                </c:pt>
                <c:pt idx="25">
                  <c:v>3221</c:v>
                </c:pt>
                <c:pt idx="26">
                  <c:v>2316</c:v>
                </c:pt>
                <c:pt idx="27">
                  <c:v>3756</c:v>
                </c:pt>
                <c:pt idx="28">
                  <c:v>3653</c:v>
                </c:pt>
                <c:pt idx="29">
                  <c:v>3562</c:v>
                </c:pt>
                <c:pt idx="30">
                  <c:v>3932</c:v>
                </c:pt>
                <c:pt idx="31">
                  <c:v>2281</c:v>
                </c:pt>
                <c:pt idx="32">
                  <c:v>2068</c:v>
                </c:pt>
                <c:pt idx="33">
                  <c:v>3092</c:v>
                </c:pt>
                <c:pt idx="34">
                  <c:v>3056</c:v>
                </c:pt>
                <c:pt idx="35">
                  <c:v>2777</c:v>
                </c:pt>
                <c:pt idx="36">
                  <c:v>1986</c:v>
                </c:pt>
                <c:pt idx="37">
                  <c:v>2399</c:v>
                </c:pt>
                <c:pt idx="38">
                  <c:v>1707</c:v>
                </c:pt>
                <c:pt idx="39">
                  <c:v>2136</c:v>
                </c:pt>
                <c:pt idx="40">
                  <c:v>3997</c:v>
                </c:pt>
                <c:pt idx="41">
                  <c:v>4277</c:v>
                </c:pt>
                <c:pt idx="42">
                  <c:v>4247</c:v>
                </c:pt>
                <c:pt idx="43">
                  <c:v>4027</c:v>
                </c:pt>
                <c:pt idx="44">
                  <c:v>4041</c:v>
                </c:pt>
                <c:pt idx="45">
                  <c:v>3623</c:v>
                </c:pt>
                <c:pt idx="46">
                  <c:v>3507</c:v>
                </c:pt>
                <c:pt idx="47">
                  <c:v>3991</c:v>
                </c:pt>
                <c:pt idx="48">
                  <c:v>4152</c:v>
                </c:pt>
                <c:pt idx="49">
                  <c:v>6272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1840"/>
        <c:axId val="117498624"/>
      </c:lineChart>
      <c:dateAx>
        <c:axId val="3077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48283980349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49862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1749862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</a:t>
                </a:r>
              </a:p>
            </c:rich>
          </c:tx>
          <c:layout>
            <c:manualLayout>
              <c:xMode val="edge"/>
              <c:yMode val="edge"/>
              <c:x val="1.0162388576229872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7718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970342455212116"/>
          <c:y val="0.89819263871085886"/>
          <c:w val="0.65786798441003114"/>
          <c:h val="8.092168711469205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581391251"/>
          <c:y val="3.57638813153895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Averages'!$M$894:$M$945</c:f>
              <c:numCache>
                <c:formatCode>#,##0_);\(#,##0\)</c:formatCode>
                <c:ptCount val="52"/>
                <c:pt idx="0">
                  <c:v>3656.5</c:v>
                </c:pt>
                <c:pt idx="1">
                  <c:v>3917.5</c:v>
                </c:pt>
                <c:pt idx="2">
                  <c:v>4516.25</c:v>
                </c:pt>
                <c:pt idx="3">
                  <c:v>4274.75</c:v>
                </c:pt>
                <c:pt idx="4">
                  <c:v>4066</c:v>
                </c:pt>
                <c:pt idx="5">
                  <c:v>4396.5</c:v>
                </c:pt>
                <c:pt idx="6">
                  <c:v>3834.25</c:v>
                </c:pt>
                <c:pt idx="7">
                  <c:v>4606</c:v>
                </c:pt>
                <c:pt idx="8">
                  <c:v>4617.75</c:v>
                </c:pt>
                <c:pt idx="9">
                  <c:v>4505.75</c:v>
                </c:pt>
                <c:pt idx="10">
                  <c:v>4177.5</c:v>
                </c:pt>
                <c:pt idx="11">
                  <c:v>5109.5</c:v>
                </c:pt>
                <c:pt idx="12">
                  <c:v>4171.5</c:v>
                </c:pt>
                <c:pt idx="13">
                  <c:v>4421.5</c:v>
                </c:pt>
                <c:pt idx="14">
                  <c:v>4502</c:v>
                </c:pt>
                <c:pt idx="15">
                  <c:v>4302.25</c:v>
                </c:pt>
                <c:pt idx="16">
                  <c:v>4211.5</c:v>
                </c:pt>
                <c:pt idx="17">
                  <c:v>4365</c:v>
                </c:pt>
                <c:pt idx="18">
                  <c:v>3395.25</c:v>
                </c:pt>
                <c:pt idx="19">
                  <c:v>3752</c:v>
                </c:pt>
                <c:pt idx="20">
                  <c:v>3713.5</c:v>
                </c:pt>
                <c:pt idx="21">
                  <c:v>3422.5</c:v>
                </c:pt>
                <c:pt idx="22">
                  <c:v>3449.75</c:v>
                </c:pt>
                <c:pt idx="23">
                  <c:v>3108</c:v>
                </c:pt>
                <c:pt idx="24">
                  <c:v>3796</c:v>
                </c:pt>
                <c:pt idx="25">
                  <c:v>3403</c:v>
                </c:pt>
                <c:pt idx="26">
                  <c:v>3197.25</c:v>
                </c:pt>
                <c:pt idx="27">
                  <c:v>3743.75</c:v>
                </c:pt>
                <c:pt idx="28">
                  <c:v>4009</c:v>
                </c:pt>
                <c:pt idx="29">
                  <c:v>3959.25</c:v>
                </c:pt>
                <c:pt idx="30">
                  <c:v>3315.25</c:v>
                </c:pt>
                <c:pt idx="31">
                  <c:v>3788.75</c:v>
                </c:pt>
                <c:pt idx="32">
                  <c:v>3452.5</c:v>
                </c:pt>
                <c:pt idx="33">
                  <c:v>3505.25</c:v>
                </c:pt>
                <c:pt idx="34">
                  <c:v>3154.75</c:v>
                </c:pt>
                <c:pt idx="35">
                  <c:v>3347.25</c:v>
                </c:pt>
                <c:pt idx="36">
                  <c:v>3215.5</c:v>
                </c:pt>
                <c:pt idx="37">
                  <c:v>2824</c:v>
                </c:pt>
                <c:pt idx="38">
                  <c:v>3371.25</c:v>
                </c:pt>
                <c:pt idx="39">
                  <c:v>3928</c:v>
                </c:pt>
                <c:pt idx="40">
                  <c:v>5779.5</c:v>
                </c:pt>
                <c:pt idx="41">
                  <c:v>5187</c:v>
                </c:pt>
                <c:pt idx="42">
                  <c:v>5050</c:v>
                </c:pt>
                <c:pt idx="43">
                  <c:v>5172.75</c:v>
                </c:pt>
                <c:pt idx="44">
                  <c:v>4203</c:v>
                </c:pt>
                <c:pt idx="45">
                  <c:v>4683</c:v>
                </c:pt>
                <c:pt idx="46">
                  <c:v>3972.5</c:v>
                </c:pt>
                <c:pt idx="47">
                  <c:v>4256.5</c:v>
                </c:pt>
                <c:pt idx="48">
                  <c:v>4953.75</c:v>
                </c:pt>
                <c:pt idx="49">
                  <c:v>3911.5</c:v>
                </c:pt>
                <c:pt idx="50">
                  <c:v>3641.25</c:v>
                </c:pt>
                <c:pt idx="51">
                  <c:v>3021.25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Averages'!$V$894:$V$945</c:f>
              <c:numCache>
                <c:formatCode>#,##0</c:formatCode>
                <c:ptCount val="52"/>
                <c:pt idx="0">
                  <c:v>3636.125</c:v>
                </c:pt>
                <c:pt idx="1">
                  <c:v>3620.4375</c:v>
                </c:pt>
                <c:pt idx="2">
                  <c:v>3729.1875</c:v>
                </c:pt>
                <c:pt idx="3">
                  <c:v>4057.875</c:v>
                </c:pt>
                <c:pt idx="4">
                  <c:v>4248.1875</c:v>
                </c:pt>
                <c:pt idx="5">
                  <c:v>4245.6875</c:v>
                </c:pt>
                <c:pt idx="6">
                  <c:v>4263.625</c:v>
                </c:pt>
                <c:pt idx="7">
                  <c:v>4227.8125</c:v>
                </c:pt>
                <c:pt idx="8">
                  <c:v>4363.5625</c:v>
                </c:pt>
                <c:pt idx="9">
                  <c:v>4461.5625</c:v>
                </c:pt>
                <c:pt idx="10">
                  <c:v>4401.5625</c:v>
                </c:pt>
                <c:pt idx="11">
                  <c:v>4534.125</c:v>
                </c:pt>
                <c:pt idx="12">
                  <c:v>4466.75</c:v>
                </c:pt>
                <c:pt idx="13">
                  <c:v>4462.875</c:v>
                </c:pt>
                <c:pt idx="14">
                  <c:v>4570.625</c:v>
                </c:pt>
                <c:pt idx="15">
                  <c:v>4430.6875</c:v>
                </c:pt>
                <c:pt idx="16">
                  <c:v>4397.0625</c:v>
                </c:pt>
                <c:pt idx="17">
                  <c:v>4338.9375</c:v>
                </c:pt>
                <c:pt idx="18">
                  <c:v>4141.4375</c:v>
                </c:pt>
                <c:pt idx="19">
                  <c:v>3974.6875</c:v>
                </c:pt>
                <c:pt idx="20">
                  <c:v>3842.4375</c:v>
                </c:pt>
                <c:pt idx="21">
                  <c:v>3654.5625</c:v>
                </c:pt>
                <c:pt idx="22">
                  <c:v>3558.0625</c:v>
                </c:pt>
                <c:pt idx="23">
                  <c:v>3464.1875</c:v>
                </c:pt>
                <c:pt idx="24">
                  <c:v>3419.4375</c:v>
                </c:pt>
                <c:pt idx="25">
                  <c:v>3478.125</c:v>
                </c:pt>
                <c:pt idx="26">
                  <c:v>3398</c:v>
                </c:pt>
                <c:pt idx="27">
                  <c:v>3569.875</c:v>
                </c:pt>
                <c:pt idx="28">
                  <c:v>3670.3125</c:v>
                </c:pt>
                <c:pt idx="29">
                  <c:v>3691.1875</c:v>
                </c:pt>
                <c:pt idx="30">
                  <c:v>3714.875</c:v>
                </c:pt>
                <c:pt idx="31">
                  <c:v>3672.125</c:v>
                </c:pt>
                <c:pt idx="32">
                  <c:v>3421.75</c:v>
                </c:pt>
                <c:pt idx="33">
                  <c:v>3476.8125</c:v>
                </c:pt>
                <c:pt idx="34">
                  <c:v>3525.5</c:v>
                </c:pt>
                <c:pt idx="35">
                  <c:v>3474.3125</c:v>
                </c:pt>
                <c:pt idx="36">
                  <c:v>3457.5625</c:v>
                </c:pt>
                <c:pt idx="37">
                  <c:v>3202</c:v>
                </c:pt>
                <c:pt idx="38">
                  <c:v>3114.9375</c:v>
                </c:pt>
                <c:pt idx="39">
                  <c:v>3179.375</c:v>
                </c:pt>
                <c:pt idx="40">
                  <c:v>3780.5625</c:v>
                </c:pt>
                <c:pt idx="41">
                  <c:v>4406.3125</c:v>
                </c:pt>
                <c:pt idx="42">
                  <c:v>4832.8125</c:v>
                </c:pt>
                <c:pt idx="43">
                  <c:v>5237.875</c:v>
                </c:pt>
                <c:pt idx="44">
                  <c:v>4991.125</c:v>
                </c:pt>
                <c:pt idx="45">
                  <c:v>4736.625</c:v>
                </c:pt>
                <c:pt idx="46">
                  <c:v>4617.375</c:v>
                </c:pt>
                <c:pt idx="47">
                  <c:v>4377.75</c:v>
                </c:pt>
                <c:pt idx="48">
                  <c:v>4371.875</c:v>
                </c:pt>
                <c:pt idx="49">
                  <c:v>4322.8125</c:v>
                </c:pt>
                <c:pt idx="50">
                  <c:v>4237.5</c:v>
                </c:pt>
                <c:pt idx="51">
                  <c:v>3895.5</c:v>
                </c:pt>
              </c:numCache>
            </c:numRef>
          </c:val>
          <c:smooth val="0"/>
        </c:ser>
        <c:ser>
          <c:idx val="3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'Weekly Data'!$G$894:$G$943</c:f>
              <c:numCache>
                <c:formatCode>#,##0</c:formatCode>
                <c:ptCount val="50"/>
                <c:pt idx="0">
                  <c:v>3421</c:v>
                </c:pt>
                <c:pt idx="1">
                  <c:v>3575</c:v>
                </c:pt>
                <c:pt idx="2">
                  <c:v>3739</c:v>
                </c:pt>
                <c:pt idx="3">
                  <c:v>4716</c:v>
                </c:pt>
                <c:pt idx="4">
                  <c:v>4575</c:v>
                </c:pt>
                <c:pt idx="5">
                  <c:v>3628</c:v>
                </c:pt>
                <c:pt idx="6">
                  <c:v>4110</c:v>
                </c:pt>
                <c:pt idx="7">
                  <c:v>4176</c:v>
                </c:pt>
                <c:pt idx="8">
                  <c:v>3054</c:v>
                </c:pt>
                <c:pt idx="9">
                  <c:v>3614</c:v>
                </c:pt>
                <c:pt idx="10">
                  <c:v>3840</c:v>
                </c:pt>
                <c:pt idx="11">
                  <c:v>4731</c:v>
                </c:pt>
                <c:pt idx="12">
                  <c:v>4923</c:v>
                </c:pt>
                <c:pt idx="13">
                  <c:v>3868</c:v>
                </c:pt>
                <c:pt idx="14">
                  <c:v>3990</c:v>
                </c:pt>
                <c:pt idx="15">
                  <c:v>4116</c:v>
                </c:pt>
                <c:pt idx="16">
                  <c:v>3936</c:v>
                </c:pt>
                <c:pt idx="17">
                  <c:v>3219</c:v>
                </c:pt>
                <c:pt idx="18">
                  <c:v>3979</c:v>
                </c:pt>
                <c:pt idx="19">
                  <c:v>3797</c:v>
                </c:pt>
                <c:pt idx="20" formatCode="#,##0_);\(#,##0\)">
                  <c:v>4341</c:v>
                </c:pt>
                <c:pt idx="21">
                  <c:v>3225</c:v>
                </c:pt>
                <c:pt idx="22">
                  <c:v>3684</c:v>
                </c:pt>
                <c:pt idx="23">
                  <c:v>3251</c:v>
                </c:pt>
                <c:pt idx="24">
                  <c:v>3771</c:v>
                </c:pt>
                <c:pt idx="25">
                  <c:v>3221</c:v>
                </c:pt>
                <c:pt idx="26">
                  <c:v>2316</c:v>
                </c:pt>
                <c:pt idx="27">
                  <c:v>3756</c:v>
                </c:pt>
                <c:pt idx="28">
                  <c:v>3653</c:v>
                </c:pt>
                <c:pt idx="29">
                  <c:v>3562</c:v>
                </c:pt>
                <c:pt idx="30">
                  <c:v>3932</c:v>
                </c:pt>
                <c:pt idx="31">
                  <c:v>2281</c:v>
                </c:pt>
                <c:pt idx="32">
                  <c:v>2068</c:v>
                </c:pt>
                <c:pt idx="33">
                  <c:v>3092</c:v>
                </c:pt>
                <c:pt idx="34">
                  <c:v>3056</c:v>
                </c:pt>
                <c:pt idx="35">
                  <c:v>2777</c:v>
                </c:pt>
                <c:pt idx="36">
                  <c:v>1986</c:v>
                </c:pt>
                <c:pt idx="37">
                  <c:v>2399</c:v>
                </c:pt>
                <c:pt idx="38">
                  <c:v>1707</c:v>
                </c:pt>
                <c:pt idx="39">
                  <c:v>2136</c:v>
                </c:pt>
                <c:pt idx="40">
                  <c:v>3997</c:v>
                </c:pt>
                <c:pt idx="41">
                  <c:v>4277</c:v>
                </c:pt>
                <c:pt idx="42">
                  <c:v>4247</c:v>
                </c:pt>
                <c:pt idx="43">
                  <c:v>4027</c:v>
                </c:pt>
                <c:pt idx="44">
                  <c:v>4041</c:v>
                </c:pt>
                <c:pt idx="45">
                  <c:v>3623</c:v>
                </c:pt>
                <c:pt idx="46">
                  <c:v>3507</c:v>
                </c:pt>
                <c:pt idx="47">
                  <c:v>3991</c:v>
                </c:pt>
                <c:pt idx="48">
                  <c:v>4152</c:v>
                </c:pt>
                <c:pt idx="49">
                  <c:v>6272</c:v>
                </c:pt>
              </c:numCache>
            </c:numRef>
          </c:val>
          <c:smooth val="0"/>
        </c:ser>
        <c:ser>
          <c:idx val="4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07488"/>
        <c:axId val="129809408"/>
      </c:lineChart>
      <c:dateAx>
        <c:axId val="129807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72268315456"/>
              <c:y val="0.7985607927817887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8094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980940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8074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545993411897336"/>
          <c:y val="0.89114954813473801"/>
          <c:w val="0.83103784635980904"/>
          <c:h val="0.1088504518652619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55515175987"/>
          <c:y val="3.59486314210723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Averages'!$N$894:$N$945</c:f>
              <c:numCache>
                <c:formatCode>#,##0_);\(#,##0\)</c:formatCode>
                <c:ptCount val="52"/>
                <c:pt idx="0">
                  <c:v>910</c:v>
                </c:pt>
                <c:pt idx="1">
                  <c:v>969</c:v>
                </c:pt>
                <c:pt idx="2">
                  <c:v>843.25</c:v>
                </c:pt>
                <c:pt idx="3">
                  <c:v>1038.5</c:v>
                </c:pt>
                <c:pt idx="4">
                  <c:v>832.75</c:v>
                </c:pt>
                <c:pt idx="5">
                  <c:v>837.25</c:v>
                </c:pt>
                <c:pt idx="6">
                  <c:v>736.5</c:v>
                </c:pt>
                <c:pt idx="7">
                  <c:v>867.5</c:v>
                </c:pt>
                <c:pt idx="8">
                  <c:v>884.25</c:v>
                </c:pt>
                <c:pt idx="9">
                  <c:v>791.75</c:v>
                </c:pt>
                <c:pt idx="10">
                  <c:v>705.25</c:v>
                </c:pt>
                <c:pt idx="11">
                  <c:v>815.25</c:v>
                </c:pt>
                <c:pt idx="12">
                  <c:v>605.25</c:v>
                </c:pt>
                <c:pt idx="13">
                  <c:v>563</c:v>
                </c:pt>
                <c:pt idx="14">
                  <c:v>508.5</c:v>
                </c:pt>
                <c:pt idx="15">
                  <c:v>404.75</c:v>
                </c:pt>
                <c:pt idx="16">
                  <c:v>390.5</c:v>
                </c:pt>
                <c:pt idx="17">
                  <c:v>540.25</c:v>
                </c:pt>
                <c:pt idx="18">
                  <c:v>342.75</c:v>
                </c:pt>
                <c:pt idx="19">
                  <c:v>255.25</c:v>
                </c:pt>
                <c:pt idx="20">
                  <c:v>280.75</c:v>
                </c:pt>
                <c:pt idx="21">
                  <c:v>243</c:v>
                </c:pt>
                <c:pt idx="22">
                  <c:v>267.25</c:v>
                </c:pt>
                <c:pt idx="23">
                  <c:v>225.75</c:v>
                </c:pt>
                <c:pt idx="24">
                  <c:v>223</c:v>
                </c:pt>
                <c:pt idx="25">
                  <c:v>289</c:v>
                </c:pt>
                <c:pt idx="26">
                  <c:v>274</c:v>
                </c:pt>
                <c:pt idx="27">
                  <c:v>409.25</c:v>
                </c:pt>
                <c:pt idx="28">
                  <c:v>332.25</c:v>
                </c:pt>
                <c:pt idx="29">
                  <c:v>94.5</c:v>
                </c:pt>
                <c:pt idx="30">
                  <c:v>221.5</c:v>
                </c:pt>
                <c:pt idx="31">
                  <c:v>205.5</c:v>
                </c:pt>
                <c:pt idx="32">
                  <c:v>222</c:v>
                </c:pt>
                <c:pt idx="33">
                  <c:v>393.5</c:v>
                </c:pt>
                <c:pt idx="34">
                  <c:v>291.25</c:v>
                </c:pt>
                <c:pt idx="35">
                  <c:v>413</c:v>
                </c:pt>
                <c:pt idx="36">
                  <c:v>335.5</c:v>
                </c:pt>
                <c:pt idx="37">
                  <c:v>521.5</c:v>
                </c:pt>
                <c:pt idx="38">
                  <c:v>620</c:v>
                </c:pt>
                <c:pt idx="39">
                  <c:v>659</c:v>
                </c:pt>
                <c:pt idx="40">
                  <c:v>863.75</c:v>
                </c:pt>
                <c:pt idx="41">
                  <c:v>978.25</c:v>
                </c:pt>
                <c:pt idx="42">
                  <c:v>911.25</c:v>
                </c:pt>
                <c:pt idx="43">
                  <c:v>1008.25</c:v>
                </c:pt>
                <c:pt idx="44">
                  <c:v>980.5</c:v>
                </c:pt>
                <c:pt idx="45">
                  <c:v>1327</c:v>
                </c:pt>
                <c:pt idx="46">
                  <c:v>1108.25</c:v>
                </c:pt>
                <c:pt idx="47">
                  <c:v>953.25</c:v>
                </c:pt>
                <c:pt idx="48">
                  <c:v>1007.25</c:v>
                </c:pt>
                <c:pt idx="49">
                  <c:v>720.25</c:v>
                </c:pt>
                <c:pt idx="50">
                  <c:v>934.5</c:v>
                </c:pt>
                <c:pt idx="51">
                  <c:v>569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Averages'!$W$894:$W$945</c:f>
              <c:numCache>
                <c:formatCode>#,##0_);\(#,##0\)</c:formatCode>
                <c:ptCount val="52"/>
                <c:pt idx="0">
                  <c:v>734.25</c:v>
                </c:pt>
                <c:pt idx="1">
                  <c:v>826</c:v>
                </c:pt>
                <c:pt idx="2">
                  <c:v>823.625</c:v>
                </c:pt>
                <c:pt idx="3">
                  <c:v>920.875</c:v>
                </c:pt>
                <c:pt idx="4">
                  <c:v>961.6875</c:v>
                </c:pt>
                <c:pt idx="5">
                  <c:v>869.625</c:v>
                </c:pt>
                <c:pt idx="6">
                  <c:v>875.375</c:v>
                </c:pt>
                <c:pt idx="7">
                  <c:v>841.8125</c:v>
                </c:pt>
                <c:pt idx="8">
                  <c:v>823.6875</c:v>
                </c:pt>
                <c:pt idx="9">
                  <c:v>840.8125</c:v>
                </c:pt>
                <c:pt idx="10">
                  <c:v>813.125</c:v>
                </c:pt>
                <c:pt idx="11">
                  <c:v>805.1875</c:v>
                </c:pt>
                <c:pt idx="12">
                  <c:v>728.625</c:v>
                </c:pt>
                <c:pt idx="13">
                  <c:v>663.5</c:v>
                </c:pt>
                <c:pt idx="14">
                  <c:v>617.6875</c:v>
                </c:pt>
                <c:pt idx="15">
                  <c:v>522.5</c:v>
                </c:pt>
                <c:pt idx="16">
                  <c:v>470.8125</c:v>
                </c:pt>
                <c:pt idx="17">
                  <c:v>474.5625</c:v>
                </c:pt>
                <c:pt idx="18">
                  <c:v>428.5625</c:v>
                </c:pt>
                <c:pt idx="19">
                  <c:v>390.75</c:v>
                </c:pt>
                <c:pt idx="20">
                  <c:v>360.5</c:v>
                </c:pt>
                <c:pt idx="21">
                  <c:v>291.3125</c:v>
                </c:pt>
                <c:pt idx="22">
                  <c:v>257.8125</c:v>
                </c:pt>
                <c:pt idx="23">
                  <c:v>251.875</c:v>
                </c:pt>
                <c:pt idx="24">
                  <c:v>236.3125</c:v>
                </c:pt>
                <c:pt idx="25">
                  <c:v>244.6875</c:v>
                </c:pt>
                <c:pt idx="26">
                  <c:v>262.6875</c:v>
                </c:pt>
                <c:pt idx="27">
                  <c:v>300.4375</c:v>
                </c:pt>
                <c:pt idx="28">
                  <c:v>322.75</c:v>
                </c:pt>
                <c:pt idx="29">
                  <c:v>282.125</c:v>
                </c:pt>
                <c:pt idx="30">
                  <c:v>251.3125</c:v>
                </c:pt>
                <c:pt idx="31">
                  <c:v>202.3125</c:v>
                </c:pt>
                <c:pt idx="32">
                  <c:v>185.1875</c:v>
                </c:pt>
                <c:pt idx="33">
                  <c:v>209.6875</c:v>
                </c:pt>
                <c:pt idx="34">
                  <c:v>275.875</c:v>
                </c:pt>
                <c:pt idx="35">
                  <c:v>319.6875</c:v>
                </c:pt>
                <c:pt idx="36">
                  <c:v>349.5625</c:v>
                </c:pt>
                <c:pt idx="37">
                  <c:v>389.25</c:v>
                </c:pt>
                <c:pt idx="38">
                  <c:v>426.75</c:v>
                </c:pt>
                <c:pt idx="39">
                  <c:v>510.5625</c:v>
                </c:pt>
                <c:pt idx="40">
                  <c:v>639.5</c:v>
                </c:pt>
                <c:pt idx="41">
                  <c:v>776.125</c:v>
                </c:pt>
                <c:pt idx="42">
                  <c:v>859.5</c:v>
                </c:pt>
                <c:pt idx="43">
                  <c:v>938.5</c:v>
                </c:pt>
                <c:pt idx="44">
                  <c:v>941.1875</c:v>
                </c:pt>
                <c:pt idx="45">
                  <c:v>1018.6875</c:v>
                </c:pt>
                <c:pt idx="46">
                  <c:v>1101.25</c:v>
                </c:pt>
                <c:pt idx="47">
                  <c:v>1069.9375</c:v>
                </c:pt>
                <c:pt idx="48">
                  <c:v>1119.3125</c:v>
                </c:pt>
                <c:pt idx="49">
                  <c:v>1027.375</c:v>
                </c:pt>
                <c:pt idx="50">
                  <c:v>911.625</c:v>
                </c:pt>
                <c:pt idx="51">
                  <c:v>838.8125</c:v>
                </c:pt>
              </c:numCache>
            </c:numRef>
          </c:val>
          <c:smooth val="0"/>
        </c:ser>
        <c:ser>
          <c:idx val="3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Data'!$H$894:$H$943</c:f>
              <c:numCache>
                <c:formatCode>#,##0</c:formatCode>
                <c:ptCount val="50"/>
                <c:pt idx="0">
                  <c:v>761</c:v>
                </c:pt>
                <c:pt idx="1">
                  <c:v>841</c:v>
                </c:pt>
                <c:pt idx="2">
                  <c:v>1007</c:v>
                </c:pt>
                <c:pt idx="3">
                  <c:v>792</c:v>
                </c:pt>
                <c:pt idx="4">
                  <c:v>608</c:v>
                </c:pt>
                <c:pt idx="5">
                  <c:v>795</c:v>
                </c:pt>
                <c:pt idx="6">
                  <c:v>496</c:v>
                </c:pt>
                <c:pt idx="7">
                  <c:v>810</c:v>
                </c:pt>
                <c:pt idx="8">
                  <c:v>822</c:v>
                </c:pt>
                <c:pt idx="9">
                  <c:v>748</c:v>
                </c:pt>
                <c:pt idx="10">
                  <c:v>635</c:v>
                </c:pt>
                <c:pt idx="11">
                  <c:v>837</c:v>
                </c:pt>
                <c:pt idx="12">
                  <c:v>727</c:v>
                </c:pt>
                <c:pt idx="13">
                  <c:v>600</c:v>
                </c:pt>
                <c:pt idx="14">
                  <c:v>539</c:v>
                </c:pt>
                <c:pt idx="15">
                  <c:v>564</c:v>
                </c:pt>
                <c:pt idx="16">
                  <c:v>626</c:v>
                </c:pt>
                <c:pt idx="17">
                  <c:v>391</c:v>
                </c:pt>
                <c:pt idx="18">
                  <c:v>629</c:v>
                </c:pt>
                <c:pt idx="19">
                  <c:v>410</c:v>
                </c:pt>
                <c:pt idx="20">
                  <c:v>433</c:v>
                </c:pt>
                <c:pt idx="21">
                  <c:v>169</c:v>
                </c:pt>
                <c:pt idx="22">
                  <c:v>82</c:v>
                </c:pt>
                <c:pt idx="23">
                  <c:v>274</c:v>
                </c:pt>
                <c:pt idx="24">
                  <c:v>401</c:v>
                </c:pt>
                <c:pt idx="25">
                  <c:v>198</c:v>
                </c:pt>
                <c:pt idx="26">
                  <c:v>182</c:v>
                </c:pt>
                <c:pt idx="27">
                  <c:v>283</c:v>
                </c:pt>
                <c:pt idx="28">
                  <c:v>177</c:v>
                </c:pt>
                <c:pt idx="29">
                  <c:v>255</c:v>
                </c:pt>
                <c:pt idx="30">
                  <c:v>195</c:v>
                </c:pt>
                <c:pt idx="31">
                  <c:v>332</c:v>
                </c:pt>
                <c:pt idx="32">
                  <c:v>168</c:v>
                </c:pt>
                <c:pt idx="33">
                  <c:v>95</c:v>
                </c:pt>
                <c:pt idx="34">
                  <c:v>0</c:v>
                </c:pt>
                <c:pt idx="35">
                  <c:v>34</c:v>
                </c:pt>
                <c:pt idx="36">
                  <c:v>32</c:v>
                </c:pt>
                <c:pt idx="37">
                  <c:v>82</c:v>
                </c:pt>
                <c:pt idx="38">
                  <c:v>194</c:v>
                </c:pt>
                <c:pt idx="39">
                  <c:v>170</c:v>
                </c:pt>
                <c:pt idx="40">
                  <c:v>213</c:v>
                </c:pt>
                <c:pt idx="41">
                  <c:v>420</c:v>
                </c:pt>
                <c:pt idx="42">
                  <c:v>719</c:v>
                </c:pt>
                <c:pt idx="43">
                  <c:v>548</c:v>
                </c:pt>
                <c:pt idx="44">
                  <c:v>857</c:v>
                </c:pt>
                <c:pt idx="45">
                  <c:v>732</c:v>
                </c:pt>
                <c:pt idx="46">
                  <c:v>693</c:v>
                </c:pt>
                <c:pt idx="47">
                  <c:v>394</c:v>
                </c:pt>
                <c:pt idx="48">
                  <c:v>589</c:v>
                </c:pt>
                <c:pt idx="49">
                  <c:v>578</c:v>
                </c:pt>
              </c:numCache>
            </c:numRef>
          </c:val>
          <c:smooth val="0"/>
        </c:ser>
        <c:ser>
          <c:idx val="4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58944"/>
        <c:axId val="129865216"/>
      </c:lineChart>
      <c:dateAx>
        <c:axId val="12985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3235300716"/>
              <c:y val="0.813623056733292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86521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986521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8589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152208538035308"/>
          <c:y val="0.90497750281214839"/>
          <c:w val="0.82105457971599705"/>
          <c:h val="9.502249718785149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Averages'!$J$842:$J$893</c:f>
              <c:numCache>
                <c:formatCode>#,##0_);\(#,##0\)</c:formatCode>
                <c:ptCount val="52"/>
                <c:pt idx="0">
                  <c:v>1424.5</c:v>
                </c:pt>
                <c:pt idx="1">
                  <c:v>1814</c:v>
                </c:pt>
                <c:pt idx="2">
                  <c:v>1753.5</c:v>
                </c:pt>
                <c:pt idx="3">
                  <c:v>1571.5</c:v>
                </c:pt>
                <c:pt idx="4">
                  <c:v>1615</c:v>
                </c:pt>
                <c:pt idx="5">
                  <c:v>1697</c:v>
                </c:pt>
                <c:pt idx="6">
                  <c:v>1693</c:v>
                </c:pt>
                <c:pt idx="7">
                  <c:v>1353</c:v>
                </c:pt>
                <c:pt idx="8">
                  <c:v>1820.5</c:v>
                </c:pt>
                <c:pt idx="9">
                  <c:v>1528.25</c:v>
                </c:pt>
                <c:pt idx="10">
                  <c:v>1207.75</c:v>
                </c:pt>
                <c:pt idx="11">
                  <c:v>843.25</c:v>
                </c:pt>
                <c:pt idx="12">
                  <c:v>1006.5</c:v>
                </c:pt>
                <c:pt idx="13">
                  <c:v>848.25</c:v>
                </c:pt>
                <c:pt idx="14">
                  <c:v>900.75</c:v>
                </c:pt>
                <c:pt idx="15">
                  <c:v>762.25</c:v>
                </c:pt>
                <c:pt idx="16">
                  <c:v>650.25</c:v>
                </c:pt>
                <c:pt idx="17">
                  <c:v>564.75</c:v>
                </c:pt>
                <c:pt idx="18">
                  <c:v>636.75</c:v>
                </c:pt>
                <c:pt idx="19">
                  <c:v>501.75</c:v>
                </c:pt>
                <c:pt idx="20">
                  <c:v>592.75</c:v>
                </c:pt>
                <c:pt idx="21">
                  <c:v>593.5</c:v>
                </c:pt>
                <c:pt idx="22">
                  <c:v>386.75</c:v>
                </c:pt>
                <c:pt idx="23">
                  <c:v>454.5</c:v>
                </c:pt>
                <c:pt idx="24">
                  <c:v>634.25</c:v>
                </c:pt>
                <c:pt idx="25">
                  <c:v>773.25</c:v>
                </c:pt>
                <c:pt idx="26">
                  <c:v>786.5</c:v>
                </c:pt>
                <c:pt idx="27">
                  <c:v>939.25</c:v>
                </c:pt>
                <c:pt idx="28">
                  <c:v>1123.5</c:v>
                </c:pt>
                <c:pt idx="29">
                  <c:v>888</c:v>
                </c:pt>
                <c:pt idx="30">
                  <c:v>1036.75</c:v>
                </c:pt>
                <c:pt idx="31">
                  <c:v>1043</c:v>
                </c:pt>
                <c:pt idx="32">
                  <c:v>1064.5</c:v>
                </c:pt>
                <c:pt idx="33">
                  <c:v>1254</c:v>
                </c:pt>
                <c:pt idx="34">
                  <c:v>1159</c:v>
                </c:pt>
                <c:pt idx="35">
                  <c:v>1254</c:v>
                </c:pt>
                <c:pt idx="36">
                  <c:v>1355.25</c:v>
                </c:pt>
                <c:pt idx="37">
                  <c:v>1403</c:v>
                </c:pt>
                <c:pt idx="38">
                  <c:v>1738.25</c:v>
                </c:pt>
                <c:pt idx="39">
                  <c:v>2075.5</c:v>
                </c:pt>
                <c:pt idx="40">
                  <c:v>2510.5</c:v>
                </c:pt>
                <c:pt idx="41">
                  <c:v>2162.75</c:v>
                </c:pt>
                <c:pt idx="42">
                  <c:v>2217.25</c:v>
                </c:pt>
                <c:pt idx="43">
                  <c:v>1818</c:v>
                </c:pt>
                <c:pt idx="44">
                  <c:v>1914.25</c:v>
                </c:pt>
                <c:pt idx="45">
                  <c:v>1483.5</c:v>
                </c:pt>
                <c:pt idx="46">
                  <c:v>1668.5</c:v>
                </c:pt>
                <c:pt idx="47">
                  <c:v>1689.25</c:v>
                </c:pt>
                <c:pt idx="48">
                  <c:v>1483</c:v>
                </c:pt>
                <c:pt idx="49">
                  <c:v>1213.5</c:v>
                </c:pt>
                <c:pt idx="50">
                  <c:v>1150.75</c:v>
                </c:pt>
                <c:pt idx="51">
                  <c:v>851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Data'!$D$842:$D$893</c:f>
              <c:numCache>
                <c:formatCode>#,##0</c:formatCode>
                <c:ptCount val="52"/>
                <c:pt idx="0">
                  <c:v>490</c:v>
                </c:pt>
                <c:pt idx="1">
                  <c:v>278</c:v>
                </c:pt>
                <c:pt idx="2">
                  <c:v>570</c:v>
                </c:pt>
                <c:pt idx="3">
                  <c:v>716</c:v>
                </c:pt>
                <c:pt idx="4">
                  <c:v>589</c:v>
                </c:pt>
                <c:pt idx="5">
                  <c:v>783</c:v>
                </c:pt>
                <c:pt idx="6">
                  <c:v>367</c:v>
                </c:pt>
                <c:pt idx="7">
                  <c:v>230</c:v>
                </c:pt>
                <c:pt idx="8">
                  <c:v>504</c:v>
                </c:pt>
                <c:pt idx="9">
                  <c:v>555</c:v>
                </c:pt>
                <c:pt idx="10">
                  <c:v>226</c:v>
                </c:pt>
                <c:pt idx="11">
                  <c:v>594</c:v>
                </c:pt>
                <c:pt idx="12">
                  <c:v>84</c:v>
                </c:pt>
                <c:pt idx="13">
                  <c:v>200</c:v>
                </c:pt>
                <c:pt idx="14">
                  <c:v>222</c:v>
                </c:pt>
                <c:pt idx="15">
                  <c:v>100</c:v>
                </c:pt>
                <c:pt idx="16">
                  <c:v>198</c:v>
                </c:pt>
                <c:pt idx="17">
                  <c:v>107</c:v>
                </c:pt>
                <c:pt idx="18">
                  <c:v>108</c:v>
                </c:pt>
                <c:pt idx="19">
                  <c:v>198</c:v>
                </c:pt>
                <c:pt idx="20">
                  <c:v>201</c:v>
                </c:pt>
                <c:pt idx="21">
                  <c:v>208</c:v>
                </c:pt>
                <c:pt idx="22">
                  <c:v>0</c:v>
                </c:pt>
                <c:pt idx="23" formatCode="#,##0;[Red]#,##0">
                  <c:v>430</c:v>
                </c:pt>
                <c:pt idx="24">
                  <c:v>158</c:v>
                </c:pt>
                <c:pt idx="25">
                  <c:v>214</c:v>
                </c:pt>
                <c:pt idx="26">
                  <c:v>5</c:v>
                </c:pt>
                <c:pt idx="27">
                  <c:v>105</c:v>
                </c:pt>
                <c:pt idx="28">
                  <c:v>231</c:v>
                </c:pt>
                <c:pt idx="29">
                  <c:v>442</c:v>
                </c:pt>
                <c:pt idx="30">
                  <c:v>101</c:v>
                </c:pt>
                <c:pt idx="31">
                  <c:v>262</c:v>
                </c:pt>
                <c:pt idx="32">
                  <c:v>393</c:v>
                </c:pt>
                <c:pt idx="33">
                  <c:v>494</c:v>
                </c:pt>
                <c:pt idx="34">
                  <c:v>372</c:v>
                </c:pt>
                <c:pt idx="35">
                  <c:v>757</c:v>
                </c:pt>
                <c:pt idx="36">
                  <c:v>884</c:v>
                </c:pt>
                <c:pt idx="37">
                  <c:v>1288</c:v>
                </c:pt>
                <c:pt idx="38">
                  <c:v>849</c:v>
                </c:pt>
                <c:pt idx="39">
                  <c:v>1458</c:v>
                </c:pt>
                <c:pt idx="40">
                  <c:v>1548</c:v>
                </c:pt>
                <c:pt idx="41">
                  <c:v>2094</c:v>
                </c:pt>
                <c:pt idx="42">
                  <c:v>1583</c:v>
                </c:pt>
                <c:pt idx="43">
                  <c:v>1904</c:v>
                </c:pt>
                <c:pt idx="44">
                  <c:v>1776</c:v>
                </c:pt>
                <c:pt idx="45">
                  <c:v>1644</c:v>
                </c:pt>
                <c:pt idx="46">
                  <c:v>1123</c:v>
                </c:pt>
                <c:pt idx="47">
                  <c:v>1316</c:v>
                </c:pt>
                <c:pt idx="48">
                  <c:v>1735</c:v>
                </c:pt>
                <c:pt idx="49">
                  <c:v>1075</c:v>
                </c:pt>
                <c:pt idx="50">
                  <c:v>1110</c:v>
                </c:pt>
                <c:pt idx="51">
                  <c:v>1092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Data'!$D$894:$D$943</c:f>
              <c:numCache>
                <c:formatCode>#,##0</c:formatCode>
                <c:ptCount val="50"/>
                <c:pt idx="0">
                  <c:v>1100</c:v>
                </c:pt>
                <c:pt idx="1">
                  <c:v>853</c:v>
                </c:pt>
                <c:pt idx="2">
                  <c:v>1403</c:v>
                </c:pt>
                <c:pt idx="3">
                  <c:v>1200</c:v>
                </c:pt>
                <c:pt idx="4">
                  <c:v>940</c:v>
                </c:pt>
                <c:pt idx="5">
                  <c:v>728</c:v>
                </c:pt>
                <c:pt idx="6">
                  <c:v>1208</c:v>
                </c:pt>
                <c:pt idx="7">
                  <c:v>1036</c:v>
                </c:pt>
                <c:pt idx="8">
                  <c:v>1147</c:v>
                </c:pt>
                <c:pt idx="9" formatCode="General">
                  <c:v>1113</c:v>
                </c:pt>
                <c:pt idx="10">
                  <c:v>1111</c:v>
                </c:pt>
                <c:pt idx="11">
                  <c:v>1706</c:v>
                </c:pt>
                <c:pt idx="12">
                  <c:v>1282</c:v>
                </c:pt>
                <c:pt idx="13">
                  <c:v>1104</c:v>
                </c:pt>
                <c:pt idx="14">
                  <c:v>703</c:v>
                </c:pt>
                <c:pt idx="15">
                  <c:v>228</c:v>
                </c:pt>
                <c:pt idx="16">
                  <c:v>482</c:v>
                </c:pt>
                <c:pt idx="17">
                  <c:v>404</c:v>
                </c:pt>
                <c:pt idx="18">
                  <c:v>778</c:v>
                </c:pt>
                <c:pt idx="19">
                  <c:v>537</c:v>
                </c:pt>
                <c:pt idx="20" formatCode="General">
                  <c:v>554</c:v>
                </c:pt>
                <c:pt idx="21">
                  <c:v>435</c:v>
                </c:pt>
                <c:pt idx="22">
                  <c:v>373</c:v>
                </c:pt>
                <c:pt idx="23">
                  <c:v>156</c:v>
                </c:pt>
                <c:pt idx="24">
                  <c:v>231</c:v>
                </c:pt>
                <c:pt idx="25">
                  <c:v>218</c:v>
                </c:pt>
                <c:pt idx="26">
                  <c:v>209</c:v>
                </c:pt>
                <c:pt idx="27">
                  <c:v>167</c:v>
                </c:pt>
                <c:pt idx="28">
                  <c:v>3</c:v>
                </c:pt>
                <c:pt idx="29">
                  <c:v>111</c:v>
                </c:pt>
                <c:pt idx="30">
                  <c:v>206</c:v>
                </c:pt>
                <c:pt idx="31">
                  <c:v>0</c:v>
                </c:pt>
                <c:pt idx="32">
                  <c:v>128</c:v>
                </c:pt>
                <c:pt idx="33">
                  <c:v>108</c:v>
                </c:pt>
                <c:pt idx="34">
                  <c:v>1</c:v>
                </c:pt>
                <c:pt idx="35">
                  <c:v>120</c:v>
                </c:pt>
                <c:pt idx="36">
                  <c:v>110</c:v>
                </c:pt>
                <c:pt idx="37">
                  <c:v>149</c:v>
                </c:pt>
                <c:pt idx="38">
                  <c:v>617</c:v>
                </c:pt>
                <c:pt idx="39">
                  <c:v>479</c:v>
                </c:pt>
                <c:pt idx="40">
                  <c:v>279</c:v>
                </c:pt>
                <c:pt idx="41">
                  <c:v>791</c:v>
                </c:pt>
                <c:pt idx="42">
                  <c:v>891</c:v>
                </c:pt>
                <c:pt idx="43">
                  <c:v>533</c:v>
                </c:pt>
                <c:pt idx="44">
                  <c:v>532</c:v>
                </c:pt>
                <c:pt idx="45">
                  <c:v>76</c:v>
                </c:pt>
                <c:pt idx="46">
                  <c:v>405</c:v>
                </c:pt>
                <c:pt idx="47">
                  <c:v>125</c:v>
                </c:pt>
                <c:pt idx="48">
                  <c:v>111</c:v>
                </c:pt>
                <c:pt idx="49">
                  <c:v>117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Data'!$D$946:$D$997</c:f>
              <c:numCache>
                <c:formatCode>#,##0</c:formatCode>
                <c:ptCount val="52"/>
                <c:pt idx="0">
                  <c:v>25</c:v>
                </c:pt>
                <c:pt idx="1">
                  <c:v>148</c:v>
                </c:pt>
                <c:pt idx="2">
                  <c:v>0</c:v>
                </c:pt>
                <c:pt idx="3">
                  <c:v>25</c:v>
                </c:pt>
                <c:pt idx="4">
                  <c:v>449</c:v>
                </c:pt>
                <c:pt idx="5">
                  <c:v>144</c:v>
                </c:pt>
                <c:pt idx="6">
                  <c:v>630</c:v>
                </c:pt>
                <c:pt idx="7">
                  <c:v>567</c:v>
                </c:pt>
                <c:pt idx="8">
                  <c:v>433</c:v>
                </c:pt>
                <c:pt idx="9">
                  <c:v>359</c:v>
                </c:pt>
                <c:pt idx="10">
                  <c:v>328</c:v>
                </c:pt>
                <c:pt idx="11">
                  <c:v>68</c:v>
                </c:pt>
                <c:pt idx="12">
                  <c:v>6</c:v>
                </c:pt>
                <c:pt idx="13">
                  <c:v>235</c:v>
                </c:pt>
                <c:pt idx="14">
                  <c:v>71</c:v>
                </c:pt>
                <c:pt idx="15">
                  <c:v>0</c:v>
                </c:pt>
                <c:pt idx="16">
                  <c:v>52</c:v>
                </c:pt>
                <c:pt idx="17">
                  <c:v>25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 formatCode="General">
                  <c:v>215</c:v>
                </c:pt>
                <c:pt idx="23" formatCode="General">
                  <c:v>110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110</c:v>
                </c:pt>
                <c:pt idx="27" formatCode="General">
                  <c:v>0</c:v>
                </c:pt>
                <c:pt idx="28" formatCode="General">
                  <c:v>504</c:v>
                </c:pt>
                <c:pt idx="29" formatCode="General">
                  <c:v>280</c:v>
                </c:pt>
                <c:pt idx="30" formatCode="#,##0_);\(#,##0\)">
                  <c:v>393</c:v>
                </c:pt>
                <c:pt idx="31" formatCode="#,##0_);\(#,##0\)">
                  <c:v>791</c:v>
                </c:pt>
                <c:pt idx="32" formatCode="#,##0_);\(#,##0\)">
                  <c:v>257</c:v>
                </c:pt>
                <c:pt idx="33" formatCode="#,##0_);\(#,##0\)">
                  <c:v>629</c:v>
                </c:pt>
                <c:pt idx="34" formatCode="#,##0_);\(#,##0\)">
                  <c:v>1</c:v>
                </c:pt>
                <c:pt idx="35" formatCode="#,##0_);\(#,##0\)">
                  <c:v>74</c:v>
                </c:pt>
                <c:pt idx="36" formatCode="#,##0_);\(#,##0\)">
                  <c:v>50</c:v>
                </c:pt>
                <c:pt idx="37" formatCode="#,##0_);\(#,##0\)">
                  <c:v>333</c:v>
                </c:pt>
                <c:pt idx="38" formatCode="#,##0_);\(#,##0\)">
                  <c:v>506</c:v>
                </c:pt>
                <c:pt idx="39" formatCode="#,##0_);\(#,##0\)">
                  <c:v>1218</c:v>
                </c:pt>
                <c:pt idx="40" formatCode="#,##0_);\(#,##0\)">
                  <c:v>1439</c:v>
                </c:pt>
                <c:pt idx="41" formatCode="#,##0_);\(#,##0\)">
                  <c:v>1905</c:v>
                </c:pt>
                <c:pt idx="42" formatCode="#,##0_);\(#,##0\)">
                  <c:v>631</c:v>
                </c:pt>
                <c:pt idx="43" formatCode="#,##0_);\(#,##0\)">
                  <c:v>539</c:v>
                </c:pt>
                <c:pt idx="44" formatCode="#,##0_);\(#,##0\)">
                  <c:v>694</c:v>
                </c:pt>
                <c:pt idx="45" formatCode="#,##0_);\(#,##0\)">
                  <c:v>641</c:v>
                </c:pt>
                <c:pt idx="46" formatCode="#,##0_);\(#,##0\)">
                  <c:v>1127</c:v>
                </c:pt>
                <c:pt idx="47" formatCode="#,##0_);\(#,##0\)">
                  <c:v>1311</c:v>
                </c:pt>
                <c:pt idx="48" formatCode="#,##0_);\(#,##0\)">
                  <c:v>1365</c:v>
                </c:pt>
                <c:pt idx="49" formatCode="#,##0_);\(#,##0\)">
                  <c:v>1027</c:v>
                </c:pt>
                <c:pt idx="50" formatCode="#,##0_);\(#,##0\)">
                  <c:v>1448</c:v>
                </c:pt>
                <c:pt idx="51" formatCode="#,##0_);\(#,##0\)">
                  <c:v>1402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85568"/>
        <c:axId val="103087488"/>
      </c:lineChart>
      <c:dateAx>
        <c:axId val="10308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3087488"/>
        <c:crosses val="autoZero"/>
        <c:auto val="1"/>
        <c:lblOffset val="100"/>
        <c:baseTimeUnit val="days"/>
        <c:minorUnit val="7"/>
        <c:minorTimeUnit val="days"/>
      </c:dateAx>
      <c:valAx>
        <c:axId val="10308748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308556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800683615528453"/>
          <c:y val="0.89051109990561517"/>
          <c:w val="0.68381044893898069"/>
          <c:h val="0.109488900094384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Averages'!$K$842:$K$893</c:f>
              <c:numCache>
                <c:formatCode>#,##0_);\(#,##0\)</c:formatCode>
                <c:ptCount val="52"/>
                <c:pt idx="0">
                  <c:v>1986.25</c:v>
                </c:pt>
                <c:pt idx="1">
                  <c:v>1618.25</c:v>
                </c:pt>
                <c:pt idx="2">
                  <c:v>1831</c:v>
                </c:pt>
                <c:pt idx="3">
                  <c:v>1905.75</c:v>
                </c:pt>
                <c:pt idx="4">
                  <c:v>1812.75</c:v>
                </c:pt>
                <c:pt idx="5">
                  <c:v>2153.5</c:v>
                </c:pt>
                <c:pt idx="6">
                  <c:v>2052.25</c:v>
                </c:pt>
                <c:pt idx="7">
                  <c:v>1690.75</c:v>
                </c:pt>
                <c:pt idx="8">
                  <c:v>2007.75</c:v>
                </c:pt>
                <c:pt idx="9">
                  <c:v>1960.5</c:v>
                </c:pt>
                <c:pt idx="10">
                  <c:v>1886</c:v>
                </c:pt>
                <c:pt idx="11">
                  <c:v>1614.25</c:v>
                </c:pt>
                <c:pt idx="12">
                  <c:v>1802.5</c:v>
                </c:pt>
                <c:pt idx="13">
                  <c:v>1608</c:v>
                </c:pt>
                <c:pt idx="14">
                  <c:v>1756.25</c:v>
                </c:pt>
                <c:pt idx="15">
                  <c:v>1502</c:v>
                </c:pt>
                <c:pt idx="16">
                  <c:v>1659</c:v>
                </c:pt>
                <c:pt idx="17">
                  <c:v>1690</c:v>
                </c:pt>
                <c:pt idx="18">
                  <c:v>1192.5</c:v>
                </c:pt>
                <c:pt idx="19">
                  <c:v>1327.75</c:v>
                </c:pt>
                <c:pt idx="20">
                  <c:v>1145.75</c:v>
                </c:pt>
                <c:pt idx="21">
                  <c:v>1455</c:v>
                </c:pt>
                <c:pt idx="22">
                  <c:v>1963.75</c:v>
                </c:pt>
                <c:pt idx="23">
                  <c:v>1320.75</c:v>
                </c:pt>
                <c:pt idx="24">
                  <c:v>1712</c:v>
                </c:pt>
                <c:pt idx="25">
                  <c:v>1413.75</c:v>
                </c:pt>
                <c:pt idx="26">
                  <c:v>1996.5</c:v>
                </c:pt>
                <c:pt idx="27">
                  <c:v>1738</c:v>
                </c:pt>
                <c:pt idx="28">
                  <c:v>1619.25</c:v>
                </c:pt>
                <c:pt idx="29">
                  <c:v>1782.5</c:v>
                </c:pt>
                <c:pt idx="30">
                  <c:v>1822.5</c:v>
                </c:pt>
                <c:pt idx="31">
                  <c:v>2276</c:v>
                </c:pt>
                <c:pt idx="32">
                  <c:v>2240.25</c:v>
                </c:pt>
                <c:pt idx="33">
                  <c:v>2029.5</c:v>
                </c:pt>
                <c:pt idx="34">
                  <c:v>1940.25</c:v>
                </c:pt>
                <c:pt idx="35">
                  <c:v>2163.5</c:v>
                </c:pt>
                <c:pt idx="36">
                  <c:v>1934</c:v>
                </c:pt>
                <c:pt idx="37">
                  <c:v>2305.75</c:v>
                </c:pt>
                <c:pt idx="38">
                  <c:v>1762.5</c:v>
                </c:pt>
                <c:pt idx="39">
                  <c:v>2142</c:v>
                </c:pt>
                <c:pt idx="40">
                  <c:v>1932.5</c:v>
                </c:pt>
                <c:pt idx="41">
                  <c:v>1752.25</c:v>
                </c:pt>
                <c:pt idx="42">
                  <c:v>2045.25</c:v>
                </c:pt>
                <c:pt idx="43">
                  <c:v>2155</c:v>
                </c:pt>
                <c:pt idx="44">
                  <c:v>2253</c:v>
                </c:pt>
                <c:pt idx="45">
                  <c:v>2172.5</c:v>
                </c:pt>
                <c:pt idx="46">
                  <c:v>2129.75</c:v>
                </c:pt>
                <c:pt idx="47">
                  <c:v>1672.5</c:v>
                </c:pt>
                <c:pt idx="48">
                  <c:v>1606.75</c:v>
                </c:pt>
                <c:pt idx="49">
                  <c:v>1637.25</c:v>
                </c:pt>
                <c:pt idx="50">
                  <c:v>1306.25</c:v>
                </c:pt>
                <c:pt idx="51">
                  <c:v>1603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Data'!$E$842:$E$893</c:f>
              <c:numCache>
                <c:formatCode>#,##0</c:formatCode>
                <c:ptCount val="52"/>
                <c:pt idx="0">
                  <c:v>1429</c:v>
                </c:pt>
                <c:pt idx="1">
                  <c:v>1088</c:v>
                </c:pt>
                <c:pt idx="2">
                  <c:v>1138</c:v>
                </c:pt>
                <c:pt idx="3">
                  <c:v>1807</c:v>
                </c:pt>
                <c:pt idx="4">
                  <c:v>2122</c:v>
                </c:pt>
                <c:pt idx="5">
                  <c:v>2143</c:v>
                </c:pt>
                <c:pt idx="6">
                  <c:v>1656</c:v>
                </c:pt>
                <c:pt idx="7">
                  <c:v>1419</c:v>
                </c:pt>
                <c:pt idx="8">
                  <c:v>1090</c:v>
                </c:pt>
                <c:pt idx="9">
                  <c:v>2221</c:v>
                </c:pt>
                <c:pt idx="10">
                  <c:v>1580</c:v>
                </c:pt>
                <c:pt idx="11">
                  <c:v>1169</c:v>
                </c:pt>
                <c:pt idx="12">
                  <c:v>1822</c:v>
                </c:pt>
                <c:pt idx="13">
                  <c:v>1616</c:v>
                </c:pt>
                <c:pt idx="14">
                  <c:v>928</c:v>
                </c:pt>
                <c:pt idx="15">
                  <c:v>1148</c:v>
                </c:pt>
                <c:pt idx="16">
                  <c:v>1033</c:v>
                </c:pt>
                <c:pt idx="17">
                  <c:v>1190</c:v>
                </c:pt>
                <c:pt idx="18">
                  <c:v>962</c:v>
                </c:pt>
                <c:pt idx="19">
                  <c:v>1055</c:v>
                </c:pt>
                <c:pt idx="20">
                  <c:v>784</c:v>
                </c:pt>
                <c:pt idx="21">
                  <c:v>715</c:v>
                </c:pt>
                <c:pt idx="22">
                  <c:v>1031</c:v>
                </c:pt>
                <c:pt idx="23" formatCode="#,##0;[Red]#,##0">
                  <c:v>856</c:v>
                </c:pt>
                <c:pt idx="24">
                  <c:v>1061</c:v>
                </c:pt>
                <c:pt idx="25">
                  <c:v>1018</c:v>
                </c:pt>
                <c:pt idx="26">
                  <c:v>1445</c:v>
                </c:pt>
                <c:pt idx="27">
                  <c:v>1401</c:v>
                </c:pt>
                <c:pt idx="28">
                  <c:v>1049</c:v>
                </c:pt>
                <c:pt idx="29">
                  <c:v>1761</c:v>
                </c:pt>
                <c:pt idx="30">
                  <c:v>1299</c:v>
                </c:pt>
                <c:pt idx="31">
                  <c:v>1428</c:v>
                </c:pt>
                <c:pt idx="32">
                  <c:v>1610</c:v>
                </c:pt>
                <c:pt idx="33">
                  <c:v>1540</c:v>
                </c:pt>
                <c:pt idx="34">
                  <c:v>1925</c:v>
                </c:pt>
                <c:pt idx="35">
                  <c:v>2500</c:v>
                </c:pt>
                <c:pt idx="36">
                  <c:v>2773</c:v>
                </c:pt>
                <c:pt idx="37">
                  <c:v>1768</c:v>
                </c:pt>
                <c:pt idx="38">
                  <c:v>1929</c:v>
                </c:pt>
                <c:pt idx="39">
                  <c:v>1793</c:v>
                </c:pt>
                <c:pt idx="40">
                  <c:v>2413</c:v>
                </c:pt>
                <c:pt idx="41">
                  <c:v>2261</c:v>
                </c:pt>
                <c:pt idx="42">
                  <c:v>1949</c:v>
                </c:pt>
                <c:pt idx="43">
                  <c:v>1902</c:v>
                </c:pt>
                <c:pt idx="44">
                  <c:v>2528</c:v>
                </c:pt>
                <c:pt idx="45">
                  <c:v>2604</c:v>
                </c:pt>
                <c:pt idx="46">
                  <c:v>2421</c:v>
                </c:pt>
                <c:pt idx="47">
                  <c:v>1808</c:v>
                </c:pt>
                <c:pt idx="48">
                  <c:v>1637</c:v>
                </c:pt>
                <c:pt idx="49">
                  <c:v>1911</c:v>
                </c:pt>
                <c:pt idx="50">
                  <c:v>2130</c:v>
                </c:pt>
                <c:pt idx="51">
                  <c:v>1626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Data'!$E$894:$E$943</c:f>
              <c:numCache>
                <c:formatCode>#,##0</c:formatCode>
                <c:ptCount val="50"/>
                <c:pt idx="0">
                  <c:v>1678</c:v>
                </c:pt>
                <c:pt idx="1">
                  <c:v>2191</c:v>
                </c:pt>
                <c:pt idx="2">
                  <c:v>2604</c:v>
                </c:pt>
                <c:pt idx="3">
                  <c:v>1847</c:v>
                </c:pt>
                <c:pt idx="4">
                  <c:v>2303</c:v>
                </c:pt>
                <c:pt idx="5">
                  <c:v>1986</c:v>
                </c:pt>
                <c:pt idx="6">
                  <c:v>2484</c:v>
                </c:pt>
                <c:pt idx="7">
                  <c:v>2054</c:v>
                </c:pt>
                <c:pt idx="8">
                  <c:v>2086</c:v>
                </c:pt>
                <c:pt idx="9" formatCode="General">
                  <c:v>2866</c:v>
                </c:pt>
                <c:pt idx="10">
                  <c:v>2276</c:v>
                </c:pt>
                <c:pt idx="11">
                  <c:v>2367</c:v>
                </c:pt>
                <c:pt idx="12">
                  <c:v>2407</c:v>
                </c:pt>
                <c:pt idx="13">
                  <c:v>2965</c:v>
                </c:pt>
                <c:pt idx="14">
                  <c:v>2654</c:v>
                </c:pt>
                <c:pt idx="15">
                  <c:v>2213</c:v>
                </c:pt>
                <c:pt idx="16">
                  <c:v>2492</c:v>
                </c:pt>
                <c:pt idx="17">
                  <c:v>2508</c:v>
                </c:pt>
                <c:pt idx="18">
                  <c:v>2099</c:v>
                </c:pt>
                <c:pt idx="19">
                  <c:v>1596</c:v>
                </c:pt>
                <c:pt idx="20" formatCode="#,##0_);\(#,##0\)">
                  <c:v>1854</c:v>
                </c:pt>
                <c:pt idx="21">
                  <c:v>2323</c:v>
                </c:pt>
                <c:pt idx="22">
                  <c:v>1636</c:v>
                </c:pt>
                <c:pt idx="23">
                  <c:v>1198</c:v>
                </c:pt>
                <c:pt idx="24">
                  <c:v>1284</c:v>
                </c:pt>
                <c:pt idx="25">
                  <c:v>958</c:v>
                </c:pt>
                <c:pt idx="26">
                  <c:v>1054</c:v>
                </c:pt>
                <c:pt idx="27">
                  <c:v>1298</c:v>
                </c:pt>
                <c:pt idx="28">
                  <c:v>627</c:v>
                </c:pt>
                <c:pt idx="29">
                  <c:v>653</c:v>
                </c:pt>
                <c:pt idx="30">
                  <c:v>1172</c:v>
                </c:pt>
                <c:pt idx="31">
                  <c:v>771</c:v>
                </c:pt>
                <c:pt idx="32">
                  <c:v>1491</c:v>
                </c:pt>
                <c:pt idx="33">
                  <c:v>897</c:v>
                </c:pt>
                <c:pt idx="34">
                  <c:v>700</c:v>
                </c:pt>
                <c:pt idx="35">
                  <c:v>839</c:v>
                </c:pt>
                <c:pt idx="36">
                  <c:v>1654</c:v>
                </c:pt>
                <c:pt idx="37">
                  <c:v>1421</c:v>
                </c:pt>
                <c:pt idx="38">
                  <c:v>1508</c:v>
                </c:pt>
                <c:pt idx="39">
                  <c:v>978</c:v>
                </c:pt>
                <c:pt idx="40">
                  <c:v>1060</c:v>
                </c:pt>
                <c:pt idx="41">
                  <c:v>567</c:v>
                </c:pt>
                <c:pt idx="42">
                  <c:v>459</c:v>
                </c:pt>
                <c:pt idx="43">
                  <c:v>121</c:v>
                </c:pt>
                <c:pt idx="44">
                  <c:v>302</c:v>
                </c:pt>
                <c:pt idx="45">
                  <c:v>644</c:v>
                </c:pt>
                <c:pt idx="46">
                  <c:v>1091</c:v>
                </c:pt>
                <c:pt idx="47">
                  <c:v>992</c:v>
                </c:pt>
                <c:pt idx="48">
                  <c:v>634</c:v>
                </c:pt>
                <c:pt idx="49">
                  <c:v>790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Data'!$E$946:$E$997</c:f>
              <c:numCache>
                <c:formatCode>#,##0</c:formatCode>
                <c:ptCount val="52"/>
                <c:pt idx="0">
                  <c:v>995</c:v>
                </c:pt>
                <c:pt idx="1">
                  <c:v>616</c:v>
                </c:pt>
                <c:pt idx="2">
                  <c:v>697</c:v>
                </c:pt>
                <c:pt idx="3">
                  <c:v>755</c:v>
                </c:pt>
                <c:pt idx="4">
                  <c:v>800</c:v>
                </c:pt>
                <c:pt idx="5">
                  <c:v>706</c:v>
                </c:pt>
                <c:pt idx="6">
                  <c:v>662</c:v>
                </c:pt>
                <c:pt idx="7">
                  <c:v>251</c:v>
                </c:pt>
                <c:pt idx="8">
                  <c:v>575</c:v>
                </c:pt>
                <c:pt idx="9">
                  <c:v>848</c:v>
                </c:pt>
                <c:pt idx="10">
                  <c:v>687</c:v>
                </c:pt>
                <c:pt idx="11">
                  <c:v>668</c:v>
                </c:pt>
                <c:pt idx="12">
                  <c:v>980</c:v>
                </c:pt>
                <c:pt idx="13">
                  <c:v>580</c:v>
                </c:pt>
                <c:pt idx="14">
                  <c:v>542</c:v>
                </c:pt>
                <c:pt idx="15">
                  <c:v>864</c:v>
                </c:pt>
                <c:pt idx="16">
                  <c:v>535</c:v>
                </c:pt>
                <c:pt idx="17">
                  <c:v>641</c:v>
                </c:pt>
                <c:pt idx="18">
                  <c:v>82</c:v>
                </c:pt>
                <c:pt idx="19">
                  <c:v>409</c:v>
                </c:pt>
                <c:pt idx="20">
                  <c:v>1015</c:v>
                </c:pt>
                <c:pt idx="21">
                  <c:v>1684</c:v>
                </c:pt>
                <c:pt idx="22" formatCode="General">
                  <c:v>1562</c:v>
                </c:pt>
                <c:pt idx="23" formatCode="General">
                  <c:v>921</c:v>
                </c:pt>
                <c:pt idx="24" formatCode="General">
                  <c:v>792</c:v>
                </c:pt>
                <c:pt idx="25" formatCode="General">
                  <c:v>1147</c:v>
                </c:pt>
                <c:pt idx="26" formatCode="#,##0;[Red]#,##0">
                  <c:v>587</c:v>
                </c:pt>
                <c:pt idx="27" formatCode="#,##0;[Red]#,##0">
                  <c:v>661</c:v>
                </c:pt>
                <c:pt idx="28" formatCode="#,##0;[Red]#,##0">
                  <c:v>445</c:v>
                </c:pt>
                <c:pt idx="29" formatCode="#,##0;[Red]#,##0">
                  <c:v>979</c:v>
                </c:pt>
                <c:pt idx="30" formatCode="#,##0;[Red]#,##0">
                  <c:v>367</c:v>
                </c:pt>
                <c:pt idx="31" formatCode="#,##0;[Red]#,##0">
                  <c:v>770</c:v>
                </c:pt>
                <c:pt idx="32" formatCode="#,##0;[Red]#,##0">
                  <c:v>660</c:v>
                </c:pt>
                <c:pt idx="33" formatCode="#,##0;[Red]#,##0">
                  <c:v>578</c:v>
                </c:pt>
                <c:pt idx="34" formatCode="#,##0;[Red]#,##0">
                  <c:v>1072</c:v>
                </c:pt>
                <c:pt idx="35" formatCode="#,##0;[Red]#,##0">
                  <c:v>796</c:v>
                </c:pt>
                <c:pt idx="36" formatCode="#,##0;[Red]#,##0">
                  <c:v>1330</c:v>
                </c:pt>
                <c:pt idx="37" formatCode="#,##0;[Red]#,##0">
                  <c:v>1328</c:v>
                </c:pt>
                <c:pt idx="38" formatCode="#,##0;[Red]#,##0">
                  <c:v>1521</c:v>
                </c:pt>
                <c:pt idx="39" formatCode="#,##0;[Red]#,##0">
                  <c:v>958</c:v>
                </c:pt>
                <c:pt idx="40" formatCode="#,##0;[Red]#,##0">
                  <c:v>740</c:v>
                </c:pt>
                <c:pt idx="41" formatCode="#,##0;[Red]#,##0">
                  <c:v>737</c:v>
                </c:pt>
                <c:pt idx="42" formatCode="#,##0_);\(#,##0\)">
                  <c:v>638</c:v>
                </c:pt>
                <c:pt idx="43" formatCode="#,##0_);\(#,##0\)">
                  <c:v>920</c:v>
                </c:pt>
                <c:pt idx="44" formatCode="#,##0_);\(#,##0\)">
                  <c:v>761</c:v>
                </c:pt>
                <c:pt idx="45" formatCode="0_);\(0\)">
                  <c:v>572</c:v>
                </c:pt>
                <c:pt idx="46" formatCode="0_);\(0\)">
                  <c:v>569</c:v>
                </c:pt>
                <c:pt idx="47" formatCode="0_);\(0\)">
                  <c:v>842</c:v>
                </c:pt>
                <c:pt idx="48" formatCode="0_);\(0\)">
                  <c:v>928</c:v>
                </c:pt>
                <c:pt idx="49" formatCode="0_);\(0\)">
                  <c:v>620</c:v>
                </c:pt>
                <c:pt idx="50" formatCode="0_);\(0\)">
                  <c:v>877</c:v>
                </c:pt>
                <c:pt idx="51" formatCode="0_);\(0\)">
                  <c:v>510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37408"/>
        <c:axId val="129939328"/>
      </c:lineChart>
      <c:dateAx>
        <c:axId val="12993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8327273983096610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93932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9939328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93740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630058237669786"/>
          <c:y val="0.90149725602481501"/>
          <c:w val="0.72697866680806311"/>
          <c:h val="8.274246819626018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5810902549866607"/>
          <c:y val="3.62305902238410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Averages'!$L$842:$L$893</c:f>
              <c:numCache>
                <c:formatCode>#,##0_);\(#,##0\)</c:formatCode>
                <c:ptCount val="52"/>
                <c:pt idx="0">
                  <c:v>634.25</c:v>
                </c:pt>
                <c:pt idx="1">
                  <c:v>602.5</c:v>
                </c:pt>
                <c:pt idx="2">
                  <c:v>749.5</c:v>
                </c:pt>
                <c:pt idx="3">
                  <c:v>634.25</c:v>
                </c:pt>
                <c:pt idx="4">
                  <c:v>484.75</c:v>
                </c:pt>
                <c:pt idx="5">
                  <c:v>878.75</c:v>
                </c:pt>
                <c:pt idx="6">
                  <c:v>503.5</c:v>
                </c:pt>
                <c:pt idx="7">
                  <c:v>1030.5</c:v>
                </c:pt>
                <c:pt idx="8">
                  <c:v>902</c:v>
                </c:pt>
                <c:pt idx="9">
                  <c:v>941.75</c:v>
                </c:pt>
                <c:pt idx="10">
                  <c:v>701.75</c:v>
                </c:pt>
                <c:pt idx="11">
                  <c:v>876</c:v>
                </c:pt>
                <c:pt idx="12">
                  <c:v>946.5</c:v>
                </c:pt>
                <c:pt idx="13">
                  <c:v>894.75</c:v>
                </c:pt>
                <c:pt idx="14">
                  <c:v>760.25</c:v>
                </c:pt>
                <c:pt idx="15">
                  <c:v>973</c:v>
                </c:pt>
                <c:pt idx="16">
                  <c:v>1116.5</c:v>
                </c:pt>
                <c:pt idx="17">
                  <c:v>714.75</c:v>
                </c:pt>
                <c:pt idx="18">
                  <c:v>1025.5</c:v>
                </c:pt>
                <c:pt idx="19">
                  <c:v>908.25</c:v>
                </c:pt>
                <c:pt idx="20">
                  <c:v>933.5</c:v>
                </c:pt>
                <c:pt idx="21">
                  <c:v>914.25</c:v>
                </c:pt>
                <c:pt idx="22">
                  <c:v>455</c:v>
                </c:pt>
                <c:pt idx="23">
                  <c:v>716.5</c:v>
                </c:pt>
                <c:pt idx="24">
                  <c:v>593.5</c:v>
                </c:pt>
                <c:pt idx="25">
                  <c:v>642.75</c:v>
                </c:pt>
                <c:pt idx="26">
                  <c:v>869.5</c:v>
                </c:pt>
                <c:pt idx="27">
                  <c:v>467</c:v>
                </c:pt>
                <c:pt idx="28">
                  <c:v>700</c:v>
                </c:pt>
                <c:pt idx="29">
                  <c:v>421</c:v>
                </c:pt>
                <c:pt idx="30">
                  <c:v>705.5</c:v>
                </c:pt>
                <c:pt idx="31">
                  <c:v>630.75</c:v>
                </c:pt>
                <c:pt idx="32">
                  <c:v>785.5</c:v>
                </c:pt>
                <c:pt idx="33">
                  <c:v>664.75</c:v>
                </c:pt>
                <c:pt idx="34">
                  <c:v>682</c:v>
                </c:pt>
                <c:pt idx="35">
                  <c:v>626.25</c:v>
                </c:pt>
                <c:pt idx="36">
                  <c:v>765.25</c:v>
                </c:pt>
                <c:pt idx="37">
                  <c:v>1007</c:v>
                </c:pt>
                <c:pt idx="38">
                  <c:v>893</c:v>
                </c:pt>
                <c:pt idx="39">
                  <c:v>731</c:v>
                </c:pt>
                <c:pt idx="40">
                  <c:v>1053</c:v>
                </c:pt>
                <c:pt idx="41">
                  <c:v>645.75</c:v>
                </c:pt>
                <c:pt idx="42">
                  <c:v>979.5</c:v>
                </c:pt>
                <c:pt idx="43">
                  <c:v>1199</c:v>
                </c:pt>
                <c:pt idx="44">
                  <c:v>839.25</c:v>
                </c:pt>
                <c:pt idx="45">
                  <c:v>727.25</c:v>
                </c:pt>
                <c:pt idx="46">
                  <c:v>732.25</c:v>
                </c:pt>
                <c:pt idx="47">
                  <c:v>796</c:v>
                </c:pt>
                <c:pt idx="48">
                  <c:v>938.75</c:v>
                </c:pt>
                <c:pt idx="49">
                  <c:v>518.5</c:v>
                </c:pt>
                <c:pt idx="50">
                  <c:v>779.5</c:v>
                </c:pt>
                <c:pt idx="51">
                  <c:v>357.5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Data'!$J$842:$J$893</c:f>
              <c:numCache>
                <c:formatCode>#,##0</c:formatCode>
                <c:ptCount val="52"/>
                <c:pt idx="0">
                  <c:v>1346.4380603787686</c:v>
                </c:pt>
                <c:pt idx="1">
                  <c:v>2038.9540536641664</c:v>
                </c:pt>
                <c:pt idx="2">
                  <c:v>1205.6808568955569</c:v>
                </c:pt>
                <c:pt idx="3">
                  <c:v>2065.4914166185808</c:v>
                </c:pt>
                <c:pt idx="4">
                  <c:v>1293.2541546451243</c:v>
                </c:pt>
                <c:pt idx="5">
                  <c:v>1653.2777120600115</c:v>
                </c:pt>
                <c:pt idx="6">
                  <c:v>1939.8812319676863</c:v>
                </c:pt>
                <c:pt idx="7">
                  <c:v>1249.9097951529141</c:v>
                </c:pt>
                <c:pt idx="8">
                  <c:v>1892.1139786497404</c:v>
                </c:pt>
                <c:pt idx="9">
                  <c:v>2154.8338718984423</c:v>
                </c:pt>
                <c:pt idx="10">
                  <c:v>2375.9785631852283</c:v>
                </c:pt>
                <c:pt idx="11">
                  <c:v>2100.8745672244663</c:v>
                </c:pt>
                <c:pt idx="12">
                  <c:v>2475.9359636468557</c:v>
                </c:pt>
                <c:pt idx="13">
                  <c:v>2030.1082660126949</c:v>
                </c:pt>
                <c:pt idx="14">
                  <c:v>1954.0344922100405</c:v>
                </c:pt>
                <c:pt idx="15">
                  <c:v>2096.4516733987307</c:v>
                </c:pt>
                <c:pt idx="16">
                  <c:v>2782.0002163877671</c:v>
                </c:pt>
                <c:pt idx="17">
                  <c:v>2059.2993652625505</c:v>
                </c:pt>
                <c:pt idx="18">
                  <c:v>2029.2236872475478</c:v>
                </c:pt>
                <c:pt idx="19">
                  <c:v>2061.0685227928452</c:v>
                </c:pt>
                <c:pt idx="20">
                  <c:v>2295.481895556838</c:v>
                </c:pt>
                <c:pt idx="21">
                  <c:v>2083.1829919215238</c:v>
                </c:pt>
                <c:pt idx="22">
                  <c:v>2410.4771350259666</c:v>
                </c:pt>
                <c:pt idx="23" formatCode="#,##0;[Red]#,##0">
                  <c:v>2163.6796595499136</c:v>
                </c:pt>
                <c:pt idx="24" formatCode="#,##0;[Red]#,##0">
                  <c:v>1720.5056982111946</c:v>
                </c:pt>
                <c:pt idx="25" formatCode="#,##0;[Red]#,##0">
                  <c:v>2306.9814195037507</c:v>
                </c:pt>
                <c:pt idx="26" formatCode="#,##0;[Red]#,##0">
                  <c:v>1330.4064627813041</c:v>
                </c:pt>
                <c:pt idx="27" formatCode="#,##0;[Red]#,##0">
                  <c:v>1233.1027986151182</c:v>
                </c:pt>
                <c:pt idx="28" formatCode="#,##0;[Red]#,##0">
                  <c:v>1350.7517743796886</c:v>
                </c:pt>
                <c:pt idx="29" formatCode="#,##0;[Red]#,##0">
                  <c:v>1638.2398730525103</c:v>
                </c:pt>
                <c:pt idx="30" formatCode="#,##0;[Red]#,##0">
                  <c:v>2374.209405654934</c:v>
                </c:pt>
                <c:pt idx="31" formatCode="#,##0;[Red]#,##0">
                  <c:v>1095.1085112521639</c:v>
                </c:pt>
                <c:pt idx="32" formatCode="#,##0;[Red]#,##0">
                  <c:v>1375.5199798038086</c:v>
                </c:pt>
                <c:pt idx="33" formatCode="#,##0;[Red]#,##0">
                  <c:v>1709.8907530294289</c:v>
                </c:pt>
                <c:pt idx="34" formatCode="#,##0;[Red]#,##0">
                  <c:v>1034.0725764570111</c:v>
                </c:pt>
                <c:pt idx="35" formatCode="#,##0;[Red]#,##0">
                  <c:v>2053.1073139065206</c:v>
                </c:pt>
                <c:pt idx="36">
                  <c:v>948.268436237738</c:v>
                </c:pt>
                <c:pt idx="37" formatCode="#,##0;[Red]#,##0">
                  <c:v>1770.9266878245819</c:v>
                </c:pt>
                <c:pt idx="38" formatCode="#,##0;[Red]#,##0">
                  <c:v>1210.1037507212927</c:v>
                </c:pt>
                <c:pt idx="39">
                  <c:v>1392.3269763416042</c:v>
                </c:pt>
                <c:pt idx="40">
                  <c:v>1644.4319244085402</c:v>
                </c:pt>
                <c:pt idx="41">
                  <c:v>1681.5842325447202</c:v>
                </c:pt>
                <c:pt idx="42">
                  <c:v>1823.1168349682632</c:v>
                </c:pt>
                <c:pt idx="43">
                  <c:v>1943.419547028275</c:v>
                </c:pt>
                <c:pt idx="44">
                  <c:v>1582.5114108482401</c:v>
                </c:pt>
                <c:pt idx="45">
                  <c:v>1360.482140796307</c:v>
                </c:pt>
                <c:pt idx="46">
                  <c:v>1488.746061742643</c:v>
                </c:pt>
                <c:pt idx="47">
                  <c:v>1372.8662435083672</c:v>
                </c:pt>
                <c:pt idx="48">
                  <c:v>1156.1444460473169</c:v>
                </c:pt>
                <c:pt idx="49">
                  <c:v>1780.6570542412003</c:v>
                </c:pt>
                <c:pt idx="50">
                  <c:v>1184.4509665320254</c:v>
                </c:pt>
                <c:pt idx="51">
                  <c:v>1270.2551067512984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Data'!$J$894:$J$945</c:f>
              <c:numCache>
                <c:formatCode>#,##0</c:formatCode>
                <c:ptCount val="52"/>
                <c:pt idx="0">
                  <c:v>931.46143969994239</c:v>
                </c:pt>
                <c:pt idx="1">
                  <c:v>1430.6980186743169</c:v>
                </c:pt>
                <c:pt idx="2">
                  <c:v>1480.3688736313918</c:v>
                </c:pt>
                <c:pt idx="3">
                  <c:v>1564.631931147858</c:v>
                </c:pt>
                <c:pt idx="4">
                  <c:v>1429.8110391215121</c:v>
                </c:pt>
                <c:pt idx="5">
                  <c:v>1143.3166435655266</c:v>
                </c:pt>
                <c:pt idx="6">
                  <c:v>869.23996174881006</c:v>
                </c:pt>
                <c:pt idx="7">
                  <c:v>1730.4971075223759</c:v>
                </c:pt>
                <c:pt idx="8">
                  <c:v>1294.9901470951661</c:v>
                </c:pt>
                <c:pt idx="9">
                  <c:v>1124.6900729566237</c:v>
                </c:pt>
                <c:pt idx="10">
                  <c:v>2244.0582685964177</c:v>
                </c:pt>
                <c:pt idx="11">
                  <c:v>1528.265769482857</c:v>
                </c:pt>
                <c:pt idx="12">
                  <c:v>2275.9895324973945</c:v>
                </c:pt>
                <c:pt idx="13">
                  <c:v>1790.8117171131096</c:v>
                </c:pt>
                <c:pt idx="14">
                  <c:v>3952.380887298671</c:v>
                </c:pt>
                <c:pt idx="15">
                  <c:v>2763.8282865400943</c:v>
                </c:pt>
                <c:pt idx="16">
                  <c:v>2627.2334354081381</c:v>
                </c:pt>
                <c:pt idx="17">
                  <c:v>2400.1666698900817</c:v>
                </c:pt>
                <c:pt idx="18">
                  <c:v>2620.1375989856992</c:v>
                </c:pt>
                <c:pt idx="19">
                  <c:v>1298.5380653063855</c:v>
                </c:pt>
                <c:pt idx="20">
                  <c:v>2380.6531197283739</c:v>
                </c:pt>
                <c:pt idx="21">
                  <c:v>2103.0285197004373</c:v>
                </c:pt>
                <c:pt idx="22">
                  <c:v>1577.0496448871268</c:v>
                </c:pt>
                <c:pt idx="23">
                  <c:v>2460.4812794808158</c:v>
                </c:pt>
                <c:pt idx="24">
                  <c:v>1577.9366244399316</c:v>
                </c:pt>
                <c:pt idx="25">
                  <c:v>2746.9756750368006</c:v>
                </c:pt>
                <c:pt idx="26">
                  <c:v>2379.7661401755686</c:v>
                </c:pt>
                <c:pt idx="27">
                  <c:v>1954.0159548292129</c:v>
                </c:pt>
                <c:pt idx="28">
                  <c:v>2024.0873395008007</c:v>
                </c:pt>
                <c:pt idx="29">
                  <c:v>1504.3173215571244</c:v>
                </c:pt>
                <c:pt idx="30">
                  <c:v>1946.9201184067736</c:v>
                </c:pt>
                <c:pt idx="31">
                  <c:v>1728.723148416766</c:v>
                </c:pt>
                <c:pt idx="32">
                  <c:v>1342.0000633938262</c:v>
                </c:pt>
                <c:pt idx="33">
                  <c:v>1663.9736410620078</c:v>
                </c:pt>
                <c:pt idx="34">
                  <c:v>1771.2981669514018</c:v>
                </c:pt>
                <c:pt idx="35">
                  <c:v>1302.0859835176052</c:v>
                </c:pt>
                <c:pt idx="36">
                  <c:v>1754.4455554481085</c:v>
                </c:pt>
                <c:pt idx="37">
                  <c:v>2130.5248858373898</c:v>
                </c:pt>
                <c:pt idx="38">
                  <c:v>1231.1276192932125</c:v>
                </c:pt>
                <c:pt idx="39">
                  <c:v>1653.3298864283488</c:v>
                </c:pt>
                <c:pt idx="40">
                  <c:v>2056.0186034017775</c:v>
                </c:pt>
                <c:pt idx="41">
                  <c:v>1076.7931771051585</c:v>
                </c:pt>
                <c:pt idx="42">
                  <c:v>2381.5400992811788</c:v>
                </c:pt>
                <c:pt idx="43">
                  <c:v>1962.8857503572619</c:v>
                </c:pt>
                <c:pt idx="44">
                  <c:v>2228.9796161987342</c:v>
                </c:pt>
                <c:pt idx="45">
                  <c:v>1907.0060385305528</c:v>
                </c:pt>
                <c:pt idx="46">
                  <c:v>1834.2737152005502</c:v>
                </c:pt>
                <c:pt idx="47">
                  <c:v>1569.9538084646877</c:v>
                </c:pt>
                <c:pt idx="48">
                  <c:v>1812.0992263804276</c:v>
                </c:pt>
                <c:pt idx="49">
                  <c:v>1247.980230796506</c:v>
                </c:pt>
                <c:pt idx="50">
                  <c:v>1532.7006672468815</c:v>
                </c:pt>
                <c:pt idx="51">
                  <c:v>3069.8362322577873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80672"/>
        <c:axId val="129991040"/>
      </c:lineChart>
      <c:dateAx>
        <c:axId val="129980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7393099755"/>
              <c:y val="0.851156700650513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99104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999104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98067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4619141511759137"/>
          <c:y val="0.91490587486088037"/>
          <c:w val="0.79548098085762342"/>
          <c:h val="6.267311824117227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5303649647787368"/>
          <c:y val="3.584403923193811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0.11469574196258482"/>
          <c:w val="0.80566801619433315"/>
          <c:h val="0.47073105109173113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3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Data'!$I$842:$I$893</c:f>
              <c:numCache>
                <c:formatCode>#,##0</c:formatCode>
                <c:ptCount val="52"/>
                <c:pt idx="0">
                  <c:v>5690</c:v>
                </c:pt>
                <c:pt idx="1">
                  <c:v>5745</c:v>
                </c:pt>
                <c:pt idx="2">
                  <c:v>6595</c:v>
                </c:pt>
                <c:pt idx="3">
                  <c:v>7611</c:v>
                </c:pt>
                <c:pt idx="4">
                  <c:v>6584</c:v>
                </c:pt>
                <c:pt idx="5">
                  <c:v>7469</c:v>
                </c:pt>
                <c:pt idx="6">
                  <c:v>6389</c:v>
                </c:pt>
                <c:pt idx="7">
                  <c:v>6348</c:v>
                </c:pt>
                <c:pt idx="8">
                  <c:v>6651</c:v>
                </c:pt>
                <c:pt idx="9">
                  <c:v>7831</c:v>
                </c:pt>
                <c:pt idx="10">
                  <c:v>5793</c:v>
                </c:pt>
                <c:pt idx="11">
                  <c:v>7014</c:v>
                </c:pt>
                <c:pt idx="12">
                  <c:v>5217</c:v>
                </c:pt>
                <c:pt idx="13">
                  <c:v>6166</c:v>
                </c:pt>
                <c:pt idx="14">
                  <c:v>4857</c:v>
                </c:pt>
                <c:pt idx="15">
                  <c:v>5131</c:v>
                </c:pt>
                <c:pt idx="16">
                  <c:v>4409</c:v>
                </c:pt>
                <c:pt idx="17">
                  <c:v>5285</c:v>
                </c:pt>
                <c:pt idx="18">
                  <c:v>4207</c:v>
                </c:pt>
                <c:pt idx="19">
                  <c:v>4901</c:v>
                </c:pt>
                <c:pt idx="20">
                  <c:v>4337</c:v>
                </c:pt>
                <c:pt idx="21">
                  <c:v>4329</c:v>
                </c:pt>
                <c:pt idx="22">
                  <c:v>4314</c:v>
                </c:pt>
                <c:pt idx="23">
                  <c:v>3917</c:v>
                </c:pt>
                <c:pt idx="24">
                  <c:v>3872</c:v>
                </c:pt>
                <c:pt idx="25">
                  <c:v>4448</c:v>
                </c:pt>
                <c:pt idx="26">
                  <c:v>4084</c:v>
                </c:pt>
                <c:pt idx="27">
                  <c:v>5575</c:v>
                </c:pt>
                <c:pt idx="28">
                  <c:v>5788</c:v>
                </c:pt>
                <c:pt idx="29">
                  <c:v>6304</c:v>
                </c:pt>
                <c:pt idx="30">
                  <c:v>4744</c:v>
                </c:pt>
                <c:pt idx="31">
                  <c:v>5342</c:v>
                </c:pt>
                <c:pt idx="32">
                  <c:v>5071</c:v>
                </c:pt>
                <c:pt idx="33">
                  <c:v>5881</c:v>
                </c:pt>
                <c:pt idx="34">
                  <c:v>5098</c:v>
                </c:pt>
                <c:pt idx="35">
                  <c:v>6334</c:v>
                </c:pt>
                <c:pt idx="36">
                  <c:v>5136</c:v>
                </c:pt>
                <c:pt idx="37">
                  <c:v>4620</c:v>
                </c:pt>
                <c:pt idx="38">
                  <c:v>5683</c:v>
                </c:pt>
                <c:pt idx="39">
                  <c:v>6733</c:v>
                </c:pt>
                <c:pt idx="40">
                  <c:v>10520</c:v>
                </c:pt>
                <c:pt idx="41">
                  <c:v>10143</c:v>
                </c:pt>
                <c:pt idx="42">
                  <c:v>9191</c:v>
                </c:pt>
                <c:pt idx="43">
                  <c:v>9733</c:v>
                </c:pt>
                <c:pt idx="44">
                  <c:v>9825</c:v>
                </c:pt>
                <c:pt idx="45">
                  <c:v>10496</c:v>
                </c:pt>
                <c:pt idx="46">
                  <c:v>8133</c:v>
                </c:pt>
                <c:pt idx="47">
                  <c:v>7660</c:v>
                </c:pt>
                <c:pt idx="48">
                  <c:v>9036</c:v>
                </c:pt>
                <c:pt idx="49">
                  <c:v>7476</c:v>
                </c:pt>
                <c:pt idx="50">
                  <c:v>8090</c:v>
                </c:pt>
                <c:pt idx="51">
                  <c:v>6333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Data'!$I$894:$I$943</c:f>
              <c:numCache>
                <c:formatCode>#,##0</c:formatCode>
                <c:ptCount val="50"/>
                <c:pt idx="0">
                  <c:v>6960</c:v>
                </c:pt>
                <c:pt idx="1">
                  <c:v>7460</c:v>
                </c:pt>
                <c:pt idx="2">
                  <c:v>8753</c:v>
                </c:pt>
                <c:pt idx="3">
                  <c:v>8555</c:v>
                </c:pt>
                <c:pt idx="4">
                  <c:v>8426</c:v>
                </c:pt>
                <c:pt idx="5">
                  <c:v>7137</c:v>
                </c:pt>
                <c:pt idx="6">
                  <c:v>8298</c:v>
                </c:pt>
                <c:pt idx="7">
                  <c:v>8076</c:v>
                </c:pt>
                <c:pt idx="8">
                  <c:v>7109</c:v>
                </c:pt>
                <c:pt idx="9">
                  <c:v>8341</c:v>
                </c:pt>
                <c:pt idx="10">
                  <c:v>7862</c:v>
                </c:pt>
                <c:pt idx="11">
                  <c:v>9641</c:v>
                </c:pt>
                <c:pt idx="12">
                  <c:v>9339</c:v>
                </c:pt>
                <c:pt idx="13">
                  <c:v>8537</c:v>
                </c:pt>
                <c:pt idx="14">
                  <c:v>7886</c:v>
                </c:pt>
                <c:pt idx="15">
                  <c:v>7121</c:v>
                </c:pt>
                <c:pt idx="16">
                  <c:v>7536</c:v>
                </c:pt>
                <c:pt idx="17">
                  <c:v>6522</c:v>
                </c:pt>
                <c:pt idx="18">
                  <c:v>7485</c:v>
                </c:pt>
                <c:pt idx="19">
                  <c:v>6340</c:v>
                </c:pt>
                <c:pt idx="20">
                  <c:v>7182</c:v>
                </c:pt>
                <c:pt idx="21">
                  <c:v>6152</c:v>
                </c:pt>
                <c:pt idx="22">
                  <c:v>5775</c:v>
                </c:pt>
                <c:pt idx="23">
                  <c:v>4879</c:v>
                </c:pt>
                <c:pt idx="24">
                  <c:v>5687</c:v>
                </c:pt>
                <c:pt idx="25">
                  <c:v>4595</c:v>
                </c:pt>
                <c:pt idx="26">
                  <c:v>3761</c:v>
                </c:pt>
                <c:pt idx="27">
                  <c:v>5504</c:v>
                </c:pt>
                <c:pt idx="28">
                  <c:v>4460</c:v>
                </c:pt>
                <c:pt idx="29">
                  <c:v>4581</c:v>
                </c:pt>
                <c:pt idx="30">
                  <c:v>5505</c:v>
                </c:pt>
                <c:pt idx="31">
                  <c:v>3384</c:v>
                </c:pt>
                <c:pt idx="32">
                  <c:v>3855</c:v>
                </c:pt>
                <c:pt idx="33">
                  <c:v>4192</c:v>
                </c:pt>
                <c:pt idx="34">
                  <c:v>3757</c:v>
                </c:pt>
                <c:pt idx="35">
                  <c:v>3770</c:v>
                </c:pt>
                <c:pt idx="36">
                  <c:v>3782</c:v>
                </c:pt>
                <c:pt idx="37">
                  <c:v>4051</c:v>
                </c:pt>
                <c:pt idx="38">
                  <c:v>4026</c:v>
                </c:pt>
                <c:pt idx="39">
                  <c:v>3763</c:v>
                </c:pt>
                <c:pt idx="40">
                  <c:v>5549</c:v>
                </c:pt>
                <c:pt idx="41">
                  <c:v>6055</c:v>
                </c:pt>
                <c:pt idx="42">
                  <c:v>6316</c:v>
                </c:pt>
                <c:pt idx="43">
                  <c:v>5229</c:v>
                </c:pt>
                <c:pt idx="44">
                  <c:v>5732</c:v>
                </c:pt>
                <c:pt idx="45">
                  <c:v>5075</c:v>
                </c:pt>
                <c:pt idx="46">
                  <c:v>5696</c:v>
                </c:pt>
                <c:pt idx="47">
                  <c:v>5502</c:v>
                </c:pt>
                <c:pt idx="48">
                  <c:v>5486</c:v>
                </c:pt>
                <c:pt idx="49">
                  <c:v>7757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2297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16000"/>
        <c:axId val="130017920"/>
      </c:lineChart>
      <c:dateAx>
        <c:axId val="13001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28652595629"/>
              <c:y val="0.767301422848459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01792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01792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0160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076914678510443"/>
          <c:y val="0.86617454068241462"/>
          <c:w val="0.68302937798332608"/>
          <c:h val="9.916355850255564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6377338558109253"/>
          <c:y val="4.058070866141732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Averages'!$N$842:$N$893</c:f>
              <c:numCache>
                <c:formatCode>#,##0_);\(#,##0\)</c:formatCode>
                <c:ptCount val="52"/>
                <c:pt idx="0">
                  <c:v>827.25</c:v>
                </c:pt>
                <c:pt idx="1">
                  <c:v>591.75</c:v>
                </c:pt>
                <c:pt idx="2">
                  <c:v>719.5</c:v>
                </c:pt>
                <c:pt idx="3">
                  <c:v>894</c:v>
                </c:pt>
                <c:pt idx="4">
                  <c:v>590.75</c:v>
                </c:pt>
                <c:pt idx="5">
                  <c:v>713</c:v>
                </c:pt>
                <c:pt idx="6">
                  <c:v>631.75</c:v>
                </c:pt>
                <c:pt idx="7">
                  <c:v>766.25</c:v>
                </c:pt>
                <c:pt idx="8">
                  <c:v>730.75</c:v>
                </c:pt>
                <c:pt idx="9">
                  <c:v>689</c:v>
                </c:pt>
                <c:pt idx="10">
                  <c:v>664.5</c:v>
                </c:pt>
                <c:pt idx="11">
                  <c:v>684.75</c:v>
                </c:pt>
                <c:pt idx="12">
                  <c:v>614.25</c:v>
                </c:pt>
                <c:pt idx="13">
                  <c:v>477.75</c:v>
                </c:pt>
                <c:pt idx="14">
                  <c:v>451.25</c:v>
                </c:pt>
                <c:pt idx="15">
                  <c:v>395.75</c:v>
                </c:pt>
                <c:pt idx="16">
                  <c:v>438</c:v>
                </c:pt>
                <c:pt idx="17">
                  <c:v>590.25</c:v>
                </c:pt>
                <c:pt idx="18">
                  <c:v>334</c:v>
                </c:pt>
                <c:pt idx="19">
                  <c:v>330</c:v>
                </c:pt>
                <c:pt idx="20">
                  <c:v>320.25</c:v>
                </c:pt>
                <c:pt idx="21">
                  <c:v>237.75</c:v>
                </c:pt>
                <c:pt idx="22">
                  <c:v>310</c:v>
                </c:pt>
                <c:pt idx="23">
                  <c:v>279.25</c:v>
                </c:pt>
                <c:pt idx="24">
                  <c:v>241.75</c:v>
                </c:pt>
                <c:pt idx="25">
                  <c:v>353</c:v>
                </c:pt>
                <c:pt idx="26">
                  <c:v>353.5</c:v>
                </c:pt>
                <c:pt idx="27">
                  <c:v>463.75</c:v>
                </c:pt>
                <c:pt idx="28">
                  <c:v>359.5</c:v>
                </c:pt>
                <c:pt idx="29">
                  <c:v>197.25</c:v>
                </c:pt>
                <c:pt idx="30">
                  <c:v>352.75</c:v>
                </c:pt>
                <c:pt idx="31">
                  <c:v>326</c:v>
                </c:pt>
                <c:pt idx="32">
                  <c:v>265</c:v>
                </c:pt>
                <c:pt idx="33">
                  <c:v>564.5</c:v>
                </c:pt>
                <c:pt idx="34">
                  <c:v>378.75</c:v>
                </c:pt>
                <c:pt idx="35">
                  <c:v>557.5</c:v>
                </c:pt>
                <c:pt idx="36">
                  <c:v>463.75</c:v>
                </c:pt>
                <c:pt idx="37">
                  <c:v>585.5</c:v>
                </c:pt>
                <c:pt idx="38">
                  <c:v>624.25</c:v>
                </c:pt>
                <c:pt idx="39">
                  <c:v>684.75</c:v>
                </c:pt>
                <c:pt idx="40">
                  <c:v>895.25</c:v>
                </c:pt>
                <c:pt idx="41">
                  <c:v>993</c:v>
                </c:pt>
                <c:pt idx="42">
                  <c:v>924</c:v>
                </c:pt>
                <c:pt idx="43">
                  <c:v>998</c:v>
                </c:pt>
                <c:pt idx="44">
                  <c:v>974</c:v>
                </c:pt>
                <c:pt idx="45">
                  <c:v>1087.25</c:v>
                </c:pt>
                <c:pt idx="46">
                  <c:v>967</c:v>
                </c:pt>
                <c:pt idx="47">
                  <c:v>937.25</c:v>
                </c:pt>
                <c:pt idx="48">
                  <c:v>969.75</c:v>
                </c:pt>
                <c:pt idx="49">
                  <c:v>674</c:v>
                </c:pt>
                <c:pt idx="50">
                  <c:v>800.25</c:v>
                </c:pt>
                <c:pt idx="51">
                  <c:v>611.75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Data'!$H$894:$H$943</c:f>
              <c:numCache>
                <c:formatCode>#,##0</c:formatCode>
                <c:ptCount val="50"/>
                <c:pt idx="0">
                  <c:v>761</c:v>
                </c:pt>
                <c:pt idx="1">
                  <c:v>841</c:v>
                </c:pt>
                <c:pt idx="2">
                  <c:v>1007</c:v>
                </c:pt>
                <c:pt idx="3">
                  <c:v>792</c:v>
                </c:pt>
                <c:pt idx="4">
                  <c:v>608</c:v>
                </c:pt>
                <c:pt idx="5">
                  <c:v>795</c:v>
                </c:pt>
                <c:pt idx="6">
                  <c:v>496</c:v>
                </c:pt>
                <c:pt idx="7">
                  <c:v>810</c:v>
                </c:pt>
                <c:pt idx="8">
                  <c:v>822</c:v>
                </c:pt>
                <c:pt idx="9">
                  <c:v>748</c:v>
                </c:pt>
                <c:pt idx="10">
                  <c:v>635</c:v>
                </c:pt>
                <c:pt idx="11">
                  <c:v>837</c:v>
                </c:pt>
                <c:pt idx="12">
                  <c:v>727</c:v>
                </c:pt>
                <c:pt idx="13">
                  <c:v>600</c:v>
                </c:pt>
                <c:pt idx="14">
                  <c:v>539</c:v>
                </c:pt>
                <c:pt idx="15">
                  <c:v>564</c:v>
                </c:pt>
                <c:pt idx="16">
                  <c:v>626</c:v>
                </c:pt>
                <c:pt idx="17">
                  <c:v>391</c:v>
                </c:pt>
                <c:pt idx="18">
                  <c:v>629</c:v>
                </c:pt>
                <c:pt idx="19">
                  <c:v>410</c:v>
                </c:pt>
                <c:pt idx="20">
                  <c:v>433</c:v>
                </c:pt>
                <c:pt idx="21">
                  <c:v>169</c:v>
                </c:pt>
                <c:pt idx="22">
                  <c:v>82</c:v>
                </c:pt>
                <c:pt idx="23">
                  <c:v>274</c:v>
                </c:pt>
                <c:pt idx="24">
                  <c:v>401</c:v>
                </c:pt>
                <c:pt idx="25">
                  <c:v>198</c:v>
                </c:pt>
                <c:pt idx="26">
                  <c:v>182</c:v>
                </c:pt>
                <c:pt idx="27">
                  <c:v>283</c:v>
                </c:pt>
                <c:pt idx="28">
                  <c:v>177</c:v>
                </c:pt>
                <c:pt idx="29">
                  <c:v>255</c:v>
                </c:pt>
                <c:pt idx="30">
                  <c:v>195</c:v>
                </c:pt>
                <c:pt idx="31">
                  <c:v>332</c:v>
                </c:pt>
                <c:pt idx="32">
                  <c:v>168</c:v>
                </c:pt>
                <c:pt idx="33">
                  <c:v>95</c:v>
                </c:pt>
                <c:pt idx="34">
                  <c:v>0</c:v>
                </c:pt>
                <c:pt idx="35">
                  <c:v>34</c:v>
                </c:pt>
                <c:pt idx="36">
                  <c:v>32</c:v>
                </c:pt>
                <c:pt idx="37">
                  <c:v>82</c:v>
                </c:pt>
                <c:pt idx="38">
                  <c:v>194</c:v>
                </c:pt>
                <c:pt idx="39">
                  <c:v>170</c:v>
                </c:pt>
                <c:pt idx="40">
                  <c:v>213</c:v>
                </c:pt>
                <c:pt idx="41">
                  <c:v>420</c:v>
                </c:pt>
                <c:pt idx="42">
                  <c:v>719</c:v>
                </c:pt>
                <c:pt idx="43">
                  <c:v>548</c:v>
                </c:pt>
                <c:pt idx="44">
                  <c:v>857</c:v>
                </c:pt>
                <c:pt idx="45">
                  <c:v>732</c:v>
                </c:pt>
                <c:pt idx="46">
                  <c:v>693</c:v>
                </c:pt>
                <c:pt idx="47">
                  <c:v>394</c:v>
                </c:pt>
                <c:pt idx="48">
                  <c:v>589</c:v>
                </c:pt>
                <c:pt idx="49">
                  <c:v>578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57984"/>
        <c:axId val="130459904"/>
      </c:lineChart>
      <c:dateAx>
        <c:axId val="13045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62328382895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4599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459904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457984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572510144500268"/>
          <c:y val="0.89300426509186359"/>
          <c:w val="0.68407487480601581"/>
          <c:h val="9.053510498687666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3030351071887822"/>
          <c:y val="1.785709163403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3"/>
          <c:order val="0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Data'!$I$842:$I$893</c:f>
              <c:numCache>
                <c:formatCode>#,##0</c:formatCode>
                <c:ptCount val="52"/>
                <c:pt idx="0">
                  <c:v>5690</c:v>
                </c:pt>
                <c:pt idx="1">
                  <c:v>5745</c:v>
                </c:pt>
                <c:pt idx="2">
                  <c:v>6595</c:v>
                </c:pt>
                <c:pt idx="3">
                  <c:v>7611</c:v>
                </c:pt>
                <c:pt idx="4">
                  <c:v>6584</c:v>
                </c:pt>
                <c:pt idx="5">
                  <c:v>7469</c:v>
                </c:pt>
                <c:pt idx="6">
                  <c:v>6389</c:v>
                </c:pt>
                <c:pt idx="7">
                  <c:v>6348</c:v>
                </c:pt>
                <c:pt idx="8">
                  <c:v>6651</c:v>
                </c:pt>
                <c:pt idx="9">
                  <c:v>7831</c:v>
                </c:pt>
                <c:pt idx="10">
                  <c:v>5793</c:v>
                </c:pt>
                <c:pt idx="11">
                  <c:v>7014</c:v>
                </c:pt>
                <c:pt idx="12">
                  <c:v>5217</c:v>
                </c:pt>
                <c:pt idx="13">
                  <c:v>6166</c:v>
                </c:pt>
                <c:pt idx="14">
                  <c:v>4857</c:v>
                </c:pt>
                <c:pt idx="15">
                  <c:v>5131</c:v>
                </c:pt>
                <c:pt idx="16">
                  <c:v>4409</c:v>
                </c:pt>
                <c:pt idx="17">
                  <c:v>5285</c:v>
                </c:pt>
                <c:pt idx="18">
                  <c:v>4207</c:v>
                </c:pt>
                <c:pt idx="19">
                  <c:v>4901</c:v>
                </c:pt>
                <c:pt idx="20">
                  <c:v>4337</c:v>
                </c:pt>
                <c:pt idx="21">
                  <c:v>4329</c:v>
                </c:pt>
                <c:pt idx="22">
                  <c:v>4314</c:v>
                </c:pt>
                <c:pt idx="23">
                  <c:v>3917</c:v>
                </c:pt>
                <c:pt idx="24">
                  <c:v>3872</c:v>
                </c:pt>
                <c:pt idx="25">
                  <c:v>4448</c:v>
                </c:pt>
                <c:pt idx="26">
                  <c:v>4084</c:v>
                </c:pt>
                <c:pt idx="27">
                  <c:v>5575</c:v>
                </c:pt>
                <c:pt idx="28">
                  <c:v>5788</c:v>
                </c:pt>
                <c:pt idx="29">
                  <c:v>6304</c:v>
                </c:pt>
                <c:pt idx="30">
                  <c:v>4744</c:v>
                </c:pt>
                <c:pt idx="31">
                  <c:v>5342</c:v>
                </c:pt>
                <c:pt idx="32">
                  <c:v>5071</c:v>
                </c:pt>
                <c:pt idx="33">
                  <c:v>5881</c:v>
                </c:pt>
                <c:pt idx="34">
                  <c:v>5098</c:v>
                </c:pt>
                <c:pt idx="35">
                  <c:v>6334</c:v>
                </c:pt>
                <c:pt idx="36">
                  <c:v>5136</c:v>
                </c:pt>
                <c:pt idx="37">
                  <c:v>4620</c:v>
                </c:pt>
                <c:pt idx="38">
                  <c:v>5683</c:v>
                </c:pt>
                <c:pt idx="39">
                  <c:v>6733</c:v>
                </c:pt>
                <c:pt idx="40">
                  <c:v>10520</c:v>
                </c:pt>
                <c:pt idx="41">
                  <c:v>10143</c:v>
                </c:pt>
                <c:pt idx="42">
                  <c:v>9191</c:v>
                </c:pt>
                <c:pt idx="43">
                  <c:v>9733</c:v>
                </c:pt>
                <c:pt idx="44">
                  <c:v>9825</c:v>
                </c:pt>
                <c:pt idx="45">
                  <c:v>10496</c:v>
                </c:pt>
                <c:pt idx="46">
                  <c:v>8133</c:v>
                </c:pt>
                <c:pt idx="47">
                  <c:v>7660</c:v>
                </c:pt>
                <c:pt idx="48">
                  <c:v>9036</c:v>
                </c:pt>
                <c:pt idx="49">
                  <c:v>7476</c:v>
                </c:pt>
                <c:pt idx="50">
                  <c:v>8090</c:v>
                </c:pt>
                <c:pt idx="51">
                  <c:v>6333</c:v>
                </c:pt>
              </c:numCache>
            </c:numRef>
          </c:val>
          <c:smooth val="0"/>
        </c:ser>
        <c:ser>
          <c:idx val="2"/>
          <c:order val="1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Data'!$I$894:$I$943</c:f>
              <c:numCache>
                <c:formatCode>#,##0</c:formatCode>
                <c:ptCount val="50"/>
                <c:pt idx="0">
                  <c:v>6960</c:v>
                </c:pt>
                <c:pt idx="1">
                  <c:v>7460</c:v>
                </c:pt>
                <c:pt idx="2">
                  <c:v>8753</c:v>
                </c:pt>
                <c:pt idx="3">
                  <c:v>8555</c:v>
                </c:pt>
                <c:pt idx="4">
                  <c:v>8426</c:v>
                </c:pt>
                <c:pt idx="5">
                  <c:v>7137</c:v>
                </c:pt>
                <c:pt idx="6">
                  <c:v>8298</c:v>
                </c:pt>
                <c:pt idx="7">
                  <c:v>8076</c:v>
                </c:pt>
                <c:pt idx="8">
                  <c:v>7109</c:v>
                </c:pt>
                <c:pt idx="9">
                  <c:v>8341</c:v>
                </c:pt>
                <c:pt idx="10">
                  <c:v>7862</c:v>
                </c:pt>
                <c:pt idx="11">
                  <c:v>9641</c:v>
                </c:pt>
                <c:pt idx="12">
                  <c:v>9339</c:v>
                </c:pt>
                <c:pt idx="13">
                  <c:v>8537</c:v>
                </c:pt>
                <c:pt idx="14">
                  <c:v>7886</c:v>
                </c:pt>
                <c:pt idx="15">
                  <c:v>7121</c:v>
                </c:pt>
                <c:pt idx="16">
                  <c:v>7536</c:v>
                </c:pt>
                <c:pt idx="17">
                  <c:v>6522</c:v>
                </c:pt>
                <c:pt idx="18">
                  <c:v>7485</c:v>
                </c:pt>
                <c:pt idx="19">
                  <c:v>6340</c:v>
                </c:pt>
                <c:pt idx="20">
                  <c:v>7182</c:v>
                </c:pt>
                <c:pt idx="21">
                  <c:v>6152</c:v>
                </c:pt>
                <c:pt idx="22">
                  <c:v>5775</c:v>
                </c:pt>
                <c:pt idx="23">
                  <c:v>4879</c:v>
                </c:pt>
                <c:pt idx="24">
                  <c:v>5687</c:v>
                </c:pt>
                <c:pt idx="25">
                  <c:v>4595</c:v>
                </c:pt>
                <c:pt idx="26">
                  <c:v>3761</c:v>
                </c:pt>
                <c:pt idx="27">
                  <c:v>5504</c:v>
                </c:pt>
                <c:pt idx="28">
                  <c:v>4460</c:v>
                </c:pt>
                <c:pt idx="29">
                  <c:v>4581</c:v>
                </c:pt>
                <c:pt idx="30">
                  <c:v>5505</c:v>
                </c:pt>
                <c:pt idx="31">
                  <c:v>3384</c:v>
                </c:pt>
                <c:pt idx="32">
                  <c:v>3855</c:v>
                </c:pt>
                <c:pt idx="33">
                  <c:v>4192</c:v>
                </c:pt>
                <c:pt idx="34">
                  <c:v>3757</c:v>
                </c:pt>
                <c:pt idx="35">
                  <c:v>3770</c:v>
                </c:pt>
                <c:pt idx="36">
                  <c:v>3782</c:v>
                </c:pt>
                <c:pt idx="37">
                  <c:v>4051</c:v>
                </c:pt>
                <c:pt idx="38">
                  <c:v>4026</c:v>
                </c:pt>
                <c:pt idx="39">
                  <c:v>3763</c:v>
                </c:pt>
                <c:pt idx="40">
                  <c:v>5549</c:v>
                </c:pt>
                <c:pt idx="41">
                  <c:v>6055</c:v>
                </c:pt>
                <c:pt idx="42">
                  <c:v>6316</c:v>
                </c:pt>
                <c:pt idx="43">
                  <c:v>5229</c:v>
                </c:pt>
                <c:pt idx="44">
                  <c:v>5732</c:v>
                </c:pt>
                <c:pt idx="45">
                  <c:v>5075</c:v>
                </c:pt>
                <c:pt idx="46">
                  <c:v>5696</c:v>
                </c:pt>
                <c:pt idx="47">
                  <c:v>5502</c:v>
                </c:pt>
                <c:pt idx="48">
                  <c:v>5486</c:v>
                </c:pt>
                <c:pt idx="49">
                  <c:v>7757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32608"/>
        <c:axId val="130151168"/>
      </c:lineChart>
      <c:dateAx>
        <c:axId val="130132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4742905459"/>
              <c:y val="0.8103581314630754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5116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151168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326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530425936690795"/>
          <c:y val="0.45444186279993687"/>
          <c:w val="0.14198880551004944"/>
          <c:h val="0.1654862814279362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41245256431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21562482981675"/>
          <c:y val="0.137820944201172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Averages'!$W$633:$W$684</c:f>
              <c:numCache>
                <c:formatCode>#,##0_);\(#,##0\)</c:formatCode>
                <c:ptCount val="52"/>
                <c:pt idx="0">
                  <c:v>552.75</c:v>
                </c:pt>
                <c:pt idx="1">
                  <c:v>585.75</c:v>
                </c:pt>
                <c:pt idx="2">
                  <c:v>597.0625</c:v>
                </c:pt>
                <c:pt idx="3">
                  <c:v>633.1875</c:v>
                </c:pt>
                <c:pt idx="4">
                  <c:v>659.25</c:v>
                </c:pt>
                <c:pt idx="5">
                  <c:v>650.8125</c:v>
                </c:pt>
                <c:pt idx="6">
                  <c:v>581.9375</c:v>
                </c:pt>
                <c:pt idx="7">
                  <c:v>569.1875</c:v>
                </c:pt>
                <c:pt idx="8">
                  <c:v>534.9375</c:v>
                </c:pt>
                <c:pt idx="9">
                  <c:v>455.8125</c:v>
                </c:pt>
                <c:pt idx="10">
                  <c:v>445.375</c:v>
                </c:pt>
                <c:pt idx="11">
                  <c:v>368.625</c:v>
                </c:pt>
                <c:pt idx="12">
                  <c:v>304.125</c:v>
                </c:pt>
                <c:pt idx="13">
                  <c:v>293.8125</c:v>
                </c:pt>
                <c:pt idx="14">
                  <c:v>216.25</c:v>
                </c:pt>
                <c:pt idx="15">
                  <c:v>179.8125</c:v>
                </c:pt>
                <c:pt idx="16">
                  <c:v>158.6875</c:v>
                </c:pt>
                <c:pt idx="17">
                  <c:v>151.625</c:v>
                </c:pt>
                <c:pt idx="18">
                  <c:v>133.25</c:v>
                </c:pt>
                <c:pt idx="19">
                  <c:v>151.625</c:v>
                </c:pt>
                <c:pt idx="20">
                  <c:v>154.1875</c:v>
                </c:pt>
                <c:pt idx="21">
                  <c:v>135.3125</c:v>
                </c:pt>
                <c:pt idx="22">
                  <c:v>149.4375</c:v>
                </c:pt>
                <c:pt idx="23">
                  <c:v>146.5</c:v>
                </c:pt>
                <c:pt idx="24">
                  <c:v>146.8125</c:v>
                </c:pt>
                <c:pt idx="25">
                  <c:v>169.25</c:v>
                </c:pt>
                <c:pt idx="26">
                  <c:v>197.9375</c:v>
                </c:pt>
                <c:pt idx="27">
                  <c:v>190.375</c:v>
                </c:pt>
                <c:pt idx="28">
                  <c:v>185.5</c:v>
                </c:pt>
                <c:pt idx="29">
                  <c:v>168.125</c:v>
                </c:pt>
                <c:pt idx="30">
                  <c:v>154</c:v>
                </c:pt>
                <c:pt idx="31">
                  <c:v>152.75</c:v>
                </c:pt>
                <c:pt idx="32">
                  <c:v>165.3125</c:v>
                </c:pt>
                <c:pt idx="33">
                  <c:v>163.75</c:v>
                </c:pt>
                <c:pt idx="34">
                  <c:v>120.5625</c:v>
                </c:pt>
                <c:pt idx="35">
                  <c:v>101.8125</c:v>
                </c:pt>
                <c:pt idx="36">
                  <c:v>85.8125</c:v>
                </c:pt>
                <c:pt idx="37">
                  <c:v>74.5</c:v>
                </c:pt>
                <c:pt idx="38">
                  <c:v>103.375</c:v>
                </c:pt>
                <c:pt idx="39">
                  <c:v>133.5</c:v>
                </c:pt>
                <c:pt idx="40">
                  <c:v>190.75</c:v>
                </c:pt>
                <c:pt idx="41">
                  <c:v>273.6875</c:v>
                </c:pt>
                <c:pt idx="42">
                  <c:v>404.3125</c:v>
                </c:pt>
                <c:pt idx="43">
                  <c:v>563.375</c:v>
                </c:pt>
                <c:pt idx="44">
                  <c:v>685.9375</c:v>
                </c:pt>
                <c:pt idx="45">
                  <c:v>721.625</c:v>
                </c:pt>
                <c:pt idx="46">
                  <c:v>707.1875</c:v>
                </c:pt>
                <c:pt idx="47">
                  <c:v>615.5625</c:v>
                </c:pt>
                <c:pt idx="48">
                  <c:v>510.1875</c:v>
                </c:pt>
                <c:pt idx="49">
                  <c:v>468.625</c:v>
                </c:pt>
                <c:pt idx="50">
                  <c:v>442.5</c:v>
                </c:pt>
                <c:pt idx="51">
                  <c:v>425.0625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name>4-week moving avg.(2006)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70240"/>
        <c:axId val="130184704"/>
      </c:lineChart>
      <c:dateAx>
        <c:axId val="130170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97587114802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847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184704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702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4517031524905554E-3"/>
          <c:y val="0.86858974358974361"/>
          <c:w val="0.97731574761945972"/>
          <c:h val="0.1057692307692307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4792194842765607"/>
          <c:y val="4.361649915711755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98785425397"/>
          <c:y val="9.6774569845436226E-2"/>
          <c:w val="0.81506529606406164"/>
          <c:h val="0.49098447439832804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Averages'!$V$842:$V$893</c:f>
              <c:numCache>
                <c:formatCode>#,##0</c:formatCode>
                <c:ptCount val="52"/>
                <c:pt idx="0">
                  <c:v>3869.8125</c:v>
                </c:pt>
                <c:pt idx="1">
                  <c:v>3835.125</c:v>
                </c:pt>
                <c:pt idx="2">
                  <c:v>4075.9375</c:v>
                </c:pt>
                <c:pt idx="3">
                  <c:v>4304.625</c:v>
                </c:pt>
                <c:pt idx="4">
                  <c:v>4427.8125</c:v>
                </c:pt>
                <c:pt idx="5">
                  <c:v>4486.75</c:v>
                </c:pt>
                <c:pt idx="6">
                  <c:v>4383</c:v>
                </c:pt>
                <c:pt idx="7">
                  <c:v>4445.375</c:v>
                </c:pt>
                <c:pt idx="8">
                  <c:v>4511.625</c:v>
                </c:pt>
                <c:pt idx="9">
                  <c:v>4526</c:v>
                </c:pt>
                <c:pt idx="10">
                  <c:v>4649.9375</c:v>
                </c:pt>
                <c:pt idx="11">
                  <c:v>4780.1875</c:v>
                </c:pt>
                <c:pt idx="12">
                  <c:v>4708.875</c:v>
                </c:pt>
                <c:pt idx="13">
                  <c:v>4704.4375</c:v>
                </c:pt>
                <c:pt idx="14">
                  <c:v>4689.8125</c:v>
                </c:pt>
                <c:pt idx="15">
                  <c:v>4515.3125</c:v>
                </c:pt>
                <c:pt idx="16">
                  <c:v>4517.4375</c:v>
                </c:pt>
                <c:pt idx="17">
                  <c:v>4466.4375</c:v>
                </c:pt>
                <c:pt idx="18">
                  <c:v>4201.0625</c:v>
                </c:pt>
                <c:pt idx="19">
                  <c:v>4048.6875</c:v>
                </c:pt>
                <c:pt idx="20">
                  <c:v>3932.6875</c:v>
                </c:pt>
                <c:pt idx="21">
                  <c:v>3781.625</c:v>
                </c:pt>
                <c:pt idx="22">
                  <c:v>3815</c:v>
                </c:pt>
                <c:pt idx="23">
                  <c:v>3680.9375</c:v>
                </c:pt>
                <c:pt idx="24">
                  <c:v>3730.6875</c:v>
                </c:pt>
                <c:pt idx="25">
                  <c:v>3727.125</c:v>
                </c:pt>
                <c:pt idx="26">
                  <c:v>3631.25</c:v>
                </c:pt>
                <c:pt idx="27">
                  <c:v>3776.375</c:v>
                </c:pt>
                <c:pt idx="28">
                  <c:v>3691.25</c:v>
                </c:pt>
                <c:pt idx="29">
                  <c:v>3731.75</c:v>
                </c:pt>
                <c:pt idx="30">
                  <c:v>3828.6875</c:v>
                </c:pt>
                <c:pt idx="31">
                  <c:v>3824.8125</c:v>
                </c:pt>
                <c:pt idx="32">
                  <c:v>3788.875</c:v>
                </c:pt>
                <c:pt idx="33">
                  <c:v>3700.0625</c:v>
                </c:pt>
                <c:pt idx="34">
                  <c:v>3676.125</c:v>
                </c:pt>
                <c:pt idx="35">
                  <c:v>3595.625</c:v>
                </c:pt>
                <c:pt idx="36">
                  <c:v>3597.8125</c:v>
                </c:pt>
                <c:pt idx="37">
                  <c:v>3595.25</c:v>
                </c:pt>
                <c:pt idx="38">
                  <c:v>3643.75</c:v>
                </c:pt>
                <c:pt idx="39">
                  <c:v>3782.4375</c:v>
                </c:pt>
                <c:pt idx="40">
                  <c:v>4251.75</c:v>
                </c:pt>
                <c:pt idx="41">
                  <c:v>4708.0625</c:v>
                </c:pt>
                <c:pt idx="42">
                  <c:v>5039.6875</c:v>
                </c:pt>
                <c:pt idx="43">
                  <c:v>5328.1875</c:v>
                </c:pt>
                <c:pt idx="44">
                  <c:v>4925.75</c:v>
                </c:pt>
                <c:pt idx="45">
                  <c:v>4701.125</c:v>
                </c:pt>
                <c:pt idx="46">
                  <c:v>4565.625</c:v>
                </c:pt>
                <c:pt idx="47">
                  <c:v>4254.4375</c:v>
                </c:pt>
                <c:pt idx="48">
                  <c:v>4469.375</c:v>
                </c:pt>
                <c:pt idx="49">
                  <c:v>4394.625</c:v>
                </c:pt>
                <c:pt idx="50">
                  <c:v>4221.125</c:v>
                </c:pt>
                <c:pt idx="51">
                  <c:v>3983.5625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04768"/>
        <c:axId val="114706688"/>
      </c:lineChart>
      <c:dateAx>
        <c:axId val="114704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9593332358"/>
              <c:y val="0.7992858616250204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47066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14706688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47047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0121530805242191E-2"/>
          <c:y val="0.89247345098122888"/>
          <c:w val="0.97166002673856577"/>
          <c:h val="8.602131034433702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2170408597573952"/>
          <c:y val="1.79854134612483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02877215962371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Data'!$A$635:$A$684</c:f>
              <c:numCache>
                <c:formatCode>mm/dd/yy_)</c:formatCode>
                <c:ptCount val="50"/>
                <c:pt idx="0">
                  <c:v>38735</c:v>
                </c:pt>
                <c:pt idx="1">
                  <c:v>38742</c:v>
                </c:pt>
                <c:pt idx="2">
                  <c:v>38749</c:v>
                </c:pt>
                <c:pt idx="3">
                  <c:v>38756</c:v>
                </c:pt>
                <c:pt idx="4">
                  <c:v>38763</c:v>
                </c:pt>
                <c:pt idx="5">
                  <c:v>38770</c:v>
                </c:pt>
                <c:pt idx="6">
                  <c:v>38777</c:v>
                </c:pt>
                <c:pt idx="7">
                  <c:v>38784</c:v>
                </c:pt>
                <c:pt idx="8">
                  <c:v>38791</c:v>
                </c:pt>
                <c:pt idx="9">
                  <c:v>38798</c:v>
                </c:pt>
                <c:pt idx="10">
                  <c:v>38805</c:v>
                </c:pt>
                <c:pt idx="11">
                  <c:v>38812</c:v>
                </c:pt>
                <c:pt idx="12">
                  <c:v>38819</c:v>
                </c:pt>
                <c:pt idx="13">
                  <c:v>38826</c:v>
                </c:pt>
                <c:pt idx="14">
                  <c:v>38833</c:v>
                </c:pt>
                <c:pt idx="15">
                  <c:v>38840</c:v>
                </c:pt>
                <c:pt idx="16">
                  <c:v>38847</c:v>
                </c:pt>
                <c:pt idx="17">
                  <c:v>38854</c:v>
                </c:pt>
                <c:pt idx="18">
                  <c:v>38861</c:v>
                </c:pt>
                <c:pt idx="19">
                  <c:v>38868</c:v>
                </c:pt>
                <c:pt idx="20">
                  <c:v>38875</c:v>
                </c:pt>
                <c:pt idx="21">
                  <c:v>38882</c:v>
                </c:pt>
                <c:pt idx="22">
                  <c:v>38889</c:v>
                </c:pt>
                <c:pt idx="23">
                  <c:v>38896</c:v>
                </c:pt>
                <c:pt idx="24">
                  <c:v>38903</c:v>
                </c:pt>
                <c:pt idx="25">
                  <c:v>38910</c:v>
                </c:pt>
                <c:pt idx="26">
                  <c:v>38917</c:v>
                </c:pt>
                <c:pt idx="27">
                  <c:v>38924</c:v>
                </c:pt>
                <c:pt idx="28">
                  <c:v>38931</c:v>
                </c:pt>
                <c:pt idx="29">
                  <c:v>38938</c:v>
                </c:pt>
                <c:pt idx="30">
                  <c:v>38945</c:v>
                </c:pt>
                <c:pt idx="31">
                  <c:v>38952</c:v>
                </c:pt>
                <c:pt idx="32">
                  <c:v>38959</c:v>
                </c:pt>
                <c:pt idx="33">
                  <c:v>38966</c:v>
                </c:pt>
                <c:pt idx="34">
                  <c:v>38973</c:v>
                </c:pt>
                <c:pt idx="35">
                  <c:v>38980</c:v>
                </c:pt>
                <c:pt idx="36">
                  <c:v>38987</c:v>
                </c:pt>
                <c:pt idx="37">
                  <c:v>38994</c:v>
                </c:pt>
                <c:pt idx="38">
                  <c:v>39001</c:v>
                </c:pt>
                <c:pt idx="39">
                  <c:v>39008</c:v>
                </c:pt>
                <c:pt idx="40">
                  <c:v>39015</c:v>
                </c:pt>
                <c:pt idx="41">
                  <c:v>39022</c:v>
                </c:pt>
                <c:pt idx="42">
                  <c:v>39029</c:v>
                </c:pt>
                <c:pt idx="43">
                  <c:v>39036</c:v>
                </c:pt>
                <c:pt idx="44">
                  <c:v>39043</c:v>
                </c:pt>
                <c:pt idx="45">
                  <c:v>39050</c:v>
                </c:pt>
                <c:pt idx="46">
                  <c:v>39057</c:v>
                </c:pt>
                <c:pt idx="47">
                  <c:v>39064</c:v>
                </c:pt>
                <c:pt idx="48">
                  <c:v>39071</c:v>
                </c:pt>
                <c:pt idx="49">
                  <c:v>39078</c:v>
                </c:pt>
              </c:numCache>
            </c:numRef>
          </c:cat>
          <c:val>
            <c:numRef>
              <c:f>'Weekly Averages'!$U$842:$U$893</c:f>
              <c:numCache>
                <c:formatCode>#,##0</c:formatCode>
                <c:ptCount val="52"/>
                <c:pt idx="0">
                  <c:v>733.9375</c:v>
                </c:pt>
                <c:pt idx="1">
                  <c:v>669.25</c:v>
                </c:pt>
                <c:pt idx="2">
                  <c:v>637.5625</c:v>
                </c:pt>
                <c:pt idx="3">
                  <c:v>679.375</c:v>
                </c:pt>
                <c:pt idx="4">
                  <c:v>611.1875</c:v>
                </c:pt>
                <c:pt idx="5">
                  <c:v>696</c:v>
                </c:pt>
                <c:pt idx="6">
                  <c:v>630.1875</c:v>
                </c:pt>
                <c:pt idx="7">
                  <c:v>664.5</c:v>
                </c:pt>
                <c:pt idx="8">
                  <c:v>780.625</c:v>
                </c:pt>
                <c:pt idx="9">
                  <c:v>832.6875</c:v>
                </c:pt>
                <c:pt idx="10">
                  <c:v>856.6875</c:v>
                </c:pt>
                <c:pt idx="11">
                  <c:v>881</c:v>
                </c:pt>
                <c:pt idx="12">
                  <c:v>841.25</c:v>
                </c:pt>
                <c:pt idx="13">
                  <c:v>852.25</c:v>
                </c:pt>
                <c:pt idx="14">
                  <c:v>902.25</c:v>
                </c:pt>
                <c:pt idx="15">
                  <c:v>885.5625</c:v>
                </c:pt>
                <c:pt idx="16">
                  <c:v>914.5</c:v>
                </c:pt>
                <c:pt idx="17">
                  <c:v>907.5</c:v>
                </c:pt>
                <c:pt idx="18">
                  <c:v>943.5625</c:v>
                </c:pt>
                <c:pt idx="19">
                  <c:v>948.0625</c:v>
                </c:pt>
                <c:pt idx="20">
                  <c:v>943.375</c:v>
                </c:pt>
                <c:pt idx="21">
                  <c:v>943.125</c:v>
                </c:pt>
                <c:pt idx="22">
                  <c:v>819.375</c:v>
                </c:pt>
                <c:pt idx="23">
                  <c:v>776.375</c:v>
                </c:pt>
                <c:pt idx="24">
                  <c:v>698.1875</c:v>
                </c:pt>
                <c:pt idx="25">
                  <c:v>625.375</c:v>
                </c:pt>
                <c:pt idx="26">
                  <c:v>674.4375</c:v>
                </c:pt>
                <c:pt idx="27">
                  <c:v>635</c:v>
                </c:pt>
                <c:pt idx="28">
                  <c:v>670.0625</c:v>
                </c:pt>
                <c:pt idx="29">
                  <c:v>622.5</c:v>
                </c:pt>
                <c:pt idx="30">
                  <c:v>615.9375</c:v>
                </c:pt>
                <c:pt idx="31">
                  <c:v>608.25</c:v>
                </c:pt>
                <c:pt idx="32">
                  <c:v>601.75</c:v>
                </c:pt>
                <c:pt idx="33">
                  <c:v>678.75</c:v>
                </c:pt>
                <c:pt idx="34">
                  <c:v>651.0625</c:v>
                </c:pt>
                <c:pt idx="35">
                  <c:v>671.5</c:v>
                </c:pt>
                <c:pt idx="36">
                  <c:v>684.625</c:v>
                </c:pt>
                <c:pt idx="37">
                  <c:v>741.5625</c:v>
                </c:pt>
                <c:pt idx="38">
                  <c:v>797.5</c:v>
                </c:pt>
                <c:pt idx="39">
                  <c:v>835.75</c:v>
                </c:pt>
                <c:pt idx="40">
                  <c:v>915.9375</c:v>
                </c:pt>
                <c:pt idx="41">
                  <c:v>866.5</c:v>
                </c:pt>
                <c:pt idx="42">
                  <c:v>902.0625</c:v>
                </c:pt>
                <c:pt idx="43">
                  <c:v>989.3125</c:v>
                </c:pt>
                <c:pt idx="44">
                  <c:v>946.3125</c:v>
                </c:pt>
                <c:pt idx="45">
                  <c:v>936.5</c:v>
                </c:pt>
                <c:pt idx="46">
                  <c:v>889.875</c:v>
                </c:pt>
                <c:pt idx="47">
                  <c:v>770.875</c:v>
                </c:pt>
                <c:pt idx="48">
                  <c:v>767.375</c:v>
                </c:pt>
                <c:pt idx="49">
                  <c:v>724.25</c:v>
                </c:pt>
                <c:pt idx="50">
                  <c:v>742.25</c:v>
                </c:pt>
                <c:pt idx="51">
                  <c:v>683.0625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Data'!$A$635:$A$684</c:f>
              <c:numCache>
                <c:formatCode>mm/dd/yy_)</c:formatCode>
                <c:ptCount val="50"/>
                <c:pt idx="0">
                  <c:v>38735</c:v>
                </c:pt>
                <c:pt idx="1">
                  <c:v>38742</c:v>
                </c:pt>
                <c:pt idx="2">
                  <c:v>38749</c:v>
                </c:pt>
                <c:pt idx="3">
                  <c:v>38756</c:v>
                </c:pt>
                <c:pt idx="4">
                  <c:v>38763</c:v>
                </c:pt>
                <c:pt idx="5">
                  <c:v>38770</c:v>
                </c:pt>
                <c:pt idx="6">
                  <c:v>38777</c:v>
                </c:pt>
                <c:pt idx="7">
                  <c:v>38784</c:v>
                </c:pt>
                <c:pt idx="8">
                  <c:v>38791</c:v>
                </c:pt>
                <c:pt idx="9">
                  <c:v>38798</c:v>
                </c:pt>
                <c:pt idx="10">
                  <c:v>38805</c:v>
                </c:pt>
                <c:pt idx="11">
                  <c:v>38812</c:v>
                </c:pt>
                <c:pt idx="12">
                  <c:v>38819</c:v>
                </c:pt>
                <c:pt idx="13">
                  <c:v>38826</c:v>
                </c:pt>
                <c:pt idx="14">
                  <c:v>38833</c:v>
                </c:pt>
                <c:pt idx="15">
                  <c:v>38840</c:v>
                </c:pt>
                <c:pt idx="16">
                  <c:v>38847</c:v>
                </c:pt>
                <c:pt idx="17">
                  <c:v>38854</c:v>
                </c:pt>
                <c:pt idx="18">
                  <c:v>38861</c:v>
                </c:pt>
                <c:pt idx="19">
                  <c:v>38868</c:v>
                </c:pt>
                <c:pt idx="20">
                  <c:v>38875</c:v>
                </c:pt>
                <c:pt idx="21">
                  <c:v>38882</c:v>
                </c:pt>
                <c:pt idx="22">
                  <c:v>38889</c:v>
                </c:pt>
                <c:pt idx="23">
                  <c:v>38896</c:v>
                </c:pt>
                <c:pt idx="24">
                  <c:v>38903</c:v>
                </c:pt>
                <c:pt idx="25">
                  <c:v>38910</c:v>
                </c:pt>
                <c:pt idx="26">
                  <c:v>38917</c:v>
                </c:pt>
                <c:pt idx="27">
                  <c:v>38924</c:v>
                </c:pt>
                <c:pt idx="28">
                  <c:v>38931</c:v>
                </c:pt>
                <c:pt idx="29">
                  <c:v>38938</c:v>
                </c:pt>
                <c:pt idx="30">
                  <c:v>38945</c:v>
                </c:pt>
                <c:pt idx="31">
                  <c:v>38952</c:v>
                </c:pt>
                <c:pt idx="32">
                  <c:v>38959</c:v>
                </c:pt>
                <c:pt idx="33">
                  <c:v>38966</c:v>
                </c:pt>
                <c:pt idx="34">
                  <c:v>38973</c:v>
                </c:pt>
                <c:pt idx="35">
                  <c:v>38980</c:v>
                </c:pt>
                <c:pt idx="36">
                  <c:v>38987</c:v>
                </c:pt>
                <c:pt idx="37">
                  <c:v>38994</c:v>
                </c:pt>
                <c:pt idx="38">
                  <c:v>39001</c:v>
                </c:pt>
                <c:pt idx="39">
                  <c:v>39008</c:v>
                </c:pt>
                <c:pt idx="40">
                  <c:v>39015</c:v>
                </c:pt>
                <c:pt idx="41">
                  <c:v>39022</c:v>
                </c:pt>
                <c:pt idx="42">
                  <c:v>39029</c:v>
                </c:pt>
                <c:pt idx="43">
                  <c:v>39036</c:v>
                </c:pt>
                <c:pt idx="44">
                  <c:v>39043</c:v>
                </c:pt>
                <c:pt idx="45">
                  <c:v>39050</c:v>
                </c:pt>
                <c:pt idx="46">
                  <c:v>39057</c:v>
                </c:pt>
                <c:pt idx="47">
                  <c:v>39064</c:v>
                </c:pt>
                <c:pt idx="48">
                  <c:v>39071</c:v>
                </c:pt>
                <c:pt idx="49">
                  <c:v>39078</c:v>
                </c:pt>
              </c:numCache>
            </c:numRef>
          </c:cat>
          <c:val>
            <c:numRef>
              <c:f>'Weekly Data'!$F$842:$F$893</c:f>
              <c:numCache>
                <c:formatCode>#,##0</c:formatCode>
                <c:ptCount val="52"/>
                <c:pt idx="0">
                  <c:v>829</c:v>
                </c:pt>
                <c:pt idx="1">
                  <c:v>535</c:v>
                </c:pt>
                <c:pt idx="2">
                  <c:v>688</c:v>
                </c:pt>
                <c:pt idx="3">
                  <c:v>442</c:v>
                </c:pt>
                <c:pt idx="4">
                  <c:v>672</c:v>
                </c:pt>
                <c:pt idx="5">
                  <c:v>949</c:v>
                </c:pt>
                <c:pt idx="6">
                  <c:v>962</c:v>
                </c:pt>
                <c:pt idx="7">
                  <c:v>1172</c:v>
                </c:pt>
                <c:pt idx="8">
                  <c:v>1150</c:v>
                </c:pt>
                <c:pt idx="9">
                  <c:v>1160</c:v>
                </c:pt>
                <c:pt idx="10">
                  <c:v>1165</c:v>
                </c:pt>
                <c:pt idx="11">
                  <c:v>1117</c:v>
                </c:pt>
                <c:pt idx="12">
                  <c:v>552</c:v>
                </c:pt>
                <c:pt idx="13">
                  <c:v>865</c:v>
                </c:pt>
                <c:pt idx="14">
                  <c:v>1305</c:v>
                </c:pt>
                <c:pt idx="15">
                  <c:v>1248</c:v>
                </c:pt>
                <c:pt idx="16">
                  <c:v>891</c:v>
                </c:pt>
                <c:pt idx="17">
                  <c:v>884</c:v>
                </c:pt>
                <c:pt idx="18">
                  <c:v>1036</c:v>
                </c:pt>
                <c:pt idx="19">
                  <c:v>1129</c:v>
                </c:pt>
                <c:pt idx="20">
                  <c:v>979</c:v>
                </c:pt>
                <c:pt idx="21">
                  <c:v>616</c:v>
                </c:pt>
                <c:pt idx="22">
                  <c:v>930</c:v>
                </c:pt>
                <c:pt idx="23" formatCode="#,##0;[Red]#,##0">
                  <c:v>984</c:v>
                </c:pt>
                <c:pt idx="24">
                  <c:v>1041</c:v>
                </c:pt>
                <c:pt idx="25">
                  <c:v>809</c:v>
                </c:pt>
                <c:pt idx="26">
                  <c:v>394</c:v>
                </c:pt>
                <c:pt idx="27">
                  <c:v>1406</c:v>
                </c:pt>
                <c:pt idx="28">
                  <c:v>209</c:v>
                </c:pt>
                <c:pt idx="29">
                  <c:v>1532</c:v>
                </c:pt>
                <c:pt idx="30">
                  <c:v>421</c:v>
                </c:pt>
                <c:pt idx="31">
                  <c:v>1001</c:v>
                </c:pt>
                <c:pt idx="32">
                  <c:v>586</c:v>
                </c:pt>
                <c:pt idx="33">
                  <c:v>725</c:v>
                </c:pt>
                <c:pt idx="34">
                  <c:v>565</c:v>
                </c:pt>
                <c:pt idx="35">
                  <c:v>544</c:v>
                </c:pt>
                <c:pt idx="36">
                  <c:v>964</c:v>
                </c:pt>
                <c:pt idx="37">
                  <c:v>522</c:v>
                </c:pt>
                <c:pt idx="38">
                  <c:v>828</c:v>
                </c:pt>
                <c:pt idx="39">
                  <c:v>464</c:v>
                </c:pt>
                <c:pt idx="40">
                  <c:v>501</c:v>
                </c:pt>
                <c:pt idx="41">
                  <c:v>678</c:v>
                </c:pt>
                <c:pt idx="42">
                  <c:v>1091</c:v>
                </c:pt>
                <c:pt idx="43">
                  <c:v>615</c:v>
                </c:pt>
                <c:pt idx="44">
                  <c:v>782</c:v>
                </c:pt>
                <c:pt idx="45">
                  <c:v>562</c:v>
                </c:pt>
                <c:pt idx="46">
                  <c:v>1104</c:v>
                </c:pt>
                <c:pt idx="47">
                  <c:v>629</c:v>
                </c:pt>
                <c:pt idx="48">
                  <c:v>809</c:v>
                </c:pt>
                <c:pt idx="49">
                  <c:v>500</c:v>
                </c:pt>
                <c:pt idx="50">
                  <c:v>678</c:v>
                </c:pt>
                <c:pt idx="51">
                  <c:v>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48704"/>
        <c:axId val="130251008"/>
      </c:lineChart>
      <c:dateAx>
        <c:axId val="13024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59324679016"/>
              <c:y val="0.798560955742601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2510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251008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2487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0142007164644961E-2"/>
          <c:y val="0.892086387908408"/>
          <c:w val="0.97971620734908138"/>
          <c:h val="8.633096509488036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3280132913"/>
          <c:y val="0.14212195106817319"/>
          <c:w val="0.79461958293909785"/>
          <c:h val="0.5022323000764134"/>
        </c:manualLayout>
      </c:layout>
      <c:lineChart>
        <c:grouping val="standard"/>
        <c:varyColors val="0"/>
        <c:ser>
          <c:idx val="3"/>
          <c:order val="0"/>
          <c:tx>
            <c:v>4-yr (4 week avg)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Averages'!$T$894:$T$945</c:f>
              <c:numCache>
                <c:formatCode>_(* #,##0_);_(* \(#,##0\);_(* "-"??_);_(@_)</c:formatCode>
                <c:ptCount val="52"/>
                <c:pt idx="0">
                  <c:v>1620.6875</c:v>
                </c:pt>
                <c:pt idx="1">
                  <c:v>1580.4375</c:v>
                </c:pt>
                <c:pt idx="2">
                  <c:v>1575.875</c:v>
                </c:pt>
                <c:pt idx="3">
                  <c:v>1639.3125</c:v>
                </c:pt>
                <c:pt idx="4">
                  <c:v>1615.0625</c:v>
                </c:pt>
                <c:pt idx="5">
                  <c:v>1714.3125</c:v>
                </c:pt>
                <c:pt idx="6">
                  <c:v>1831.75</c:v>
                </c:pt>
                <c:pt idx="7">
                  <c:v>1769.9375</c:v>
                </c:pt>
                <c:pt idx="8">
                  <c:v>1784.8125</c:v>
                </c:pt>
                <c:pt idx="9">
                  <c:v>1767.125</c:v>
                </c:pt>
                <c:pt idx="10">
                  <c:v>1748.75</c:v>
                </c:pt>
                <c:pt idx="11">
                  <c:v>1712.5</c:v>
                </c:pt>
                <c:pt idx="12">
                  <c:v>1682.5</c:v>
                </c:pt>
                <c:pt idx="13">
                  <c:v>1578.5625</c:v>
                </c:pt>
                <c:pt idx="14">
                  <c:v>1492.375</c:v>
                </c:pt>
                <c:pt idx="15">
                  <c:v>1480.375</c:v>
                </c:pt>
                <c:pt idx="16">
                  <c:v>1348.125</c:v>
                </c:pt>
                <c:pt idx="17">
                  <c:v>1383.125</c:v>
                </c:pt>
                <c:pt idx="18">
                  <c:v>1253.375</c:v>
                </c:pt>
                <c:pt idx="19">
                  <c:v>1188.875</c:v>
                </c:pt>
                <c:pt idx="20">
                  <c:v>1165</c:v>
                </c:pt>
                <c:pt idx="21">
                  <c:v>1058.375</c:v>
                </c:pt>
                <c:pt idx="22">
                  <c:v>1119.6875</c:v>
                </c:pt>
                <c:pt idx="23">
                  <c:v>1225.875</c:v>
                </c:pt>
                <c:pt idx="24">
                  <c:v>1274.875</c:v>
                </c:pt>
                <c:pt idx="25">
                  <c:v>1366.1875</c:v>
                </c:pt>
                <c:pt idx="26">
                  <c:v>1526.375</c:v>
                </c:pt>
                <c:pt idx="27">
                  <c:v>1625.4375</c:v>
                </c:pt>
                <c:pt idx="28">
                  <c:v>1718.5</c:v>
                </c:pt>
                <c:pt idx="29">
                  <c:v>1747.75</c:v>
                </c:pt>
                <c:pt idx="30">
                  <c:v>1747.5</c:v>
                </c:pt>
                <c:pt idx="31">
                  <c:v>1796.375</c:v>
                </c:pt>
                <c:pt idx="32">
                  <c:v>1902.75</c:v>
                </c:pt>
                <c:pt idx="33">
                  <c:v>1982.125</c:v>
                </c:pt>
                <c:pt idx="34">
                  <c:v>2006.625</c:v>
                </c:pt>
                <c:pt idx="35">
                  <c:v>2059.1875</c:v>
                </c:pt>
                <c:pt idx="36">
                  <c:v>2061.8125</c:v>
                </c:pt>
                <c:pt idx="37">
                  <c:v>2131.625</c:v>
                </c:pt>
                <c:pt idx="38">
                  <c:v>2216.3125</c:v>
                </c:pt>
                <c:pt idx="39">
                  <c:v>2166</c:v>
                </c:pt>
                <c:pt idx="40">
                  <c:v>2182.5625</c:v>
                </c:pt>
                <c:pt idx="41">
                  <c:v>2101.125</c:v>
                </c:pt>
                <c:pt idx="42">
                  <c:v>2016.1875</c:v>
                </c:pt>
                <c:pt idx="43">
                  <c:v>2091.6875</c:v>
                </c:pt>
                <c:pt idx="44">
                  <c:v>2165.6875</c:v>
                </c:pt>
                <c:pt idx="45">
                  <c:v>2308.3125</c:v>
                </c:pt>
                <c:pt idx="46">
                  <c:v>2404.6875</c:v>
                </c:pt>
                <c:pt idx="47">
                  <c:v>2237.4375</c:v>
                </c:pt>
                <c:pt idx="48">
                  <c:v>2012.75</c:v>
                </c:pt>
                <c:pt idx="49">
                  <c:v>1772.5</c:v>
                </c:pt>
                <c:pt idx="50">
                  <c:v>1594.875</c:v>
                </c:pt>
                <c:pt idx="51">
                  <c:v>1528.4375</c:v>
                </c:pt>
              </c:numCache>
            </c:numRef>
          </c:val>
          <c:smooth val="0"/>
        </c:ser>
        <c:ser>
          <c:idx val="2"/>
          <c:order val="1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Averages'!$K$894:$K$945</c:f>
              <c:numCache>
                <c:formatCode>#,##0_);\(#,##0\)</c:formatCode>
                <c:ptCount val="52"/>
                <c:pt idx="0">
                  <c:v>1732.5</c:v>
                </c:pt>
                <c:pt idx="1">
                  <c:v>1383.75</c:v>
                </c:pt>
                <c:pt idx="2">
                  <c:v>1649.25</c:v>
                </c:pt>
                <c:pt idx="3">
                  <c:v>1642</c:v>
                </c:pt>
                <c:pt idx="4">
                  <c:v>1734.5</c:v>
                </c:pt>
                <c:pt idx="5">
                  <c:v>2013</c:v>
                </c:pt>
                <c:pt idx="6">
                  <c:v>1836.75</c:v>
                </c:pt>
                <c:pt idx="7">
                  <c:v>1638.5</c:v>
                </c:pt>
                <c:pt idx="8">
                  <c:v>1741.5</c:v>
                </c:pt>
                <c:pt idx="9">
                  <c:v>2007</c:v>
                </c:pt>
                <c:pt idx="10">
                  <c:v>1626.25</c:v>
                </c:pt>
                <c:pt idx="11">
                  <c:v>1262</c:v>
                </c:pt>
                <c:pt idx="12">
                  <c:v>1702.25</c:v>
                </c:pt>
                <c:pt idx="13">
                  <c:v>1619.25</c:v>
                </c:pt>
                <c:pt idx="14">
                  <c:v>1452.5</c:v>
                </c:pt>
                <c:pt idx="15">
                  <c:v>1093.75</c:v>
                </c:pt>
                <c:pt idx="16">
                  <c:v>1329.5</c:v>
                </c:pt>
                <c:pt idx="17">
                  <c:v>1499</c:v>
                </c:pt>
                <c:pt idx="18">
                  <c:v>987.75</c:v>
                </c:pt>
                <c:pt idx="19">
                  <c:v>1058.5</c:v>
                </c:pt>
                <c:pt idx="20">
                  <c:v>818</c:v>
                </c:pt>
                <c:pt idx="21">
                  <c:v>1334.5</c:v>
                </c:pt>
                <c:pt idx="22">
                  <c:v>1543</c:v>
                </c:pt>
                <c:pt idx="23">
                  <c:v>1220.75</c:v>
                </c:pt>
                <c:pt idx="24">
                  <c:v>1519.5</c:v>
                </c:pt>
                <c:pt idx="25">
                  <c:v>1341.5</c:v>
                </c:pt>
                <c:pt idx="26">
                  <c:v>1922.25</c:v>
                </c:pt>
                <c:pt idx="27">
                  <c:v>1757.75</c:v>
                </c:pt>
                <c:pt idx="28">
                  <c:v>1562.75</c:v>
                </c:pt>
                <c:pt idx="29">
                  <c:v>1977.25</c:v>
                </c:pt>
                <c:pt idx="30">
                  <c:v>1800.75</c:v>
                </c:pt>
                <c:pt idx="31">
                  <c:v>2119</c:v>
                </c:pt>
                <c:pt idx="32">
                  <c:v>2107.75</c:v>
                </c:pt>
                <c:pt idx="33">
                  <c:v>2095.25</c:v>
                </c:pt>
                <c:pt idx="34">
                  <c:v>1986.5</c:v>
                </c:pt>
                <c:pt idx="35">
                  <c:v>2357.25</c:v>
                </c:pt>
                <c:pt idx="36">
                  <c:v>2144.75</c:v>
                </c:pt>
                <c:pt idx="37">
                  <c:v>2317.5</c:v>
                </c:pt>
                <c:pt idx="38">
                  <c:v>1914.5</c:v>
                </c:pt>
                <c:pt idx="39">
                  <c:v>2044.25</c:v>
                </c:pt>
                <c:pt idx="40">
                  <c:v>2205.5</c:v>
                </c:pt>
                <c:pt idx="41">
                  <c:v>1946.25</c:v>
                </c:pt>
                <c:pt idx="42">
                  <c:v>2194.75</c:v>
                </c:pt>
                <c:pt idx="43">
                  <c:v>2136.5</c:v>
                </c:pt>
                <c:pt idx="44">
                  <c:v>2455.75</c:v>
                </c:pt>
                <c:pt idx="45">
                  <c:v>2330.25</c:v>
                </c:pt>
                <c:pt idx="46">
                  <c:v>2175.25</c:v>
                </c:pt>
                <c:pt idx="47">
                  <c:v>1734.25</c:v>
                </c:pt>
                <c:pt idx="48">
                  <c:v>1435.75</c:v>
                </c:pt>
                <c:pt idx="49">
                  <c:v>1627.25</c:v>
                </c:pt>
                <c:pt idx="50">
                  <c:v>1457.25</c:v>
                </c:pt>
                <c:pt idx="51">
                  <c:v>1467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Data'!$E$842:$E$893</c:f>
              <c:numCache>
                <c:formatCode>#,##0</c:formatCode>
                <c:ptCount val="52"/>
                <c:pt idx="0">
                  <c:v>1429</c:v>
                </c:pt>
                <c:pt idx="1">
                  <c:v>1088</c:v>
                </c:pt>
                <c:pt idx="2">
                  <c:v>1138</c:v>
                </c:pt>
                <c:pt idx="3">
                  <c:v>1807</c:v>
                </c:pt>
                <c:pt idx="4">
                  <c:v>2122</c:v>
                </c:pt>
                <c:pt idx="5">
                  <c:v>2143</c:v>
                </c:pt>
                <c:pt idx="6">
                  <c:v>1656</c:v>
                </c:pt>
                <c:pt idx="7">
                  <c:v>1419</c:v>
                </c:pt>
                <c:pt idx="8">
                  <c:v>1090</c:v>
                </c:pt>
                <c:pt idx="9">
                  <c:v>2221</c:v>
                </c:pt>
                <c:pt idx="10">
                  <c:v>1580</c:v>
                </c:pt>
                <c:pt idx="11">
                  <c:v>1169</c:v>
                </c:pt>
                <c:pt idx="12">
                  <c:v>1822</c:v>
                </c:pt>
                <c:pt idx="13">
                  <c:v>1616</c:v>
                </c:pt>
                <c:pt idx="14">
                  <c:v>928</c:v>
                </c:pt>
                <c:pt idx="15">
                  <c:v>1148</c:v>
                </c:pt>
                <c:pt idx="16">
                  <c:v>1033</c:v>
                </c:pt>
                <c:pt idx="17">
                  <c:v>1190</c:v>
                </c:pt>
                <c:pt idx="18">
                  <c:v>962</c:v>
                </c:pt>
                <c:pt idx="19">
                  <c:v>1055</c:v>
                </c:pt>
                <c:pt idx="20">
                  <c:v>784</c:v>
                </c:pt>
                <c:pt idx="21">
                  <c:v>715</c:v>
                </c:pt>
                <c:pt idx="22">
                  <c:v>1031</c:v>
                </c:pt>
                <c:pt idx="23" formatCode="#,##0;[Red]#,##0">
                  <c:v>856</c:v>
                </c:pt>
                <c:pt idx="24">
                  <c:v>1061</c:v>
                </c:pt>
                <c:pt idx="25">
                  <c:v>1018</c:v>
                </c:pt>
                <c:pt idx="26">
                  <c:v>1445</c:v>
                </c:pt>
                <c:pt idx="27">
                  <c:v>1401</c:v>
                </c:pt>
                <c:pt idx="28">
                  <c:v>1049</c:v>
                </c:pt>
                <c:pt idx="29">
                  <c:v>1761</c:v>
                </c:pt>
                <c:pt idx="30">
                  <c:v>1299</c:v>
                </c:pt>
                <c:pt idx="31">
                  <c:v>1428</c:v>
                </c:pt>
                <c:pt idx="32">
                  <c:v>1610</c:v>
                </c:pt>
                <c:pt idx="33">
                  <c:v>1540</c:v>
                </c:pt>
                <c:pt idx="34">
                  <c:v>1925</c:v>
                </c:pt>
                <c:pt idx="35">
                  <c:v>2500</c:v>
                </c:pt>
                <c:pt idx="36">
                  <c:v>2773</c:v>
                </c:pt>
                <c:pt idx="37">
                  <c:v>1768</c:v>
                </c:pt>
                <c:pt idx="38">
                  <c:v>1929</c:v>
                </c:pt>
                <c:pt idx="39">
                  <c:v>1793</c:v>
                </c:pt>
                <c:pt idx="40">
                  <c:v>2413</c:v>
                </c:pt>
                <c:pt idx="41">
                  <c:v>2261</c:v>
                </c:pt>
                <c:pt idx="42">
                  <c:v>1949</c:v>
                </c:pt>
                <c:pt idx="43">
                  <c:v>1902</c:v>
                </c:pt>
                <c:pt idx="44">
                  <c:v>2528</c:v>
                </c:pt>
                <c:pt idx="45">
                  <c:v>2604</c:v>
                </c:pt>
                <c:pt idx="46">
                  <c:v>2421</c:v>
                </c:pt>
                <c:pt idx="47">
                  <c:v>1808</c:v>
                </c:pt>
                <c:pt idx="48">
                  <c:v>1637</c:v>
                </c:pt>
                <c:pt idx="49">
                  <c:v>1911</c:v>
                </c:pt>
                <c:pt idx="50">
                  <c:v>2130</c:v>
                </c:pt>
                <c:pt idx="51">
                  <c:v>1626</c:v>
                </c:pt>
              </c:numCache>
            </c:numRef>
          </c:val>
          <c:smooth val="0"/>
        </c:ser>
        <c:ser>
          <c:idx val="0"/>
          <c:order val="3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Data'!$E$894:$E$943</c:f>
              <c:numCache>
                <c:formatCode>#,##0</c:formatCode>
                <c:ptCount val="50"/>
                <c:pt idx="0">
                  <c:v>1678</c:v>
                </c:pt>
                <c:pt idx="1">
                  <c:v>2191</c:v>
                </c:pt>
                <c:pt idx="2">
                  <c:v>2604</c:v>
                </c:pt>
                <c:pt idx="3">
                  <c:v>1847</c:v>
                </c:pt>
                <c:pt idx="4">
                  <c:v>2303</c:v>
                </c:pt>
                <c:pt idx="5">
                  <c:v>1986</c:v>
                </c:pt>
                <c:pt idx="6">
                  <c:v>2484</c:v>
                </c:pt>
                <c:pt idx="7">
                  <c:v>2054</c:v>
                </c:pt>
                <c:pt idx="8">
                  <c:v>2086</c:v>
                </c:pt>
                <c:pt idx="9" formatCode="General">
                  <c:v>2866</c:v>
                </c:pt>
                <c:pt idx="10">
                  <c:v>2276</c:v>
                </c:pt>
                <c:pt idx="11">
                  <c:v>2367</c:v>
                </c:pt>
                <c:pt idx="12">
                  <c:v>2407</c:v>
                </c:pt>
                <c:pt idx="13">
                  <c:v>2965</c:v>
                </c:pt>
                <c:pt idx="14">
                  <c:v>2654</c:v>
                </c:pt>
                <c:pt idx="15">
                  <c:v>2213</c:v>
                </c:pt>
                <c:pt idx="16">
                  <c:v>2492</c:v>
                </c:pt>
                <c:pt idx="17">
                  <c:v>2508</c:v>
                </c:pt>
                <c:pt idx="18">
                  <c:v>2099</c:v>
                </c:pt>
                <c:pt idx="19">
                  <c:v>1596</c:v>
                </c:pt>
                <c:pt idx="20" formatCode="#,##0_);\(#,##0\)">
                  <c:v>1854</c:v>
                </c:pt>
                <c:pt idx="21">
                  <c:v>2323</c:v>
                </c:pt>
                <c:pt idx="22">
                  <c:v>1636</c:v>
                </c:pt>
                <c:pt idx="23">
                  <c:v>1198</c:v>
                </c:pt>
                <c:pt idx="24">
                  <c:v>1284</c:v>
                </c:pt>
                <c:pt idx="25">
                  <c:v>958</c:v>
                </c:pt>
                <c:pt idx="26">
                  <c:v>1054</c:v>
                </c:pt>
                <c:pt idx="27">
                  <c:v>1298</c:v>
                </c:pt>
                <c:pt idx="28">
                  <c:v>627</c:v>
                </c:pt>
                <c:pt idx="29">
                  <c:v>653</c:v>
                </c:pt>
                <c:pt idx="30">
                  <c:v>1172</c:v>
                </c:pt>
                <c:pt idx="31">
                  <c:v>771</c:v>
                </c:pt>
                <c:pt idx="32">
                  <c:v>1491</c:v>
                </c:pt>
                <c:pt idx="33">
                  <c:v>897</c:v>
                </c:pt>
                <c:pt idx="34">
                  <c:v>700</c:v>
                </c:pt>
                <c:pt idx="35">
                  <c:v>839</c:v>
                </c:pt>
                <c:pt idx="36">
                  <c:v>1654</c:v>
                </c:pt>
                <c:pt idx="37">
                  <c:v>1421</c:v>
                </c:pt>
                <c:pt idx="38">
                  <c:v>1508</c:v>
                </c:pt>
                <c:pt idx="39">
                  <c:v>978</c:v>
                </c:pt>
                <c:pt idx="40">
                  <c:v>1060</c:v>
                </c:pt>
                <c:pt idx="41">
                  <c:v>567</c:v>
                </c:pt>
                <c:pt idx="42">
                  <c:v>459</c:v>
                </c:pt>
                <c:pt idx="43">
                  <c:v>121</c:v>
                </c:pt>
                <c:pt idx="44">
                  <c:v>302</c:v>
                </c:pt>
                <c:pt idx="45">
                  <c:v>644</c:v>
                </c:pt>
                <c:pt idx="46">
                  <c:v>1091</c:v>
                </c:pt>
                <c:pt idx="47">
                  <c:v>992</c:v>
                </c:pt>
                <c:pt idx="48">
                  <c:v>634</c:v>
                </c:pt>
                <c:pt idx="49">
                  <c:v>790</c:v>
                </c:pt>
              </c:numCache>
            </c:numRef>
          </c:val>
          <c:smooth val="0"/>
        </c:ser>
        <c:ser>
          <c:idx val="1"/>
          <c:order val="4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Data'!$E$946:$E$997</c:f>
              <c:numCache>
                <c:formatCode>#,##0</c:formatCode>
                <c:ptCount val="52"/>
                <c:pt idx="0">
                  <c:v>995</c:v>
                </c:pt>
                <c:pt idx="1">
                  <c:v>616</c:v>
                </c:pt>
                <c:pt idx="2">
                  <c:v>697</c:v>
                </c:pt>
                <c:pt idx="3">
                  <c:v>755</c:v>
                </c:pt>
                <c:pt idx="4">
                  <c:v>800</c:v>
                </c:pt>
                <c:pt idx="5">
                  <c:v>706</c:v>
                </c:pt>
                <c:pt idx="6">
                  <c:v>662</c:v>
                </c:pt>
                <c:pt idx="7">
                  <c:v>251</c:v>
                </c:pt>
                <c:pt idx="8">
                  <c:v>575</c:v>
                </c:pt>
                <c:pt idx="9">
                  <c:v>848</c:v>
                </c:pt>
                <c:pt idx="10">
                  <c:v>687</c:v>
                </c:pt>
                <c:pt idx="11">
                  <c:v>668</c:v>
                </c:pt>
                <c:pt idx="12">
                  <c:v>980</c:v>
                </c:pt>
                <c:pt idx="13">
                  <c:v>580</c:v>
                </c:pt>
                <c:pt idx="14">
                  <c:v>542</c:v>
                </c:pt>
                <c:pt idx="15">
                  <c:v>864</c:v>
                </c:pt>
                <c:pt idx="16">
                  <c:v>535</c:v>
                </c:pt>
                <c:pt idx="17">
                  <c:v>641</c:v>
                </c:pt>
                <c:pt idx="18">
                  <c:v>82</c:v>
                </c:pt>
                <c:pt idx="19">
                  <c:v>409</c:v>
                </c:pt>
                <c:pt idx="20">
                  <c:v>1015</c:v>
                </c:pt>
                <c:pt idx="21">
                  <c:v>1684</c:v>
                </c:pt>
                <c:pt idx="22" formatCode="General">
                  <c:v>1562</c:v>
                </c:pt>
                <c:pt idx="23" formatCode="General">
                  <c:v>921</c:v>
                </c:pt>
                <c:pt idx="24" formatCode="General">
                  <c:v>792</c:v>
                </c:pt>
                <c:pt idx="25" formatCode="General">
                  <c:v>1147</c:v>
                </c:pt>
                <c:pt idx="26" formatCode="#,##0;[Red]#,##0">
                  <c:v>587</c:v>
                </c:pt>
                <c:pt idx="27" formatCode="#,##0;[Red]#,##0">
                  <c:v>661</c:v>
                </c:pt>
                <c:pt idx="28" formatCode="#,##0;[Red]#,##0">
                  <c:v>445</c:v>
                </c:pt>
                <c:pt idx="29" formatCode="#,##0;[Red]#,##0">
                  <c:v>979</c:v>
                </c:pt>
                <c:pt idx="30" formatCode="#,##0;[Red]#,##0">
                  <c:v>367</c:v>
                </c:pt>
                <c:pt idx="31" formatCode="#,##0;[Red]#,##0">
                  <c:v>770</c:v>
                </c:pt>
                <c:pt idx="32" formatCode="#,##0;[Red]#,##0">
                  <c:v>660</c:v>
                </c:pt>
                <c:pt idx="33" formatCode="#,##0;[Red]#,##0">
                  <c:v>578</c:v>
                </c:pt>
                <c:pt idx="34" formatCode="#,##0;[Red]#,##0">
                  <c:v>1072</c:v>
                </c:pt>
                <c:pt idx="35" formatCode="#,##0;[Red]#,##0">
                  <c:v>796</c:v>
                </c:pt>
                <c:pt idx="36" formatCode="#,##0;[Red]#,##0">
                  <c:v>1330</c:v>
                </c:pt>
                <c:pt idx="37" formatCode="#,##0;[Red]#,##0">
                  <c:v>1328</c:v>
                </c:pt>
                <c:pt idx="38" formatCode="#,##0;[Red]#,##0">
                  <c:v>1521</c:v>
                </c:pt>
                <c:pt idx="39" formatCode="#,##0;[Red]#,##0">
                  <c:v>958</c:v>
                </c:pt>
                <c:pt idx="40" formatCode="#,##0;[Red]#,##0">
                  <c:v>740</c:v>
                </c:pt>
                <c:pt idx="41" formatCode="#,##0;[Red]#,##0">
                  <c:v>737</c:v>
                </c:pt>
                <c:pt idx="42" formatCode="#,##0_);\(#,##0\)">
                  <c:v>638</c:v>
                </c:pt>
                <c:pt idx="43" formatCode="#,##0_);\(#,##0\)">
                  <c:v>920</c:v>
                </c:pt>
                <c:pt idx="44" formatCode="#,##0_);\(#,##0\)">
                  <c:v>761</c:v>
                </c:pt>
                <c:pt idx="45" formatCode="0_);\(0\)">
                  <c:v>572</c:v>
                </c:pt>
                <c:pt idx="46" formatCode="0_);\(0\)">
                  <c:v>569</c:v>
                </c:pt>
                <c:pt idx="47" formatCode="0_);\(0\)">
                  <c:v>842</c:v>
                </c:pt>
                <c:pt idx="48" formatCode="0_);\(0\)">
                  <c:v>928</c:v>
                </c:pt>
                <c:pt idx="49" formatCode="0_);\(0\)">
                  <c:v>620</c:v>
                </c:pt>
                <c:pt idx="50" formatCode="0_);\(0\)">
                  <c:v>877</c:v>
                </c:pt>
                <c:pt idx="51" formatCode="0_);\(0\)">
                  <c:v>510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77088"/>
        <c:axId val="130278528"/>
      </c:lineChart>
      <c:catAx>
        <c:axId val="11477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8327273983096610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2785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30278528"/>
        <c:scaling>
          <c:orientation val="minMax"/>
          <c:max val="4500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47770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2191225465503681"/>
          <c:y val="0.90149725602481501"/>
          <c:w val="0.6910785457373384"/>
          <c:h val="9.850274397518488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1405314531761962"/>
          <c:y val="1.81160544587099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04539996225961"/>
          <c:y val="0.14331225838149542"/>
          <c:w val="0.81237195055922562"/>
          <c:h val="0.49643448415101982"/>
        </c:manualLayout>
      </c:layout>
      <c:lineChart>
        <c:grouping val="standard"/>
        <c:varyColors val="0"/>
        <c:ser>
          <c:idx val="3"/>
          <c:order val="0"/>
          <c:tx>
            <c:v>4-yr avg (4-week avg)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Averages'!$S$894:$S$945</c:f>
              <c:numCache>
                <c:formatCode>_(* #,##0_);_(* \(#,##0\);_(* "-"??_);_(@_)</c:formatCode>
                <c:ptCount val="52"/>
                <c:pt idx="0">
                  <c:v>1112.0625</c:v>
                </c:pt>
                <c:pt idx="1">
                  <c:v>1129.75</c:v>
                </c:pt>
                <c:pt idx="2">
                  <c:v>1181.75</c:v>
                </c:pt>
                <c:pt idx="3">
                  <c:v>1269.125</c:v>
                </c:pt>
                <c:pt idx="4">
                  <c:v>1306.9375</c:v>
                </c:pt>
                <c:pt idx="5">
                  <c:v>1284.0625</c:v>
                </c:pt>
                <c:pt idx="6">
                  <c:v>1253.5</c:v>
                </c:pt>
                <c:pt idx="7">
                  <c:v>1130.9375</c:v>
                </c:pt>
                <c:pt idx="8">
                  <c:v>1131.0625</c:v>
                </c:pt>
                <c:pt idx="9">
                  <c:v>1097.6875</c:v>
                </c:pt>
                <c:pt idx="10">
                  <c:v>991</c:v>
                </c:pt>
                <c:pt idx="11">
                  <c:v>1002.125</c:v>
                </c:pt>
                <c:pt idx="12">
                  <c:v>848.9375</c:v>
                </c:pt>
                <c:pt idx="13">
                  <c:v>731</c:v>
                </c:pt>
                <c:pt idx="14">
                  <c:v>713.125</c:v>
                </c:pt>
                <c:pt idx="15">
                  <c:v>649.75</c:v>
                </c:pt>
                <c:pt idx="16">
                  <c:v>600.875</c:v>
                </c:pt>
                <c:pt idx="17">
                  <c:v>552.625</c:v>
                </c:pt>
                <c:pt idx="18">
                  <c:v>477</c:v>
                </c:pt>
                <c:pt idx="19">
                  <c:v>449.3125</c:v>
                </c:pt>
                <c:pt idx="20">
                  <c:v>429.625</c:v>
                </c:pt>
                <c:pt idx="21">
                  <c:v>401.0625</c:v>
                </c:pt>
                <c:pt idx="22">
                  <c:v>344.5</c:v>
                </c:pt>
                <c:pt idx="23">
                  <c:v>314.8125</c:v>
                </c:pt>
                <c:pt idx="24">
                  <c:v>324</c:v>
                </c:pt>
                <c:pt idx="25">
                  <c:v>370.5</c:v>
                </c:pt>
                <c:pt idx="26">
                  <c:v>406.5625</c:v>
                </c:pt>
                <c:pt idx="27">
                  <c:v>452.375</c:v>
                </c:pt>
                <c:pt idx="28">
                  <c:v>520.8125</c:v>
                </c:pt>
                <c:pt idx="29">
                  <c:v>560.75</c:v>
                </c:pt>
                <c:pt idx="30">
                  <c:v>561</c:v>
                </c:pt>
                <c:pt idx="31">
                  <c:v>607.4375</c:v>
                </c:pt>
                <c:pt idx="32">
                  <c:v>573.1875</c:v>
                </c:pt>
                <c:pt idx="33">
                  <c:v>587.625</c:v>
                </c:pt>
                <c:pt idx="34">
                  <c:v>704.25</c:v>
                </c:pt>
                <c:pt idx="35">
                  <c:v>722.1875</c:v>
                </c:pt>
                <c:pt idx="36">
                  <c:v>794.0625</c:v>
                </c:pt>
                <c:pt idx="37">
                  <c:v>878.8125</c:v>
                </c:pt>
                <c:pt idx="38">
                  <c:v>940.3125</c:v>
                </c:pt>
                <c:pt idx="39">
                  <c:v>1140.625</c:v>
                </c:pt>
                <c:pt idx="40">
                  <c:v>1450.875</c:v>
                </c:pt>
                <c:pt idx="41">
                  <c:v>1753.3125</c:v>
                </c:pt>
                <c:pt idx="42">
                  <c:v>1995.9375</c:v>
                </c:pt>
                <c:pt idx="43">
                  <c:v>2050.4375</c:v>
                </c:pt>
                <c:pt idx="44">
                  <c:v>1938.875</c:v>
                </c:pt>
                <c:pt idx="45">
                  <c:v>1733.125</c:v>
                </c:pt>
                <c:pt idx="46">
                  <c:v>1550.9375</c:v>
                </c:pt>
                <c:pt idx="47">
                  <c:v>1474.6875</c:v>
                </c:pt>
                <c:pt idx="48">
                  <c:v>1417.625</c:v>
                </c:pt>
                <c:pt idx="49">
                  <c:v>1334.1875</c:v>
                </c:pt>
                <c:pt idx="50">
                  <c:v>1218.1875</c:v>
                </c:pt>
                <c:pt idx="51">
                  <c:v>1079.125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Averages'!$J$894:$J$945</c:f>
              <c:numCache>
                <c:formatCode>#,##0_);\(#,##0\)</c:formatCode>
                <c:ptCount val="52"/>
                <c:pt idx="0">
                  <c:v>1237.5</c:v>
                </c:pt>
                <c:pt idx="1">
                  <c:v>1359.25</c:v>
                </c:pt>
                <c:pt idx="2">
                  <c:v>1250.75</c:v>
                </c:pt>
                <c:pt idx="3">
                  <c:v>1316.5</c:v>
                </c:pt>
                <c:pt idx="4">
                  <c:v>1106.75</c:v>
                </c:pt>
                <c:pt idx="5">
                  <c:v>1289.25</c:v>
                </c:pt>
                <c:pt idx="6">
                  <c:v>1159.75</c:v>
                </c:pt>
                <c:pt idx="7">
                  <c:v>834.25</c:v>
                </c:pt>
                <c:pt idx="8">
                  <c:v>1207.5</c:v>
                </c:pt>
                <c:pt idx="9">
                  <c:v>1111.5</c:v>
                </c:pt>
                <c:pt idx="10">
                  <c:v>812.75</c:v>
                </c:pt>
                <c:pt idx="11">
                  <c:v>710.5</c:v>
                </c:pt>
                <c:pt idx="12">
                  <c:v>617.75</c:v>
                </c:pt>
                <c:pt idx="13">
                  <c:v>581.5</c:v>
                </c:pt>
                <c:pt idx="14">
                  <c:v>830.75</c:v>
                </c:pt>
                <c:pt idx="15">
                  <c:v>508.75</c:v>
                </c:pt>
                <c:pt idx="16">
                  <c:v>492.75</c:v>
                </c:pt>
                <c:pt idx="17">
                  <c:v>374.5</c:v>
                </c:pt>
                <c:pt idx="18">
                  <c:v>481.5</c:v>
                </c:pt>
                <c:pt idx="19">
                  <c:v>359.25</c:v>
                </c:pt>
                <c:pt idx="20">
                  <c:v>362.5</c:v>
                </c:pt>
                <c:pt idx="21">
                  <c:v>461.25</c:v>
                </c:pt>
                <c:pt idx="22">
                  <c:v>148.75</c:v>
                </c:pt>
                <c:pt idx="23">
                  <c:v>319.75</c:v>
                </c:pt>
                <c:pt idx="24">
                  <c:v>367</c:v>
                </c:pt>
                <c:pt idx="25">
                  <c:v>513.75</c:v>
                </c:pt>
                <c:pt idx="26">
                  <c:v>422</c:v>
                </c:pt>
                <c:pt idx="27">
                  <c:v>554</c:v>
                </c:pt>
                <c:pt idx="28">
                  <c:v>731.5</c:v>
                </c:pt>
                <c:pt idx="29">
                  <c:v>614</c:v>
                </c:pt>
                <c:pt idx="30">
                  <c:v>450.5</c:v>
                </c:pt>
                <c:pt idx="31">
                  <c:v>700.75</c:v>
                </c:pt>
                <c:pt idx="32">
                  <c:v>569.75</c:v>
                </c:pt>
                <c:pt idx="33">
                  <c:v>832.5</c:v>
                </c:pt>
                <c:pt idx="34">
                  <c:v>874</c:v>
                </c:pt>
                <c:pt idx="35">
                  <c:v>767.5</c:v>
                </c:pt>
                <c:pt idx="36">
                  <c:v>879.75</c:v>
                </c:pt>
                <c:pt idx="37">
                  <c:v>1191.75</c:v>
                </c:pt>
                <c:pt idx="38">
                  <c:v>1154</c:v>
                </c:pt>
                <c:pt idx="39">
                  <c:v>1646</c:v>
                </c:pt>
                <c:pt idx="40">
                  <c:v>2160.75</c:v>
                </c:pt>
                <c:pt idx="41">
                  <c:v>2063</c:v>
                </c:pt>
                <c:pt idx="42">
                  <c:v>2038.75</c:v>
                </c:pt>
                <c:pt idx="43">
                  <c:v>1666.75</c:v>
                </c:pt>
                <c:pt idx="44">
                  <c:v>1625.75</c:v>
                </c:pt>
                <c:pt idx="45">
                  <c:v>1381.25</c:v>
                </c:pt>
                <c:pt idx="46">
                  <c:v>1530.75</c:v>
                </c:pt>
                <c:pt idx="47">
                  <c:v>1426.75</c:v>
                </c:pt>
                <c:pt idx="48">
                  <c:v>1387</c:v>
                </c:pt>
                <c:pt idx="49">
                  <c:v>981.75</c:v>
                </c:pt>
                <c:pt idx="50">
                  <c:v>992.25</c:v>
                </c:pt>
                <c:pt idx="51">
                  <c:v>710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Data'!$D$842:$D$893</c:f>
              <c:numCache>
                <c:formatCode>#,##0</c:formatCode>
                <c:ptCount val="52"/>
                <c:pt idx="0">
                  <c:v>490</c:v>
                </c:pt>
                <c:pt idx="1">
                  <c:v>278</c:v>
                </c:pt>
                <c:pt idx="2">
                  <c:v>570</c:v>
                </c:pt>
                <c:pt idx="3">
                  <c:v>716</c:v>
                </c:pt>
                <c:pt idx="4">
                  <c:v>589</c:v>
                </c:pt>
                <c:pt idx="5">
                  <c:v>783</c:v>
                </c:pt>
                <c:pt idx="6">
                  <c:v>367</c:v>
                </c:pt>
                <c:pt idx="7">
                  <c:v>230</c:v>
                </c:pt>
                <c:pt idx="8">
                  <c:v>504</c:v>
                </c:pt>
                <c:pt idx="9">
                  <c:v>555</c:v>
                </c:pt>
                <c:pt idx="10">
                  <c:v>226</c:v>
                </c:pt>
                <c:pt idx="11">
                  <c:v>594</c:v>
                </c:pt>
                <c:pt idx="12">
                  <c:v>84</c:v>
                </c:pt>
                <c:pt idx="13">
                  <c:v>200</c:v>
                </c:pt>
                <c:pt idx="14">
                  <c:v>222</c:v>
                </c:pt>
                <c:pt idx="15">
                  <c:v>100</c:v>
                </c:pt>
                <c:pt idx="16">
                  <c:v>198</c:v>
                </c:pt>
                <c:pt idx="17">
                  <c:v>107</c:v>
                </c:pt>
                <c:pt idx="18">
                  <c:v>108</c:v>
                </c:pt>
                <c:pt idx="19">
                  <c:v>198</c:v>
                </c:pt>
                <c:pt idx="20">
                  <c:v>201</c:v>
                </c:pt>
                <c:pt idx="21">
                  <c:v>208</c:v>
                </c:pt>
                <c:pt idx="22">
                  <c:v>0</c:v>
                </c:pt>
                <c:pt idx="23" formatCode="#,##0;[Red]#,##0">
                  <c:v>430</c:v>
                </c:pt>
                <c:pt idx="24">
                  <c:v>158</c:v>
                </c:pt>
                <c:pt idx="25">
                  <c:v>214</c:v>
                </c:pt>
                <c:pt idx="26">
                  <c:v>5</c:v>
                </c:pt>
                <c:pt idx="27">
                  <c:v>105</c:v>
                </c:pt>
                <c:pt idx="28">
                  <c:v>231</c:v>
                </c:pt>
                <c:pt idx="29">
                  <c:v>442</c:v>
                </c:pt>
                <c:pt idx="30">
                  <c:v>101</c:v>
                </c:pt>
                <c:pt idx="31">
                  <c:v>262</c:v>
                </c:pt>
                <c:pt idx="32">
                  <c:v>393</c:v>
                </c:pt>
                <c:pt idx="33">
                  <c:v>494</c:v>
                </c:pt>
                <c:pt idx="34">
                  <c:v>372</c:v>
                </c:pt>
                <c:pt idx="35">
                  <c:v>757</c:v>
                </c:pt>
                <c:pt idx="36">
                  <c:v>884</c:v>
                </c:pt>
                <c:pt idx="37">
                  <c:v>1288</c:v>
                </c:pt>
                <c:pt idx="38">
                  <c:v>849</c:v>
                </c:pt>
                <c:pt idx="39">
                  <c:v>1458</c:v>
                </c:pt>
                <c:pt idx="40">
                  <c:v>1548</c:v>
                </c:pt>
                <c:pt idx="41">
                  <c:v>2094</c:v>
                </c:pt>
                <c:pt idx="42">
                  <c:v>1583</c:v>
                </c:pt>
                <c:pt idx="43">
                  <c:v>1904</c:v>
                </c:pt>
                <c:pt idx="44">
                  <c:v>1776</c:v>
                </c:pt>
                <c:pt idx="45">
                  <c:v>1644</c:v>
                </c:pt>
                <c:pt idx="46">
                  <c:v>1123</c:v>
                </c:pt>
                <c:pt idx="47">
                  <c:v>1316</c:v>
                </c:pt>
                <c:pt idx="48">
                  <c:v>1735</c:v>
                </c:pt>
                <c:pt idx="49">
                  <c:v>1075</c:v>
                </c:pt>
                <c:pt idx="50">
                  <c:v>1110</c:v>
                </c:pt>
                <c:pt idx="51">
                  <c:v>1092</c:v>
                </c:pt>
              </c:numCache>
            </c:numRef>
          </c:val>
          <c:smooth val="0"/>
        </c:ser>
        <c:ser>
          <c:idx val="0"/>
          <c:order val="3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Data'!$D$894:$D$943</c:f>
              <c:numCache>
                <c:formatCode>#,##0</c:formatCode>
                <c:ptCount val="50"/>
                <c:pt idx="0">
                  <c:v>1100</c:v>
                </c:pt>
                <c:pt idx="1">
                  <c:v>853</c:v>
                </c:pt>
                <c:pt idx="2">
                  <c:v>1403</c:v>
                </c:pt>
                <c:pt idx="3">
                  <c:v>1200</c:v>
                </c:pt>
                <c:pt idx="4">
                  <c:v>940</c:v>
                </c:pt>
                <c:pt idx="5">
                  <c:v>728</c:v>
                </c:pt>
                <c:pt idx="6">
                  <c:v>1208</c:v>
                </c:pt>
                <c:pt idx="7">
                  <c:v>1036</c:v>
                </c:pt>
                <c:pt idx="8">
                  <c:v>1147</c:v>
                </c:pt>
                <c:pt idx="9" formatCode="General">
                  <c:v>1113</c:v>
                </c:pt>
                <c:pt idx="10">
                  <c:v>1111</c:v>
                </c:pt>
                <c:pt idx="11">
                  <c:v>1706</c:v>
                </c:pt>
                <c:pt idx="12">
                  <c:v>1282</c:v>
                </c:pt>
                <c:pt idx="13">
                  <c:v>1104</c:v>
                </c:pt>
                <c:pt idx="14">
                  <c:v>703</c:v>
                </c:pt>
                <c:pt idx="15">
                  <c:v>228</c:v>
                </c:pt>
                <c:pt idx="16">
                  <c:v>482</c:v>
                </c:pt>
                <c:pt idx="17">
                  <c:v>404</c:v>
                </c:pt>
                <c:pt idx="18">
                  <c:v>778</c:v>
                </c:pt>
                <c:pt idx="19">
                  <c:v>537</c:v>
                </c:pt>
                <c:pt idx="20" formatCode="General">
                  <c:v>554</c:v>
                </c:pt>
                <c:pt idx="21">
                  <c:v>435</c:v>
                </c:pt>
                <c:pt idx="22">
                  <c:v>373</c:v>
                </c:pt>
                <c:pt idx="23">
                  <c:v>156</c:v>
                </c:pt>
                <c:pt idx="24">
                  <c:v>231</c:v>
                </c:pt>
                <c:pt idx="25">
                  <c:v>218</c:v>
                </c:pt>
                <c:pt idx="26">
                  <c:v>209</c:v>
                </c:pt>
                <c:pt idx="27">
                  <c:v>167</c:v>
                </c:pt>
                <c:pt idx="28">
                  <c:v>3</c:v>
                </c:pt>
                <c:pt idx="29">
                  <c:v>111</c:v>
                </c:pt>
                <c:pt idx="30">
                  <c:v>206</c:v>
                </c:pt>
                <c:pt idx="31">
                  <c:v>0</c:v>
                </c:pt>
                <c:pt idx="32">
                  <c:v>128</c:v>
                </c:pt>
                <c:pt idx="33">
                  <c:v>108</c:v>
                </c:pt>
                <c:pt idx="34">
                  <c:v>1</c:v>
                </c:pt>
                <c:pt idx="35">
                  <c:v>120</c:v>
                </c:pt>
                <c:pt idx="36">
                  <c:v>110</c:v>
                </c:pt>
                <c:pt idx="37">
                  <c:v>149</c:v>
                </c:pt>
                <c:pt idx="38">
                  <c:v>617</c:v>
                </c:pt>
                <c:pt idx="39">
                  <c:v>479</c:v>
                </c:pt>
                <c:pt idx="40">
                  <c:v>279</c:v>
                </c:pt>
                <c:pt idx="41">
                  <c:v>791</c:v>
                </c:pt>
                <c:pt idx="42">
                  <c:v>891</c:v>
                </c:pt>
                <c:pt idx="43">
                  <c:v>533</c:v>
                </c:pt>
                <c:pt idx="44">
                  <c:v>532</c:v>
                </c:pt>
                <c:pt idx="45">
                  <c:v>76</c:v>
                </c:pt>
                <c:pt idx="46">
                  <c:v>405</c:v>
                </c:pt>
                <c:pt idx="47">
                  <c:v>125</c:v>
                </c:pt>
                <c:pt idx="48">
                  <c:v>111</c:v>
                </c:pt>
                <c:pt idx="49">
                  <c:v>117</c:v>
                </c:pt>
              </c:numCache>
            </c:numRef>
          </c:val>
          <c:smooth val="0"/>
        </c:ser>
        <c:ser>
          <c:idx val="1"/>
          <c:order val="4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Data'!$D$946:$D$997</c:f>
              <c:numCache>
                <c:formatCode>#,##0</c:formatCode>
                <c:ptCount val="52"/>
                <c:pt idx="0">
                  <c:v>25</c:v>
                </c:pt>
                <c:pt idx="1">
                  <c:v>148</c:v>
                </c:pt>
                <c:pt idx="2">
                  <c:v>0</c:v>
                </c:pt>
                <c:pt idx="3">
                  <c:v>25</c:v>
                </c:pt>
                <c:pt idx="4">
                  <c:v>449</c:v>
                </c:pt>
                <c:pt idx="5">
                  <c:v>144</c:v>
                </c:pt>
                <c:pt idx="6">
                  <c:v>630</c:v>
                </c:pt>
                <c:pt idx="7">
                  <c:v>567</c:v>
                </c:pt>
                <c:pt idx="8">
                  <c:v>433</c:v>
                </c:pt>
                <c:pt idx="9">
                  <c:v>359</c:v>
                </c:pt>
                <c:pt idx="10">
                  <c:v>328</c:v>
                </c:pt>
                <c:pt idx="11">
                  <c:v>68</c:v>
                </c:pt>
                <c:pt idx="12">
                  <c:v>6</c:v>
                </c:pt>
                <c:pt idx="13">
                  <c:v>235</c:v>
                </c:pt>
                <c:pt idx="14">
                  <c:v>71</c:v>
                </c:pt>
                <c:pt idx="15">
                  <c:v>0</c:v>
                </c:pt>
                <c:pt idx="16">
                  <c:v>52</c:v>
                </c:pt>
                <c:pt idx="17">
                  <c:v>25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 formatCode="General">
                  <c:v>215</c:v>
                </c:pt>
                <c:pt idx="23" formatCode="General">
                  <c:v>110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110</c:v>
                </c:pt>
                <c:pt idx="27" formatCode="General">
                  <c:v>0</c:v>
                </c:pt>
                <c:pt idx="28" formatCode="General">
                  <c:v>504</c:v>
                </c:pt>
                <c:pt idx="29" formatCode="General">
                  <c:v>280</c:v>
                </c:pt>
                <c:pt idx="30" formatCode="#,##0_);\(#,##0\)">
                  <c:v>393</c:v>
                </c:pt>
                <c:pt idx="31" formatCode="#,##0_);\(#,##0\)">
                  <c:v>791</c:v>
                </c:pt>
                <c:pt idx="32" formatCode="#,##0_);\(#,##0\)">
                  <c:v>257</c:v>
                </c:pt>
                <c:pt idx="33" formatCode="#,##0_);\(#,##0\)">
                  <c:v>629</c:v>
                </c:pt>
                <c:pt idx="34" formatCode="#,##0_);\(#,##0\)">
                  <c:v>1</c:v>
                </c:pt>
                <c:pt idx="35" formatCode="#,##0_);\(#,##0\)">
                  <c:v>74</c:v>
                </c:pt>
                <c:pt idx="36" formatCode="#,##0_);\(#,##0\)">
                  <c:v>50</c:v>
                </c:pt>
                <c:pt idx="37" formatCode="#,##0_);\(#,##0\)">
                  <c:v>333</c:v>
                </c:pt>
                <c:pt idx="38" formatCode="#,##0_);\(#,##0\)">
                  <c:v>506</c:v>
                </c:pt>
                <c:pt idx="39" formatCode="#,##0_);\(#,##0\)">
                  <c:v>1218</c:v>
                </c:pt>
                <c:pt idx="40" formatCode="#,##0_);\(#,##0\)">
                  <c:v>1439</c:v>
                </c:pt>
                <c:pt idx="41" formatCode="#,##0_);\(#,##0\)">
                  <c:v>1905</c:v>
                </c:pt>
                <c:pt idx="42" formatCode="#,##0_);\(#,##0\)">
                  <c:v>631</c:v>
                </c:pt>
                <c:pt idx="43" formatCode="#,##0_);\(#,##0\)">
                  <c:v>539</c:v>
                </c:pt>
                <c:pt idx="44" formatCode="#,##0_);\(#,##0\)">
                  <c:v>694</c:v>
                </c:pt>
                <c:pt idx="45" formatCode="#,##0_);\(#,##0\)">
                  <c:v>641</c:v>
                </c:pt>
                <c:pt idx="46" formatCode="#,##0_);\(#,##0\)">
                  <c:v>1127</c:v>
                </c:pt>
                <c:pt idx="47" formatCode="#,##0_);\(#,##0\)">
                  <c:v>1311</c:v>
                </c:pt>
                <c:pt idx="48" formatCode="#,##0_);\(#,##0\)">
                  <c:v>1365</c:v>
                </c:pt>
                <c:pt idx="49" formatCode="#,##0_);\(#,##0\)">
                  <c:v>1027</c:v>
                </c:pt>
                <c:pt idx="50" formatCode="#,##0_);\(#,##0\)">
                  <c:v>1448</c:v>
                </c:pt>
                <c:pt idx="51" formatCode="#,##0_);\(#,##0\)">
                  <c:v>1402</c:v>
                </c:pt>
              </c:numCache>
            </c:numRef>
          </c:val>
          <c:smooth val="0"/>
        </c:ser>
        <c:ser>
          <c:idx val="5"/>
          <c:order val="5"/>
          <c:tx>
            <c:v>2013</c:v>
          </c:tx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93984"/>
        <c:axId val="130408448"/>
      </c:lineChart>
      <c:catAx>
        <c:axId val="13039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4084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30408448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39398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086086665637383"/>
          <c:y val="0.8986214007731792"/>
          <c:w val="0.85080477072718852"/>
          <c:h val="0.10137859922682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9877054841828981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0.12170085802055013"/>
          <c:w val="0.82991803278689324"/>
          <c:h val="0.5494525149257195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Averages'!$H$842:$H$893</c:f>
              <c:numCache>
                <c:formatCode>#,##0_);\(#,##0\)</c:formatCode>
                <c:ptCount val="52"/>
                <c:pt idx="0">
                  <c:v>1541.5161885902278</c:v>
                </c:pt>
                <c:pt idx="1">
                  <c:v>1554.4249373686887</c:v>
                </c:pt>
                <c:pt idx="2">
                  <c:v>1516.9257770680408</c:v>
                </c:pt>
                <c:pt idx="3">
                  <c:v>1664.1410968892681</c:v>
                </c:pt>
                <c:pt idx="4">
                  <c:v>1650.8451204558573</c:v>
                </c:pt>
                <c:pt idx="5">
                  <c:v>1554.4260350548184</c:v>
                </c:pt>
                <c:pt idx="6">
                  <c:v>1737.9761288228508</c:v>
                </c:pt>
                <c:pt idx="7">
                  <c:v>1534.080723456434</c:v>
                </c:pt>
                <c:pt idx="8">
                  <c:v>1683.795679457588</c:v>
                </c:pt>
                <c:pt idx="9">
                  <c:v>1809.1847194171958</c:v>
                </c:pt>
                <c:pt idx="10">
                  <c:v>1918.2090522215813</c:v>
                </c:pt>
                <c:pt idx="11">
                  <c:v>2130.9502452394695</c:v>
                </c:pt>
                <c:pt idx="12">
                  <c:v>2276.9057414887484</c:v>
                </c:pt>
                <c:pt idx="13">
                  <c:v>2245.7243400173111</c:v>
                </c:pt>
                <c:pt idx="14">
                  <c:v>2140.2383222735143</c:v>
                </c:pt>
                <c:pt idx="15">
                  <c:v>2139.1325988170802</c:v>
                </c:pt>
                <c:pt idx="16">
                  <c:v>2215.6486620023084</c:v>
                </c:pt>
                <c:pt idx="17">
                  <c:v>2222.9464368147724</c:v>
                </c:pt>
                <c:pt idx="18">
                  <c:v>2241.743735574149</c:v>
                </c:pt>
                <c:pt idx="19">
                  <c:v>2232.8979479226773</c:v>
                </c:pt>
                <c:pt idx="20">
                  <c:v>2111.2683677149453</c:v>
                </c:pt>
                <c:pt idx="21">
                  <c:v>2117.2392743796886</c:v>
                </c:pt>
                <c:pt idx="22">
                  <c:v>2212.5526363242934</c:v>
                </c:pt>
                <c:pt idx="23">
                  <c:v>2238.205420513561</c:v>
                </c:pt>
                <c:pt idx="24">
                  <c:v>2094.4613711771499</c:v>
                </c:pt>
                <c:pt idx="25">
                  <c:v>2150.4109780727063</c:v>
                </c:pt>
                <c:pt idx="26">
                  <c:v>1880.3933100115407</c:v>
                </c:pt>
                <c:pt idx="27">
                  <c:v>1647.7490947778419</c:v>
                </c:pt>
                <c:pt idx="28">
                  <c:v>1555.3106138199655</c:v>
                </c:pt>
                <c:pt idx="29">
                  <c:v>1388.1252272071554</c:v>
                </c:pt>
                <c:pt idx="30">
                  <c:v>1649.0759629255629</c:v>
                </c:pt>
                <c:pt idx="31">
                  <c:v>1614.5773910848243</c:v>
                </c:pt>
                <c:pt idx="32">
                  <c:v>1620.7694424408542</c:v>
                </c:pt>
                <c:pt idx="33">
                  <c:v>1638.6821624350839</c:v>
                </c:pt>
                <c:pt idx="34">
                  <c:v>1303.6479551356033</c:v>
                </c:pt>
                <c:pt idx="35">
                  <c:v>1543.1476557991923</c:v>
                </c:pt>
                <c:pt idx="36">
                  <c:v>1436.3347699076746</c:v>
                </c:pt>
                <c:pt idx="37">
                  <c:v>1451.593753606463</c:v>
                </c:pt>
                <c:pt idx="38">
                  <c:v>1495.6015471725332</c:v>
                </c:pt>
                <c:pt idx="39">
                  <c:v>1330.4064627813041</c:v>
                </c:pt>
                <c:pt idx="40">
                  <c:v>1504.4473348240049</c:v>
                </c:pt>
                <c:pt idx="41">
                  <c:v>1482.1117210040393</c:v>
                </c:pt>
                <c:pt idx="42">
                  <c:v>1635.364992065782</c:v>
                </c:pt>
                <c:pt idx="43">
                  <c:v>1773.1381347374495</c:v>
                </c:pt>
                <c:pt idx="44">
                  <c:v>1757.6580063473746</c:v>
                </c:pt>
                <c:pt idx="45">
                  <c:v>1677.3824834102713</c:v>
                </c:pt>
                <c:pt idx="46">
                  <c:v>1593.7897901038664</c:v>
                </c:pt>
                <c:pt idx="47">
                  <c:v>1451.1514642238892</c:v>
                </c:pt>
                <c:pt idx="48">
                  <c:v>1344.5597230236585</c:v>
                </c:pt>
                <c:pt idx="49">
                  <c:v>1449.6034513848817</c:v>
                </c:pt>
                <c:pt idx="50">
                  <c:v>1373.5296775822276</c:v>
                </c:pt>
                <c:pt idx="51">
                  <c:v>1347.8768933929603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Averages'!$U$842:$U$893</c:f>
              <c:numCache>
                <c:formatCode>#,##0</c:formatCode>
                <c:ptCount val="52"/>
                <c:pt idx="0">
                  <c:v>733.9375</c:v>
                </c:pt>
                <c:pt idx="1">
                  <c:v>669.25</c:v>
                </c:pt>
                <c:pt idx="2">
                  <c:v>637.5625</c:v>
                </c:pt>
                <c:pt idx="3">
                  <c:v>679.375</c:v>
                </c:pt>
                <c:pt idx="4">
                  <c:v>611.1875</c:v>
                </c:pt>
                <c:pt idx="5">
                  <c:v>696</c:v>
                </c:pt>
                <c:pt idx="6">
                  <c:v>630.1875</c:v>
                </c:pt>
                <c:pt idx="7">
                  <c:v>664.5</c:v>
                </c:pt>
                <c:pt idx="8">
                  <c:v>780.625</c:v>
                </c:pt>
                <c:pt idx="9">
                  <c:v>832.6875</c:v>
                </c:pt>
                <c:pt idx="10">
                  <c:v>856.6875</c:v>
                </c:pt>
                <c:pt idx="11">
                  <c:v>881</c:v>
                </c:pt>
                <c:pt idx="12">
                  <c:v>841.25</c:v>
                </c:pt>
                <c:pt idx="13">
                  <c:v>852.25</c:v>
                </c:pt>
                <c:pt idx="14">
                  <c:v>902.25</c:v>
                </c:pt>
                <c:pt idx="15">
                  <c:v>885.5625</c:v>
                </c:pt>
                <c:pt idx="16">
                  <c:v>914.5</c:v>
                </c:pt>
                <c:pt idx="17">
                  <c:v>907.5</c:v>
                </c:pt>
                <c:pt idx="18">
                  <c:v>943.5625</c:v>
                </c:pt>
                <c:pt idx="19">
                  <c:v>948.0625</c:v>
                </c:pt>
                <c:pt idx="20">
                  <c:v>943.375</c:v>
                </c:pt>
                <c:pt idx="21">
                  <c:v>943.125</c:v>
                </c:pt>
                <c:pt idx="22">
                  <c:v>819.375</c:v>
                </c:pt>
                <c:pt idx="23">
                  <c:v>776.375</c:v>
                </c:pt>
                <c:pt idx="24">
                  <c:v>698.1875</c:v>
                </c:pt>
                <c:pt idx="25">
                  <c:v>625.375</c:v>
                </c:pt>
                <c:pt idx="26">
                  <c:v>674.4375</c:v>
                </c:pt>
                <c:pt idx="27">
                  <c:v>635</c:v>
                </c:pt>
                <c:pt idx="28">
                  <c:v>670.0625</c:v>
                </c:pt>
                <c:pt idx="29">
                  <c:v>622.5</c:v>
                </c:pt>
                <c:pt idx="30">
                  <c:v>615.9375</c:v>
                </c:pt>
                <c:pt idx="31">
                  <c:v>608.25</c:v>
                </c:pt>
                <c:pt idx="32">
                  <c:v>601.75</c:v>
                </c:pt>
                <c:pt idx="33">
                  <c:v>678.75</c:v>
                </c:pt>
                <c:pt idx="34">
                  <c:v>651.0625</c:v>
                </c:pt>
                <c:pt idx="35">
                  <c:v>671.5</c:v>
                </c:pt>
                <c:pt idx="36">
                  <c:v>684.625</c:v>
                </c:pt>
                <c:pt idx="37">
                  <c:v>741.5625</c:v>
                </c:pt>
                <c:pt idx="38">
                  <c:v>797.5</c:v>
                </c:pt>
                <c:pt idx="39">
                  <c:v>835.75</c:v>
                </c:pt>
                <c:pt idx="40">
                  <c:v>915.9375</c:v>
                </c:pt>
                <c:pt idx="41">
                  <c:v>866.5</c:v>
                </c:pt>
                <c:pt idx="42">
                  <c:v>902.0625</c:v>
                </c:pt>
                <c:pt idx="43">
                  <c:v>989.3125</c:v>
                </c:pt>
                <c:pt idx="44">
                  <c:v>946.3125</c:v>
                </c:pt>
                <c:pt idx="45">
                  <c:v>936.5</c:v>
                </c:pt>
                <c:pt idx="46">
                  <c:v>889.875</c:v>
                </c:pt>
                <c:pt idx="47">
                  <c:v>770.875</c:v>
                </c:pt>
                <c:pt idx="48">
                  <c:v>767.375</c:v>
                </c:pt>
                <c:pt idx="49">
                  <c:v>724.25</c:v>
                </c:pt>
                <c:pt idx="50">
                  <c:v>742.25</c:v>
                </c:pt>
                <c:pt idx="51">
                  <c:v>683.0625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Averages'!$H$894:$H$945</c:f>
              <c:numCache>
                <c:formatCode>#,##0_);\(#,##0\)</c:formatCode>
                <c:ptCount val="52"/>
                <c:pt idx="0">
                  <c:v>1291.7061418061166</c:v>
                </c:pt>
                <c:pt idx="1">
                  <c:v>1204.2163829143958</c:v>
                </c:pt>
                <c:pt idx="2">
                  <c:v>1278.1958596892373</c:v>
                </c:pt>
                <c:pt idx="3">
                  <c:v>1351.7900657883774</c:v>
                </c:pt>
                <c:pt idx="4">
                  <c:v>1476.3774656437697</c:v>
                </c:pt>
                <c:pt idx="5">
                  <c:v>1404.5321218665722</c:v>
                </c:pt>
                <c:pt idx="6">
                  <c:v>1251.7498938959266</c:v>
                </c:pt>
                <c:pt idx="7">
                  <c:v>1293.2161879895561</c:v>
                </c:pt>
                <c:pt idx="8">
                  <c:v>1259.5109649829697</c:v>
                </c:pt>
                <c:pt idx="9">
                  <c:v>1254.8543223307438</c:v>
                </c:pt>
                <c:pt idx="10">
                  <c:v>1598.5588990426459</c:v>
                </c:pt>
                <c:pt idx="11">
                  <c:v>1548.0010645327659</c:v>
                </c:pt>
                <c:pt idx="12">
                  <c:v>1793.2509108833233</c:v>
                </c:pt>
                <c:pt idx="13">
                  <c:v>1959.7813219224447</c:v>
                </c:pt>
                <c:pt idx="14">
                  <c:v>2386.8619765980084</c:v>
                </c:pt>
                <c:pt idx="15">
                  <c:v>2695.7526058623171</c:v>
                </c:pt>
                <c:pt idx="16">
                  <c:v>2783.5635815900032</c:v>
                </c:pt>
                <c:pt idx="17">
                  <c:v>2935.9023197842462</c:v>
                </c:pt>
                <c:pt idx="18">
                  <c:v>2602.8414977060033</c:v>
                </c:pt>
                <c:pt idx="19">
                  <c:v>2236.5189423975762</c:v>
                </c:pt>
                <c:pt idx="20">
                  <c:v>2174.8738634776355</c:v>
                </c:pt>
                <c:pt idx="21">
                  <c:v>2100.5893259302238</c:v>
                </c:pt>
                <c:pt idx="22">
                  <c:v>1839.8173374055809</c:v>
                </c:pt>
                <c:pt idx="23">
                  <c:v>2130.3031409491887</c:v>
                </c:pt>
                <c:pt idx="24">
                  <c:v>1929.6240171270779</c:v>
                </c:pt>
                <c:pt idx="25">
                  <c:v>2090.6108059611688</c:v>
                </c:pt>
                <c:pt idx="26">
                  <c:v>2291.2899297832791</c:v>
                </c:pt>
                <c:pt idx="27">
                  <c:v>2164.6735986203785</c:v>
                </c:pt>
                <c:pt idx="28">
                  <c:v>2276.2112773855956</c:v>
                </c:pt>
                <c:pt idx="29">
                  <c:v>1965.5466890156767</c:v>
                </c:pt>
                <c:pt idx="30">
                  <c:v>1857.3351835734777</c:v>
                </c:pt>
                <c:pt idx="31">
                  <c:v>1801.0119819703662</c:v>
                </c:pt>
                <c:pt idx="32">
                  <c:v>1630.4901629436224</c:v>
                </c:pt>
                <c:pt idx="33">
                  <c:v>1670.4042428198434</c:v>
                </c:pt>
                <c:pt idx="34">
                  <c:v>1626.4987549560005</c:v>
                </c:pt>
                <c:pt idx="35">
                  <c:v>1519.8394637312103</c:v>
                </c:pt>
                <c:pt idx="36">
                  <c:v>1622.9508367447806</c:v>
                </c:pt>
                <c:pt idx="37">
                  <c:v>1739.5886479386263</c:v>
                </c:pt>
                <c:pt idx="38">
                  <c:v>1604.546011024079</c:v>
                </c:pt>
                <c:pt idx="39">
                  <c:v>1692.3569867517649</c:v>
                </c:pt>
                <c:pt idx="40">
                  <c:v>1767.7502487401821</c:v>
                </c:pt>
                <c:pt idx="41">
                  <c:v>1504.3173215571246</c:v>
                </c:pt>
                <c:pt idx="42">
                  <c:v>1791.9204415541158</c:v>
                </c:pt>
                <c:pt idx="43">
                  <c:v>1869.3094075363442</c:v>
                </c:pt>
                <c:pt idx="44">
                  <c:v>1912.5496607355833</c:v>
                </c:pt>
                <c:pt idx="45">
                  <c:v>2120.1028760919321</c:v>
                </c:pt>
                <c:pt idx="46">
                  <c:v>1983.2862800717749</c:v>
                </c:pt>
                <c:pt idx="47">
                  <c:v>1885.0532945986313</c:v>
                </c:pt>
                <c:pt idx="48">
                  <c:v>1780.8331971440546</c:v>
                </c:pt>
                <c:pt idx="49">
                  <c:v>1616.0767452105429</c:v>
                </c:pt>
                <c:pt idx="50">
                  <c:v>1540.6834832221257</c:v>
                </c:pt>
                <c:pt idx="51">
                  <c:v>1915.6540891704008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Averages'!$H$998:$H$1021</c:f>
              <c:numCache>
                <c:formatCode>#,##0_);\(#,##0\)</c:formatCode>
                <c:ptCount val="24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89216"/>
        <c:axId val="119691136"/>
      </c:lineChart>
      <c:dateAx>
        <c:axId val="11968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9289645247"/>
              <c:y val="0.8351677429967031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69113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196911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801193356774E-2"/>
              <c:y val="0.153846538937401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6892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5.9426092536395601E-2"/>
          <c:y val="0.90552289615024284"/>
          <c:w val="0.83977358305593808"/>
          <c:h val="9.44771038497571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the Pacific Northwest</a:t>
            </a:r>
          </a:p>
        </c:rich>
      </c:tx>
      <c:layout>
        <c:manualLayout>
          <c:xMode val="edge"/>
          <c:yMode val="edge"/>
          <c:x val="0.23975421504515326"/>
          <c:y val="1.83152443782365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24590163934441"/>
          <c:y val="0.15384653841346824"/>
          <c:w val="0.82858529649170665"/>
          <c:h val="0.5264492445201124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Averages'!$E$842:$E$893</c:f>
              <c:numCache>
                <c:formatCode>#,##0_);\(#,##0\)</c:formatCode>
                <c:ptCount val="52"/>
                <c:pt idx="0">
                  <c:v>3282.5</c:v>
                </c:pt>
                <c:pt idx="1">
                  <c:v>3039.25</c:v>
                </c:pt>
                <c:pt idx="2">
                  <c:v>2894</c:v>
                </c:pt>
                <c:pt idx="3">
                  <c:v>3289</c:v>
                </c:pt>
                <c:pt idx="4">
                  <c:v>3252.75</c:v>
                </c:pt>
                <c:pt idx="5">
                  <c:v>3457.75</c:v>
                </c:pt>
                <c:pt idx="6">
                  <c:v>3367.5</c:v>
                </c:pt>
                <c:pt idx="7">
                  <c:v>3290</c:v>
                </c:pt>
                <c:pt idx="8">
                  <c:v>3563.5</c:v>
                </c:pt>
                <c:pt idx="9">
                  <c:v>3724.5</c:v>
                </c:pt>
                <c:pt idx="10">
                  <c:v>3685.25</c:v>
                </c:pt>
                <c:pt idx="11">
                  <c:v>3805.75</c:v>
                </c:pt>
                <c:pt idx="12">
                  <c:v>3576.5</c:v>
                </c:pt>
                <c:pt idx="13">
                  <c:v>3476.25</c:v>
                </c:pt>
                <c:pt idx="14">
                  <c:v>3484.5</c:v>
                </c:pt>
                <c:pt idx="15">
                  <c:v>3305</c:v>
                </c:pt>
                <c:pt idx="16">
                  <c:v>3331</c:v>
                </c:pt>
                <c:pt idx="17">
                  <c:v>3324.25</c:v>
                </c:pt>
                <c:pt idx="18">
                  <c:v>3190.25</c:v>
                </c:pt>
                <c:pt idx="19">
                  <c:v>3213.25</c:v>
                </c:pt>
                <c:pt idx="20">
                  <c:v>3290.25</c:v>
                </c:pt>
                <c:pt idx="21">
                  <c:v>3154.5</c:v>
                </c:pt>
                <c:pt idx="22">
                  <c:v>3259.5</c:v>
                </c:pt>
                <c:pt idx="23">
                  <c:v>3011.25</c:v>
                </c:pt>
                <c:pt idx="24">
                  <c:v>2860.75</c:v>
                </c:pt>
                <c:pt idx="25">
                  <c:v>2830</c:v>
                </c:pt>
                <c:pt idx="26">
                  <c:v>2678.5</c:v>
                </c:pt>
                <c:pt idx="27">
                  <c:v>3015.25</c:v>
                </c:pt>
                <c:pt idx="28">
                  <c:v>3440.5</c:v>
                </c:pt>
                <c:pt idx="29">
                  <c:v>3693</c:v>
                </c:pt>
                <c:pt idx="30">
                  <c:v>3869</c:v>
                </c:pt>
                <c:pt idx="31">
                  <c:v>3797</c:v>
                </c:pt>
                <c:pt idx="32">
                  <c:v>3441</c:v>
                </c:pt>
                <c:pt idx="33">
                  <c:v>3350</c:v>
                </c:pt>
                <c:pt idx="34">
                  <c:v>3204.75</c:v>
                </c:pt>
                <c:pt idx="35">
                  <c:v>3013.75</c:v>
                </c:pt>
                <c:pt idx="36">
                  <c:v>2617.25</c:v>
                </c:pt>
                <c:pt idx="37">
                  <c:v>1986.75</c:v>
                </c:pt>
                <c:pt idx="38">
                  <c:v>1841.25</c:v>
                </c:pt>
                <c:pt idx="39">
                  <c:v>1822</c:v>
                </c:pt>
                <c:pt idx="40">
                  <c:v>2904</c:v>
                </c:pt>
                <c:pt idx="41">
                  <c:v>3782</c:v>
                </c:pt>
                <c:pt idx="42">
                  <c:v>4403</c:v>
                </c:pt>
                <c:pt idx="43">
                  <c:v>4915</c:v>
                </c:pt>
                <c:pt idx="44">
                  <c:v>4650.25</c:v>
                </c:pt>
                <c:pt idx="45">
                  <c:v>4688.75</c:v>
                </c:pt>
                <c:pt idx="46">
                  <c:v>4346.25</c:v>
                </c:pt>
                <c:pt idx="47">
                  <c:v>4063.5</c:v>
                </c:pt>
                <c:pt idx="48">
                  <c:v>4117</c:v>
                </c:pt>
                <c:pt idx="49">
                  <c:v>3885.25</c:v>
                </c:pt>
                <c:pt idx="50">
                  <c:v>4054.25</c:v>
                </c:pt>
                <c:pt idx="51">
                  <c:v>3933.25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Averages'!$V$842:$V$893</c:f>
              <c:numCache>
                <c:formatCode>#,##0</c:formatCode>
                <c:ptCount val="52"/>
                <c:pt idx="0">
                  <c:v>3869.8125</c:v>
                </c:pt>
                <c:pt idx="1">
                  <c:v>3835.125</c:v>
                </c:pt>
                <c:pt idx="2">
                  <c:v>4075.9375</c:v>
                </c:pt>
                <c:pt idx="3">
                  <c:v>4304.625</c:v>
                </c:pt>
                <c:pt idx="4">
                  <c:v>4427.8125</c:v>
                </c:pt>
                <c:pt idx="5">
                  <c:v>4486.75</c:v>
                </c:pt>
                <c:pt idx="6">
                  <c:v>4383</c:v>
                </c:pt>
                <c:pt idx="7">
                  <c:v>4445.375</c:v>
                </c:pt>
                <c:pt idx="8">
                  <c:v>4511.625</c:v>
                </c:pt>
                <c:pt idx="9">
                  <c:v>4526</c:v>
                </c:pt>
                <c:pt idx="10">
                  <c:v>4649.9375</c:v>
                </c:pt>
                <c:pt idx="11">
                  <c:v>4780.1875</c:v>
                </c:pt>
                <c:pt idx="12">
                  <c:v>4708.875</c:v>
                </c:pt>
                <c:pt idx="13">
                  <c:v>4704.4375</c:v>
                </c:pt>
                <c:pt idx="14">
                  <c:v>4689.8125</c:v>
                </c:pt>
                <c:pt idx="15">
                  <c:v>4515.3125</c:v>
                </c:pt>
                <c:pt idx="16">
                  <c:v>4517.4375</c:v>
                </c:pt>
                <c:pt idx="17">
                  <c:v>4466.4375</c:v>
                </c:pt>
                <c:pt idx="18">
                  <c:v>4201.0625</c:v>
                </c:pt>
                <c:pt idx="19">
                  <c:v>4048.6875</c:v>
                </c:pt>
                <c:pt idx="20">
                  <c:v>3932.6875</c:v>
                </c:pt>
                <c:pt idx="21">
                  <c:v>3781.625</c:v>
                </c:pt>
                <c:pt idx="22">
                  <c:v>3815</c:v>
                </c:pt>
                <c:pt idx="23">
                  <c:v>3680.9375</c:v>
                </c:pt>
                <c:pt idx="24">
                  <c:v>3730.6875</c:v>
                </c:pt>
                <c:pt idx="25">
                  <c:v>3727.125</c:v>
                </c:pt>
                <c:pt idx="26">
                  <c:v>3631.25</c:v>
                </c:pt>
                <c:pt idx="27">
                  <c:v>3776.375</c:v>
                </c:pt>
                <c:pt idx="28">
                  <c:v>3691.25</c:v>
                </c:pt>
                <c:pt idx="29">
                  <c:v>3731.75</c:v>
                </c:pt>
                <c:pt idx="30">
                  <c:v>3828.6875</c:v>
                </c:pt>
                <c:pt idx="31">
                  <c:v>3824.8125</c:v>
                </c:pt>
                <c:pt idx="32">
                  <c:v>3788.875</c:v>
                </c:pt>
                <c:pt idx="33">
                  <c:v>3700.0625</c:v>
                </c:pt>
                <c:pt idx="34">
                  <c:v>3676.125</c:v>
                </c:pt>
                <c:pt idx="35">
                  <c:v>3595.625</c:v>
                </c:pt>
                <c:pt idx="36">
                  <c:v>3597.8125</c:v>
                </c:pt>
                <c:pt idx="37">
                  <c:v>3595.25</c:v>
                </c:pt>
                <c:pt idx="38">
                  <c:v>3643.75</c:v>
                </c:pt>
                <c:pt idx="39">
                  <c:v>3782.4375</c:v>
                </c:pt>
                <c:pt idx="40">
                  <c:v>4251.75</c:v>
                </c:pt>
                <c:pt idx="41">
                  <c:v>4708.0625</c:v>
                </c:pt>
                <c:pt idx="42">
                  <c:v>5039.6875</c:v>
                </c:pt>
                <c:pt idx="43">
                  <c:v>5328.1875</c:v>
                </c:pt>
                <c:pt idx="44">
                  <c:v>4925.75</c:v>
                </c:pt>
                <c:pt idx="45">
                  <c:v>4701.125</c:v>
                </c:pt>
                <c:pt idx="46">
                  <c:v>4565.625</c:v>
                </c:pt>
                <c:pt idx="47">
                  <c:v>4254.4375</c:v>
                </c:pt>
                <c:pt idx="48">
                  <c:v>4469.375</c:v>
                </c:pt>
                <c:pt idx="49">
                  <c:v>4394.625</c:v>
                </c:pt>
                <c:pt idx="50">
                  <c:v>4221.125</c:v>
                </c:pt>
                <c:pt idx="51">
                  <c:v>3983.5625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Averages'!$E$894:$E$945</c:f>
              <c:numCache>
                <c:formatCode>#,##0_);\(#,##0\)</c:formatCode>
                <c:ptCount val="52"/>
                <c:pt idx="0">
                  <c:v>3591.5</c:v>
                </c:pt>
                <c:pt idx="1">
                  <c:v>3511.75</c:v>
                </c:pt>
                <c:pt idx="2">
                  <c:v>3478.5</c:v>
                </c:pt>
                <c:pt idx="3">
                  <c:v>3862.75</c:v>
                </c:pt>
                <c:pt idx="4">
                  <c:v>4151.25</c:v>
                </c:pt>
                <c:pt idx="5">
                  <c:v>4164.5</c:v>
                </c:pt>
                <c:pt idx="6">
                  <c:v>4257.25</c:v>
                </c:pt>
                <c:pt idx="7">
                  <c:v>4122.25</c:v>
                </c:pt>
                <c:pt idx="8">
                  <c:v>3742</c:v>
                </c:pt>
                <c:pt idx="9">
                  <c:v>3738.5</c:v>
                </c:pt>
                <c:pt idx="10">
                  <c:v>3671</c:v>
                </c:pt>
                <c:pt idx="11">
                  <c:v>3809.75</c:v>
                </c:pt>
                <c:pt idx="12">
                  <c:v>4277</c:v>
                </c:pt>
                <c:pt idx="13">
                  <c:v>4340.5</c:v>
                </c:pt>
                <c:pt idx="14">
                  <c:v>4378</c:v>
                </c:pt>
                <c:pt idx="15">
                  <c:v>4224.25</c:v>
                </c:pt>
                <c:pt idx="16">
                  <c:v>3977.5</c:v>
                </c:pt>
                <c:pt idx="17">
                  <c:v>3815.25</c:v>
                </c:pt>
                <c:pt idx="18">
                  <c:v>3812.5</c:v>
                </c:pt>
                <c:pt idx="19">
                  <c:v>3732.75</c:v>
                </c:pt>
                <c:pt idx="20">
                  <c:v>3834</c:v>
                </c:pt>
                <c:pt idx="21">
                  <c:v>3835.5</c:v>
                </c:pt>
                <c:pt idx="22">
                  <c:v>3761.75</c:v>
                </c:pt>
                <c:pt idx="23">
                  <c:v>3625.25</c:v>
                </c:pt>
                <c:pt idx="24">
                  <c:v>3482.75</c:v>
                </c:pt>
                <c:pt idx="25">
                  <c:v>3481.75</c:v>
                </c:pt>
                <c:pt idx="26">
                  <c:v>3139.75</c:v>
                </c:pt>
                <c:pt idx="27">
                  <c:v>3266</c:v>
                </c:pt>
                <c:pt idx="28">
                  <c:v>3236.5</c:v>
                </c:pt>
                <c:pt idx="29">
                  <c:v>3321.75</c:v>
                </c:pt>
                <c:pt idx="30">
                  <c:v>3725.75</c:v>
                </c:pt>
                <c:pt idx="31">
                  <c:v>3357</c:v>
                </c:pt>
                <c:pt idx="32">
                  <c:v>2960.75</c:v>
                </c:pt>
                <c:pt idx="33">
                  <c:v>2843.25</c:v>
                </c:pt>
                <c:pt idx="34">
                  <c:v>2624.25</c:v>
                </c:pt>
                <c:pt idx="35">
                  <c:v>2748.25</c:v>
                </c:pt>
                <c:pt idx="36">
                  <c:v>2727.75</c:v>
                </c:pt>
                <c:pt idx="37">
                  <c:v>2554.5</c:v>
                </c:pt>
                <c:pt idx="38">
                  <c:v>2217.25</c:v>
                </c:pt>
                <c:pt idx="39">
                  <c:v>2057</c:v>
                </c:pt>
                <c:pt idx="40">
                  <c:v>2559.75</c:v>
                </c:pt>
                <c:pt idx="41">
                  <c:v>3029.25</c:v>
                </c:pt>
                <c:pt idx="42">
                  <c:v>3664.25</c:v>
                </c:pt>
                <c:pt idx="43">
                  <c:v>4137</c:v>
                </c:pt>
                <c:pt idx="44">
                  <c:v>4148</c:v>
                </c:pt>
                <c:pt idx="45">
                  <c:v>3984.5</c:v>
                </c:pt>
                <c:pt idx="46">
                  <c:v>3799.5</c:v>
                </c:pt>
                <c:pt idx="47">
                  <c:v>3790.5</c:v>
                </c:pt>
                <c:pt idx="48">
                  <c:v>3818.25</c:v>
                </c:pt>
                <c:pt idx="49">
                  <c:v>4480.5</c:v>
                </c:pt>
                <c:pt idx="50">
                  <c:v>5022.25</c:v>
                </c:pt>
                <c:pt idx="51">
                  <c:v>5064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88128"/>
        <c:axId val="119890304"/>
      </c:lineChart>
      <c:dateAx>
        <c:axId val="11988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28982605987812"/>
              <c:y val="0.8182882882882882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89030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1989030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07384670137E-2"/>
              <c:y val="0.1355316734056891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8881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51677120868366"/>
          <c:y val="0.89645243668865715"/>
          <c:w val="0.8239276658214334"/>
          <c:h val="9.459459459459462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06922016103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Averages'!$F$842:$F$893</c:f>
              <c:numCache>
                <c:formatCode>#,##0_);\(#,##0\)</c:formatCode>
                <c:ptCount val="52"/>
                <c:pt idx="0">
                  <c:v>1061.75</c:v>
                </c:pt>
                <c:pt idx="1">
                  <c:v>1176.25</c:v>
                </c:pt>
                <c:pt idx="2">
                  <c:v>1128.75</c:v>
                </c:pt>
                <c:pt idx="3">
                  <c:v>1242.25</c:v>
                </c:pt>
                <c:pt idx="4">
                  <c:v>1304</c:v>
                </c:pt>
                <c:pt idx="5">
                  <c:v>1140</c:v>
                </c:pt>
                <c:pt idx="6">
                  <c:v>1100</c:v>
                </c:pt>
                <c:pt idx="7">
                  <c:v>1080.25</c:v>
                </c:pt>
                <c:pt idx="8">
                  <c:v>1102.75</c:v>
                </c:pt>
                <c:pt idx="9">
                  <c:v>1069.75</c:v>
                </c:pt>
                <c:pt idx="10">
                  <c:v>1014.25</c:v>
                </c:pt>
                <c:pt idx="11">
                  <c:v>1031.75</c:v>
                </c:pt>
                <c:pt idx="12">
                  <c:v>824.5</c:v>
                </c:pt>
                <c:pt idx="13">
                  <c:v>748.5</c:v>
                </c:pt>
                <c:pt idx="14">
                  <c:v>670.25</c:v>
                </c:pt>
                <c:pt idx="15">
                  <c:v>507.75</c:v>
                </c:pt>
                <c:pt idx="16">
                  <c:v>448.5</c:v>
                </c:pt>
                <c:pt idx="17">
                  <c:v>364.75</c:v>
                </c:pt>
                <c:pt idx="18">
                  <c:v>356.25</c:v>
                </c:pt>
                <c:pt idx="19">
                  <c:v>274.5</c:v>
                </c:pt>
                <c:pt idx="20">
                  <c:v>241</c:v>
                </c:pt>
                <c:pt idx="21">
                  <c:v>231.25</c:v>
                </c:pt>
                <c:pt idx="22">
                  <c:v>162.75</c:v>
                </c:pt>
                <c:pt idx="23">
                  <c:v>156.75</c:v>
                </c:pt>
                <c:pt idx="24">
                  <c:v>132.5</c:v>
                </c:pt>
                <c:pt idx="25">
                  <c:v>115.75</c:v>
                </c:pt>
                <c:pt idx="26">
                  <c:v>105</c:v>
                </c:pt>
                <c:pt idx="27">
                  <c:v>127.75</c:v>
                </c:pt>
                <c:pt idx="28">
                  <c:v>166.25</c:v>
                </c:pt>
                <c:pt idx="29">
                  <c:v>135</c:v>
                </c:pt>
                <c:pt idx="30">
                  <c:v>136.5</c:v>
                </c:pt>
                <c:pt idx="31">
                  <c:v>104.25</c:v>
                </c:pt>
                <c:pt idx="32">
                  <c:v>100.25</c:v>
                </c:pt>
                <c:pt idx="33">
                  <c:v>127.75</c:v>
                </c:pt>
                <c:pt idx="34">
                  <c:v>137.25</c:v>
                </c:pt>
                <c:pt idx="35">
                  <c:v>184.5</c:v>
                </c:pt>
                <c:pt idx="36">
                  <c:v>183.75</c:v>
                </c:pt>
                <c:pt idx="37">
                  <c:v>243.5</c:v>
                </c:pt>
                <c:pt idx="38">
                  <c:v>415</c:v>
                </c:pt>
                <c:pt idx="39">
                  <c:v>535.5</c:v>
                </c:pt>
                <c:pt idx="40">
                  <c:v>723.5</c:v>
                </c:pt>
                <c:pt idx="41">
                  <c:v>901.5</c:v>
                </c:pt>
                <c:pt idx="42">
                  <c:v>969</c:v>
                </c:pt>
                <c:pt idx="43">
                  <c:v>1068.25</c:v>
                </c:pt>
                <c:pt idx="44">
                  <c:v>1073.5</c:v>
                </c:pt>
                <c:pt idx="45">
                  <c:v>1150</c:v>
                </c:pt>
                <c:pt idx="46">
                  <c:v>1225</c:v>
                </c:pt>
                <c:pt idx="47">
                  <c:v>1160</c:v>
                </c:pt>
                <c:pt idx="48">
                  <c:v>1142.25</c:v>
                </c:pt>
                <c:pt idx="49">
                  <c:v>934.5</c:v>
                </c:pt>
                <c:pt idx="50">
                  <c:v>830.75</c:v>
                </c:pt>
                <c:pt idx="51">
                  <c:v>721.5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Averages'!$F$790:$F$841</c:f>
              <c:numCache>
                <c:formatCode>#,##0_);\(#,##0\)</c:formatCode>
                <c:ptCount val="52"/>
                <c:pt idx="0">
                  <c:v>476</c:v>
                </c:pt>
                <c:pt idx="1">
                  <c:v>449.5</c:v>
                </c:pt>
                <c:pt idx="2">
                  <c:v>477.25</c:v>
                </c:pt>
                <c:pt idx="3">
                  <c:v>579.5</c:v>
                </c:pt>
                <c:pt idx="4">
                  <c:v>623.75</c:v>
                </c:pt>
                <c:pt idx="5">
                  <c:v>676.25</c:v>
                </c:pt>
                <c:pt idx="6">
                  <c:v>729.5</c:v>
                </c:pt>
                <c:pt idx="7">
                  <c:v>703.5</c:v>
                </c:pt>
                <c:pt idx="8">
                  <c:v>720.5</c:v>
                </c:pt>
                <c:pt idx="9">
                  <c:v>694.75</c:v>
                </c:pt>
                <c:pt idx="10">
                  <c:v>634</c:v>
                </c:pt>
                <c:pt idx="11">
                  <c:v>667.75</c:v>
                </c:pt>
                <c:pt idx="12">
                  <c:v>655.25</c:v>
                </c:pt>
                <c:pt idx="13">
                  <c:v>575.5</c:v>
                </c:pt>
                <c:pt idx="14">
                  <c:v>602.75</c:v>
                </c:pt>
                <c:pt idx="15">
                  <c:v>490.25</c:v>
                </c:pt>
                <c:pt idx="16">
                  <c:v>364.75</c:v>
                </c:pt>
                <c:pt idx="17">
                  <c:v>410</c:v>
                </c:pt>
                <c:pt idx="18">
                  <c:v>293.25</c:v>
                </c:pt>
                <c:pt idx="19">
                  <c:v>284</c:v>
                </c:pt>
                <c:pt idx="20">
                  <c:v>337.25</c:v>
                </c:pt>
                <c:pt idx="21">
                  <c:v>312.75</c:v>
                </c:pt>
                <c:pt idx="22">
                  <c:v>381.25</c:v>
                </c:pt>
                <c:pt idx="23">
                  <c:v>434.75</c:v>
                </c:pt>
                <c:pt idx="24">
                  <c:v>413</c:v>
                </c:pt>
                <c:pt idx="25">
                  <c:v>366</c:v>
                </c:pt>
                <c:pt idx="26">
                  <c:v>385.25</c:v>
                </c:pt>
                <c:pt idx="27">
                  <c:v>393.5</c:v>
                </c:pt>
                <c:pt idx="28">
                  <c:v>361</c:v>
                </c:pt>
                <c:pt idx="29">
                  <c:v>315</c:v>
                </c:pt>
                <c:pt idx="30">
                  <c:v>256.5</c:v>
                </c:pt>
                <c:pt idx="31">
                  <c:v>191.25</c:v>
                </c:pt>
                <c:pt idx="32">
                  <c:v>174</c:v>
                </c:pt>
                <c:pt idx="33">
                  <c:v>224</c:v>
                </c:pt>
                <c:pt idx="34">
                  <c:v>233.25</c:v>
                </c:pt>
                <c:pt idx="35">
                  <c:v>268.5</c:v>
                </c:pt>
                <c:pt idx="36">
                  <c:v>312.5</c:v>
                </c:pt>
                <c:pt idx="37">
                  <c:v>296</c:v>
                </c:pt>
                <c:pt idx="38">
                  <c:v>290.5</c:v>
                </c:pt>
                <c:pt idx="39">
                  <c:v>304</c:v>
                </c:pt>
                <c:pt idx="40">
                  <c:v>433.25</c:v>
                </c:pt>
                <c:pt idx="41">
                  <c:v>647.25</c:v>
                </c:pt>
                <c:pt idx="42">
                  <c:v>776</c:v>
                </c:pt>
                <c:pt idx="43">
                  <c:v>950.75</c:v>
                </c:pt>
                <c:pt idx="44">
                  <c:v>1032</c:v>
                </c:pt>
                <c:pt idx="45">
                  <c:v>1047.25</c:v>
                </c:pt>
                <c:pt idx="46">
                  <c:v>1191</c:v>
                </c:pt>
                <c:pt idx="47">
                  <c:v>1185.75</c:v>
                </c:pt>
                <c:pt idx="48">
                  <c:v>1215.25</c:v>
                </c:pt>
                <c:pt idx="49">
                  <c:v>1243.75</c:v>
                </c:pt>
                <c:pt idx="50">
                  <c:v>1238.75</c:v>
                </c:pt>
                <c:pt idx="51">
                  <c:v>1128.5</c:v>
                </c:pt>
              </c:numCache>
            </c:numRef>
          </c:val>
          <c:smooth val="0"/>
        </c:ser>
        <c:ser>
          <c:idx val="2"/>
          <c:order val="2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Averages'!$W$842:$W$893</c:f>
              <c:numCache>
                <c:formatCode>#,##0_);\(#,##0\)</c:formatCode>
                <c:ptCount val="52"/>
                <c:pt idx="0">
                  <c:v>576.25</c:v>
                </c:pt>
                <c:pt idx="1">
                  <c:v>642.25</c:v>
                </c:pt>
                <c:pt idx="2">
                  <c:v>659.125</c:v>
                </c:pt>
                <c:pt idx="3">
                  <c:v>757.1875</c:v>
                </c:pt>
                <c:pt idx="4">
                  <c:v>723.375</c:v>
                </c:pt>
                <c:pt idx="5">
                  <c:v>707.0625</c:v>
                </c:pt>
                <c:pt idx="6">
                  <c:v>712.625</c:v>
                </c:pt>
                <c:pt idx="7">
                  <c:v>669.5625</c:v>
                </c:pt>
                <c:pt idx="8">
                  <c:v>682.6875</c:v>
                </c:pt>
                <c:pt idx="9">
                  <c:v>707.3125</c:v>
                </c:pt>
                <c:pt idx="10">
                  <c:v>710.5</c:v>
                </c:pt>
                <c:pt idx="11">
                  <c:v>695.1875</c:v>
                </c:pt>
                <c:pt idx="12">
                  <c:v>674.3125</c:v>
                </c:pt>
                <c:pt idx="13">
                  <c:v>624.9375</c:v>
                </c:pt>
                <c:pt idx="14">
                  <c:v>580.6875</c:v>
                </c:pt>
                <c:pt idx="15">
                  <c:v>495</c:v>
                </c:pt>
                <c:pt idx="16">
                  <c:v>445.875</c:v>
                </c:pt>
                <c:pt idx="17">
                  <c:v>455.9375</c:v>
                </c:pt>
                <c:pt idx="18">
                  <c:v>429.5</c:v>
                </c:pt>
                <c:pt idx="19">
                  <c:v>422.5625</c:v>
                </c:pt>
                <c:pt idx="20">
                  <c:v>404</c:v>
                </c:pt>
                <c:pt idx="21">
                  <c:v>321.75</c:v>
                </c:pt>
                <c:pt idx="22">
                  <c:v>303.75</c:v>
                </c:pt>
                <c:pt idx="23">
                  <c:v>293.625</c:v>
                </c:pt>
                <c:pt idx="24">
                  <c:v>278.4375</c:v>
                </c:pt>
                <c:pt idx="25">
                  <c:v>282.875</c:v>
                </c:pt>
                <c:pt idx="26">
                  <c:v>300.375</c:v>
                </c:pt>
                <c:pt idx="27">
                  <c:v>347.0625</c:v>
                </c:pt>
                <c:pt idx="28">
                  <c:v>370.6875</c:v>
                </c:pt>
                <c:pt idx="29">
                  <c:v>341.625</c:v>
                </c:pt>
                <c:pt idx="30">
                  <c:v>330</c:v>
                </c:pt>
                <c:pt idx="31">
                  <c:v>300.4375</c:v>
                </c:pt>
                <c:pt idx="32">
                  <c:v>282.3125</c:v>
                </c:pt>
                <c:pt idx="33">
                  <c:v>353.125</c:v>
                </c:pt>
                <c:pt idx="34">
                  <c:v>392.125</c:v>
                </c:pt>
                <c:pt idx="35">
                  <c:v>423.625</c:v>
                </c:pt>
                <c:pt idx="36">
                  <c:v>470</c:v>
                </c:pt>
                <c:pt idx="37">
                  <c:v>508.1875</c:v>
                </c:pt>
                <c:pt idx="38">
                  <c:v>535.6875</c:v>
                </c:pt>
                <c:pt idx="39">
                  <c:v>589.125</c:v>
                </c:pt>
                <c:pt idx="40">
                  <c:v>674.625</c:v>
                </c:pt>
                <c:pt idx="41">
                  <c:v>767.125</c:v>
                </c:pt>
                <c:pt idx="42">
                  <c:v>855.25</c:v>
                </c:pt>
                <c:pt idx="43">
                  <c:v>936.75</c:v>
                </c:pt>
                <c:pt idx="44">
                  <c:v>980.4375</c:v>
                </c:pt>
                <c:pt idx="45">
                  <c:v>1040.3125</c:v>
                </c:pt>
                <c:pt idx="46">
                  <c:v>1026.3125</c:v>
                </c:pt>
                <c:pt idx="47">
                  <c:v>1009.0625</c:v>
                </c:pt>
                <c:pt idx="48">
                  <c:v>1002.5</c:v>
                </c:pt>
                <c:pt idx="49">
                  <c:v>890.5625</c:v>
                </c:pt>
                <c:pt idx="50">
                  <c:v>869.5</c:v>
                </c:pt>
                <c:pt idx="51">
                  <c:v>776.5625</c:v>
                </c:pt>
              </c:numCache>
            </c:numRef>
          </c:val>
          <c:smooth val="0"/>
        </c:ser>
        <c:ser>
          <c:idx val="3"/>
          <c:order val="3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Averages'!$F$894:$F$945</c:f>
              <c:numCache>
                <c:formatCode>#,##0_);\(#,##0\)</c:formatCode>
                <c:ptCount val="52"/>
                <c:pt idx="0">
                  <c:v>692.75</c:v>
                </c:pt>
                <c:pt idx="1">
                  <c:v>754</c:v>
                </c:pt>
                <c:pt idx="2">
                  <c:v>761.25</c:v>
                </c:pt>
                <c:pt idx="3">
                  <c:v>850.25</c:v>
                </c:pt>
                <c:pt idx="4">
                  <c:v>812</c:v>
                </c:pt>
                <c:pt idx="5">
                  <c:v>800.5</c:v>
                </c:pt>
                <c:pt idx="6">
                  <c:v>672.75</c:v>
                </c:pt>
                <c:pt idx="7">
                  <c:v>677.25</c:v>
                </c:pt>
                <c:pt idx="8">
                  <c:v>730.75</c:v>
                </c:pt>
                <c:pt idx="9">
                  <c:v>719</c:v>
                </c:pt>
                <c:pt idx="10">
                  <c:v>753.75</c:v>
                </c:pt>
                <c:pt idx="11">
                  <c:v>760.5</c:v>
                </c:pt>
                <c:pt idx="12">
                  <c:v>736.75</c:v>
                </c:pt>
                <c:pt idx="13">
                  <c:v>699.75</c:v>
                </c:pt>
                <c:pt idx="14">
                  <c:v>675.75</c:v>
                </c:pt>
                <c:pt idx="15">
                  <c:v>607.5</c:v>
                </c:pt>
                <c:pt idx="16">
                  <c:v>582.25</c:v>
                </c:pt>
                <c:pt idx="17">
                  <c:v>530</c:v>
                </c:pt>
                <c:pt idx="18">
                  <c:v>552.5</c:v>
                </c:pt>
                <c:pt idx="19">
                  <c:v>514</c:v>
                </c:pt>
                <c:pt idx="20">
                  <c:v>465.75</c:v>
                </c:pt>
                <c:pt idx="21">
                  <c:v>410.25</c:v>
                </c:pt>
                <c:pt idx="22">
                  <c:v>273.5</c:v>
                </c:pt>
                <c:pt idx="23">
                  <c:v>239.5</c:v>
                </c:pt>
                <c:pt idx="24">
                  <c:v>231.5</c:v>
                </c:pt>
                <c:pt idx="25">
                  <c:v>238.75</c:v>
                </c:pt>
                <c:pt idx="26">
                  <c:v>263.75</c:v>
                </c:pt>
                <c:pt idx="27">
                  <c:v>266</c:v>
                </c:pt>
                <c:pt idx="28">
                  <c:v>210</c:v>
                </c:pt>
                <c:pt idx="29">
                  <c:v>224.25</c:v>
                </c:pt>
                <c:pt idx="30">
                  <c:v>227.5</c:v>
                </c:pt>
                <c:pt idx="31">
                  <c:v>239.75</c:v>
                </c:pt>
                <c:pt idx="32">
                  <c:v>237.5</c:v>
                </c:pt>
                <c:pt idx="33">
                  <c:v>197.5</c:v>
                </c:pt>
                <c:pt idx="34">
                  <c:v>148.75</c:v>
                </c:pt>
                <c:pt idx="35">
                  <c:v>74.25</c:v>
                </c:pt>
                <c:pt idx="36">
                  <c:v>40.25</c:v>
                </c:pt>
                <c:pt idx="37">
                  <c:v>37</c:v>
                </c:pt>
                <c:pt idx="38">
                  <c:v>85.5</c:v>
                </c:pt>
                <c:pt idx="39">
                  <c:v>119.5</c:v>
                </c:pt>
                <c:pt idx="40">
                  <c:v>164.75</c:v>
                </c:pt>
                <c:pt idx="41">
                  <c:v>249.25</c:v>
                </c:pt>
                <c:pt idx="42">
                  <c:v>380.5</c:v>
                </c:pt>
                <c:pt idx="43">
                  <c:v>475</c:v>
                </c:pt>
                <c:pt idx="44">
                  <c:v>636</c:v>
                </c:pt>
                <c:pt idx="45">
                  <c:v>714</c:v>
                </c:pt>
                <c:pt idx="46">
                  <c:v>707.5</c:v>
                </c:pt>
                <c:pt idx="47">
                  <c:v>669</c:v>
                </c:pt>
                <c:pt idx="48">
                  <c:v>602</c:v>
                </c:pt>
                <c:pt idx="49">
                  <c:v>563.5</c:v>
                </c:pt>
                <c:pt idx="50">
                  <c:v>515</c:v>
                </c:pt>
                <c:pt idx="51">
                  <c:v>529.5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15488"/>
        <c:axId val="120017664"/>
      </c:lineChart>
      <c:dateAx>
        <c:axId val="12001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9262200275813"/>
              <c:y val="0.8131898703397770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01766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001766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5030917745451E-2"/>
              <c:y val="0.1355317642515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0154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986253836914454E-2"/>
          <c:y val="0.86280117573859127"/>
          <c:w val="0.70307175586102577"/>
          <c:h val="9.109292196786034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rail grain deliveries to U.S. ports</a:t>
            </a:r>
          </a:p>
        </c:rich>
      </c:tx>
      <c:layout>
        <c:manualLayout>
          <c:xMode val="edge"/>
          <c:yMode val="edge"/>
          <c:x val="0.23926433173706779"/>
          <c:y val="1.8247974105277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37453942704224"/>
          <c:y val="0.11313888775035597"/>
          <c:w val="0.81595254975185538"/>
          <c:h val="0.540146947969441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Averages'!$G$842:$G$893</c:f>
              <c:numCache>
                <c:formatCode>#,##0_);\(#,##0\)</c:formatCode>
                <c:ptCount val="52"/>
                <c:pt idx="0">
                  <c:v>6204.25</c:v>
                </c:pt>
                <c:pt idx="1">
                  <c:v>5809.75</c:v>
                </c:pt>
                <c:pt idx="2">
                  <c:v>5607.25</c:v>
                </c:pt>
                <c:pt idx="3">
                  <c:v>6410.25</c:v>
                </c:pt>
                <c:pt idx="4">
                  <c:v>6633.75</c:v>
                </c:pt>
                <c:pt idx="5">
                  <c:v>7064.75</c:v>
                </c:pt>
                <c:pt idx="6">
                  <c:v>7013.25</c:v>
                </c:pt>
                <c:pt idx="7">
                  <c:v>6697.5</c:v>
                </c:pt>
                <c:pt idx="8">
                  <c:v>6714.25</c:v>
                </c:pt>
                <c:pt idx="9">
                  <c:v>6804.75</c:v>
                </c:pt>
                <c:pt idx="10">
                  <c:v>6655.75</c:v>
                </c:pt>
                <c:pt idx="11">
                  <c:v>6822.25</c:v>
                </c:pt>
                <c:pt idx="12">
                  <c:v>6463.75</c:v>
                </c:pt>
                <c:pt idx="13">
                  <c:v>6047.5</c:v>
                </c:pt>
                <c:pt idx="14">
                  <c:v>5813.5</c:v>
                </c:pt>
                <c:pt idx="15">
                  <c:v>5342.75</c:v>
                </c:pt>
                <c:pt idx="16">
                  <c:v>5140.75</c:v>
                </c:pt>
                <c:pt idx="17">
                  <c:v>4920.5</c:v>
                </c:pt>
                <c:pt idx="18">
                  <c:v>4758</c:v>
                </c:pt>
                <c:pt idx="19">
                  <c:v>4700.5</c:v>
                </c:pt>
                <c:pt idx="20">
                  <c:v>4682.5</c:v>
                </c:pt>
                <c:pt idx="21">
                  <c:v>4443.5</c:v>
                </c:pt>
                <c:pt idx="22">
                  <c:v>4470.25</c:v>
                </c:pt>
                <c:pt idx="23">
                  <c:v>4224.25</c:v>
                </c:pt>
                <c:pt idx="24">
                  <c:v>4108</c:v>
                </c:pt>
                <c:pt idx="25">
                  <c:v>4137.75</c:v>
                </c:pt>
                <c:pt idx="26">
                  <c:v>4080.25</c:v>
                </c:pt>
                <c:pt idx="27">
                  <c:v>4494.75</c:v>
                </c:pt>
                <c:pt idx="28">
                  <c:v>4973.75</c:v>
                </c:pt>
                <c:pt idx="29">
                  <c:v>5437.75</c:v>
                </c:pt>
                <c:pt idx="30">
                  <c:v>5602.75</c:v>
                </c:pt>
                <c:pt idx="31">
                  <c:v>5544.5</c:v>
                </c:pt>
                <c:pt idx="32">
                  <c:v>5365.25</c:v>
                </c:pt>
                <c:pt idx="33">
                  <c:v>5259.5</c:v>
                </c:pt>
                <c:pt idx="34">
                  <c:v>5348</c:v>
                </c:pt>
                <c:pt idx="35">
                  <c:v>5596</c:v>
                </c:pt>
                <c:pt idx="36">
                  <c:v>5612.25</c:v>
                </c:pt>
                <c:pt idx="37">
                  <c:v>5297</c:v>
                </c:pt>
                <c:pt idx="38">
                  <c:v>5443.25</c:v>
                </c:pt>
                <c:pt idx="39">
                  <c:v>5543</c:v>
                </c:pt>
                <c:pt idx="40">
                  <c:v>6889</c:v>
                </c:pt>
                <c:pt idx="41">
                  <c:v>8269.75</c:v>
                </c:pt>
                <c:pt idx="42">
                  <c:v>9146.75</c:v>
                </c:pt>
                <c:pt idx="43">
                  <c:v>9896.75</c:v>
                </c:pt>
                <c:pt idx="44">
                  <c:v>9723</c:v>
                </c:pt>
                <c:pt idx="45">
                  <c:v>9811.25</c:v>
                </c:pt>
                <c:pt idx="46">
                  <c:v>9546.75</c:v>
                </c:pt>
                <c:pt idx="47">
                  <c:v>9028.5</c:v>
                </c:pt>
                <c:pt idx="48">
                  <c:v>8831.25</c:v>
                </c:pt>
                <c:pt idx="49">
                  <c:v>8076.25</c:v>
                </c:pt>
                <c:pt idx="50">
                  <c:v>8065.5</c:v>
                </c:pt>
                <c:pt idx="51">
                  <c:v>7733.75</c:v>
                </c:pt>
              </c:numCache>
            </c:numRef>
          </c:val>
          <c:smooth val="0"/>
        </c:ser>
        <c:ser>
          <c:idx val="2"/>
          <c:order val="1"/>
          <c:tx>
            <c:v>2009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Averages'!$G$790:$G$841</c:f>
              <c:numCache>
                <c:formatCode>#,##0_);\(#,##0\)</c:formatCode>
                <c:ptCount val="52"/>
                <c:pt idx="0">
                  <c:v>4294.75</c:v>
                </c:pt>
                <c:pt idx="1">
                  <c:v>4306</c:v>
                </c:pt>
                <c:pt idx="2">
                  <c:v>4768</c:v>
                </c:pt>
                <c:pt idx="3">
                  <c:v>5098</c:v>
                </c:pt>
                <c:pt idx="4">
                  <c:v>6103</c:v>
                </c:pt>
                <c:pt idx="5">
                  <c:v>6684.25</c:v>
                </c:pt>
                <c:pt idx="6">
                  <c:v>6866</c:v>
                </c:pt>
                <c:pt idx="7">
                  <c:v>6953</c:v>
                </c:pt>
                <c:pt idx="8">
                  <c:v>6687.75</c:v>
                </c:pt>
                <c:pt idx="9">
                  <c:v>6434</c:v>
                </c:pt>
                <c:pt idx="10">
                  <c:v>6027</c:v>
                </c:pt>
                <c:pt idx="11">
                  <c:v>5909.25</c:v>
                </c:pt>
                <c:pt idx="12">
                  <c:v>5664.5</c:v>
                </c:pt>
                <c:pt idx="13">
                  <c:v>5368.25</c:v>
                </c:pt>
                <c:pt idx="14">
                  <c:v>5501.75</c:v>
                </c:pt>
                <c:pt idx="15">
                  <c:v>5162</c:v>
                </c:pt>
                <c:pt idx="16">
                  <c:v>4949</c:v>
                </c:pt>
                <c:pt idx="17">
                  <c:v>4872.5</c:v>
                </c:pt>
                <c:pt idx="18">
                  <c:v>4284.75</c:v>
                </c:pt>
                <c:pt idx="19">
                  <c:v>3951</c:v>
                </c:pt>
                <c:pt idx="20">
                  <c:v>3624.5</c:v>
                </c:pt>
                <c:pt idx="21">
                  <c:v>3410.5</c:v>
                </c:pt>
                <c:pt idx="22">
                  <c:v>3193.25</c:v>
                </c:pt>
                <c:pt idx="23">
                  <c:v>3222.25</c:v>
                </c:pt>
                <c:pt idx="24">
                  <c:v>3338.25</c:v>
                </c:pt>
                <c:pt idx="25">
                  <c:v>3291</c:v>
                </c:pt>
                <c:pt idx="26">
                  <c:v>3759.75</c:v>
                </c:pt>
                <c:pt idx="27">
                  <c:v>4236.25</c:v>
                </c:pt>
                <c:pt idx="28">
                  <c:v>4438.75</c:v>
                </c:pt>
                <c:pt idx="29">
                  <c:v>4662.75</c:v>
                </c:pt>
                <c:pt idx="30">
                  <c:v>4603</c:v>
                </c:pt>
                <c:pt idx="31">
                  <c:v>4729.75</c:v>
                </c:pt>
                <c:pt idx="32">
                  <c:v>4557.5</c:v>
                </c:pt>
                <c:pt idx="33">
                  <c:v>4438.75</c:v>
                </c:pt>
                <c:pt idx="34">
                  <c:v>4670.5</c:v>
                </c:pt>
                <c:pt idx="35">
                  <c:v>4525</c:v>
                </c:pt>
                <c:pt idx="36">
                  <c:v>4774.75</c:v>
                </c:pt>
                <c:pt idx="37">
                  <c:v>4918.5</c:v>
                </c:pt>
                <c:pt idx="38">
                  <c:v>4707.75</c:v>
                </c:pt>
                <c:pt idx="39">
                  <c:v>5210.25</c:v>
                </c:pt>
                <c:pt idx="40">
                  <c:v>6121.25</c:v>
                </c:pt>
                <c:pt idx="41">
                  <c:v>7141.25</c:v>
                </c:pt>
                <c:pt idx="42">
                  <c:v>8271.5</c:v>
                </c:pt>
                <c:pt idx="43">
                  <c:v>9111.75</c:v>
                </c:pt>
                <c:pt idx="44">
                  <c:v>9373</c:v>
                </c:pt>
                <c:pt idx="45">
                  <c:v>9537</c:v>
                </c:pt>
                <c:pt idx="46">
                  <c:v>9870</c:v>
                </c:pt>
                <c:pt idx="47">
                  <c:v>9462</c:v>
                </c:pt>
                <c:pt idx="48">
                  <c:v>8983.25</c:v>
                </c:pt>
                <c:pt idx="49">
                  <c:v>8404.5</c:v>
                </c:pt>
                <c:pt idx="50">
                  <c:v>7814.75</c:v>
                </c:pt>
                <c:pt idx="51">
                  <c:v>6770</c:v>
                </c:pt>
              </c:numCache>
            </c:numRef>
          </c:val>
          <c:smooth val="0"/>
        </c:ser>
        <c:ser>
          <c:idx val="1"/>
          <c:order val="2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Averages'!$X$842:$X$893</c:f>
              <c:numCache>
                <c:formatCode>_(* #,##0_);_(* \(#,##0\);_(* "-"??_);_(@_)</c:formatCode>
                <c:ptCount val="52"/>
                <c:pt idx="0">
                  <c:v>7487.6875</c:v>
                </c:pt>
                <c:pt idx="1">
                  <c:v>7621.0625</c:v>
                </c:pt>
                <c:pt idx="2">
                  <c:v>8010.1875</c:v>
                </c:pt>
                <c:pt idx="3">
                  <c:v>8485</c:v>
                </c:pt>
                <c:pt idx="4">
                  <c:v>8545.6875</c:v>
                </c:pt>
                <c:pt idx="5">
                  <c:v>8716.5625</c:v>
                </c:pt>
                <c:pt idx="6">
                  <c:v>8685.0625</c:v>
                </c:pt>
                <c:pt idx="7">
                  <c:v>8673.3125</c:v>
                </c:pt>
                <c:pt idx="8">
                  <c:v>8807.875</c:v>
                </c:pt>
                <c:pt idx="9">
                  <c:v>8813.6875</c:v>
                </c:pt>
                <c:pt idx="10">
                  <c:v>8761.125</c:v>
                </c:pt>
                <c:pt idx="11">
                  <c:v>8706.8125</c:v>
                </c:pt>
                <c:pt idx="12">
                  <c:v>8423.5</c:v>
                </c:pt>
                <c:pt idx="13">
                  <c:v>8122.1875</c:v>
                </c:pt>
                <c:pt idx="14">
                  <c:v>7976.6875</c:v>
                </c:pt>
                <c:pt idx="15">
                  <c:v>7544.9375</c:v>
                </c:pt>
                <c:pt idx="16">
                  <c:v>7427.6875</c:v>
                </c:pt>
                <c:pt idx="17">
                  <c:v>7294.6875</c:v>
                </c:pt>
                <c:pt idx="18">
                  <c:v>6803.375</c:v>
                </c:pt>
                <c:pt idx="19">
                  <c:v>6589.125</c:v>
                </c:pt>
                <c:pt idx="20">
                  <c:v>6247.3125</c:v>
                </c:pt>
                <c:pt idx="21">
                  <c:v>6020.3125</c:v>
                </c:pt>
                <c:pt idx="22">
                  <c:v>6038.25</c:v>
                </c:pt>
                <c:pt idx="23">
                  <c:v>5994.9375</c:v>
                </c:pt>
                <c:pt idx="24">
                  <c:v>6149.1875</c:v>
                </c:pt>
                <c:pt idx="25">
                  <c:v>6135.6875</c:v>
                </c:pt>
                <c:pt idx="26">
                  <c:v>6233.3125</c:v>
                </c:pt>
                <c:pt idx="27">
                  <c:v>6575.375</c:v>
                </c:pt>
                <c:pt idx="28">
                  <c:v>6658.4375</c:v>
                </c:pt>
                <c:pt idx="29">
                  <c:v>6794.1875</c:v>
                </c:pt>
                <c:pt idx="30">
                  <c:v>6856.9375</c:v>
                </c:pt>
                <c:pt idx="31">
                  <c:v>6978.1875</c:v>
                </c:pt>
                <c:pt idx="32">
                  <c:v>7019.6875</c:v>
                </c:pt>
                <c:pt idx="33">
                  <c:v>7186.25</c:v>
                </c:pt>
                <c:pt idx="34">
                  <c:v>7356.125</c:v>
                </c:pt>
                <c:pt idx="35">
                  <c:v>7249.1875</c:v>
                </c:pt>
                <c:pt idx="36">
                  <c:v>7327.4375</c:v>
                </c:pt>
                <c:pt idx="37">
                  <c:v>7457.3125</c:v>
                </c:pt>
                <c:pt idx="38">
                  <c:v>7580.0625</c:v>
                </c:pt>
                <c:pt idx="39">
                  <c:v>7992.375</c:v>
                </c:pt>
                <c:pt idx="40">
                  <c:v>8921.875</c:v>
                </c:pt>
                <c:pt idx="41">
                  <c:v>9486.5</c:v>
                </c:pt>
                <c:pt idx="42">
                  <c:v>10158.125</c:v>
                </c:pt>
                <c:pt idx="43">
                  <c:v>10468</c:v>
                </c:pt>
                <c:pt idx="44">
                  <c:v>9961.9375</c:v>
                </c:pt>
                <c:pt idx="45">
                  <c:v>9753.125</c:v>
                </c:pt>
                <c:pt idx="46">
                  <c:v>9474</c:v>
                </c:pt>
                <c:pt idx="47">
                  <c:v>9044.1875</c:v>
                </c:pt>
                <c:pt idx="48">
                  <c:v>8961.25</c:v>
                </c:pt>
                <c:pt idx="49">
                  <c:v>8564.875</c:v>
                </c:pt>
                <c:pt idx="50">
                  <c:v>8070.625</c:v>
                </c:pt>
                <c:pt idx="51">
                  <c:v>7479.3125</c:v>
                </c:pt>
              </c:numCache>
            </c:numRef>
          </c:val>
          <c:smooth val="0"/>
        </c:ser>
        <c:ser>
          <c:idx val="3"/>
          <c:order val="3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Averages'!$G$894:$G$945</c:f>
              <c:numCache>
                <c:formatCode>#,##0_);\(#,##0\)</c:formatCode>
                <c:ptCount val="52"/>
                <c:pt idx="0">
                  <c:v>7214.75</c:v>
                </c:pt>
                <c:pt idx="1">
                  <c:v>7210.75</c:v>
                </c:pt>
                <c:pt idx="2">
                  <c:v>7376.5</c:v>
                </c:pt>
                <c:pt idx="3">
                  <c:v>7932</c:v>
                </c:pt>
                <c:pt idx="4">
                  <c:v>8298.5</c:v>
                </c:pt>
                <c:pt idx="5">
                  <c:v>8217.75</c:v>
                </c:pt>
                <c:pt idx="6">
                  <c:v>8104</c:v>
                </c:pt>
                <c:pt idx="7">
                  <c:v>7984.25</c:v>
                </c:pt>
                <c:pt idx="8">
                  <c:v>7655</c:v>
                </c:pt>
                <c:pt idx="9">
                  <c:v>7956</c:v>
                </c:pt>
                <c:pt idx="10">
                  <c:v>7847</c:v>
                </c:pt>
                <c:pt idx="11">
                  <c:v>8238.25</c:v>
                </c:pt>
                <c:pt idx="12">
                  <c:v>8795.75</c:v>
                </c:pt>
                <c:pt idx="13">
                  <c:v>8844.75</c:v>
                </c:pt>
                <c:pt idx="14">
                  <c:v>8850.75</c:v>
                </c:pt>
                <c:pt idx="15">
                  <c:v>8220.75</c:v>
                </c:pt>
                <c:pt idx="16">
                  <c:v>7770</c:v>
                </c:pt>
                <c:pt idx="17">
                  <c:v>7266.25</c:v>
                </c:pt>
                <c:pt idx="18">
                  <c:v>7166</c:v>
                </c:pt>
                <c:pt idx="19">
                  <c:v>6970.75</c:v>
                </c:pt>
                <c:pt idx="20">
                  <c:v>6882.25</c:v>
                </c:pt>
                <c:pt idx="21">
                  <c:v>6789.75</c:v>
                </c:pt>
                <c:pt idx="22">
                  <c:v>6362.25</c:v>
                </c:pt>
                <c:pt idx="23">
                  <c:v>5997</c:v>
                </c:pt>
                <c:pt idx="24">
                  <c:v>5623.25</c:v>
                </c:pt>
                <c:pt idx="25">
                  <c:v>5234</c:v>
                </c:pt>
                <c:pt idx="26">
                  <c:v>4730.5</c:v>
                </c:pt>
                <c:pt idx="27">
                  <c:v>4886.75</c:v>
                </c:pt>
                <c:pt idx="28">
                  <c:v>4580</c:v>
                </c:pt>
                <c:pt idx="29">
                  <c:v>4576.5</c:v>
                </c:pt>
                <c:pt idx="30">
                  <c:v>5012.5</c:v>
                </c:pt>
                <c:pt idx="31">
                  <c:v>4482.5</c:v>
                </c:pt>
                <c:pt idx="32">
                  <c:v>4331.25</c:v>
                </c:pt>
                <c:pt idx="33">
                  <c:v>4234</c:v>
                </c:pt>
                <c:pt idx="34">
                  <c:v>3797</c:v>
                </c:pt>
                <c:pt idx="35">
                  <c:v>3893.5</c:v>
                </c:pt>
                <c:pt idx="36">
                  <c:v>3875.25</c:v>
                </c:pt>
                <c:pt idx="37">
                  <c:v>3840</c:v>
                </c:pt>
                <c:pt idx="38">
                  <c:v>3907.25</c:v>
                </c:pt>
                <c:pt idx="39">
                  <c:v>3905.5</c:v>
                </c:pt>
                <c:pt idx="40">
                  <c:v>4347.25</c:v>
                </c:pt>
                <c:pt idx="41">
                  <c:v>4848.25</c:v>
                </c:pt>
                <c:pt idx="42">
                  <c:v>5420.75</c:v>
                </c:pt>
                <c:pt idx="43">
                  <c:v>5787.25</c:v>
                </c:pt>
                <c:pt idx="44">
                  <c:v>5833</c:v>
                </c:pt>
                <c:pt idx="45">
                  <c:v>5588</c:v>
                </c:pt>
                <c:pt idx="46">
                  <c:v>5433</c:v>
                </c:pt>
                <c:pt idx="47">
                  <c:v>5501.25</c:v>
                </c:pt>
                <c:pt idx="48">
                  <c:v>5439.75</c:v>
                </c:pt>
                <c:pt idx="49">
                  <c:v>6110.25</c:v>
                </c:pt>
                <c:pt idx="50">
                  <c:v>6400</c:v>
                </c:pt>
                <c:pt idx="51">
                  <c:v>6237.25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65056"/>
        <c:axId val="129566976"/>
      </c:lineChart>
      <c:dateAx>
        <c:axId val="12956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8057340362267326"/>
              <c:y val="0.83211856171039844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56697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956697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70005857444992E-2"/>
              <c:y val="0.14598570586839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5650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56802013887958"/>
          <c:y val="0.90767735665694849"/>
          <c:w val="0.65589254494806548"/>
          <c:h val="8.746355685131190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22541000050152965"/>
          <c:y val="1.83153450212316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598450556"/>
          <c:y val="0.17308156385665063"/>
          <c:w val="0.8282070954148486"/>
          <c:h val="0.5840474660509215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Averages'!$C$842:$C$893</c:f>
              <c:numCache>
                <c:formatCode>#,##0_);\(#,##0\)</c:formatCode>
                <c:ptCount val="52"/>
                <c:pt idx="0">
                  <c:v>1354</c:v>
                </c:pt>
                <c:pt idx="1">
                  <c:v>1228.75</c:v>
                </c:pt>
                <c:pt idx="2">
                  <c:v>1180.75</c:v>
                </c:pt>
                <c:pt idx="3">
                  <c:v>1365.5</c:v>
                </c:pt>
                <c:pt idx="4">
                  <c:v>1538.75</c:v>
                </c:pt>
                <c:pt idx="5">
                  <c:v>1802.5</c:v>
                </c:pt>
                <c:pt idx="6">
                  <c:v>1932</c:v>
                </c:pt>
                <c:pt idx="7">
                  <c:v>1835</c:v>
                </c:pt>
                <c:pt idx="8">
                  <c:v>1577</c:v>
                </c:pt>
                <c:pt idx="9">
                  <c:v>1596.5</c:v>
                </c:pt>
                <c:pt idx="10">
                  <c:v>1577.5</c:v>
                </c:pt>
                <c:pt idx="11">
                  <c:v>1515</c:v>
                </c:pt>
                <c:pt idx="12">
                  <c:v>1698</c:v>
                </c:pt>
                <c:pt idx="13">
                  <c:v>1546.75</c:v>
                </c:pt>
                <c:pt idx="14">
                  <c:v>1383.75</c:v>
                </c:pt>
                <c:pt idx="15">
                  <c:v>1378.5</c:v>
                </c:pt>
                <c:pt idx="16">
                  <c:v>1181.25</c:v>
                </c:pt>
                <c:pt idx="17">
                  <c:v>1074.75</c:v>
                </c:pt>
                <c:pt idx="18">
                  <c:v>1083.25</c:v>
                </c:pt>
                <c:pt idx="19">
                  <c:v>1060</c:v>
                </c:pt>
                <c:pt idx="20">
                  <c:v>997.75</c:v>
                </c:pt>
                <c:pt idx="21">
                  <c:v>879</c:v>
                </c:pt>
                <c:pt idx="22">
                  <c:v>896.25</c:v>
                </c:pt>
                <c:pt idx="23">
                  <c:v>846.5</c:v>
                </c:pt>
                <c:pt idx="24">
                  <c:v>915.75</c:v>
                </c:pt>
                <c:pt idx="25">
                  <c:v>991.5</c:v>
                </c:pt>
                <c:pt idx="26">
                  <c:v>1095</c:v>
                </c:pt>
                <c:pt idx="27">
                  <c:v>1231.25</c:v>
                </c:pt>
                <c:pt idx="28">
                  <c:v>1228.25</c:v>
                </c:pt>
                <c:pt idx="29">
                  <c:v>1414</c:v>
                </c:pt>
                <c:pt idx="30">
                  <c:v>1377.5</c:v>
                </c:pt>
                <c:pt idx="31">
                  <c:v>1384.25</c:v>
                </c:pt>
                <c:pt idx="32">
                  <c:v>1524.5</c:v>
                </c:pt>
                <c:pt idx="33">
                  <c:v>1469.25</c:v>
                </c:pt>
                <c:pt idx="34">
                  <c:v>1625.75</c:v>
                </c:pt>
                <c:pt idx="35">
                  <c:v>1893.75</c:v>
                </c:pt>
                <c:pt idx="36">
                  <c:v>2184.5</c:v>
                </c:pt>
                <c:pt idx="37">
                  <c:v>2241.5</c:v>
                </c:pt>
                <c:pt idx="38">
                  <c:v>2242.5</c:v>
                </c:pt>
                <c:pt idx="39">
                  <c:v>2065.75</c:v>
                </c:pt>
                <c:pt idx="40">
                  <c:v>1975.75</c:v>
                </c:pt>
                <c:pt idx="41">
                  <c:v>2099</c:v>
                </c:pt>
                <c:pt idx="42">
                  <c:v>2104</c:v>
                </c:pt>
                <c:pt idx="43">
                  <c:v>2131.25</c:v>
                </c:pt>
                <c:pt idx="44">
                  <c:v>2160</c:v>
                </c:pt>
                <c:pt idx="45">
                  <c:v>2245.75</c:v>
                </c:pt>
                <c:pt idx="46">
                  <c:v>2363.75</c:v>
                </c:pt>
                <c:pt idx="47">
                  <c:v>2340.25</c:v>
                </c:pt>
                <c:pt idx="48">
                  <c:v>2117.5</c:v>
                </c:pt>
                <c:pt idx="49">
                  <c:v>1944.25</c:v>
                </c:pt>
                <c:pt idx="50">
                  <c:v>1871.5</c:v>
                </c:pt>
                <c:pt idx="51">
                  <c:v>1826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Averages'!$T$842:$T$893</c:f>
              <c:numCache>
                <c:formatCode>_(* #,##0_);_(* \(#,##0\);_(* "-"??_);_(@_)</c:formatCode>
                <c:ptCount val="52"/>
                <c:pt idx="0">
                  <c:v>1741.875</c:v>
                </c:pt>
                <c:pt idx="1">
                  <c:v>1761.625</c:v>
                </c:pt>
                <c:pt idx="2">
                  <c:v>1840.625</c:v>
                </c:pt>
                <c:pt idx="3">
                  <c:v>1808.8125</c:v>
                </c:pt>
                <c:pt idx="4">
                  <c:v>1792.5</c:v>
                </c:pt>
                <c:pt idx="5">
                  <c:v>1883.3125</c:v>
                </c:pt>
                <c:pt idx="6">
                  <c:v>1940.25</c:v>
                </c:pt>
                <c:pt idx="7">
                  <c:v>2004.4375</c:v>
                </c:pt>
                <c:pt idx="8">
                  <c:v>1993.5625</c:v>
                </c:pt>
                <c:pt idx="9">
                  <c:v>1969.6875</c:v>
                </c:pt>
                <c:pt idx="10">
                  <c:v>1879.9375</c:v>
                </c:pt>
                <c:pt idx="11">
                  <c:v>1807.75</c:v>
                </c:pt>
                <c:pt idx="12">
                  <c:v>1811.5625</c:v>
                </c:pt>
                <c:pt idx="13">
                  <c:v>1756.6875</c:v>
                </c:pt>
                <c:pt idx="14">
                  <c:v>1725</c:v>
                </c:pt>
                <c:pt idx="15">
                  <c:v>1654.5</c:v>
                </c:pt>
                <c:pt idx="16">
                  <c:v>1623.3125</c:v>
                </c:pt>
                <c:pt idx="17">
                  <c:v>1627.875</c:v>
                </c:pt>
                <c:pt idx="18">
                  <c:v>1533.5</c:v>
                </c:pt>
                <c:pt idx="19">
                  <c:v>1507.875</c:v>
                </c:pt>
                <c:pt idx="20">
                  <c:v>1355</c:v>
                </c:pt>
                <c:pt idx="21">
                  <c:v>1327.5625</c:v>
                </c:pt>
                <c:pt idx="22">
                  <c:v>1414.75</c:v>
                </c:pt>
                <c:pt idx="23">
                  <c:v>1526.0625</c:v>
                </c:pt>
                <c:pt idx="24">
                  <c:v>1629.375</c:v>
                </c:pt>
                <c:pt idx="25">
                  <c:v>1595.6875</c:v>
                </c:pt>
                <c:pt idx="26">
                  <c:v>1671.5</c:v>
                </c:pt>
                <c:pt idx="27">
                  <c:v>1710.9375</c:v>
                </c:pt>
                <c:pt idx="28">
                  <c:v>1726.625</c:v>
                </c:pt>
                <c:pt idx="29">
                  <c:v>1804.375</c:v>
                </c:pt>
                <c:pt idx="30">
                  <c:v>1762.8125</c:v>
                </c:pt>
                <c:pt idx="31">
                  <c:v>1829.1875</c:v>
                </c:pt>
                <c:pt idx="32">
                  <c:v>1976.25</c:v>
                </c:pt>
                <c:pt idx="33">
                  <c:v>2073.625</c:v>
                </c:pt>
                <c:pt idx="34">
                  <c:v>2099.375</c:v>
                </c:pt>
                <c:pt idx="35">
                  <c:v>2114.0625</c:v>
                </c:pt>
                <c:pt idx="36">
                  <c:v>2029.9375</c:v>
                </c:pt>
                <c:pt idx="37">
                  <c:v>2058.125</c:v>
                </c:pt>
                <c:pt idx="38">
                  <c:v>2067.625</c:v>
                </c:pt>
                <c:pt idx="39">
                  <c:v>2007.375</c:v>
                </c:pt>
                <c:pt idx="40">
                  <c:v>2073.75</c:v>
                </c:pt>
                <c:pt idx="41">
                  <c:v>1912.0625</c:v>
                </c:pt>
                <c:pt idx="42">
                  <c:v>1966.125</c:v>
                </c:pt>
                <c:pt idx="43">
                  <c:v>1984.25</c:v>
                </c:pt>
                <c:pt idx="44">
                  <c:v>2026.625</c:v>
                </c:pt>
                <c:pt idx="45">
                  <c:v>2125.9375</c:v>
                </c:pt>
                <c:pt idx="46">
                  <c:v>2122.0625</c:v>
                </c:pt>
                <c:pt idx="47">
                  <c:v>2082.875</c:v>
                </c:pt>
                <c:pt idx="48">
                  <c:v>1857.625</c:v>
                </c:pt>
                <c:pt idx="49">
                  <c:v>1762.9375</c:v>
                </c:pt>
                <c:pt idx="50">
                  <c:v>1600.25</c:v>
                </c:pt>
                <c:pt idx="51">
                  <c:v>1500.25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Averages'!$C$894:$C$945</c:f>
              <c:numCache>
                <c:formatCode>#,##0_);\(#,##0\)</c:formatCode>
                <c:ptCount val="52"/>
                <c:pt idx="0">
                  <c:v>1836.25</c:v>
                </c:pt>
                <c:pt idx="1">
                  <c:v>1906.25</c:v>
                </c:pt>
                <c:pt idx="2">
                  <c:v>2024.75</c:v>
                </c:pt>
                <c:pt idx="3">
                  <c:v>2080</c:v>
                </c:pt>
                <c:pt idx="4">
                  <c:v>2236.25</c:v>
                </c:pt>
                <c:pt idx="5">
                  <c:v>2185</c:v>
                </c:pt>
                <c:pt idx="6">
                  <c:v>2155</c:v>
                </c:pt>
                <c:pt idx="7">
                  <c:v>2206.75</c:v>
                </c:pt>
                <c:pt idx="8">
                  <c:v>2152.5</c:v>
                </c:pt>
                <c:pt idx="9">
                  <c:v>2372.5</c:v>
                </c:pt>
                <c:pt idx="10">
                  <c:v>2320.5</c:v>
                </c:pt>
                <c:pt idx="11">
                  <c:v>2398.75</c:v>
                </c:pt>
                <c:pt idx="12">
                  <c:v>2479</c:v>
                </c:pt>
                <c:pt idx="13">
                  <c:v>2503.75</c:v>
                </c:pt>
                <c:pt idx="14">
                  <c:v>2598.25</c:v>
                </c:pt>
                <c:pt idx="15">
                  <c:v>2559.75</c:v>
                </c:pt>
                <c:pt idx="16">
                  <c:v>2581</c:v>
                </c:pt>
                <c:pt idx="17">
                  <c:v>2466.75</c:v>
                </c:pt>
                <c:pt idx="18">
                  <c:v>2328</c:v>
                </c:pt>
                <c:pt idx="19">
                  <c:v>2173.75</c:v>
                </c:pt>
                <c:pt idx="20">
                  <c:v>2014.25</c:v>
                </c:pt>
                <c:pt idx="21">
                  <c:v>1968</c:v>
                </c:pt>
                <c:pt idx="22">
                  <c:v>1852.25</c:v>
                </c:pt>
                <c:pt idx="23">
                  <c:v>1752.75</c:v>
                </c:pt>
                <c:pt idx="24">
                  <c:v>1610.25</c:v>
                </c:pt>
                <c:pt idx="25">
                  <c:v>1269</c:v>
                </c:pt>
                <c:pt idx="26">
                  <c:v>1123.5</c:v>
                </c:pt>
                <c:pt idx="27">
                  <c:v>1148.5</c:v>
                </c:pt>
                <c:pt idx="28">
                  <c:v>984.25</c:v>
                </c:pt>
                <c:pt idx="29">
                  <c:v>908</c:v>
                </c:pt>
                <c:pt idx="30">
                  <c:v>937.5</c:v>
                </c:pt>
                <c:pt idx="31">
                  <c:v>805.75</c:v>
                </c:pt>
                <c:pt idx="32">
                  <c:v>1021.75</c:v>
                </c:pt>
                <c:pt idx="33">
                  <c:v>1082.75</c:v>
                </c:pt>
                <c:pt idx="34">
                  <c:v>964.75</c:v>
                </c:pt>
                <c:pt idx="35">
                  <c:v>981.75</c:v>
                </c:pt>
                <c:pt idx="36">
                  <c:v>1022.5</c:v>
                </c:pt>
                <c:pt idx="37">
                  <c:v>1153.5</c:v>
                </c:pt>
                <c:pt idx="38">
                  <c:v>1355.5</c:v>
                </c:pt>
                <c:pt idx="39">
                  <c:v>1390.25</c:v>
                </c:pt>
                <c:pt idx="40">
                  <c:v>1241.75</c:v>
                </c:pt>
                <c:pt idx="41">
                  <c:v>1028.25</c:v>
                </c:pt>
                <c:pt idx="42">
                  <c:v>766</c:v>
                </c:pt>
                <c:pt idx="43">
                  <c:v>551.75</c:v>
                </c:pt>
                <c:pt idx="44">
                  <c:v>362.25</c:v>
                </c:pt>
                <c:pt idx="45">
                  <c:v>381.5</c:v>
                </c:pt>
                <c:pt idx="46">
                  <c:v>539.5</c:v>
                </c:pt>
                <c:pt idx="47">
                  <c:v>757.25</c:v>
                </c:pt>
                <c:pt idx="48">
                  <c:v>840.25</c:v>
                </c:pt>
                <c:pt idx="49">
                  <c:v>876.75</c:v>
                </c:pt>
                <c:pt idx="50">
                  <c:v>760.5</c:v>
                </c:pt>
                <c:pt idx="51">
                  <c:v>571.75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Averages'!$C$998:$C$1020</c:f>
              <c:numCache>
                <c:formatCode>#,##0_);\(#,##0\)</c:formatCode>
                <c:ptCount val="23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08320"/>
        <c:axId val="129618688"/>
      </c:lineChart>
      <c:dateAx>
        <c:axId val="12960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458322884798631"/>
              <c:y val="0.8256361976492069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61868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96186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0005105197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6083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1591019275456"/>
          <c:y val="0.91824116951056178"/>
          <c:w val="0.81181060568065933"/>
          <c:h val="8.175883048943821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9348249360986738"/>
          <c:y val="1.8382198349237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63951120162932"/>
          <c:y val="0.12132352941176472"/>
          <c:w val="0.8248472505091774"/>
          <c:h val="0.5588235294117645"/>
        </c:manualLayout>
      </c:layout>
      <c:lineChart>
        <c:grouping val="standard"/>
        <c:varyColors val="0"/>
        <c:ser>
          <c:idx val="3"/>
          <c:order val="0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Averages'!$B$894:$B$945</c:f>
              <c:numCache>
                <c:formatCode>#,##0_);\(#,##0\)</c:formatCode>
                <c:ptCount val="52"/>
                <c:pt idx="0">
                  <c:v>1094.25</c:v>
                </c:pt>
                <c:pt idx="1">
                  <c:v>1038.75</c:v>
                </c:pt>
                <c:pt idx="2">
                  <c:v>1112</c:v>
                </c:pt>
                <c:pt idx="3">
                  <c:v>1139</c:v>
                </c:pt>
                <c:pt idx="4">
                  <c:v>1099</c:v>
                </c:pt>
                <c:pt idx="5">
                  <c:v>1067.75</c:v>
                </c:pt>
                <c:pt idx="6">
                  <c:v>1019</c:v>
                </c:pt>
                <c:pt idx="7">
                  <c:v>978</c:v>
                </c:pt>
                <c:pt idx="8">
                  <c:v>1029.75</c:v>
                </c:pt>
                <c:pt idx="9">
                  <c:v>1126</c:v>
                </c:pt>
                <c:pt idx="10">
                  <c:v>1101.75</c:v>
                </c:pt>
                <c:pt idx="11">
                  <c:v>1269.25</c:v>
                </c:pt>
                <c:pt idx="12">
                  <c:v>1303</c:v>
                </c:pt>
                <c:pt idx="13">
                  <c:v>1300.75</c:v>
                </c:pt>
                <c:pt idx="14">
                  <c:v>1198.75</c:v>
                </c:pt>
                <c:pt idx="15">
                  <c:v>829.25</c:v>
                </c:pt>
                <c:pt idx="16">
                  <c:v>629.25</c:v>
                </c:pt>
                <c:pt idx="17">
                  <c:v>454.25</c:v>
                </c:pt>
                <c:pt idx="18">
                  <c:v>473</c:v>
                </c:pt>
                <c:pt idx="19">
                  <c:v>550.25</c:v>
                </c:pt>
                <c:pt idx="20">
                  <c:v>568.25</c:v>
                </c:pt>
                <c:pt idx="21">
                  <c:v>576</c:v>
                </c:pt>
                <c:pt idx="22">
                  <c:v>474.75</c:v>
                </c:pt>
                <c:pt idx="23">
                  <c:v>379.5</c:v>
                </c:pt>
                <c:pt idx="24">
                  <c:v>298.75</c:v>
                </c:pt>
                <c:pt idx="25">
                  <c:v>244.5</c:v>
                </c:pt>
                <c:pt idx="26">
                  <c:v>203.5</c:v>
                </c:pt>
                <c:pt idx="27">
                  <c:v>206.25</c:v>
                </c:pt>
                <c:pt idx="28">
                  <c:v>149.25</c:v>
                </c:pt>
                <c:pt idx="29">
                  <c:v>122.5</c:v>
                </c:pt>
                <c:pt idx="30">
                  <c:v>121.75</c:v>
                </c:pt>
                <c:pt idx="31">
                  <c:v>80</c:v>
                </c:pt>
                <c:pt idx="32">
                  <c:v>111.25</c:v>
                </c:pt>
                <c:pt idx="33">
                  <c:v>110.5</c:v>
                </c:pt>
                <c:pt idx="34">
                  <c:v>59.25</c:v>
                </c:pt>
                <c:pt idx="35">
                  <c:v>89.25</c:v>
                </c:pt>
                <c:pt idx="36">
                  <c:v>84.75</c:v>
                </c:pt>
                <c:pt idx="37">
                  <c:v>95</c:v>
                </c:pt>
                <c:pt idx="38">
                  <c:v>249</c:v>
                </c:pt>
                <c:pt idx="39">
                  <c:v>338.75</c:v>
                </c:pt>
                <c:pt idx="40">
                  <c:v>381</c:v>
                </c:pt>
                <c:pt idx="41">
                  <c:v>541.5</c:v>
                </c:pt>
                <c:pt idx="42">
                  <c:v>610</c:v>
                </c:pt>
                <c:pt idx="43">
                  <c:v>623.5</c:v>
                </c:pt>
                <c:pt idx="44">
                  <c:v>686.75</c:v>
                </c:pt>
                <c:pt idx="45">
                  <c:v>508</c:v>
                </c:pt>
                <c:pt idx="46">
                  <c:v>386.5</c:v>
                </c:pt>
                <c:pt idx="47">
                  <c:v>284.5</c:v>
                </c:pt>
                <c:pt idx="48">
                  <c:v>179.25</c:v>
                </c:pt>
                <c:pt idx="49">
                  <c:v>189.5</c:v>
                </c:pt>
                <c:pt idx="50">
                  <c:v>102.25</c:v>
                </c:pt>
                <c:pt idx="51">
                  <c:v>72</c:v>
                </c:pt>
              </c:numCache>
            </c:numRef>
          </c:val>
          <c:smooth val="0"/>
        </c:ser>
        <c:ser>
          <c:idx val="0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Averages'!$B$842:$B$893</c:f>
              <c:numCache>
                <c:formatCode>#,##0_);\(#,##0\)</c:formatCode>
                <c:ptCount val="52"/>
                <c:pt idx="0">
                  <c:v>506</c:v>
                </c:pt>
                <c:pt idx="1">
                  <c:v>365.5</c:v>
                </c:pt>
                <c:pt idx="2">
                  <c:v>403.75</c:v>
                </c:pt>
                <c:pt idx="3">
                  <c:v>513.5</c:v>
                </c:pt>
                <c:pt idx="4">
                  <c:v>538.25</c:v>
                </c:pt>
                <c:pt idx="5">
                  <c:v>664.5</c:v>
                </c:pt>
                <c:pt idx="6">
                  <c:v>613.75</c:v>
                </c:pt>
                <c:pt idx="7">
                  <c:v>492.25</c:v>
                </c:pt>
                <c:pt idx="8">
                  <c:v>471</c:v>
                </c:pt>
                <c:pt idx="9">
                  <c:v>414</c:v>
                </c:pt>
                <c:pt idx="10">
                  <c:v>378.75</c:v>
                </c:pt>
                <c:pt idx="11">
                  <c:v>469.75</c:v>
                </c:pt>
                <c:pt idx="12">
                  <c:v>364.75</c:v>
                </c:pt>
                <c:pt idx="13">
                  <c:v>276</c:v>
                </c:pt>
                <c:pt idx="14">
                  <c:v>275</c:v>
                </c:pt>
                <c:pt idx="15">
                  <c:v>151.5</c:v>
                </c:pt>
                <c:pt idx="16">
                  <c:v>180</c:v>
                </c:pt>
                <c:pt idx="17">
                  <c:v>156.75</c:v>
                </c:pt>
                <c:pt idx="18">
                  <c:v>128.25</c:v>
                </c:pt>
                <c:pt idx="19">
                  <c:v>152.75</c:v>
                </c:pt>
                <c:pt idx="20">
                  <c:v>153.5</c:v>
                </c:pt>
                <c:pt idx="21">
                  <c:v>178.75</c:v>
                </c:pt>
                <c:pt idx="22">
                  <c:v>151.75</c:v>
                </c:pt>
                <c:pt idx="23">
                  <c:v>209.75</c:v>
                </c:pt>
                <c:pt idx="24">
                  <c:v>199</c:v>
                </c:pt>
                <c:pt idx="25">
                  <c:v>200.5</c:v>
                </c:pt>
                <c:pt idx="26">
                  <c:v>201.75</c:v>
                </c:pt>
                <c:pt idx="27">
                  <c:v>120.5</c:v>
                </c:pt>
                <c:pt idx="28">
                  <c:v>138.75</c:v>
                </c:pt>
                <c:pt idx="29">
                  <c:v>195.75</c:v>
                </c:pt>
                <c:pt idx="30">
                  <c:v>219.75</c:v>
                </c:pt>
                <c:pt idx="31">
                  <c:v>259</c:v>
                </c:pt>
                <c:pt idx="32">
                  <c:v>299.5</c:v>
                </c:pt>
                <c:pt idx="33">
                  <c:v>312.5</c:v>
                </c:pt>
                <c:pt idx="34">
                  <c:v>380.25</c:v>
                </c:pt>
                <c:pt idx="35">
                  <c:v>504</c:v>
                </c:pt>
                <c:pt idx="36">
                  <c:v>626.75</c:v>
                </c:pt>
                <c:pt idx="37">
                  <c:v>825.25</c:v>
                </c:pt>
                <c:pt idx="38">
                  <c:v>944.5</c:v>
                </c:pt>
                <c:pt idx="39">
                  <c:v>1119.75</c:v>
                </c:pt>
                <c:pt idx="40">
                  <c:v>1285.75</c:v>
                </c:pt>
                <c:pt idx="41">
                  <c:v>1487.25</c:v>
                </c:pt>
                <c:pt idx="42">
                  <c:v>1670.75</c:v>
                </c:pt>
                <c:pt idx="43">
                  <c:v>1782.25</c:v>
                </c:pt>
                <c:pt idx="44">
                  <c:v>1839.25</c:v>
                </c:pt>
                <c:pt idx="45">
                  <c:v>1726.75</c:v>
                </c:pt>
                <c:pt idx="46">
                  <c:v>1611.75</c:v>
                </c:pt>
                <c:pt idx="47">
                  <c:v>1464.75</c:v>
                </c:pt>
                <c:pt idx="48">
                  <c:v>1454.5</c:v>
                </c:pt>
                <c:pt idx="49">
                  <c:v>1312.25</c:v>
                </c:pt>
                <c:pt idx="50">
                  <c:v>1309</c:v>
                </c:pt>
                <c:pt idx="51">
                  <c:v>1253</c:v>
                </c:pt>
              </c:numCache>
            </c:numRef>
          </c:val>
          <c:smooth val="0"/>
        </c:ser>
        <c:ser>
          <c:idx val="1"/>
          <c:order val="2"/>
          <c:tx>
            <c:v>2012</c:v>
          </c:tx>
          <c:marker>
            <c:symbol val="none"/>
          </c:marker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3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val>
            <c:numRef>
              <c:f>'Weekly Averages'!$B$997:$B$1020</c:f>
              <c:numCache>
                <c:formatCode>#,##0_);\(#,##0\)</c:formatCode>
                <c:ptCount val="24"/>
                <c:pt idx="0">
                  <c:v>1310.5</c:v>
                </c:pt>
                <c:pt idx="1">
                  <c:v>1223</c:v>
                </c:pt>
                <c:pt idx="2">
                  <c:v>1266</c:v>
                </c:pt>
                <c:pt idx="3">
                  <c:v>1158.5</c:v>
                </c:pt>
                <c:pt idx="4">
                  <c:v>1049.25</c:v>
                </c:pt>
                <c:pt idx="5">
                  <c:v>1057.75</c:v>
                </c:pt>
                <c:pt idx="6">
                  <c:v>1013</c:v>
                </c:pt>
                <c:pt idx="7">
                  <c:v>934.25</c:v>
                </c:pt>
                <c:pt idx="8">
                  <c:v>755.25</c:v>
                </c:pt>
                <c:pt idx="9">
                  <c:v>535</c:v>
                </c:pt>
                <c:pt idx="10">
                  <c:v>291.75</c:v>
                </c:pt>
                <c:pt idx="11">
                  <c:v>116</c:v>
                </c:pt>
                <c:pt idx="12">
                  <c:v>90.75</c:v>
                </c:pt>
                <c:pt idx="13">
                  <c:v>49</c:v>
                </c:pt>
                <c:pt idx="14">
                  <c:v>83.5</c:v>
                </c:pt>
                <c:pt idx="15">
                  <c:v>114</c:v>
                </c:pt>
                <c:pt idx="16">
                  <c:v>77.25</c:v>
                </c:pt>
                <c:pt idx="17">
                  <c:v>77</c:v>
                </c:pt>
                <c:pt idx="18">
                  <c:v>69.5</c:v>
                </c:pt>
                <c:pt idx="19">
                  <c:v>39.75</c:v>
                </c:pt>
                <c:pt idx="20">
                  <c:v>70</c:v>
                </c:pt>
              </c:numCache>
            </c:numRef>
          </c:val>
          <c:smooth val="0"/>
        </c:ser>
        <c:ser>
          <c:idx val="2"/>
          <c:order val="4"/>
          <c:tx>
            <c:v>4-yr avg.(4-wk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 w="6350"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Averages'!$S$842:$S$893</c:f>
              <c:numCache>
                <c:formatCode>_(* #,##0_);_(* \(#,##0\);_(* "-"??_);_(@_)</c:formatCode>
                <c:ptCount val="52"/>
                <c:pt idx="0">
                  <c:v>1299.75</c:v>
                </c:pt>
                <c:pt idx="1">
                  <c:v>1382.0625</c:v>
                </c:pt>
                <c:pt idx="2">
                  <c:v>1434.5</c:v>
                </c:pt>
                <c:pt idx="3">
                  <c:v>1614.375</c:v>
                </c:pt>
                <c:pt idx="4">
                  <c:v>1602</c:v>
                </c:pt>
                <c:pt idx="5">
                  <c:v>1639.4375</c:v>
                </c:pt>
                <c:pt idx="6">
                  <c:v>1649.1875</c:v>
                </c:pt>
                <c:pt idx="7">
                  <c:v>1553.9375</c:v>
                </c:pt>
                <c:pt idx="8">
                  <c:v>1620</c:v>
                </c:pt>
                <c:pt idx="9">
                  <c:v>1610.6875</c:v>
                </c:pt>
                <c:pt idx="10">
                  <c:v>1520.75</c:v>
                </c:pt>
                <c:pt idx="11">
                  <c:v>1423.6875</c:v>
                </c:pt>
                <c:pt idx="12">
                  <c:v>1228.75</c:v>
                </c:pt>
                <c:pt idx="13">
                  <c:v>1036.125</c:v>
                </c:pt>
                <c:pt idx="14">
                  <c:v>981.1875</c:v>
                </c:pt>
                <c:pt idx="15">
                  <c:v>880.125</c:v>
                </c:pt>
                <c:pt idx="16">
                  <c:v>841.0625</c:v>
                </c:pt>
                <c:pt idx="17">
                  <c:v>744.4375</c:v>
                </c:pt>
                <c:pt idx="18">
                  <c:v>639.3125</c:v>
                </c:pt>
                <c:pt idx="19">
                  <c:v>610</c:v>
                </c:pt>
                <c:pt idx="20">
                  <c:v>555.625</c:v>
                </c:pt>
                <c:pt idx="21">
                  <c:v>589.375</c:v>
                </c:pt>
                <c:pt idx="22">
                  <c:v>504.75</c:v>
                </c:pt>
                <c:pt idx="23">
                  <c:v>494.3125</c:v>
                </c:pt>
                <c:pt idx="24">
                  <c:v>510.6875</c:v>
                </c:pt>
                <c:pt idx="25">
                  <c:v>530</c:v>
                </c:pt>
                <c:pt idx="26">
                  <c:v>630.1875</c:v>
                </c:pt>
                <c:pt idx="27">
                  <c:v>741</c:v>
                </c:pt>
                <c:pt idx="28">
                  <c:v>869.875</c:v>
                </c:pt>
                <c:pt idx="29">
                  <c:v>916.4375</c:v>
                </c:pt>
                <c:pt idx="30">
                  <c:v>935.4375</c:v>
                </c:pt>
                <c:pt idx="31">
                  <c:v>1023.75</c:v>
                </c:pt>
                <c:pt idx="32">
                  <c:v>972.25</c:v>
                </c:pt>
                <c:pt idx="33">
                  <c:v>1059.4375</c:v>
                </c:pt>
                <c:pt idx="34">
                  <c:v>1188.5</c:v>
                </c:pt>
                <c:pt idx="35">
                  <c:v>1115.875</c:v>
                </c:pt>
                <c:pt idx="36">
                  <c:v>1229.6875</c:v>
                </c:pt>
                <c:pt idx="37">
                  <c:v>1295.75</c:v>
                </c:pt>
                <c:pt idx="38">
                  <c:v>1333</c:v>
                </c:pt>
                <c:pt idx="39">
                  <c:v>1613.4375</c:v>
                </c:pt>
                <c:pt idx="40">
                  <c:v>1921.75</c:v>
                </c:pt>
                <c:pt idx="41">
                  <c:v>2099.25</c:v>
                </c:pt>
                <c:pt idx="42">
                  <c:v>2297.0625</c:v>
                </c:pt>
                <c:pt idx="43">
                  <c:v>2218.8125</c:v>
                </c:pt>
                <c:pt idx="44">
                  <c:v>2029.125</c:v>
                </c:pt>
                <c:pt idx="45">
                  <c:v>1885.75</c:v>
                </c:pt>
                <c:pt idx="46">
                  <c:v>1760</c:v>
                </c:pt>
                <c:pt idx="47">
                  <c:v>1697.8125</c:v>
                </c:pt>
                <c:pt idx="48">
                  <c:v>1631.75</c:v>
                </c:pt>
                <c:pt idx="49">
                  <c:v>1516.75</c:v>
                </c:pt>
                <c:pt idx="50">
                  <c:v>1379.75</c:v>
                </c:pt>
                <c:pt idx="51">
                  <c:v>1218.9375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80128"/>
        <c:axId val="129682432"/>
      </c:lineChart>
      <c:catAx>
        <c:axId val="12968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639497881392283"/>
              <c:y val="0.84926482057959807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68243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296824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8330031050040312E-2"/>
              <c:y val="0.180147103705060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6801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"/>
        <c:txPr>
          <a:bodyPr/>
          <a:lstStyle/>
          <a:p>
            <a:pPr>
              <a:defRPr sz="6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6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213276036573858"/>
          <c:y val="0.90083996283410317"/>
          <c:w val="0.78033597515996767"/>
          <c:h val="9.856490806866191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670560</xdr:colOff>
      <xdr:row>22</xdr:row>
      <xdr:rowOff>22860</xdr:rowOff>
    </xdr:from>
    <xdr:to>
      <xdr:col>20</xdr:col>
      <xdr:colOff>731520</xdr:colOff>
      <xdr:row>37</xdr:row>
      <xdr:rowOff>144780</xdr:rowOff>
    </xdr:to>
    <xdr:graphicFrame macro="">
      <xdr:nvGraphicFramePr>
        <xdr:cNvPr id="1363604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556260</xdr:colOff>
      <xdr:row>2</xdr:row>
      <xdr:rowOff>99060</xdr:rowOff>
    </xdr:from>
    <xdr:to>
      <xdr:col>28</xdr:col>
      <xdr:colOff>243840</xdr:colOff>
      <xdr:row>19</xdr:row>
      <xdr:rowOff>129540</xdr:rowOff>
    </xdr:to>
    <xdr:graphicFrame macro="">
      <xdr:nvGraphicFramePr>
        <xdr:cNvPr id="1363605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563880</xdr:colOff>
      <xdr:row>22</xdr:row>
      <xdr:rowOff>60960</xdr:rowOff>
    </xdr:from>
    <xdr:to>
      <xdr:col>27</xdr:col>
      <xdr:colOff>716280</xdr:colOff>
      <xdr:row>36</xdr:row>
      <xdr:rowOff>137160</xdr:rowOff>
    </xdr:to>
    <xdr:graphicFrame macro="">
      <xdr:nvGraphicFramePr>
        <xdr:cNvPr id="1363606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175260</xdr:colOff>
      <xdr:row>21</xdr:row>
      <xdr:rowOff>53340</xdr:rowOff>
    </xdr:from>
    <xdr:to>
      <xdr:col>35</xdr:col>
      <xdr:colOff>243840</xdr:colOff>
      <xdr:row>35</xdr:row>
      <xdr:rowOff>152400</xdr:rowOff>
    </xdr:to>
    <xdr:graphicFrame macro="">
      <xdr:nvGraphicFramePr>
        <xdr:cNvPr id="1363607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2</xdr:row>
      <xdr:rowOff>7620</xdr:rowOff>
    </xdr:from>
    <xdr:to>
      <xdr:col>6</xdr:col>
      <xdr:colOff>617220</xdr:colOff>
      <xdr:row>18</xdr:row>
      <xdr:rowOff>45720</xdr:rowOff>
    </xdr:to>
    <xdr:graphicFrame macro="">
      <xdr:nvGraphicFramePr>
        <xdr:cNvPr id="1363608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723900</xdr:colOff>
      <xdr:row>2</xdr:row>
      <xdr:rowOff>0</xdr:rowOff>
    </xdr:from>
    <xdr:to>
      <xdr:col>14</xdr:col>
      <xdr:colOff>129540</xdr:colOff>
      <xdr:row>18</xdr:row>
      <xdr:rowOff>129540</xdr:rowOff>
    </xdr:to>
    <xdr:graphicFrame macro="">
      <xdr:nvGraphicFramePr>
        <xdr:cNvPr id="136360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30480</xdr:colOff>
      <xdr:row>1</xdr:row>
      <xdr:rowOff>129540</xdr:rowOff>
    </xdr:from>
    <xdr:to>
      <xdr:col>21</xdr:col>
      <xdr:colOff>266700</xdr:colOff>
      <xdr:row>19</xdr:row>
      <xdr:rowOff>53340</xdr:rowOff>
    </xdr:to>
    <xdr:graphicFrame macro="">
      <xdr:nvGraphicFramePr>
        <xdr:cNvPr id="1363610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137160</xdr:colOff>
      <xdr:row>3</xdr:row>
      <xdr:rowOff>152400</xdr:rowOff>
    </xdr:from>
    <xdr:to>
      <xdr:col>42</xdr:col>
      <xdr:colOff>327660</xdr:colOff>
      <xdr:row>18</xdr:row>
      <xdr:rowOff>182880</xdr:rowOff>
    </xdr:to>
    <xdr:graphicFrame macro="">
      <xdr:nvGraphicFramePr>
        <xdr:cNvPr id="1363611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7620</xdr:colOff>
      <xdr:row>2</xdr:row>
      <xdr:rowOff>30480</xdr:rowOff>
    </xdr:from>
    <xdr:to>
      <xdr:col>35</xdr:col>
      <xdr:colOff>502920</xdr:colOff>
      <xdr:row>18</xdr:row>
      <xdr:rowOff>22860</xdr:rowOff>
    </xdr:to>
    <xdr:grpSp>
      <xdr:nvGrpSpPr>
        <xdr:cNvPr id="1363612" name="Group 77"/>
        <xdr:cNvGrpSpPr>
          <a:grpSpLocks/>
        </xdr:cNvGrpSpPr>
      </xdr:nvGrpSpPr>
      <xdr:grpSpPr bwMode="auto">
        <a:xfrm>
          <a:off x="21221700" y="419100"/>
          <a:ext cx="4884420" cy="3048000"/>
          <a:chOff x="2318" y="21"/>
          <a:chExt cx="494" cy="287"/>
        </a:xfrm>
      </xdr:grpSpPr>
      <xdr:graphicFrame macro="">
        <xdr:nvGraphicFramePr>
          <xdr:cNvPr id="1363619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6" y="92"/>
            <a:ext cx="306" cy="37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182880</xdr:colOff>
      <xdr:row>21</xdr:row>
      <xdr:rowOff>53340</xdr:rowOff>
    </xdr:from>
    <xdr:to>
      <xdr:col>42</xdr:col>
      <xdr:colOff>335280</xdr:colOff>
      <xdr:row>35</xdr:row>
      <xdr:rowOff>167640</xdr:rowOff>
    </xdr:to>
    <xdr:graphicFrame macro="">
      <xdr:nvGraphicFramePr>
        <xdr:cNvPr id="1363613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45720</xdr:colOff>
      <xdr:row>37</xdr:row>
      <xdr:rowOff>99060</xdr:rowOff>
    </xdr:from>
    <xdr:to>
      <xdr:col>35</xdr:col>
      <xdr:colOff>510540</xdr:colOff>
      <xdr:row>53</xdr:row>
      <xdr:rowOff>22860</xdr:rowOff>
    </xdr:to>
    <xdr:graphicFrame macro="">
      <xdr:nvGraphicFramePr>
        <xdr:cNvPr id="1363614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746760</xdr:colOff>
      <xdr:row>38</xdr:row>
      <xdr:rowOff>38100</xdr:rowOff>
    </xdr:from>
    <xdr:to>
      <xdr:col>28</xdr:col>
      <xdr:colOff>83820</xdr:colOff>
      <xdr:row>52</xdr:row>
      <xdr:rowOff>182880</xdr:rowOff>
    </xdr:to>
    <xdr:graphicFrame macro="">
      <xdr:nvGraphicFramePr>
        <xdr:cNvPr id="1363615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502920</xdr:colOff>
      <xdr:row>37</xdr:row>
      <xdr:rowOff>152400</xdr:rowOff>
    </xdr:from>
    <xdr:to>
      <xdr:col>20</xdr:col>
      <xdr:colOff>624840</xdr:colOff>
      <xdr:row>51</xdr:row>
      <xdr:rowOff>137160</xdr:rowOff>
    </xdr:to>
    <xdr:graphicFrame macro="">
      <xdr:nvGraphicFramePr>
        <xdr:cNvPr id="1363616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22860</xdr:colOff>
      <xdr:row>22</xdr:row>
      <xdr:rowOff>68580</xdr:rowOff>
    </xdr:from>
    <xdr:to>
      <xdr:col>14</xdr:col>
      <xdr:colOff>160020</xdr:colOff>
      <xdr:row>39</xdr:row>
      <xdr:rowOff>7620</xdr:rowOff>
    </xdr:to>
    <xdr:graphicFrame macro="">
      <xdr:nvGraphicFramePr>
        <xdr:cNvPr id="1363617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601980</xdr:colOff>
      <xdr:row>22</xdr:row>
      <xdr:rowOff>144780</xdr:rowOff>
    </xdr:from>
    <xdr:to>
      <xdr:col>7</xdr:col>
      <xdr:colOff>144780</xdr:colOff>
      <xdr:row>38</xdr:row>
      <xdr:rowOff>182880</xdr:rowOff>
    </xdr:to>
    <xdr:graphicFrame macro="">
      <xdr:nvGraphicFramePr>
        <xdr:cNvPr id="1363618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0.80029</cdr:y>
    </cdr:from>
    <cdr:to>
      <cdr:x>0.24993</cdr:x>
      <cdr:y>0.87356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0.22766</cdr:y>
    </cdr:from>
    <cdr:to>
      <cdr:x>0.0628</cdr:x>
      <cdr:y>0.59206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0.40066</cdr:x>
      <cdr:y>0.15331</cdr:y>
    </cdr:from>
    <cdr:to>
      <cdr:x>0.94906</cdr:x>
      <cdr:y>0.28992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82966" y="463393"/>
          <a:ext cx="2440424" cy="4129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0.05534</cdr:x>
      <cdr:y>0.81313</cdr:y>
    </cdr:from>
    <cdr:to>
      <cdr:x>0.31913</cdr:x>
      <cdr:y>0.895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0.18447</cdr:x>
      <cdr:y>0.12471</cdr:y>
    </cdr:from>
    <cdr:to>
      <cdr:x>0.66827</cdr:x>
      <cdr:y>0.22368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6481" y="414020"/>
          <a:ext cx="2324988" cy="32853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0.00448</cdr:x>
      <cdr:y>0.82678</cdr:y>
    </cdr:from>
    <cdr:to>
      <cdr:x>0.24722</cdr:x>
      <cdr:y>0.9003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59" y="2301633"/>
          <a:ext cx="1102409" cy="2046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0.22811</cdr:y>
    </cdr:from>
    <cdr:to>
      <cdr:x>0.06866</cdr:x>
      <cdr:y>0.59352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0.175</cdr:x>
      <cdr:y>0.48723</cdr:y>
    </cdr:from>
    <cdr:to>
      <cdr:x>0.62065</cdr:x>
      <cdr:y>0.64964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4754" y="1356360"/>
          <a:ext cx="2023928" cy="4521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0.82014</cdr:y>
    </cdr:from>
    <cdr:to>
      <cdr:x>0.24966</cdr:x>
      <cdr:y>0.8997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0.00202</cdr:x>
      <cdr:y>0.22184</cdr:y>
    </cdr:from>
    <cdr:to>
      <cdr:x>0.07113</cdr:x>
      <cdr:y>0.57501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0.60911</cdr:x>
      <cdr:y>0.30576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76" y="492691"/>
          <a:ext cx="2036151" cy="4648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0.00455</cdr:x>
      <cdr:y>0.80578</cdr:y>
    </cdr:from>
    <cdr:to>
      <cdr:x>0.22986</cdr:x>
      <cdr:y>0.88626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93" y="2597229"/>
          <a:ext cx="1019816" cy="259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0.27704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15" y="482894"/>
          <a:ext cx="2242546" cy="41006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0.02192</cdr:x>
      <cdr:y>0.23661</cdr:y>
    </cdr:from>
    <cdr:to>
      <cdr:x>0.15173</cdr:x>
      <cdr:y>0.59012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0.20748</cdr:x>
      <cdr:y>0.12299</cdr:y>
    </cdr:from>
    <cdr:to>
      <cdr:x>0.71814</cdr:x>
      <cdr:y>0.24733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4911" y="408921"/>
          <a:ext cx="2350302" cy="41341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0.11367</cdr:x>
      <cdr:y>0.85052</cdr:y>
    </cdr:from>
    <cdr:to>
      <cdr:x>0.36299</cdr:x>
      <cdr:y>0.9148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80" y="2890520"/>
          <a:ext cx="1153160" cy="2184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0.08506</cdr:x>
      <cdr:y>0.77501</cdr:y>
    </cdr:from>
    <cdr:to>
      <cdr:x>0.31678</cdr:x>
      <cdr:y>0.85119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271671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0.21048</cdr:y>
    </cdr:from>
    <cdr:to>
      <cdr:x>0.0853</cdr:x>
      <cdr:y>0.59547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0.19687</cdr:x>
      <cdr:y>0.46447</cdr:y>
    </cdr:from>
    <cdr:to>
      <cdr:x>0.74678</cdr:x>
      <cdr:y>0.56847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1595" y="1361439"/>
          <a:ext cx="2518379" cy="3048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</cdr:x>
      <cdr:y>0.88997</cdr:y>
    </cdr:from>
    <cdr:to>
      <cdr:x>0.25628</cdr:x>
      <cdr:y>0.97726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2382425"/>
          <a:ext cx="1115644" cy="220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</cdr:x>
      <cdr:y>0.25386</cdr:y>
    </cdr:from>
    <cdr:to>
      <cdr:x>0.09584</cdr:x>
      <cdr:y>0.57344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0.82935</cdr:y>
    </cdr:from>
    <cdr:to>
      <cdr:x>0.26704</cdr:x>
      <cdr:y>0.90529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0.00043</cdr:x>
      <cdr:y>0.20727</cdr:y>
    </cdr:from>
    <cdr:to>
      <cdr:x>0.07318</cdr:x>
      <cdr:y>0.59424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0.16728</cdr:x>
      <cdr:y>0.50135</cdr:y>
    </cdr:from>
    <cdr:to>
      <cdr:x>0.63647</cdr:x>
      <cdr:y>0.62011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9705" y="1414779"/>
          <a:ext cx="2130836" cy="33513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0.83035</cdr:y>
    </cdr:from>
    <cdr:to>
      <cdr:x>0.25545</cdr:x>
      <cdr:y>0.90586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7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0.00943</cdr:x>
      <cdr:y>0.21249</cdr:y>
    </cdr:from>
    <cdr:to>
      <cdr:x>0.07983</cdr:x>
      <cdr:y>0.58132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36673"/>
          <a:ext cx="355378" cy="1099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0.13575</cdr:x>
      <cdr:y>0.14061</cdr:y>
    </cdr:from>
    <cdr:to>
      <cdr:x>0.62485</cdr:x>
      <cdr:y>0.25581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8499" y="422382"/>
          <a:ext cx="2469070" cy="34344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0.0101</cdr:x>
      <cdr:y>0.79025</cdr:y>
    </cdr:from>
    <cdr:to>
      <cdr:x>0.26436</cdr:x>
      <cdr:y>0.86354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10772"/>
          <a:ext cx="1198793" cy="1954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0.22783</cdr:y>
    </cdr:from>
    <cdr:to>
      <cdr:x>0.0684</cdr:x>
      <cdr:y>0.5945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0.15176</cdr:x>
      <cdr:y>0.43993</cdr:y>
    </cdr:from>
    <cdr:to>
      <cdr:x>0.611</cdr:x>
      <cdr:y>0.56271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9733" y="1236149"/>
          <a:ext cx="2147768" cy="34500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period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0.80106</cdr:y>
    </cdr:from>
    <cdr:to>
      <cdr:x>0.26045</cdr:x>
      <cdr:y>0.87385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0.22762</cdr:y>
    </cdr:from>
    <cdr:to>
      <cdr:x>0.06254</cdr:x>
      <cdr:y>0.59424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0.18649</cdr:x>
      <cdr:y>0.46003</cdr:y>
    </cdr:from>
    <cdr:to>
      <cdr:x>0.79296</cdr:x>
      <cdr:y>0.58248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5724" y="1218149"/>
          <a:ext cx="2847877" cy="3242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0.12015</cdr:x>
      <cdr:y>0.84045</cdr:y>
    </cdr:from>
    <cdr:to>
      <cdr:x>0.34546</cdr:x>
      <cdr:y>0.92093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3833" y="2708989"/>
          <a:ext cx="1019816" cy="259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0.19065</cdr:x>
      <cdr:y>0.17188</cdr:y>
    </cdr:from>
    <cdr:to>
      <cdr:x>0.6861</cdr:x>
      <cdr:y>0.2991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2938" y="547480"/>
          <a:ext cx="2242545" cy="40521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----% from last week;  up ---- from last year; and up ----- from 4-year avg.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0.19754</cdr:x>
      <cdr:y>0.15894</cdr:y>
    </cdr:from>
    <cdr:to>
      <cdr:x>0.68301</cdr:x>
      <cdr:y>0.30657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216" y="497771"/>
          <a:ext cx="2263944" cy="4623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week,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2</xdr:row>
      <xdr:rowOff>175260</xdr:rowOff>
    </xdr:from>
    <xdr:to>
      <xdr:col>14</xdr:col>
      <xdr:colOff>129540</xdr:colOff>
      <xdr:row>17</xdr:row>
      <xdr:rowOff>106680</xdr:rowOff>
    </xdr:to>
    <xdr:graphicFrame macro="">
      <xdr:nvGraphicFramePr>
        <xdr:cNvPr id="274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20</xdr:row>
      <xdr:rowOff>30480</xdr:rowOff>
    </xdr:from>
    <xdr:to>
      <xdr:col>14</xdr:col>
      <xdr:colOff>129540</xdr:colOff>
      <xdr:row>34</xdr:row>
      <xdr:rowOff>182880</xdr:rowOff>
    </xdr:to>
    <xdr:graphicFrame macro="">
      <xdr:nvGraphicFramePr>
        <xdr:cNvPr id="274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106680</xdr:colOff>
      <xdr:row>16</xdr:row>
      <xdr:rowOff>129540</xdr:rowOff>
    </xdr:to>
    <xdr:graphicFrame macro="">
      <xdr:nvGraphicFramePr>
        <xdr:cNvPr id="274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45720</xdr:colOff>
      <xdr:row>20</xdr:row>
      <xdr:rowOff>167640</xdr:rowOff>
    </xdr:from>
    <xdr:to>
      <xdr:col>21</xdr:col>
      <xdr:colOff>129540</xdr:colOff>
      <xdr:row>34</xdr:row>
      <xdr:rowOff>114300</xdr:rowOff>
    </xdr:to>
    <xdr:graphicFrame macro="">
      <xdr:nvGraphicFramePr>
        <xdr:cNvPr id="2745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685800</xdr:colOff>
      <xdr:row>20</xdr:row>
      <xdr:rowOff>7620</xdr:rowOff>
    </xdr:from>
    <xdr:to>
      <xdr:col>7</xdr:col>
      <xdr:colOff>350520</xdr:colOff>
      <xdr:row>37</xdr:row>
      <xdr:rowOff>99060</xdr:rowOff>
    </xdr:to>
    <xdr:graphicFrame macro="">
      <xdr:nvGraphicFramePr>
        <xdr:cNvPr id="274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7620</xdr:colOff>
      <xdr:row>1</xdr:row>
      <xdr:rowOff>175260</xdr:rowOff>
    </xdr:from>
    <xdr:to>
      <xdr:col>7</xdr:col>
      <xdr:colOff>281940</xdr:colOff>
      <xdr:row>17</xdr:row>
      <xdr:rowOff>68580</xdr:rowOff>
    </xdr:to>
    <xdr:graphicFrame macro="">
      <xdr:nvGraphicFramePr>
        <xdr:cNvPr id="274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13335</xdr:colOff>
      <xdr:row>4</xdr:row>
      <xdr:rowOff>20955</xdr:rowOff>
    </xdr:from>
    <xdr:to>
      <xdr:col>5</xdr:col>
      <xdr:colOff>529590</xdr:colOff>
      <xdr:row>6</xdr:row>
      <xdr:rowOff>83820</xdr:rowOff>
    </xdr:to>
    <xdr:sp macro="" textlink="">
      <xdr:nvSpPr>
        <xdr:cNvPr id="1032" name="Text Box 8"/>
        <xdr:cNvSpPr txBox="1">
          <a:spLocks noChangeArrowheads="1"/>
        </xdr:cNvSpPr>
      </xdr:nvSpPr>
      <xdr:spPr bwMode="auto">
        <a:xfrm>
          <a:off x="1476375" y="790575"/>
          <a:ext cx="2710815" cy="443865"/>
        </a:xfrm>
        <a:prstGeom prst="rect">
          <a:avLst/>
        </a:prstGeom>
        <a:solidFill>
          <a:srgbClr val="FFFF99">
            <a:alpha val="50000"/>
          </a:srgb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-----:  Down ----  % from prior week, down -----% from the prior year, and down -------% from the 3-year average. </a:t>
          </a:r>
        </a:p>
      </xdr:txBody>
    </xdr:sp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0.84084</cdr:y>
    </cdr:from>
    <cdr:to>
      <cdr:x>0.41477</cdr:x>
      <cdr:y>0.90853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7640"/>
          <a:ext cx="1842099" cy="1766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0.45115</cdr:x>
      <cdr:y>0.13279</cdr:y>
    </cdr:from>
    <cdr:to>
      <cdr:x>0.94142</cdr:x>
      <cdr:y>0.26368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832" y="376073"/>
          <a:ext cx="2200420" cy="37068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0.84314</cdr:y>
    </cdr:from>
    <cdr:to>
      <cdr:x>0.41109</cdr:x>
      <cdr:y>0.92648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02" y="2256678"/>
          <a:ext cx="1867142" cy="2230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0.16947</cdr:x>
      <cdr:y>0.54887</cdr:y>
    </cdr:from>
    <cdr:to>
      <cdr:x>0.90366</cdr:x>
      <cdr:y>0.67966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1903" y="1566995"/>
          <a:ext cx="3300772" cy="3734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0.01022</cdr:x>
      <cdr:y>0.78231</cdr:y>
    </cdr:from>
    <cdr:to>
      <cdr:x>0.38466</cdr:x>
      <cdr:y>0.85385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0.34746</cdr:x>
      <cdr:y>0.16638</cdr:y>
    </cdr:from>
    <cdr:to>
      <cdr:x>0.7568</cdr:x>
      <cdr:y>0.32091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1527" y="432334"/>
          <a:ext cx="1827834" cy="40153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0.09469</cdr:x>
      <cdr:y>0.80017</cdr:y>
    </cdr:from>
    <cdr:to>
      <cdr:x>0.42408</cdr:x>
      <cdr:y>0.87148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5135" y="2099127"/>
          <a:ext cx="1537335" cy="1867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0.22922</cdr:x>
      <cdr:y>0.5179</cdr:y>
    </cdr:from>
    <cdr:to>
      <cdr:x>0.92938</cdr:x>
      <cdr:y>0.65015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5275" y="1353605"/>
          <a:ext cx="3131774" cy="34565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0.40229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361" y="2803789"/>
          <a:ext cx="1855283" cy="262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0.13785</cdr:x>
      <cdr:y>0.14267</cdr:y>
    </cdr:from>
    <cdr:to>
      <cdr:x>0.85439</cdr:x>
      <cdr:y>0.23449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9652" y="480890"/>
          <a:ext cx="3428901" cy="30948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0.18014</cdr:x>
      <cdr:y>0.83525</cdr:y>
    </cdr:from>
    <cdr:to>
      <cdr:x>0.43608</cdr:x>
      <cdr:y>0.90389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47347" y="2175104"/>
          <a:ext cx="1199412" cy="1784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H35" sqref="H35"/>
    </sheetView>
  </sheetViews>
  <sheetFormatPr defaultRowHeight="15" x14ac:dyDescent="0.25"/>
  <sheetData>
    <row r="1" spans="1:43" ht="15.6" x14ac:dyDescent="0.3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6" x14ac:dyDescent="0.3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6" x14ac:dyDescent="0.3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062"/>
  <sheetViews>
    <sheetView defaultGridColor="0" colorId="22" zoomScale="150" zoomScaleNormal="150" workbookViewId="0">
      <pane xSplit="1" ySplit="7" topLeftCell="B1013" activePane="bottomRight" state="frozen"/>
      <selection pane="topRight" activeCell="B1" sqref="B1"/>
      <selection pane="bottomLeft" activeCell="A9" sqref="A9"/>
      <selection pane="bottomRight" activeCell="C1022" sqref="C1022"/>
    </sheetView>
  </sheetViews>
  <sheetFormatPr defaultRowHeight="15" x14ac:dyDescent="0.25"/>
  <cols>
    <col min="1" max="1" width="10.08984375" bestFit="1" customWidth="1"/>
    <col min="2" max="3" width="7.81640625" customWidth="1"/>
    <col min="4" max="4" width="10.7265625" customWidth="1"/>
    <col min="5" max="6" width="7.81640625" customWidth="1"/>
    <col min="7" max="7" width="9.1796875" customWidth="1"/>
    <col min="8" max="8" width="9.90625" customWidth="1"/>
    <col min="9" max="10" width="10.54296875" customWidth="1"/>
    <col min="11" max="11" width="9.81640625" customWidth="1"/>
    <col min="12" max="12" width="9.90625" bestFit="1" customWidth="1"/>
    <col min="13" max="13" width="8.90625" bestFit="1" customWidth="1"/>
    <col min="15" max="15" width="9.90625" bestFit="1" customWidth="1"/>
  </cols>
  <sheetData>
    <row r="1" spans="1:11" x14ac:dyDescent="0.25">
      <c r="A1" s="39" t="s">
        <v>52</v>
      </c>
      <c r="B1" s="143"/>
      <c r="C1" s="144"/>
      <c r="D1" s="145"/>
      <c r="E1" s="145"/>
      <c r="F1" s="145"/>
      <c r="G1" s="145"/>
    </row>
    <row r="2" spans="1:11" ht="15.6" x14ac:dyDescent="0.3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ht="15.6" x14ac:dyDescent="0.3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6" x14ac:dyDescent="0.3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6" x14ac:dyDescent="0.3">
      <c r="A5" s="1"/>
      <c r="B5" s="4"/>
      <c r="C5" s="4"/>
      <c r="D5" s="53"/>
      <c r="E5" s="4"/>
      <c r="F5" s="4"/>
      <c r="G5" s="4"/>
      <c r="H5" s="11"/>
      <c r="I5" s="57"/>
      <c r="J5" s="57"/>
      <c r="K5" s="4"/>
    </row>
    <row r="6" spans="1:11" x14ac:dyDescent="0.25">
      <c r="A6" s="13"/>
      <c r="B6" s="115"/>
      <c r="C6" s="116" t="s">
        <v>3</v>
      </c>
      <c r="D6" s="117" t="s">
        <v>1</v>
      </c>
      <c r="E6" s="115"/>
      <c r="F6" s="115" t="s">
        <v>18</v>
      </c>
      <c r="G6" s="115"/>
      <c r="H6" s="115" t="s">
        <v>2</v>
      </c>
      <c r="I6" s="58"/>
      <c r="J6" s="190" t="s">
        <v>18</v>
      </c>
      <c r="K6" s="115" t="s">
        <v>48</v>
      </c>
    </row>
    <row r="7" spans="1:11" x14ac:dyDescent="0.25">
      <c r="A7" s="15" t="s">
        <v>8</v>
      </c>
      <c r="B7" s="116" t="s">
        <v>9</v>
      </c>
      <c r="C7" s="116" t="s">
        <v>10</v>
      </c>
      <c r="D7" s="118" t="s">
        <v>50</v>
      </c>
      <c r="E7" s="116" t="s">
        <v>4</v>
      </c>
      <c r="F7" s="116" t="s">
        <v>17</v>
      </c>
      <c r="G7" s="116" t="s">
        <v>5</v>
      </c>
      <c r="H7" s="116" t="s">
        <v>10</v>
      </c>
      <c r="I7" s="119" t="s">
        <v>51</v>
      </c>
      <c r="J7" s="191" t="s">
        <v>65</v>
      </c>
      <c r="K7" s="115" t="s">
        <v>49</v>
      </c>
    </row>
    <row r="8" spans="1:11" x14ac:dyDescent="0.25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5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5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5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5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5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5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5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5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5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5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5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5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5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5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5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5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5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5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5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5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5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5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5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5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5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5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5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5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5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5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5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5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5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5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5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5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5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5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5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5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5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5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5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5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5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5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5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5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5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5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5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5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5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5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5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5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5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5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5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5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5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5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5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5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5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5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5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5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5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5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5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5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5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5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5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5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5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5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5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5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5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5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5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5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5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5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5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5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5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5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5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5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5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5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5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5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5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5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5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5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5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5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5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5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5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5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5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5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5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5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5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5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5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5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5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5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5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5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5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5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5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5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5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5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5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5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5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5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5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5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5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5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5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5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5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5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5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5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5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5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5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5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5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5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5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5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5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5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5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5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5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5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5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5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5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5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5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5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5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5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5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5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5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5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5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5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5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5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5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5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5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5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5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5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5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5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5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5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5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5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5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5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5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5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5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5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5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5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5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5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5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5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5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5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5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5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5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5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5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5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5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5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5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5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5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5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5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5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5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5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5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5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5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5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5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5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5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5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5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5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5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5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5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5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5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5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5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5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5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5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5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5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5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5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5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5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5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5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5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5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5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5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5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5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5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5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5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5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5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5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5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5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5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5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5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5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5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5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5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5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5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5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5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5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5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5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5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5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5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5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5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5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5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5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5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5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5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5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5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5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5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5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5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5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5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5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5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5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5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5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5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5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5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5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5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5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1"/>
      <c r="J304" s="111"/>
      <c r="K304" s="12">
        <v>37</v>
      </c>
    </row>
    <row r="305" spans="1:11" x14ac:dyDescent="0.25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1"/>
      <c r="J305" s="111"/>
      <c r="K305" s="12">
        <v>38</v>
      </c>
    </row>
    <row r="306" spans="1:11" x14ac:dyDescent="0.25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1"/>
      <c r="J306" s="111"/>
      <c r="K306" s="12">
        <v>39</v>
      </c>
    </row>
    <row r="307" spans="1:11" x14ac:dyDescent="0.25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1"/>
      <c r="J307" s="111"/>
      <c r="K307" s="12">
        <v>40</v>
      </c>
    </row>
    <row r="308" spans="1:11" x14ac:dyDescent="0.25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1"/>
      <c r="J308" s="111"/>
      <c r="K308" s="12">
        <v>41</v>
      </c>
    </row>
    <row r="309" spans="1:11" x14ac:dyDescent="0.25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1"/>
      <c r="J309" s="111"/>
      <c r="K309" s="12">
        <v>42</v>
      </c>
    </row>
    <row r="310" spans="1:11" x14ac:dyDescent="0.25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1"/>
      <c r="J310" s="111"/>
      <c r="K310" s="12">
        <v>43</v>
      </c>
    </row>
    <row r="311" spans="1:11" x14ac:dyDescent="0.25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1"/>
      <c r="J311" s="111"/>
      <c r="K311" s="12">
        <v>44</v>
      </c>
    </row>
    <row r="312" spans="1:11" x14ac:dyDescent="0.25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1"/>
      <c r="J312" s="111"/>
      <c r="K312" s="12">
        <v>45</v>
      </c>
    </row>
    <row r="313" spans="1:11" x14ac:dyDescent="0.25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1"/>
      <c r="J313" s="111"/>
      <c r="K313" s="12">
        <v>46</v>
      </c>
    </row>
    <row r="314" spans="1:11" x14ac:dyDescent="0.25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1"/>
      <c r="J314" s="111"/>
      <c r="K314" s="12">
        <v>47</v>
      </c>
    </row>
    <row r="315" spans="1:11" x14ac:dyDescent="0.25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1"/>
      <c r="J315" s="111"/>
      <c r="K315" s="12">
        <v>48</v>
      </c>
    </row>
    <row r="316" spans="1:11" x14ac:dyDescent="0.25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1"/>
      <c r="J316" s="111"/>
      <c r="K316" s="12">
        <v>49</v>
      </c>
    </row>
    <row r="317" spans="1:11" x14ac:dyDescent="0.25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1"/>
      <c r="J317" s="111"/>
      <c r="K317" s="12">
        <v>50</v>
      </c>
    </row>
    <row r="318" spans="1:11" x14ac:dyDescent="0.25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1"/>
      <c r="J318" s="111"/>
      <c r="K318" s="12">
        <v>51</v>
      </c>
    </row>
    <row r="319" spans="1:11" x14ac:dyDescent="0.25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1"/>
      <c r="J319" s="111"/>
      <c r="K319" s="12">
        <v>52</v>
      </c>
    </row>
    <row r="320" spans="1:11" x14ac:dyDescent="0.25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1"/>
      <c r="J320" s="111"/>
      <c r="K320" s="12">
        <v>1</v>
      </c>
    </row>
    <row r="321" spans="1:11" x14ac:dyDescent="0.25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1"/>
      <c r="J321" s="111"/>
      <c r="K321" s="12">
        <v>2</v>
      </c>
    </row>
    <row r="322" spans="1:11" x14ac:dyDescent="0.25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1"/>
      <c r="J322" s="111"/>
      <c r="K322" s="12">
        <v>3</v>
      </c>
    </row>
    <row r="323" spans="1:11" x14ac:dyDescent="0.25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1"/>
      <c r="J323" s="111"/>
      <c r="K323" s="12">
        <v>4</v>
      </c>
    </row>
    <row r="324" spans="1:11" x14ac:dyDescent="0.25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1"/>
      <c r="J324" s="111"/>
      <c r="K324" s="12">
        <v>5</v>
      </c>
    </row>
    <row r="325" spans="1:11" x14ac:dyDescent="0.25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1"/>
      <c r="J325" s="111"/>
      <c r="K325" s="12">
        <v>6</v>
      </c>
    </row>
    <row r="326" spans="1:11" x14ac:dyDescent="0.25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1"/>
      <c r="J326" s="111"/>
      <c r="K326" s="12">
        <v>7</v>
      </c>
    </row>
    <row r="327" spans="1:11" x14ac:dyDescent="0.25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1"/>
      <c r="J327" s="111"/>
      <c r="K327" s="12">
        <v>8</v>
      </c>
    </row>
    <row r="328" spans="1:11" x14ac:dyDescent="0.25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1"/>
      <c r="J328" s="111"/>
      <c r="K328" s="12">
        <v>9</v>
      </c>
    </row>
    <row r="329" spans="1:11" x14ac:dyDescent="0.25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1"/>
      <c r="J329" s="111"/>
      <c r="K329" s="12">
        <v>10</v>
      </c>
    </row>
    <row r="330" spans="1:11" x14ac:dyDescent="0.25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1"/>
      <c r="J330" s="111"/>
      <c r="K330" s="12">
        <v>11</v>
      </c>
    </row>
    <row r="331" spans="1:11" x14ac:dyDescent="0.25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1"/>
      <c r="J331" s="111"/>
      <c r="K331" s="12">
        <v>12</v>
      </c>
    </row>
    <row r="332" spans="1:11" x14ac:dyDescent="0.25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1"/>
      <c r="J332" s="111"/>
      <c r="K332" s="12">
        <v>13</v>
      </c>
    </row>
    <row r="333" spans="1:11" x14ac:dyDescent="0.25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1"/>
      <c r="J333" s="111"/>
      <c r="K333" s="12">
        <v>14</v>
      </c>
    </row>
    <row r="334" spans="1:11" x14ac:dyDescent="0.25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1"/>
      <c r="J334" s="111"/>
      <c r="K334" s="12">
        <v>15</v>
      </c>
    </row>
    <row r="335" spans="1:11" x14ac:dyDescent="0.25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1"/>
      <c r="J335" s="111"/>
      <c r="K335" s="12">
        <v>16</v>
      </c>
    </row>
    <row r="336" spans="1:11" x14ac:dyDescent="0.25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1"/>
      <c r="J336" s="111"/>
      <c r="K336" s="12">
        <v>17</v>
      </c>
    </row>
    <row r="337" spans="1:11" x14ac:dyDescent="0.25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1"/>
      <c r="J337" s="111"/>
      <c r="K337" s="12">
        <v>18</v>
      </c>
    </row>
    <row r="338" spans="1:11" x14ac:dyDescent="0.25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1"/>
      <c r="J338" s="111"/>
      <c r="K338" s="12">
        <v>19</v>
      </c>
    </row>
    <row r="339" spans="1:11" x14ac:dyDescent="0.25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1"/>
      <c r="J339" s="111"/>
      <c r="K339" s="12">
        <v>20</v>
      </c>
    </row>
    <row r="340" spans="1:11" x14ac:dyDescent="0.25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1"/>
      <c r="J340" s="111"/>
      <c r="K340" s="12">
        <v>21</v>
      </c>
    </row>
    <row r="341" spans="1:11" x14ac:dyDescent="0.25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1"/>
      <c r="J341" s="111"/>
      <c r="K341" s="12">
        <v>22</v>
      </c>
    </row>
    <row r="342" spans="1:11" x14ac:dyDescent="0.25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1"/>
      <c r="J342" s="111"/>
      <c r="K342" s="12">
        <v>23</v>
      </c>
    </row>
    <row r="343" spans="1:11" x14ac:dyDescent="0.25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1"/>
      <c r="J343" s="111"/>
      <c r="K343" s="12">
        <v>24</v>
      </c>
    </row>
    <row r="344" spans="1:11" x14ac:dyDescent="0.25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1"/>
      <c r="J344" s="111"/>
      <c r="K344" s="12">
        <v>25</v>
      </c>
    </row>
    <row r="345" spans="1:11" x14ac:dyDescent="0.25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1"/>
      <c r="J345" s="111"/>
      <c r="K345" s="12">
        <v>26</v>
      </c>
    </row>
    <row r="346" spans="1:11" x14ac:dyDescent="0.25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1"/>
      <c r="J346" s="111"/>
      <c r="K346" s="12">
        <v>27</v>
      </c>
    </row>
    <row r="347" spans="1:11" x14ac:dyDescent="0.25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1"/>
      <c r="J347" s="111"/>
      <c r="K347" s="12">
        <v>28</v>
      </c>
    </row>
    <row r="348" spans="1:11" x14ac:dyDescent="0.25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1"/>
      <c r="J348" s="111"/>
      <c r="K348" s="12">
        <v>29</v>
      </c>
    </row>
    <row r="349" spans="1:11" x14ac:dyDescent="0.25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1"/>
      <c r="J349" s="111"/>
      <c r="K349" s="12">
        <v>30</v>
      </c>
    </row>
    <row r="350" spans="1:11" x14ac:dyDescent="0.25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1"/>
      <c r="J350" s="111"/>
      <c r="K350" s="12">
        <v>31</v>
      </c>
    </row>
    <row r="351" spans="1:11" x14ac:dyDescent="0.25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1"/>
      <c r="J351" s="111"/>
      <c r="K351" s="12">
        <v>32</v>
      </c>
    </row>
    <row r="352" spans="1:11" x14ac:dyDescent="0.25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1"/>
      <c r="J352" s="111"/>
      <c r="K352" s="12">
        <v>33</v>
      </c>
    </row>
    <row r="353" spans="1:11" x14ac:dyDescent="0.25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1"/>
      <c r="J353" s="111"/>
      <c r="K353" s="12">
        <v>34</v>
      </c>
    </row>
    <row r="354" spans="1:11" x14ac:dyDescent="0.25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1"/>
      <c r="J354" s="111"/>
      <c r="K354" s="12">
        <v>35</v>
      </c>
    </row>
    <row r="355" spans="1:11" x14ac:dyDescent="0.25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1"/>
      <c r="J355" s="111"/>
      <c r="K355" s="12">
        <v>36</v>
      </c>
    </row>
    <row r="356" spans="1:11" x14ac:dyDescent="0.25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1"/>
      <c r="J356" s="111"/>
      <c r="K356" s="12">
        <v>37</v>
      </c>
    </row>
    <row r="357" spans="1:11" x14ac:dyDescent="0.25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1"/>
      <c r="J357" s="111"/>
      <c r="K357" s="12">
        <v>38</v>
      </c>
    </row>
    <row r="358" spans="1:11" x14ac:dyDescent="0.25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1"/>
      <c r="J358" s="111"/>
      <c r="K358" s="12">
        <v>39</v>
      </c>
    </row>
    <row r="359" spans="1:11" x14ac:dyDescent="0.25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1"/>
      <c r="J359" s="111"/>
      <c r="K359" s="12">
        <v>40</v>
      </c>
    </row>
    <row r="360" spans="1:11" x14ac:dyDescent="0.25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1"/>
      <c r="J360" s="111"/>
      <c r="K360" s="12">
        <v>41</v>
      </c>
    </row>
    <row r="361" spans="1:11" x14ac:dyDescent="0.25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1"/>
      <c r="J361" s="111"/>
      <c r="K361" s="12">
        <v>42</v>
      </c>
    </row>
    <row r="362" spans="1:11" x14ac:dyDescent="0.25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1"/>
      <c r="J362" s="111"/>
      <c r="K362" s="12">
        <v>43</v>
      </c>
    </row>
    <row r="363" spans="1:11" x14ac:dyDescent="0.25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1"/>
      <c r="J363" s="111"/>
      <c r="K363" s="12">
        <v>44</v>
      </c>
    </row>
    <row r="364" spans="1:11" x14ac:dyDescent="0.25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1"/>
      <c r="J364" s="111"/>
      <c r="K364" s="12">
        <v>45</v>
      </c>
    </row>
    <row r="365" spans="1:11" x14ac:dyDescent="0.25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1"/>
      <c r="J365" s="111"/>
      <c r="K365" s="12">
        <v>46</v>
      </c>
    </row>
    <row r="366" spans="1:11" x14ac:dyDescent="0.25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1"/>
      <c r="J366" s="111"/>
      <c r="K366" s="12">
        <v>47</v>
      </c>
    </row>
    <row r="367" spans="1:11" x14ac:dyDescent="0.25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1"/>
      <c r="J367" s="111"/>
      <c r="K367" s="12">
        <v>48</v>
      </c>
    </row>
    <row r="368" spans="1:11" x14ac:dyDescent="0.25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1"/>
      <c r="J368" s="111"/>
      <c r="K368" s="12">
        <v>49</v>
      </c>
    </row>
    <row r="369" spans="1:11" x14ac:dyDescent="0.25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1"/>
      <c r="J369" s="111"/>
      <c r="K369" s="12">
        <v>50</v>
      </c>
    </row>
    <row r="370" spans="1:11" x14ac:dyDescent="0.25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1"/>
      <c r="J370" s="111"/>
      <c r="K370" s="12">
        <v>51</v>
      </c>
    </row>
    <row r="371" spans="1:11" x14ac:dyDescent="0.25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1"/>
      <c r="J371" s="111"/>
      <c r="K371" s="12">
        <v>52</v>
      </c>
    </row>
    <row r="372" spans="1:11" x14ac:dyDescent="0.25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1"/>
      <c r="J372" s="111"/>
      <c r="K372" s="12">
        <v>1</v>
      </c>
    </row>
    <row r="373" spans="1:11" x14ac:dyDescent="0.25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1"/>
      <c r="J373" s="111"/>
      <c r="K373" s="12">
        <v>2</v>
      </c>
    </row>
    <row r="374" spans="1:11" x14ac:dyDescent="0.25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1"/>
      <c r="J374" s="111"/>
      <c r="K374" s="12">
        <v>3</v>
      </c>
    </row>
    <row r="375" spans="1:11" x14ac:dyDescent="0.25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1"/>
      <c r="J375" s="111"/>
      <c r="K375" s="12">
        <v>4</v>
      </c>
    </row>
    <row r="376" spans="1:11" x14ac:dyDescent="0.25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1"/>
      <c r="J376" s="111"/>
      <c r="K376" s="12">
        <v>5</v>
      </c>
    </row>
    <row r="377" spans="1:11" x14ac:dyDescent="0.25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1"/>
      <c r="J377" s="111"/>
      <c r="K377" s="12">
        <v>6</v>
      </c>
    </row>
    <row r="378" spans="1:11" x14ac:dyDescent="0.25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1"/>
      <c r="J378" s="111"/>
      <c r="K378" s="12">
        <v>7</v>
      </c>
    </row>
    <row r="379" spans="1:11" x14ac:dyDescent="0.25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1"/>
      <c r="J379" s="111"/>
      <c r="K379" s="12">
        <v>8</v>
      </c>
    </row>
    <row r="380" spans="1:11" x14ac:dyDescent="0.25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1"/>
      <c r="J380" s="111"/>
      <c r="K380" s="12">
        <v>9</v>
      </c>
    </row>
    <row r="381" spans="1:11" x14ac:dyDescent="0.25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1"/>
      <c r="J381" s="111"/>
      <c r="K381" s="12">
        <v>10</v>
      </c>
    </row>
    <row r="382" spans="1:11" x14ac:dyDescent="0.25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1"/>
      <c r="J382" s="111"/>
      <c r="K382" s="12">
        <v>11</v>
      </c>
    </row>
    <row r="383" spans="1:11" x14ac:dyDescent="0.25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1"/>
      <c r="J383" s="111"/>
      <c r="K383" s="12">
        <v>12</v>
      </c>
    </row>
    <row r="384" spans="1:11" x14ac:dyDescent="0.25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1"/>
      <c r="J384" s="111"/>
      <c r="K384" s="12">
        <v>13</v>
      </c>
    </row>
    <row r="385" spans="1:11" x14ac:dyDescent="0.25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1"/>
      <c r="J385" s="111"/>
      <c r="K385" s="12">
        <v>14</v>
      </c>
    </row>
    <row r="386" spans="1:11" x14ac:dyDescent="0.25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1"/>
      <c r="J386" s="111"/>
      <c r="K386" s="12">
        <v>15</v>
      </c>
    </row>
    <row r="387" spans="1:11" x14ac:dyDescent="0.25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1"/>
      <c r="J387" s="111"/>
      <c r="K387" s="12">
        <v>16</v>
      </c>
    </row>
    <row r="388" spans="1:11" x14ac:dyDescent="0.25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1"/>
      <c r="J388" s="111"/>
      <c r="K388" s="12">
        <v>17</v>
      </c>
    </row>
    <row r="389" spans="1:11" x14ac:dyDescent="0.25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1"/>
      <c r="J389" s="111"/>
      <c r="K389" s="12">
        <v>18</v>
      </c>
    </row>
    <row r="390" spans="1:11" x14ac:dyDescent="0.25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1"/>
      <c r="J390" s="111"/>
      <c r="K390" s="12">
        <v>19</v>
      </c>
    </row>
    <row r="391" spans="1:11" x14ac:dyDescent="0.25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1"/>
      <c r="J391" s="111"/>
      <c r="K391" s="12">
        <v>20</v>
      </c>
    </row>
    <row r="392" spans="1:11" x14ac:dyDescent="0.25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1"/>
      <c r="J392" s="111"/>
      <c r="K392" s="12">
        <v>21</v>
      </c>
    </row>
    <row r="393" spans="1:11" x14ac:dyDescent="0.25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1"/>
      <c r="J393" s="111"/>
      <c r="K393" s="12">
        <v>22</v>
      </c>
    </row>
    <row r="394" spans="1:11" x14ac:dyDescent="0.25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1"/>
      <c r="J394" s="111"/>
      <c r="K394" s="12">
        <v>23</v>
      </c>
    </row>
    <row r="395" spans="1:11" x14ac:dyDescent="0.25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1"/>
      <c r="J395" s="111"/>
      <c r="K395" s="12">
        <v>24</v>
      </c>
    </row>
    <row r="396" spans="1:11" x14ac:dyDescent="0.25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1"/>
      <c r="J396" s="111"/>
      <c r="K396" s="12">
        <v>25</v>
      </c>
    </row>
    <row r="397" spans="1:11" x14ac:dyDescent="0.25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1"/>
      <c r="J397" s="111"/>
      <c r="K397" s="12">
        <v>26</v>
      </c>
    </row>
    <row r="398" spans="1:11" x14ac:dyDescent="0.25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1"/>
      <c r="J398" s="111"/>
      <c r="K398" s="12">
        <v>27</v>
      </c>
    </row>
    <row r="399" spans="1:11" x14ac:dyDescent="0.25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1"/>
      <c r="J399" s="111"/>
      <c r="K399" s="12">
        <v>28</v>
      </c>
    </row>
    <row r="400" spans="1:11" x14ac:dyDescent="0.25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1"/>
      <c r="J400" s="111"/>
      <c r="K400" s="12">
        <v>29</v>
      </c>
    </row>
    <row r="401" spans="1:11" x14ac:dyDescent="0.25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1"/>
      <c r="J401" s="111"/>
      <c r="K401" s="12">
        <v>30</v>
      </c>
    </row>
    <row r="402" spans="1:11" x14ac:dyDescent="0.25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1"/>
      <c r="J402" s="111"/>
      <c r="K402" s="12">
        <v>31</v>
      </c>
    </row>
    <row r="403" spans="1:11" x14ac:dyDescent="0.25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1"/>
      <c r="J403" s="111"/>
      <c r="K403" s="12">
        <v>32</v>
      </c>
    </row>
    <row r="404" spans="1:11" x14ac:dyDescent="0.25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1"/>
      <c r="J404" s="111"/>
      <c r="K404" s="12">
        <v>33</v>
      </c>
    </row>
    <row r="405" spans="1:11" x14ac:dyDescent="0.25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1"/>
      <c r="J405" s="111"/>
      <c r="K405" s="12">
        <v>34</v>
      </c>
    </row>
    <row r="406" spans="1:11" x14ac:dyDescent="0.25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1"/>
      <c r="J406" s="111"/>
      <c r="K406" s="12">
        <v>35</v>
      </c>
    </row>
    <row r="407" spans="1:11" x14ac:dyDescent="0.25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1"/>
      <c r="J407" s="111"/>
      <c r="K407" s="12">
        <v>36</v>
      </c>
    </row>
    <row r="408" spans="1:11" x14ac:dyDescent="0.25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1"/>
      <c r="J408" s="111"/>
      <c r="K408" s="12">
        <v>37</v>
      </c>
    </row>
    <row r="409" spans="1:11" x14ac:dyDescent="0.25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1"/>
      <c r="J409" s="111"/>
      <c r="K409" s="12">
        <v>38</v>
      </c>
    </row>
    <row r="410" spans="1:11" x14ac:dyDescent="0.25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1"/>
      <c r="J410" s="111"/>
      <c r="K410" s="12">
        <v>39</v>
      </c>
    </row>
    <row r="411" spans="1:11" x14ac:dyDescent="0.25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1"/>
      <c r="J411" s="111"/>
      <c r="K411" s="12">
        <v>40</v>
      </c>
    </row>
    <row r="412" spans="1:11" x14ac:dyDescent="0.25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1"/>
      <c r="J412" s="111"/>
      <c r="K412" s="12">
        <v>41</v>
      </c>
    </row>
    <row r="413" spans="1:11" x14ac:dyDescent="0.25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1"/>
      <c r="J413" s="111"/>
      <c r="K413" s="12">
        <v>42</v>
      </c>
    </row>
    <row r="414" spans="1:11" x14ac:dyDescent="0.25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1"/>
      <c r="J414" s="111"/>
      <c r="K414" s="12">
        <v>43</v>
      </c>
    </row>
    <row r="415" spans="1:11" x14ac:dyDescent="0.25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1"/>
      <c r="J415" s="111"/>
      <c r="K415" s="12">
        <v>44</v>
      </c>
    </row>
    <row r="416" spans="1:11" x14ac:dyDescent="0.25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1"/>
      <c r="J416" s="111"/>
      <c r="K416" s="12">
        <v>45</v>
      </c>
    </row>
    <row r="417" spans="1:11" x14ac:dyDescent="0.25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1"/>
      <c r="J417" s="111"/>
      <c r="K417" s="12">
        <v>46</v>
      </c>
    </row>
    <row r="418" spans="1:11" x14ac:dyDescent="0.25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1"/>
      <c r="J418" s="111"/>
      <c r="K418" s="12">
        <v>47</v>
      </c>
    </row>
    <row r="419" spans="1:11" x14ac:dyDescent="0.25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1"/>
      <c r="J419" s="111"/>
      <c r="K419" s="12">
        <v>48</v>
      </c>
    </row>
    <row r="420" spans="1:11" x14ac:dyDescent="0.25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1"/>
      <c r="J420" s="111"/>
      <c r="K420" s="12">
        <v>49</v>
      </c>
    </row>
    <row r="421" spans="1:11" x14ac:dyDescent="0.25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1"/>
      <c r="J421" s="111"/>
      <c r="K421" s="12">
        <v>50</v>
      </c>
    </row>
    <row r="422" spans="1:11" x14ac:dyDescent="0.25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1"/>
      <c r="J422" s="111"/>
      <c r="K422" s="12">
        <v>51</v>
      </c>
    </row>
    <row r="423" spans="1:11" x14ac:dyDescent="0.25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1"/>
      <c r="J423" s="111"/>
      <c r="K423" s="12">
        <v>52</v>
      </c>
    </row>
    <row r="424" spans="1:11" x14ac:dyDescent="0.25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1"/>
      <c r="J424" s="111"/>
      <c r="K424" s="12">
        <v>1</v>
      </c>
    </row>
    <row r="425" spans="1:11" x14ac:dyDescent="0.25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1"/>
      <c r="J425" s="111"/>
      <c r="K425" s="12">
        <v>2</v>
      </c>
    </row>
    <row r="426" spans="1:11" x14ac:dyDescent="0.25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1"/>
      <c r="J426" s="111"/>
      <c r="K426" s="12">
        <v>3</v>
      </c>
    </row>
    <row r="427" spans="1:11" x14ac:dyDescent="0.25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1"/>
      <c r="J427" s="111"/>
      <c r="K427" s="12">
        <v>4</v>
      </c>
    </row>
    <row r="428" spans="1:11" x14ac:dyDescent="0.25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1"/>
      <c r="J428" s="111"/>
      <c r="K428" s="12">
        <v>5</v>
      </c>
    </row>
    <row r="429" spans="1:11" x14ac:dyDescent="0.25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1"/>
      <c r="J429" s="111"/>
      <c r="K429" s="12">
        <v>6</v>
      </c>
    </row>
    <row r="430" spans="1:11" x14ac:dyDescent="0.25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1"/>
      <c r="J430" s="111"/>
      <c r="K430" s="12">
        <v>7</v>
      </c>
    </row>
    <row r="431" spans="1:11" x14ac:dyDescent="0.25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1"/>
      <c r="J431" s="111"/>
      <c r="K431" s="12">
        <v>8</v>
      </c>
    </row>
    <row r="432" spans="1:11" x14ac:dyDescent="0.25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1"/>
      <c r="J432" s="111"/>
      <c r="K432" s="12">
        <v>9</v>
      </c>
    </row>
    <row r="433" spans="1:11" x14ac:dyDescent="0.25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1"/>
      <c r="J433" s="111"/>
      <c r="K433" s="12">
        <v>10</v>
      </c>
    </row>
    <row r="434" spans="1:11" x14ac:dyDescent="0.25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1"/>
      <c r="J434" s="111"/>
      <c r="K434" s="12">
        <v>11</v>
      </c>
    </row>
    <row r="435" spans="1:11" x14ac:dyDescent="0.25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1"/>
      <c r="J435" s="111"/>
      <c r="K435" s="12">
        <v>12</v>
      </c>
    </row>
    <row r="436" spans="1:11" x14ac:dyDescent="0.25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1"/>
      <c r="J436" s="111"/>
      <c r="K436" s="12">
        <v>13</v>
      </c>
    </row>
    <row r="437" spans="1:11" x14ac:dyDescent="0.25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1"/>
      <c r="J437" s="111"/>
      <c r="K437" s="12">
        <v>14</v>
      </c>
    </row>
    <row r="438" spans="1:11" x14ac:dyDescent="0.25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1"/>
      <c r="J438" s="111"/>
      <c r="K438" s="12">
        <v>15</v>
      </c>
    </row>
    <row r="439" spans="1:11" x14ac:dyDescent="0.25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1"/>
      <c r="J439" s="111"/>
      <c r="K439" s="12">
        <v>16</v>
      </c>
    </row>
    <row r="440" spans="1:11" x14ac:dyDescent="0.25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1"/>
      <c r="J440" s="111"/>
      <c r="K440" s="12">
        <v>17</v>
      </c>
    </row>
    <row r="441" spans="1:11" x14ac:dyDescent="0.25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1"/>
      <c r="J441" s="111"/>
      <c r="K441" s="12">
        <v>18</v>
      </c>
    </row>
    <row r="442" spans="1:11" x14ac:dyDescent="0.25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1"/>
      <c r="J442" s="111"/>
      <c r="K442" s="12">
        <v>19</v>
      </c>
    </row>
    <row r="443" spans="1:11" x14ac:dyDescent="0.25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1"/>
      <c r="J443" s="111"/>
      <c r="K443" s="12">
        <v>20</v>
      </c>
    </row>
    <row r="444" spans="1:11" x14ac:dyDescent="0.25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1"/>
      <c r="J444" s="111"/>
      <c r="K444" s="12">
        <v>21</v>
      </c>
    </row>
    <row r="445" spans="1:11" x14ac:dyDescent="0.25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1"/>
      <c r="J445" s="111"/>
      <c r="K445" s="12">
        <v>22</v>
      </c>
    </row>
    <row r="446" spans="1:11" x14ac:dyDescent="0.25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1"/>
      <c r="J446" s="111"/>
      <c r="K446" s="12">
        <v>23</v>
      </c>
    </row>
    <row r="447" spans="1:11" x14ac:dyDescent="0.25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1"/>
      <c r="J447" s="111"/>
      <c r="K447" s="12">
        <v>24</v>
      </c>
    </row>
    <row r="448" spans="1:11" x14ac:dyDescent="0.25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1"/>
      <c r="J448" s="111"/>
      <c r="K448" s="12">
        <v>25</v>
      </c>
    </row>
    <row r="449" spans="1:11" x14ac:dyDescent="0.25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1"/>
      <c r="J449" s="111"/>
      <c r="K449" s="12">
        <v>26</v>
      </c>
    </row>
    <row r="450" spans="1:11" x14ac:dyDescent="0.25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1"/>
      <c r="J450" s="111"/>
      <c r="K450" s="12">
        <v>27</v>
      </c>
    </row>
    <row r="451" spans="1:11" x14ac:dyDescent="0.25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1"/>
      <c r="J451" s="111"/>
      <c r="K451" s="12">
        <v>28</v>
      </c>
    </row>
    <row r="452" spans="1:11" x14ac:dyDescent="0.25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1"/>
      <c r="J452" s="111"/>
      <c r="K452" s="12">
        <v>29</v>
      </c>
    </row>
    <row r="453" spans="1:11" x14ac:dyDescent="0.25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1"/>
      <c r="J453" s="111"/>
      <c r="K453" s="12">
        <v>30</v>
      </c>
    </row>
    <row r="454" spans="1:11" x14ac:dyDescent="0.25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1"/>
      <c r="J454" s="111"/>
      <c r="K454" s="12">
        <v>31</v>
      </c>
    </row>
    <row r="455" spans="1:11" x14ac:dyDescent="0.25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1"/>
      <c r="J455" s="111"/>
      <c r="K455" s="12">
        <v>32</v>
      </c>
    </row>
    <row r="456" spans="1:11" x14ac:dyDescent="0.25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1"/>
      <c r="J456" s="111"/>
      <c r="K456" s="12">
        <v>33</v>
      </c>
    </row>
    <row r="457" spans="1:11" x14ac:dyDescent="0.25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1"/>
      <c r="J457" s="111"/>
      <c r="K457" s="12">
        <v>34</v>
      </c>
    </row>
    <row r="458" spans="1:11" x14ac:dyDescent="0.25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1"/>
      <c r="J458" s="111"/>
      <c r="K458" s="12">
        <v>35</v>
      </c>
    </row>
    <row r="459" spans="1:11" x14ac:dyDescent="0.25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1"/>
      <c r="J459" s="111"/>
      <c r="K459" s="12">
        <v>36</v>
      </c>
    </row>
    <row r="460" spans="1:11" x14ac:dyDescent="0.25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1"/>
      <c r="J460" s="111"/>
      <c r="K460" s="12">
        <v>37</v>
      </c>
    </row>
    <row r="461" spans="1:11" x14ac:dyDescent="0.25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1"/>
      <c r="J461" s="111"/>
      <c r="K461" s="12">
        <v>38</v>
      </c>
    </row>
    <row r="462" spans="1:11" x14ac:dyDescent="0.25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1"/>
      <c r="J462" s="111"/>
      <c r="K462" s="12">
        <v>39</v>
      </c>
    </row>
    <row r="463" spans="1:11" x14ac:dyDescent="0.25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1"/>
      <c r="J463" s="111"/>
      <c r="K463" s="12">
        <v>40</v>
      </c>
    </row>
    <row r="464" spans="1:11" x14ac:dyDescent="0.25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1"/>
      <c r="J464" s="111"/>
      <c r="K464" s="12">
        <v>41</v>
      </c>
    </row>
    <row r="465" spans="1:11" x14ac:dyDescent="0.25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1"/>
      <c r="J465" s="111"/>
      <c r="K465" s="12">
        <v>42</v>
      </c>
    </row>
    <row r="466" spans="1:11" x14ac:dyDescent="0.25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1"/>
      <c r="J466" s="111"/>
      <c r="K466" s="12">
        <v>43</v>
      </c>
    </row>
    <row r="467" spans="1:11" x14ac:dyDescent="0.25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1"/>
      <c r="J467" s="111"/>
      <c r="K467" s="12">
        <v>44</v>
      </c>
    </row>
    <row r="468" spans="1:11" x14ac:dyDescent="0.25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1"/>
      <c r="J468" s="111"/>
      <c r="K468" s="12">
        <v>45</v>
      </c>
    </row>
    <row r="469" spans="1:11" x14ac:dyDescent="0.25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1"/>
      <c r="J469" s="111"/>
      <c r="K469" s="12">
        <v>46</v>
      </c>
    </row>
    <row r="470" spans="1:11" x14ac:dyDescent="0.25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1"/>
      <c r="J470" s="111"/>
      <c r="K470" s="12">
        <v>47</v>
      </c>
    </row>
    <row r="471" spans="1:11" x14ac:dyDescent="0.25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1"/>
      <c r="J471" s="111"/>
      <c r="K471" s="12">
        <v>48</v>
      </c>
    </row>
    <row r="472" spans="1:11" x14ac:dyDescent="0.25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1"/>
      <c r="J472" s="111"/>
      <c r="K472" s="12">
        <v>49</v>
      </c>
    </row>
    <row r="473" spans="1:11" x14ac:dyDescent="0.25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1"/>
      <c r="J473" s="111"/>
      <c r="K473" s="12">
        <v>50</v>
      </c>
    </row>
    <row r="474" spans="1:11" x14ac:dyDescent="0.25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1"/>
      <c r="J474" s="111"/>
      <c r="K474" s="12">
        <v>51</v>
      </c>
    </row>
    <row r="475" spans="1:11" x14ac:dyDescent="0.25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1"/>
      <c r="J475" s="111"/>
      <c r="K475" s="12">
        <v>52</v>
      </c>
    </row>
    <row r="476" spans="1:11" x14ac:dyDescent="0.25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1"/>
      <c r="J476" s="111"/>
      <c r="K476" s="12">
        <v>1</v>
      </c>
    </row>
    <row r="477" spans="1:11" x14ac:dyDescent="0.25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1"/>
      <c r="J477" s="111"/>
      <c r="K477" s="12">
        <v>2</v>
      </c>
    </row>
    <row r="478" spans="1:11" x14ac:dyDescent="0.25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1"/>
      <c r="J478" s="111"/>
      <c r="K478" s="12">
        <v>3</v>
      </c>
    </row>
    <row r="479" spans="1:11" x14ac:dyDescent="0.25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1"/>
      <c r="J479" s="111"/>
      <c r="K479" s="12">
        <v>4</v>
      </c>
    </row>
    <row r="480" spans="1:11" x14ac:dyDescent="0.25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1"/>
      <c r="J480" s="111"/>
      <c r="K480" s="12">
        <v>5</v>
      </c>
    </row>
    <row r="481" spans="1:11" x14ac:dyDescent="0.25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1"/>
      <c r="J481" s="111"/>
      <c r="K481" s="12">
        <v>6</v>
      </c>
    </row>
    <row r="482" spans="1:11" x14ac:dyDescent="0.25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1"/>
      <c r="J482" s="111"/>
      <c r="K482" s="12">
        <v>7</v>
      </c>
    </row>
    <row r="483" spans="1:11" x14ac:dyDescent="0.25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1"/>
      <c r="J483" s="111"/>
      <c r="K483" s="12">
        <v>8</v>
      </c>
    </row>
    <row r="484" spans="1:11" x14ac:dyDescent="0.25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1"/>
      <c r="J484" s="111"/>
      <c r="K484" s="12">
        <v>9</v>
      </c>
    </row>
    <row r="485" spans="1:11" x14ac:dyDescent="0.25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1"/>
      <c r="J485" s="111"/>
      <c r="K485" s="12">
        <v>10</v>
      </c>
    </row>
    <row r="486" spans="1:11" x14ac:dyDescent="0.25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1"/>
      <c r="J486" s="111"/>
      <c r="K486" s="12">
        <v>11</v>
      </c>
    </row>
    <row r="487" spans="1:11" x14ac:dyDescent="0.25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1"/>
      <c r="J487" s="111"/>
      <c r="K487" s="12">
        <v>12</v>
      </c>
    </row>
    <row r="488" spans="1:11" x14ac:dyDescent="0.25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1"/>
      <c r="J488" s="111"/>
      <c r="K488" s="12">
        <v>13</v>
      </c>
    </row>
    <row r="489" spans="1:11" x14ac:dyDescent="0.25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1"/>
      <c r="J489" s="111"/>
      <c r="K489" s="12">
        <v>14</v>
      </c>
    </row>
    <row r="490" spans="1:11" x14ac:dyDescent="0.25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1"/>
      <c r="J490" s="111"/>
      <c r="K490" s="12">
        <v>15</v>
      </c>
    </row>
    <row r="491" spans="1:11" x14ac:dyDescent="0.25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1"/>
      <c r="J491" s="111"/>
      <c r="K491" s="12">
        <v>16</v>
      </c>
    </row>
    <row r="492" spans="1:11" x14ac:dyDescent="0.25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1"/>
      <c r="J492" s="111"/>
      <c r="K492" s="12">
        <v>17</v>
      </c>
    </row>
    <row r="493" spans="1:11" x14ac:dyDescent="0.25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1"/>
      <c r="J493" s="111"/>
      <c r="K493" s="12">
        <v>18</v>
      </c>
    </row>
    <row r="494" spans="1:11" x14ac:dyDescent="0.25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1"/>
      <c r="J494" s="111"/>
      <c r="K494" s="12">
        <v>19</v>
      </c>
    </row>
    <row r="495" spans="1:11" x14ac:dyDescent="0.25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1"/>
      <c r="J495" s="111"/>
      <c r="K495" s="12">
        <v>20</v>
      </c>
    </row>
    <row r="496" spans="1:11" x14ac:dyDescent="0.25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1"/>
      <c r="J496" s="111"/>
      <c r="K496" s="12">
        <v>21</v>
      </c>
    </row>
    <row r="497" spans="1:11" x14ac:dyDescent="0.25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1"/>
      <c r="J497" s="111"/>
      <c r="K497" s="12">
        <v>22</v>
      </c>
    </row>
    <row r="498" spans="1:11" x14ac:dyDescent="0.25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1"/>
      <c r="J498" s="111"/>
      <c r="K498" s="12">
        <v>23</v>
      </c>
    </row>
    <row r="499" spans="1:11" x14ac:dyDescent="0.25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1"/>
      <c r="J499" s="111"/>
      <c r="K499" s="12">
        <v>24</v>
      </c>
    </row>
    <row r="500" spans="1:11" x14ac:dyDescent="0.25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1"/>
      <c r="J500" s="111"/>
      <c r="K500" s="12">
        <v>25</v>
      </c>
    </row>
    <row r="501" spans="1:11" x14ac:dyDescent="0.25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1"/>
      <c r="J501" s="111"/>
      <c r="K501" s="12">
        <v>26</v>
      </c>
    </row>
    <row r="502" spans="1:11" x14ac:dyDescent="0.25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1"/>
      <c r="J502" s="111"/>
      <c r="K502" s="12">
        <v>27</v>
      </c>
    </row>
    <row r="503" spans="1:11" x14ac:dyDescent="0.25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1"/>
      <c r="J503" s="111"/>
      <c r="K503" s="12">
        <v>28</v>
      </c>
    </row>
    <row r="504" spans="1:11" x14ac:dyDescent="0.25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1"/>
      <c r="J504" s="111"/>
      <c r="K504" s="12">
        <v>29</v>
      </c>
    </row>
    <row r="505" spans="1:11" x14ac:dyDescent="0.25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1"/>
      <c r="J505" s="111"/>
      <c r="K505" s="12">
        <v>30</v>
      </c>
    </row>
    <row r="506" spans="1:11" x14ac:dyDescent="0.25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1"/>
      <c r="J506" s="111"/>
      <c r="K506" s="12">
        <v>31</v>
      </c>
    </row>
    <row r="507" spans="1:11" x14ac:dyDescent="0.25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1"/>
      <c r="J507" s="111"/>
      <c r="K507" s="12">
        <v>32</v>
      </c>
    </row>
    <row r="508" spans="1:11" x14ac:dyDescent="0.25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1"/>
      <c r="J508" s="111"/>
      <c r="K508" s="12">
        <v>33</v>
      </c>
    </row>
    <row r="509" spans="1:11" x14ac:dyDescent="0.25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1"/>
      <c r="J509" s="111"/>
      <c r="K509" s="12">
        <v>34</v>
      </c>
    </row>
    <row r="510" spans="1:11" x14ac:dyDescent="0.25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1"/>
      <c r="J510" s="111"/>
      <c r="K510" s="12">
        <v>35</v>
      </c>
    </row>
    <row r="511" spans="1:11" x14ac:dyDescent="0.25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1"/>
      <c r="J511" s="111"/>
      <c r="K511" s="12">
        <v>36</v>
      </c>
    </row>
    <row r="512" spans="1:11" x14ac:dyDescent="0.25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1"/>
      <c r="J512" s="111"/>
      <c r="K512" s="12">
        <v>37</v>
      </c>
    </row>
    <row r="513" spans="1:11" x14ac:dyDescent="0.25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1"/>
      <c r="J513" s="111"/>
      <c r="K513" s="12">
        <v>38</v>
      </c>
    </row>
    <row r="514" spans="1:11" x14ac:dyDescent="0.25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1"/>
      <c r="J514" s="111"/>
      <c r="K514" s="12">
        <v>39</v>
      </c>
    </row>
    <row r="515" spans="1:11" x14ac:dyDescent="0.25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1"/>
      <c r="J515" s="111"/>
      <c r="K515" s="12">
        <v>40</v>
      </c>
    </row>
    <row r="516" spans="1:11" x14ac:dyDescent="0.25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1"/>
      <c r="J516" s="111"/>
      <c r="K516" s="12">
        <v>41</v>
      </c>
    </row>
    <row r="517" spans="1:11" x14ac:dyDescent="0.25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1"/>
      <c r="J517" s="111"/>
      <c r="K517" s="12">
        <v>42</v>
      </c>
    </row>
    <row r="518" spans="1:11" x14ac:dyDescent="0.25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1"/>
      <c r="J518" s="111"/>
      <c r="K518" s="12">
        <v>43</v>
      </c>
    </row>
    <row r="519" spans="1:11" x14ac:dyDescent="0.25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1"/>
      <c r="J519" s="111"/>
      <c r="K519" s="12">
        <v>44</v>
      </c>
    </row>
    <row r="520" spans="1:11" x14ac:dyDescent="0.25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1"/>
      <c r="J520" s="111"/>
      <c r="K520" s="12">
        <v>45</v>
      </c>
    </row>
    <row r="521" spans="1:11" x14ac:dyDescent="0.25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1"/>
      <c r="J521" s="111"/>
      <c r="K521" s="12">
        <v>46</v>
      </c>
    </row>
    <row r="522" spans="1:11" x14ac:dyDescent="0.25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1"/>
      <c r="J522" s="111"/>
      <c r="K522" s="12">
        <v>47</v>
      </c>
    </row>
    <row r="523" spans="1:11" x14ac:dyDescent="0.25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1"/>
      <c r="J523" s="111"/>
      <c r="K523" s="12">
        <v>48</v>
      </c>
    </row>
    <row r="524" spans="1:11" x14ac:dyDescent="0.25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1"/>
      <c r="J524" s="111"/>
      <c r="K524" s="12">
        <v>49</v>
      </c>
    </row>
    <row r="525" spans="1:11" x14ac:dyDescent="0.25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1"/>
      <c r="J525" s="111"/>
      <c r="K525" s="12">
        <v>50</v>
      </c>
    </row>
    <row r="526" spans="1:11" x14ac:dyDescent="0.25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1"/>
      <c r="J526" s="111"/>
      <c r="K526" s="12">
        <v>51</v>
      </c>
    </row>
    <row r="527" spans="1:11" x14ac:dyDescent="0.25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1"/>
      <c r="J527" s="111"/>
      <c r="K527" s="12">
        <v>52</v>
      </c>
    </row>
    <row r="528" spans="1:11" x14ac:dyDescent="0.25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1"/>
      <c r="J528" s="111"/>
      <c r="K528" s="12">
        <v>53</v>
      </c>
    </row>
    <row r="529" spans="1:11" x14ac:dyDescent="0.25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4">
        <f t="shared" ref="I529:I592" si="11">SUM(D529:H529)-F529</f>
        <v>6565</v>
      </c>
      <c r="J529" s="112"/>
      <c r="K529" s="12">
        <v>1</v>
      </c>
    </row>
    <row r="530" spans="1:11" x14ac:dyDescent="0.25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4">
        <f t="shared" si="11"/>
        <v>9212</v>
      </c>
      <c r="J530" s="112"/>
      <c r="K530" s="12">
        <v>2</v>
      </c>
    </row>
    <row r="531" spans="1:11" x14ac:dyDescent="0.25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4">
        <f t="shared" si="11"/>
        <v>8353</v>
      </c>
      <c r="J531" s="112"/>
      <c r="K531" s="12">
        <v>3</v>
      </c>
    </row>
    <row r="532" spans="1:11" x14ac:dyDescent="0.25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4">
        <f t="shared" si="11"/>
        <v>8099</v>
      </c>
      <c r="J532" s="112"/>
      <c r="K532" s="12">
        <v>4</v>
      </c>
    </row>
    <row r="533" spans="1:11" x14ac:dyDescent="0.25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4">
        <f t="shared" si="11"/>
        <v>7475</v>
      </c>
      <c r="J533" s="112"/>
      <c r="K533" s="12">
        <v>5</v>
      </c>
    </row>
    <row r="534" spans="1:11" x14ac:dyDescent="0.25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4">
        <f t="shared" si="11"/>
        <v>8610</v>
      </c>
      <c r="J534" s="112"/>
      <c r="K534" s="12">
        <v>6</v>
      </c>
    </row>
    <row r="535" spans="1:11" x14ac:dyDescent="0.25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4">
        <f t="shared" si="11"/>
        <v>8514</v>
      </c>
      <c r="J535" s="112"/>
      <c r="K535" s="12">
        <v>7</v>
      </c>
    </row>
    <row r="536" spans="1:11" x14ac:dyDescent="0.25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4">
        <f t="shared" si="11"/>
        <v>8919</v>
      </c>
      <c r="J536" s="112"/>
      <c r="K536" s="12">
        <v>8</v>
      </c>
    </row>
    <row r="537" spans="1:11" x14ac:dyDescent="0.25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4">
        <f t="shared" si="11"/>
        <v>8019</v>
      </c>
      <c r="J537" s="112"/>
      <c r="K537" s="12">
        <v>9</v>
      </c>
    </row>
    <row r="538" spans="1:11" x14ac:dyDescent="0.25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4">
        <f t="shared" si="11"/>
        <v>8621</v>
      </c>
      <c r="J538" s="112"/>
      <c r="K538" s="12">
        <v>10</v>
      </c>
    </row>
    <row r="539" spans="1:11" x14ac:dyDescent="0.25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4">
        <f t="shared" si="11"/>
        <v>8102</v>
      </c>
      <c r="J539" s="112"/>
      <c r="K539" s="12">
        <v>11</v>
      </c>
    </row>
    <row r="540" spans="1:11" x14ac:dyDescent="0.25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4">
        <f t="shared" si="11"/>
        <v>7985</v>
      </c>
      <c r="J540" s="112"/>
      <c r="K540" s="12">
        <v>12</v>
      </c>
    </row>
    <row r="541" spans="1:11" x14ac:dyDescent="0.25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4">
        <f t="shared" si="11"/>
        <v>6928</v>
      </c>
      <c r="J541" s="112"/>
      <c r="K541" s="12">
        <v>13</v>
      </c>
    </row>
    <row r="542" spans="1:11" x14ac:dyDescent="0.25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4">
        <f t="shared" si="11"/>
        <v>6537</v>
      </c>
      <c r="J542" s="112"/>
      <c r="K542" s="12">
        <v>14</v>
      </c>
    </row>
    <row r="543" spans="1:11" x14ac:dyDescent="0.25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4">
        <f t="shared" si="11"/>
        <v>6073</v>
      </c>
      <c r="J543" s="112"/>
      <c r="K543" s="12">
        <v>15</v>
      </c>
    </row>
    <row r="544" spans="1:11" x14ac:dyDescent="0.25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4">
        <f t="shared" si="11"/>
        <v>5506</v>
      </c>
      <c r="J544" s="112"/>
      <c r="K544" s="12">
        <v>16</v>
      </c>
    </row>
    <row r="545" spans="1:11" x14ac:dyDescent="0.25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4">
        <f t="shared" si="11"/>
        <v>6403</v>
      </c>
      <c r="J545" s="112"/>
      <c r="K545" s="12">
        <v>17</v>
      </c>
    </row>
    <row r="546" spans="1:11" x14ac:dyDescent="0.25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4">
        <f t="shared" si="11"/>
        <v>7115</v>
      </c>
      <c r="J546" s="112"/>
      <c r="K546" s="12">
        <v>18</v>
      </c>
    </row>
    <row r="547" spans="1:11" x14ac:dyDescent="0.25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4">
        <f t="shared" si="11"/>
        <v>6579</v>
      </c>
      <c r="J547" s="112"/>
      <c r="K547" s="12">
        <v>19</v>
      </c>
    </row>
    <row r="548" spans="1:11" x14ac:dyDescent="0.25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4">
        <f t="shared" si="11"/>
        <v>6094</v>
      </c>
      <c r="J548" s="112"/>
      <c r="K548" s="12">
        <v>20</v>
      </c>
    </row>
    <row r="549" spans="1:11" x14ac:dyDescent="0.25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4">
        <f t="shared" si="11"/>
        <v>6687</v>
      </c>
      <c r="J549" s="112"/>
      <c r="K549" s="12">
        <v>21</v>
      </c>
    </row>
    <row r="550" spans="1:11" x14ac:dyDescent="0.25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4">
        <f t="shared" si="11"/>
        <v>7294</v>
      </c>
      <c r="J550" s="112"/>
      <c r="K550" s="12">
        <v>22</v>
      </c>
    </row>
    <row r="551" spans="1:11" x14ac:dyDescent="0.25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4">
        <f t="shared" si="11"/>
        <v>6944</v>
      </c>
      <c r="J551" s="112"/>
      <c r="K551" s="12">
        <v>23</v>
      </c>
    </row>
    <row r="552" spans="1:11" x14ac:dyDescent="0.25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4">
        <f t="shared" si="11"/>
        <v>6776</v>
      </c>
      <c r="J552" s="112"/>
      <c r="K552" s="12">
        <v>24</v>
      </c>
    </row>
    <row r="553" spans="1:11" x14ac:dyDescent="0.25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4">
        <f t="shared" si="11"/>
        <v>5620</v>
      </c>
      <c r="J553" s="112"/>
      <c r="K553" s="12">
        <v>25</v>
      </c>
    </row>
    <row r="554" spans="1:11" x14ac:dyDescent="0.25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4">
        <f t="shared" si="11"/>
        <v>5726</v>
      </c>
      <c r="J554" s="112"/>
      <c r="K554" s="12">
        <v>26</v>
      </c>
    </row>
    <row r="555" spans="1:11" x14ac:dyDescent="0.25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4">
        <f t="shared" si="11"/>
        <v>5637</v>
      </c>
      <c r="J555" s="112"/>
      <c r="K555" s="12">
        <v>27</v>
      </c>
    </row>
    <row r="556" spans="1:11" x14ac:dyDescent="0.25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4">
        <f t="shared" si="11"/>
        <v>5161</v>
      </c>
      <c r="J556" s="112"/>
      <c r="K556" s="12">
        <v>28</v>
      </c>
    </row>
    <row r="557" spans="1:11" x14ac:dyDescent="0.25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4">
        <f t="shared" si="11"/>
        <v>5297</v>
      </c>
      <c r="J557" s="112"/>
      <c r="K557" s="12">
        <v>29</v>
      </c>
    </row>
    <row r="558" spans="1:11" x14ac:dyDescent="0.25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4">
        <f t="shared" si="11"/>
        <v>4884</v>
      </c>
      <c r="J558" s="112"/>
      <c r="K558" s="12">
        <v>30</v>
      </c>
    </row>
    <row r="559" spans="1:11" x14ac:dyDescent="0.25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4">
        <f t="shared" si="11"/>
        <v>4057</v>
      </c>
      <c r="J559" s="112"/>
      <c r="K559" s="12">
        <v>31</v>
      </c>
    </row>
    <row r="560" spans="1:11" x14ac:dyDescent="0.25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4">
        <f t="shared" si="11"/>
        <v>4391</v>
      </c>
      <c r="J560" s="112"/>
      <c r="K560" s="12">
        <v>32</v>
      </c>
    </row>
    <row r="561" spans="1:11" x14ac:dyDescent="0.25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4">
        <f t="shared" si="11"/>
        <v>4956</v>
      </c>
      <c r="J561" s="112"/>
      <c r="K561" s="12">
        <v>33</v>
      </c>
    </row>
    <row r="562" spans="1:11" x14ac:dyDescent="0.25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4">
        <f t="shared" si="11"/>
        <v>4972</v>
      </c>
      <c r="J562" s="112"/>
      <c r="K562" s="12">
        <v>34</v>
      </c>
    </row>
    <row r="563" spans="1:11" x14ac:dyDescent="0.25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4">
        <f t="shared" si="11"/>
        <v>5664</v>
      </c>
      <c r="J563" s="112"/>
      <c r="K563" s="12">
        <v>35</v>
      </c>
    </row>
    <row r="564" spans="1:11" x14ac:dyDescent="0.25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4">
        <f t="shared" si="11"/>
        <v>4979</v>
      </c>
      <c r="J564" s="112"/>
      <c r="K564" s="12">
        <v>36</v>
      </c>
    </row>
    <row r="565" spans="1:11" x14ac:dyDescent="0.25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4">
        <f t="shared" si="11"/>
        <v>5406</v>
      </c>
      <c r="J565" s="112"/>
      <c r="K565" s="12">
        <v>37</v>
      </c>
    </row>
    <row r="566" spans="1:11" x14ac:dyDescent="0.25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4">
        <f t="shared" si="11"/>
        <v>4057</v>
      </c>
      <c r="J566" s="112"/>
      <c r="K566" s="12">
        <v>38</v>
      </c>
    </row>
    <row r="567" spans="1:11" x14ac:dyDescent="0.25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4">
        <f t="shared" si="11"/>
        <v>5793</v>
      </c>
      <c r="J567" s="112"/>
      <c r="K567" s="12">
        <v>39</v>
      </c>
    </row>
    <row r="568" spans="1:11" x14ac:dyDescent="0.25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4">
        <f t="shared" si="11"/>
        <v>6915</v>
      </c>
      <c r="J568" s="112"/>
      <c r="K568" s="12">
        <v>40</v>
      </c>
    </row>
    <row r="569" spans="1:11" x14ac:dyDescent="0.25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4">
        <f t="shared" si="11"/>
        <v>8549</v>
      </c>
      <c r="J569" s="112"/>
      <c r="K569" s="12">
        <v>41</v>
      </c>
    </row>
    <row r="570" spans="1:11" x14ac:dyDescent="0.25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4">
        <f t="shared" si="11"/>
        <v>8551</v>
      </c>
      <c r="J570" s="112"/>
      <c r="K570" s="12">
        <v>42</v>
      </c>
    </row>
    <row r="571" spans="1:11" x14ac:dyDescent="0.25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4">
        <f t="shared" si="11"/>
        <v>8672</v>
      </c>
      <c r="J571" s="112"/>
      <c r="K571" s="12">
        <v>43</v>
      </c>
    </row>
    <row r="572" spans="1:11" x14ac:dyDescent="0.25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4">
        <f t="shared" si="11"/>
        <v>7512</v>
      </c>
      <c r="J572" s="112"/>
      <c r="K572" s="12">
        <v>44</v>
      </c>
    </row>
    <row r="573" spans="1:11" x14ac:dyDescent="0.25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4">
        <f t="shared" si="11"/>
        <v>8872</v>
      </c>
      <c r="J573" s="112"/>
      <c r="K573" s="12">
        <v>45</v>
      </c>
    </row>
    <row r="574" spans="1:11" x14ac:dyDescent="0.25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4">
        <f t="shared" si="11"/>
        <v>8363</v>
      </c>
      <c r="J574" s="112"/>
      <c r="K574" s="12">
        <v>46</v>
      </c>
    </row>
    <row r="575" spans="1:11" x14ac:dyDescent="0.25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4">
        <f t="shared" si="11"/>
        <v>8206</v>
      </c>
      <c r="J575" s="112"/>
      <c r="K575" s="12">
        <v>47</v>
      </c>
    </row>
    <row r="576" spans="1:11" x14ac:dyDescent="0.25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4">
        <f t="shared" si="11"/>
        <v>7553</v>
      </c>
      <c r="J576" s="112"/>
      <c r="K576" s="12">
        <v>48</v>
      </c>
    </row>
    <row r="577" spans="1:11" x14ac:dyDescent="0.25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4">
        <f t="shared" si="11"/>
        <v>6519</v>
      </c>
      <c r="J577" s="112"/>
      <c r="K577" s="12">
        <v>49</v>
      </c>
    </row>
    <row r="578" spans="1:11" x14ac:dyDescent="0.25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4">
        <f t="shared" si="11"/>
        <v>7636</v>
      </c>
      <c r="J578" s="112"/>
      <c r="K578" s="12">
        <v>50</v>
      </c>
    </row>
    <row r="579" spans="1:11" x14ac:dyDescent="0.25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4">
        <f t="shared" si="11"/>
        <v>8099</v>
      </c>
      <c r="J579" s="112"/>
      <c r="K579" s="12">
        <v>51</v>
      </c>
    </row>
    <row r="580" spans="1:11" x14ac:dyDescent="0.25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4">
        <f t="shared" si="11"/>
        <v>6329</v>
      </c>
      <c r="J580" s="112"/>
      <c r="K580" s="12">
        <v>52</v>
      </c>
    </row>
    <row r="581" spans="1:11" x14ac:dyDescent="0.25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4">
        <f t="shared" si="11"/>
        <v>6485</v>
      </c>
      <c r="J581" s="112"/>
      <c r="K581" s="12">
        <v>1</v>
      </c>
    </row>
    <row r="582" spans="1:11" x14ac:dyDescent="0.25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4">
        <f t="shared" si="11"/>
        <v>6989</v>
      </c>
      <c r="J582" s="112"/>
      <c r="K582" s="12">
        <v>2</v>
      </c>
    </row>
    <row r="583" spans="1:11" x14ac:dyDescent="0.25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4">
        <f t="shared" si="11"/>
        <v>8064</v>
      </c>
      <c r="J583" s="112"/>
      <c r="K583" s="12">
        <v>3</v>
      </c>
    </row>
    <row r="584" spans="1:11" x14ac:dyDescent="0.25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4">
        <f t="shared" si="11"/>
        <v>9589</v>
      </c>
      <c r="J584" s="112"/>
      <c r="K584" s="12">
        <v>4</v>
      </c>
    </row>
    <row r="585" spans="1:11" x14ac:dyDescent="0.25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4">
        <f t="shared" si="11"/>
        <v>8507</v>
      </c>
      <c r="J585" s="112"/>
      <c r="K585" s="12">
        <v>5</v>
      </c>
    </row>
    <row r="586" spans="1:11" x14ac:dyDescent="0.25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4">
        <f t="shared" si="11"/>
        <v>8506</v>
      </c>
      <c r="J586" s="112"/>
      <c r="K586" s="12">
        <v>6</v>
      </c>
    </row>
    <row r="587" spans="1:11" x14ac:dyDescent="0.25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4">
        <f t="shared" si="11"/>
        <v>9270</v>
      </c>
      <c r="J587" s="112"/>
      <c r="K587" s="12">
        <v>7</v>
      </c>
    </row>
    <row r="588" spans="1:11" x14ac:dyDescent="0.25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4">
        <f t="shared" si="11"/>
        <v>9318</v>
      </c>
      <c r="J588" s="112"/>
      <c r="K588" s="12">
        <v>8</v>
      </c>
    </row>
    <row r="589" spans="1:11" x14ac:dyDescent="0.25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4">
        <f t="shared" si="11"/>
        <v>8773</v>
      </c>
      <c r="J589" s="112"/>
      <c r="K589" s="12">
        <v>9</v>
      </c>
    </row>
    <row r="590" spans="1:11" x14ac:dyDescent="0.25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4">
        <f t="shared" si="11"/>
        <v>9397</v>
      </c>
      <c r="J590" s="112"/>
      <c r="K590" s="12">
        <v>10</v>
      </c>
    </row>
    <row r="591" spans="1:11" x14ac:dyDescent="0.25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4">
        <f t="shared" si="11"/>
        <v>8584</v>
      </c>
      <c r="J591" s="112"/>
      <c r="K591" s="12">
        <v>11</v>
      </c>
    </row>
    <row r="592" spans="1:11" x14ac:dyDescent="0.25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4">
        <f t="shared" si="11"/>
        <v>6843</v>
      </c>
      <c r="J592" s="112"/>
      <c r="K592" s="12">
        <v>12</v>
      </c>
    </row>
    <row r="593" spans="1:11" x14ac:dyDescent="0.25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4">
        <f t="shared" ref="I593:I656" si="13">SUM(D593:H593)-F593</f>
        <v>6942</v>
      </c>
      <c r="J593" s="112"/>
      <c r="K593" s="12">
        <v>13</v>
      </c>
    </row>
    <row r="594" spans="1:11" x14ac:dyDescent="0.25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4">
        <f t="shared" si="13"/>
        <v>7199</v>
      </c>
      <c r="J594" s="112"/>
      <c r="K594" s="12">
        <v>14</v>
      </c>
    </row>
    <row r="595" spans="1:11" x14ac:dyDescent="0.25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4">
        <f t="shared" si="13"/>
        <v>7214</v>
      </c>
      <c r="J595" s="112"/>
      <c r="K595" s="12">
        <v>15</v>
      </c>
    </row>
    <row r="596" spans="1:11" x14ac:dyDescent="0.25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4">
        <f t="shared" si="13"/>
        <v>6384</v>
      </c>
      <c r="J596" s="112"/>
      <c r="K596" s="12">
        <v>16</v>
      </c>
    </row>
    <row r="597" spans="1:11" x14ac:dyDescent="0.25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4">
        <f t="shared" si="13"/>
        <v>6452</v>
      </c>
      <c r="J597" s="112"/>
      <c r="K597" s="12">
        <v>17</v>
      </c>
    </row>
    <row r="598" spans="1:11" x14ac:dyDescent="0.25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4">
        <f t="shared" si="13"/>
        <v>6526</v>
      </c>
      <c r="J598" s="112"/>
      <c r="K598" s="12">
        <v>18</v>
      </c>
    </row>
    <row r="599" spans="1:11" x14ac:dyDescent="0.25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4">
        <f t="shared" si="13"/>
        <v>6570</v>
      </c>
      <c r="J599" s="112"/>
      <c r="K599" s="12">
        <v>19</v>
      </c>
    </row>
    <row r="600" spans="1:11" x14ac:dyDescent="0.25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4">
        <f t="shared" si="13"/>
        <v>6087</v>
      </c>
      <c r="J600" s="112"/>
      <c r="K600" s="12">
        <v>20</v>
      </c>
    </row>
    <row r="601" spans="1:11" x14ac:dyDescent="0.25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4">
        <f t="shared" si="13"/>
        <v>6287</v>
      </c>
      <c r="J601" s="112"/>
      <c r="K601" s="12">
        <v>21</v>
      </c>
    </row>
    <row r="602" spans="1:11" x14ac:dyDescent="0.25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4">
        <f t="shared" si="13"/>
        <v>6292</v>
      </c>
      <c r="J602" s="112"/>
      <c r="K602" s="12">
        <v>22</v>
      </c>
    </row>
    <row r="603" spans="1:11" x14ac:dyDescent="0.25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4">
        <f t="shared" si="13"/>
        <v>5368</v>
      </c>
      <c r="J603" s="112"/>
      <c r="K603" s="12">
        <v>23</v>
      </c>
    </row>
    <row r="604" spans="1:11" x14ac:dyDescent="0.25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4">
        <f t="shared" si="13"/>
        <v>5617</v>
      </c>
      <c r="J604" s="112"/>
      <c r="K604" s="12">
        <v>24</v>
      </c>
    </row>
    <row r="605" spans="1:11" x14ac:dyDescent="0.25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4">
        <f t="shared" si="13"/>
        <v>5795</v>
      </c>
      <c r="J605" s="112"/>
      <c r="K605" s="12">
        <v>25</v>
      </c>
    </row>
    <row r="606" spans="1:11" x14ac:dyDescent="0.25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4">
        <f t="shared" si="13"/>
        <v>6599</v>
      </c>
      <c r="J606" s="112"/>
      <c r="K606" s="12">
        <v>26</v>
      </c>
    </row>
    <row r="607" spans="1:11" x14ac:dyDescent="0.25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4">
        <f t="shared" si="13"/>
        <v>5731</v>
      </c>
      <c r="J607" s="112"/>
      <c r="K607" s="12">
        <v>27</v>
      </c>
    </row>
    <row r="608" spans="1:11" x14ac:dyDescent="0.25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4">
        <f t="shared" si="13"/>
        <v>5182</v>
      </c>
      <c r="J608" s="112"/>
      <c r="K608" s="12">
        <v>28</v>
      </c>
    </row>
    <row r="609" spans="1:11" x14ac:dyDescent="0.25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4">
        <f t="shared" si="13"/>
        <v>6263</v>
      </c>
      <c r="J609" s="112"/>
      <c r="K609" s="12">
        <v>29</v>
      </c>
    </row>
    <row r="610" spans="1:11" x14ac:dyDescent="0.25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4">
        <f t="shared" si="13"/>
        <v>5356</v>
      </c>
      <c r="J610" s="112"/>
      <c r="K610" s="12">
        <v>30</v>
      </c>
    </row>
    <row r="611" spans="1:11" x14ac:dyDescent="0.25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4">
        <f t="shared" si="13"/>
        <v>6735</v>
      </c>
      <c r="J611" s="112"/>
      <c r="K611" s="12">
        <v>31</v>
      </c>
    </row>
    <row r="612" spans="1:11" x14ac:dyDescent="0.25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4">
        <f t="shared" si="13"/>
        <v>6329</v>
      </c>
      <c r="J612" s="112"/>
      <c r="K612" s="12">
        <v>32</v>
      </c>
    </row>
    <row r="613" spans="1:11" x14ac:dyDescent="0.25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4">
        <f t="shared" si="13"/>
        <v>6777</v>
      </c>
      <c r="J613" s="112"/>
      <c r="K613" s="12">
        <v>33</v>
      </c>
    </row>
    <row r="614" spans="1:11" x14ac:dyDescent="0.25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4">
        <f t="shared" si="13"/>
        <v>6334</v>
      </c>
      <c r="J614" s="112"/>
      <c r="K614" s="12">
        <v>34</v>
      </c>
    </row>
    <row r="615" spans="1:11" x14ac:dyDescent="0.25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4">
        <f t="shared" si="13"/>
        <v>6950</v>
      </c>
      <c r="J615" s="112"/>
      <c r="K615" s="12">
        <v>35</v>
      </c>
    </row>
    <row r="616" spans="1:11" x14ac:dyDescent="0.25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4">
        <f t="shared" si="13"/>
        <v>6111</v>
      </c>
      <c r="J616" s="112"/>
      <c r="K616" s="12">
        <v>36</v>
      </c>
    </row>
    <row r="617" spans="1:11" x14ac:dyDescent="0.25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4">
        <f t="shared" si="13"/>
        <v>7799</v>
      </c>
      <c r="J617" s="112"/>
      <c r="K617" s="47">
        <v>37</v>
      </c>
    </row>
    <row r="618" spans="1:11" x14ac:dyDescent="0.25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4">
        <f t="shared" si="13"/>
        <v>6965</v>
      </c>
      <c r="J618" s="112"/>
      <c r="K618" s="47">
        <v>38</v>
      </c>
    </row>
    <row r="619" spans="1:11" x14ac:dyDescent="0.25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4">
        <f t="shared" si="13"/>
        <v>7533</v>
      </c>
      <c r="J619" s="112"/>
      <c r="K619" s="47">
        <v>39</v>
      </c>
    </row>
    <row r="620" spans="1:11" x14ac:dyDescent="0.25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4">
        <f t="shared" si="13"/>
        <v>10012</v>
      </c>
      <c r="J620" s="112"/>
      <c r="K620" s="47">
        <v>40</v>
      </c>
    </row>
    <row r="621" spans="1:11" x14ac:dyDescent="0.25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4">
        <f t="shared" si="13"/>
        <v>10687</v>
      </c>
      <c r="J621" s="112"/>
      <c r="K621" s="47">
        <v>41</v>
      </c>
    </row>
    <row r="622" spans="1:11" x14ac:dyDescent="0.25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4">
        <f t="shared" si="13"/>
        <v>9511</v>
      </c>
      <c r="J622" s="112"/>
      <c r="K622" s="47">
        <v>42</v>
      </c>
    </row>
    <row r="623" spans="1:11" x14ac:dyDescent="0.25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4">
        <f t="shared" si="13"/>
        <v>10940</v>
      </c>
      <c r="J623" s="112"/>
      <c r="K623" s="47">
        <v>43</v>
      </c>
    </row>
    <row r="624" spans="1:11" x14ac:dyDescent="0.25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4">
        <f t="shared" si="13"/>
        <v>9484</v>
      </c>
      <c r="J624" s="112"/>
      <c r="K624" s="47">
        <v>44</v>
      </c>
    </row>
    <row r="625" spans="1:11" x14ac:dyDescent="0.25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4">
        <f t="shared" si="13"/>
        <v>8597</v>
      </c>
      <c r="J625" s="112"/>
      <c r="K625" s="47">
        <v>45</v>
      </c>
    </row>
    <row r="626" spans="1:11" x14ac:dyDescent="0.25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4">
        <f t="shared" si="13"/>
        <v>8357</v>
      </c>
      <c r="J626" s="112"/>
      <c r="K626" s="47">
        <v>46</v>
      </c>
    </row>
    <row r="627" spans="1:11" x14ac:dyDescent="0.25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4">
        <f t="shared" si="13"/>
        <v>9136</v>
      </c>
      <c r="J627" s="113"/>
      <c r="K627" s="47">
        <v>47</v>
      </c>
    </row>
    <row r="628" spans="1:11" x14ac:dyDescent="0.25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4">
        <f t="shared" si="13"/>
        <v>8255</v>
      </c>
      <c r="J628" s="113"/>
      <c r="K628" s="47">
        <v>48</v>
      </c>
    </row>
    <row r="629" spans="1:11" x14ac:dyDescent="0.25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4">
        <f t="shared" si="13"/>
        <v>8112</v>
      </c>
      <c r="J629" s="113"/>
      <c r="K629" s="47">
        <v>49</v>
      </c>
    </row>
    <row r="630" spans="1:11" x14ac:dyDescent="0.25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4">
        <f t="shared" si="13"/>
        <v>7761</v>
      </c>
      <c r="J630" s="113"/>
      <c r="K630" s="47">
        <v>50</v>
      </c>
    </row>
    <row r="631" spans="1:11" x14ac:dyDescent="0.25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4">
        <f t="shared" si="13"/>
        <v>8641</v>
      </c>
      <c r="J631" s="113"/>
      <c r="K631" s="47">
        <v>51</v>
      </c>
    </row>
    <row r="632" spans="1:11" x14ac:dyDescent="0.25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4">
        <f t="shared" si="13"/>
        <v>6406</v>
      </c>
      <c r="J632" s="113"/>
      <c r="K632" s="47">
        <v>52</v>
      </c>
    </row>
    <row r="633" spans="1:11" x14ac:dyDescent="0.25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4">
        <f t="shared" si="13"/>
        <v>8404</v>
      </c>
      <c r="J633" s="113"/>
      <c r="K633" s="47">
        <v>1</v>
      </c>
    </row>
    <row r="634" spans="1:11" x14ac:dyDescent="0.25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4">
        <f t="shared" si="13"/>
        <v>8331</v>
      </c>
      <c r="J634" s="113"/>
      <c r="K634" s="47">
        <v>2</v>
      </c>
    </row>
    <row r="635" spans="1:11" x14ac:dyDescent="0.25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4">
        <f t="shared" si="13"/>
        <v>8240</v>
      </c>
      <c r="J635" s="113"/>
      <c r="K635" s="47">
        <v>3</v>
      </c>
    </row>
    <row r="636" spans="1:11" x14ac:dyDescent="0.25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4">
        <v>724</v>
      </c>
      <c r="G636" s="49">
        <v>4547</v>
      </c>
      <c r="H636" s="49">
        <f t="shared" si="12"/>
        <v>644</v>
      </c>
      <c r="I636" s="114">
        <f t="shared" si="13"/>
        <v>9637</v>
      </c>
      <c r="J636" s="113"/>
      <c r="K636" s="47">
        <v>4</v>
      </c>
    </row>
    <row r="637" spans="1:11" x14ac:dyDescent="0.25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4">
        <v>318</v>
      </c>
      <c r="G637" s="49">
        <v>4322</v>
      </c>
      <c r="H637" s="49">
        <f t="shared" si="12"/>
        <v>535</v>
      </c>
      <c r="I637" s="114">
        <f t="shared" si="13"/>
        <v>9455</v>
      </c>
      <c r="J637" s="113"/>
      <c r="K637" s="47">
        <v>5</v>
      </c>
    </row>
    <row r="638" spans="1:11" x14ac:dyDescent="0.25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4">
        <v>351</v>
      </c>
      <c r="G638" s="49">
        <v>3828</v>
      </c>
      <c r="H638" s="49">
        <f t="shared" si="12"/>
        <v>278</v>
      </c>
      <c r="I638" s="114">
        <f t="shared" si="13"/>
        <v>9163</v>
      </c>
      <c r="J638" s="113"/>
      <c r="K638" s="47">
        <v>6</v>
      </c>
    </row>
    <row r="639" spans="1:11" x14ac:dyDescent="0.25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4">
        <v>841</v>
      </c>
      <c r="G639" s="49">
        <v>4615</v>
      </c>
      <c r="H639" s="49">
        <f t="shared" si="12"/>
        <v>565</v>
      </c>
      <c r="I639" s="114">
        <f t="shared" si="13"/>
        <v>10299</v>
      </c>
      <c r="J639" s="113"/>
      <c r="K639" s="47">
        <v>7</v>
      </c>
    </row>
    <row r="640" spans="1:11" x14ac:dyDescent="0.25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4">
        <v>646</v>
      </c>
      <c r="G640" s="49">
        <v>3910</v>
      </c>
      <c r="H640" s="49">
        <f t="shared" si="12"/>
        <v>560</v>
      </c>
      <c r="I640" s="114">
        <f t="shared" si="13"/>
        <v>9488</v>
      </c>
      <c r="J640" s="113"/>
      <c r="K640" s="47">
        <v>8</v>
      </c>
    </row>
    <row r="641" spans="1:11" x14ac:dyDescent="0.25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4">
        <v>1276</v>
      </c>
      <c r="G641" s="49">
        <v>4269</v>
      </c>
      <c r="H641" s="49">
        <f t="shared" si="12"/>
        <v>629</v>
      </c>
      <c r="I641" s="114">
        <f t="shared" si="13"/>
        <v>8831</v>
      </c>
      <c r="J641" s="113"/>
      <c r="K641" s="47">
        <v>9</v>
      </c>
    </row>
    <row r="642" spans="1:11" x14ac:dyDescent="0.25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4">
        <v>1120</v>
      </c>
      <c r="G642" s="49">
        <v>4265</v>
      </c>
      <c r="H642" s="49">
        <f t="shared" si="12"/>
        <v>722</v>
      </c>
      <c r="I642" s="114">
        <f t="shared" si="13"/>
        <v>10098</v>
      </c>
      <c r="J642" s="113"/>
      <c r="K642" s="47">
        <v>10</v>
      </c>
    </row>
    <row r="643" spans="1:11" x14ac:dyDescent="0.25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4">
        <v>1029</v>
      </c>
      <c r="G643" s="49">
        <v>5068</v>
      </c>
      <c r="H643" s="49">
        <f t="shared" si="12"/>
        <v>519</v>
      </c>
      <c r="I643" s="114">
        <f t="shared" si="13"/>
        <v>9844</v>
      </c>
      <c r="J643" s="113"/>
      <c r="K643" s="47">
        <v>11</v>
      </c>
    </row>
    <row r="644" spans="1:11" x14ac:dyDescent="0.25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4">
        <v>1243</v>
      </c>
      <c r="G644" s="49">
        <v>4462</v>
      </c>
      <c r="H644" s="49">
        <f t="shared" si="12"/>
        <v>594</v>
      </c>
      <c r="I644" s="114">
        <f t="shared" si="13"/>
        <v>9481</v>
      </c>
      <c r="J644" s="113"/>
      <c r="K644" s="47">
        <v>12</v>
      </c>
    </row>
    <row r="645" spans="1:11" x14ac:dyDescent="0.25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4">
        <v>866</v>
      </c>
      <c r="G645" s="49">
        <v>3996</v>
      </c>
      <c r="H645" s="49">
        <f t="shared" si="12"/>
        <v>582</v>
      </c>
      <c r="I645" s="114">
        <f t="shared" si="13"/>
        <v>8281</v>
      </c>
      <c r="J645" s="113"/>
      <c r="K645" s="47">
        <v>13</v>
      </c>
    </row>
    <row r="646" spans="1:11" x14ac:dyDescent="0.25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4">
        <v>1524</v>
      </c>
      <c r="G646" s="49">
        <v>4130</v>
      </c>
      <c r="H646" s="49">
        <f t="shared" si="12"/>
        <v>543</v>
      </c>
      <c r="I646" s="114">
        <f t="shared" si="13"/>
        <v>8535</v>
      </c>
      <c r="J646" s="113"/>
      <c r="K646" s="47">
        <v>14</v>
      </c>
    </row>
    <row r="647" spans="1:11" x14ac:dyDescent="0.25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4">
        <v>1069</v>
      </c>
      <c r="G647" s="49">
        <v>3569</v>
      </c>
      <c r="H647" s="49">
        <f t="shared" si="12"/>
        <v>285</v>
      </c>
      <c r="I647" s="114">
        <f t="shared" si="13"/>
        <v>6692</v>
      </c>
      <c r="J647" s="113"/>
      <c r="K647" s="47">
        <v>15</v>
      </c>
    </row>
    <row r="648" spans="1:11" x14ac:dyDescent="0.25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4">
        <v>717</v>
      </c>
      <c r="G648" s="49">
        <v>4181</v>
      </c>
      <c r="H648" s="49">
        <f t="shared" ref="H648:H711" si="14">B648+C648</f>
        <v>215</v>
      </c>
      <c r="I648" s="114">
        <f t="shared" si="13"/>
        <v>7041</v>
      </c>
      <c r="J648" s="113"/>
      <c r="K648" s="47">
        <v>16</v>
      </c>
    </row>
    <row r="649" spans="1:11" x14ac:dyDescent="0.25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4">
        <v>995</v>
      </c>
      <c r="G649" s="49">
        <v>3974</v>
      </c>
      <c r="H649" s="49">
        <f t="shared" si="14"/>
        <v>418</v>
      </c>
      <c r="I649" s="114">
        <f t="shared" si="13"/>
        <v>8287</v>
      </c>
      <c r="J649" s="113"/>
      <c r="K649" s="47">
        <v>17</v>
      </c>
    </row>
    <row r="650" spans="1:11" x14ac:dyDescent="0.25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4">
        <v>1870</v>
      </c>
      <c r="G650" s="49">
        <v>3513</v>
      </c>
      <c r="H650" s="49">
        <f t="shared" si="14"/>
        <v>460</v>
      </c>
      <c r="I650" s="114">
        <f t="shared" si="13"/>
        <v>7152</v>
      </c>
      <c r="J650" s="113"/>
      <c r="K650" s="47">
        <v>18</v>
      </c>
    </row>
    <row r="651" spans="1:11" x14ac:dyDescent="0.25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4">
        <v>807</v>
      </c>
      <c r="G651" s="49">
        <v>3214</v>
      </c>
      <c r="H651" s="49">
        <f t="shared" si="14"/>
        <v>491</v>
      </c>
      <c r="I651" s="114">
        <f t="shared" si="13"/>
        <v>6527</v>
      </c>
      <c r="J651" s="113"/>
      <c r="K651" s="47">
        <v>19</v>
      </c>
    </row>
    <row r="652" spans="1:11" x14ac:dyDescent="0.25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4">
        <v>939</v>
      </c>
      <c r="G652" s="49">
        <v>4036</v>
      </c>
      <c r="H652" s="49">
        <f t="shared" si="14"/>
        <v>375</v>
      </c>
      <c r="I652" s="114">
        <f t="shared" si="13"/>
        <v>6921</v>
      </c>
      <c r="J652" s="113"/>
      <c r="K652" s="47">
        <v>20</v>
      </c>
    </row>
    <row r="653" spans="1:11" x14ac:dyDescent="0.25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4">
        <v>886</v>
      </c>
      <c r="G653" s="49">
        <v>4418</v>
      </c>
      <c r="H653" s="49">
        <f t="shared" si="14"/>
        <v>426</v>
      </c>
      <c r="I653" s="114">
        <f t="shared" si="13"/>
        <v>7744</v>
      </c>
      <c r="J653" s="113"/>
      <c r="K653" s="47">
        <v>21</v>
      </c>
    </row>
    <row r="654" spans="1:11" x14ac:dyDescent="0.25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4">
        <v>1104</v>
      </c>
      <c r="G654" s="49">
        <v>4323</v>
      </c>
      <c r="H654" s="49">
        <f t="shared" si="14"/>
        <v>294</v>
      </c>
      <c r="I654" s="114">
        <f t="shared" si="13"/>
        <v>7834</v>
      </c>
      <c r="J654" s="113"/>
      <c r="K654" s="47">
        <v>22</v>
      </c>
    </row>
    <row r="655" spans="1:11" x14ac:dyDescent="0.25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4">
        <v>843</v>
      </c>
      <c r="G655" s="49">
        <v>3950</v>
      </c>
      <c r="H655" s="49">
        <f t="shared" si="14"/>
        <v>231</v>
      </c>
      <c r="I655" s="114">
        <f t="shared" si="13"/>
        <v>6115</v>
      </c>
      <c r="J655" s="113"/>
      <c r="K655" s="47">
        <v>23</v>
      </c>
    </row>
    <row r="656" spans="1:11" x14ac:dyDescent="0.25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4">
        <v>673</v>
      </c>
      <c r="G656" s="49">
        <v>3474</v>
      </c>
      <c r="H656" s="49">
        <f t="shared" si="14"/>
        <v>307</v>
      </c>
      <c r="I656" s="114">
        <f t="shared" si="13"/>
        <v>7447</v>
      </c>
      <c r="J656" s="113"/>
      <c r="K656" s="47">
        <v>24</v>
      </c>
    </row>
    <row r="657" spans="1:11" x14ac:dyDescent="0.25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4">
        <v>541</v>
      </c>
      <c r="G657" s="49">
        <v>4282</v>
      </c>
      <c r="H657" s="49">
        <f t="shared" si="14"/>
        <v>317</v>
      </c>
      <c r="I657" s="114">
        <f t="shared" ref="I657:I720" si="15">SUM(D657:H657)-F657</f>
        <v>6824</v>
      </c>
      <c r="J657" s="113"/>
      <c r="K657" s="47">
        <v>25</v>
      </c>
    </row>
    <row r="658" spans="1:11" x14ac:dyDescent="0.25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4">
        <v>650</v>
      </c>
      <c r="G658" s="49">
        <v>4221</v>
      </c>
      <c r="H658" s="49">
        <f t="shared" si="14"/>
        <v>114</v>
      </c>
      <c r="I658" s="114">
        <f t="shared" si="15"/>
        <v>7393</v>
      </c>
      <c r="J658" s="113"/>
      <c r="K658" s="47">
        <v>26</v>
      </c>
    </row>
    <row r="659" spans="1:11" x14ac:dyDescent="0.25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4">
        <v>468</v>
      </c>
      <c r="G659" s="49">
        <v>2820</v>
      </c>
      <c r="H659" s="49">
        <f t="shared" si="14"/>
        <v>441</v>
      </c>
      <c r="I659" s="114">
        <f t="shared" si="15"/>
        <v>5820</v>
      </c>
      <c r="J659" s="113"/>
      <c r="K659" s="47">
        <v>27</v>
      </c>
    </row>
    <row r="660" spans="1:11" x14ac:dyDescent="0.25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4">
        <v>1171</v>
      </c>
      <c r="G660" s="49">
        <v>4600</v>
      </c>
      <c r="H660" s="49">
        <f t="shared" si="14"/>
        <v>411</v>
      </c>
      <c r="I660" s="114">
        <f t="shared" si="15"/>
        <v>8216</v>
      </c>
      <c r="J660" s="113"/>
      <c r="K660" s="47">
        <v>28</v>
      </c>
    </row>
    <row r="661" spans="1:11" x14ac:dyDescent="0.25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4">
        <v>672</v>
      </c>
      <c r="G661" s="49">
        <v>3769</v>
      </c>
      <c r="H661" s="49">
        <f t="shared" si="14"/>
        <v>412</v>
      </c>
      <c r="I661" s="114">
        <f t="shared" si="15"/>
        <v>7149</v>
      </c>
      <c r="J661" s="113"/>
      <c r="K661" s="47">
        <v>29</v>
      </c>
    </row>
    <row r="662" spans="1:11" x14ac:dyDescent="0.25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4">
        <v>646</v>
      </c>
      <c r="G662" s="49">
        <v>3654</v>
      </c>
      <c r="H662" s="49">
        <f t="shared" si="14"/>
        <v>302</v>
      </c>
      <c r="I662" s="114">
        <f t="shared" si="15"/>
        <v>7030</v>
      </c>
      <c r="J662" s="113"/>
      <c r="K662" s="47">
        <v>30</v>
      </c>
    </row>
    <row r="663" spans="1:11" x14ac:dyDescent="0.25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4">
        <v>338</v>
      </c>
      <c r="G663" s="49">
        <v>4603</v>
      </c>
      <c r="H663" s="49">
        <f t="shared" si="14"/>
        <v>471</v>
      </c>
      <c r="I663" s="114">
        <f t="shared" si="15"/>
        <v>7594</v>
      </c>
      <c r="J663" s="113"/>
      <c r="K663" s="47">
        <v>31</v>
      </c>
    </row>
    <row r="664" spans="1:11" x14ac:dyDescent="0.25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4">
        <v>490</v>
      </c>
      <c r="G664" s="49">
        <v>4070</v>
      </c>
      <c r="H664" s="49">
        <f t="shared" si="14"/>
        <v>624</v>
      </c>
      <c r="I664" s="114">
        <f t="shared" si="15"/>
        <v>8526</v>
      </c>
      <c r="J664" s="113"/>
      <c r="K664" s="47">
        <v>32</v>
      </c>
    </row>
    <row r="665" spans="1:11" x14ac:dyDescent="0.25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4">
        <v>769</v>
      </c>
      <c r="G665" s="49">
        <v>3996</v>
      </c>
      <c r="H665" s="49">
        <f t="shared" si="14"/>
        <v>547</v>
      </c>
      <c r="I665" s="114">
        <f t="shared" si="15"/>
        <v>8230</v>
      </c>
      <c r="J665" s="113"/>
      <c r="K665" s="47">
        <v>33</v>
      </c>
    </row>
    <row r="666" spans="1:11" x14ac:dyDescent="0.25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4">
        <v>1189</v>
      </c>
      <c r="G666" s="49">
        <v>3685</v>
      </c>
      <c r="H666" s="49">
        <f t="shared" si="14"/>
        <v>349</v>
      </c>
      <c r="I666" s="114">
        <f t="shared" si="15"/>
        <v>8546</v>
      </c>
      <c r="J666" s="113"/>
      <c r="K666" s="47">
        <v>34</v>
      </c>
    </row>
    <row r="667" spans="1:11" x14ac:dyDescent="0.25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4">
        <v>624</v>
      </c>
      <c r="G667" s="49">
        <v>4281</v>
      </c>
      <c r="H667" s="49">
        <f t="shared" si="14"/>
        <v>854</v>
      </c>
      <c r="I667" s="114">
        <f t="shared" si="15"/>
        <v>8592</v>
      </c>
      <c r="J667" s="113"/>
      <c r="K667" s="47">
        <v>35</v>
      </c>
    </row>
    <row r="668" spans="1:11" x14ac:dyDescent="0.25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4">
        <v>1125</v>
      </c>
      <c r="G668" s="49">
        <v>3784</v>
      </c>
      <c r="H668" s="49">
        <f t="shared" si="14"/>
        <v>487</v>
      </c>
      <c r="I668" s="114">
        <f t="shared" si="15"/>
        <v>7523</v>
      </c>
      <c r="J668" s="113"/>
      <c r="K668" s="47">
        <v>36</v>
      </c>
    </row>
    <row r="669" spans="1:11" x14ac:dyDescent="0.25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4">
        <v>1059</v>
      </c>
      <c r="G669" s="49">
        <v>3393</v>
      </c>
      <c r="H669" s="49">
        <f t="shared" si="14"/>
        <v>832</v>
      </c>
      <c r="I669" s="114">
        <f t="shared" si="15"/>
        <v>8653</v>
      </c>
      <c r="J669" s="113"/>
      <c r="K669" s="47">
        <v>37</v>
      </c>
    </row>
    <row r="670" spans="1:11" x14ac:dyDescent="0.25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4">
        <v>1188</v>
      </c>
      <c r="G670" s="49">
        <v>3847</v>
      </c>
      <c r="H670" s="49">
        <f t="shared" si="14"/>
        <v>687</v>
      </c>
      <c r="I670" s="114">
        <f t="shared" si="15"/>
        <v>9250</v>
      </c>
      <c r="J670" s="113"/>
      <c r="K670" s="47">
        <v>38</v>
      </c>
    </row>
    <row r="671" spans="1:11" x14ac:dyDescent="0.25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4">
        <v>1081</v>
      </c>
      <c r="G671" s="49">
        <v>3609</v>
      </c>
      <c r="H671" s="49">
        <f t="shared" si="14"/>
        <v>665</v>
      </c>
      <c r="I671" s="114">
        <f t="shared" si="15"/>
        <v>8128</v>
      </c>
      <c r="J671" s="113"/>
      <c r="K671" s="47">
        <v>39</v>
      </c>
    </row>
    <row r="672" spans="1:11" x14ac:dyDescent="0.25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4">
        <v>1531</v>
      </c>
      <c r="G672" s="49">
        <v>3603</v>
      </c>
      <c r="H672" s="49">
        <f t="shared" si="14"/>
        <v>840</v>
      </c>
      <c r="I672" s="114">
        <f t="shared" si="15"/>
        <v>8950</v>
      </c>
      <c r="J672" s="113"/>
      <c r="K672" s="47">
        <v>40</v>
      </c>
    </row>
    <row r="673" spans="1:11" x14ac:dyDescent="0.25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4">
        <v>1272</v>
      </c>
      <c r="G673" s="49">
        <v>4974</v>
      </c>
      <c r="H673" s="49">
        <f t="shared" si="14"/>
        <v>839</v>
      </c>
      <c r="I673" s="114">
        <f t="shared" si="15"/>
        <v>11173</v>
      </c>
      <c r="J673" s="113"/>
      <c r="K673" s="47">
        <v>41</v>
      </c>
    </row>
    <row r="674" spans="1:11" x14ac:dyDescent="0.25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4">
        <v>1269</v>
      </c>
      <c r="G674" s="49">
        <v>5208</v>
      </c>
      <c r="H674" s="49">
        <f t="shared" si="14"/>
        <v>1052</v>
      </c>
      <c r="I674" s="114">
        <f t="shared" si="15"/>
        <v>10528</v>
      </c>
      <c r="J674" s="113"/>
      <c r="K674" s="47">
        <v>42</v>
      </c>
    </row>
    <row r="675" spans="1:11" x14ac:dyDescent="0.25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4">
        <v>508</v>
      </c>
      <c r="G675" s="49">
        <v>4684</v>
      </c>
      <c r="H675" s="49">
        <f t="shared" si="14"/>
        <v>1180</v>
      </c>
      <c r="I675" s="114">
        <f t="shared" si="15"/>
        <v>9842</v>
      </c>
      <c r="J675" s="113"/>
      <c r="K675" s="47">
        <v>43</v>
      </c>
    </row>
    <row r="676" spans="1:11" x14ac:dyDescent="0.25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4">
        <v>735</v>
      </c>
      <c r="G676" s="49">
        <v>5288</v>
      </c>
      <c r="H676" s="49">
        <f t="shared" si="14"/>
        <v>1144</v>
      </c>
      <c r="I676" s="114">
        <f t="shared" si="15"/>
        <v>10080</v>
      </c>
      <c r="J676" s="113"/>
      <c r="K676" s="47">
        <v>44</v>
      </c>
    </row>
    <row r="677" spans="1:11" x14ac:dyDescent="0.25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4">
        <v>952</v>
      </c>
      <c r="G677" s="49">
        <v>3782</v>
      </c>
      <c r="H677" s="49">
        <f t="shared" si="14"/>
        <v>1092</v>
      </c>
      <c r="I677" s="114">
        <f t="shared" si="15"/>
        <v>9359</v>
      </c>
      <c r="J677" s="113"/>
      <c r="K677" s="47">
        <v>45</v>
      </c>
    </row>
    <row r="678" spans="1:11" x14ac:dyDescent="0.25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4">
        <v>782</v>
      </c>
      <c r="G678" s="49">
        <v>3784</v>
      </c>
      <c r="H678" s="49">
        <f t="shared" si="14"/>
        <v>921</v>
      </c>
      <c r="I678" s="114">
        <f t="shared" si="15"/>
        <v>9352</v>
      </c>
      <c r="J678" s="113"/>
      <c r="K678" s="47">
        <v>46</v>
      </c>
    </row>
    <row r="679" spans="1:11" x14ac:dyDescent="0.25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4">
        <v>504</v>
      </c>
      <c r="G679" s="49">
        <v>5456</v>
      </c>
      <c r="H679" s="49">
        <f t="shared" si="14"/>
        <v>468</v>
      </c>
      <c r="I679" s="114">
        <f t="shared" si="15"/>
        <v>9950</v>
      </c>
      <c r="J679" s="113"/>
      <c r="K679" s="47">
        <v>47</v>
      </c>
    </row>
    <row r="680" spans="1:11" x14ac:dyDescent="0.25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4">
        <v>488</v>
      </c>
      <c r="G680" s="49">
        <v>2843</v>
      </c>
      <c r="H680" s="49">
        <f t="shared" si="14"/>
        <v>828</v>
      </c>
      <c r="I680" s="114">
        <f t="shared" si="15"/>
        <v>7584</v>
      </c>
      <c r="J680" s="113"/>
      <c r="K680" s="47">
        <v>48</v>
      </c>
    </row>
    <row r="681" spans="1:11" x14ac:dyDescent="0.25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4">
        <v>997</v>
      </c>
      <c r="G681" s="49">
        <v>4432</v>
      </c>
      <c r="H681" s="49">
        <f t="shared" si="14"/>
        <v>809</v>
      </c>
      <c r="I681" s="114">
        <f t="shared" si="15"/>
        <v>9168</v>
      </c>
      <c r="J681" s="113"/>
      <c r="K681" s="47">
        <v>49</v>
      </c>
    </row>
    <row r="682" spans="1:11" x14ac:dyDescent="0.25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4">
        <v>1281</v>
      </c>
      <c r="G682" s="49">
        <v>4747</v>
      </c>
      <c r="H682" s="49">
        <f t="shared" si="14"/>
        <v>726</v>
      </c>
      <c r="I682" s="114">
        <f t="shared" si="15"/>
        <v>9913</v>
      </c>
      <c r="J682" s="113"/>
      <c r="K682" s="47">
        <v>50</v>
      </c>
    </row>
    <row r="683" spans="1:11" x14ac:dyDescent="0.25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4">
        <v>858</v>
      </c>
      <c r="G683" s="49">
        <v>4681</v>
      </c>
      <c r="H683" s="49">
        <f t="shared" si="14"/>
        <v>411</v>
      </c>
      <c r="I683" s="114">
        <f t="shared" si="15"/>
        <v>9045</v>
      </c>
      <c r="J683" s="113"/>
      <c r="K683" s="47">
        <v>51</v>
      </c>
    </row>
    <row r="684" spans="1:11" x14ac:dyDescent="0.25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4">
        <v>743</v>
      </c>
      <c r="G684" s="49">
        <v>3499</v>
      </c>
      <c r="H684" s="49">
        <f t="shared" si="14"/>
        <v>441</v>
      </c>
      <c r="I684" s="114">
        <f t="shared" si="15"/>
        <v>7210</v>
      </c>
      <c r="J684" s="113"/>
      <c r="K684" s="47">
        <v>52</v>
      </c>
    </row>
    <row r="685" spans="1:11" x14ac:dyDescent="0.25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4">
        <v>445</v>
      </c>
      <c r="G685" s="49">
        <v>4340</v>
      </c>
      <c r="H685" s="49">
        <f t="shared" si="14"/>
        <v>607</v>
      </c>
      <c r="I685" s="114">
        <f t="shared" si="15"/>
        <v>8773</v>
      </c>
      <c r="J685" s="113"/>
      <c r="K685" s="47">
        <v>1</v>
      </c>
    </row>
    <row r="686" spans="1:11" x14ac:dyDescent="0.25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4">
        <v>309</v>
      </c>
      <c r="G686" s="49">
        <v>5066</v>
      </c>
      <c r="H686" s="49">
        <f t="shared" si="14"/>
        <v>962</v>
      </c>
      <c r="I686" s="114">
        <f t="shared" si="15"/>
        <v>9671</v>
      </c>
      <c r="J686" s="113"/>
      <c r="K686" s="47">
        <v>2</v>
      </c>
    </row>
    <row r="687" spans="1:11" x14ac:dyDescent="0.25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4">
        <v>390</v>
      </c>
      <c r="G687" s="49">
        <v>4488</v>
      </c>
      <c r="H687" s="49">
        <f t="shared" si="14"/>
        <v>359</v>
      </c>
      <c r="I687" s="114">
        <f t="shared" si="15"/>
        <v>7933</v>
      </c>
      <c r="J687" s="113"/>
      <c r="K687" s="47">
        <v>3</v>
      </c>
    </row>
    <row r="688" spans="1:11" x14ac:dyDescent="0.25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4">
        <v>980</v>
      </c>
      <c r="G688" s="49">
        <v>5439</v>
      </c>
      <c r="H688" s="49">
        <f t="shared" si="14"/>
        <v>599</v>
      </c>
      <c r="I688" s="114">
        <f t="shared" si="15"/>
        <v>9454</v>
      </c>
      <c r="J688" s="113"/>
      <c r="K688" s="47">
        <v>4</v>
      </c>
    </row>
    <row r="689" spans="1:11" x14ac:dyDescent="0.25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4">
        <v>679</v>
      </c>
      <c r="G689" s="49">
        <v>4874</v>
      </c>
      <c r="H689" s="49">
        <f t="shared" si="14"/>
        <v>916</v>
      </c>
      <c r="I689" s="114">
        <f t="shared" si="15"/>
        <v>9367</v>
      </c>
      <c r="J689" s="113"/>
      <c r="K689" s="47">
        <v>5</v>
      </c>
    </row>
    <row r="690" spans="1:11" x14ac:dyDescent="0.25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4">
        <v>552</v>
      </c>
      <c r="G690" s="49">
        <v>4193</v>
      </c>
      <c r="H690" s="49">
        <f t="shared" si="14"/>
        <v>309</v>
      </c>
      <c r="I690" s="114">
        <f t="shared" si="15"/>
        <v>7164</v>
      </c>
      <c r="J690" s="113"/>
      <c r="K690" s="47">
        <v>6</v>
      </c>
    </row>
    <row r="691" spans="1:11" x14ac:dyDescent="0.25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4">
        <v>1191</v>
      </c>
      <c r="G691" s="49">
        <v>5571</v>
      </c>
      <c r="H691" s="49">
        <f t="shared" si="14"/>
        <v>652</v>
      </c>
      <c r="I691" s="114">
        <f t="shared" si="15"/>
        <v>9343</v>
      </c>
      <c r="J691" s="113"/>
      <c r="K691" s="47">
        <v>7</v>
      </c>
    </row>
    <row r="692" spans="1:11" x14ac:dyDescent="0.25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4">
        <v>223</v>
      </c>
      <c r="G692" s="49">
        <v>3507</v>
      </c>
      <c r="H692" s="49">
        <f t="shared" si="14"/>
        <v>373</v>
      </c>
      <c r="I692" s="114">
        <f t="shared" si="15"/>
        <v>6326</v>
      </c>
      <c r="J692" s="113"/>
      <c r="K692" s="47">
        <v>8</v>
      </c>
    </row>
    <row r="693" spans="1:11" x14ac:dyDescent="0.25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4">
        <v>1107</v>
      </c>
      <c r="G693" s="49">
        <v>4840</v>
      </c>
      <c r="H693" s="49">
        <f t="shared" si="14"/>
        <v>543</v>
      </c>
      <c r="I693" s="114">
        <f t="shared" si="15"/>
        <v>8997</v>
      </c>
      <c r="J693" s="113"/>
      <c r="K693" s="47">
        <v>9</v>
      </c>
    </row>
    <row r="694" spans="1:11" x14ac:dyDescent="0.25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4">
        <v>1160</v>
      </c>
      <c r="G694" s="49">
        <v>4194</v>
      </c>
      <c r="H694" s="49">
        <f t="shared" si="14"/>
        <v>432</v>
      </c>
      <c r="I694" s="114">
        <f t="shared" si="15"/>
        <v>7516</v>
      </c>
      <c r="J694" s="113"/>
      <c r="K694" s="47">
        <v>10</v>
      </c>
    </row>
    <row r="695" spans="1:11" x14ac:dyDescent="0.25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4">
        <v>707</v>
      </c>
      <c r="G695" s="92">
        <v>4441</v>
      </c>
      <c r="H695" s="49">
        <f t="shared" si="14"/>
        <v>319</v>
      </c>
      <c r="I695" s="114">
        <f t="shared" si="15"/>
        <v>8190</v>
      </c>
      <c r="J695" s="113"/>
      <c r="K695" s="47">
        <v>11</v>
      </c>
    </row>
    <row r="696" spans="1:11" x14ac:dyDescent="0.25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4">
        <v>1091</v>
      </c>
      <c r="G696" s="49">
        <v>4710</v>
      </c>
      <c r="H696" s="49">
        <f t="shared" si="14"/>
        <v>358</v>
      </c>
      <c r="I696" s="114">
        <f t="shared" si="15"/>
        <v>7595</v>
      </c>
      <c r="J696" s="113"/>
      <c r="K696" s="47">
        <v>12</v>
      </c>
    </row>
    <row r="697" spans="1:11" x14ac:dyDescent="0.25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4">
        <v>932</v>
      </c>
      <c r="G697" s="49">
        <v>5936</v>
      </c>
      <c r="H697" s="49">
        <f t="shared" si="14"/>
        <v>446</v>
      </c>
      <c r="I697" s="114">
        <f t="shared" si="15"/>
        <v>8478</v>
      </c>
      <c r="J697" s="113"/>
      <c r="K697" s="47">
        <v>13</v>
      </c>
    </row>
    <row r="698" spans="1:11" x14ac:dyDescent="0.25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4">
        <v>1010</v>
      </c>
      <c r="G698" s="49">
        <v>4583</v>
      </c>
      <c r="H698" s="49">
        <f t="shared" si="14"/>
        <v>444</v>
      </c>
      <c r="I698" s="114">
        <f t="shared" si="15"/>
        <v>6814</v>
      </c>
      <c r="J698" s="113"/>
      <c r="K698" s="47">
        <v>14</v>
      </c>
    </row>
    <row r="699" spans="1:11" x14ac:dyDescent="0.25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4">
        <v>676</v>
      </c>
      <c r="G699" s="49">
        <v>4555</v>
      </c>
      <c r="H699" s="49">
        <f t="shared" si="14"/>
        <v>458</v>
      </c>
      <c r="I699" s="114">
        <f t="shared" si="15"/>
        <v>7219</v>
      </c>
      <c r="J699" s="113"/>
      <c r="K699" s="47">
        <v>15</v>
      </c>
    </row>
    <row r="700" spans="1:11" x14ac:dyDescent="0.25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4">
        <v>1126</v>
      </c>
      <c r="G700" s="49">
        <v>4398</v>
      </c>
      <c r="H700" s="49">
        <f t="shared" si="14"/>
        <v>443</v>
      </c>
      <c r="I700" s="114">
        <f t="shared" si="15"/>
        <v>7186</v>
      </c>
      <c r="J700" s="113"/>
      <c r="K700" s="47">
        <v>16</v>
      </c>
    </row>
    <row r="701" spans="1:11" x14ac:dyDescent="0.25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4">
        <v>1367</v>
      </c>
      <c r="G701" s="49">
        <v>4634</v>
      </c>
      <c r="H701" s="49">
        <f t="shared" si="14"/>
        <v>412</v>
      </c>
      <c r="I701" s="114">
        <f t="shared" si="15"/>
        <v>6686</v>
      </c>
      <c r="J701" s="113"/>
      <c r="K701" s="47">
        <v>17</v>
      </c>
    </row>
    <row r="702" spans="1:11" x14ac:dyDescent="0.25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4">
        <v>1175</v>
      </c>
      <c r="G702" s="49">
        <v>3979</v>
      </c>
      <c r="H702" s="49">
        <f t="shared" si="14"/>
        <v>378</v>
      </c>
      <c r="I702" s="114">
        <f t="shared" si="15"/>
        <v>6595</v>
      </c>
      <c r="J702" s="113"/>
      <c r="K702" s="47">
        <v>18</v>
      </c>
    </row>
    <row r="703" spans="1:11" x14ac:dyDescent="0.25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4">
        <v>953</v>
      </c>
      <c r="G703" s="49">
        <v>4655</v>
      </c>
      <c r="H703" s="49">
        <f t="shared" si="14"/>
        <v>241</v>
      </c>
      <c r="I703" s="114">
        <f t="shared" si="15"/>
        <v>6456</v>
      </c>
      <c r="J703" s="113"/>
      <c r="K703" s="47">
        <v>19</v>
      </c>
    </row>
    <row r="704" spans="1:11" x14ac:dyDescent="0.25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4">
        <v>1112</v>
      </c>
      <c r="G704" s="49">
        <v>3231</v>
      </c>
      <c r="H704" s="49">
        <f t="shared" si="14"/>
        <v>299</v>
      </c>
      <c r="I704" s="114">
        <f t="shared" si="15"/>
        <v>5259</v>
      </c>
      <c r="J704" s="113"/>
      <c r="K704" s="47">
        <v>20</v>
      </c>
    </row>
    <row r="705" spans="1:11" x14ac:dyDescent="0.25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4">
        <v>1482</v>
      </c>
      <c r="G705" s="49">
        <v>3934</v>
      </c>
      <c r="H705" s="49">
        <f t="shared" si="14"/>
        <v>275</v>
      </c>
      <c r="I705" s="114">
        <f t="shared" si="15"/>
        <v>5969</v>
      </c>
      <c r="J705" s="113"/>
      <c r="K705" s="47">
        <v>21</v>
      </c>
    </row>
    <row r="706" spans="1:11" x14ac:dyDescent="0.25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4">
        <v>1167</v>
      </c>
      <c r="G706" s="49">
        <v>3403</v>
      </c>
      <c r="H706" s="49">
        <f t="shared" si="14"/>
        <v>286</v>
      </c>
      <c r="I706" s="114">
        <f t="shared" si="15"/>
        <v>4177</v>
      </c>
      <c r="J706" s="113"/>
      <c r="K706" s="47">
        <v>22</v>
      </c>
    </row>
    <row r="707" spans="1:11" x14ac:dyDescent="0.25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4">
        <v>1144</v>
      </c>
      <c r="G707" s="49">
        <v>3315</v>
      </c>
      <c r="H707" s="49">
        <f t="shared" si="14"/>
        <v>67</v>
      </c>
      <c r="I707" s="114">
        <f t="shared" si="15"/>
        <v>5044</v>
      </c>
      <c r="J707" s="113"/>
      <c r="K707" s="47">
        <v>23</v>
      </c>
    </row>
    <row r="708" spans="1:11" x14ac:dyDescent="0.25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4">
        <v>119</v>
      </c>
      <c r="G708" s="49">
        <v>3653</v>
      </c>
      <c r="H708" s="49">
        <f t="shared" si="14"/>
        <v>359</v>
      </c>
      <c r="I708" s="114">
        <f t="shared" si="15"/>
        <v>6657</v>
      </c>
      <c r="J708" s="113"/>
      <c r="K708" s="47">
        <v>24</v>
      </c>
    </row>
    <row r="709" spans="1:11" x14ac:dyDescent="0.25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4">
        <v>1109</v>
      </c>
      <c r="G709" s="49">
        <v>3282</v>
      </c>
      <c r="H709" s="49">
        <f t="shared" si="14"/>
        <v>312</v>
      </c>
      <c r="I709" s="114">
        <f t="shared" si="15"/>
        <v>5537</v>
      </c>
      <c r="J709" s="113"/>
      <c r="K709" s="47">
        <v>25</v>
      </c>
    </row>
    <row r="710" spans="1:11" x14ac:dyDescent="0.25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4">
        <v>446</v>
      </c>
      <c r="G710" s="49">
        <v>3797</v>
      </c>
      <c r="H710" s="49">
        <f t="shared" si="14"/>
        <v>341</v>
      </c>
      <c r="I710" s="114">
        <f t="shared" si="15"/>
        <v>6702</v>
      </c>
      <c r="J710" s="113"/>
      <c r="K710" s="47">
        <v>26</v>
      </c>
    </row>
    <row r="711" spans="1:11" x14ac:dyDescent="0.25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4">
        <v>794</v>
      </c>
      <c r="G711" s="49">
        <v>2692</v>
      </c>
      <c r="H711" s="49">
        <f t="shared" si="14"/>
        <v>172</v>
      </c>
      <c r="I711" s="114">
        <f t="shared" si="15"/>
        <v>4635</v>
      </c>
      <c r="J711" s="113"/>
      <c r="K711" s="47">
        <v>27</v>
      </c>
    </row>
    <row r="712" spans="1:11" x14ac:dyDescent="0.25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4">
        <v>1123</v>
      </c>
      <c r="G712" s="92">
        <v>3302</v>
      </c>
      <c r="H712" s="49">
        <f t="shared" ref="H712:H775" si="16">B712+C712</f>
        <v>203</v>
      </c>
      <c r="I712" s="114">
        <f t="shared" si="15"/>
        <v>5729</v>
      </c>
      <c r="J712" s="113"/>
      <c r="K712" s="47">
        <v>28</v>
      </c>
    </row>
    <row r="713" spans="1:11" x14ac:dyDescent="0.25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4">
        <v>476</v>
      </c>
      <c r="G713" s="49">
        <v>2724</v>
      </c>
      <c r="H713" s="49">
        <f t="shared" si="16"/>
        <v>286</v>
      </c>
      <c r="I713" s="114">
        <f t="shared" si="15"/>
        <v>5299</v>
      </c>
      <c r="J713" s="113"/>
      <c r="K713" s="47">
        <v>29</v>
      </c>
    </row>
    <row r="714" spans="1:11" x14ac:dyDescent="0.25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4">
        <v>726</v>
      </c>
      <c r="G714" s="49">
        <v>2484</v>
      </c>
      <c r="H714" s="49">
        <f t="shared" si="16"/>
        <v>395</v>
      </c>
      <c r="I714" s="114">
        <f t="shared" si="15"/>
        <v>4836</v>
      </c>
      <c r="J714" s="113"/>
      <c r="K714" s="47">
        <v>30</v>
      </c>
    </row>
    <row r="715" spans="1:11" x14ac:dyDescent="0.25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4">
        <v>415</v>
      </c>
      <c r="G715" s="92">
        <v>3270</v>
      </c>
      <c r="H715" s="49">
        <f t="shared" si="16"/>
        <v>98</v>
      </c>
      <c r="I715" s="114">
        <f t="shared" si="15"/>
        <v>6369</v>
      </c>
      <c r="J715" s="113"/>
      <c r="K715" s="47">
        <v>31</v>
      </c>
    </row>
    <row r="716" spans="1:11" x14ac:dyDescent="0.25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4">
        <v>809</v>
      </c>
      <c r="G716" s="49">
        <v>3973</v>
      </c>
      <c r="H716" s="49">
        <f t="shared" si="16"/>
        <v>412</v>
      </c>
      <c r="I716" s="114">
        <f t="shared" si="15"/>
        <v>7467</v>
      </c>
      <c r="J716" s="113"/>
      <c r="K716" s="47">
        <v>32</v>
      </c>
    </row>
    <row r="717" spans="1:11" x14ac:dyDescent="0.25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4">
        <v>608</v>
      </c>
      <c r="G717" s="49">
        <v>4259</v>
      </c>
      <c r="H717" s="49">
        <f t="shared" si="16"/>
        <v>464</v>
      </c>
      <c r="I717" s="114">
        <f t="shared" si="15"/>
        <v>8377</v>
      </c>
      <c r="J717" s="113"/>
      <c r="K717" s="47">
        <v>33</v>
      </c>
    </row>
    <row r="718" spans="1:11" x14ac:dyDescent="0.25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4">
        <v>467</v>
      </c>
      <c r="G718" s="49">
        <v>5799</v>
      </c>
      <c r="H718" s="49">
        <f t="shared" si="16"/>
        <v>406</v>
      </c>
      <c r="I718" s="114">
        <f t="shared" si="15"/>
        <v>9906</v>
      </c>
      <c r="J718" s="113"/>
      <c r="K718" s="47">
        <v>34</v>
      </c>
    </row>
    <row r="719" spans="1:11" x14ac:dyDescent="0.25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4">
        <v>666</v>
      </c>
      <c r="G719" s="49">
        <v>3888</v>
      </c>
      <c r="H719" s="49">
        <f t="shared" si="16"/>
        <v>913</v>
      </c>
      <c r="I719" s="114">
        <f t="shared" si="15"/>
        <v>9391</v>
      </c>
      <c r="J719" s="113"/>
      <c r="K719" s="47">
        <v>35</v>
      </c>
    </row>
    <row r="720" spans="1:11" x14ac:dyDescent="0.25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4">
        <v>819</v>
      </c>
      <c r="G720" s="49">
        <v>3170</v>
      </c>
      <c r="H720" s="49">
        <f t="shared" si="16"/>
        <v>447</v>
      </c>
      <c r="I720" s="114">
        <f t="shared" si="15"/>
        <v>8467</v>
      </c>
      <c r="J720" s="113"/>
      <c r="K720" s="47">
        <v>36</v>
      </c>
    </row>
    <row r="721" spans="1:11" x14ac:dyDescent="0.25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4">
        <v>491</v>
      </c>
      <c r="G721" s="49">
        <v>2509</v>
      </c>
      <c r="H721" s="49">
        <f t="shared" si="16"/>
        <v>628</v>
      </c>
      <c r="I721" s="114">
        <f t="shared" ref="I721:I784" si="17">SUM(D721:H721)-F721</f>
        <v>8651</v>
      </c>
      <c r="J721" s="113"/>
      <c r="K721" s="47">
        <v>37</v>
      </c>
    </row>
    <row r="722" spans="1:11" x14ac:dyDescent="0.25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4">
        <v>1199</v>
      </c>
      <c r="G722" s="49">
        <v>3369</v>
      </c>
      <c r="H722" s="49">
        <f t="shared" si="16"/>
        <v>546</v>
      </c>
      <c r="I722" s="114">
        <f t="shared" si="17"/>
        <v>9672</v>
      </c>
      <c r="J722" s="113"/>
      <c r="K722" s="47">
        <v>38</v>
      </c>
    </row>
    <row r="723" spans="1:11" x14ac:dyDescent="0.25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4">
        <v>1092</v>
      </c>
      <c r="G723" s="49">
        <v>2822</v>
      </c>
      <c r="H723" s="49">
        <f t="shared" si="16"/>
        <v>930</v>
      </c>
      <c r="I723" s="114">
        <f t="shared" si="17"/>
        <v>10251</v>
      </c>
      <c r="J723" s="113"/>
      <c r="K723" s="47">
        <v>39</v>
      </c>
    </row>
    <row r="724" spans="1:11" x14ac:dyDescent="0.25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4">
        <v>828</v>
      </c>
      <c r="G724" s="49">
        <v>4363</v>
      </c>
      <c r="H724" s="49">
        <f t="shared" si="16"/>
        <v>1179</v>
      </c>
      <c r="I724" s="114">
        <f t="shared" si="17"/>
        <v>10794</v>
      </c>
      <c r="J724" s="113"/>
      <c r="K724" s="47">
        <v>40</v>
      </c>
    </row>
    <row r="725" spans="1:11" x14ac:dyDescent="0.25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4">
        <v>194</v>
      </c>
      <c r="G725" s="49">
        <v>4994</v>
      </c>
      <c r="H725" s="49">
        <f t="shared" si="16"/>
        <v>1003</v>
      </c>
      <c r="I725" s="114">
        <f t="shared" si="17"/>
        <v>11775</v>
      </c>
      <c r="J725" s="113"/>
      <c r="K725" s="47">
        <v>41</v>
      </c>
    </row>
    <row r="726" spans="1:11" x14ac:dyDescent="0.25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4">
        <v>1200</v>
      </c>
      <c r="G726" s="49">
        <v>6491</v>
      </c>
      <c r="H726" s="49">
        <f t="shared" si="16"/>
        <v>971</v>
      </c>
      <c r="I726" s="114">
        <f t="shared" si="17"/>
        <v>13621</v>
      </c>
      <c r="J726" s="113"/>
      <c r="K726" s="47">
        <v>42</v>
      </c>
    </row>
    <row r="727" spans="1:11" x14ac:dyDescent="0.25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4">
        <v>712</v>
      </c>
      <c r="G727" s="49">
        <v>5384</v>
      </c>
      <c r="H727" s="49">
        <f t="shared" si="16"/>
        <v>996</v>
      </c>
      <c r="I727" s="114">
        <f t="shared" si="17"/>
        <v>11745</v>
      </c>
      <c r="J727" s="113"/>
      <c r="K727" s="47">
        <v>43</v>
      </c>
    </row>
    <row r="728" spans="1:11" x14ac:dyDescent="0.25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4">
        <v>979</v>
      </c>
      <c r="G728" s="49">
        <v>6816</v>
      </c>
      <c r="H728" s="49">
        <f t="shared" si="16"/>
        <v>1076</v>
      </c>
      <c r="I728" s="114">
        <f t="shared" si="17"/>
        <v>14147</v>
      </c>
      <c r="J728" s="113"/>
      <c r="K728" s="47">
        <v>44</v>
      </c>
    </row>
    <row r="729" spans="1:11" x14ac:dyDescent="0.25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4">
        <v>1057</v>
      </c>
      <c r="G729" s="49">
        <v>5945</v>
      </c>
      <c r="H729" s="49">
        <f t="shared" si="16"/>
        <v>1033</v>
      </c>
      <c r="I729" s="114">
        <f t="shared" si="17"/>
        <v>12131</v>
      </c>
      <c r="J729" s="113"/>
      <c r="K729" s="47">
        <v>45</v>
      </c>
    </row>
    <row r="730" spans="1:11" x14ac:dyDescent="0.25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4">
        <v>749</v>
      </c>
      <c r="G730" s="49">
        <v>5084</v>
      </c>
      <c r="H730" s="49">
        <f t="shared" si="16"/>
        <v>1425</v>
      </c>
      <c r="I730" s="114">
        <f t="shared" si="17"/>
        <v>11505</v>
      </c>
      <c r="J730" s="113"/>
      <c r="K730" s="47">
        <v>46</v>
      </c>
    </row>
    <row r="731" spans="1:11" x14ac:dyDescent="0.25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4">
        <v>634</v>
      </c>
      <c r="G731" s="49">
        <v>6033</v>
      </c>
      <c r="H731" s="49">
        <f t="shared" si="16"/>
        <v>1605</v>
      </c>
      <c r="I731" s="114">
        <f t="shared" si="17"/>
        <v>11659</v>
      </c>
      <c r="J731" s="113"/>
      <c r="K731" s="47">
        <v>47</v>
      </c>
    </row>
    <row r="732" spans="1:11" x14ac:dyDescent="0.25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4">
        <v>649</v>
      </c>
      <c r="G732" s="49">
        <v>5063</v>
      </c>
      <c r="H732" s="49">
        <f t="shared" si="16"/>
        <v>1152</v>
      </c>
      <c r="I732" s="114">
        <f t="shared" si="17"/>
        <v>10389</v>
      </c>
      <c r="J732" s="113"/>
      <c r="K732" s="47">
        <v>48</v>
      </c>
    </row>
    <row r="733" spans="1:11" x14ac:dyDescent="0.25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4">
        <v>508</v>
      </c>
      <c r="G733" s="49">
        <v>4361</v>
      </c>
      <c r="H733" s="49">
        <f t="shared" si="16"/>
        <v>1390</v>
      </c>
      <c r="I733" s="114">
        <f t="shared" si="17"/>
        <v>10150</v>
      </c>
      <c r="J733" s="113"/>
      <c r="K733" s="47">
        <v>49</v>
      </c>
    </row>
    <row r="734" spans="1:11" x14ac:dyDescent="0.25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4">
        <v>407</v>
      </c>
      <c r="G734" s="49">
        <v>6597</v>
      </c>
      <c r="H734" s="49">
        <f t="shared" si="16"/>
        <v>1099</v>
      </c>
      <c r="I734" s="114">
        <f t="shared" si="17"/>
        <v>11411</v>
      </c>
      <c r="J734" s="113"/>
      <c r="K734" s="47">
        <v>50</v>
      </c>
    </row>
    <row r="735" spans="1:11" x14ac:dyDescent="0.25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4">
        <v>139</v>
      </c>
      <c r="G735" s="49">
        <v>5245</v>
      </c>
      <c r="H735" s="49">
        <f t="shared" si="16"/>
        <v>323</v>
      </c>
      <c r="I735" s="114">
        <f t="shared" si="17"/>
        <v>9077</v>
      </c>
      <c r="J735" s="113"/>
      <c r="K735" s="47">
        <v>51</v>
      </c>
    </row>
    <row r="736" spans="1:11" x14ac:dyDescent="0.25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4">
        <v>569</v>
      </c>
      <c r="G736" s="49">
        <v>4315</v>
      </c>
      <c r="H736" s="49">
        <f t="shared" si="16"/>
        <v>1027</v>
      </c>
      <c r="I736" s="114">
        <f t="shared" si="17"/>
        <v>8676</v>
      </c>
      <c r="J736" s="113"/>
      <c r="K736" s="47">
        <v>52</v>
      </c>
    </row>
    <row r="737" spans="1:11" x14ac:dyDescent="0.25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4">
        <v>222</v>
      </c>
      <c r="G737" s="49">
        <v>4144</v>
      </c>
      <c r="H737" s="49">
        <f t="shared" si="16"/>
        <v>893</v>
      </c>
      <c r="I737" s="114">
        <f t="shared" si="17"/>
        <v>7948</v>
      </c>
      <c r="J737" s="113"/>
      <c r="K737" s="47">
        <v>1</v>
      </c>
    </row>
    <row r="738" spans="1:11" x14ac:dyDescent="0.25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4">
        <v>990</v>
      </c>
      <c r="G738" s="49">
        <v>5086</v>
      </c>
      <c r="H738" s="49">
        <f t="shared" si="16"/>
        <v>1169</v>
      </c>
      <c r="I738" s="114">
        <f t="shared" si="17"/>
        <v>11012</v>
      </c>
      <c r="J738" s="113"/>
      <c r="K738" s="47">
        <v>2</v>
      </c>
    </row>
    <row r="739" spans="1:11" x14ac:dyDescent="0.25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4">
        <v>384</v>
      </c>
      <c r="G739" s="49">
        <v>5523</v>
      </c>
      <c r="H739" s="49">
        <f t="shared" si="16"/>
        <v>1203</v>
      </c>
      <c r="I739" s="114">
        <f t="shared" si="17"/>
        <v>11708</v>
      </c>
      <c r="J739" s="113"/>
      <c r="K739" s="47">
        <v>3</v>
      </c>
    </row>
    <row r="740" spans="1:11" x14ac:dyDescent="0.25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4">
        <v>701</v>
      </c>
      <c r="G740" s="49">
        <v>5416</v>
      </c>
      <c r="H740" s="49">
        <f t="shared" si="16"/>
        <v>1120</v>
      </c>
      <c r="I740" s="114">
        <f t="shared" si="17"/>
        <v>11211</v>
      </c>
      <c r="J740" s="113"/>
      <c r="K740" s="47">
        <v>4</v>
      </c>
    </row>
    <row r="741" spans="1:11" x14ac:dyDescent="0.25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4">
        <v>365</v>
      </c>
      <c r="G741" s="49">
        <v>4877</v>
      </c>
      <c r="H741" s="49">
        <f t="shared" si="16"/>
        <v>1428</v>
      </c>
      <c r="I741" s="114">
        <f t="shared" si="17"/>
        <v>10400</v>
      </c>
      <c r="J741" s="113"/>
      <c r="K741" s="47">
        <v>5</v>
      </c>
    </row>
    <row r="742" spans="1:11" x14ac:dyDescent="0.25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4">
        <v>572</v>
      </c>
      <c r="G742" s="49">
        <v>5009</v>
      </c>
      <c r="H742" s="49">
        <f t="shared" si="16"/>
        <v>1089</v>
      </c>
      <c r="I742" s="114">
        <f t="shared" si="17"/>
        <v>9419</v>
      </c>
      <c r="J742" s="113"/>
      <c r="K742" s="47">
        <v>6</v>
      </c>
    </row>
    <row r="743" spans="1:11" x14ac:dyDescent="0.25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4">
        <v>588</v>
      </c>
      <c r="G743" s="49">
        <v>4679</v>
      </c>
      <c r="H743" s="49">
        <f t="shared" si="16"/>
        <v>829</v>
      </c>
      <c r="I743" s="114">
        <f t="shared" si="17"/>
        <v>9875</v>
      </c>
      <c r="J743" s="113"/>
      <c r="K743" s="47">
        <v>7</v>
      </c>
    </row>
    <row r="744" spans="1:11" x14ac:dyDescent="0.25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4">
        <v>526</v>
      </c>
      <c r="G744" s="49">
        <v>5137</v>
      </c>
      <c r="H744" s="49">
        <f t="shared" si="16"/>
        <v>866</v>
      </c>
      <c r="I744" s="114">
        <f t="shared" si="17"/>
        <v>11049</v>
      </c>
      <c r="J744" s="113"/>
      <c r="K744" s="47">
        <v>8</v>
      </c>
    </row>
    <row r="745" spans="1:11" x14ac:dyDescent="0.25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4">
        <v>539</v>
      </c>
      <c r="G745" s="49">
        <v>6205</v>
      </c>
      <c r="H745" s="49">
        <f t="shared" si="16"/>
        <v>1300</v>
      </c>
      <c r="I745" s="114">
        <f t="shared" si="17"/>
        <v>10383</v>
      </c>
      <c r="J745" s="113"/>
      <c r="K745" s="47">
        <v>9</v>
      </c>
    </row>
    <row r="746" spans="1:11" x14ac:dyDescent="0.25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4">
        <v>494</v>
      </c>
      <c r="G746" s="49">
        <v>7094</v>
      </c>
      <c r="H746" s="49">
        <f t="shared" si="16"/>
        <v>1014</v>
      </c>
      <c r="I746" s="114">
        <f t="shared" si="17"/>
        <v>12905</v>
      </c>
      <c r="J746" s="113"/>
      <c r="K746" s="47">
        <v>10</v>
      </c>
    </row>
    <row r="747" spans="1:11" x14ac:dyDescent="0.25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4">
        <v>706</v>
      </c>
      <c r="G747" s="49">
        <v>5685</v>
      </c>
      <c r="H747" s="49">
        <f t="shared" si="16"/>
        <v>1215</v>
      </c>
      <c r="I747" s="114">
        <f t="shared" si="17"/>
        <v>11201</v>
      </c>
      <c r="J747" s="113"/>
      <c r="K747" s="47">
        <v>11</v>
      </c>
    </row>
    <row r="748" spans="1:11" x14ac:dyDescent="0.25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4">
        <v>128</v>
      </c>
      <c r="G748" s="49">
        <v>5742</v>
      </c>
      <c r="H748" s="49">
        <f t="shared" si="16"/>
        <v>1221</v>
      </c>
      <c r="I748" s="114">
        <f t="shared" si="17"/>
        <v>11022</v>
      </c>
      <c r="J748" s="113"/>
      <c r="K748" s="47">
        <v>12</v>
      </c>
    </row>
    <row r="749" spans="1:11" x14ac:dyDescent="0.25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4">
        <v>749</v>
      </c>
      <c r="G749" s="49">
        <v>6333</v>
      </c>
      <c r="H749" s="49">
        <f t="shared" si="16"/>
        <v>983</v>
      </c>
      <c r="I749" s="114">
        <f t="shared" si="17"/>
        <v>10511</v>
      </c>
      <c r="J749" s="113"/>
      <c r="K749" s="47">
        <v>13</v>
      </c>
    </row>
    <row r="750" spans="1:11" x14ac:dyDescent="0.25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4">
        <v>811</v>
      </c>
      <c r="G750" s="49">
        <v>5944</v>
      </c>
      <c r="H750" s="49">
        <f t="shared" si="16"/>
        <v>765</v>
      </c>
      <c r="I750" s="114">
        <f t="shared" si="17"/>
        <v>10603</v>
      </c>
      <c r="J750" s="113"/>
      <c r="K750" s="47">
        <v>14</v>
      </c>
    </row>
    <row r="751" spans="1:11" x14ac:dyDescent="0.25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4">
        <v>834</v>
      </c>
      <c r="G751" s="49">
        <v>5496</v>
      </c>
      <c r="H751" s="49">
        <f t="shared" si="16"/>
        <v>784</v>
      </c>
      <c r="I751" s="114">
        <f t="shared" si="17"/>
        <v>10099</v>
      </c>
      <c r="J751" s="113"/>
      <c r="K751" s="47">
        <v>15</v>
      </c>
    </row>
    <row r="752" spans="1:11" x14ac:dyDescent="0.25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4">
        <v>533</v>
      </c>
      <c r="G752" s="49">
        <v>6118</v>
      </c>
      <c r="H752" s="49">
        <f t="shared" si="16"/>
        <v>553</v>
      </c>
      <c r="I752" s="114">
        <f t="shared" si="17"/>
        <v>11721</v>
      </c>
      <c r="J752" s="113"/>
      <c r="K752" s="47">
        <v>16</v>
      </c>
    </row>
    <row r="753" spans="1:11" x14ac:dyDescent="0.25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4">
        <v>885</v>
      </c>
      <c r="G753" s="49">
        <v>5808</v>
      </c>
      <c r="H753" s="49">
        <f t="shared" si="16"/>
        <v>475</v>
      </c>
      <c r="I753" s="114">
        <f t="shared" si="17"/>
        <v>9194</v>
      </c>
      <c r="J753" s="113"/>
      <c r="K753" s="47">
        <v>17</v>
      </c>
    </row>
    <row r="754" spans="1:11" x14ac:dyDescent="0.25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4">
        <v>709</v>
      </c>
      <c r="G754" s="49">
        <v>6069</v>
      </c>
      <c r="H754" s="49">
        <f t="shared" si="16"/>
        <v>711</v>
      </c>
      <c r="I754" s="114">
        <f t="shared" si="17"/>
        <v>9792</v>
      </c>
      <c r="J754" s="113"/>
      <c r="K754" s="47">
        <v>18</v>
      </c>
    </row>
    <row r="755" spans="1:11" x14ac:dyDescent="0.25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4">
        <v>440</v>
      </c>
      <c r="G755" s="49">
        <v>6214</v>
      </c>
      <c r="H755" s="49">
        <f t="shared" si="16"/>
        <v>1064</v>
      </c>
      <c r="I755" s="114">
        <f t="shared" si="17"/>
        <v>10423</v>
      </c>
      <c r="J755" s="113"/>
      <c r="K755" s="47">
        <v>19</v>
      </c>
    </row>
    <row r="756" spans="1:11" x14ac:dyDescent="0.25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4">
        <v>779</v>
      </c>
      <c r="G756" s="49">
        <v>5062</v>
      </c>
      <c r="H756" s="49">
        <f t="shared" si="16"/>
        <v>535</v>
      </c>
      <c r="I756" s="114">
        <f t="shared" si="17"/>
        <v>8303</v>
      </c>
      <c r="J756" s="113"/>
      <c r="K756" s="47">
        <v>20</v>
      </c>
    </row>
    <row r="757" spans="1:11" x14ac:dyDescent="0.25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4">
        <v>596</v>
      </c>
      <c r="G757" s="49">
        <v>5564</v>
      </c>
      <c r="H757" s="49">
        <f t="shared" si="16"/>
        <v>378</v>
      </c>
      <c r="I757" s="114">
        <f t="shared" si="17"/>
        <v>7938</v>
      </c>
      <c r="J757" s="113"/>
      <c r="K757" s="47">
        <v>21</v>
      </c>
    </row>
    <row r="758" spans="1:11" x14ac:dyDescent="0.25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4">
        <v>918</v>
      </c>
      <c r="G758" s="49">
        <v>6118</v>
      </c>
      <c r="H758" s="49">
        <f t="shared" si="16"/>
        <v>285</v>
      </c>
      <c r="I758" s="114">
        <f t="shared" si="17"/>
        <v>8590</v>
      </c>
      <c r="J758" s="113"/>
      <c r="K758" s="47">
        <v>22</v>
      </c>
    </row>
    <row r="759" spans="1:11" x14ac:dyDescent="0.25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4">
        <v>600</v>
      </c>
      <c r="G759" s="49">
        <v>5324</v>
      </c>
      <c r="H759" s="49">
        <f t="shared" si="16"/>
        <v>186</v>
      </c>
      <c r="I759" s="114">
        <f t="shared" si="17"/>
        <v>8377</v>
      </c>
      <c r="J759" s="113"/>
      <c r="K759" s="47">
        <v>23</v>
      </c>
    </row>
    <row r="760" spans="1:11" x14ac:dyDescent="0.25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4">
        <v>169</v>
      </c>
      <c r="G760" s="49">
        <v>5597</v>
      </c>
      <c r="H760" s="49">
        <f t="shared" si="16"/>
        <v>173</v>
      </c>
      <c r="I760" s="114">
        <f t="shared" si="17"/>
        <v>8473</v>
      </c>
      <c r="J760" s="113"/>
      <c r="K760" s="47">
        <v>24</v>
      </c>
    </row>
    <row r="761" spans="1:11" x14ac:dyDescent="0.25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4">
        <v>484</v>
      </c>
      <c r="G761" s="49">
        <v>4735</v>
      </c>
      <c r="H761" s="49">
        <f t="shared" si="16"/>
        <v>33</v>
      </c>
      <c r="I761" s="114">
        <f t="shared" si="17"/>
        <v>7035</v>
      </c>
      <c r="J761" s="113"/>
      <c r="K761" s="47">
        <v>25</v>
      </c>
    </row>
    <row r="762" spans="1:11" x14ac:dyDescent="0.25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4">
        <v>236</v>
      </c>
      <c r="G762" s="92">
        <v>5687</v>
      </c>
      <c r="H762" s="49">
        <f t="shared" si="16"/>
        <v>183</v>
      </c>
      <c r="I762" s="114">
        <f t="shared" si="17"/>
        <v>8989</v>
      </c>
      <c r="J762" s="113"/>
      <c r="K762" s="47">
        <v>26</v>
      </c>
    </row>
    <row r="763" spans="1:11" x14ac:dyDescent="0.25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4">
        <v>684</v>
      </c>
      <c r="G763" s="92">
        <v>4618</v>
      </c>
      <c r="H763" s="92">
        <f t="shared" si="16"/>
        <v>520</v>
      </c>
      <c r="I763" s="114">
        <f t="shared" si="17"/>
        <v>9200</v>
      </c>
      <c r="J763" s="113"/>
      <c r="K763" s="47">
        <v>27</v>
      </c>
    </row>
    <row r="764" spans="1:11" x14ac:dyDescent="0.25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4">
        <v>471</v>
      </c>
      <c r="G764" s="49">
        <v>4254</v>
      </c>
      <c r="H764" s="49">
        <f t="shared" si="16"/>
        <v>322</v>
      </c>
      <c r="I764" s="114">
        <f t="shared" si="17"/>
        <v>9383</v>
      </c>
      <c r="J764" s="113"/>
      <c r="K764" s="47">
        <v>28</v>
      </c>
    </row>
    <row r="765" spans="1:11" x14ac:dyDescent="0.25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4">
        <v>263</v>
      </c>
      <c r="G765" s="49">
        <v>4670</v>
      </c>
      <c r="H765" s="49">
        <f t="shared" si="16"/>
        <v>669</v>
      </c>
      <c r="I765" s="114">
        <f t="shared" si="17"/>
        <v>10071</v>
      </c>
      <c r="J765" s="113"/>
      <c r="K765" s="47">
        <v>29</v>
      </c>
    </row>
    <row r="766" spans="1:11" x14ac:dyDescent="0.25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4">
        <v>782</v>
      </c>
      <c r="G766" s="49">
        <v>5498</v>
      </c>
      <c r="H766" s="49">
        <f t="shared" si="16"/>
        <v>542</v>
      </c>
      <c r="I766" s="114">
        <f t="shared" si="17"/>
        <v>11049</v>
      </c>
      <c r="J766" s="113"/>
      <c r="K766" s="47">
        <v>30</v>
      </c>
    </row>
    <row r="767" spans="1:11" x14ac:dyDescent="0.25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4">
        <v>258</v>
      </c>
      <c r="G767" s="49">
        <v>5036</v>
      </c>
      <c r="H767" s="49">
        <f t="shared" si="16"/>
        <v>125</v>
      </c>
      <c r="I767" s="114">
        <f t="shared" si="17"/>
        <v>9105</v>
      </c>
      <c r="J767" s="113"/>
      <c r="K767" s="47">
        <v>31</v>
      </c>
    </row>
    <row r="768" spans="1:11" x14ac:dyDescent="0.25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4">
        <v>959</v>
      </c>
      <c r="G768" s="49">
        <v>3381</v>
      </c>
      <c r="H768" s="49">
        <f t="shared" si="16"/>
        <v>131</v>
      </c>
      <c r="I768" s="114">
        <f t="shared" si="17"/>
        <v>7114</v>
      </c>
      <c r="J768" s="113"/>
      <c r="K768" s="47">
        <v>32</v>
      </c>
    </row>
    <row r="769" spans="1:12" x14ac:dyDescent="0.25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4">
        <v>504</v>
      </c>
      <c r="G769" s="49">
        <v>3121</v>
      </c>
      <c r="H769" s="49">
        <f t="shared" si="16"/>
        <v>66</v>
      </c>
      <c r="I769" s="114">
        <f t="shared" si="17"/>
        <v>8116</v>
      </c>
      <c r="J769" s="113"/>
      <c r="K769" s="47">
        <v>33</v>
      </c>
    </row>
    <row r="770" spans="1:12" x14ac:dyDescent="0.25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4">
        <v>749</v>
      </c>
      <c r="G770" s="49">
        <v>2139</v>
      </c>
      <c r="H770" s="49">
        <f t="shared" si="16"/>
        <v>175</v>
      </c>
      <c r="I770" s="114">
        <f t="shared" si="17"/>
        <v>6251</v>
      </c>
      <c r="J770" s="113"/>
      <c r="K770" s="47">
        <v>34</v>
      </c>
    </row>
    <row r="771" spans="1:12" x14ac:dyDescent="0.25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4">
        <v>631</v>
      </c>
      <c r="G771" s="49">
        <v>3849</v>
      </c>
      <c r="H771" s="49">
        <f t="shared" si="16"/>
        <v>196</v>
      </c>
      <c r="I771" s="114">
        <f t="shared" si="17"/>
        <v>7707</v>
      </c>
      <c r="J771" s="113"/>
      <c r="K771" s="47">
        <v>35</v>
      </c>
    </row>
    <row r="772" spans="1:12" x14ac:dyDescent="0.25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4">
        <v>479</v>
      </c>
      <c r="G772" s="49">
        <v>3780</v>
      </c>
      <c r="H772" s="49">
        <f t="shared" si="16"/>
        <v>300</v>
      </c>
      <c r="I772" s="114">
        <f t="shared" si="17"/>
        <v>6907</v>
      </c>
      <c r="J772" s="113"/>
      <c r="K772" s="47">
        <v>36</v>
      </c>
    </row>
    <row r="773" spans="1:12" x14ac:dyDescent="0.25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4">
        <v>247</v>
      </c>
      <c r="G773" s="49">
        <v>4931</v>
      </c>
      <c r="H773" s="49">
        <f t="shared" si="16"/>
        <v>402</v>
      </c>
      <c r="I773" s="114">
        <f t="shared" si="17"/>
        <v>7716</v>
      </c>
      <c r="J773" s="113"/>
      <c r="K773" s="47">
        <v>37</v>
      </c>
    </row>
    <row r="774" spans="1:12" x14ac:dyDescent="0.25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4">
        <v>337</v>
      </c>
      <c r="G774" s="49">
        <v>4609</v>
      </c>
      <c r="H774" s="49">
        <f t="shared" si="16"/>
        <v>316</v>
      </c>
      <c r="I774" s="114">
        <f t="shared" si="17"/>
        <v>6315</v>
      </c>
      <c r="J774" s="113"/>
      <c r="K774" s="47">
        <v>38</v>
      </c>
    </row>
    <row r="775" spans="1:12" x14ac:dyDescent="0.25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4">
        <v>1172</v>
      </c>
      <c r="G775" s="49">
        <v>4375</v>
      </c>
      <c r="H775" s="49">
        <f t="shared" si="16"/>
        <v>518</v>
      </c>
      <c r="I775" s="114">
        <f t="shared" si="17"/>
        <v>7646</v>
      </c>
      <c r="J775" s="113"/>
      <c r="K775" s="47">
        <v>39</v>
      </c>
    </row>
    <row r="776" spans="1:12" x14ac:dyDescent="0.25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4">
        <v>552</v>
      </c>
      <c r="G776" s="49">
        <v>4232</v>
      </c>
      <c r="H776" s="49">
        <f t="shared" ref="H776:H840" si="18">B776+C776</f>
        <v>219</v>
      </c>
      <c r="I776" s="114">
        <f t="shared" si="17"/>
        <v>7851</v>
      </c>
      <c r="J776" s="113"/>
      <c r="K776" s="47">
        <v>40</v>
      </c>
    </row>
    <row r="777" spans="1:12" x14ac:dyDescent="0.25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4">
        <v>905</v>
      </c>
      <c r="G777" s="49">
        <v>4224</v>
      </c>
      <c r="H777" s="49">
        <f t="shared" si="18"/>
        <v>475</v>
      </c>
      <c r="I777" s="114">
        <f t="shared" si="17"/>
        <v>7752</v>
      </c>
      <c r="J777" s="208">
        <v>2414</v>
      </c>
      <c r="K777" s="47">
        <v>41</v>
      </c>
      <c r="L777" s="216">
        <v>39725</v>
      </c>
    </row>
    <row r="778" spans="1:12" x14ac:dyDescent="0.25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4">
        <v>1163</v>
      </c>
      <c r="G778" s="49">
        <v>6194</v>
      </c>
      <c r="H778" s="49">
        <f t="shared" si="18"/>
        <v>735</v>
      </c>
      <c r="I778" s="114">
        <f t="shared" si="17"/>
        <v>11074</v>
      </c>
      <c r="J778" s="208">
        <v>2899.35</v>
      </c>
      <c r="K778" s="47">
        <v>42</v>
      </c>
      <c r="L778" s="217">
        <f t="shared" ref="L778:L841" si="19">L777+7</f>
        <v>39732</v>
      </c>
    </row>
    <row r="779" spans="1:12" x14ac:dyDescent="0.25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4">
        <v>742</v>
      </c>
      <c r="G779" s="49">
        <v>5892</v>
      </c>
      <c r="H779" s="49">
        <f t="shared" si="18"/>
        <v>711</v>
      </c>
      <c r="I779" s="114">
        <f t="shared" si="17"/>
        <v>9828</v>
      </c>
      <c r="J779" s="208">
        <v>2689.4</v>
      </c>
      <c r="K779" s="47">
        <v>43</v>
      </c>
      <c r="L779" s="217">
        <f t="shared" si="19"/>
        <v>39739</v>
      </c>
    </row>
    <row r="780" spans="1:12" x14ac:dyDescent="0.25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4">
        <v>1536</v>
      </c>
      <c r="G780" s="49">
        <v>4808</v>
      </c>
      <c r="H780" s="49">
        <f t="shared" si="18"/>
        <v>702</v>
      </c>
      <c r="I780" s="114">
        <f t="shared" si="17"/>
        <v>9009</v>
      </c>
      <c r="J780" s="208">
        <v>2816.0499999999997</v>
      </c>
      <c r="K780" s="47">
        <v>44</v>
      </c>
      <c r="L780" s="217">
        <f t="shared" si="19"/>
        <v>39746</v>
      </c>
    </row>
    <row r="781" spans="1:12" x14ac:dyDescent="0.25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4">
        <v>2213</v>
      </c>
      <c r="G781" s="49">
        <v>4869</v>
      </c>
      <c r="H781" s="49">
        <f t="shared" si="18"/>
        <v>746</v>
      </c>
      <c r="I781" s="114">
        <f t="shared" si="17"/>
        <v>7863</v>
      </c>
      <c r="J781" s="208">
        <v>1905.7</v>
      </c>
      <c r="K781" s="47">
        <v>45</v>
      </c>
      <c r="L781" s="217">
        <f t="shared" si="19"/>
        <v>39753</v>
      </c>
    </row>
    <row r="782" spans="1:12" x14ac:dyDescent="0.25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4">
        <v>984</v>
      </c>
      <c r="G782" s="49">
        <v>3103</v>
      </c>
      <c r="H782" s="49">
        <f t="shared" si="18"/>
        <v>402</v>
      </c>
      <c r="I782" s="114">
        <f t="shared" si="17"/>
        <v>5862</v>
      </c>
      <c r="J782" s="208">
        <v>2415.6999999999998</v>
      </c>
      <c r="K782" s="47">
        <v>46</v>
      </c>
      <c r="L782" s="217">
        <f t="shared" si="19"/>
        <v>39760</v>
      </c>
    </row>
    <row r="783" spans="1:12" x14ac:dyDescent="0.25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4">
        <v>1459</v>
      </c>
      <c r="G783" s="49">
        <v>3988</v>
      </c>
      <c r="H783" s="49">
        <f t="shared" si="18"/>
        <v>1130</v>
      </c>
      <c r="I783" s="114">
        <f t="shared" si="17"/>
        <v>7093</v>
      </c>
      <c r="J783" s="208">
        <v>2061.25</v>
      </c>
      <c r="K783" s="47">
        <v>47</v>
      </c>
      <c r="L783" s="217">
        <f t="shared" si="19"/>
        <v>39767</v>
      </c>
    </row>
    <row r="784" spans="1:12" x14ac:dyDescent="0.25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4">
        <v>1105</v>
      </c>
      <c r="G784" s="49">
        <v>3757</v>
      </c>
      <c r="H784" s="49">
        <f t="shared" si="18"/>
        <v>539</v>
      </c>
      <c r="I784" s="114">
        <f t="shared" si="17"/>
        <v>6861</v>
      </c>
      <c r="J784" s="208">
        <v>2119.9</v>
      </c>
      <c r="K784" s="47">
        <v>48</v>
      </c>
      <c r="L784" s="217">
        <f t="shared" si="19"/>
        <v>39774</v>
      </c>
    </row>
    <row r="785" spans="1:12" x14ac:dyDescent="0.25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4">
        <v>1264</v>
      </c>
      <c r="G785" s="49">
        <v>4500</v>
      </c>
      <c r="H785" s="49">
        <f t="shared" si="18"/>
        <v>450</v>
      </c>
      <c r="I785" s="114">
        <f t="shared" ref="I785:I848" si="20">SUM(D785:H785)-F785</f>
        <v>7095</v>
      </c>
      <c r="J785" s="208">
        <v>1609.05</v>
      </c>
      <c r="K785" s="47">
        <v>49</v>
      </c>
      <c r="L785" s="217">
        <f t="shared" si="19"/>
        <v>39781</v>
      </c>
    </row>
    <row r="786" spans="1:12" x14ac:dyDescent="0.25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4">
        <v>903</v>
      </c>
      <c r="G786" s="49">
        <v>4069</v>
      </c>
      <c r="H786" s="49">
        <f t="shared" si="18"/>
        <v>788</v>
      </c>
      <c r="I786" s="114">
        <f t="shared" si="20"/>
        <v>6735</v>
      </c>
      <c r="J786" s="208">
        <v>1495.1499999999999</v>
      </c>
      <c r="K786" s="47">
        <v>50</v>
      </c>
      <c r="L786" s="217">
        <f t="shared" si="19"/>
        <v>39788</v>
      </c>
    </row>
    <row r="787" spans="1:12" x14ac:dyDescent="0.25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4">
        <v>629</v>
      </c>
      <c r="G787" s="49">
        <v>2873</v>
      </c>
      <c r="H787" s="49">
        <f t="shared" si="18"/>
        <v>702</v>
      </c>
      <c r="I787" s="114">
        <f t="shared" si="20"/>
        <v>5087</v>
      </c>
      <c r="J787" s="208">
        <v>1535.95</v>
      </c>
      <c r="K787" s="47">
        <v>51</v>
      </c>
      <c r="L787" s="217">
        <f t="shared" si="19"/>
        <v>39795</v>
      </c>
    </row>
    <row r="788" spans="1:12" x14ac:dyDescent="0.25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4">
        <v>1079</v>
      </c>
      <c r="G788" s="49">
        <v>2049</v>
      </c>
      <c r="H788" s="49">
        <f t="shared" si="18"/>
        <v>404</v>
      </c>
      <c r="I788" s="114">
        <f t="shared" si="20"/>
        <v>3930</v>
      </c>
      <c r="J788" s="208">
        <v>1155.1499999999999</v>
      </c>
      <c r="K788" s="47">
        <v>52</v>
      </c>
      <c r="L788" s="217">
        <f t="shared" si="19"/>
        <v>39802</v>
      </c>
    </row>
    <row r="789" spans="1:12" x14ac:dyDescent="0.25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4">
        <v>463</v>
      </c>
      <c r="G789" s="49">
        <v>2367</v>
      </c>
      <c r="H789" s="49">
        <f t="shared" si="18"/>
        <v>288</v>
      </c>
      <c r="I789" s="114">
        <f t="shared" si="20"/>
        <v>4389</v>
      </c>
      <c r="J789" s="208">
        <v>1412.7</v>
      </c>
      <c r="K789" s="47">
        <v>53</v>
      </c>
      <c r="L789" s="217">
        <f t="shared" si="19"/>
        <v>39809</v>
      </c>
    </row>
    <row r="790" spans="1:12" x14ac:dyDescent="0.25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4">
        <v>992</v>
      </c>
      <c r="G790" s="49">
        <v>1702</v>
      </c>
      <c r="H790" s="49">
        <f t="shared" si="18"/>
        <v>510</v>
      </c>
      <c r="I790" s="114">
        <f t="shared" si="20"/>
        <v>3773</v>
      </c>
      <c r="J790" s="208">
        <v>1072.7</v>
      </c>
      <c r="K790" s="47">
        <v>1</v>
      </c>
      <c r="L790" s="218">
        <f t="shared" si="19"/>
        <v>39816</v>
      </c>
    </row>
    <row r="791" spans="1:12" x14ac:dyDescent="0.25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4">
        <v>648</v>
      </c>
      <c r="G791" s="49">
        <v>2998</v>
      </c>
      <c r="H791" s="49">
        <f t="shared" si="18"/>
        <v>596</v>
      </c>
      <c r="I791" s="114">
        <f t="shared" si="20"/>
        <v>5132</v>
      </c>
      <c r="J791" s="222">
        <v>1795.8107130940782</v>
      </c>
      <c r="K791" s="47">
        <v>2</v>
      </c>
      <c r="L791" s="216">
        <f t="shared" si="19"/>
        <v>39823</v>
      </c>
    </row>
    <row r="792" spans="1:12" x14ac:dyDescent="0.25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4">
        <v>593</v>
      </c>
      <c r="G792" s="49">
        <v>3462</v>
      </c>
      <c r="H792" s="49">
        <f t="shared" si="18"/>
        <v>515</v>
      </c>
      <c r="I792" s="114">
        <f t="shared" si="20"/>
        <v>5778</v>
      </c>
      <c r="J792" s="222">
        <v>1109.5724752092035</v>
      </c>
      <c r="K792" s="47">
        <v>3</v>
      </c>
      <c r="L792" s="217">
        <f t="shared" si="19"/>
        <v>39830</v>
      </c>
    </row>
    <row r="793" spans="1:12" x14ac:dyDescent="0.25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4">
        <v>1175</v>
      </c>
      <c r="G793" s="49">
        <v>3373</v>
      </c>
      <c r="H793" s="49">
        <f t="shared" si="18"/>
        <v>697</v>
      </c>
      <c r="I793" s="114">
        <f t="shared" si="20"/>
        <v>5709</v>
      </c>
      <c r="J793" s="222">
        <v>1215.4060345402859</v>
      </c>
      <c r="K793" s="47">
        <v>4</v>
      </c>
      <c r="L793" s="217">
        <f t="shared" si="19"/>
        <v>39837</v>
      </c>
    </row>
    <row r="794" spans="1:12" x14ac:dyDescent="0.25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4">
        <v>464</v>
      </c>
      <c r="G794" s="49">
        <v>4435</v>
      </c>
      <c r="H794" s="49">
        <f t="shared" si="18"/>
        <v>687</v>
      </c>
      <c r="I794" s="114">
        <f t="shared" si="20"/>
        <v>7793</v>
      </c>
      <c r="J794" s="222">
        <v>1408.5942777636901</v>
      </c>
      <c r="K794" s="47">
        <v>5</v>
      </c>
      <c r="L794" s="217">
        <f t="shared" si="19"/>
        <v>39844</v>
      </c>
    </row>
    <row r="795" spans="1:12" x14ac:dyDescent="0.25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4">
        <v>895</v>
      </c>
      <c r="G795" s="49">
        <v>3855</v>
      </c>
      <c r="H795" s="49">
        <f t="shared" si="18"/>
        <v>806</v>
      </c>
      <c r="I795" s="114">
        <f t="shared" si="20"/>
        <v>7457</v>
      </c>
      <c r="J795" s="222">
        <v>781.99241061299665</v>
      </c>
      <c r="K795" s="47">
        <v>6</v>
      </c>
      <c r="L795" s="217">
        <f t="shared" si="19"/>
        <v>39851</v>
      </c>
    </row>
    <row r="796" spans="1:12" x14ac:dyDescent="0.25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4">
        <v>619</v>
      </c>
      <c r="G796" s="49">
        <v>3306</v>
      </c>
      <c r="H796" s="49">
        <f t="shared" si="18"/>
        <v>728</v>
      </c>
      <c r="I796" s="114">
        <f t="shared" si="20"/>
        <v>6505</v>
      </c>
      <c r="J796" s="222">
        <v>1562.3049234588332</v>
      </c>
      <c r="K796" s="47">
        <v>7</v>
      </c>
      <c r="L796" s="217">
        <f t="shared" si="19"/>
        <v>39858</v>
      </c>
    </row>
    <row r="797" spans="1:12" x14ac:dyDescent="0.25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4">
        <v>1200</v>
      </c>
      <c r="G797" s="49">
        <v>3714</v>
      </c>
      <c r="H797" s="49">
        <f t="shared" si="18"/>
        <v>593</v>
      </c>
      <c r="I797" s="114">
        <f t="shared" si="20"/>
        <v>6057</v>
      </c>
      <c r="J797" s="222">
        <v>1277.5622519252072</v>
      </c>
      <c r="K797" s="47">
        <v>8</v>
      </c>
      <c r="L797" s="217">
        <f t="shared" si="19"/>
        <v>39865</v>
      </c>
    </row>
    <row r="798" spans="1:12" x14ac:dyDescent="0.25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4">
        <v>834</v>
      </c>
      <c r="G798" s="49">
        <v>3462</v>
      </c>
      <c r="H798" s="49">
        <f t="shared" si="18"/>
        <v>755</v>
      </c>
      <c r="I798" s="114">
        <f t="shared" si="20"/>
        <v>6732</v>
      </c>
      <c r="J798" s="222">
        <v>1869.7262148491197</v>
      </c>
      <c r="K798" s="47">
        <v>9</v>
      </c>
      <c r="L798" s="217">
        <f t="shared" si="19"/>
        <v>39872</v>
      </c>
    </row>
    <row r="799" spans="1:12" x14ac:dyDescent="0.25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4">
        <v>1325</v>
      </c>
      <c r="G799" s="49">
        <v>3772</v>
      </c>
      <c r="H799" s="49">
        <f t="shared" si="18"/>
        <v>703</v>
      </c>
      <c r="I799" s="114">
        <f t="shared" si="20"/>
        <v>6442</v>
      </c>
      <c r="J799" s="222">
        <v>1662.2588406048553</v>
      </c>
      <c r="K799" s="47">
        <v>10</v>
      </c>
      <c r="L799" s="217">
        <f t="shared" si="19"/>
        <v>39879</v>
      </c>
    </row>
    <row r="800" spans="1:12" x14ac:dyDescent="0.25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4">
        <v>345</v>
      </c>
      <c r="G800" s="49">
        <v>3028</v>
      </c>
      <c r="H800" s="49">
        <f t="shared" si="18"/>
        <v>485</v>
      </c>
      <c r="I800" s="114">
        <f t="shared" si="20"/>
        <v>4877</v>
      </c>
      <c r="J800" s="222">
        <v>1280.9220474595272</v>
      </c>
      <c r="K800" s="47">
        <v>11</v>
      </c>
      <c r="L800" s="217">
        <f t="shared" si="19"/>
        <v>39886</v>
      </c>
    </row>
    <row r="801" spans="1:12" x14ac:dyDescent="0.25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4">
        <v>957</v>
      </c>
      <c r="G801" s="49">
        <v>4022</v>
      </c>
      <c r="H801" s="49">
        <f t="shared" si="18"/>
        <v>728</v>
      </c>
      <c r="I801" s="114">
        <f t="shared" si="20"/>
        <v>5586</v>
      </c>
      <c r="J801" s="222">
        <v>999.53917146022127</v>
      </c>
      <c r="K801" s="47">
        <v>12</v>
      </c>
      <c r="L801" s="217">
        <f t="shared" si="19"/>
        <v>39893</v>
      </c>
    </row>
    <row r="802" spans="1:12" x14ac:dyDescent="0.25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4">
        <v>441</v>
      </c>
      <c r="G802" s="49">
        <v>3355</v>
      </c>
      <c r="H802" s="49">
        <f t="shared" si="18"/>
        <v>705</v>
      </c>
      <c r="I802" s="114">
        <f t="shared" si="20"/>
        <v>5753</v>
      </c>
      <c r="J802" s="222">
        <v>952.5020339797403</v>
      </c>
      <c r="K802" s="47">
        <v>13</v>
      </c>
      <c r="L802" s="217">
        <f t="shared" si="19"/>
        <v>39900</v>
      </c>
    </row>
    <row r="803" spans="1:12" x14ac:dyDescent="0.25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4">
        <v>1000</v>
      </c>
      <c r="G803" s="49">
        <v>3911</v>
      </c>
      <c r="H803" s="49">
        <f t="shared" si="18"/>
        <v>384</v>
      </c>
      <c r="I803" s="114">
        <f t="shared" si="20"/>
        <v>5257</v>
      </c>
      <c r="J803" s="222">
        <v>1392.6352489756696</v>
      </c>
      <c r="K803" s="47">
        <v>14</v>
      </c>
      <c r="L803" s="217">
        <f t="shared" si="19"/>
        <v>39907</v>
      </c>
    </row>
    <row r="804" spans="1:12" x14ac:dyDescent="0.25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4">
        <v>665</v>
      </c>
      <c r="G804" s="49">
        <v>4229</v>
      </c>
      <c r="H804" s="49">
        <f t="shared" si="18"/>
        <v>594</v>
      </c>
      <c r="I804" s="114">
        <f t="shared" si="20"/>
        <v>5411</v>
      </c>
      <c r="J804" s="222">
        <v>730.75552871461559</v>
      </c>
      <c r="K804" s="47">
        <f t="shared" ref="K804:K841" si="22">K803+1</f>
        <v>15</v>
      </c>
      <c r="L804" s="216">
        <f t="shared" si="19"/>
        <v>39914</v>
      </c>
    </row>
    <row r="805" spans="1:12" x14ac:dyDescent="0.25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4">
        <v>645</v>
      </c>
      <c r="G805" s="49">
        <v>3338</v>
      </c>
      <c r="H805" s="49">
        <f t="shared" si="18"/>
        <v>278</v>
      </c>
      <c r="I805" s="114">
        <f t="shared" si="20"/>
        <v>4227</v>
      </c>
      <c r="J805" s="222">
        <v>847.508423532238</v>
      </c>
      <c r="K805" s="47">
        <f t="shared" si="22"/>
        <v>16</v>
      </c>
      <c r="L805" s="217">
        <f t="shared" si="19"/>
        <v>39921</v>
      </c>
    </row>
    <row r="806" spans="1:12" x14ac:dyDescent="0.25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4">
        <v>712</v>
      </c>
      <c r="G806" s="49">
        <v>3890</v>
      </c>
      <c r="H806" s="49">
        <f t="shared" si="18"/>
        <v>203</v>
      </c>
      <c r="I806" s="114">
        <f t="shared" si="20"/>
        <v>4901</v>
      </c>
      <c r="J806" s="222">
        <v>1693.3369492973159</v>
      </c>
      <c r="K806" s="47">
        <f t="shared" si="22"/>
        <v>17</v>
      </c>
      <c r="L806" s="217">
        <f t="shared" si="19"/>
        <v>39928</v>
      </c>
    </row>
    <row r="807" spans="1:12" x14ac:dyDescent="0.25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4">
        <v>659</v>
      </c>
      <c r="G807" s="49">
        <v>2894</v>
      </c>
      <c r="H807" s="49">
        <f t="shared" si="18"/>
        <v>565</v>
      </c>
      <c r="I807" s="114">
        <f t="shared" si="20"/>
        <v>4951</v>
      </c>
      <c r="J807" s="222">
        <v>973.50075606924077</v>
      </c>
      <c r="K807" s="47">
        <f t="shared" si="22"/>
        <v>18</v>
      </c>
      <c r="L807" s="217">
        <f t="shared" si="19"/>
        <v>39935</v>
      </c>
    </row>
    <row r="808" spans="1:12" x14ac:dyDescent="0.25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4">
        <v>1272</v>
      </c>
      <c r="G808" s="49">
        <v>2561</v>
      </c>
      <c r="H808" s="49">
        <f t="shared" si="18"/>
        <v>127</v>
      </c>
      <c r="I808" s="114">
        <f t="shared" si="20"/>
        <v>3060</v>
      </c>
      <c r="J808" s="222">
        <v>1049.0961555914423</v>
      </c>
      <c r="K808" s="47">
        <f t="shared" si="22"/>
        <v>19</v>
      </c>
      <c r="L808" s="217">
        <f t="shared" si="19"/>
        <v>39942</v>
      </c>
    </row>
    <row r="809" spans="1:12" x14ac:dyDescent="0.25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4">
        <v>669</v>
      </c>
      <c r="G809" s="49">
        <v>1989</v>
      </c>
      <c r="H809" s="49">
        <f t="shared" si="18"/>
        <v>241</v>
      </c>
      <c r="I809" s="114">
        <f t="shared" si="20"/>
        <v>2892</v>
      </c>
      <c r="J809" s="222">
        <v>1656.3791984197953</v>
      </c>
      <c r="K809" s="47">
        <f t="shared" si="22"/>
        <v>20</v>
      </c>
      <c r="L809" s="217">
        <f t="shared" si="19"/>
        <v>39949</v>
      </c>
    </row>
    <row r="810" spans="1:12" x14ac:dyDescent="0.25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4">
        <v>545</v>
      </c>
      <c r="G810" s="98">
        <v>2117</v>
      </c>
      <c r="H810" s="49">
        <f t="shared" si="18"/>
        <v>416</v>
      </c>
      <c r="I810" s="114">
        <f t="shared" si="20"/>
        <v>3595</v>
      </c>
      <c r="J810" s="222">
        <v>2149.429193081266</v>
      </c>
      <c r="K810" s="47">
        <f t="shared" si="22"/>
        <v>21</v>
      </c>
      <c r="L810" s="217">
        <f t="shared" si="19"/>
        <v>39956</v>
      </c>
    </row>
    <row r="811" spans="1:12" x14ac:dyDescent="0.25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4">
        <v>1070</v>
      </c>
      <c r="G811" s="49">
        <v>1897</v>
      </c>
      <c r="H811" s="49">
        <f t="shared" si="18"/>
        <v>467</v>
      </c>
      <c r="I811" s="114">
        <f t="shared" si="20"/>
        <v>4095</v>
      </c>
      <c r="J811" s="222">
        <v>1309.4803095012478</v>
      </c>
      <c r="K811" s="47">
        <f t="shared" si="22"/>
        <v>22</v>
      </c>
      <c r="L811" s="217">
        <f t="shared" si="19"/>
        <v>39963</v>
      </c>
    </row>
    <row r="812" spans="1:12" x14ac:dyDescent="0.25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4">
        <v>859</v>
      </c>
      <c r="G812" s="49">
        <v>1402</v>
      </c>
      <c r="H812" s="49">
        <f t="shared" si="18"/>
        <v>401</v>
      </c>
      <c r="I812" s="114">
        <f t="shared" si="20"/>
        <v>2191</v>
      </c>
      <c r="J812" s="222">
        <v>1838.648106156659</v>
      </c>
      <c r="K812" s="47">
        <f t="shared" si="22"/>
        <v>23</v>
      </c>
      <c r="L812" s="217">
        <f t="shared" si="19"/>
        <v>39970</v>
      </c>
    </row>
    <row r="813" spans="1:12" x14ac:dyDescent="0.25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4">
        <v>732</v>
      </c>
      <c r="G813" s="49">
        <v>1887</v>
      </c>
      <c r="H813" s="49">
        <f t="shared" si="18"/>
        <v>455</v>
      </c>
      <c r="I813" s="114">
        <f t="shared" si="20"/>
        <v>3008</v>
      </c>
      <c r="J813" s="222">
        <v>1931.042483350461</v>
      </c>
      <c r="K813" s="47">
        <f t="shared" si="22"/>
        <v>24</v>
      </c>
      <c r="L813" s="217">
        <f t="shared" si="19"/>
        <v>39977</v>
      </c>
    </row>
    <row r="814" spans="1:12" x14ac:dyDescent="0.25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4">
        <f t="shared" si="20"/>
        <v>4059</v>
      </c>
      <c r="J814" s="222">
        <v>1102.8528841405634</v>
      </c>
      <c r="K814" s="47">
        <f t="shared" si="22"/>
        <v>25</v>
      </c>
      <c r="L814" s="217">
        <f t="shared" si="19"/>
        <v>39984</v>
      </c>
    </row>
    <row r="815" spans="1:12" x14ac:dyDescent="0.25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4">
        <f t="shared" si="20"/>
        <v>3906</v>
      </c>
      <c r="J815" s="222">
        <v>1679.0578182764557</v>
      </c>
      <c r="K815" s="47">
        <f t="shared" si="22"/>
        <v>26</v>
      </c>
      <c r="L815" s="217">
        <f t="shared" si="19"/>
        <v>39991</v>
      </c>
    </row>
    <row r="816" spans="1:12" x14ac:dyDescent="0.25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4">
        <f t="shared" si="20"/>
        <v>4066</v>
      </c>
      <c r="J816" s="222">
        <v>1455.631415244171</v>
      </c>
      <c r="K816" s="47">
        <f t="shared" si="22"/>
        <v>27</v>
      </c>
      <c r="L816" s="217">
        <f t="shared" si="19"/>
        <v>39998</v>
      </c>
    </row>
    <row r="817" spans="1:12" x14ac:dyDescent="0.25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4">
        <f t="shared" si="20"/>
        <v>4914</v>
      </c>
      <c r="J817" s="222">
        <v>1044.8964111735422</v>
      </c>
      <c r="K817" s="47">
        <f t="shared" si="22"/>
        <v>28</v>
      </c>
      <c r="L817" s="219">
        <f t="shared" si="19"/>
        <v>40005</v>
      </c>
    </row>
    <row r="818" spans="1:12" x14ac:dyDescent="0.25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4">
        <f t="shared" si="20"/>
        <v>4869</v>
      </c>
      <c r="J818" s="222">
        <v>1500.1487060739119</v>
      </c>
      <c r="K818" s="47">
        <f t="shared" si="22"/>
        <v>29</v>
      </c>
      <c r="L818" s="217">
        <f t="shared" si="19"/>
        <v>40012</v>
      </c>
    </row>
    <row r="819" spans="1:12" x14ac:dyDescent="0.25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4">
        <f t="shared" si="20"/>
        <v>4802</v>
      </c>
      <c r="J819" s="222">
        <v>1540.4662524857526</v>
      </c>
      <c r="K819" s="47">
        <f t="shared" si="22"/>
        <v>30</v>
      </c>
      <c r="L819" s="217">
        <f t="shared" si="19"/>
        <v>40019</v>
      </c>
    </row>
    <row r="820" spans="1:12" x14ac:dyDescent="0.25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4">
        <f t="shared" si="20"/>
        <v>3827</v>
      </c>
      <c r="J820" s="222">
        <v>1430.4329487367704</v>
      </c>
      <c r="K820" s="47">
        <f t="shared" si="22"/>
        <v>31</v>
      </c>
      <c r="L820" s="217">
        <f t="shared" si="19"/>
        <v>40026</v>
      </c>
    </row>
    <row r="821" spans="1:12" x14ac:dyDescent="0.25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4">
        <f t="shared" si="20"/>
        <v>5421</v>
      </c>
      <c r="J821" s="222">
        <v>1090.2536508868632</v>
      </c>
      <c r="K821" s="47">
        <f t="shared" si="22"/>
        <v>32</v>
      </c>
      <c r="L821" s="217">
        <f t="shared" si="19"/>
        <v>40033</v>
      </c>
    </row>
    <row r="822" spans="1:12" x14ac:dyDescent="0.25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4">
        <f t="shared" si="20"/>
        <v>4180</v>
      </c>
      <c r="J822" s="222">
        <v>1390.9553512085095</v>
      </c>
      <c r="K822" s="47">
        <f t="shared" si="22"/>
        <v>33</v>
      </c>
      <c r="L822" s="217">
        <f t="shared" si="19"/>
        <v>40040</v>
      </c>
    </row>
    <row r="823" spans="1:12" x14ac:dyDescent="0.25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4">
        <f t="shared" si="20"/>
        <v>4327</v>
      </c>
      <c r="J823" s="222">
        <v>1532.9067125335328</v>
      </c>
      <c r="K823" s="47">
        <f t="shared" si="22"/>
        <v>34</v>
      </c>
      <c r="L823" s="217">
        <f t="shared" si="19"/>
        <v>40047</v>
      </c>
    </row>
    <row r="824" spans="1:12" x14ac:dyDescent="0.25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4">
        <f t="shared" si="20"/>
        <v>4754</v>
      </c>
      <c r="J824" s="222">
        <v>1743.733882312117</v>
      </c>
      <c r="K824" s="47">
        <f t="shared" si="22"/>
        <v>35</v>
      </c>
      <c r="L824" s="217">
        <f t="shared" si="19"/>
        <v>40054</v>
      </c>
    </row>
    <row r="825" spans="1:12" x14ac:dyDescent="0.25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4">
        <f t="shared" si="20"/>
        <v>4839</v>
      </c>
      <c r="J825" s="222">
        <v>1411.9540732980099</v>
      </c>
      <c r="K825" s="47">
        <f t="shared" si="22"/>
        <v>36</v>
      </c>
      <c r="L825" s="217">
        <f t="shared" si="19"/>
        <v>40061</v>
      </c>
    </row>
    <row r="826" spans="1:12" x14ac:dyDescent="0.25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4">
        <f t="shared" si="20"/>
        <v>5179</v>
      </c>
      <c r="J826" s="222">
        <v>1124.6915551136437</v>
      </c>
      <c r="K826" s="47">
        <f t="shared" si="22"/>
        <v>37</v>
      </c>
      <c r="L826" s="217">
        <f t="shared" si="19"/>
        <v>40068</v>
      </c>
    </row>
    <row r="827" spans="1:12" x14ac:dyDescent="0.25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4">
        <f t="shared" si="20"/>
        <v>4902</v>
      </c>
      <c r="J827" s="222">
        <v>1044.8964111735422</v>
      </c>
      <c r="K827" s="47">
        <f t="shared" si="22"/>
        <v>38</v>
      </c>
      <c r="L827" s="217">
        <f t="shared" si="19"/>
        <v>40075</v>
      </c>
    </row>
    <row r="828" spans="1:12" x14ac:dyDescent="0.25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4">
        <f t="shared" si="20"/>
        <v>3911</v>
      </c>
      <c r="J828" s="222">
        <v>1123.8516062300639</v>
      </c>
      <c r="K828" s="47">
        <f t="shared" si="22"/>
        <v>39</v>
      </c>
      <c r="L828" s="217">
        <f t="shared" si="19"/>
        <v>40082</v>
      </c>
    </row>
    <row r="829" spans="1:12" x14ac:dyDescent="0.25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4">
        <f t="shared" si="20"/>
        <v>6849</v>
      </c>
      <c r="J829" s="222">
        <v>983.58014267220096</v>
      </c>
      <c r="K829" s="47">
        <f t="shared" si="22"/>
        <v>40</v>
      </c>
      <c r="L829" s="217">
        <f t="shared" si="19"/>
        <v>40089</v>
      </c>
    </row>
    <row r="830" spans="1:12" x14ac:dyDescent="0.25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4">
        <f t="shared" si="20"/>
        <v>8823</v>
      </c>
      <c r="J830" s="222">
        <v>1792.450917559758</v>
      </c>
      <c r="K830" s="47">
        <f t="shared" si="22"/>
        <v>41</v>
      </c>
      <c r="L830" s="219">
        <f t="shared" si="19"/>
        <v>40096</v>
      </c>
    </row>
    <row r="831" spans="1:12" x14ac:dyDescent="0.25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4">
        <f t="shared" si="20"/>
        <v>8982</v>
      </c>
      <c r="J831" s="222">
        <v>1779.0117354224778</v>
      </c>
      <c r="K831" s="47">
        <f t="shared" si="22"/>
        <v>42</v>
      </c>
      <c r="L831" s="217">
        <f t="shared" si="19"/>
        <v>40103</v>
      </c>
    </row>
    <row r="832" spans="1:12" x14ac:dyDescent="0.25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4">
        <f t="shared" si="20"/>
        <v>8432</v>
      </c>
      <c r="J832" s="222">
        <v>1581.6237477811737</v>
      </c>
      <c r="K832" s="47">
        <f t="shared" si="22"/>
        <v>43</v>
      </c>
      <c r="L832" s="217">
        <f t="shared" si="19"/>
        <v>40110</v>
      </c>
    </row>
    <row r="833" spans="1:12" x14ac:dyDescent="0.25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4">
        <f t="shared" si="20"/>
        <v>10210</v>
      </c>
      <c r="J833" s="222">
        <v>1506.8682971425519</v>
      </c>
      <c r="K833" s="47">
        <f t="shared" si="22"/>
        <v>44</v>
      </c>
      <c r="L833" s="217">
        <f t="shared" si="19"/>
        <v>40117</v>
      </c>
    </row>
    <row r="834" spans="1:12" x14ac:dyDescent="0.25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4">
        <f t="shared" si="20"/>
        <v>9868</v>
      </c>
      <c r="J834" s="222">
        <v>1847.8875438760394</v>
      </c>
      <c r="K834" s="47">
        <f t="shared" si="22"/>
        <v>45</v>
      </c>
      <c r="L834" s="217">
        <f t="shared" si="19"/>
        <v>40124</v>
      </c>
    </row>
    <row r="835" spans="1:12" x14ac:dyDescent="0.25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4">
        <f t="shared" si="20"/>
        <v>9638</v>
      </c>
      <c r="J835" s="222">
        <v>2212.4253593497674</v>
      </c>
      <c r="K835" s="47">
        <f t="shared" si="22"/>
        <v>46</v>
      </c>
      <c r="L835" s="217">
        <f t="shared" si="19"/>
        <v>40131</v>
      </c>
    </row>
    <row r="836" spans="1:12" x14ac:dyDescent="0.25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4">
        <f t="shared" si="20"/>
        <v>9764</v>
      </c>
      <c r="J836" s="222">
        <v>1731.974597941997</v>
      </c>
      <c r="K836" s="47">
        <f t="shared" si="22"/>
        <v>47</v>
      </c>
      <c r="L836" s="217">
        <f t="shared" si="19"/>
        <v>40138</v>
      </c>
    </row>
    <row r="837" spans="1:12" x14ac:dyDescent="0.25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4">
        <f t="shared" si="20"/>
        <v>8578</v>
      </c>
      <c r="J837" s="222">
        <v>1521.9873770469924</v>
      </c>
      <c r="K837" s="47">
        <f t="shared" si="22"/>
        <v>48</v>
      </c>
      <c r="L837" s="217">
        <f t="shared" si="19"/>
        <v>40145</v>
      </c>
    </row>
    <row r="838" spans="1:12" x14ac:dyDescent="0.25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4">
        <f t="shared" si="20"/>
        <v>7953</v>
      </c>
      <c r="J838" s="222">
        <v>1212.0462390059658</v>
      </c>
      <c r="K838" s="47">
        <f t="shared" si="22"/>
        <v>49</v>
      </c>
      <c r="L838" s="217">
        <f t="shared" si="19"/>
        <v>40152</v>
      </c>
    </row>
    <row r="839" spans="1:12" x14ac:dyDescent="0.25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4">
        <f t="shared" si="20"/>
        <v>7323</v>
      </c>
      <c r="J839" s="222">
        <v>1987.3190585503223</v>
      </c>
      <c r="K839" s="47">
        <f t="shared" si="22"/>
        <v>50</v>
      </c>
      <c r="L839" s="217">
        <f t="shared" si="19"/>
        <v>40159</v>
      </c>
    </row>
    <row r="840" spans="1:12" x14ac:dyDescent="0.25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4">
        <f t="shared" si="20"/>
        <v>7405</v>
      </c>
      <c r="J840" s="222">
        <v>1355.6774980981488</v>
      </c>
      <c r="K840" s="47">
        <f t="shared" si="22"/>
        <v>51</v>
      </c>
      <c r="L840" s="217">
        <f t="shared" si="19"/>
        <v>40166</v>
      </c>
    </row>
    <row r="841" spans="1:12" x14ac:dyDescent="0.25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4">
        <f t="shared" si="20"/>
        <v>4399</v>
      </c>
      <c r="J841" s="222">
        <v>1476.6301373336714</v>
      </c>
      <c r="K841" s="47">
        <f t="shared" si="22"/>
        <v>52</v>
      </c>
      <c r="L841" s="217">
        <f t="shared" si="19"/>
        <v>40173</v>
      </c>
    </row>
    <row r="842" spans="1:12" x14ac:dyDescent="0.25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4">
        <f t="shared" si="20"/>
        <v>5690</v>
      </c>
      <c r="J842" s="222">
        <v>1346.4380603787686</v>
      </c>
      <c r="K842" s="47">
        <v>1</v>
      </c>
      <c r="L842" s="217">
        <f t="shared" ref="L842:L854" si="25">L841+7</f>
        <v>40180</v>
      </c>
    </row>
    <row r="843" spans="1:12" x14ac:dyDescent="0.25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4">
        <f t="shared" si="20"/>
        <v>5745</v>
      </c>
      <c r="J843" s="222">
        <v>2038.9540536641664</v>
      </c>
      <c r="K843" s="47">
        <v>2</v>
      </c>
      <c r="L843" s="219">
        <f t="shared" si="25"/>
        <v>40187</v>
      </c>
    </row>
    <row r="844" spans="1:12" x14ac:dyDescent="0.25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4">
        <f t="shared" si="20"/>
        <v>6595</v>
      </c>
      <c r="J844" s="222">
        <v>1205.6808568955569</v>
      </c>
      <c r="K844" s="47">
        <v>3</v>
      </c>
      <c r="L844" s="217">
        <f t="shared" si="25"/>
        <v>40194</v>
      </c>
    </row>
    <row r="845" spans="1:12" x14ac:dyDescent="0.25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4">
        <f t="shared" si="20"/>
        <v>7611</v>
      </c>
      <c r="J845" s="222">
        <v>2065.4914166185808</v>
      </c>
      <c r="K845" s="47">
        <v>4</v>
      </c>
      <c r="L845" s="217">
        <f t="shared" si="25"/>
        <v>40201</v>
      </c>
    </row>
    <row r="846" spans="1:12" x14ac:dyDescent="0.25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4">
        <f t="shared" si="20"/>
        <v>6584</v>
      </c>
      <c r="J846" s="222">
        <v>1293.2541546451243</v>
      </c>
      <c r="K846" s="47">
        <v>5</v>
      </c>
      <c r="L846" s="217">
        <f t="shared" si="25"/>
        <v>40208</v>
      </c>
    </row>
    <row r="847" spans="1:12" x14ac:dyDescent="0.25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4">
        <f t="shared" si="20"/>
        <v>7469</v>
      </c>
      <c r="J847" s="222">
        <v>1653.2777120600115</v>
      </c>
      <c r="K847" s="47">
        <v>6</v>
      </c>
      <c r="L847" s="217">
        <f t="shared" si="25"/>
        <v>40215</v>
      </c>
    </row>
    <row r="848" spans="1:12" x14ac:dyDescent="0.25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4">
        <f t="shared" si="20"/>
        <v>6389</v>
      </c>
      <c r="J848" s="222">
        <v>1939.8812319676863</v>
      </c>
      <c r="K848" s="47">
        <v>7</v>
      </c>
      <c r="L848" s="217">
        <f t="shared" si="25"/>
        <v>40222</v>
      </c>
    </row>
    <row r="849" spans="1:12" x14ac:dyDescent="0.25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4">
        <f t="shared" ref="I849:I912" si="27">SUM(D849:H849)-F849</f>
        <v>6348</v>
      </c>
      <c r="J849" s="222">
        <v>1249.9097951529141</v>
      </c>
      <c r="K849" s="47">
        <v>8</v>
      </c>
      <c r="L849" s="217">
        <f t="shared" si="25"/>
        <v>40229</v>
      </c>
    </row>
    <row r="850" spans="1:12" x14ac:dyDescent="0.25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4">
        <f t="shared" si="27"/>
        <v>6651</v>
      </c>
      <c r="J850" s="222">
        <v>1892.1139786497404</v>
      </c>
      <c r="K850" s="47">
        <v>9</v>
      </c>
      <c r="L850" s="217">
        <f t="shared" si="25"/>
        <v>40236</v>
      </c>
    </row>
    <row r="851" spans="1:12" x14ac:dyDescent="0.25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4">
        <f t="shared" si="27"/>
        <v>7831</v>
      </c>
      <c r="J851" s="222">
        <v>2154.8338718984423</v>
      </c>
      <c r="K851" s="47">
        <v>10</v>
      </c>
      <c r="L851" s="217">
        <f t="shared" si="25"/>
        <v>40243</v>
      </c>
    </row>
    <row r="852" spans="1:12" x14ac:dyDescent="0.25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4">
        <f t="shared" si="27"/>
        <v>5793</v>
      </c>
      <c r="J852" s="222">
        <v>2375.9785631852283</v>
      </c>
      <c r="K852" s="47">
        <v>11</v>
      </c>
      <c r="L852" s="217">
        <f t="shared" si="25"/>
        <v>40250</v>
      </c>
    </row>
    <row r="853" spans="1:12" x14ac:dyDescent="0.25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4">
        <f t="shared" si="27"/>
        <v>7014</v>
      </c>
      <c r="J853" s="222">
        <v>2100.8745672244663</v>
      </c>
      <c r="K853" s="47">
        <v>12</v>
      </c>
      <c r="L853" s="217">
        <f t="shared" si="25"/>
        <v>40257</v>
      </c>
    </row>
    <row r="854" spans="1:12" x14ac:dyDescent="0.25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4">
        <f t="shared" si="27"/>
        <v>5217</v>
      </c>
      <c r="J854" s="222">
        <v>2475.9359636468557</v>
      </c>
      <c r="K854" s="47">
        <v>13</v>
      </c>
      <c r="L854" s="217">
        <f t="shared" si="25"/>
        <v>40264</v>
      </c>
    </row>
    <row r="855" spans="1:12" x14ac:dyDescent="0.25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4">
        <f t="shared" si="27"/>
        <v>6166</v>
      </c>
      <c r="J855" s="222">
        <v>2030.1082660126949</v>
      </c>
      <c r="K855" s="47">
        <v>14</v>
      </c>
      <c r="L855" s="217">
        <f>L854+7</f>
        <v>40271</v>
      </c>
    </row>
    <row r="856" spans="1:12" x14ac:dyDescent="0.25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4">
        <f t="shared" si="27"/>
        <v>4857</v>
      </c>
      <c r="J856" s="222">
        <v>1954.0344922100405</v>
      </c>
      <c r="K856" s="47">
        <f>K855+1</f>
        <v>15</v>
      </c>
      <c r="L856" s="219">
        <f t="shared" ref="L856:L918" si="28">L855+7</f>
        <v>40278</v>
      </c>
    </row>
    <row r="857" spans="1:12" x14ac:dyDescent="0.25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4">
        <f t="shared" si="27"/>
        <v>5131</v>
      </c>
      <c r="J857" s="222">
        <v>2096.4516733987307</v>
      </c>
      <c r="K857" s="47">
        <f t="shared" ref="K857:K893" si="29">K856+1</f>
        <v>16</v>
      </c>
      <c r="L857" s="217">
        <f t="shared" si="28"/>
        <v>40285</v>
      </c>
    </row>
    <row r="858" spans="1:12" x14ac:dyDescent="0.25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4">
        <f t="shared" si="27"/>
        <v>4409</v>
      </c>
      <c r="J858" s="222">
        <v>2782.0002163877671</v>
      </c>
      <c r="K858" s="47">
        <f t="shared" si="29"/>
        <v>17</v>
      </c>
      <c r="L858" s="217">
        <f t="shared" si="28"/>
        <v>40292</v>
      </c>
    </row>
    <row r="859" spans="1:12" x14ac:dyDescent="0.25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4">
        <f t="shared" si="27"/>
        <v>5285</v>
      </c>
      <c r="J859" s="222">
        <v>2059.2993652625505</v>
      </c>
      <c r="K859" s="47">
        <f t="shared" si="29"/>
        <v>18</v>
      </c>
      <c r="L859" s="217">
        <f t="shared" si="28"/>
        <v>40299</v>
      </c>
    </row>
    <row r="860" spans="1:12" x14ac:dyDescent="0.25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4">
        <f t="shared" si="27"/>
        <v>4207</v>
      </c>
      <c r="J860" s="222">
        <v>2029.2236872475478</v>
      </c>
      <c r="K860" s="47">
        <f t="shared" si="29"/>
        <v>19</v>
      </c>
      <c r="L860" s="217">
        <f t="shared" si="28"/>
        <v>40306</v>
      </c>
    </row>
    <row r="861" spans="1:12" x14ac:dyDescent="0.25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4">
        <f t="shared" si="27"/>
        <v>4901</v>
      </c>
      <c r="J861" s="222">
        <v>2061.0685227928452</v>
      </c>
      <c r="K861" s="47">
        <f t="shared" si="29"/>
        <v>20</v>
      </c>
      <c r="L861" s="217">
        <f t="shared" si="28"/>
        <v>40313</v>
      </c>
    </row>
    <row r="862" spans="1:12" x14ac:dyDescent="0.25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4">
        <f t="shared" si="27"/>
        <v>4337</v>
      </c>
      <c r="J862" s="222">
        <v>2295.481895556838</v>
      </c>
      <c r="K862" s="47">
        <f t="shared" si="29"/>
        <v>21</v>
      </c>
      <c r="L862" s="217">
        <f t="shared" si="28"/>
        <v>40320</v>
      </c>
    </row>
    <row r="863" spans="1:12" x14ac:dyDescent="0.25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4">
        <f t="shared" si="27"/>
        <v>4329</v>
      </c>
      <c r="J863" s="222">
        <v>2083.1829919215238</v>
      </c>
      <c r="K863" s="47">
        <f t="shared" si="29"/>
        <v>22</v>
      </c>
      <c r="L863" s="217">
        <f t="shared" si="28"/>
        <v>40327</v>
      </c>
    </row>
    <row r="864" spans="1:12" x14ac:dyDescent="0.25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4">
        <f t="shared" si="27"/>
        <v>4314</v>
      </c>
      <c r="J864" s="222">
        <v>2410.4771350259666</v>
      </c>
      <c r="K864" s="47">
        <f t="shared" si="29"/>
        <v>23</v>
      </c>
      <c r="L864" s="217">
        <f t="shared" si="28"/>
        <v>40334</v>
      </c>
    </row>
    <row r="865" spans="1:12" x14ac:dyDescent="0.25">
      <c r="A865" s="13">
        <f t="shared" si="23"/>
        <v>40345</v>
      </c>
      <c r="B865" s="108">
        <v>19</v>
      </c>
      <c r="C865" s="108">
        <v>84</v>
      </c>
      <c r="D865" s="108">
        <v>430</v>
      </c>
      <c r="E865" s="108">
        <v>856</v>
      </c>
      <c r="F865" s="125">
        <v>984</v>
      </c>
      <c r="G865" s="108">
        <v>2528</v>
      </c>
      <c r="H865" s="108">
        <f t="shared" si="26"/>
        <v>103</v>
      </c>
      <c r="I865" s="114">
        <f t="shared" si="27"/>
        <v>3917</v>
      </c>
      <c r="J865" s="223">
        <v>2163.6796595499136</v>
      </c>
      <c r="K865" s="47">
        <f t="shared" si="29"/>
        <v>24</v>
      </c>
      <c r="L865" s="217">
        <f t="shared" si="28"/>
        <v>40341</v>
      </c>
    </row>
    <row r="866" spans="1:12" x14ac:dyDescent="0.25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8">
        <f t="shared" si="26"/>
        <v>39</v>
      </c>
      <c r="I866" s="114">
        <f t="shared" si="27"/>
        <v>3872</v>
      </c>
      <c r="J866" s="223">
        <v>1720.5056982111946</v>
      </c>
      <c r="K866" s="47">
        <f t="shared" si="29"/>
        <v>25</v>
      </c>
      <c r="L866" s="217">
        <f t="shared" si="28"/>
        <v>40348</v>
      </c>
    </row>
    <row r="867" spans="1:12" x14ac:dyDescent="0.25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4">
        <f t="shared" si="27"/>
        <v>4448</v>
      </c>
      <c r="J867" s="223">
        <v>2306.9814195037507</v>
      </c>
      <c r="K867" s="47">
        <f t="shared" si="29"/>
        <v>26</v>
      </c>
      <c r="L867" s="217">
        <f t="shared" si="28"/>
        <v>40355</v>
      </c>
    </row>
    <row r="868" spans="1:12" x14ac:dyDescent="0.25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4">
        <f t="shared" si="27"/>
        <v>4084</v>
      </c>
      <c r="J868" s="223">
        <v>1330.4064627813041</v>
      </c>
      <c r="K868" s="47">
        <f t="shared" si="29"/>
        <v>27</v>
      </c>
      <c r="L868" s="217">
        <f t="shared" si="28"/>
        <v>40362</v>
      </c>
    </row>
    <row r="869" spans="1:12" x14ac:dyDescent="0.25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4">
        <f t="shared" si="27"/>
        <v>5575</v>
      </c>
      <c r="J869" s="223">
        <v>1233.1027986151182</v>
      </c>
      <c r="K869" s="47">
        <f t="shared" si="29"/>
        <v>28</v>
      </c>
      <c r="L869" s="216">
        <f t="shared" si="28"/>
        <v>40369</v>
      </c>
    </row>
    <row r="870" spans="1:12" x14ac:dyDescent="0.25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4">
        <f t="shared" si="27"/>
        <v>5788</v>
      </c>
      <c r="J870" s="223">
        <v>1350.7517743796886</v>
      </c>
      <c r="K870" s="47">
        <f t="shared" si="29"/>
        <v>29</v>
      </c>
      <c r="L870" s="217">
        <f t="shared" si="28"/>
        <v>40376</v>
      </c>
    </row>
    <row r="871" spans="1:12" x14ac:dyDescent="0.25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4">
        <f t="shared" si="27"/>
        <v>6304</v>
      </c>
      <c r="J871" s="223">
        <v>1638.2398730525103</v>
      </c>
      <c r="K871" s="47">
        <f t="shared" si="29"/>
        <v>30</v>
      </c>
      <c r="L871" s="217">
        <f t="shared" si="28"/>
        <v>40383</v>
      </c>
    </row>
    <row r="872" spans="1:12" x14ac:dyDescent="0.25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4">
        <f t="shared" si="27"/>
        <v>4744</v>
      </c>
      <c r="J872" s="223">
        <v>2374.209405654934</v>
      </c>
      <c r="K872" s="47">
        <f t="shared" si="29"/>
        <v>31</v>
      </c>
      <c r="L872" s="217">
        <f t="shared" si="28"/>
        <v>40390</v>
      </c>
    </row>
    <row r="873" spans="1:12" x14ac:dyDescent="0.25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4">
        <f t="shared" si="27"/>
        <v>5342</v>
      </c>
      <c r="J873" s="223">
        <v>1095.1085112521639</v>
      </c>
      <c r="K873" s="47">
        <f t="shared" si="29"/>
        <v>32</v>
      </c>
      <c r="L873" s="217">
        <f t="shared" si="28"/>
        <v>40397</v>
      </c>
    </row>
    <row r="874" spans="1:12" x14ac:dyDescent="0.25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4">
        <f t="shared" si="27"/>
        <v>5071</v>
      </c>
      <c r="J874" s="223">
        <v>1375.5199798038086</v>
      </c>
      <c r="K874" s="47">
        <f t="shared" si="29"/>
        <v>33</v>
      </c>
      <c r="L874" s="217">
        <f t="shared" si="28"/>
        <v>40404</v>
      </c>
    </row>
    <row r="875" spans="1:12" x14ac:dyDescent="0.25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4">
        <f t="shared" si="27"/>
        <v>5881</v>
      </c>
      <c r="J875" s="223">
        <v>1709.8907530294289</v>
      </c>
      <c r="K875" s="47">
        <f t="shared" si="29"/>
        <v>34</v>
      </c>
      <c r="L875" s="217">
        <f t="shared" si="28"/>
        <v>40411</v>
      </c>
    </row>
    <row r="876" spans="1:12" x14ac:dyDescent="0.25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4">
        <f t="shared" si="27"/>
        <v>5098</v>
      </c>
      <c r="J876" s="223">
        <v>1034.0725764570111</v>
      </c>
      <c r="K876" s="47">
        <f t="shared" si="29"/>
        <v>35</v>
      </c>
      <c r="L876" s="217">
        <f t="shared" si="28"/>
        <v>40418</v>
      </c>
    </row>
    <row r="877" spans="1:12" x14ac:dyDescent="0.25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4">
        <f t="shared" si="27"/>
        <v>6334</v>
      </c>
      <c r="J877" s="223">
        <v>2053.1073139065206</v>
      </c>
      <c r="K877" s="47">
        <f t="shared" si="29"/>
        <v>36</v>
      </c>
      <c r="L877" s="217">
        <f t="shared" si="28"/>
        <v>40425</v>
      </c>
    </row>
    <row r="878" spans="1:12" x14ac:dyDescent="0.25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4">
        <f t="shared" si="27"/>
        <v>5136</v>
      </c>
      <c r="J878" s="222">
        <v>948.268436237738</v>
      </c>
      <c r="K878" s="47">
        <f t="shared" si="29"/>
        <v>37</v>
      </c>
      <c r="L878" s="217">
        <f t="shared" si="28"/>
        <v>40432</v>
      </c>
    </row>
    <row r="879" spans="1:12" x14ac:dyDescent="0.25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4">
        <f t="shared" si="27"/>
        <v>4620</v>
      </c>
      <c r="J879" s="223">
        <v>1770.9266878245819</v>
      </c>
      <c r="K879" s="47">
        <f t="shared" si="29"/>
        <v>38</v>
      </c>
      <c r="L879" s="217">
        <f t="shared" si="28"/>
        <v>40439</v>
      </c>
    </row>
    <row r="880" spans="1:12" x14ac:dyDescent="0.25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4">
        <f t="shared" si="27"/>
        <v>5683</v>
      </c>
      <c r="J880" s="223">
        <v>1210.1037507212927</v>
      </c>
      <c r="K880" s="47">
        <f t="shared" si="29"/>
        <v>39</v>
      </c>
      <c r="L880" s="217">
        <f t="shared" si="28"/>
        <v>40446</v>
      </c>
    </row>
    <row r="881" spans="1:25" x14ac:dyDescent="0.25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4">
        <f t="shared" si="27"/>
        <v>6733</v>
      </c>
      <c r="J881" s="222">
        <v>1392.3269763416042</v>
      </c>
      <c r="K881" s="47">
        <f t="shared" si="29"/>
        <v>40</v>
      </c>
      <c r="L881" s="217">
        <f t="shared" si="28"/>
        <v>40453</v>
      </c>
    </row>
    <row r="882" spans="1:25" x14ac:dyDescent="0.25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4">
        <f t="shared" si="27"/>
        <v>10520</v>
      </c>
      <c r="J882" s="222">
        <v>1644.4319244085402</v>
      </c>
      <c r="K882" s="47">
        <f t="shared" si="29"/>
        <v>41</v>
      </c>
      <c r="L882" s="216">
        <f t="shared" si="28"/>
        <v>40460</v>
      </c>
    </row>
    <row r="883" spans="1:25" x14ac:dyDescent="0.25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4">
        <f t="shared" si="27"/>
        <v>10143</v>
      </c>
      <c r="J883" s="222">
        <v>1681.5842325447202</v>
      </c>
      <c r="K883" s="47">
        <f t="shared" si="29"/>
        <v>42</v>
      </c>
      <c r="L883" s="217">
        <f t="shared" si="28"/>
        <v>40467</v>
      </c>
    </row>
    <row r="884" spans="1:25" x14ac:dyDescent="0.25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4">
        <f t="shared" si="27"/>
        <v>9191</v>
      </c>
      <c r="J884" s="222">
        <v>1823.1168349682632</v>
      </c>
      <c r="K884" s="47">
        <f t="shared" si="29"/>
        <v>43</v>
      </c>
      <c r="L884" s="217">
        <f t="shared" si="28"/>
        <v>40474</v>
      </c>
    </row>
    <row r="885" spans="1:25" x14ac:dyDescent="0.25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4">
        <f t="shared" si="27"/>
        <v>9733</v>
      </c>
      <c r="J885" s="222">
        <v>1943.419547028275</v>
      </c>
      <c r="K885" s="47">
        <f t="shared" si="29"/>
        <v>44</v>
      </c>
      <c r="L885" s="217">
        <f t="shared" si="28"/>
        <v>40481</v>
      </c>
    </row>
    <row r="886" spans="1:25" x14ac:dyDescent="0.25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4">
        <f t="shared" si="27"/>
        <v>9825</v>
      </c>
      <c r="J886" s="222">
        <v>1582.5114108482401</v>
      </c>
      <c r="K886" s="47">
        <f t="shared" si="29"/>
        <v>45</v>
      </c>
      <c r="L886" s="217">
        <f t="shared" si="28"/>
        <v>40488</v>
      </c>
      <c r="N886" s="133"/>
    </row>
    <row r="887" spans="1:25" x14ac:dyDescent="0.25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4">
        <f t="shared" si="27"/>
        <v>10496</v>
      </c>
      <c r="J887" s="222">
        <v>1360.482140796307</v>
      </c>
      <c r="K887" s="47">
        <f t="shared" si="29"/>
        <v>46</v>
      </c>
      <c r="L887" s="217">
        <f t="shared" si="28"/>
        <v>40495</v>
      </c>
    </row>
    <row r="888" spans="1:25" x14ac:dyDescent="0.25">
      <c r="A888" s="13">
        <f>A887+7</f>
        <v>40506</v>
      </c>
      <c r="B888" s="122">
        <v>518</v>
      </c>
      <c r="C888" s="122">
        <v>875</v>
      </c>
      <c r="D888" s="122">
        <v>1123</v>
      </c>
      <c r="E888" s="122">
        <v>2421</v>
      </c>
      <c r="F888" s="126">
        <v>1104</v>
      </c>
      <c r="G888" s="122">
        <v>3196</v>
      </c>
      <c r="H888" s="122">
        <f t="shared" si="30"/>
        <v>1393</v>
      </c>
      <c r="I888" s="114">
        <f t="shared" si="27"/>
        <v>8133</v>
      </c>
      <c r="J888" s="222">
        <v>1488.746061742643</v>
      </c>
      <c r="K888" s="47">
        <f>K887+1</f>
        <v>47</v>
      </c>
      <c r="L888" s="217">
        <f t="shared" si="28"/>
        <v>40502</v>
      </c>
    </row>
    <row r="889" spans="1:25" x14ac:dyDescent="0.25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4">
        <f t="shared" si="27"/>
        <v>7660</v>
      </c>
      <c r="J889" s="222">
        <v>1372.8662435083672</v>
      </c>
      <c r="K889" s="47">
        <f>K888+1</f>
        <v>48</v>
      </c>
      <c r="L889" s="217">
        <f t="shared" si="28"/>
        <v>40509</v>
      </c>
      <c r="O889" s="123"/>
      <c r="P889" s="127"/>
      <c r="Q889" s="127"/>
      <c r="R889" s="127"/>
      <c r="S889" s="127"/>
      <c r="T889" s="127"/>
      <c r="U889" s="127"/>
      <c r="V889" s="128"/>
      <c r="W889" s="128"/>
      <c r="X889" s="128"/>
      <c r="Y889" s="129"/>
    </row>
    <row r="890" spans="1:25" x14ac:dyDescent="0.25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4">
        <f t="shared" si="27"/>
        <v>9036</v>
      </c>
      <c r="J890" s="222">
        <v>1156.1444460473169</v>
      </c>
      <c r="K890" s="47">
        <f t="shared" si="29"/>
        <v>49</v>
      </c>
      <c r="L890" s="217">
        <f t="shared" si="28"/>
        <v>40516</v>
      </c>
      <c r="O890" s="124"/>
      <c r="P890" s="130"/>
      <c r="Q890" s="130"/>
      <c r="R890" s="130"/>
      <c r="S890" s="130"/>
      <c r="T890" s="130"/>
      <c r="U890" s="130"/>
      <c r="V890" s="131"/>
      <c r="W890" s="132"/>
      <c r="X890" s="132"/>
      <c r="Y890" s="129"/>
    </row>
    <row r="891" spans="1:25" x14ac:dyDescent="0.25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4">
        <f t="shared" si="27"/>
        <v>7476</v>
      </c>
      <c r="J891" s="222">
        <v>1780.6570542412003</v>
      </c>
      <c r="K891" s="47">
        <f t="shared" si="29"/>
        <v>50</v>
      </c>
      <c r="L891" s="217">
        <f t="shared" si="28"/>
        <v>40523</v>
      </c>
    </row>
    <row r="892" spans="1:25" x14ac:dyDescent="0.25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4">
        <f t="shared" si="27"/>
        <v>8090</v>
      </c>
      <c r="J892" s="222">
        <v>1184.4509665320254</v>
      </c>
      <c r="K892" s="47">
        <f t="shared" si="29"/>
        <v>51</v>
      </c>
      <c r="L892" s="217">
        <f t="shared" si="28"/>
        <v>40530</v>
      </c>
    </row>
    <row r="893" spans="1:25" x14ac:dyDescent="0.25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4">
        <f t="shared" si="27"/>
        <v>6333</v>
      </c>
      <c r="J893" s="222">
        <v>1270.2551067512984</v>
      </c>
      <c r="K893" s="47">
        <f t="shared" si="29"/>
        <v>52</v>
      </c>
      <c r="L893" s="217">
        <f t="shared" si="28"/>
        <v>40537</v>
      </c>
      <c r="M893" s="134"/>
      <c r="O893" s="135"/>
    </row>
    <row r="894" spans="1:25" x14ac:dyDescent="0.25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4">
        <f t="shared" si="27"/>
        <v>6960</v>
      </c>
      <c r="J894" s="222">
        <v>931.46143969994239</v>
      </c>
      <c r="K894" s="47">
        <v>1</v>
      </c>
      <c r="L894" s="217">
        <f>L893+7</f>
        <v>40544</v>
      </c>
      <c r="M894" s="136"/>
      <c r="N894" s="137"/>
      <c r="O894" s="137"/>
      <c r="P894" s="137"/>
      <c r="Q894" s="137"/>
      <c r="R894" s="137"/>
      <c r="S894" s="138"/>
      <c r="T894" s="137"/>
    </row>
    <row r="895" spans="1:25" x14ac:dyDescent="0.25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4">
        <f t="shared" si="27"/>
        <v>7460</v>
      </c>
      <c r="J895" s="222">
        <v>1430.6980186743169</v>
      </c>
      <c r="K895" s="47">
        <f>K894+1</f>
        <v>2</v>
      </c>
      <c r="L895" s="219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5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4">
        <f t="shared" si="27"/>
        <v>8753</v>
      </c>
      <c r="J896" s="222">
        <v>1480.3688736313918</v>
      </c>
      <c r="K896" s="47">
        <f t="shared" ref="K896:K959" si="32">K895+1</f>
        <v>3</v>
      </c>
      <c r="L896" s="217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5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4">
        <f t="shared" si="27"/>
        <v>8555</v>
      </c>
      <c r="J897" s="222">
        <v>1564.631931147858</v>
      </c>
      <c r="K897" s="47">
        <f t="shared" si="32"/>
        <v>4</v>
      </c>
      <c r="L897" s="217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5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4">
        <f t="shared" si="27"/>
        <v>8426</v>
      </c>
      <c r="J898" s="222">
        <v>1429.8110391215121</v>
      </c>
      <c r="K898" s="47">
        <f t="shared" si="32"/>
        <v>5</v>
      </c>
      <c r="L898" s="217">
        <f t="shared" si="28"/>
        <v>40572</v>
      </c>
      <c r="M898" s="139"/>
      <c r="N898" s="137"/>
      <c r="O898" s="137"/>
      <c r="P898" s="137"/>
      <c r="Q898" s="137"/>
      <c r="R898" s="137"/>
      <c r="S898" s="138"/>
      <c r="T898" s="137"/>
      <c r="U898" s="140"/>
      <c r="V898" s="138"/>
    </row>
    <row r="899" spans="1:22" x14ac:dyDescent="0.25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4">
        <f t="shared" si="27"/>
        <v>7137</v>
      </c>
      <c r="J899" s="222">
        <v>1143.3166435655266</v>
      </c>
      <c r="K899" s="47">
        <f t="shared" si="32"/>
        <v>6</v>
      </c>
      <c r="L899" s="217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5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4">
        <f t="shared" si="27"/>
        <v>8298</v>
      </c>
      <c r="J900" s="222">
        <v>869.23996174881006</v>
      </c>
      <c r="K900" s="47">
        <f t="shared" si="32"/>
        <v>7</v>
      </c>
      <c r="L900" s="217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5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4">
        <f t="shared" si="27"/>
        <v>8076</v>
      </c>
      <c r="J901" s="222">
        <v>1730.4971075223759</v>
      </c>
      <c r="K901" s="47">
        <f t="shared" si="32"/>
        <v>8</v>
      </c>
      <c r="L901" s="217">
        <f t="shared" si="28"/>
        <v>40593</v>
      </c>
      <c r="M901" s="39"/>
      <c r="N901" s="141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5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4">
        <f t="shared" si="27"/>
        <v>7109</v>
      </c>
      <c r="J902" s="222">
        <v>1294.9901470951661</v>
      </c>
      <c r="K902" s="47">
        <f t="shared" si="32"/>
        <v>9</v>
      </c>
      <c r="L902" s="217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5">
      <c r="A903" s="13">
        <f t="shared" ref="A903:A966" si="33">A902+7</f>
        <v>40611</v>
      </c>
      <c r="B903" s="137">
        <v>447</v>
      </c>
      <c r="C903" s="137">
        <v>301</v>
      </c>
      <c r="D903" s="137">
        <v>1113</v>
      </c>
      <c r="E903" s="137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4">
        <f t="shared" si="27"/>
        <v>8341</v>
      </c>
      <c r="J903" s="222">
        <v>1124.6900729566237</v>
      </c>
      <c r="K903" s="47">
        <f t="shared" si="32"/>
        <v>10</v>
      </c>
      <c r="L903" s="217">
        <f t="shared" si="28"/>
        <v>40607</v>
      </c>
      <c r="M903" s="139"/>
      <c r="N903" s="137"/>
      <c r="O903" s="137"/>
      <c r="P903" s="137"/>
      <c r="Q903" s="137"/>
      <c r="R903" s="137"/>
      <c r="S903" s="138"/>
      <c r="T903" s="137"/>
      <c r="U903" s="140"/>
      <c r="V903" s="138"/>
    </row>
    <row r="904" spans="1:22" x14ac:dyDescent="0.25">
      <c r="A904" s="13">
        <f t="shared" si="33"/>
        <v>40618</v>
      </c>
      <c r="B904" s="142">
        <v>317</v>
      </c>
      <c r="C904" s="142">
        <v>318</v>
      </c>
      <c r="D904" s="142">
        <v>1111</v>
      </c>
      <c r="E904" s="142">
        <v>2276</v>
      </c>
      <c r="F904" s="142">
        <v>671</v>
      </c>
      <c r="G904" s="92">
        <v>3840</v>
      </c>
      <c r="H904" s="49">
        <f t="shared" si="34"/>
        <v>635</v>
      </c>
      <c r="I904" s="114">
        <f t="shared" si="27"/>
        <v>7862</v>
      </c>
      <c r="J904" s="222">
        <v>2244.0582685964177</v>
      </c>
      <c r="K904" s="47">
        <f t="shared" si="32"/>
        <v>11</v>
      </c>
      <c r="L904" s="217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5">
      <c r="A905" s="13">
        <f t="shared" si="33"/>
        <v>40625</v>
      </c>
      <c r="B905" s="142">
        <v>381</v>
      </c>
      <c r="C905" s="142">
        <v>456</v>
      </c>
      <c r="D905" s="142">
        <v>1706</v>
      </c>
      <c r="E905" s="142">
        <v>2367</v>
      </c>
      <c r="F905" s="142">
        <v>881</v>
      </c>
      <c r="G905" s="92">
        <v>4731</v>
      </c>
      <c r="H905" s="49">
        <f t="shared" si="34"/>
        <v>837</v>
      </c>
      <c r="I905" s="114">
        <f t="shared" si="27"/>
        <v>9641</v>
      </c>
      <c r="J905" s="222">
        <v>1528.265769482857</v>
      </c>
      <c r="K905" s="47">
        <f>K904+1</f>
        <v>12</v>
      </c>
      <c r="L905" s="217">
        <f t="shared" si="28"/>
        <v>40621</v>
      </c>
      <c r="M905" s="146"/>
      <c r="N905" s="146"/>
      <c r="O905" s="146"/>
      <c r="P905" s="146"/>
      <c r="Q905" s="146"/>
      <c r="R905" s="146"/>
      <c r="S905" s="146"/>
      <c r="T905" s="146"/>
      <c r="U905" s="146"/>
      <c r="V905" s="39"/>
    </row>
    <row r="906" spans="1:22" x14ac:dyDescent="0.25">
      <c r="A906" s="13">
        <f t="shared" si="33"/>
        <v>40632</v>
      </c>
      <c r="B906" s="142">
        <v>298</v>
      </c>
      <c r="C906" s="142">
        <v>429</v>
      </c>
      <c r="D906" s="142">
        <v>1282</v>
      </c>
      <c r="E906" s="142">
        <v>2407</v>
      </c>
      <c r="F906" s="142">
        <v>1318</v>
      </c>
      <c r="G906" s="92">
        <v>4923</v>
      </c>
      <c r="H906" s="49">
        <f t="shared" si="34"/>
        <v>727</v>
      </c>
      <c r="I906" s="114">
        <f t="shared" si="27"/>
        <v>9339</v>
      </c>
      <c r="J906" s="222">
        <v>2275.9895324973945</v>
      </c>
      <c r="K906" s="47">
        <f t="shared" si="32"/>
        <v>13</v>
      </c>
      <c r="L906" s="217">
        <f t="shared" si="28"/>
        <v>40628</v>
      </c>
      <c r="M906" s="146"/>
      <c r="N906" s="146"/>
      <c r="O906" s="146"/>
      <c r="P906" s="146"/>
      <c r="Q906" s="146"/>
      <c r="R906" s="146"/>
      <c r="S906" s="146"/>
      <c r="T906" s="146"/>
      <c r="U906" s="146"/>
      <c r="V906" s="39"/>
    </row>
    <row r="907" spans="1:22" x14ac:dyDescent="0.25">
      <c r="A907" s="13">
        <f t="shared" si="33"/>
        <v>40639</v>
      </c>
      <c r="B907" s="142">
        <v>409</v>
      </c>
      <c r="C907" s="142">
        <v>191</v>
      </c>
      <c r="D907" s="142">
        <v>1104</v>
      </c>
      <c r="E907" s="142">
        <v>2965</v>
      </c>
      <c r="F907" s="142">
        <v>1557</v>
      </c>
      <c r="G907" s="92">
        <v>3868</v>
      </c>
      <c r="H907" s="49">
        <f t="shared" si="34"/>
        <v>600</v>
      </c>
      <c r="I907" s="114">
        <f t="shared" si="27"/>
        <v>8537</v>
      </c>
      <c r="J907" s="222">
        <v>1790.8117171131096</v>
      </c>
      <c r="K907" s="47">
        <f t="shared" si="32"/>
        <v>14</v>
      </c>
      <c r="L907" s="217">
        <f t="shared" si="28"/>
        <v>40635</v>
      </c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</row>
    <row r="908" spans="1:22" x14ac:dyDescent="0.25">
      <c r="A908" s="13">
        <f t="shared" si="33"/>
        <v>40646</v>
      </c>
      <c r="B908" s="142">
        <v>333</v>
      </c>
      <c r="C908" s="142">
        <v>206</v>
      </c>
      <c r="D908" s="142">
        <v>703</v>
      </c>
      <c r="E908" s="142">
        <v>2654</v>
      </c>
      <c r="F908" s="142">
        <v>1116</v>
      </c>
      <c r="G908" s="92">
        <v>3990</v>
      </c>
      <c r="H908" s="49">
        <f t="shared" si="34"/>
        <v>539</v>
      </c>
      <c r="I908" s="114">
        <f t="shared" si="27"/>
        <v>7886</v>
      </c>
      <c r="J908" s="222">
        <v>3952.380887298671</v>
      </c>
      <c r="K908" s="47">
        <f t="shared" si="32"/>
        <v>15</v>
      </c>
      <c r="L908" s="219">
        <f t="shared" si="28"/>
        <v>40642</v>
      </c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</row>
    <row r="909" spans="1:22" x14ac:dyDescent="0.25">
      <c r="A909" s="13">
        <f t="shared" si="33"/>
        <v>40653</v>
      </c>
      <c r="B909" s="142">
        <v>390</v>
      </c>
      <c r="C909" s="142">
        <v>174</v>
      </c>
      <c r="D909" s="142">
        <v>228</v>
      </c>
      <c r="E909" s="142">
        <v>2213</v>
      </c>
      <c r="F909" s="142">
        <v>1390</v>
      </c>
      <c r="G909" s="92">
        <v>4116</v>
      </c>
      <c r="H909" s="49">
        <f t="shared" si="34"/>
        <v>564</v>
      </c>
      <c r="I909" s="114">
        <f t="shared" si="27"/>
        <v>7121</v>
      </c>
      <c r="J909" s="222">
        <v>2763.8282865400943</v>
      </c>
      <c r="K909" s="47">
        <f>K908+1</f>
        <v>16</v>
      </c>
      <c r="L909" s="217">
        <f t="shared" si="28"/>
        <v>40649</v>
      </c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</row>
    <row r="910" spans="1:22" x14ac:dyDescent="0.25">
      <c r="A910" s="13">
        <f t="shared" si="33"/>
        <v>40660</v>
      </c>
      <c r="B910" s="142">
        <v>370</v>
      </c>
      <c r="C910" s="142">
        <v>256</v>
      </c>
      <c r="D910" s="142">
        <v>482</v>
      </c>
      <c r="E910" s="142">
        <v>2492</v>
      </c>
      <c r="F910" s="142">
        <v>1188</v>
      </c>
      <c r="G910" s="92">
        <v>3936</v>
      </c>
      <c r="H910" s="49">
        <f t="shared" si="34"/>
        <v>626</v>
      </c>
      <c r="I910" s="114">
        <f t="shared" si="27"/>
        <v>7536</v>
      </c>
      <c r="J910" s="222">
        <v>2627.2334354081381</v>
      </c>
      <c r="K910" s="47">
        <f t="shared" si="32"/>
        <v>17</v>
      </c>
      <c r="L910" s="217">
        <f t="shared" si="28"/>
        <v>40656</v>
      </c>
      <c r="M910" s="147"/>
      <c r="N910" s="148"/>
      <c r="O910" s="148"/>
      <c r="P910" s="148"/>
      <c r="Q910" s="148"/>
      <c r="R910" s="148"/>
      <c r="S910" s="149"/>
      <c r="T910" s="148"/>
      <c r="U910" s="150"/>
      <c r="V910" s="149"/>
    </row>
    <row r="911" spans="1:22" x14ac:dyDescent="0.25">
      <c r="A911" s="13">
        <f t="shared" si="33"/>
        <v>40667</v>
      </c>
      <c r="B911" s="142">
        <v>388</v>
      </c>
      <c r="C911" s="142">
        <v>3</v>
      </c>
      <c r="D911" s="142">
        <v>404</v>
      </c>
      <c r="E911" s="142">
        <v>2508</v>
      </c>
      <c r="F911" s="142">
        <v>1090</v>
      </c>
      <c r="G911" s="92">
        <v>3219</v>
      </c>
      <c r="H911" s="49">
        <f t="shared" si="34"/>
        <v>391</v>
      </c>
      <c r="I911" s="114">
        <f t="shared" si="27"/>
        <v>6522</v>
      </c>
      <c r="J911" s="222">
        <v>2400.1666698900817</v>
      </c>
      <c r="K911" s="47">
        <f t="shared" si="32"/>
        <v>18</v>
      </c>
      <c r="L911" s="217">
        <f t="shared" si="28"/>
        <v>40663</v>
      </c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</row>
    <row r="912" spans="1:22" x14ac:dyDescent="0.25">
      <c r="A912" s="13">
        <f t="shared" si="33"/>
        <v>40674</v>
      </c>
      <c r="B912" s="142">
        <v>478</v>
      </c>
      <c r="C912" s="142">
        <v>151</v>
      </c>
      <c r="D912" s="142">
        <v>778</v>
      </c>
      <c r="E912" s="142">
        <v>2099</v>
      </c>
      <c r="F912" s="142">
        <v>1095</v>
      </c>
      <c r="G912" s="92">
        <v>3979</v>
      </c>
      <c r="H912" s="49">
        <f t="shared" si="34"/>
        <v>629</v>
      </c>
      <c r="I912" s="114">
        <f t="shared" si="27"/>
        <v>7485</v>
      </c>
      <c r="J912" s="222">
        <v>2620.1375989856992</v>
      </c>
      <c r="K912" s="47">
        <f t="shared" si="32"/>
        <v>19</v>
      </c>
      <c r="L912" s="217">
        <f t="shared" si="28"/>
        <v>40670</v>
      </c>
      <c r="M912" s="152"/>
      <c r="N912" s="152"/>
      <c r="O912" s="152"/>
      <c r="P912" s="152"/>
      <c r="Q912" s="152"/>
      <c r="R912" s="153"/>
      <c r="S912" s="152"/>
      <c r="T912" s="154"/>
      <c r="U912" s="153"/>
      <c r="V912" s="146"/>
    </row>
    <row r="913" spans="1:22" x14ac:dyDescent="0.25">
      <c r="A913" s="13">
        <f t="shared" si="33"/>
        <v>40681</v>
      </c>
      <c r="B913" s="142">
        <v>402</v>
      </c>
      <c r="C913" s="142">
        <v>8</v>
      </c>
      <c r="D913" s="142">
        <v>537</v>
      </c>
      <c r="E913" s="142">
        <v>1596</v>
      </c>
      <c r="F913" s="142">
        <v>1152</v>
      </c>
      <c r="G913" s="92">
        <v>3797</v>
      </c>
      <c r="H913" s="49">
        <f t="shared" si="34"/>
        <v>410</v>
      </c>
      <c r="I913" s="114">
        <f t="shared" ref="I913:I976" si="35">SUM(D913:H913)-F913</f>
        <v>6340</v>
      </c>
      <c r="J913" s="222">
        <v>1298.5380653063855</v>
      </c>
      <c r="K913" s="47">
        <f t="shared" si="32"/>
        <v>20</v>
      </c>
      <c r="L913" s="217">
        <f t="shared" si="28"/>
        <v>40677</v>
      </c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</row>
    <row r="914" spans="1:22" x14ac:dyDescent="0.25">
      <c r="A914" s="13">
        <f t="shared" si="33"/>
        <v>40688</v>
      </c>
      <c r="B914" s="47">
        <v>433</v>
      </c>
      <c r="C914" s="155">
        <v>0</v>
      </c>
      <c r="D914" s="47">
        <v>554</v>
      </c>
      <c r="E914" s="151">
        <v>1854</v>
      </c>
      <c r="F914" s="151">
        <v>1338</v>
      </c>
      <c r="G914" s="151">
        <v>4341</v>
      </c>
      <c r="H914" s="49">
        <f t="shared" si="34"/>
        <v>433</v>
      </c>
      <c r="I914" s="114">
        <f t="shared" si="35"/>
        <v>7182</v>
      </c>
      <c r="J914" s="222">
        <v>2380.6531197283739</v>
      </c>
      <c r="K914" s="47">
        <f t="shared" si="32"/>
        <v>21</v>
      </c>
      <c r="L914" s="217">
        <f t="shared" si="28"/>
        <v>40684</v>
      </c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</row>
    <row r="915" spans="1:22" x14ac:dyDescent="0.25">
      <c r="A915" s="13">
        <f t="shared" si="33"/>
        <v>40695</v>
      </c>
      <c r="B915" s="142">
        <v>0</v>
      </c>
      <c r="C915" s="142">
        <v>169</v>
      </c>
      <c r="D915" s="142">
        <v>435</v>
      </c>
      <c r="E915" s="142">
        <v>2323</v>
      </c>
      <c r="F915" s="142">
        <v>1427</v>
      </c>
      <c r="G915" s="92">
        <v>3225</v>
      </c>
      <c r="H915" s="49">
        <f t="shared" si="34"/>
        <v>169</v>
      </c>
      <c r="I915" s="114">
        <f t="shared" si="35"/>
        <v>6152</v>
      </c>
      <c r="J915" s="222">
        <v>2103.0285197004373</v>
      </c>
      <c r="K915" s="47">
        <f t="shared" si="32"/>
        <v>22</v>
      </c>
      <c r="L915" s="217">
        <f t="shared" si="28"/>
        <v>40691</v>
      </c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</row>
    <row r="916" spans="1:22" x14ac:dyDescent="0.25">
      <c r="A916" s="13">
        <f t="shared" si="33"/>
        <v>40702</v>
      </c>
      <c r="B916" s="142">
        <v>21</v>
      </c>
      <c r="C916" s="142">
        <v>61</v>
      </c>
      <c r="D916" s="142">
        <v>373</v>
      </c>
      <c r="E916" s="142">
        <v>1636</v>
      </c>
      <c r="F916" s="142">
        <v>1117</v>
      </c>
      <c r="G916" s="92">
        <v>3684</v>
      </c>
      <c r="H916" s="49">
        <f t="shared" si="34"/>
        <v>82</v>
      </c>
      <c r="I916" s="114">
        <f t="shared" si="35"/>
        <v>5775</v>
      </c>
      <c r="J916" s="222">
        <v>1577.0496448871268</v>
      </c>
      <c r="K916" s="47">
        <f t="shared" si="32"/>
        <v>23</v>
      </c>
      <c r="L916" s="217">
        <f t="shared" si="28"/>
        <v>40698</v>
      </c>
      <c r="M916" s="156"/>
      <c r="N916" s="157"/>
      <c r="O916" s="157"/>
      <c r="P916" s="157"/>
      <c r="Q916" s="157"/>
      <c r="R916" s="157"/>
      <c r="S916" s="158"/>
      <c r="T916" s="157"/>
      <c r="U916" s="159"/>
      <c r="V916" s="158"/>
    </row>
    <row r="917" spans="1:22" x14ac:dyDescent="0.25">
      <c r="A917" s="13">
        <f t="shared" si="33"/>
        <v>40709</v>
      </c>
      <c r="B917" s="142">
        <v>267</v>
      </c>
      <c r="C917" s="142">
        <v>7</v>
      </c>
      <c r="D917" s="142">
        <v>156</v>
      </c>
      <c r="E917" s="142">
        <v>1198</v>
      </c>
      <c r="F917" s="142">
        <v>322</v>
      </c>
      <c r="G917" s="92">
        <v>3251</v>
      </c>
      <c r="H917" s="49">
        <f t="shared" si="34"/>
        <v>274</v>
      </c>
      <c r="I917" s="114">
        <f t="shared" si="35"/>
        <v>4879</v>
      </c>
      <c r="J917" s="222">
        <v>2460.4812794808158</v>
      </c>
      <c r="K917" s="47">
        <f t="shared" si="32"/>
        <v>24</v>
      </c>
      <c r="L917" s="217">
        <f t="shared" si="28"/>
        <v>40705</v>
      </c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</row>
    <row r="918" spans="1:22" x14ac:dyDescent="0.25">
      <c r="A918" s="13">
        <f t="shared" si="33"/>
        <v>40716</v>
      </c>
      <c r="B918" s="142">
        <v>200</v>
      </c>
      <c r="C918" s="142">
        <v>201</v>
      </c>
      <c r="D918" s="142">
        <v>231</v>
      </c>
      <c r="E918" s="142">
        <v>1284</v>
      </c>
      <c r="F918" s="142">
        <v>1016</v>
      </c>
      <c r="G918" s="92">
        <v>3771</v>
      </c>
      <c r="H918" s="49">
        <f t="shared" si="34"/>
        <v>401</v>
      </c>
      <c r="I918" s="114">
        <f t="shared" si="35"/>
        <v>5687</v>
      </c>
      <c r="J918" s="222">
        <v>1577.9366244399316</v>
      </c>
      <c r="K918" s="47">
        <f t="shared" si="32"/>
        <v>25</v>
      </c>
      <c r="L918" s="217">
        <f t="shared" si="28"/>
        <v>40712</v>
      </c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</row>
    <row r="919" spans="1:22" x14ac:dyDescent="0.25">
      <c r="A919" s="13">
        <f t="shared" si="33"/>
        <v>40723</v>
      </c>
      <c r="B919" s="142">
        <v>188</v>
      </c>
      <c r="C919" s="142">
        <v>10</v>
      </c>
      <c r="D919" s="142">
        <v>218</v>
      </c>
      <c r="E919" s="142">
        <v>958</v>
      </c>
      <c r="F919" s="142">
        <v>664</v>
      </c>
      <c r="G919" s="92">
        <v>3221</v>
      </c>
      <c r="H919" s="49">
        <f t="shared" si="34"/>
        <v>198</v>
      </c>
      <c r="I919" s="114">
        <f t="shared" si="35"/>
        <v>4595</v>
      </c>
      <c r="J919" s="222">
        <v>2746.9756750368006</v>
      </c>
      <c r="K919" s="47">
        <f>K918+1</f>
        <v>26</v>
      </c>
      <c r="L919" s="217">
        <f>L918+7</f>
        <v>40719</v>
      </c>
      <c r="M919" s="162"/>
      <c r="N919" s="162"/>
      <c r="O919" s="162"/>
      <c r="P919" s="162"/>
      <c r="Q919" s="162"/>
      <c r="R919" s="161"/>
      <c r="S919" s="162"/>
      <c r="T919" s="163"/>
      <c r="U919" s="161"/>
      <c r="V919" s="160"/>
    </row>
    <row r="920" spans="1:22" x14ac:dyDescent="0.25">
      <c r="A920" s="13">
        <f t="shared" si="33"/>
        <v>40730</v>
      </c>
      <c r="B920" s="142">
        <v>167</v>
      </c>
      <c r="C920" s="142">
        <v>15</v>
      </c>
      <c r="D920" s="142">
        <v>209</v>
      </c>
      <c r="E920" s="142">
        <v>1054</v>
      </c>
      <c r="F920" s="142">
        <v>1467</v>
      </c>
      <c r="G920" s="92">
        <v>2316</v>
      </c>
      <c r="H920" s="49">
        <f t="shared" si="34"/>
        <v>182</v>
      </c>
      <c r="I920" s="114">
        <f t="shared" si="35"/>
        <v>3761</v>
      </c>
      <c r="J920" s="222">
        <v>2379.7661401755686</v>
      </c>
      <c r="K920" s="47">
        <f t="shared" si="32"/>
        <v>27</v>
      </c>
      <c r="L920" s="217">
        <f t="shared" ref="L920:L982" si="36">L919+7</f>
        <v>40726</v>
      </c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</row>
    <row r="921" spans="1:22" x14ac:dyDescent="0.25">
      <c r="A921" s="13">
        <f t="shared" si="33"/>
        <v>40737</v>
      </c>
      <c r="B921" s="142">
        <v>279</v>
      </c>
      <c r="C921" s="142">
        <v>4</v>
      </c>
      <c r="D921" s="142">
        <v>167</v>
      </c>
      <c r="E921" s="142">
        <v>1298</v>
      </c>
      <c r="F921" s="142">
        <v>988</v>
      </c>
      <c r="G921" s="92">
        <v>3756</v>
      </c>
      <c r="H921" s="49">
        <f t="shared" si="34"/>
        <v>283</v>
      </c>
      <c r="I921" s="114">
        <f t="shared" si="35"/>
        <v>5504</v>
      </c>
      <c r="J921" s="222">
        <v>1954.0159548292129</v>
      </c>
      <c r="K921" s="47">
        <f t="shared" si="32"/>
        <v>28</v>
      </c>
      <c r="L921" s="216">
        <f t="shared" si="36"/>
        <v>40733</v>
      </c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</row>
    <row r="922" spans="1:22" x14ac:dyDescent="0.25">
      <c r="A922" s="13">
        <f t="shared" si="33"/>
        <v>40744</v>
      </c>
      <c r="B922" s="142">
        <v>171</v>
      </c>
      <c r="C922" s="142">
        <v>6</v>
      </c>
      <c r="D922" s="142">
        <v>3</v>
      </c>
      <c r="E922" s="142">
        <v>627</v>
      </c>
      <c r="F922" s="142">
        <v>1381</v>
      </c>
      <c r="G922" s="92">
        <v>3653</v>
      </c>
      <c r="H922" s="49">
        <f t="shared" si="34"/>
        <v>177</v>
      </c>
      <c r="I922" s="114">
        <f t="shared" si="35"/>
        <v>4460</v>
      </c>
      <c r="J922" s="222">
        <v>2024.0873395008007</v>
      </c>
      <c r="K922" s="47">
        <f>K921+1</f>
        <v>29</v>
      </c>
      <c r="L922" s="217">
        <f t="shared" si="36"/>
        <v>40740</v>
      </c>
      <c r="M922" s="168"/>
      <c r="N922" s="170"/>
      <c r="O922" s="170"/>
      <c r="P922" s="170"/>
      <c r="Q922" s="170"/>
      <c r="R922" s="170"/>
      <c r="S922" s="169"/>
      <c r="T922" s="170"/>
      <c r="U922" s="171"/>
      <c r="V922" s="169"/>
    </row>
    <row r="923" spans="1:22" x14ac:dyDescent="0.25">
      <c r="A923" s="13">
        <f t="shared" si="33"/>
        <v>40751</v>
      </c>
      <c r="B923" s="142">
        <v>248</v>
      </c>
      <c r="C923" s="142">
        <v>7</v>
      </c>
      <c r="D923" s="142">
        <v>111</v>
      </c>
      <c r="E923" s="142">
        <v>653</v>
      </c>
      <c r="F923" s="142">
        <v>901</v>
      </c>
      <c r="G923" s="92">
        <v>3562</v>
      </c>
      <c r="H923" s="49">
        <f t="shared" si="34"/>
        <v>255</v>
      </c>
      <c r="I923" s="114">
        <f t="shared" si="35"/>
        <v>4581</v>
      </c>
      <c r="J923" s="222">
        <v>1504.3173215571244</v>
      </c>
      <c r="K923" s="47">
        <f t="shared" si="32"/>
        <v>30</v>
      </c>
      <c r="L923" s="217">
        <f t="shared" si="36"/>
        <v>40747</v>
      </c>
      <c r="M923" s="156"/>
      <c r="N923" s="157"/>
      <c r="O923" s="157"/>
      <c r="P923" s="157"/>
      <c r="Q923" s="157"/>
      <c r="R923" s="157"/>
      <c r="S923" s="158"/>
      <c r="T923" s="157"/>
      <c r="U923" s="159"/>
      <c r="V923" s="158"/>
    </row>
    <row r="924" spans="1:22" x14ac:dyDescent="0.25">
      <c r="A924" s="13">
        <f t="shared" si="33"/>
        <v>40758</v>
      </c>
      <c r="B924" s="142">
        <v>185</v>
      </c>
      <c r="C924" s="142">
        <v>10</v>
      </c>
      <c r="D924" s="142">
        <v>206</v>
      </c>
      <c r="E924" s="142">
        <v>1172</v>
      </c>
      <c r="F924" s="142">
        <v>833</v>
      </c>
      <c r="G924" s="92">
        <v>3932</v>
      </c>
      <c r="H924" s="49">
        <f t="shared" si="34"/>
        <v>195</v>
      </c>
      <c r="I924" s="114">
        <f t="shared" si="35"/>
        <v>5505</v>
      </c>
      <c r="J924" s="222">
        <v>1946.9201184067736</v>
      </c>
      <c r="K924" s="47">
        <f t="shared" si="32"/>
        <v>31</v>
      </c>
      <c r="L924" s="217">
        <f t="shared" si="36"/>
        <v>40754</v>
      </c>
      <c r="M924" s="146"/>
      <c r="N924" s="146"/>
      <c r="O924" s="146"/>
      <c r="P924" s="146"/>
      <c r="Q924" s="146"/>
      <c r="R924" s="146"/>
      <c r="S924" s="146"/>
      <c r="T924" s="146"/>
      <c r="U924" s="146"/>
      <c r="V924" s="160"/>
    </row>
    <row r="925" spans="1:22" x14ac:dyDescent="0.25">
      <c r="A925" s="13">
        <f t="shared" si="33"/>
        <v>40765</v>
      </c>
      <c r="B925" s="142">
        <v>252</v>
      </c>
      <c r="C925" s="142">
        <v>80</v>
      </c>
      <c r="D925" s="142">
        <v>0</v>
      </c>
      <c r="E925" s="142">
        <v>771</v>
      </c>
      <c r="F925" s="142">
        <v>1161</v>
      </c>
      <c r="G925" s="92">
        <v>2281</v>
      </c>
      <c r="H925" s="49">
        <f t="shared" si="34"/>
        <v>332</v>
      </c>
      <c r="I925" s="114">
        <f t="shared" si="35"/>
        <v>3384</v>
      </c>
      <c r="J925" s="222">
        <v>1728.723148416766</v>
      </c>
      <c r="K925" s="47">
        <f t="shared" si="32"/>
        <v>32</v>
      </c>
      <c r="L925" s="217">
        <f t="shared" si="36"/>
        <v>40761</v>
      </c>
      <c r="M925" s="146"/>
      <c r="N925" s="146"/>
      <c r="O925" s="146"/>
      <c r="P925" s="146"/>
      <c r="Q925" s="146"/>
      <c r="R925" s="146"/>
      <c r="S925" s="146"/>
      <c r="T925" s="146"/>
      <c r="U925" s="146"/>
      <c r="V925" s="160"/>
    </row>
    <row r="926" spans="1:22" x14ac:dyDescent="0.25">
      <c r="A926" s="13">
        <f t="shared" si="33"/>
        <v>40772</v>
      </c>
      <c r="B926" s="142">
        <v>165</v>
      </c>
      <c r="C926" s="142">
        <v>3</v>
      </c>
      <c r="D926" s="142">
        <v>128</v>
      </c>
      <c r="E926" s="142">
        <v>1491</v>
      </c>
      <c r="F926" s="142">
        <v>798</v>
      </c>
      <c r="G926" s="92">
        <v>2068</v>
      </c>
      <c r="H926" s="49">
        <f t="shared" si="34"/>
        <v>168</v>
      </c>
      <c r="I926" s="114">
        <f t="shared" si="35"/>
        <v>3855</v>
      </c>
      <c r="J926" s="222">
        <v>1342.0000633938262</v>
      </c>
      <c r="K926" s="47">
        <f t="shared" si="32"/>
        <v>33</v>
      </c>
      <c r="L926" s="217">
        <f t="shared" si="36"/>
        <v>40768</v>
      </c>
      <c r="M926" s="164"/>
      <c r="N926" s="164"/>
      <c r="O926" s="164"/>
      <c r="P926" s="164"/>
      <c r="Q926" s="164"/>
      <c r="R926" s="165"/>
      <c r="S926" s="164"/>
      <c r="T926" s="166"/>
      <c r="U926" s="165"/>
      <c r="V926" s="160"/>
    </row>
    <row r="927" spans="1:22" x14ac:dyDescent="0.25">
      <c r="A927" s="13">
        <f t="shared" si="33"/>
        <v>40779</v>
      </c>
      <c r="B927" s="142">
        <v>95</v>
      </c>
      <c r="C927" s="142">
        <v>0</v>
      </c>
      <c r="D927" s="142">
        <v>108</v>
      </c>
      <c r="E927" s="142">
        <v>897</v>
      </c>
      <c r="F927" s="142">
        <v>651</v>
      </c>
      <c r="G927" s="92">
        <v>3092</v>
      </c>
      <c r="H927" s="49">
        <f t="shared" si="34"/>
        <v>95</v>
      </c>
      <c r="I927" s="114">
        <f t="shared" si="35"/>
        <v>4192</v>
      </c>
      <c r="J927" s="222">
        <v>1663.9736410620078</v>
      </c>
      <c r="K927" s="47">
        <f t="shared" si="32"/>
        <v>34</v>
      </c>
      <c r="L927" s="217">
        <f t="shared" si="36"/>
        <v>40775</v>
      </c>
      <c r="M927" s="146"/>
      <c r="N927" s="146"/>
      <c r="O927" s="146"/>
      <c r="P927" s="146"/>
      <c r="Q927" s="146"/>
      <c r="R927" s="146"/>
      <c r="S927" s="146"/>
      <c r="T927" s="146"/>
      <c r="U927" s="146"/>
      <c r="V927" s="160"/>
    </row>
    <row r="928" spans="1:22" x14ac:dyDescent="0.25">
      <c r="A928" s="13">
        <f t="shared" si="33"/>
        <v>40786</v>
      </c>
      <c r="B928" s="142">
        <v>0</v>
      </c>
      <c r="C928" s="142">
        <v>0</v>
      </c>
      <c r="D928" s="142">
        <v>1</v>
      </c>
      <c r="E928" s="142">
        <v>700</v>
      </c>
      <c r="F928" s="142">
        <v>601</v>
      </c>
      <c r="G928" s="92">
        <v>3056</v>
      </c>
      <c r="H928" s="49">
        <f t="shared" si="34"/>
        <v>0</v>
      </c>
      <c r="I928" s="114">
        <f t="shared" si="35"/>
        <v>3757</v>
      </c>
      <c r="J928" s="222">
        <v>1771.2981669514018</v>
      </c>
      <c r="K928" s="47">
        <f t="shared" si="32"/>
        <v>35</v>
      </c>
      <c r="L928" s="217">
        <f t="shared" si="36"/>
        <v>40782</v>
      </c>
      <c r="M928" s="146"/>
      <c r="N928" s="146"/>
      <c r="O928" s="146"/>
      <c r="P928" s="146"/>
      <c r="Q928" s="146"/>
      <c r="R928" s="146"/>
      <c r="S928" s="146"/>
      <c r="T928" s="146"/>
      <c r="U928" s="146"/>
      <c r="V928" s="160"/>
    </row>
    <row r="929" spans="1:22" x14ac:dyDescent="0.25">
      <c r="A929" s="13">
        <f t="shared" si="33"/>
        <v>40793</v>
      </c>
      <c r="B929" s="142">
        <v>34</v>
      </c>
      <c r="C929" s="142">
        <v>0</v>
      </c>
      <c r="D929" s="142">
        <v>120</v>
      </c>
      <c r="E929" s="142">
        <v>839</v>
      </c>
      <c r="F929" s="142">
        <v>624</v>
      </c>
      <c r="G929" s="92">
        <v>2777</v>
      </c>
      <c r="H929" s="49">
        <f t="shared" si="34"/>
        <v>34</v>
      </c>
      <c r="I929" s="114">
        <f t="shared" si="35"/>
        <v>3770</v>
      </c>
      <c r="J929" s="222">
        <v>1302.0859835176052</v>
      </c>
      <c r="K929" s="47">
        <f t="shared" si="32"/>
        <v>36</v>
      </c>
      <c r="L929" s="217">
        <f t="shared" si="36"/>
        <v>40789</v>
      </c>
      <c r="M929" s="168"/>
      <c r="N929" s="170"/>
      <c r="O929" s="170"/>
      <c r="P929" s="170"/>
      <c r="Q929" s="170"/>
      <c r="R929" s="170"/>
      <c r="S929" s="169"/>
      <c r="T929" s="170"/>
      <c r="U929" s="171"/>
      <c r="V929" s="169"/>
    </row>
    <row r="930" spans="1:22" x14ac:dyDescent="0.25">
      <c r="A930" s="13">
        <f t="shared" si="33"/>
        <v>40800</v>
      </c>
      <c r="B930" s="142">
        <v>32</v>
      </c>
      <c r="C930" s="142">
        <v>0</v>
      </c>
      <c r="D930" s="142">
        <v>110</v>
      </c>
      <c r="E930" s="142">
        <v>1654</v>
      </c>
      <c r="F930" s="142">
        <v>1270</v>
      </c>
      <c r="G930" s="92">
        <v>1986</v>
      </c>
      <c r="H930" s="49">
        <f t="shared" si="34"/>
        <v>32</v>
      </c>
      <c r="I930" s="114">
        <f t="shared" si="35"/>
        <v>3782</v>
      </c>
      <c r="J930" s="222">
        <v>1754.4455554481085</v>
      </c>
      <c r="K930" s="47">
        <f t="shared" si="32"/>
        <v>37</v>
      </c>
      <c r="L930" s="217">
        <f t="shared" si="36"/>
        <v>40796</v>
      </c>
      <c r="M930" s="147"/>
      <c r="N930" s="148"/>
      <c r="O930" s="148"/>
      <c r="P930" s="148"/>
      <c r="Q930" s="148"/>
      <c r="R930" s="148"/>
      <c r="S930" s="149"/>
      <c r="T930" s="148"/>
      <c r="U930" s="150"/>
      <c r="V930" s="158"/>
    </row>
    <row r="931" spans="1:22" x14ac:dyDescent="0.25">
      <c r="A931" s="13">
        <f t="shared" si="33"/>
        <v>40807</v>
      </c>
      <c r="B931" s="142">
        <v>82</v>
      </c>
      <c r="C931" s="142">
        <v>0</v>
      </c>
      <c r="D931" s="142">
        <v>149</v>
      </c>
      <c r="E931" s="142">
        <v>1421</v>
      </c>
      <c r="F931" s="142">
        <v>748</v>
      </c>
      <c r="G931" s="92">
        <v>2399</v>
      </c>
      <c r="H931" s="49">
        <f t="shared" si="34"/>
        <v>82</v>
      </c>
      <c r="I931" s="114">
        <f t="shared" si="35"/>
        <v>4051</v>
      </c>
      <c r="J931" s="222">
        <v>2130.5248858373898</v>
      </c>
      <c r="K931" s="47">
        <f t="shared" si="32"/>
        <v>38</v>
      </c>
      <c r="L931" s="217">
        <f t="shared" si="36"/>
        <v>40803</v>
      </c>
      <c r="M931" s="146"/>
      <c r="N931" s="146"/>
      <c r="O931" s="146"/>
      <c r="P931" s="146"/>
      <c r="Q931" s="146"/>
      <c r="R931" s="146"/>
      <c r="S931" s="146"/>
      <c r="T931" s="146"/>
      <c r="U931" s="146"/>
      <c r="V931" s="160"/>
    </row>
    <row r="932" spans="1:22" x14ac:dyDescent="0.25">
      <c r="A932" s="13">
        <f t="shared" si="33"/>
        <v>40814</v>
      </c>
      <c r="B932" s="142">
        <v>104</v>
      </c>
      <c r="C932" s="142">
        <v>90</v>
      </c>
      <c r="D932" s="142">
        <v>617</v>
      </c>
      <c r="E932" s="142">
        <v>1508</v>
      </c>
      <c r="F932" s="142">
        <v>662</v>
      </c>
      <c r="G932" s="92">
        <v>1707</v>
      </c>
      <c r="H932" s="49">
        <f t="shared" si="34"/>
        <v>194</v>
      </c>
      <c r="I932" s="114">
        <f t="shared" si="35"/>
        <v>4026</v>
      </c>
      <c r="J932" s="222">
        <v>1231.1276192932125</v>
      </c>
      <c r="K932" s="47">
        <f t="shared" si="32"/>
        <v>39</v>
      </c>
      <c r="L932" s="217">
        <f t="shared" si="36"/>
        <v>40810</v>
      </c>
      <c r="M932" s="146"/>
      <c r="N932" s="146"/>
      <c r="O932" s="146"/>
      <c r="P932" s="146"/>
      <c r="Q932" s="146"/>
      <c r="R932" s="146"/>
      <c r="S932" s="146"/>
      <c r="T932" s="146"/>
      <c r="U932" s="146"/>
    </row>
    <row r="933" spans="1:22" x14ac:dyDescent="0.25">
      <c r="A933" s="13">
        <f t="shared" si="33"/>
        <v>40821</v>
      </c>
      <c r="B933" s="142">
        <v>13</v>
      </c>
      <c r="C933" s="142">
        <v>157</v>
      </c>
      <c r="D933" s="142">
        <v>479</v>
      </c>
      <c r="E933" s="142">
        <v>978</v>
      </c>
      <c r="F933" s="142">
        <v>512</v>
      </c>
      <c r="G933" s="92">
        <v>2136</v>
      </c>
      <c r="H933" s="49">
        <f t="shared" si="34"/>
        <v>170</v>
      </c>
      <c r="I933" s="114">
        <f t="shared" si="35"/>
        <v>3763</v>
      </c>
      <c r="J933" s="222">
        <v>1653.3298864283488</v>
      </c>
      <c r="K933" s="47">
        <f t="shared" si="32"/>
        <v>40</v>
      </c>
      <c r="L933" s="217">
        <f t="shared" si="36"/>
        <v>40817</v>
      </c>
      <c r="M933" s="162"/>
      <c r="N933" s="162"/>
      <c r="O933" s="162"/>
      <c r="P933" s="162"/>
      <c r="Q933" s="162"/>
      <c r="R933" s="161"/>
      <c r="S933" s="162"/>
      <c r="T933" s="163"/>
      <c r="U933" s="161"/>
    </row>
    <row r="934" spans="1:22" x14ac:dyDescent="0.25">
      <c r="A934" s="13">
        <f t="shared" si="33"/>
        <v>40828</v>
      </c>
      <c r="B934" s="142">
        <v>135</v>
      </c>
      <c r="C934" s="142">
        <v>78</v>
      </c>
      <c r="D934" s="142">
        <v>279</v>
      </c>
      <c r="E934" s="142">
        <v>1060</v>
      </c>
      <c r="F934" s="142">
        <v>615</v>
      </c>
      <c r="G934" s="92">
        <v>3997</v>
      </c>
      <c r="H934" s="49">
        <f t="shared" si="34"/>
        <v>213</v>
      </c>
      <c r="I934" s="114">
        <f t="shared" si="35"/>
        <v>5549</v>
      </c>
      <c r="J934" s="222">
        <v>2056.0186034017775</v>
      </c>
      <c r="K934" s="47">
        <f t="shared" si="32"/>
        <v>41</v>
      </c>
      <c r="L934" s="220">
        <f t="shared" si="36"/>
        <v>40824</v>
      </c>
    </row>
    <row r="935" spans="1:22" x14ac:dyDescent="0.25">
      <c r="A935" s="13">
        <f t="shared" si="33"/>
        <v>40835</v>
      </c>
      <c r="B935" s="142">
        <v>159</v>
      </c>
      <c r="C935" s="142">
        <v>261</v>
      </c>
      <c r="D935" s="142">
        <v>791</v>
      </c>
      <c r="E935" s="142">
        <v>567</v>
      </c>
      <c r="F935" s="142">
        <v>1553</v>
      </c>
      <c r="G935" s="92">
        <v>4277</v>
      </c>
      <c r="H935" s="49">
        <f t="shared" si="34"/>
        <v>420</v>
      </c>
      <c r="I935" s="114">
        <f t="shared" si="35"/>
        <v>6055</v>
      </c>
      <c r="J935" s="222">
        <v>1076.7931771051585</v>
      </c>
      <c r="K935" s="47">
        <f t="shared" si="32"/>
        <v>42</v>
      </c>
      <c r="L935" s="217">
        <f t="shared" si="36"/>
        <v>40831</v>
      </c>
    </row>
    <row r="936" spans="1:22" x14ac:dyDescent="0.25">
      <c r="A936" s="13">
        <f t="shared" si="33"/>
        <v>40842</v>
      </c>
      <c r="B936" s="142">
        <v>351</v>
      </c>
      <c r="C936" s="142">
        <v>368</v>
      </c>
      <c r="D936" s="142">
        <v>891</v>
      </c>
      <c r="E936" s="142">
        <v>459</v>
      </c>
      <c r="F936" s="142">
        <v>1898</v>
      </c>
      <c r="G936" s="92">
        <v>4247</v>
      </c>
      <c r="H936" s="49">
        <f t="shared" si="34"/>
        <v>719</v>
      </c>
      <c r="I936" s="114">
        <f t="shared" si="35"/>
        <v>6316</v>
      </c>
      <c r="J936" s="222">
        <v>2381.5400992811788</v>
      </c>
      <c r="K936" s="47">
        <f t="shared" si="32"/>
        <v>43</v>
      </c>
      <c r="L936" s="217">
        <f t="shared" si="36"/>
        <v>40838</v>
      </c>
      <c r="M936" s="168"/>
      <c r="N936" s="170"/>
      <c r="O936" s="170"/>
      <c r="P936" s="170"/>
      <c r="Q936" s="170"/>
      <c r="R936" s="170"/>
      <c r="S936" s="169"/>
      <c r="T936" s="170"/>
      <c r="U936" s="171"/>
      <c r="V936" s="169"/>
    </row>
    <row r="937" spans="1:22" x14ac:dyDescent="0.25">
      <c r="A937" s="13">
        <f t="shared" si="33"/>
        <v>40849</v>
      </c>
      <c r="B937" s="142">
        <v>337</v>
      </c>
      <c r="C937" s="142">
        <v>211</v>
      </c>
      <c r="D937" s="142">
        <v>533</v>
      </c>
      <c r="E937" s="142">
        <v>121</v>
      </c>
      <c r="F937" s="142">
        <v>1221</v>
      </c>
      <c r="G937" s="92">
        <v>4027</v>
      </c>
      <c r="H937" s="49">
        <f t="shared" si="34"/>
        <v>548</v>
      </c>
      <c r="I937" s="114">
        <f t="shared" si="35"/>
        <v>5229</v>
      </c>
      <c r="J937" s="222">
        <v>1962.8857503572619</v>
      </c>
      <c r="K937" s="47">
        <f t="shared" si="32"/>
        <v>44</v>
      </c>
      <c r="L937" s="217">
        <f t="shared" si="36"/>
        <v>40845</v>
      </c>
    </row>
    <row r="938" spans="1:22" x14ac:dyDescent="0.25">
      <c r="A938" s="13">
        <f t="shared" si="33"/>
        <v>40856</v>
      </c>
      <c r="B938" s="142">
        <v>393</v>
      </c>
      <c r="C938" s="142">
        <v>464</v>
      </c>
      <c r="D938" s="142">
        <v>532</v>
      </c>
      <c r="E938" s="142">
        <v>302</v>
      </c>
      <c r="F938" s="142">
        <v>1031</v>
      </c>
      <c r="G938" s="92">
        <v>4041</v>
      </c>
      <c r="H938" s="49">
        <f t="shared" si="34"/>
        <v>857</v>
      </c>
      <c r="I938" s="114">
        <f t="shared" si="35"/>
        <v>5732</v>
      </c>
      <c r="J938" s="222">
        <v>2228.9796161987342</v>
      </c>
      <c r="K938" s="47">
        <f t="shared" si="32"/>
        <v>45</v>
      </c>
      <c r="L938" s="217">
        <f t="shared" si="36"/>
        <v>40852</v>
      </c>
    </row>
    <row r="939" spans="1:22" x14ac:dyDescent="0.25">
      <c r="A939" s="13">
        <f t="shared" si="33"/>
        <v>40863</v>
      </c>
      <c r="B939" s="142">
        <v>354</v>
      </c>
      <c r="C939" s="142">
        <v>378</v>
      </c>
      <c r="D939" s="142">
        <v>76</v>
      </c>
      <c r="E939" s="142">
        <v>644</v>
      </c>
      <c r="F939" s="142">
        <v>1298</v>
      </c>
      <c r="G939" s="92">
        <v>3623</v>
      </c>
      <c r="H939" s="49">
        <f t="shared" si="34"/>
        <v>732</v>
      </c>
      <c r="I939" s="114">
        <f t="shared" si="35"/>
        <v>5075</v>
      </c>
      <c r="J939" s="222">
        <v>1907.0060385305528</v>
      </c>
      <c r="K939" s="47">
        <f t="shared" si="32"/>
        <v>46</v>
      </c>
      <c r="L939" s="217">
        <f t="shared" si="36"/>
        <v>40859</v>
      </c>
    </row>
    <row r="940" spans="1:22" x14ac:dyDescent="0.25">
      <c r="A940" s="13">
        <f t="shared" si="33"/>
        <v>40870</v>
      </c>
      <c r="B940" s="142">
        <v>385</v>
      </c>
      <c r="C940" s="142">
        <v>308</v>
      </c>
      <c r="D940" s="142">
        <v>405</v>
      </c>
      <c r="E940" s="142">
        <v>1091</v>
      </c>
      <c r="F940" s="142">
        <v>862</v>
      </c>
      <c r="G940" s="92">
        <v>3507</v>
      </c>
      <c r="H940" s="49">
        <f t="shared" si="34"/>
        <v>693</v>
      </c>
      <c r="I940" s="114">
        <f t="shared" si="35"/>
        <v>5696</v>
      </c>
      <c r="J940" s="222">
        <v>1834.2737152005502</v>
      </c>
      <c r="K940" s="47">
        <f t="shared" si="32"/>
        <v>47</v>
      </c>
      <c r="L940" s="217">
        <f t="shared" si="36"/>
        <v>40866</v>
      </c>
    </row>
    <row r="941" spans="1:22" x14ac:dyDescent="0.25">
      <c r="A941" s="13">
        <f t="shared" si="33"/>
        <v>40877</v>
      </c>
      <c r="B941" s="142">
        <v>138</v>
      </c>
      <c r="C941" s="142">
        <v>256</v>
      </c>
      <c r="D941" s="142">
        <v>125</v>
      </c>
      <c r="E941" s="142">
        <v>992</v>
      </c>
      <c r="F941" s="142">
        <v>768</v>
      </c>
      <c r="G941" s="92">
        <v>3991</v>
      </c>
      <c r="H941" s="49">
        <f t="shared" si="34"/>
        <v>394</v>
      </c>
      <c r="I941" s="114">
        <f t="shared" si="35"/>
        <v>5502</v>
      </c>
      <c r="J941" s="222">
        <v>1569.9538084646877</v>
      </c>
      <c r="K941" s="47">
        <f t="shared" si="32"/>
        <v>48</v>
      </c>
      <c r="L941" s="217">
        <f t="shared" si="36"/>
        <v>40873</v>
      </c>
    </row>
    <row r="942" spans="1:22" x14ac:dyDescent="0.25">
      <c r="A942" s="13">
        <f t="shared" si="33"/>
        <v>40884</v>
      </c>
      <c r="B942" s="142">
        <v>317</v>
      </c>
      <c r="C942" s="142">
        <v>272</v>
      </c>
      <c r="D942" s="142">
        <v>111</v>
      </c>
      <c r="E942" s="142">
        <v>634</v>
      </c>
      <c r="F942" s="142">
        <v>778</v>
      </c>
      <c r="G942" s="92">
        <v>4152</v>
      </c>
      <c r="H942" s="49">
        <f t="shared" si="34"/>
        <v>589</v>
      </c>
      <c r="I942" s="114">
        <f t="shared" si="35"/>
        <v>5486</v>
      </c>
      <c r="J942" s="222">
        <v>1812.0992263804276</v>
      </c>
      <c r="K942" s="47">
        <f t="shared" si="32"/>
        <v>49</v>
      </c>
      <c r="L942" s="217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5">
      <c r="A943" s="13">
        <f t="shared" si="33"/>
        <v>40891</v>
      </c>
      <c r="B943" s="142">
        <v>282</v>
      </c>
      <c r="C943" s="142">
        <v>296</v>
      </c>
      <c r="D943" s="142">
        <v>117</v>
      </c>
      <c r="E943" s="142">
        <v>790</v>
      </c>
      <c r="F943" s="142">
        <v>1197</v>
      </c>
      <c r="G943" s="92">
        <v>6272</v>
      </c>
      <c r="H943" s="49">
        <f t="shared" si="34"/>
        <v>578</v>
      </c>
      <c r="I943" s="114">
        <f t="shared" si="35"/>
        <v>7757</v>
      </c>
      <c r="J943" s="222">
        <v>1247.980230796506</v>
      </c>
      <c r="K943" s="47">
        <f t="shared" si="32"/>
        <v>50</v>
      </c>
      <c r="L943" s="217">
        <f t="shared" si="36"/>
        <v>40887</v>
      </c>
    </row>
    <row r="944" spans="1:22" x14ac:dyDescent="0.25">
      <c r="A944" s="13">
        <f t="shared" si="33"/>
        <v>40898</v>
      </c>
      <c r="B944" s="142">
        <v>431</v>
      </c>
      <c r="C944" s="142">
        <v>68</v>
      </c>
      <c r="D944" s="142">
        <v>56</v>
      </c>
      <c r="E944" s="142">
        <v>626</v>
      </c>
      <c r="F944" s="142">
        <v>708</v>
      </c>
      <c r="G944" s="92">
        <v>5674</v>
      </c>
      <c r="H944" s="49">
        <f t="shared" si="34"/>
        <v>499</v>
      </c>
      <c r="I944" s="114">
        <f t="shared" si="35"/>
        <v>6855</v>
      </c>
      <c r="J944" s="222">
        <v>1532.7006672468815</v>
      </c>
      <c r="K944" s="47">
        <f t="shared" si="32"/>
        <v>51</v>
      </c>
      <c r="L944" s="217">
        <f t="shared" si="36"/>
        <v>40894</v>
      </c>
    </row>
    <row r="945" spans="1:21" x14ac:dyDescent="0.25">
      <c r="A945" s="13">
        <f t="shared" si="33"/>
        <v>40905</v>
      </c>
      <c r="B945" s="142">
        <v>315</v>
      </c>
      <c r="C945" s="142">
        <v>137</v>
      </c>
      <c r="D945" s="142">
        <v>4</v>
      </c>
      <c r="E945" s="142">
        <v>237</v>
      </c>
      <c r="F945" s="142">
        <v>973</v>
      </c>
      <c r="G945" s="92">
        <v>4158</v>
      </c>
      <c r="H945" s="49">
        <f t="shared" si="34"/>
        <v>452</v>
      </c>
      <c r="I945" s="114">
        <f t="shared" si="35"/>
        <v>4851</v>
      </c>
      <c r="J945" s="222">
        <v>3069.8362322577873</v>
      </c>
      <c r="K945" s="47">
        <f t="shared" si="32"/>
        <v>52</v>
      </c>
      <c r="L945" s="217">
        <f t="shared" si="36"/>
        <v>40901</v>
      </c>
    </row>
    <row r="946" spans="1:21" x14ac:dyDescent="0.25">
      <c r="A946" s="13">
        <f t="shared" si="33"/>
        <v>40912</v>
      </c>
      <c r="B946" s="142">
        <v>278</v>
      </c>
      <c r="C946" s="142">
        <v>70</v>
      </c>
      <c r="D946" s="142">
        <v>25</v>
      </c>
      <c r="E946" s="142">
        <v>995</v>
      </c>
      <c r="F946" s="142">
        <v>793</v>
      </c>
      <c r="G946" s="92">
        <v>4668</v>
      </c>
      <c r="H946" s="49">
        <f t="shared" si="34"/>
        <v>348</v>
      </c>
      <c r="I946" s="114">
        <f t="shared" si="35"/>
        <v>6036</v>
      </c>
      <c r="J946" s="222">
        <v>1635.5902953722507</v>
      </c>
      <c r="K946" s="47">
        <v>1</v>
      </c>
      <c r="L946" s="217">
        <f>L945+7</f>
        <v>40908</v>
      </c>
    </row>
    <row r="947" spans="1:21" x14ac:dyDescent="0.25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5">
        <v>4889</v>
      </c>
      <c r="H947" s="49">
        <f t="shared" si="34"/>
        <v>387</v>
      </c>
      <c r="I947" s="114">
        <f t="shared" si="35"/>
        <v>6040</v>
      </c>
      <c r="J947" s="222">
        <v>2585.6999999999998</v>
      </c>
      <c r="K947" s="47">
        <f t="shared" si="32"/>
        <v>2</v>
      </c>
      <c r="L947" s="219">
        <f>L946+7</f>
        <v>40915</v>
      </c>
    </row>
    <row r="948" spans="1:21" x14ac:dyDescent="0.25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5">
        <v>4242</v>
      </c>
      <c r="H948" s="49">
        <f t="shared" si="34"/>
        <v>459</v>
      </c>
      <c r="I948" s="114">
        <f t="shared" si="35"/>
        <v>5398</v>
      </c>
      <c r="J948" s="222">
        <v>2079.9499999999998</v>
      </c>
      <c r="K948" s="47">
        <f t="shared" si="32"/>
        <v>3</v>
      </c>
      <c r="L948" s="217">
        <f t="shared" si="36"/>
        <v>40922</v>
      </c>
    </row>
    <row r="949" spans="1:21" x14ac:dyDescent="0.25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5">
        <v>3201</v>
      </c>
      <c r="H949" s="49">
        <f t="shared" si="34"/>
        <v>453</v>
      </c>
      <c r="I949" s="114">
        <f t="shared" si="35"/>
        <v>4434</v>
      </c>
      <c r="J949" s="222">
        <v>1711.8999999999999</v>
      </c>
      <c r="K949" s="47">
        <f t="shared" si="32"/>
        <v>4</v>
      </c>
      <c r="L949" s="217">
        <f t="shared" si="36"/>
        <v>40929</v>
      </c>
      <c r="M949" s="173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5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5">
        <v>4134</v>
      </c>
      <c r="H950" s="49">
        <f t="shared" si="34"/>
        <v>587</v>
      </c>
      <c r="I950" s="114">
        <f t="shared" si="35"/>
        <v>5970</v>
      </c>
      <c r="J950" s="222">
        <v>1967.75</v>
      </c>
      <c r="K950" s="47">
        <f t="shared" si="32"/>
        <v>5</v>
      </c>
      <c r="L950" s="217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5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5">
        <v>5447</v>
      </c>
      <c r="H951" s="49">
        <f t="shared" si="34"/>
        <v>402</v>
      </c>
      <c r="I951" s="114">
        <f t="shared" si="35"/>
        <v>6699</v>
      </c>
      <c r="J951" s="222">
        <v>1332.8</v>
      </c>
      <c r="K951" s="47">
        <f t="shared" si="32"/>
        <v>6</v>
      </c>
      <c r="L951" s="217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5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5">
        <v>662</v>
      </c>
      <c r="F952" s="48">
        <v>930</v>
      </c>
      <c r="G952" s="175">
        <v>4597</v>
      </c>
      <c r="H952" s="49">
        <f t="shared" si="34"/>
        <v>845</v>
      </c>
      <c r="I952" s="114">
        <f t="shared" si="35"/>
        <v>6734</v>
      </c>
      <c r="J952" s="222">
        <v>2272.9</v>
      </c>
      <c r="K952" s="47">
        <f t="shared" si="32"/>
        <v>7</v>
      </c>
      <c r="L952" s="217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5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5">
        <v>5172</v>
      </c>
      <c r="H953" s="49">
        <f t="shared" si="34"/>
        <v>601</v>
      </c>
      <c r="I953" s="114">
        <f t="shared" si="35"/>
        <v>6591</v>
      </c>
      <c r="J953" s="222">
        <v>1933.75</v>
      </c>
      <c r="K953" s="47">
        <f t="shared" si="32"/>
        <v>8</v>
      </c>
      <c r="L953" s="221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5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5">
        <v>4661</v>
      </c>
      <c r="H954" s="49">
        <f t="shared" si="34"/>
        <v>471</v>
      </c>
      <c r="I954" s="114">
        <f t="shared" si="35"/>
        <v>6140</v>
      </c>
      <c r="J954" s="222">
        <v>1984.75</v>
      </c>
      <c r="K954" s="47">
        <f t="shared" si="32"/>
        <v>9</v>
      </c>
      <c r="L954" s="217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5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5">
        <v>4920</v>
      </c>
      <c r="H955" s="49">
        <f t="shared" si="34"/>
        <v>502</v>
      </c>
      <c r="I955" s="114">
        <f t="shared" si="35"/>
        <v>6629</v>
      </c>
      <c r="J955" s="222">
        <v>2217.65</v>
      </c>
      <c r="K955" s="47">
        <f t="shared" si="32"/>
        <v>10</v>
      </c>
      <c r="L955" s="217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5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5">
        <v>4846</v>
      </c>
      <c r="H956" s="49">
        <f t="shared" si="34"/>
        <v>419</v>
      </c>
      <c r="I956" s="114">
        <f t="shared" si="35"/>
        <v>6280</v>
      </c>
      <c r="J956" s="222">
        <v>2775.25</v>
      </c>
      <c r="K956" s="47">
        <f t="shared" si="32"/>
        <v>11</v>
      </c>
      <c r="L956" s="217">
        <f t="shared" si="36"/>
        <v>40978</v>
      </c>
      <c r="M956" s="173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5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5">
        <v>668</v>
      </c>
      <c r="F957" s="48">
        <v>1197</v>
      </c>
      <c r="G957" s="175">
        <v>4353</v>
      </c>
      <c r="H957" s="49">
        <f t="shared" si="34"/>
        <v>633</v>
      </c>
      <c r="I957" s="114">
        <f t="shared" si="35"/>
        <v>5722</v>
      </c>
      <c r="J957" s="222">
        <v>2050.1999999999998</v>
      </c>
      <c r="K957" s="47">
        <f t="shared" si="32"/>
        <v>12</v>
      </c>
      <c r="L957" s="217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5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5">
        <v>980</v>
      </c>
      <c r="F958" s="48">
        <v>1494</v>
      </c>
      <c r="G958" s="175">
        <v>4823</v>
      </c>
      <c r="H958" s="49">
        <f t="shared" si="34"/>
        <v>541</v>
      </c>
      <c r="I958" s="114">
        <f t="shared" si="35"/>
        <v>6350</v>
      </c>
      <c r="J958" s="222">
        <v>2154.75</v>
      </c>
      <c r="K958" s="47">
        <f t="shared" si="32"/>
        <v>13</v>
      </c>
      <c r="L958" s="217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5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5">
        <v>580</v>
      </c>
      <c r="F959" s="48">
        <v>2194</v>
      </c>
      <c r="G959" s="175">
        <v>4586</v>
      </c>
      <c r="H959" s="49">
        <f t="shared" si="34"/>
        <v>388</v>
      </c>
      <c r="I959" s="114">
        <f t="shared" si="35"/>
        <v>5789</v>
      </c>
      <c r="J959" s="222">
        <v>2855.15</v>
      </c>
      <c r="K959" s="47">
        <f t="shared" si="32"/>
        <v>14</v>
      </c>
      <c r="L959" s="221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5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5">
        <v>542</v>
      </c>
      <c r="F960" s="48">
        <v>1021</v>
      </c>
      <c r="G960" s="175">
        <v>3607</v>
      </c>
      <c r="H960" s="49">
        <f t="shared" si="34"/>
        <v>387</v>
      </c>
      <c r="I960" s="114">
        <f t="shared" si="35"/>
        <v>4607</v>
      </c>
      <c r="J960" s="222">
        <v>2762.5</v>
      </c>
      <c r="K960" s="47">
        <f t="shared" ref="K960:K1023" si="37">K959+1</f>
        <v>15</v>
      </c>
      <c r="L960" s="220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5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5">
        <v>864</v>
      </c>
      <c r="F961" s="48">
        <v>1577</v>
      </c>
      <c r="G961" s="175">
        <v>3977</v>
      </c>
      <c r="H961" s="49">
        <f t="shared" si="34"/>
        <v>348</v>
      </c>
      <c r="I961" s="114">
        <f t="shared" si="35"/>
        <v>5189</v>
      </c>
      <c r="J961" s="222">
        <v>2330.6999999999998</v>
      </c>
      <c r="K961" s="47">
        <f t="shared" si="37"/>
        <v>16</v>
      </c>
      <c r="L961" s="217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5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5">
        <v>535</v>
      </c>
      <c r="F962" s="48">
        <v>1039</v>
      </c>
      <c r="G962" s="175">
        <v>2988</v>
      </c>
      <c r="H962" s="49">
        <f t="shared" si="34"/>
        <v>377</v>
      </c>
      <c r="I962" s="114">
        <f t="shared" si="35"/>
        <v>3952</v>
      </c>
      <c r="J962" s="222">
        <v>2417.4</v>
      </c>
      <c r="K962" s="47">
        <f t="shared" si="37"/>
        <v>17</v>
      </c>
      <c r="L962" s="217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5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5">
        <v>641</v>
      </c>
      <c r="F963" s="48">
        <v>1761</v>
      </c>
      <c r="G963" s="175">
        <v>3840</v>
      </c>
      <c r="H963" s="49">
        <f t="shared" si="34"/>
        <v>359</v>
      </c>
      <c r="I963" s="114">
        <f t="shared" si="35"/>
        <v>4865</v>
      </c>
      <c r="J963" s="222">
        <v>2244.85</v>
      </c>
      <c r="K963" s="47">
        <f t="shared" si="37"/>
        <v>18</v>
      </c>
      <c r="L963" s="217">
        <f t="shared" si="36"/>
        <v>41027</v>
      </c>
      <c r="M963" s="137"/>
      <c r="N963" s="137"/>
      <c r="O963" s="137"/>
      <c r="P963" s="137"/>
      <c r="Q963" s="137"/>
      <c r="R963" s="138"/>
      <c r="S963" s="137"/>
      <c r="T963" s="140"/>
      <c r="U963" s="138"/>
    </row>
    <row r="964" spans="1:22" x14ac:dyDescent="0.25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5">
        <v>82</v>
      </c>
      <c r="F964" s="48">
        <v>1376</v>
      </c>
      <c r="G964" s="175">
        <v>4030</v>
      </c>
      <c r="H964" s="49">
        <f t="shared" si="34"/>
        <v>283</v>
      </c>
      <c r="I964" s="114">
        <f t="shared" si="35"/>
        <v>4415</v>
      </c>
      <c r="J964" s="222">
        <v>2546.6</v>
      </c>
      <c r="K964" s="47">
        <f t="shared" si="37"/>
        <v>19</v>
      </c>
      <c r="L964" s="217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5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5">
        <v>409</v>
      </c>
      <c r="F965" s="48">
        <v>1160</v>
      </c>
      <c r="G965" s="175">
        <v>3482</v>
      </c>
      <c r="H965" s="49">
        <f t="shared" si="34"/>
        <v>338</v>
      </c>
      <c r="I965" s="114">
        <f t="shared" si="35"/>
        <v>4229</v>
      </c>
      <c r="J965" s="222">
        <v>2471.7999999999997</v>
      </c>
      <c r="K965" s="47">
        <f t="shared" si="37"/>
        <v>20</v>
      </c>
      <c r="L965" s="221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5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5">
        <v>1015</v>
      </c>
      <c r="F966" s="48">
        <v>1070</v>
      </c>
      <c r="G966" s="175">
        <v>3948</v>
      </c>
      <c r="H966" s="49">
        <f t="shared" si="34"/>
        <v>364</v>
      </c>
      <c r="I966" s="114">
        <f t="shared" si="35"/>
        <v>5327</v>
      </c>
      <c r="J966" s="222">
        <v>2001.75</v>
      </c>
      <c r="K966" s="47">
        <f t="shared" si="37"/>
        <v>21</v>
      </c>
      <c r="L966" s="217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5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5">
        <v>1684</v>
      </c>
      <c r="F967" s="48">
        <v>1246</v>
      </c>
      <c r="G967" s="175">
        <v>3717</v>
      </c>
      <c r="H967" s="49">
        <f t="shared" si="34"/>
        <v>190</v>
      </c>
      <c r="I967" s="114">
        <f t="shared" si="35"/>
        <v>5610</v>
      </c>
      <c r="J967" s="222">
        <v>2037.45</v>
      </c>
      <c r="K967" s="47">
        <f t="shared" si="37"/>
        <v>22</v>
      </c>
      <c r="L967" s="217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5">
      <c r="A968" s="13">
        <f t="shared" si="38"/>
        <v>41066</v>
      </c>
      <c r="B968" s="155">
        <v>0</v>
      </c>
      <c r="C968" s="155">
        <v>105</v>
      </c>
      <c r="D968" s="47">
        <v>215</v>
      </c>
      <c r="E968" s="155">
        <v>1562</v>
      </c>
      <c r="F968" s="48">
        <v>1073</v>
      </c>
      <c r="G968" s="175">
        <v>2972</v>
      </c>
      <c r="H968" s="49">
        <f t="shared" si="34"/>
        <v>105</v>
      </c>
      <c r="I968" s="114">
        <f t="shared" si="35"/>
        <v>4854</v>
      </c>
      <c r="J968" s="222">
        <v>2132.65</v>
      </c>
      <c r="K968" s="47">
        <f t="shared" si="37"/>
        <v>23</v>
      </c>
      <c r="L968" s="217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5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2">
        <v>1021</v>
      </c>
      <c r="G969" s="182">
        <v>3446</v>
      </c>
      <c r="H969" s="47">
        <f t="shared" si="34"/>
        <v>203</v>
      </c>
      <c r="I969" s="114">
        <f t="shared" si="35"/>
        <v>4680</v>
      </c>
      <c r="J969" s="222">
        <v>1608.2</v>
      </c>
      <c r="K969" s="47">
        <f t="shared" si="37"/>
        <v>24</v>
      </c>
      <c r="L969" s="217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5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2">
        <v>641</v>
      </c>
      <c r="G970" s="183">
        <v>2876</v>
      </c>
      <c r="H970" s="47">
        <f t="shared" si="34"/>
        <v>189</v>
      </c>
      <c r="I970" s="114">
        <f t="shared" si="35"/>
        <v>3857</v>
      </c>
      <c r="J970" s="222">
        <v>1576.75</v>
      </c>
      <c r="K970" s="47">
        <f t="shared" si="37"/>
        <v>25</v>
      </c>
      <c r="L970" s="217">
        <f t="shared" si="36"/>
        <v>41076</v>
      </c>
      <c r="M970" s="137"/>
      <c r="N970" s="137"/>
      <c r="O970" s="137"/>
      <c r="P970" s="137"/>
      <c r="Q970" s="137"/>
      <c r="R970" s="138"/>
      <c r="S970" s="137"/>
      <c r="T970" s="140"/>
      <c r="U970" s="138"/>
      <c r="V970" s="39"/>
    </row>
    <row r="971" spans="1:22" x14ac:dyDescent="0.25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2">
        <v>762</v>
      </c>
      <c r="G971" s="182">
        <v>3406</v>
      </c>
      <c r="H971" s="47">
        <f t="shared" si="34"/>
        <v>188</v>
      </c>
      <c r="I971" s="114">
        <f t="shared" si="35"/>
        <v>4741</v>
      </c>
      <c r="J971" s="222">
        <v>1408.45</v>
      </c>
      <c r="K971" s="47">
        <f t="shared" si="37"/>
        <v>26</v>
      </c>
      <c r="L971" s="221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5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8">
        <v>587</v>
      </c>
      <c r="F972" s="182">
        <v>713</v>
      </c>
      <c r="G972" s="182">
        <v>3297</v>
      </c>
      <c r="H972" s="47">
        <f t="shared" si="34"/>
        <v>208</v>
      </c>
      <c r="I972" s="114">
        <f t="shared" si="35"/>
        <v>4202</v>
      </c>
      <c r="J972" s="222">
        <v>1292.8499999999999</v>
      </c>
      <c r="K972" s="47">
        <f t="shared" si="37"/>
        <v>27</v>
      </c>
      <c r="L972" s="217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5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8">
        <v>661</v>
      </c>
      <c r="F973" s="182">
        <v>650</v>
      </c>
      <c r="G973" s="182">
        <v>3045</v>
      </c>
      <c r="H973" s="47">
        <f t="shared" si="34"/>
        <v>110</v>
      </c>
      <c r="I973" s="114">
        <f t="shared" si="35"/>
        <v>3816</v>
      </c>
      <c r="J973" s="222">
        <v>1296.25</v>
      </c>
      <c r="K973" s="47">
        <f t="shared" si="37"/>
        <v>28</v>
      </c>
      <c r="L973" s="217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5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8">
        <v>445</v>
      </c>
      <c r="F974" s="182">
        <v>1200</v>
      </c>
      <c r="G974" s="182">
        <v>2514</v>
      </c>
      <c r="H974" s="47">
        <f t="shared" si="34"/>
        <v>131</v>
      </c>
      <c r="I974" s="114">
        <f t="shared" si="35"/>
        <v>3594</v>
      </c>
      <c r="J974" s="222">
        <v>1642.2</v>
      </c>
      <c r="K974" s="47">
        <f t="shared" si="37"/>
        <v>29</v>
      </c>
      <c r="L974" s="217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5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8">
        <v>979</v>
      </c>
      <c r="F975" s="182">
        <v>662</v>
      </c>
      <c r="G975" s="182">
        <v>3389</v>
      </c>
      <c r="H975" s="47">
        <f t="shared" si="34"/>
        <v>219</v>
      </c>
      <c r="I975" s="114">
        <f t="shared" si="35"/>
        <v>4867</v>
      </c>
      <c r="J975" s="222">
        <v>1316.6499999999999</v>
      </c>
      <c r="K975" s="47">
        <f t="shared" si="37"/>
        <v>30</v>
      </c>
      <c r="L975" s="217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5">
      <c r="A976" s="13">
        <f t="shared" si="38"/>
        <v>41122</v>
      </c>
      <c r="B976" s="47">
        <v>47</v>
      </c>
      <c r="C976" s="47">
        <v>62</v>
      </c>
      <c r="D976" s="241">
        <v>393</v>
      </c>
      <c r="E976" s="108">
        <v>367</v>
      </c>
      <c r="F976" s="182">
        <v>952</v>
      </c>
      <c r="G976" s="183">
        <v>2476</v>
      </c>
      <c r="H976" s="47">
        <f t="shared" si="34"/>
        <v>109</v>
      </c>
      <c r="I976" s="114">
        <f t="shared" si="35"/>
        <v>3345</v>
      </c>
      <c r="J976" s="222">
        <v>911.19999999999993</v>
      </c>
      <c r="K976" s="47">
        <f t="shared" si="37"/>
        <v>31</v>
      </c>
      <c r="L976" s="217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5">
      <c r="A977" s="13">
        <f t="shared" si="38"/>
        <v>41129</v>
      </c>
      <c r="B977" s="47">
        <v>16</v>
      </c>
      <c r="C977" s="47">
        <v>16</v>
      </c>
      <c r="D977" s="241">
        <v>791</v>
      </c>
      <c r="E977" s="125">
        <v>770</v>
      </c>
      <c r="F977" s="182">
        <v>492</v>
      </c>
      <c r="G977" s="183">
        <v>3753</v>
      </c>
      <c r="H977" s="47">
        <f t="shared" si="34"/>
        <v>32</v>
      </c>
      <c r="I977" s="114">
        <f t="shared" ref="I977:I988" si="39">SUM(D977:H977)-F977</f>
        <v>5346</v>
      </c>
      <c r="J977" s="222">
        <v>1687.25</v>
      </c>
      <c r="K977" s="47">
        <f t="shared" si="37"/>
        <v>32</v>
      </c>
      <c r="L977" s="221">
        <f t="shared" si="36"/>
        <v>41125</v>
      </c>
      <c r="M977" s="137"/>
      <c r="N977" s="137"/>
      <c r="O977" s="137"/>
      <c r="P977" s="137"/>
      <c r="Q977" s="137"/>
      <c r="R977" s="138"/>
      <c r="S977" s="137"/>
      <c r="T977" s="140"/>
      <c r="U977" s="138"/>
      <c r="V977" s="39"/>
    </row>
    <row r="978" spans="1:22" x14ac:dyDescent="0.25">
      <c r="A978" s="13">
        <f t="shared" si="38"/>
        <v>41136</v>
      </c>
      <c r="B978" s="47">
        <v>110</v>
      </c>
      <c r="C978" s="47">
        <v>16</v>
      </c>
      <c r="D978" s="241">
        <v>257</v>
      </c>
      <c r="E978" s="125">
        <v>660</v>
      </c>
      <c r="F978" s="183">
        <v>662</v>
      </c>
      <c r="G978" s="183">
        <v>4119</v>
      </c>
      <c r="H978" s="47">
        <f t="shared" si="34"/>
        <v>126</v>
      </c>
      <c r="I978" s="114">
        <f t="shared" si="39"/>
        <v>5162</v>
      </c>
      <c r="J978" s="222">
        <v>2023.85</v>
      </c>
      <c r="K978" s="47">
        <f t="shared" si="37"/>
        <v>33</v>
      </c>
      <c r="L978" s="217">
        <f t="shared" si="36"/>
        <v>41132</v>
      </c>
      <c r="M978" s="178"/>
      <c r="N978" s="180"/>
      <c r="O978" s="180"/>
      <c r="P978" s="180"/>
      <c r="Q978" s="180"/>
      <c r="R978" s="180"/>
      <c r="S978" s="179"/>
      <c r="T978" s="180"/>
      <c r="U978" s="181"/>
      <c r="V978" s="39"/>
    </row>
    <row r="979" spans="1:22" x14ac:dyDescent="0.25">
      <c r="A979" s="13">
        <f t="shared" si="38"/>
        <v>41143</v>
      </c>
      <c r="B979" s="47">
        <v>233</v>
      </c>
      <c r="C979" s="47">
        <v>13</v>
      </c>
      <c r="D979" s="241">
        <v>629</v>
      </c>
      <c r="E979" s="125">
        <v>578</v>
      </c>
      <c r="F979" s="183">
        <v>558</v>
      </c>
      <c r="G979" s="183">
        <v>4312</v>
      </c>
      <c r="H979" s="47">
        <f t="shared" si="34"/>
        <v>246</v>
      </c>
      <c r="I979" s="114">
        <f t="shared" si="39"/>
        <v>5765</v>
      </c>
      <c r="J979" s="222">
        <v>1572.5</v>
      </c>
      <c r="K979" s="47">
        <f t="shared" si="37"/>
        <v>34</v>
      </c>
      <c r="L979" s="217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5">
      <c r="A980" s="13">
        <f t="shared" si="38"/>
        <v>41150</v>
      </c>
      <c r="B980" s="47">
        <v>14</v>
      </c>
      <c r="C980" s="47">
        <v>25</v>
      </c>
      <c r="D980" s="241">
        <v>1</v>
      </c>
      <c r="E980" s="125">
        <v>1072</v>
      </c>
      <c r="F980" s="183">
        <v>560</v>
      </c>
      <c r="G980" s="183">
        <v>3289</v>
      </c>
      <c r="H980" s="47">
        <f t="shared" si="34"/>
        <v>39</v>
      </c>
      <c r="I980" s="114">
        <f t="shared" si="39"/>
        <v>4401</v>
      </c>
      <c r="J980" s="222">
        <v>1025.95</v>
      </c>
      <c r="K980" s="47">
        <f t="shared" si="37"/>
        <v>35</v>
      </c>
      <c r="L980" s="217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5">
      <c r="A981" s="13">
        <f t="shared" si="38"/>
        <v>41157</v>
      </c>
      <c r="B981" s="47">
        <v>74</v>
      </c>
      <c r="C981" s="47">
        <v>1</v>
      </c>
      <c r="D981" s="241">
        <v>74</v>
      </c>
      <c r="E981" s="125">
        <v>796</v>
      </c>
      <c r="F981" s="183">
        <v>277</v>
      </c>
      <c r="G981" s="182">
        <v>2603</v>
      </c>
      <c r="H981" s="47">
        <f t="shared" si="34"/>
        <v>75</v>
      </c>
      <c r="I981" s="114">
        <f t="shared" si="39"/>
        <v>3548</v>
      </c>
      <c r="J981" s="222">
        <v>1367.6499999999999</v>
      </c>
      <c r="K981" s="47">
        <f t="shared" si="37"/>
        <v>36</v>
      </c>
      <c r="L981" s="217">
        <f t="shared" si="36"/>
        <v>41153</v>
      </c>
      <c r="M981" s="177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5">
      <c r="A982" s="13">
        <f t="shared" si="38"/>
        <v>41164</v>
      </c>
      <c r="B982" s="47">
        <v>120</v>
      </c>
      <c r="C982" s="47">
        <v>37</v>
      </c>
      <c r="D982" s="241">
        <v>50</v>
      </c>
      <c r="E982" s="125">
        <v>1330</v>
      </c>
      <c r="F982" s="183">
        <v>818</v>
      </c>
      <c r="G982" s="182">
        <v>2380</v>
      </c>
      <c r="H982" s="47">
        <f t="shared" si="34"/>
        <v>157</v>
      </c>
      <c r="I982" s="114">
        <f t="shared" si="39"/>
        <v>3917</v>
      </c>
      <c r="J982" s="222">
        <v>1201.8999999999999</v>
      </c>
      <c r="K982" s="47">
        <f t="shared" si="37"/>
        <v>37</v>
      </c>
      <c r="L982" s="217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5">
      <c r="A983" s="13">
        <f t="shared" si="38"/>
        <v>41171</v>
      </c>
      <c r="B983" s="47">
        <v>140</v>
      </c>
      <c r="C983" s="47">
        <v>94</v>
      </c>
      <c r="D983" s="241">
        <v>333</v>
      </c>
      <c r="E983" s="125">
        <v>1328</v>
      </c>
      <c r="F983" s="183">
        <v>660</v>
      </c>
      <c r="G983" s="182">
        <v>2944</v>
      </c>
      <c r="H983" s="47">
        <f t="shared" si="34"/>
        <v>234</v>
      </c>
      <c r="I983" s="114">
        <f t="shared" si="39"/>
        <v>4839</v>
      </c>
      <c r="J983" s="222">
        <v>1301.3499999999999</v>
      </c>
      <c r="K983" s="47">
        <f t="shared" si="37"/>
        <v>38</v>
      </c>
      <c r="L983" s="221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5">
      <c r="A984" s="13">
        <f t="shared" si="38"/>
        <v>41178</v>
      </c>
      <c r="B984" s="47">
        <v>229</v>
      </c>
      <c r="C984" s="47">
        <v>32</v>
      </c>
      <c r="D984" s="241">
        <v>506</v>
      </c>
      <c r="E984" s="125">
        <v>1521</v>
      </c>
      <c r="F984" s="183">
        <v>374</v>
      </c>
      <c r="G984" s="182">
        <v>4246</v>
      </c>
      <c r="H984" s="47">
        <f t="shared" si="34"/>
        <v>261</v>
      </c>
      <c r="I984" s="114">
        <f t="shared" si="39"/>
        <v>6534</v>
      </c>
      <c r="J984" s="222">
        <v>1612.45</v>
      </c>
      <c r="K984" s="47">
        <f t="shared" si="37"/>
        <v>39</v>
      </c>
      <c r="L984" s="217">
        <f t="shared" ref="L984:L1047" si="40">L983+7</f>
        <v>41174</v>
      </c>
    </row>
    <row r="985" spans="1:22" x14ac:dyDescent="0.25">
      <c r="A985" s="13">
        <f t="shared" si="38"/>
        <v>41185</v>
      </c>
      <c r="B985" s="47">
        <v>144</v>
      </c>
      <c r="C985" s="47">
        <v>131</v>
      </c>
      <c r="D985" s="241">
        <v>1218</v>
      </c>
      <c r="E985" s="125">
        <v>958</v>
      </c>
      <c r="F985" s="226">
        <v>677</v>
      </c>
      <c r="G985" s="184">
        <v>4395</v>
      </c>
      <c r="H985" s="47">
        <f t="shared" si="34"/>
        <v>275</v>
      </c>
      <c r="I985" s="114">
        <f t="shared" si="39"/>
        <v>6846</v>
      </c>
      <c r="J985" s="222">
        <v>1341.3</v>
      </c>
      <c r="K985" s="47">
        <f t="shared" si="37"/>
        <v>40</v>
      </c>
      <c r="L985" s="217">
        <f t="shared" si="40"/>
        <v>41181</v>
      </c>
      <c r="M985" s="178"/>
      <c r="N985" s="180"/>
      <c r="O985" s="180"/>
      <c r="P985" s="180"/>
      <c r="Q985" s="180"/>
      <c r="R985" s="180"/>
      <c r="S985" s="179"/>
      <c r="T985" s="180"/>
      <c r="U985" s="181"/>
    </row>
    <row r="986" spans="1:22" x14ac:dyDescent="0.25">
      <c r="A986" s="13">
        <f t="shared" si="38"/>
        <v>41192</v>
      </c>
      <c r="B986" s="47">
        <v>402</v>
      </c>
      <c r="C986" s="47">
        <v>454</v>
      </c>
      <c r="D986" s="241">
        <v>1439</v>
      </c>
      <c r="E986" s="125">
        <v>740</v>
      </c>
      <c r="F986" s="226">
        <v>432</v>
      </c>
      <c r="G986" s="184">
        <v>4682</v>
      </c>
      <c r="H986" s="47">
        <f t="shared" si="34"/>
        <v>856</v>
      </c>
      <c r="I986" s="114">
        <f t="shared" si="39"/>
        <v>7717</v>
      </c>
      <c r="J986" s="222">
        <v>2303.5</v>
      </c>
      <c r="K986" s="47">
        <f t="shared" si="37"/>
        <v>41</v>
      </c>
      <c r="L986" s="220">
        <f t="shared" si="40"/>
        <v>41188</v>
      </c>
    </row>
    <row r="987" spans="1:22" x14ac:dyDescent="0.25">
      <c r="A987" s="13">
        <f t="shared" si="38"/>
        <v>41199</v>
      </c>
      <c r="B987" s="47">
        <v>395</v>
      </c>
      <c r="C987" s="47">
        <v>371</v>
      </c>
      <c r="D987" s="241">
        <v>1905</v>
      </c>
      <c r="E987" s="125">
        <v>737</v>
      </c>
      <c r="F987" s="226">
        <v>102</v>
      </c>
      <c r="G987" s="184">
        <v>3366</v>
      </c>
      <c r="H987" s="47">
        <f t="shared" si="34"/>
        <v>766</v>
      </c>
      <c r="I987" s="114">
        <f t="shared" si="39"/>
        <v>6774</v>
      </c>
      <c r="J987" s="222">
        <v>1376.1499999999999</v>
      </c>
      <c r="K987" s="47">
        <f t="shared" si="37"/>
        <v>42</v>
      </c>
      <c r="L987" s="217">
        <f t="shared" si="40"/>
        <v>41195</v>
      </c>
    </row>
    <row r="988" spans="1:22" x14ac:dyDescent="0.25">
      <c r="A988" s="13">
        <f t="shared" si="38"/>
        <v>41206</v>
      </c>
      <c r="B988" s="185">
        <v>486</v>
      </c>
      <c r="C988" s="185">
        <v>918</v>
      </c>
      <c r="D988" s="241">
        <v>631</v>
      </c>
      <c r="E988" s="186">
        <v>638</v>
      </c>
      <c r="F988" s="186">
        <v>93</v>
      </c>
      <c r="G988" s="185">
        <v>3293</v>
      </c>
      <c r="H988" s="185">
        <f t="shared" si="34"/>
        <v>1404</v>
      </c>
      <c r="I988" s="114">
        <f t="shared" si="39"/>
        <v>5966</v>
      </c>
      <c r="J988" s="222">
        <v>1558.05</v>
      </c>
      <c r="K988" s="47">
        <f t="shared" si="37"/>
        <v>43</v>
      </c>
      <c r="L988" s="217">
        <f t="shared" si="40"/>
        <v>41202</v>
      </c>
    </row>
    <row r="989" spans="1:22" x14ac:dyDescent="0.25">
      <c r="A989" s="13">
        <f t="shared" si="38"/>
        <v>41213</v>
      </c>
      <c r="B989" s="185">
        <v>456</v>
      </c>
      <c r="C989" s="185">
        <v>762</v>
      </c>
      <c r="D989" s="241">
        <v>539</v>
      </c>
      <c r="E989" s="185">
        <v>920</v>
      </c>
      <c r="F989" s="186">
        <v>319</v>
      </c>
      <c r="G989" s="185">
        <v>4311</v>
      </c>
      <c r="H989" s="185">
        <f t="shared" ref="H989:H1010" si="41">B989+C989</f>
        <v>1218</v>
      </c>
      <c r="I989" s="114">
        <f t="shared" ref="I989:I1010" si="42">SUM(D989:H989)-F989</f>
        <v>6988</v>
      </c>
      <c r="J989" s="222">
        <v>1761.2</v>
      </c>
      <c r="K989" s="47">
        <f t="shared" si="37"/>
        <v>44</v>
      </c>
      <c r="L989" s="221">
        <f t="shared" si="40"/>
        <v>41209</v>
      </c>
    </row>
    <row r="990" spans="1:22" x14ac:dyDescent="0.25">
      <c r="A990" s="13">
        <f t="shared" si="38"/>
        <v>41220</v>
      </c>
      <c r="B990" s="30">
        <v>340</v>
      </c>
      <c r="C990" s="30">
        <v>683</v>
      </c>
      <c r="D990" s="241">
        <v>694</v>
      </c>
      <c r="E990" s="30">
        <v>761</v>
      </c>
      <c r="F990" s="227">
        <v>180</v>
      </c>
      <c r="G990" s="225">
        <v>3896</v>
      </c>
      <c r="H990" s="30">
        <f t="shared" si="41"/>
        <v>1023</v>
      </c>
      <c r="I990" s="114">
        <f t="shared" si="42"/>
        <v>6374</v>
      </c>
      <c r="J990" s="222">
        <v>1420</v>
      </c>
      <c r="K990" s="47">
        <f t="shared" si="37"/>
        <v>45</v>
      </c>
      <c r="L990" s="221">
        <f t="shared" si="40"/>
        <v>41216</v>
      </c>
    </row>
    <row r="991" spans="1:22" x14ac:dyDescent="0.25">
      <c r="A991" s="238">
        <f t="shared" si="38"/>
        <v>41227</v>
      </c>
      <c r="B991" s="230">
        <v>470</v>
      </c>
      <c r="C991" s="230">
        <v>664</v>
      </c>
      <c r="D991" s="241">
        <v>641</v>
      </c>
      <c r="E991" s="230">
        <v>572</v>
      </c>
      <c r="F991" s="229" t="s">
        <v>34</v>
      </c>
      <c r="G991" s="151">
        <v>3548</v>
      </c>
      <c r="H991" s="30">
        <f t="shared" si="41"/>
        <v>1134</v>
      </c>
      <c r="I991" s="114">
        <f t="shared" si="42"/>
        <v>5895</v>
      </c>
      <c r="J991" s="222">
        <v>1669</v>
      </c>
      <c r="K991" s="47">
        <f t="shared" si="37"/>
        <v>46</v>
      </c>
      <c r="L991" s="221">
        <f t="shared" si="40"/>
        <v>41223</v>
      </c>
    </row>
    <row r="992" spans="1:22" x14ac:dyDescent="0.25">
      <c r="A992" s="13">
        <f t="shared" si="38"/>
        <v>41234</v>
      </c>
      <c r="B992" s="230">
        <v>491</v>
      </c>
      <c r="C992" s="230">
        <v>474</v>
      </c>
      <c r="D992" s="241">
        <v>1127</v>
      </c>
      <c r="E992" s="230">
        <v>569</v>
      </c>
      <c r="F992" s="229" t="s">
        <v>34</v>
      </c>
      <c r="G992" s="151">
        <v>4201</v>
      </c>
      <c r="H992" s="30">
        <f t="shared" si="41"/>
        <v>965</v>
      </c>
      <c r="I992" s="114">
        <f t="shared" si="42"/>
        <v>6862</v>
      </c>
      <c r="J992" s="222">
        <v>1504</v>
      </c>
      <c r="K992" s="47">
        <f t="shared" si="37"/>
        <v>47</v>
      </c>
      <c r="L992" s="221">
        <f t="shared" si="40"/>
        <v>41230</v>
      </c>
      <c r="M992" s="178"/>
      <c r="N992" s="180"/>
      <c r="O992" s="180"/>
      <c r="P992" s="180"/>
      <c r="Q992" s="180"/>
      <c r="R992" s="180"/>
      <c r="S992" s="179"/>
      <c r="T992" s="180"/>
      <c r="U992" s="181"/>
    </row>
    <row r="993" spans="1:12" x14ac:dyDescent="0.25">
      <c r="A993" s="13">
        <f t="shared" si="38"/>
        <v>41241</v>
      </c>
      <c r="B993" s="230">
        <v>353</v>
      </c>
      <c r="C993" s="230">
        <v>483</v>
      </c>
      <c r="D993" s="241">
        <v>1311</v>
      </c>
      <c r="E993" s="230">
        <v>842</v>
      </c>
      <c r="F993" s="229" t="s">
        <v>34</v>
      </c>
      <c r="G993" s="151">
        <v>4580</v>
      </c>
      <c r="H993" s="30">
        <f t="shared" si="41"/>
        <v>836</v>
      </c>
      <c r="I993" s="114">
        <f t="shared" si="42"/>
        <v>7569</v>
      </c>
      <c r="J993" s="222">
        <v>1147</v>
      </c>
      <c r="K993" s="47">
        <f t="shared" si="37"/>
        <v>48</v>
      </c>
      <c r="L993" s="221">
        <f t="shared" si="40"/>
        <v>41237</v>
      </c>
    </row>
    <row r="994" spans="1:12" x14ac:dyDescent="0.25">
      <c r="A994" s="13">
        <f t="shared" si="38"/>
        <v>41248</v>
      </c>
      <c r="B994" s="230">
        <v>351</v>
      </c>
      <c r="C994" s="230">
        <v>777</v>
      </c>
      <c r="D994" s="241">
        <v>1365</v>
      </c>
      <c r="E994" s="230">
        <v>928</v>
      </c>
      <c r="F994" s="229" t="s">
        <v>34</v>
      </c>
      <c r="G994" s="151">
        <v>3170</v>
      </c>
      <c r="H994" s="30">
        <f t="shared" si="41"/>
        <v>1128</v>
      </c>
      <c r="I994" s="114">
        <f t="shared" si="42"/>
        <v>6591</v>
      </c>
      <c r="J994" s="222">
        <v>1122</v>
      </c>
      <c r="K994" s="47">
        <f t="shared" si="37"/>
        <v>49</v>
      </c>
      <c r="L994" s="221">
        <f t="shared" si="40"/>
        <v>41244</v>
      </c>
    </row>
    <row r="995" spans="1:12" x14ac:dyDescent="0.25">
      <c r="A995" s="13">
        <f t="shared" si="38"/>
        <v>41255</v>
      </c>
      <c r="B995" s="230">
        <v>499</v>
      </c>
      <c r="C995" s="230">
        <v>695</v>
      </c>
      <c r="D995" s="241">
        <v>1027</v>
      </c>
      <c r="E995" s="230">
        <v>620</v>
      </c>
      <c r="F995" s="229" t="s">
        <v>34</v>
      </c>
      <c r="G995" s="151">
        <v>3011</v>
      </c>
      <c r="H995" s="30">
        <f t="shared" si="41"/>
        <v>1194</v>
      </c>
      <c r="I995" s="114">
        <f t="shared" si="42"/>
        <v>5852</v>
      </c>
      <c r="J995" s="222">
        <v>1306</v>
      </c>
      <c r="K995" s="47">
        <f t="shared" si="37"/>
        <v>50</v>
      </c>
      <c r="L995" s="221">
        <f t="shared" si="40"/>
        <v>41251</v>
      </c>
    </row>
    <row r="996" spans="1:12" x14ac:dyDescent="0.25">
      <c r="A996" s="13">
        <f t="shared" si="38"/>
        <v>41262</v>
      </c>
      <c r="B996" s="230">
        <v>381</v>
      </c>
      <c r="C996" s="230">
        <v>362</v>
      </c>
      <c r="D996" s="241">
        <v>1448</v>
      </c>
      <c r="E996" s="230">
        <v>877</v>
      </c>
      <c r="F996" s="229" t="s">
        <v>34</v>
      </c>
      <c r="G996" s="151">
        <v>3950</v>
      </c>
      <c r="H996" s="30">
        <f t="shared" si="41"/>
        <v>743</v>
      </c>
      <c r="I996" s="114">
        <f t="shared" si="42"/>
        <v>7018</v>
      </c>
      <c r="J996" s="222">
        <v>964</v>
      </c>
      <c r="K996" s="47">
        <f t="shared" si="37"/>
        <v>51</v>
      </c>
      <c r="L996" s="221">
        <f t="shared" si="40"/>
        <v>41258</v>
      </c>
    </row>
    <row r="997" spans="1:12" x14ac:dyDescent="0.25">
      <c r="A997" s="13">
        <f t="shared" si="38"/>
        <v>41269</v>
      </c>
      <c r="B997" s="230">
        <v>351</v>
      </c>
      <c r="C997" s="230">
        <v>452</v>
      </c>
      <c r="D997" s="241">
        <v>1402</v>
      </c>
      <c r="E997" s="230">
        <v>510</v>
      </c>
      <c r="F997" s="229" t="s">
        <v>34</v>
      </c>
      <c r="G997" s="151">
        <v>3821</v>
      </c>
      <c r="H997" s="30">
        <f t="shared" si="41"/>
        <v>803</v>
      </c>
      <c r="I997" s="114">
        <f t="shared" si="42"/>
        <v>6536</v>
      </c>
      <c r="J997" s="222">
        <v>1187</v>
      </c>
      <c r="K997" s="47">
        <f t="shared" si="37"/>
        <v>52</v>
      </c>
      <c r="L997" s="221">
        <f t="shared" si="40"/>
        <v>41265</v>
      </c>
    </row>
    <row r="998" spans="1:12" x14ac:dyDescent="0.25">
      <c r="A998" s="13">
        <f t="shared" si="38"/>
        <v>41276</v>
      </c>
      <c r="B998" s="230">
        <v>289</v>
      </c>
      <c r="C998" s="230">
        <v>604</v>
      </c>
      <c r="D998" s="241">
        <v>1015</v>
      </c>
      <c r="E998" s="230">
        <v>816</v>
      </c>
      <c r="F998" s="229" t="s">
        <v>34</v>
      </c>
      <c r="G998" s="151">
        <v>3690</v>
      </c>
      <c r="H998" s="30">
        <f t="shared" si="41"/>
        <v>893</v>
      </c>
      <c r="I998" s="114">
        <f t="shared" si="42"/>
        <v>6414</v>
      </c>
      <c r="J998" s="222">
        <v>856</v>
      </c>
      <c r="K998" s="47">
        <v>1</v>
      </c>
      <c r="L998" s="221">
        <f t="shared" si="40"/>
        <v>41272</v>
      </c>
    </row>
    <row r="999" spans="1:12" x14ac:dyDescent="0.25">
      <c r="A999" s="13">
        <f t="shared" si="38"/>
        <v>41283</v>
      </c>
      <c r="B999" s="240">
        <v>182</v>
      </c>
      <c r="C999" s="240">
        <v>527</v>
      </c>
      <c r="D999" s="242">
        <v>1199</v>
      </c>
      <c r="E999" s="240">
        <v>640</v>
      </c>
      <c r="F999" s="229" t="s">
        <v>34</v>
      </c>
      <c r="G999" s="151">
        <v>4523</v>
      </c>
      <c r="H999" s="30">
        <f t="shared" si="41"/>
        <v>709</v>
      </c>
      <c r="I999" s="114">
        <f t="shared" si="42"/>
        <v>7071</v>
      </c>
      <c r="J999" s="222">
        <v>916</v>
      </c>
      <c r="K999" s="47">
        <f t="shared" si="37"/>
        <v>2</v>
      </c>
      <c r="L999" s="221">
        <f t="shared" si="40"/>
        <v>41279</v>
      </c>
    </row>
    <row r="1000" spans="1:12" x14ac:dyDescent="0.25">
      <c r="A1000" s="13">
        <f t="shared" si="38"/>
        <v>41290</v>
      </c>
      <c r="B1000" s="245">
        <v>193</v>
      </c>
      <c r="C1000" s="245">
        <v>295</v>
      </c>
      <c r="D1000" s="245">
        <v>1018</v>
      </c>
      <c r="E1000" s="245">
        <v>676</v>
      </c>
      <c r="F1000" s="229" t="s">
        <v>34</v>
      </c>
      <c r="G1000" s="151">
        <v>4724</v>
      </c>
      <c r="H1000" s="30">
        <f t="shared" si="41"/>
        <v>488</v>
      </c>
      <c r="I1000" s="114">
        <f t="shared" si="42"/>
        <v>6906</v>
      </c>
      <c r="J1000" s="222">
        <v>1324</v>
      </c>
      <c r="K1000" s="47">
        <f t="shared" si="37"/>
        <v>3</v>
      </c>
      <c r="L1000" s="221">
        <f t="shared" si="40"/>
        <v>41286</v>
      </c>
    </row>
    <row r="1001" spans="1:12" x14ac:dyDescent="0.25">
      <c r="A1001" s="13">
        <f t="shared" si="38"/>
        <v>41297</v>
      </c>
      <c r="B1001" s="245">
        <v>414</v>
      </c>
      <c r="C1001" s="108">
        <v>593</v>
      </c>
      <c r="D1001" s="246">
        <v>965</v>
      </c>
      <c r="E1001" s="108">
        <v>652</v>
      </c>
      <c r="F1001" s="229" t="s">
        <v>34</v>
      </c>
      <c r="G1001" s="151">
        <v>4500</v>
      </c>
      <c r="H1001" s="30">
        <f t="shared" si="41"/>
        <v>1007</v>
      </c>
      <c r="I1001" s="114">
        <f t="shared" si="42"/>
        <v>7124</v>
      </c>
      <c r="J1001" s="222">
        <v>939</v>
      </c>
      <c r="K1001" s="47">
        <f t="shared" si="37"/>
        <v>4</v>
      </c>
      <c r="L1001" s="221">
        <f t="shared" si="40"/>
        <v>41293</v>
      </c>
    </row>
    <row r="1002" spans="1:12" x14ac:dyDescent="0.25">
      <c r="A1002" s="13">
        <f t="shared" si="38"/>
        <v>41304</v>
      </c>
      <c r="B1002" s="247">
        <v>361</v>
      </c>
      <c r="C1002" s="247">
        <v>215</v>
      </c>
      <c r="D1002" s="247">
        <v>1049</v>
      </c>
      <c r="E1002" s="247">
        <v>813</v>
      </c>
      <c r="F1002" s="229" t="s">
        <v>34</v>
      </c>
      <c r="G1002" s="248">
        <v>4477</v>
      </c>
      <c r="H1002" s="30">
        <f t="shared" si="41"/>
        <v>576</v>
      </c>
      <c r="I1002" s="114">
        <f t="shared" si="42"/>
        <v>6915</v>
      </c>
      <c r="J1002" s="222">
        <v>1081</v>
      </c>
      <c r="K1002" s="47">
        <f t="shared" si="37"/>
        <v>5</v>
      </c>
      <c r="L1002" s="221">
        <f t="shared" si="40"/>
        <v>41300</v>
      </c>
    </row>
    <row r="1003" spans="1:12" x14ac:dyDescent="0.25">
      <c r="A1003" s="13">
        <f t="shared" si="38"/>
        <v>41311</v>
      </c>
      <c r="B1003" s="249">
        <v>329</v>
      </c>
      <c r="C1003" s="249">
        <v>506</v>
      </c>
      <c r="D1003" s="249">
        <v>1020</v>
      </c>
      <c r="E1003" s="249">
        <v>390</v>
      </c>
      <c r="F1003" s="229" t="s">
        <v>34</v>
      </c>
      <c r="G1003" s="248">
        <v>3754</v>
      </c>
      <c r="H1003" s="30">
        <f t="shared" si="41"/>
        <v>835</v>
      </c>
      <c r="I1003" s="114">
        <f t="shared" si="42"/>
        <v>5999</v>
      </c>
      <c r="J1003" s="222">
        <v>1301</v>
      </c>
      <c r="K1003" s="47">
        <f t="shared" si="37"/>
        <v>6</v>
      </c>
      <c r="L1003" s="221">
        <f t="shared" si="40"/>
        <v>41307</v>
      </c>
    </row>
    <row r="1004" spans="1:12" x14ac:dyDescent="0.25">
      <c r="A1004" s="13">
        <f t="shared" si="38"/>
        <v>41318</v>
      </c>
      <c r="B1004" s="250">
        <v>226</v>
      </c>
      <c r="C1004" s="250">
        <v>924</v>
      </c>
      <c r="D1004" s="250">
        <v>703</v>
      </c>
      <c r="E1004" s="250">
        <v>876</v>
      </c>
      <c r="F1004" s="229" t="s">
        <v>34</v>
      </c>
      <c r="G1004" s="249">
        <v>4356</v>
      </c>
      <c r="H1004" s="30">
        <f t="shared" si="41"/>
        <v>1150</v>
      </c>
      <c r="I1004" s="114">
        <f t="shared" si="42"/>
        <v>7085</v>
      </c>
      <c r="J1004" s="222">
        <v>1116</v>
      </c>
      <c r="K1004" s="47">
        <f t="shared" si="37"/>
        <v>7</v>
      </c>
      <c r="L1004" s="221">
        <f t="shared" si="40"/>
        <v>41314</v>
      </c>
    </row>
    <row r="1005" spans="1:12" x14ac:dyDescent="0.25">
      <c r="A1005" s="13">
        <f t="shared" si="38"/>
        <v>41325</v>
      </c>
      <c r="B1005" s="250">
        <v>378</v>
      </c>
      <c r="C1005" s="250">
        <v>192</v>
      </c>
      <c r="D1005" s="250">
        <v>249</v>
      </c>
      <c r="E1005" s="250">
        <v>1195</v>
      </c>
      <c r="F1005" s="229" t="s">
        <v>34</v>
      </c>
      <c r="G1005" s="248">
        <v>4889</v>
      </c>
      <c r="H1005" s="30">
        <f t="shared" si="41"/>
        <v>570</v>
      </c>
      <c r="I1005" s="114">
        <f t="shared" si="42"/>
        <v>6903</v>
      </c>
      <c r="J1005" s="222">
        <v>1002</v>
      </c>
      <c r="K1005" s="47">
        <f t="shared" si="37"/>
        <v>8</v>
      </c>
      <c r="L1005" s="221">
        <f t="shared" si="40"/>
        <v>41321</v>
      </c>
    </row>
    <row r="1006" spans="1:12" x14ac:dyDescent="0.25">
      <c r="A1006" s="13">
        <f t="shared" si="38"/>
        <v>41332</v>
      </c>
      <c r="B1006" s="250">
        <v>283</v>
      </c>
      <c r="C1006" s="250">
        <v>219</v>
      </c>
      <c r="D1006" s="250">
        <v>168</v>
      </c>
      <c r="E1006" s="251">
        <v>872</v>
      </c>
      <c r="F1006" s="229" t="s">
        <v>34</v>
      </c>
      <c r="G1006" s="248">
        <v>3705</v>
      </c>
      <c r="H1006" s="30">
        <f t="shared" si="41"/>
        <v>502</v>
      </c>
      <c r="I1006" s="114">
        <f t="shared" si="42"/>
        <v>5247</v>
      </c>
      <c r="J1006" s="222">
        <v>1195</v>
      </c>
      <c r="K1006" s="47">
        <f t="shared" si="37"/>
        <v>9</v>
      </c>
      <c r="L1006" s="221">
        <f t="shared" si="40"/>
        <v>41328</v>
      </c>
    </row>
    <row r="1007" spans="1:12" x14ac:dyDescent="0.25">
      <c r="A1007" s="13">
        <f t="shared" si="38"/>
        <v>41339</v>
      </c>
      <c r="B1007" s="250">
        <v>302</v>
      </c>
      <c r="C1007" s="250">
        <v>163</v>
      </c>
      <c r="D1007" s="250">
        <v>47</v>
      </c>
      <c r="E1007" s="251">
        <v>932</v>
      </c>
      <c r="F1007" s="229" t="s">
        <v>34</v>
      </c>
      <c r="G1007" s="248">
        <v>4194</v>
      </c>
      <c r="H1007" s="30">
        <f t="shared" si="41"/>
        <v>465</v>
      </c>
      <c r="I1007" s="114">
        <f t="shared" si="42"/>
        <v>5638</v>
      </c>
      <c r="J1007" s="222">
        <v>839</v>
      </c>
      <c r="K1007" s="47">
        <f t="shared" si="37"/>
        <v>10</v>
      </c>
      <c r="L1007" s="221">
        <f t="shared" si="40"/>
        <v>41335</v>
      </c>
    </row>
    <row r="1008" spans="1:12" x14ac:dyDescent="0.25">
      <c r="A1008" s="13">
        <f t="shared" si="38"/>
        <v>41346</v>
      </c>
      <c r="B1008" s="250">
        <v>297</v>
      </c>
      <c r="C1008" s="250">
        <v>42</v>
      </c>
      <c r="D1008" s="250">
        <v>0</v>
      </c>
      <c r="E1008" s="251">
        <v>998</v>
      </c>
      <c r="F1008" s="229" t="s">
        <v>34</v>
      </c>
      <c r="G1008" s="248">
        <v>3843</v>
      </c>
      <c r="H1008" s="30">
        <f t="shared" si="41"/>
        <v>339</v>
      </c>
      <c r="I1008" s="114">
        <f t="shared" si="42"/>
        <v>5180</v>
      </c>
      <c r="J1008" s="222">
        <v>1358</v>
      </c>
      <c r="K1008" s="47">
        <f t="shared" si="37"/>
        <v>11</v>
      </c>
      <c r="L1008" s="221">
        <f t="shared" si="40"/>
        <v>41342</v>
      </c>
    </row>
    <row r="1009" spans="1:12" x14ac:dyDescent="0.25">
      <c r="A1009" s="13">
        <f t="shared" si="38"/>
        <v>41353</v>
      </c>
      <c r="B1009" s="250">
        <v>55</v>
      </c>
      <c r="C1009" s="250">
        <v>127</v>
      </c>
      <c r="D1009" s="250">
        <v>148</v>
      </c>
      <c r="E1009" s="251">
        <v>1252</v>
      </c>
      <c r="F1009" s="229" t="s">
        <v>34</v>
      </c>
      <c r="G1009" s="248">
        <v>3470</v>
      </c>
      <c r="H1009" s="30">
        <f t="shared" si="41"/>
        <v>182</v>
      </c>
      <c r="I1009" s="114">
        <f t="shared" si="42"/>
        <v>5052</v>
      </c>
      <c r="J1009" s="222">
        <v>1011</v>
      </c>
      <c r="K1009" s="47">
        <f t="shared" si="37"/>
        <v>12</v>
      </c>
      <c r="L1009" s="221">
        <f t="shared" si="40"/>
        <v>41349</v>
      </c>
    </row>
    <row r="1010" spans="1:12" x14ac:dyDescent="0.25">
      <c r="A1010" s="13">
        <f t="shared" si="38"/>
        <v>41360</v>
      </c>
      <c r="B1010" s="250">
        <v>112</v>
      </c>
      <c r="C1010" s="250">
        <v>37</v>
      </c>
      <c r="D1010" s="250">
        <v>1</v>
      </c>
      <c r="E1010" s="251">
        <v>1386</v>
      </c>
      <c r="F1010" s="229" t="s">
        <v>34</v>
      </c>
      <c r="G1010" s="248">
        <v>3597</v>
      </c>
      <c r="H1010" s="30">
        <f t="shared" si="41"/>
        <v>149</v>
      </c>
      <c r="I1010" s="114">
        <f t="shared" si="42"/>
        <v>5133</v>
      </c>
      <c r="J1010" s="222">
        <v>1493</v>
      </c>
      <c r="K1010" s="47">
        <f t="shared" si="37"/>
        <v>13</v>
      </c>
      <c r="L1010" s="221">
        <f t="shared" si="40"/>
        <v>41356</v>
      </c>
    </row>
    <row r="1011" spans="1:12" x14ac:dyDescent="0.25">
      <c r="A1011" s="13">
        <f t="shared" si="38"/>
        <v>41367</v>
      </c>
      <c r="B1011" s="249">
        <v>122</v>
      </c>
      <c r="C1011" s="249">
        <v>2</v>
      </c>
      <c r="D1011" s="249">
        <v>185</v>
      </c>
      <c r="E1011" s="249">
        <v>1819</v>
      </c>
      <c r="F1011" s="229" t="s">
        <v>34</v>
      </c>
      <c r="G1011" s="248">
        <v>2899</v>
      </c>
      <c r="H1011" s="30">
        <f t="shared" ref="H1011:H1017" si="43">B1011+C1011</f>
        <v>124</v>
      </c>
      <c r="I1011" s="114">
        <f t="shared" ref="I1011:I1017" si="44">SUM(D1011:H1011)-F1011</f>
        <v>5027</v>
      </c>
      <c r="J1011" s="222">
        <v>1303</v>
      </c>
      <c r="K1011" s="47">
        <f t="shared" si="37"/>
        <v>14</v>
      </c>
      <c r="L1011" s="221">
        <f t="shared" si="40"/>
        <v>41363</v>
      </c>
    </row>
    <row r="1012" spans="1:12" x14ac:dyDescent="0.25">
      <c r="A1012" s="13">
        <f t="shared" si="38"/>
        <v>41374</v>
      </c>
      <c r="B1012" s="249">
        <v>113</v>
      </c>
      <c r="C1012" s="249">
        <v>1</v>
      </c>
      <c r="D1012" s="249">
        <v>122</v>
      </c>
      <c r="E1012" s="249">
        <v>1121</v>
      </c>
      <c r="F1012" s="229" t="s">
        <v>34</v>
      </c>
      <c r="G1012" s="248">
        <v>1582</v>
      </c>
      <c r="H1012" s="30">
        <f t="shared" si="43"/>
        <v>114</v>
      </c>
      <c r="I1012" s="114">
        <f t="shared" si="44"/>
        <v>2939</v>
      </c>
      <c r="J1012" s="222">
        <v>1432</v>
      </c>
      <c r="K1012" s="47">
        <f t="shared" si="37"/>
        <v>15</v>
      </c>
      <c r="L1012" s="221">
        <f t="shared" si="40"/>
        <v>41370</v>
      </c>
    </row>
    <row r="1013" spans="1:12" x14ac:dyDescent="0.25">
      <c r="A1013" s="13">
        <f t="shared" si="38"/>
        <v>41381</v>
      </c>
      <c r="B1013" s="249">
        <v>29</v>
      </c>
      <c r="C1013" s="249">
        <v>0</v>
      </c>
      <c r="D1013" s="249">
        <v>1</v>
      </c>
      <c r="E1013" s="249">
        <v>1683</v>
      </c>
      <c r="F1013" s="229" t="s">
        <v>34</v>
      </c>
      <c r="G1013" s="248">
        <v>1359</v>
      </c>
      <c r="H1013" s="30">
        <f t="shared" si="43"/>
        <v>29</v>
      </c>
      <c r="I1013" s="114">
        <f t="shared" si="44"/>
        <v>3072</v>
      </c>
      <c r="J1013" s="222">
        <v>1254</v>
      </c>
      <c r="K1013" s="47">
        <f t="shared" si="37"/>
        <v>16</v>
      </c>
      <c r="L1013" s="221">
        <f t="shared" si="40"/>
        <v>41377</v>
      </c>
    </row>
    <row r="1014" spans="1:12" x14ac:dyDescent="0.25">
      <c r="A1014" s="13">
        <f t="shared" si="38"/>
        <v>41388</v>
      </c>
      <c r="B1014" s="249">
        <v>176</v>
      </c>
      <c r="C1014" s="249">
        <v>179</v>
      </c>
      <c r="D1014" s="249">
        <v>0</v>
      </c>
      <c r="E1014" s="249">
        <v>1389</v>
      </c>
      <c r="F1014" s="229" t="s">
        <v>34</v>
      </c>
      <c r="G1014" s="248">
        <v>1685</v>
      </c>
      <c r="H1014" s="30">
        <f t="shared" si="43"/>
        <v>355</v>
      </c>
      <c r="I1014" s="114">
        <f t="shared" si="44"/>
        <v>3429</v>
      </c>
      <c r="J1014" s="222">
        <v>1172</v>
      </c>
      <c r="K1014" s="47">
        <f t="shared" si="37"/>
        <v>17</v>
      </c>
      <c r="L1014" s="221">
        <f t="shared" si="40"/>
        <v>41384</v>
      </c>
    </row>
    <row r="1015" spans="1:12" x14ac:dyDescent="0.25">
      <c r="A1015" s="13">
        <f t="shared" si="38"/>
        <v>41395</v>
      </c>
      <c r="B1015" s="249">
        <v>0</v>
      </c>
      <c r="C1015" s="249">
        <v>91</v>
      </c>
      <c r="D1015" s="249">
        <v>155</v>
      </c>
      <c r="E1015" s="249">
        <v>1607</v>
      </c>
      <c r="F1015" s="229" t="s">
        <v>34</v>
      </c>
      <c r="G1015" s="248">
        <v>1502</v>
      </c>
      <c r="H1015" s="30">
        <f t="shared" si="43"/>
        <v>91</v>
      </c>
      <c r="I1015" s="114">
        <f t="shared" si="44"/>
        <v>3355</v>
      </c>
      <c r="J1015" s="222">
        <v>1428</v>
      </c>
      <c r="K1015" s="47">
        <f t="shared" si="37"/>
        <v>18</v>
      </c>
      <c r="L1015" s="221">
        <f t="shared" si="40"/>
        <v>41391</v>
      </c>
    </row>
    <row r="1016" spans="1:12" x14ac:dyDescent="0.25">
      <c r="A1016" s="13">
        <f t="shared" si="38"/>
        <v>41402</v>
      </c>
      <c r="B1016" s="249">
        <v>44</v>
      </c>
      <c r="C1016" s="249">
        <v>66</v>
      </c>
      <c r="D1016" s="249">
        <v>3</v>
      </c>
      <c r="E1016" s="249">
        <v>1717</v>
      </c>
      <c r="F1016" s="229" t="s">
        <v>34</v>
      </c>
      <c r="G1016" s="248">
        <v>1106</v>
      </c>
      <c r="H1016" s="30">
        <f t="shared" si="43"/>
        <v>110</v>
      </c>
      <c r="I1016" s="114">
        <f t="shared" si="44"/>
        <v>2936</v>
      </c>
      <c r="J1016" s="222">
        <v>1187</v>
      </c>
      <c r="K1016" s="47">
        <f t="shared" si="37"/>
        <v>19</v>
      </c>
      <c r="L1016" s="221">
        <f t="shared" si="40"/>
        <v>41398</v>
      </c>
    </row>
    <row r="1017" spans="1:12" x14ac:dyDescent="0.25">
      <c r="A1017" s="13">
        <f t="shared" si="38"/>
        <v>41409</v>
      </c>
      <c r="B1017" s="249">
        <v>149</v>
      </c>
      <c r="C1017" s="249">
        <v>89</v>
      </c>
      <c r="D1017" s="249">
        <v>122</v>
      </c>
      <c r="E1017" s="249">
        <v>1023</v>
      </c>
      <c r="F1017" s="229" t="s">
        <v>34</v>
      </c>
      <c r="G1017" s="248">
        <v>914</v>
      </c>
      <c r="H1017" s="30">
        <f t="shared" si="43"/>
        <v>238</v>
      </c>
      <c r="I1017" s="114">
        <f t="shared" si="44"/>
        <v>2297</v>
      </c>
      <c r="J1017" s="222">
        <v>1178</v>
      </c>
      <c r="K1017" s="47">
        <f t="shared" si="37"/>
        <v>20</v>
      </c>
      <c r="L1017" s="221">
        <f t="shared" si="40"/>
        <v>41405</v>
      </c>
    </row>
    <row r="1018" spans="1:12" x14ac:dyDescent="0.25">
      <c r="A1018" s="13">
        <f t="shared" si="38"/>
        <v>41416</v>
      </c>
      <c r="F1018" s="229" t="s">
        <v>34</v>
      </c>
      <c r="I1018" s="103"/>
      <c r="J1018" s="222">
        <v>0</v>
      </c>
      <c r="K1018" s="47">
        <f t="shared" si="37"/>
        <v>21</v>
      </c>
      <c r="L1018" s="221">
        <f t="shared" si="40"/>
        <v>41412</v>
      </c>
    </row>
    <row r="1019" spans="1:12" x14ac:dyDescent="0.25">
      <c r="A1019" s="13">
        <f t="shared" si="38"/>
        <v>41423</v>
      </c>
      <c r="F1019" s="229" t="s">
        <v>34</v>
      </c>
      <c r="I1019" s="103"/>
      <c r="J1019" s="222">
        <v>0</v>
      </c>
      <c r="K1019" s="47">
        <f t="shared" si="37"/>
        <v>22</v>
      </c>
      <c r="L1019" s="221">
        <f t="shared" si="40"/>
        <v>41419</v>
      </c>
    </row>
    <row r="1020" spans="1:12" x14ac:dyDescent="0.25">
      <c r="A1020" s="13">
        <f t="shared" si="38"/>
        <v>41430</v>
      </c>
      <c r="F1020" s="229" t="s">
        <v>34</v>
      </c>
      <c r="I1020" s="103"/>
      <c r="J1020" s="222">
        <v>0</v>
      </c>
      <c r="K1020" s="47">
        <f t="shared" si="37"/>
        <v>23</v>
      </c>
      <c r="L1020" s="221">
        <f t="shared" si="40"/>
        <v>41426</v>
      </c>
    </row>
    <row r="1021" spans="1:12" x14ac:dyDescent="0.25">
      <c r="A1021" s="13">
        <f t="shared" si="38"/>
        <v>41437</v>
      </c>
      <c r="F1021" s="229" t="s">
        <v>34</v>
      </c>
      <c r="I1021" s="103"/>
      <c r="J1021" s="222">
        <v>0</v>
      </c>
      <c r="K1021" s="47">
        <f t="shared" si="37"/>
        <v>24</v>
      </c>
      <c r="L1021" s="221">
        <f t="shared" si="40"/>
        <v>41433</v>
      </c>
    </row>
    <row r="1022" spans="1:12" x14ac:dyDescent="0.25">
      <c r="A1022" s="13">
        <f t="shared" si="38"/>
        <v>41444</v>
      </c>
      <c r="F1022" s="229" t="s">
        <v>34</v>
      </c>
      <c r="I1022" s="103"/>
      <c r="J1022" s="222">
        <v>0</v>
      </c>
      <c r="K1022" s="47">
        <f t="shared" si="37"/>
        <v>25</v>
      </c>
      <c r="L1022" s="221">
        <f t="shared" si="40"/>
        <v>41440</v>
      </c>
    </row>
    <row r="1023" spans="1:12" x14ac:dyDescent="0.25">
      <c r="A1023" s="13">
        <f t="shared" si="38"/>
        <v>41451</v>
      </c>
      <c r="F1023" s="229" t="s">
        <v>34</v>
      </c>
      <c r="I1023" s="103"/>
      <c r="J1023" s="222">
        <v>0</v>
      </c>
      <c r="K1023" s="47">
        <f t="shared" si="37"/>
        <v>26</v>
      </c>
      <c r="L1023" s="221">
        <f t="shared" si="40"/>
        <v>41447</v>
      </c>
    </row>
    <row r="1024" spans="1:12" x14ac:dyDescent="0.25">
      <c r="A1024" s="13">
        <f t="shared" si="38"/>
        <v>41458</v>
      </c>
      <c r="F1024" s="229" t="s">
        <v>34</v>
      </c>
      <c r="I1024" s="103"/>
      <c r="J1024" s="222">
        <v>0</v>
      </c>
      <c r="K1024" s="47">
        <f t="shared" ref="K1024:K1062" si="45">K1023+1</f>
        <v>27</v>
      </c>
      <c r="L1024" s="221">
        <f t="shared" si="40"/>
        <v>41454</v>
      </c>
    </row>
    <row r="1025" spans="1:12" x14ac:dyDescent="0.25">
      <c r="A1025" s="13">
        <f t="shared" si="38"/>
        <v>41465</v>
      </c>
      <c r="F1025" s="229" t="s">
        <v>34</v>
      </c>
      <c r="I1025" s="103"/>
      <c r="J1025" s="222">
        <v>0</v>
      </c>
      <c r="K1025" s="47">
        <f t="shared" si="45"/>
        <v>28</v>
      </c>
      <c r="L1025" s="221">
        <f t="shared" si="40"/>
        <v>41461</v>
      </c>
    </row>
    <row r="1026" spans="1:12" x14ac:dyDescent="0.25">
      <c r="A1026" s="13">
        <f t="shared" si="38"/>
        <v>41472</v>
      </c>
      <c r="F1026" s="229" t="s">
        <v>34</v>
      </c>
      <c r="I1026" s="103"/>
      <c r="J1026" s="222">
        <v>0</v>
      </c>
      <c r="K1026" s="47">
        <f t="shared" si="45"/>
        <v>29</v>
      </c>
      <c r="L1026" s="221">
        <f t="shared" si="40"/>
        <v>41468</v>
      </c>
    </row>
    <row r="1027" spans="1:12" x14ac:dyDescent="0.25">
      <c r="A1027" s="13">
        <f t="shared" si="38"/>
        <v>41479</v>
      </c>
      <c r="F1027" s="229" t="s">
        <v>34</v>
      </c>
      <c r="I1027" s="103"/>
      <c r="J1027" s="222">
        <v>0</v>
      </c>
      <c r="K1027" s="47">
        <f t="shared" si="45"/>
        <v>30</v>
      </c>
      <c r="L1027" s="221">
        <f t="shared" si="40"/>
        <v>41475</v>
      </c>
    </row>
    <row r="1028" spans="1:12" x14ac:dyDescent="0.25">
      <c r="A1028" s="13">
        <f t="shared" si="38"/>
        <v>41486</v>
      </c>
      <c r="F1028" s="229" t="s">
        <v>34</v>
      </c>
      <c r="I1028" s="103"/>
      <c r="J1028" s="222">
        <v>0</v>
      </c>
      <c r="K1028" s="47">
        <f t="shared" si="45"/>
        <v>31</v>
      </c>
      <c r="L1028" s="221">
        <f t="shared" si="40"/>
        <v>41482</v>
      </c>
    </row>
    <row r="1029" spans="1:12" x14ac:dyDescent="0.25">
      <c r="A1029" s="13">
        <f t="shared" si="38"/>
        <v>41493</v>
      </c>
      <c r="F1029" s="229" t="s">
        <v>34</v>
      </c>
      <c r="I1029" s="103"/>
      <c r="J1029" s="222">
        <v>0</v>
      </c>
      <c r="K1029" s="47">
        <f t="shared" si="45"/>
        <v>32</v>
      </c>
      <c r="L1029" s="221">
        <f t="shared" si="40"/>
        <v>41489</v>
      </c>
    </row>
    <row r="1030" spans="1:12" x14ac:dyDescent="0.25">
      <c r="A1030" s="13">
        <f t="shared" si="38"/>
        <v>41500</v>
      </c>
      <c r="F1030" s="229" t="s">
        <v>34</v>
      </c>
      <c r="I1030" s="103"/>
      <c r="J1030" s="222">
        <v>0</v>
      </c>
      <c r="K1030" s="47">
        <f t="shared" si="45"/>
        <v>33</v>
      </c>
      <c r="L1030" s="221">
        <f t="shared" si="40"/>
        <v>41496</v>
      </c>
    </row>
    <row r="1031" spans="1:12" x14ac:dyDescent="0.25">
      <c r="A1031" s="13">
        <f t="shared" ref="A1031:A1061" si="46">A1030+7</f>
        <v>41507</v>
      </c>
      <c r="F1031" s="229" t="s">
        <v>34</v>
      </c>
      <c r="I1031" s="103"/>
      <c r="J1031" s="222">
        <v>0</v>
      </c>
      <c r="K1031" s="47">
        <f t="shared" si="45"/>
        <v>34</v>
      </c>
      <c r="L1031" s="221">
        <f t="shared" si="40"/>
        <v>41503</v>
      </c>
    </row>
    <row r="1032" spans="1:12" x14ac:dyDescent="0.25">
      <c r="A1032" s="13">
        <f t="shared" si="46"/>
        <v>41514</v>
      </c>
      <c r="F1032" s="229" t="s">
        <v>34</v>
      </c>
      <c r="I1032" s="103"/>
      <c r="J1032" s="222">
        <v>0</v>
      </c>
      <c r="K1032" s="47">
        <f t="shared" si="45"/>
        <v>35</v>
      </c>
      <c r="L1032" s="221">
        <f t="shared" si="40"/>
        <v>41510</v>
      </c>
    </row>
    <row r="1033" spans="1:12" x14ac:dyDescent="0.25">
      <c r="A1033" s="13">
        <f t="shared" si="46"/>
        <v>41521</v>
      </c>
      <c r="F1033" s="229" t="s">
        <v>34</v>
      </c>
      <c r="I1033" s="103"/>
      <c r="J1033" s="222">
        <v>0</v>
      </c>
      <c r="K1033" s="47">
        <f t="shared" si="45"/>
        <v>36</v>
      </c>
      <c r="L1033" s="221">
        <f t="shared" si="40"/>
        <v>41517</v>
      </c>
    </row>
    <row r="1034" spans="1:12" x14ac:dyDescent="0.25">
      <c r="A1034" s="13">
        <f t="shared" si="46"/>
        <v>41528</v>
      </c>
      <c r="F1034" s="229" t="s">
        <v>34</v>
      </c>
      <c r="I1034" s="103"/>
      <c r="J1034" s="222">
        <v>0</v>
      </c>
      <c r="K1034" s="47">
        <f t="shared" si="45"/>
        <v>37</v>
      </c>
      <c r="L1034" s="221">
        <f t="shared" si="40"/>
        <v>41524</v>
      </c>
    </row>
    <row r="1035" spans="1:12" x14ac:dyDescent="0.25">
      <c r="A1035" s="13">
        <f t="shared" si="46"/>
        <v>41535</v>
      </c>
      <c r="F1035" s="229" t="s">
        <v>34</v>
      </c>
      <c r="I1035" s="103"/>
      <c r="J1035" s="222">
        <v>0</v>
      </c>
      <c r="K1035" s="47">
        <f t="shared" si="45"/>
        <v>38</v>
      </c>
      <c r="L1035" s="221">
        <f t="shared" si="40"/>
        <v>41531</v>
      </c>
    </row>
    <row r="1036" spans="1:12" x14ac:dyDescent="0.25">
      <c r="A1036" s="13">
        <f t="shared" si="46"/>
        <v>41542</v>
      </c>
      <c r="F1036" s="229" t="s">
        <v>34</v>
      </c>
      <c r="I1036" s="103"/>
      <c r="J1036" s="222">
        <v>0</v>
      </c>
      <c r="K1036" s="47">
        <f t="shared" si="45"/>
        <v>39</v>
      </c>
      <c r="L1036" s="221">
        <f t="shared" si="40"/>
        <v>41538</v>
      </c>
    </row>
    <row r="1037" spans="1:12" x14ac:dyDescent="0.25">
      <c r="A1037" s="13">
        <f t="shared" si="46"/>
        <v>41549</v>
      </c>
      <c r="F1037" s="229" t="s">
        <v>34</v>
      </c>
      <c r="I1037" s="103"/>
      <c r="J1037" s="222">
        <v>0</v>
      </c>
      <c r="K1037" s="47">
        <f t="shared" si="45"/>
        <v>40</v>
      </c>
      <c r="L1037" s="221">
        <f t="shared" si="40"/>
        <v>41545</v>
      </c>
    </row>
    <row r="1038" spans="1:12" x14ac:dyDescent="0.25">
      <c r="A1038" s="13">
        <f t="shared" si="46"/>
        <v>41556</v>
      </c>
      <c r="F1038" s="229" t="s">
        <v>34</v>
      </c>
      <c r="I1038" s="103"/>
      <c r="J1038" s="222">
        <v>0</v>
      </c>
      <c r="K1038" s="47">
        <f t="shared" si="45"/>
        <v>41</v>
      </c>
      <c r="L1038" s="221">
        <f t="shared" si="40"/>
        <v>41552</v>
      </c>
    </row>
    <row r="1039" spans="1:12" x14ac:dyDescent="0.25">
      <c r="A1039" s="13">
        <f t="shared" si="46"/>
        <v>41563</v>
      </c>
      <c r="F1039" s="229" t="s">
        <v>34</v>
      </c>
      <c r="I1039" s="103"/>
      <c r="J1039" s="222">
        <v>0</v>
      </c>
      <c r="K1039" s="47">
        <f t="shared" si="45"/>
        <v>42</v>
      </c>
      <c r="L1039" s="221">
        <f t="shared" si="40"/>
        <v>41559</v>
      </c>
    </row>
    <row r="1040" spans="1:12" x14ac:dyDescent="0.25">
      <c r="A1040" s="13">
        <f t="shared" si="46"/>
        <v>41570</v>
      </c>
      <c r="F1040" s="229" t="s">
        <v>34</v>
      </c>
      <c r="I1040" s="103"/>
      <c r="J1040" s="222">
        <v>0</v>
      </c>
      <c r="K1040" s="47">
        <f t="shared" si="45"/>
        <v>43</v>
      </c>
      <c r="L1040" s="221">
        <f t="shared" si="40"/>
        <v>41566</v>
      </c>
    </row>
    <row r="1041" spans="1:12" x14ac:dyDescent="0.25">
      <c r="A1041" s="13">
        <f t="shared" si="46"/>
        <v>41577</v>
      </c>
      <c r="F1041" s="229" t="s">
        <v>34</v>
      </c>
      <c r="I1041" s="103"/>
      <c r="J1041" s="145"/>
      <c r="K1041" s="47">
        <f t="shared" si="45"/>
        <v>44</v>
      </c>
      <c r="L1041" s="221">
        <f t="shared" si="40"/>
        <v>41573</v>
      </c>
    </row>
    <row r="1042" spans="1:12" x14ac:dyDescent="0.25">
      <c r="A1042" s="13">
        <f t="shared" si="46"/>
        <v>41584</v>
      </c>
      <c r="F1042" s="229" t="s">
        <v>34</v>
      </c>
      <c r="I1042" s="103"/>
      <c r="J1042" s="145"/>
      <c r="K1042" s="47">
        <f t="shared" si="45"/>
        <v>45</v>
      </c>
      <c r="L1042" s="221">
        <f t="shared" si="40"/>
        <v>41580</v>
      </c>
    </row>
    <row r="1043" spans="1:12" x14ac:dyDescent="0.25">
      <c r="A1043" s="13">
        <f t="shared" si="46"/>
        <v>41591</v>
      </c>
      <c r="F1043" s="229" t="s">
        <v>34</v>
      </c>
      <c r="I1043" s="103"/>
      <c r="J1043" s="145"/>
      <c r="K1043" s="47">
        <f t="shared" si="45"/>
        <v>46</v>
      </c>
      <c r="L1043" s="221">
        <f t="shared" si="40"/>
        <v>41587</v>
      </c>
    </row>
    <row r="1044" spans="1:12" x14ac:dyDescent="0.25">
      <c r="A1044" s="13">
        <f t="shared" si="46"/>
        <v>41598</v>
      </c>
      <c r="F1044" s="229" t="s">
        <v>34</v>
      </c>
      <c r="I1044" s="103"/>
      <c r="J1044" s="145"/>
      <c r="K1044" s="47">
        <f t="shared" si="45"/>
        <v>47</v>
      </c>
      <c r="L1044" s="221">
        <f t="shared" si="40"/>
        <v>41594</v>
      </c>
    </row>
    <row r="1045" spans="1:12" x14ac:dyDescent="0.25">
      <c r="A1045" s="13">
        <f t="shared" si="46"/>
        <v>41605</v>
      </c>
      <c r="F1045" s="229" t="s">
        <v>34</v>
      </c>
      <c r="I1045" s="103"/>
      <c r="J1045" s="145"/>
      <c r="K1045" s="47">
        <f t="shared" si="45"/>
        <v>48</v>
      </c>
      <c r="L1045" s="221">
        <f t="shared" si="40"/>
        <v>41601</v>
      </c>
    </row>
    <row r="1046" spans="1:12" x14ac:dyDescent="0.25">
      <c r="A1046" s="13">
        <f t="shared" si="46"/>
        <v>41612</v>
      </c>
      <c r="F1046" s="229" t="s">
        <v>34</v>
      </c>
      <c r="I1046" s="103"/>
      <c r="J1046" s="145"/>
      <c r="K1046" s="47">
        <f t="shared" si="45"/>
        <v>49</v>
      </c>
      <c r="L1046" s="221">
        <f t="shared" si="40"/>
        <v>41608</v>
      </c>
    </row>
    <row r="1047" spans="1:12" x14ac:dyDescent="0.25">
      <c r="A1047" s="13">
        <f t="shared" si="46"/>
        <v>41619</v>
      </c>
      <c r="F1047" s="229" t="s">
        <v>34</v>
      </c>
      <c r="I1047" s="103"/>
      <c r="J1047" s="145"/>
      <c r="K1047" s="47">
        <f t="shared" si="45"/>
        <v>50</v>
      </c>
      <c r="L1047" s="221">
        <f t="shared" si="40"/>
        <v>41615</v>
      </c>
    </row>
    <row r="1048" spans="1:12" x14ac:dyDescent="0.25">
      <c r="A1048" s="13">
        <f t="shared" si="46"/>
        <v>41626</v>
      </c>
      <c r="F1048" s="229" t="s">
        <v>34</v>
      </c>
      <c r="I1048" s="103"/>
      <c r="J1048" s="145"/>
      <c r="K1048" s="47">
        <f t="shared" si="45"/>
        <v>51</v>
      </c>
      <c r="L1048" s="221">
        <f>L1047+7</f>
        <v>41622</v>
      </c>
    </row>
    <row r="1049" spans="1:12" x14ac:dyDescent="0.25">
      <c r="A1049" s="13">
        <f t="shared" si="46"/>
        <v>41633</v>
      </c>
      <c r="F1049" s="229" t="s">
        <v>34</v>
      </c>
      <c r="I1049" s="103"/>
      <c r="J1049" s="145"/>
      <c r="K1049" s="47">
        <f t="shared" si="45"/>
        <v>52</v>
      </c>
      <c r="L1049" s="221">
        <f>L1048+7</f>
        <v>41629</v>
      </c>
    </row>
    <row r="1050" spans="1:12" x14ac:dyDescent="0.25">
      <c r="A1050" s="13">
        <f t="shared" si="46"/>
        <v>41640</v>
      </c>
      <c r="F1050" s="229" t="s">
        <v>34</v>
      </c>
      <c r="I1050" s="103"/>
      <c r="J1050" s="145"/>
      <c r="K1050" s="47">
        <v>1</v>
      </c>
    </row>
    <row r="1051" spans="1:12" x14ac:dyDescent="0.25">
      <c r="A1051" s="13">
        <f t="shared" si="46"/>
        <v>41647</v>
      </c>
      <c r="F1051" s="229" t="s">
        <v>34</v>
      </c>
      <c r="I1051" s="103"/>
      <c r="J1051" s="145"/>
      <c r="K1051" s="47">
        <f t="shared" si="45"/>
        <v>2</v>
      </c>
    </row>
    <row r="1052" spans="1:12" x14ac:dyDescent="0.25">
      <c r="A1052" s="13">
        <f t="shared" si="46"/>
        <v>41654</v>
      </c>
      <c r="F1052" s="229" t="s">
        <v>34</v>
      </c>
      <c r="I1052" s="103"/>
      <c r="J1052" s="145"/>
      <c r="K1052" s="47">
        <f t="shared" si="45"/>
        <v>3</v>
      </c>
    </row>
    <row r="1053" spans="1:12" x14ac:dyDescent="0.25">
      <c r="A1053" s="13">
        <f t="shared" si="46"/>
        <v>41661</v>
      </c>
      <c r="F1053" s="229" t="s">
        <v>34</v>
      </c>
      <c r="I1053" s="103"/>
      <c r="J1053" s="145"/>
      <c r="K1053" s="47">
        <f t="shared" si="45"/>
        <v>4</v>
      </c>
    </row>
    <row r="1054" spans="1:12" x14ac:dyDescent="0.25">
      <c r="A1054" s="13">
        <f t="shared" si="46"/>
        <v>41668</v>
      </c>
      <c r="F1054" s="229" t="s">
        <v>34</v>
      </c>
      <c r="I1054" s="103"/>
      <c r="J1054" s="145"/>
      <c r="K1054" s="47">
        <f t="shared" si="45"/>
        <v>5</v>
      </c>
    </row>
    <row r="1055" spans="1:12" x14ac:dyDescent="0.25">
      <c r="A1055" s="13">
        <f t="shared" si="46"/>
        <v>41675</v>
      </c>
      <c r="F1055" s="229" t="s">
        <v>34</v>
      </c>
      <c r="I1055" s="103"/>
      <c r="J1055" s="145"/>
      <c r="K1055" s="47">
        <f t="shared" si="45"/>
        <v>6</v>
      </c>
    </row>
    <row r="1056" spans="1:12" x14ac:dyDescent="0.25">
      <c r="A1056" s="13">
        <f t="shared" si="46"/>
        <v>41682</v>
      </c>
      <c r="F1056" s="229" t="s">
        <v>34</v>
      </c>
      <c r="I1056" s="103"/>
      <c r="J1056" s="145"/>
      <c r="K1056" s="47">
        <f t="shared" si="45"/>
        <v>7</v>
      </c>
    </row>
    <row r="1057" spans="1:11" x14ac:dyDescent="0.25">
      <c r="A1057" s="13">
        <f t="shared" si="46"/>
        <v>41689</v>
      </c>
      <c r="F1057" s="229" t="s">
        <v>34</v>
      </c>
      <c r="I1057" s="103"/>
      <c r="J1057" s="145"/>
      <c r="K1057" s="47">
        <f t="shared" si="45"/>
        <v>8</v>
      </c>
    </row>
    <row r="1058" spans="1:11" x14ac:dyDescent="0.25">
      <c r="A1058" s="13">
        <f t="shared" si="46"/>
        <v>41696</v>
      </c>
      <c r="F1058" s="229" t="s">
        <v>34</v>
      </c>
      <c r="I1058" s="103"/>
      <c r="J1058" s="145"/>
      <c r="K1058" s="47">
        <f t="shared" si="45"/>
        <v>9</v>
      </c>
    </row>
    <row r="1059" spans="1:11" x14ac:dyDescent="0.25">
      <c r="A1059" s="13">
        <f t="shared" si="46"/>
        <v>41703</v>
      </c>
      <c r="F1059" s="229" t="s">
        <v>34</v>
      </c>
      <c r="I1059" s="103"/>
      <c r="J1059" s="145"/>
      <c r="K1059" s="47">
        <f t="shared" si="45"/>
        <v>10</v>
      </c>
    </row>
    <row r="1060" spans="1:11" x14ac:dyDescent="0.25">
      <c r="A1060" s="13">
        <f t="shared" si="46"/>
        <v>41710</v>
      </c>
      <c r="F1060" s="229" t="s">
        <v>34</v>
      </c>
      <c r="I1060" s="103"/>
      <c r="J1060" s="145"/>
      <c r="K1060" s="47">
        <f t="shared" si="45"/>
        <v>11</v>
      </c>
    </row>
    <row r="1061" spans="1:11" x14ac:dyDescent="0.25">
      <c r="A1061" s="13">
        <f t="shared" si="46"/>
        <v>41717</v>
      </c>
      <c r="F1061" s="229" t="s">
        <v>34</v>
      </c>
      <c r="I1061" s="103"/>
      <c r="J1061" s="145"/>
      <c r="K1061" s="47">
        <f t="shared" si="45"/>
        <v>12</v>
      </c>
    </row>
    <row r="1062" spans="1:11" x14ac:dyDescent="0.25">
      <c r="K1062" s="47">
        <f t="shared" si="45"/>
        <v>13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050"/>
  <sheetViews>
    <sheetView workbookViewId="0">
      <pane xSplit="1" ySplit="8" topLeftCell="K1004" activePane="bottomRight" state="frozen"/>
      <selection pane="topRight" activeCell="B1" sqref="B1"/>
      <selection pane="bottomLeft" activeCell="A8" sqref="A8"/>
      <selection pane="bottomRight" activeCell="U1012" sqref="U1012"/>
    </sheetView>
  </sheetViews>
  <sheetFormatPr defaultRowHeight="15" x14ac:dyDescent="0.25"/>
  <cols>
    <col min="1" max="1" width="16.54296875" customWidth="1"/>
    <col min="2" max="2" width="7.90625" customWidth="1"/>
    <col min="3" max="3" width="9.08984375" customWidth="1"/>
    <col min="4" max="7" width="9.81640625" customWidth="1"/>
    <col min="8" max="8" width="13" customWidth="1"/>
    <col min="9" max="9" width="3.90625" customWidth="1"/>
    <col min="10" max="12" width="9.81640625" customWidth="1"/>
    <col min="13" max="13" width="9.6328125" customWidth="1"/>
    <col min="14" max="15" width="9.81640625" customWidth="1"/>
    <col min="16" max="16" width="12.453125" customWidth="1"/>
    <col min="17" max="17" width="1.81640625" customWidth="1"/>
    <col min="18" max="18" width="9.6328125" customWidth="1"/>
    <col min="19" max="20" width="9.81640625" customWidth="1"/>
    <col min="21" max="21" width="9.54296875" customWidth="1"/>
    <col min="22" max="24" width="9.81640625" customWidth="1"/>
    <col min="25" max="25" width="11.36328125" customWidth="1"/>
    <col min="26" max="26" width="1.81640625" customWidth="1"/>
    <col min="27" max="28" width="9.81640625" customWidth="1"/>
    <col min="29" max="29" width="1.81640625" customWidth="1"/>
    <col min="30" max="31" width="9.81640625" customWidth="1"/>
    <col min="32" max="32" width="1.81640625" customWidth="1"/>
  </cols>
  <sheetData>
    <row r="2" spans="1:34" x14ac:dyDescent="0.25">
      <c r="A2" s="39" t="s">
        <v>54</v>
      </c>
      <c r="B2" s="143"/>
      <c r="C2" s="144"/>
      <c r="D2" s="145"/>
      <c r="E2" s="145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5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2" thickBot="1" x14ac:dyDescent="0.35">
      <c r="A4" s="10"/>
      <c r="B4" s="53" t="s">
        <v>25</v>
      </c>
      <c r="C4" s="9"/>
      <c r="D4" s="9"/>
      <c r="E4" s="9"/>
      <c r="F4" s="9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52"/>
      <c r="T4" s="252"/>
      <c r="U4" s="6"/>
      <c r="V4" s="252"/>
      <c r="W4" s="252"/>
      <c r="X4" s="252"/>
      <c r="Y4" s="252"/>
      <c r="AA4" s="252"/>
      <c r="AB4" s="252"/>
      <c r="AD4" s="252"/>
      <c r="AE4" s="252"/>
      <c r="AG4" s="252"/>
      <c r="AH4" s="252"/>
    </row>
    <row r="5" spans="1:34" ht="15.6" x14ac:dyDescent="0.3">
      <c r="A5" s="10"/>
      <c r="B5" s="53" t="s">
        <v>26</v>
      </c>
      <c r="C5" s="12"/>
      <c r="D5" s="12"/>
      <c r="E5" s="12"/>
      <c r="F5" s="6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6.2" thickBot="1" x14ac:dyDescent="0.3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8" t="s">
        <v>21</v>
      </c>
      <c r="I6" s="45"/>
      <c r="J6" s="252" t="s">
        <v>40</v>
      </c>
      <c r="K6" s="252"/>
      <c r="L6" s="252"/>
      <c r="M6" s="252"/>
      <c r="N6" s="252"/>
      <c r="O6" s="252"/>
      <c r="P6" s="188" t="s">
        <v>21</v>
      </c>
      <c r="Q6" s="6"/>
      <c r="S6" s="252" t="s">
        <v>41</v>
      </c>
      <c r="T6" s="252"/>
      <c r="U6" s="252"/>
      <c r="V6" s="252"/>
      <c r="W6" s="252"/>
      <c r="X6" s="252"/>
      <c r="Y6" s="188" t="s">
        <v>21</v>
      </c>
      <c r="AA6" s="41"/>
      <c r="AB6" s="41"/>
      <c r="AD6" s="41"/>
      <c r="AE6" s="41"/>
      <c r="AG6" s="41"/>
      <c r="AH6" s="41"/>
    </row>
    <row r="7" spans="1:34" ht="15.6" x14ac:dyDescent="0.3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2" t="s">
        <v>64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2" t="s">
        <v>64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2" t="s">
        <v>64</v>
      </c>
      <c r="AA7" s="41"/>
      <c r="AB7" s="41"/>
      <c r="AD7" s="41"/>
      <c r="AE7" s="41"/>
      <c r="AG7" s="41"/>
      <c r="AH7" s="41"/>
    </row>
    <row r="8" spans="1:34" ht="16.2" thickBot="1" x14ac:dyDescent="0.35">
      <c r="A8" s="10"/>
      <c r="B8" s="56"/>
      <c r="C8" s="17"/>
      <c r="D8" s="17"/>
      <c r="E8" s="17"/>
      <c r="F8" s="17"/>
      <c r="G8" s="17"/>
      <c r="H8" s="189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9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9"/>
      <c r="AA8" s="41"/>
      <c r="AB8" s="41"/>
      <c r="AD8" s="41"/>
      <c r="AE8" s="41"/>
      <c r="AG8" s="41"/>
      <c r="AH8" s="41"/>
    </row>
    <row r="9" spans="1:34" x14ac:dyDescent="0.25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5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5">
      <c r="A11" s="105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5">
      <c r="A12" s="105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5">
      <c r="A13" s="105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5">
      <c r="A14" s="105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5">
      <c r="A15" s="105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5">
      <c r="A16" s="105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5">
      <c r="A17" s="105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5">
      <c r="A18" s="105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5">
      <c r="A19" s="105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5">
      <c r="A20" s="105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5">
      <c r="A21" s="105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5">
      <c r="A22" s="105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5">
      <c r="A23" s="105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5">
      <c r="A24" s="105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5">
      <c r="A25" s="105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5">
      <c r="A26" s="105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5">
      <c r="A27" s="105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5">
      <c r="A28" s="105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5">
      <c r="A29" s="105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5">
      <c r="A30" s="105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5">
      <c r="A31" s="105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5">
      <c r="A32" s="105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5">
      <c r="A33" s="105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5">
      <c r="A34" s="105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5">
      <c r="A35" s="105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5">
      <c r="A36" s="105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5">
      <c r="A37" s="105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5">
      <c r="A38" s="105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5">
      <c r="A39" s="105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5">
      <c r="A40" s="105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5">
      <c r="A41" s="105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5">
      <c r="A42" s="105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5">
      <c r="A43" s="105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5">
      <c r="A44" s="105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5">
      <c r="A45" s="105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5">
      <c r="A46" s="105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5">
      <c r="A47" s="105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5">
      <c r="A48" s="105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5">
      <c r="A49" s="105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5">
      <c r="A50" s="105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5">
      <c r="A51" s="105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5">
      <c r="A52" s="105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5">
      <c r="A53" s="105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5">
      <c r="A54" s="105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5">
      <c r="A55" s="105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5">
      <c r="A56" s="105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5">
      <c r="A57" s="105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5">
      <c r="A58" s="105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5">
      <c r="A59" s="105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5">
      <c r="A60" s="105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5">
      <c r="A61" s="105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5">
      <c r="A62" s="105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5">
      <c r="A63" s="105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5">
      <c r="A64" s="105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5">
      <c r="A65" s="105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5">
      <c r="A66" s="105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5">
      <c r="A67" s="105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5">
      <c r="A68" s="105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5">
      <c r="A69" s="105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5">
      <c r="A70" s="105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5">
      <c r="A71" s="105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5">
      <c r="A72" s="105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5">
      <c r="A73" s="105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5">
      <c r="A74" s="105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5">
      <c r="A75" s="105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5">
      <c r="A76" s="105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5">
      <c r="A77" s="105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5">
      <c r="A78" s="105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5">
      <c r="A79" s="105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5">
      <c r="A80" s="105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5">
      <c r="A81" s="105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5">
      <c r="A82" s="105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5">
      <c r="A83" s="105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5">
      <c r="A84" s="105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5">
      <c r="A85" s="105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5">
      <c r="A86" s="105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5">
      <c r="A87" s="105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5">
      <c r="A88" s="105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5">
      <c r="A89" s="105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5">
      <c r="A90" s="105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5">
      <c r="A91" s="105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5">
      <c r="A92" s="105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5">
      <c r="A93" s="105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5">
      <c r="A94" s="105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5">
      <c r="A95" s="105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5">
      <c r="A96" s="105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5">
      <c r="A97" s="105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5">
      <c r="A98" s="105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5">
      <c r="A99" s="105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5">
      <c r="A100" s="105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5">
      <c r="A101" s="105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5">
      <c r="A102" s="105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5">
      <c r="A103" s="105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5">
      <c r="A104" s="105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5">
      <c r="A105" s="105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5">
      <c r="A106" s="105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5">
      <c r="A107" s="105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5">
      <c r="A108" s="105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5">
      <c r="A109" s="105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5">
      <c r="A110" s="105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5">
      <c r="A111" s="105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5">
      <c r="A112" s="105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5">
      <c r="A113" s="105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5">
      <c r="A114" s="105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5">
      <c r="A115" s="105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5">
      <c r="A116" s="105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5">
      <c r="A117" s="105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5">
      <c r="A118" s="105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5">
      <c r="A119" s="105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5">
      <c r="A120" s="105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5">
      <c r="A121" s="105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5">
      <c r="A122" s="105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5">
      <c r="A123" s="105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5">
      <c r="A124" s="105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5">
      <c r="A125" s="105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5">
      <c r="A126" s="105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5">
      <c r="A127" s="105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5">
      <c r="A128" s="105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5">
      <c r="A129" s="105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5">
      <c r="A130" s="105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5">
      <c r="A131" s="105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5">
      <c r="A132" s="105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5">
      <c r="A133" s="105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5">
      <c r="A134" s="105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5">
      <c r="A135" s="105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5">
      <c r="A136" s="105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5">
      <c r="A137" s="105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5">
      <c r="A138" s="105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5">
      <c r="A139" s="105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5">
      <c r="A140" s="105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5">
      <c r="A141" s="105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5">
      <c r="A142" s="105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5">
      <c r="A143" s="105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5">
      <c r="A144" s="105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5">
      <c r="A145" s="105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5">
      <c r="A146" s="105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5">
      <c r="A147" s="105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5">
      <c r="A148" s="105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5">
      <c r="A149" s="105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5">
      <c r="A150" s="105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5">
      <c r="A151" s="105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5">
      <c r="A152" s="105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5">
      <c r="A153" s="105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5">
      <c r="A154" s="105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5">
      <c r="A155" s="105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5">
      <c r="A156" s="105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5">
      <c r="A157" s="105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5">
      <c r="A158" s="105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5">
      <c r="A159" s="105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5">
      <c r="A160" s="105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5">
      <c r="A161" s="105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5">
      <c r="A162" s="105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5">
      <c r="A163" s="105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5">
      <c r="A164" s="105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5">
      <c r="A165" s="105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5">
      <c r="A166" s="105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5">
      <c r="A167" s="105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5">
      <c r="A168" s="105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5">
      <c r="A169" s="105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5">
      <c r="A170" s="105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5">
      <c r="A171" s="105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5">
      <c r="A172" s="105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5">
      <c r="A173" s="105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5">
      <c r="A174" s="105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5">
      <c r="A175" s="105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5">
      <c r="A176" s="105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5">
      <c r="A177" s="105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5">
      <c r="A178" s="105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5">
      <c r="A179" s="105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5">
      <c r="A180" s="105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5">
      <c r="A181" s="105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5">
      <c r="A182" s="105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5">
      <c r="A183" s="105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5">
      <c r="A184" s="105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5">
      <c r="A185" s="105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5">
      <c r="A186" s="105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5">
      <c r="A187" s="105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5">
      <c r="A188" s="105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5">
      <c r="A189" s="105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5">
      <c r="A190" s="105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5">
      <c r="A191" s="105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5">
      <c r="A192" s="105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5">
      <c r="A193" s="105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5">
      <c r="A194" s="105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5">
      <c r="A195" s="105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5">
      <c r="A196" s="105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5">
      <c r="A197" s="105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5">
      <c r="A198" s="105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5">
      <c r="A199" s="105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5">
      <c r="A200" s="105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5">
      <c r="A201" s="105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5">
      <c r="A202" s="105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5">
      <c r="A203" s="105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5">
      <c r="A204" s="105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5">
      <c r="A205" s="105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5">
      <c r="A206" s="105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5">
      <c r="A207" s="105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5">
      <c r="A208" s="105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5">
      <c r="A209" s="105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5">
      <c r="A210" s="105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5">
      <c r="A211" s="105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5">
      <c r="A212" s="105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5">
      <c r="A213" s="105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5">
      <c r="A214" s="105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5">
      <c r="A215" s="105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5">
      <c r="A216" s="105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5">
      <c r="A217" s="105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5">
      <c r="A218" s="105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5">
      <c r="A219" s="105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5">
      <c r="A220" s="105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5">
      <c r="A221" s="105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5">
      <c r="A222" s="105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5">
      <c r="A223" s="105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5">
      <c r="A224" s="105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5">
      <c r="A225" s="105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5">
      <c r="A226" s="105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5">
      <c r="A227" s="105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5">
      <c r="A228" s="105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5">
      <c r="A229" s="105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5">
      <c r="A230" s="105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5">
      <c r="A231" s="105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5">
      <c r="A232" s="105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5">
      <c r="A233" s="105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5">
      <c r="A234" s="105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5">
      <c r="A235" s="105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5">
      <c r="A236" s="105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5">
      <c r="A237" s="105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5">
      <c r="A238" s="105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5">
      <c r="A239" s="105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5">
      <c r="A240" s="105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5">
      <c r="A241" s="105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5">
      <c r="A242" s="105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5">
      <c r="A243" s="105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5">
      <c r="A244" s="105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5">
      <c r="A245" s="105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5">
      <c r="A246" s="105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5">
      <c r="A247" s="105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5">
      <c r="A248" s="105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5">
      <c r="A249" s="105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5">
      <c r="A250" s="105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5">
      <c r="A251" s="105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5">
      <c r="A252" s="105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5">
      <c r="A253" s="105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5">
      <c r="A254" s="105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5">
      <c r="A255" s="105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5">
      <c r="A256" s="105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5">
      <c r="A257" s="105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5">
      <c r="A258" s="105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5">
      <c r="A259" s="105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5">
      <c r="A260" s="105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5">
      <c r="A261" s="105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5">
      <c r="A262" s="105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5">
      <c r="A263" s="105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5">
      <c r="A264" s="105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5">
      <c r="A265" s="105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5">
      <c r="A266" s="105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5">
      <c r="A267" s="105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5">
      <c r="A268" s="105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5">
      <c r="A269" s="105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5">
      <c r="A270" s="105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5">
      <c r="A271" s="105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5">
      <c r="A272" s="105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5">
      <c r="A273" s="105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5">
      <c r="A274" s="105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5">
      <c r="A275" s="105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5">
      <c r="A276" s="105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5">
      <c r="A277" s="105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5">
      <c r="A278" s="105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5">
      <c r="A279" s="105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5">
      <c r="A280" s="105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5">
      <c r="A281" s="105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5">
      <c r="A282" s="105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5">
      <c r="A283" s="105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5">
      <c r="A284" s="105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5">
      <c r="A285" s="105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5">
      <c r="A286" s="105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5">
      <c r="A287" s="105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5">
      <c r="A288" s="105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5">
      <c r="A289" s="105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5">
      <c r="A290" s="105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5">
      <c r="A291" s="105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5">
      <c r="A292" s="105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5">
      <c r="A293" s="105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5">
      <c r="A294" s="105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5">
      <c r="A295" s="105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5">
      <c r="A296" s="105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5">
      <c r="A297" s="105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5">
      <c r="A298" s="105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5">
      <c r="A299" s="105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5">
      <c r="A300" s="105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5">
      <c r="A301" s="105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5">
      <c r="A302" s="105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5">
      <c r="A303" s="105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5">
      <c r="A304" s="105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5">
      <c r="A305" s="105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5">
      <c r="A306" s="105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5">
      <c r="A307" s="105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5">
      <c r="A308" s="105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5">
      <c r="A309" s="105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5">
      <c r="A310" s="105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5">
      <c r="A311" s="105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5">
      <c r="A312" s="105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5">
      <c r="A313" s="105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5">
      <c r="A314" s="105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5">
      <c r="A315" s="105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5">
      <c r="A316" s="105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5">
      <c r="A317" s="105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5">
      <c r="A318" s="105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5">
      <c r="A319" s="105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5">
      <c r="A320" s="105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5">
      <c r="A321" s="105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5">
      <c r="A322" s="105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5">
      <c r="A323" s="105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5">
      <c r="A324" s="105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5">
      <c r="A325" s="105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5">
      <c r="A326" s="105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5">
      <c r="A327" s="105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5">
      <c r="A328" s="105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5">
      <c r="A329" s="105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5">
      <c r="A330" s="105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5">
      <c r="A331" s="105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5">
      <c r="A332" s="105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5">
      <c r="A333" s="105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5">
      <c r="A334" s="105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5">
      <c r="A335" s="105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5">
      <c r="A336" s="105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5">
      <c r="A337" s="105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5">
      <c r="A338" s="105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5">
      <c r="A339" s="105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5">
      <c r="A340" s="105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5">
      <c r="A341" s="105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5">
      <c r="A342" s="105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5">
      <c r="A343" s="105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5">
      <c r="A344" s="105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5">
      <c r="A345" s="105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5">
      <c r="A346" s="105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5">
      <c r="A347" s="105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5">
      <c r="A348" s="105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5">
      <c r="A349" s="105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5">
      <c r="A350" s="105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5">
      <c r="A351" s="105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5">
      <c r="A352" s="105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5">
      <c r="A353" s="105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5">
      <c r="A354" s="105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5">
      <c r="A355" s="105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5">
      <c r="A356" s="105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5">
      <c r="A357" s="105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5">
      <c r="A358" s="105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5">
      <c r="A359" s="105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5">
      <c r="A360" s="105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5">
      <c r="A361" s="105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5">
      <c r="A362" s="105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5">
      <c r="A363" s="105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5">
      <c r="A364" s="105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5">
      <c r="A365" s="105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5">
      <c r="A366" s="105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5">
      <c r="A367" s="105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5">
      <c r="A368" s="105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5">
      <c r="A369" s="105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5">
      <c r="A370" s="105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5">
      <c r="A371" s="105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5">
      <c r="A372" s="105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5">
      <c r="A373" s="105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5">
      <c r="A374" s="105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5">
      <c r="A375" s="105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5">
      <c r="A376" s="105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5">
      <c r="A377" s="105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5">
      <c r="A378" s="105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5">
      <c r="A379" s="105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5">
      <c r="A380" s="105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5">
      <c r="A381" s="105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5">
      <c r="A382" s="105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5">
      <c r="A383" s="105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5">
      <c r="A384" s="105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5">
      <c r="A385" s="105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5">
      <c r="A386" s="105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5">
      <c r="A387" s="105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5">
      <c r="A388" s="105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5">
      <c r="A389" s="105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5">
      <c r="A390" s="105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5">
      <c r="A391" s="105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5">
      <c r="A392" s="105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5">
      <c r="A393" s="105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5">
      <c r="A394" s="105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5">
      <c r="A395" s="105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5">
      <c r="A396" s="105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5">
      <c r="A397" s="105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5">
      <c r="A398" s="105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5">
      <c r="A399" s="105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5">
      <c r="A400" s="105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5">
      <c r="A401" s="105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5">
      <c r="A402" s="105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5">
      <c r="A403" s="105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5">
      <c r="A404" s="105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5">
      <c r="A405" s="105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5">
      <c r="A406" s="105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5">
      <c r="A407" s="105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5">
      <c r="A408" s="105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5">
      <c r="A409" s="105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5">
      <c r="A410" s="105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5">
      <c r="A411" s="105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5">
      <c r="A412" s="105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5">
      <c r="A413" s="105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5">
      <c r="A414" s="105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5">
      <c r="A415" s="105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5">
      <c r="A416" s="105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5">
      <c r="A417" s="105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5">
      <c r="A418" s="105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5">
      <c r="A419" s="105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5">
      <c r="A420" s="105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5">
      <c r="A421" s="105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5">
      <c r="A422" s="105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5">
      <c r="A423" s="105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5">
      <c r="A424" s="105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5">
      <c r="A425" s="105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5">
      <c r="A426" s="105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5">
      <c r="A427" s="105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5">
      <c r="A428" s="105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5">
      <c r="A429" s="105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5">
      <c r="A430" s="105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5">
      <c r="A431" s="105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5">
      <c r="A432" s="105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5">
      <c r="A433" s="105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5">
      <c r="A434" s="105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5">
      <c r="A435" s="105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5">
      <c r="A436" s="105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5">
      <c r="A437" s="105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5">
      <c r="A438" s="105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5">
      <c r="A439" s="105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5">
      <c r="A440" s="105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5">
      <c r="A441" s="105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5">
      <c r="A442" s="105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5">
      <c r="A443" s="105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5">
      <c r="A444" s="105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5">
      <c r="A445" s="105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5">
      <c r="A446" s="105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5">
      <c r="A447" s="105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5">
      <c r="A448" s="105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5">
      <c r="A449" s="105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5">
      <c r="A450" s="105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5">
      <c r="A451" s="105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5">
      <c r="A452" s="105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5">
      <c r="A453" s="105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5">
      <c r="A454" s="105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5">
      <c r="A455" s="105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5">
      <c r="A456" s="105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5">
      <c r="A457" s="105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5">
      <c r="A458" s="105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5">
      <c r="A459" s="105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5">
      <c r="A460" s="105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5">
      <c r="A461" s="105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5">
      <c r="A462" s="105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5">
      <c r="A463" s="105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5">
      <c r="A464" s="105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5">
      <c r="A465" s="105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5">
      <c r="A466" s="105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5">
      <c r="A467" s="105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5">
      <c r="A468" s="105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5">
      <c r="A469" s="105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5">
      <c r="A470" s="105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5">
      <c r="A471" s="105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5">
      <c r="A472" s="105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5">
      <c r="A473" s="105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5">
      <c r="A474" s="105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5">
      <c r="A475" s="105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5">
      <c r="A476" s="105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5">
      <c r="A477" s="105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5">
      <c r="A478" s="105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5">
      <c r="A479" s="105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5">
      <c r="A480" s="105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5">
      <c r="A481" s="105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5">
      <c r="A482" s="105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5">
      <c r="A483" s="105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5">
      <c r="A484" s="105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5">
      <c r="A485" s="105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5">
      <c r="A486" s="105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5">
      <c r="A487" s="105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5">
      <c r="A488" s="105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5">
      <c r="A489" s="105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5">
      <c r="A490" s="105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5">
      <c r="A491" s="105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5">
      <c r="A492" s="105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5">
      <c r="A493" s="105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5">
      <c r="A494" s="105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5">
      <c r="A495" s="105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5">
      <c r="A496" s="105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5">
      <c r="A497" s="105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5">
      <c r="A498" s="105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5">
      <c r="A499" s="105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5">
      <c r="A500" s="105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5">
      <c r="A501" s="105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5">
      <c r="A502" s="105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5">
      <c r="A503" s="105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5">
      <c r="A504" s="105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5">
      <c r="A505" s="105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5">
      <c r="A506" s="105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5">
      <c r="A507" s="105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5">
      <c r="A508" s="105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5">
      <c r="A509" s="105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5">
      <c r="A510" s="105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5">
      <c r="A511" s="105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5">
      <c r="A512" s="105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5">
      <c r="A513" s="105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5">
      <c r="A514" s="105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5">
      <c r="A515" s="105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5">
      <c r="A516" s="105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5">
      <c r="A517" s="105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5">
      <c r="A518" s="105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5">
      <c r="A519" s="105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5">
      <c r="A520" s="105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5">
      <c r="A521" s="105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5">
      <c r="A522" s="105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5">
      <c r="A523" s="105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5">
      <c r="A524" s="105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5">
      <c r="A525" s="105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5">
      <c r="A526" s="105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5">
      <c r="A527" s="105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5">
      <c r="A528" s="105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5">
      <c r="A529" s="105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5">
      <c r="A530" s="105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5">
      <c r="A531" s="105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5">
      <c r="A532" s="105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5">
      <c r="A533" s="105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5">
      <c r="A534" s="105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5">
      <c r="A535" s="105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5">
      <c r="A536" s="105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5">
      <c r="A537" s="105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5">
      <c r="A538" s="105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5">
      <c r="A539" s="105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5">
      <c r="A540" s="105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5">
      <c r="A541" s="105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5">
      <c r="A542" s="105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5">
      <c r="A543" s="105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5">
      <c r="A544" s="105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5">
      <c r="A545" s="105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5">
      <c r="A546" s="105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5">
      <c r="A547" s="105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5">
      <c r="A548" s="105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5">
      <c r="A549" s="105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5">
      <c r="A550" s="105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5">
      <c r="A551" s="105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5">
      <c r="A552" s="105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5">
      <c r="A553" s="105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5">
      <c r="A554" s="105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5">
      <c r="A555" s="105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5">
      <c r="A556" s="105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5">
      <c r="A557" s="105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5">
      <c r="A558" s="105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5">
      <c r="A559" s="105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5">
      <c r="A560" s="105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5">
      <c r="A561" s="105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5">
      <c r="A562" s="105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5">
      <c r="A563" s="105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5">
      <c r="A564" s="105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5">
      <c r="A565" s="105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5">
      <c r="A566" s="105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5">
      <c r="A567" s="105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5">
      <c r="A568" s="105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5">
      <c r="A569" s="105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5">
      <c r="A570" s="105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5">
      <c r="A571" s="105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5">
      <c r="A572" s="105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5">
      <c r="A573" s="105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5">
      <c r="A574" s="105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5">
      <c r="A575" s="105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5">
      <c r="A576" s="105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5">
      <c r="A577" s="105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5">
      <c r="A578" s="105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5">
      <c r="A579" s="105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5">
      <c r="A580" s="105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5">
      <c r="A581" s="105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7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5">
      <c r="A582" s="105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7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5">
      <c r="A583" s="105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7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5">
      <c r="A584" s="105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7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5">
      <c r="A585" s="105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7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5">
      <c r="A586" s="105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7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5">
      <c r="A587" s="105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7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5">
      <c r="A588" s="105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7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5">
      <c r="A589" s="105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7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5">
      <c r="A590" s="105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7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5">
      <c r="A591" s="105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7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5">
      <c r="A592" s="105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7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5">
      <c r="A593" s="105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7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5">
      <c r="A594" s="105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7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5">
      <c r="A595" s="105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7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5">
      <c r="A596" s="105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7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5">
      <c r="A597" s="105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7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5">
      <c r="A598" s="105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7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5">
      <c r="A599" s="105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7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5">
      <c r="A600" s="105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7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5">
      <c r="A601" s="105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7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5">
      <c r="A602" s="105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7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5">
      <c r="A603" s="105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7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5">
      <c r="A604" s="105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7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5">
      <c r="A605" s="105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7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5">
      <c r="A606" s="105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7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5">
      <c r="A607" s="105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7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5">
      <c r="A608" s="105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7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5">
      <c r="A609" s="105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7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5">
      <c r="A610" s="105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7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5">
      <c r="A611" s="105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7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5">
      <c r="A612" s="105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7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5">
      <c r="A613" s="105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7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5">
      <c r="A614" s="105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7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ht="15.6" x14ac:dyDescent="0.25">
      <c r="A615" s="105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7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ht="15.6" x14ac:dyDescent="0.25">
      <c r="A616" s="105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7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5">
      <c r="A617" s="105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7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5">
      <c r="A618" s="105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7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5">
      <c r="A619" s="105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7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5">
      <c r="A620" s="105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7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5">
      <c r="A621" s="105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7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5">
      <c r="A622" s="105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7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5">
      <c r="A623" s="105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7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5">
      <c r="A624" s="105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7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5">
      <c r="A625" s="105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7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5">
      <c r="A626" s="105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7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5">
      <c r="A627" s="105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7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5">
      <c r="A628" s="105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7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5">
      <c r="A629" s="105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7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5">
      <c r="A630" s="105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7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5">
      <c r="A631" s="105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7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5">
      <c r="A632" s="105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7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5">
      <c r="A633" s="105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7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5">
      <c r="A634" s="105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7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5">
      <c r="A635" s="105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6">
        <f t="shared" ref="T635:T698" si="13">AVERAGE(C583,C531,C479,C426)</f>
        <v>1702.8125</v>
      </c>
      <c r="U635" s="109">
        <f t="shared" ref="U635:U698" si="14">AVERAGE(D583,D531,D479,D426)</f>
        <v>1070.1666666666667</v>
      </c>
      <c r="V635" s="109">
        <f t="shared" ref="V635:V698" si="15">AVERAGE(E583,E531,E479,E426)</f>
        <v>2775.6875</v>
      </c>
      <c r="W635" s="110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5">
      <c r="A636" s="105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6">
        <f t="shared" si="13"/>
        <v>1801.5</v>
      </c>
      <c r="U636" s="109">
        <f t="shared" si="14"/>
        <v>881.75</v>
      </c>
      <c r="V636" s="109">
        <f t="shared" si="15"/>
        <v>2977</v>
      </c>
      <c r="W636" s="110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5">
      <c r="A637" s="105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6">
        <f t="shared" si="13"/>
        <v>1946.5625</v>
      </c>
      <c r="U637" s="109">
        <f t="shared" si="14"/>
        <v>819.3125</v>
      </c>
      <c r="V637" s="109">
        <f t="shared" si="15"/>
        <v>3266.0625</v>
      </c>
      <c r="W637" s="110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5">
      <c r="A638" s="105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6">
        <f t="shared" si="13"/>
        <v>1856</v>
      </c>
      <c r="U638" s="109">
        <f t="shared" si="14"/>
        <v>781.75</v>
      </c>
      <c r="V638" s="109">
        <f t="shared" si="15"/>
        <v>3630.3125</v>
      </c>
      <c r="W638" s="110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5">
      <c r="A639" s="105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6">
        <f t="shared" si="13"/>
        <v>1921.8125</v>
      </c>
      <c r="U639" s="109">
        <f t="shared" si="14"/>
        <v>767.875</v>
      </c>
      <c r="V639" s="109">
        <f t="shared" si="15"/>
        <v>3995.4375</v>
      </c>
      <c r="W639" s="110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5">
      <c r="A640" s="105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6">
        <f t="shared" si="13"/>
        <v>1970.4375</v>
      </c>
      <c r="U640" s="109">
        <f t="shared" si="14"/>
        <v>768.9375</v>
      </c>
      <c r="V640" s="109">
        <f t="shared" si="15"/>
        <v>4129.0625</v>
      </c>
      <c r="W640" s="110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5">
      <c r="A641" s="105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6">
        <f t="shared" si="13"/>
        <v>1868.1875</v>
      </c>
      <c r="U641" s="109">
        <f t="shared" si="14"/>
        <v>839</v>
      </c>
      <c r="V641" s="109">
        <f t="shared" si="15"/>
        <v>4257.75</v>
      </c>
      <c r="W641" s="110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5">
      <c r="A642" s="105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6">
        <f t="shared" si="13"/>
        <v>1948</v>
      </c>
      <c r="U642" s="109">
        <f t="shared" si="14"/>
        <v>910.1875</v>
      </c>
      <c r="V642" s="109">
        <f t="shared" si="15"/>
        <v>4187.5625</v>
      </c>
      <c r="W642" s="110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5">
      <c r="A643" s="105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6">
        <f t="shared" si="13"/>
        <v>1916.875</v>
      </c>
      <c r="U643" s="109">
        <f t="shared" si="14"/>
        <v>1026.9375</v>
      </c>
      <c r="V643" s="109">
        <f t="shared" si="15"/>
        <v>4034.0625</v>
      </c>
      <c r="W643" s="110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5">
      <c r="A644" s="105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6">
        <f t="shared" si="13"/>
        <v>1828.3125</v>
      </c>
      <c r="U644" s="109">
        <f t="shared" si="14"/>
        <v>1156.0625</v>
      </c>
      <c r="V644" s="109">
        <f t="shared" si="15"/>
        <v>3941.875</v>
      </c>
      <c r="W644" s="110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5">
      <c r="A645" s="105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6">
        <f t="shared" si="13"/>
        <v>1865.125</v>
      </c>
      <c r="U645" s="109">
        <f t="shared" si="14"/>
        <v>1170.875</v>
      </c>
      <c r="V645" s="109">
        <f t="shared" si="15"/>
        <v>3806.1875</v>
      </c>
      <c r="W645" s="110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5">
      <c r="A646" s="105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6">
        <f t="shared" si="13"/>
        <v>1794.8125</v>
      </c>
      <c r="U646" s="109">
        <f t="shared" si="14"/>
        <v>1183.6875</v>
      </c>
      <c r="V646" s="109">
        <f t="shared" si="15"/>
        <v>3667.4375</v>
      </c>
      <c r="W646" s="110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5">
      <c r="A647" s="105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6">
        <f t="shared" si="13"/>
        <v>1846.375</v>
      </c>
      <c r="U647" s="109">
        <f t="shared" si="14"/>
        <v>1202.125</v>
      </c>
      <c r="V647" s="109">
        <f t="shared" si="15"/>
        <v>3375.0625</v>
      </c>
      <c r="W647" s="110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5">
      <c r="A648" s="105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6">
        <f t="shared" si="13"/>
        <v>1723.1875</v>
      </c>
      <c r="U648" s="109">
        <f t="shared" si="14"/>
        <v>1186.4375</v>
      </c>
      <c r="V648" s="109">
        <f t="shared" si="15"/>
        <v>3181.25</v>
      </c>
      <c r="W648" s="110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5">
      <c r="A649" s="105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6">
        <f t="shared" si="13"/>
        <v>1568.375</v>
      </c>
      <c r="U649" s="109">
        <f t="shared" si="14"/>
        <v>1249.875</v>
      </c>
      <c r="V649" s="109">
        <f t="shared" si="15"/>
        <v>3152.5</v>
      </c>
      <c r="W649" s="110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5">
      <c r="A650" s="105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6">
        <f t="shared" si="13"/>
        <v>1510.625</v>
      </c>
      <c r="U650" s="109">
        <f t="shared" si="14"/>
        <v>1274.0625</v>
      </c>
      <c r="V650" s="109">
        <f t="shared" si="15"/>
        <v>3077.375</v>
      </c>
      <c r="W650" s="110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5">
      <c r="A651" s="105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6">
        <f t="shared" si="13"/>
        <v>1384.875</v>
      </c>
      <c r="U651" s="109">
        <f t="shared" si="14"/>
        <v>1193.0625</v>
      </c>
      <c r="V651" s="109">
        <f t="shared" si="15"/>
        <v>3145.5</v>
      </c>
      <c r="W651" s="110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5">
      <c r="A652" s="105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6">
        <f t="shared" si="13"/>
        <v>1410.375</v>
      </c>
      <c r="U652" s="109">
        <f t="shared" si="14"/>
        <v>1175.75</v>
      </c>
      <c r="V652" s="109">
        <f t="shared" si="15"/>
        <v>3163.0625</v>
      </c>
      <c r="W652" s="110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5">
      <c r="A653" s="105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6">
        <f t="shared" si="13"/>
        <v>1421.125</v>
      </c>
      <c r="U653" s="109">
        <f t="shared" si="14"/>
        <v>1043</v>
      </c>
      <c r="V653" s="109">
        <f t="shared" si="15"/>
        <v>3071.25</v>
      </c>
      <c r="W653" s="110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5">
      <c r="A654" s="105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6">
        <f t="shared" si="13"/>
        <v>1399.625</v>
      </c>
      <c r="U654" s="109">
        <f t="shared" si="14"/>
        <v>926.6875</v>
      </c>
      <c r="V654" s="109">
        <f t="shared" si="15"/>
        <v>3092.375</v>
      </c>
      <c r="W654" s="110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5">
      <c r="A655" s="105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6">
        <f t="shared" si="13"/>
        <v>1527.25</v>
      </c>
      <c r="U655" s="109">
        <f t="shared" si="14"/>
        <v>965.1875</v>
      </c>
      <c r="V655" s="109">
        <f t="shared" si="15"/>
        <v>3017.375</v>
      </c>
      <c r="W655" s="110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5">
      <c r="A656" s="105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6">
        <f t="shared" si="13"/>
        <v>1595.375</v>
      </c>
      <c r="U656" s="109">
        <f t="shared" si="14"/>
        <v>901.1875</v>
      </c>
      <c r="V656" s="109">
        <f t="shared" si="15"/>
        <v>2913.875</v>
      </c>
      <c r="W656" s="110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5">
      <c r="A657" s="105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6">
        <f t="shared" si="13"/>
        <v>1692.8125</v>
      </c>
      <c r="U657" s="109">
        <f t="shared" si="14"/>
        <v>867.625</v>
      </c>
      <c r="V657" s="109">
        <f t="shared" si="15"/>
        <v>2769.5625</v>
      </c>
      <c r="W657" s="110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5">
      <c r="A658" s="105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6">
        <f t="shared" si="13"/>
        <v>1841.9375</v>
      </c>
      <c r="U658" s="109">
        <f t="shared" si="14"/>
        <v>893.125</v>
      </c>
      <c r="V658" s="109">
        <f t="shared" si="15"/>
        <v>2699.5</v>
      </c>
      <c r="W658" s="110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5">
      <c r="A659" s="105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6">
        <f t="shared" si="13"/>
        <v>1792.5</v>
      </c>
      <c r="U659" s="109">
        <f t="shared" si="14"/>
        <v>808.3125</v>
      </c>
      <c r="V659" s="109">
        <f t="shared" si="15"/>
        <v>2697.375</v>
      </c>
      <c r="W659" s="110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5">
      <c r="A660" s="105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6">
        <f t="shared" si="13"/>
        <v>1803.9375</v>
      </c>
      <c r="U660" s="109">
        <f t="shared" si="14"/>
        <v>785.0625</v>
      </c>
      <c r="V660" s="109">
        <f t="shared" si="15"/>
        <v>2682.625</v>
      </c>
      <c r="W660" s="110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5">
      <c r="A661" s="105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6">
        <f t="shared" si="13"/>
        <v>1824.125</v>
      </c>
      <c r="U661" s="109">
        <f t="shared" si="14"/>
        <v>830</v>
      </c>
      <c r="V661" s="109">
        <f t="shared" si="15"/>
        <v>2734.75</v>
      </c>
      <c r="W661" s="110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5">
      <c r="A662" s="105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6">
        <f t="shared" si="13"/>
        <v>1793.9375</v>
      </c>
      <c r="U662" s="109">
        <f t="shared" si="14"/>
        <v>830.5625</v>
      </c>
      <c r="V662" s="109">
        <f t="shared" si="15"/>
        <v>2622.875</v>
      </c>
      <c r="W662" s="110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5">
      <c r="A663" s="105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6">
        <f t="shared" si="13"/>
        <v>1853.5</v>
      </c>
      <c r="U663" s="109">
        <f t="shared" si="14"/>
        <v>830.75</v>
      </c>
      <c r="V663" s="109">
        <f t="shared" si="15"/>
        <v>2654</v>
      </c>
      <c r="W663" s="110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5">
      <c r="A664" s="105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6">
        <f t="shared" si="13"/>
        <v>1913.5625</v>
      </c>
      <c r="U664" s="109">
        <f t="shared" si="14"/>
        <v>823</v>
      </c>
      <c r="V664" s="109">
        <f t="shared" si="15"/>
        <v>2595</v>
      </c>
      <c r="W664" s="110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5">
      <c r="A665" s="105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6">
        <f t="shared" si="13"/>
        <v>1950.875</v>
      </c>
      <c r="U665" s="109">
        <f t="shared" si="14"/>
        <v>810.5</v>
      </c>
      <c r="V665" s="109">
        <f t="shared" si="15"/>
        <v>2547.4375</v>
      </c>
      <c r="W665" s="110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5">
      <c r="A666" s="105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6">
        <f t="shared" si="13"/>
        <v>1927.5625</v>
      </c>
      <c r="U666" s="109">
        <f t="shared" si="14"/>
        <v>739.6875</v>
      </c>
      <c r="V666" s="109">
        <f t="shared" si="15"/>
        <v>2584.3125</v>
      </c>
      <c r="W666" s="110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5">
      <c r="A667" s="105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6">
        <f t="shared" si="13"/>
        <v>1888</v>
      </c>
      <c r="U667" s="109">
        <f t="shared" si="14"/>
        <v>770.625</v>
      </c>
      <c r="V667" s="109">
        <f t="shared" si="15"/>
        <v>2635.625</v>
      </c>
      <c r="W667" s="110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5">
      <c r="A668" s="105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6">
        <f t="shared" si="13"/>
        <v>1888.875</v>
      </c>
      <c r="U668" s="109">
        <f t="shared" si="14"/>
        <v>762.8125</v>
      </c>
      <c r="V668" s="109">
        <f t="shared" si="15"/>
        <v>2784.9375</v>
      </c>
      <c r="W668" s="110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5">
      <c r="A669" s="105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6">
        <f t="shared" si="13"/>
        <v>1977.25</v>
      </c>
      <c r="U669" s="109">
        <f t="shared" si="14"/>
        <v>769.625</v>
      </c>
      <c r="V669" s="109">
        <f t="shared" si="15"/>
        <v>2867.375</v>
      </c>
      <c r="W669" s="110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5">
      <c r="A670" s="105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6">
        <f t="shared" si="13"/>
        <v>1972.0625</v>
      </c>
      <c r="U670" s="109">
        <f t="shared" si="14"/>
        <v>865.5</v>
      </c>
      <c r="V670" s="109">
        <f t="shared" si="15"/>
        <v>2776.0625</v>
      </c>
      <c r="W670" s="110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5">
      <c r="A671" s="105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6">
        <f t="shared" si="13"/>
        <v>1868</v>
      </c>
      <c r="U671" s="109">
        <f t="shared" si="14"/>
        <v>866.125</v>
      </c>
      <c r="V671" s="109">
        <f t="shared" si="15"/>
        <v>2860.3125</v>
      </c>
      <c r="W671" s="110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5">
      <c r="A672" s="105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6">
        <f t="shared" si="13"/>
        <v>1890.3125</v>
      </c>
      <c r="U672" s="109">
        <f t="shared" si="14"/>
        <v>886.8125</v>
      </c>
      <c r="V672" s="109">
        <f t="shared" si="15"/>
        <v>3118.125</v>
      </c>
      <c r="W672" s="110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5">
      <c r="A673" s="105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6">
        <f t="shared" si="13"/>
        <v>1670.5</v>
      </c>
      <c r="U673" s="109">
        <f t="shared" si="14"/>
        <v>1020.6875</v>
      </c>
      <c r="V673" s="109">
        <f t="shared" si="15"/>
        <v>3467.25</v>
      </c>
      <c r="W673" s="110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5">
      <c r="A674" s="105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6">
        <f t="shared" si="13"/>
        <v>1585.875</v>
      </c>
      <c r="U674" s="109">
        <f t="shared" si="14"/>
        <v>1085.3125</v>
      </c>
      <c r="V674" s="109">
        <f t="shared" si="15"/>
        <v>4037.75</v>
      </c>
      <c r="W674" s="110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5">
      <c r="A675" s="105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6">
        <f t="shared" si="13"/>
        <v>1646.125</v>
      </c>
      <c r="U675" s="109">
        <f t="shared" si="14"/>
        <v>1165.4375</v>
      </c>
      <c r="V675" s="109">
        <f t="shared" si="15"/>
        <v>4379.9375</v>
      </c>
      <c r="W675" s="110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5">
      <c r="A676" s="105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6">
        <f t="shared" si="13"/>
        <v>1547.9375</v>
      </c>
      <c r="U676" s="109">
        <f t="shared" si="14"/>
        <v>1249.875</v>
      </c>
      <c r="V676" s="109">
        <f t="shared" si="15"/>
        <v>4424.9375</v>
      </c>
      <c r="W676" s="110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5">
      <c r="A677" s="105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6">
        <f t="shared" si="13"/>
        <v>1621.875</v>
      </c>
      <c r="U677" s="109">
        <f t="shared" si="14"/>
        <v>1201.625</v>
      </c>
      <c r="V677" s="109">
        <f t="shared" si="15"/>
        <v>4473.0625</v>
      </c>
      <c r="W677" s="110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5">
      <c r="A678" s="105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6">
        <f t="shared" si="13"/>
        <v>1682.5</v>
      </c>
      <c r="U678" s="109">
        <f t="shared" si="14"/>
        <v>1169.75</v>
      </c>
      <c r="V678" s="109">
        <f t="shared" si="15"/>
        <v>4414.9375</v>
      </c>
      <c r="W678" s="110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5">
      <c r="A679" s="105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6">
        <f t="shared" si="13"/>
        <v>1721.0625</v>
      </c>
      <c r="U679" s="109">
        <f t="shared" si="14"/>
        <v>1142.625</v>
      </c>
      <c r="V679" s="109">
        <f t="shared" si="15"/>
        <v>4354.125</v>
      </c>
      <c r="W679" s="110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5">
      <c r="A680" s="105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6">
        <f t="shared" si="13"/>
        <v>1841.5</v>
      </c>
      <c r="U680" s="109">
        <f t="shared" si="14"/>
        <v>1200.3125</v>
      </c>
      <c r="V680" s="109">
        <f t="shared" si="15"/>
        <v>4314.625</v>
      </c>
      <c r="W680" s="110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5">
      <c r="A681" s="105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6">
        <f t="shared" si="13"/>
        <v>1816.375</v>
      </c>
      <c r="U681" s="109">
        <f t="shared" si="14"/>
        <v>1232.875</v>
      </c>
      <c r="V681" s="109">
        <f t="shared" si="15"/>
        <v>4124.0625</v>
      </c>
      <c r="W681" s="110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5">
      <c r="A682" s="105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6">
        <f t="shared" si="13"/>
        <v>1758.0625</v>
      </c>
      <c r="U682" s="109">
        <f t="shared" si="14"/>
        <v>1310.375</v>
      </c>
      <c r="V682" s="109">
        <f t="shared" si="15"/>
        <v>3955.375</v>
      </c>
      <c r="W682" s="110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5">
      <c r="A683" s="105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6">
        <f t="shared" si="13"/>
        <v>1758.3125</v>
      </c>
      <c r="U683" s="109">
        <f t="shared" si="14"/>
        <v>1422.8125</v>
      </c>
      <c r="V683" s="109">
        <f t="shared" si="15"/>
        <v>3820</v>
      </c>
      <c r="W683" s="110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5">
      <c r="A684" s="105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6">
        <f t="shared" si="13"/>
        <v>1618.3125</v>
      </c>
      <c r="U684" s="109">
        <f t="shared" si="14"/>
        <v>1370.9375</v>
      </c>
      <c r="V684" s="109">
        <f t="shared" si="15"/>
        <v>3595.1875</v>
      </c>
      <c r="W684" s="110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5">
      <c r="A685" s="105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3"/>
      <c r="Q685" s="39"/>
      <c r="R685" s="13">
        <v>39085</v>
      </c>
      <c r="S685" s="94">
        <f t="shared" ref="S685:S716" si="18">AVERAGE(B633,B581,B529)</f>
        <v>1193</v>
      </c>
      <c r="T685" s="106">
        <f t="shared" si="13"/>
        <v>1665.8125</v>
      </c>
      <c r="U685" s="109">
        <f t="shared" si="14"/>
        <v>1276.625</v>
      </c>
      <c r="V685" s="109">
        <f t="shared" si="15"/>
        <v>3449.9375</v>
      </c>
      <c r="W685" s="110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5">
      <c r="A686" s="105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3"/>
      <c r="Q686" s="39"/>
      <c r="R686" s="13">
        <v>39092</v>
      </c>
      <c r="S686" s="94">
        <f t="shared" si="18"/>
        <v>1235.125</v>
      </c>
      <c r="T686" s="106">
        <f t="shared" si="13"/>
        <v>1867.6875</v>
      </c>
      <c r="U686" s="109">
        <f t="shared" si="14"/>
        <v>1149.125</v>
      </c>
      <c r="V686" s="109">
        <f t="shared" si="15"/>
        <v>3385.1875</v>
      </c>
      <c r="W686" s="110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5">
      <c r="A687" s="105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3"/>
      <c r="Q687" s="39"/>
      <c r="R687" s="13">
        <v>39099</v>
      </c>
      <c r="S687" s="94">
        <f t="shared" si="18"/>
        <v>1414.25</v>
      </c>
      <c r="T687" s="106">
        <f t="shared" si="13"/>
        <v>1850.5</v>
      </c>
      <c r="U687" s="109">
        <f t="shared" si="14"/>
        <v>991.4375</v>
      </c>
      <c r="V687" s="109">
        <f t="shared" si="15"/>
        <v>3255.5625</v>
      </c>
      <c r="W687" s="110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5">
      <c r="A688" s="105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3"/>
      <c r="Q688" s="39"/>
      <c r="R688" s="13">
        <v>39106</v>
      </c>
      <c r="S688" s="94">
        <f t="shared" si="18"/>
        <v>1571.9166666666667</v>
      </c>
      <c r="T688" s="106">
        <f t="shared" si="13"/>
        <v>1912.0625</v>
      </c>
      <c r="U688" s="109">
        <f t="shared" si="14"/>
        <v>927.9375</v>
      </c>
      <c r="V688" s="109">
        <f t="shared" si="15"/>
        <v>3545.3125</v>
      </c>
      <c r="W688" s="110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5">
      <c r="A689" s="105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3"/>
      <c r="Q689" s="39"/>
      <c r="R689" s="13">
        <v>39113</v>
      </c>
      <c r="S689" s="94">
        <f t="shared" si="18"/>
        <v>1605.9166666666667</v>
      </c>
      <c r="T689" s="106">
        <f t="shared" si="13"/>
        <v>1989</v>
      </c>
      <c r="U689" s="109">
        <f t="shared" si="14"/>
        <v>851.0625</v>
      </c>
      <c r="V689" s="109">
        <f t="shared" si="15"/>
        <v>3788.9375</v>
      </c>
      <c r="W689" s="110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5">
      <c r="A690" s="105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3"/>
      <c r="Q690" s="39"/>
      <c r="R690" s="13">
        <v>39120</v>
      </c>
      <c r="S690" s="94">
        <f t="shared" si="18"/>
        <v>1703.6666666666667</v>
      </c>
      <c r="T690" s="106">
        <f t="shared" si="13"/>
        <v>1913.25</v>
      </c>
      <c r="U690" s="109">
        <f t="shared" si="14"/>
        <v>830.25</v>
      </c>
      <c r="V690" s="109">
        <f t="shared" si="15"/>
        <v>3998.375</v>
      </c>
      <c r="W690" s="110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5">
      <c r="A691" s="105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3"/>
      <c r="Q691" s="39"/>
      <c r="R691" s="13">
        <v>39127</v>
      </c>
      <c r="S691" s="94">
        <f t="shared" si="18"/>
        <v>1652.6666666666667</v>
      </c>
      <c r="T691" s="106">
        <f t="shared" si="13"/>
        <v>1963.8125</v>
      </c>
      <c r="U691" s="109">
        <f t="shared" si="14"/>
        <v>787.25</v>
      </c>
      <c r="V691" s="109">
        <f t="shared" si="15"/>
        <v>4360.625</v>
      </c>
      <c r="W691" s="110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5">
      <c r="A692" s="105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3"/>
      <c r="Q692" s="39"/>
      <c r="R692" s="13">
        <v>39134</v>
      </c>
      <c r="S692" s="94">
        <f t="shared" si="18"/>
        <v>1595.0833333333333</v>
      </c>
      <c r="T692" s="106">
        <f t="shared" si="13"/>
        <v>2026.5625</v>
      </c>
      <c r="U692" s="109">
        <f t="shared" si="14"/>
        <v>788.625</v>
      </c>
      <c r="V692" s="109">
        <f t="shared" si="15"/>
        <v>4397.625</v>
      </c>
      <c r="W692" s="110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5">
      <c r="A693" s="105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3"/>
      <c r="Q693" s="39"/>
      <c r="R693" s="13">
        <v>39141</v>
      </c>
      <c r="S693" s="94">
        <f t="shared" si="18"/>
        <v>1621.1666666666667</v>
      </c>
      <c r="T693" s="106">
        <f t="shared" si="13"/>
        <v>1947.1875</v>
      </c>
      <c r="U693" s="109">
        <f t="shared" si="14"/>
        <v>919</v>
      </c>
      <c r="V693" s="109">
        <f t="shared" si="15"/>
        <v>4464.0625</v>
      </c>
      <c r="W693" s="110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5">
      <c r="A694" s="105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3"/>
      <c r="Q694" s="39"/>
      <c r="R694" s="13">
        <v>39148</v>
      </c>
      <c r="S694" s="94">
        <f t="shared" si="18"/>
        <v>1607.25</v>
      </c>
      <c r="T694" s="106">
        <f t="shared" si="13"/>
        <v>1966.125</v>
      </c>
      <c r="U694" s="109">
        <f t="shared" si="14"/>
        <v>960.8125</v>
      </c>
      <c r="V694" s="109">
        <f t="shared" si="15"/>
        <v>4579.1875</v>
      </c>
      <c r="W694" s="110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5">
      <c r="A695" s="105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3"/>
      <c r="Q695" s="39"/>
      <c r="R695" s="13">
        <v>39155</v>
      </c>
      <c r="S695" s="94">
        <f t="shared" si="18"/>
        <v>1519.9166666666667</v>
      </c>
      <c r="T695" s="106">
        <f t="shared" si="13"/>
        <v>1937.5</v>
      </c>
      <c r="U695" s="109">
        <f t="shared" si="14"/>
        <v>1018.4375</v>
      </c>
      <c r="V695" s="109">
        <f t="shared" si="15"/>
        <v>4470.625</v>
      </c>
      <c r="W695" s="110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5">
      <c r="A696" s="105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3"/>
      <c r="Q696" s="39"/>
      <c r="R696" s="13">
        <v>39162</v>
      </c>
      <c r="S696" s="94">
        <f t="shared" si="18"/>
        <v>1442.25</v>
      </c>
      <c r="T696" s="106">
        <f t="shared" si="13"/>
        <v>1864.125</v>
      </c>
      <c r="U696" s="109">
        <f t="shared" si="14"/>
        <v>1108.25</v>
      </c>
      <c r="V696" s="109">
        <f t="shared" si="15"/>
        <v>4469.5625</v>
      </c>
      <c r="W696" s="110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5">
      <c r="A697" s="105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3"/>
      <c r="Q697" s="39"/>
      <c r="R697" s="13">
        <v>39169</v>
      </c>
      <c r="S697" s="94">
        <f t="shared" si="18"/>
        <v>1271.75</v>
      </c>
      <c r="T697" s="106">
        <f t="shared" si="13"/>
        <v>1932.4375</v>
      </c>
      <c r="U697" s="109">
        <f t="shared" si="14"/>
        <v>1108.875</v>
      </c>
      <c r="V697" s="109">
        <f t="shared" si="15"/>
        <v>4388.8125</v>
      </c>
      <c r="W697" s="110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5">
      <c r="A698" s="105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3"/>
      <c r="Q698" s="39"/>
      <c r="R698" s="13">
        <v>39176</v>
      </c>
      <c r="S698" s="94">
        <f t="shared" si="18"/>
        <v>1123.0833333333333</v>
      </c>
      <c r="T698" s="106">
        <f t="shared" si="13"/>
        <v>1878.5625</v>
      </c>
      <c r="U698" s="109">
        <f t="shared" si="14"/>
        <v>1128.9375</v>
      </c>
      <c r="V698" s="109">
        <f t="shared" si="15"/>
        <v>4257.9375</v>
      </c>
      <c r="W698" s="110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5">
      <c r="A699" s="105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3"/>
      <c r="Q699" s="39"/>
      <c r="R699" s="13">
        <v>39183</v>
      </c>
      <c r="S699" s="94">
        <f t="shared" si="18"/>
        <v>1085.4166666666667</v>
      </c>
      <c r="T699" s="106">
        <f t="shared" ref="T699:T742" si="20">AVERAGE(C647,C595,C543,C490)</f>
        <v>1846.4375</v>
      </c>
      <c r="U699" s="109">
        <f t="shared" ref="U699:U742" si="21">AVERAGE(D647,D595,D543,D490)</f>
        <v>1210.3125</v>
      </c>
      <c r="V699" s="109">
        <f t="shared" ref="V699:V742" si="22">AVERAGE(E647,E595,E543,E490)</f>
        <v>4058.4375</v>
      </c>
      <c r="W699" s="110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5">
      <c r="A700" s="105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3"/>
      <c r="Q700" s="39"/>
      <c r="R700" s="13">
        <v>39190</v>
      </c>
      <c r="S700" s="94">
        <f t="shared" si="18"/>
        <v>872</v>
      </c>
      <c r="T700" s="106">
        <f t="shared" si="20"/>
        <v>1844</v>
      </c>
      <c r="U700" s="109">
        <f t="shared" si="21"/>
        <v>1174.3125</v>
      </c>
      <c r="V700" s="109">
        <f t="shared" si="22"/>
        <v>3868.5625</v>
      </c>
      <c r="W700" s="110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5">
      <c r="A701" s="105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3"/>
      <c r="Q701" s="39"/>
      <c r="R701" s="13">
        <v>39197</v>
      </c>
      <c r="S701" s="94">
        <f t="shared" si="18"/>
        <v>818.41666666666663</v>
      </c>
      <c r="T701" s="106">
        <f t="shared" si="20"/>
        <v>1682.3125</v>
      </c>
      <c r="U701" s="109">
        <f t="shared" si="21"/>
        <v>1237.625</v>
      </c>
      <c r="V701" s="109">
        <f t="shared" si="22"/>
        <v>3889</v>
      </c>
      <c r="W701" s="110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5">
      <c r="A702" s="105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3"/>
      <c r="Q702" s="39"/>
      <c r="R702" s="13">
        <v>39204</v>
      </c>
      <c r="S702" s="94">
        <f t="shared" si="18"/>
        <v>703.75</v>
      </c>
      <c r="T702" s="106">
        <f t="shared" si="20"/>
        <v>1666.6875</v>
      </c>
      <c r="U702" s="109">
        <f t="shared" si="21"/>
        <v>1353.3125</v>
      </c>
      <c r="V702" s="109">
        <f t="shared" si="22"/>
        <v>3755.5625</v>
      </c>
      <c r="W702" s="110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5">
      <c r="A703" s="105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3"/>
      <c r="Q703" s="39"/>
      <c r="R703" s="13">
        <v>39211</v>
      </c>
      <c r="S703" s="94">
        <f t="shared" si="18"/>
        <v>596.83333333333337</v>
      </c>
      <c r="T703" s="106">
        <f t="shared" si="20"/>
        <v>1596.4375</v>
      </c>
      <c r="U703" s="109">
        <f t="shared" si="21"/>
        <v>1296</v>
      </c>
      <c r="V703" s="109">
        <f t="shared" si="22"/>
        <v>3751.75</v>
      </c>
      <c r="W703" s="110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5">
      <c r="A704" s="105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3"/>
      <c r="Q704" s="39"/>
      <c r="R704" s="13">
        <v>39218</v>
      </c>
      <c r="S704" s="94">
        <f t="shared" si="18"/>
        <v>595.66666666666663</v>
      </c>
      <c r="T704" s="106">
        <f t="shared" si="20"/>
        <v>1495.9375</v>
      </c>
      <c r="U704" s="109">
        <f t="shared" si="21"/>
        <v>1297.875</v>
      </c>
      <c r="V704" s="109">
        <f t="shared" si="22"/>
        <v>3763.9375</v>
      </c>
      <c r="W704" s="110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5">
      <c r="A705" s="105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3"/>
      <c r="Q705" s="39"/>
      <c r="R705" s="13">
        <v>39225</v>
      </c>
      <c r="S705" s="94">
        <f t="shared" si="18"/>
        <v>578.66666666666663</v>
      </c>
      <c r="T705" s="106">
        <f t="shared" si="20"/>
        <v>1528.375</v>
      </c>
      <c r="U705" s="109">
        <f t="shared" si="21"/>
        <v>1153.6875</v>
      </c>
      <c r="V705" s="109">
        <f t="shared" si="22"/>
        <v>3668.75</v>
      </c>
      <c r="W705" s="110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5">
      <c r="A706" s="105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3"/>
      <c r="Q706" s="39"/>
      <c r="R706" s="13">
        <v>39232</v>
      </c>
      <c r="S706" s="94">
        <f t="shared" si="18"/>
        <v>618.75</v>
      </c>
      <c r="T706" s="106">
        <f t="shared" si="20"/>
        <v>1462.0625</v>
      </c>
      <c r="U706" s="109">
        <f t="shared" si="21"/>
        <v>1010.125</v>
      </c>
      <c r="V706" s="109">
        <f t="shared" si="22"/>
        <v>3732.9375</v>
      </c>
      <c r="W706" s="110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5">
      <c r="A707" s="105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3"/>
      <c r="Q707" s="39"/>
      <c r="R707" s="13">
        <v>39239</v>
      </c>
      <c r="S707" s="94">
        <f t="shared" si="18"/>
        <v>585</v>
      </c>
      <c r="T707" s="106">
        <f t="shared" si="20"/>
        <v>1528.375</v>
      </c>
      <c r="U707" s="109">
        <f t="shared" si="21"/>
        <v>971.4375</v>
      </c>
      <c r="V707" s="109">
        <f t="shared" si="22"/>
        <v>3617.25</v>
      </c>
      <c r="W707" s="110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5">
      <c r="A708" s="105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3"/>
      <c r="Q708" s="39"/>
      <c r="R708" s="13">
        <v>39246</v>
      </c>
      <c r="S708" s="94">
        <f t="shared" si="18"/>
        <v>620.58333333333337</v>
      </c>
      <c r="T708" s="106">
        <f t="shared" si="20"/>
        <v>1706.125</v>
      </c>
      <c r="U708" s="109">
        <f t="shared" si="21"/>
        <v>874</v>
      </c>
      <c r="V708" s="109">
        <f t="shared" si="22"/>
        <v>3555.9375</v>
      </c>
      <c r="W708" s="110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5">
      <c r="A709" s="105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3"/>
      <c r="Q709" s="39"/>
      <c r="R709" s="13">
        <v>39253</v>
      </c>
      <c r="S709" s="94">
        <f t="shared" si="18"/>
        <v>623.66666666666663</v>
      </c>
      <c r="T709" s="106">
        <f t="shared" si="20"/>
        <v>1697.3125</v>
      </c>
      <c r="U709" s="109">
        <f t="shared" si="21"/>
        <v>814.25</v>
      </c>
      <c r="V709" s="109">
        <f t="shared" si="22"/>
        <v>3423</v>
      </c>
      <c r="W709" s="110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5">
      <c r="A710" s="105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3"/>
      <c r="Q710" s="39"/>
      <c r="R710" s="13">
        <v>39260</v>
      </c>
      <c r="S710" s="94">
        <f t="shared" si="18"/>
        <v>569.58333333333337</v>
      </c>
      <c r="T710" s="106">
        <f t="shared" si="20"/>
        <v>1794.5</v>
      </c>
      <c r="U710" s="109">
        <f t="shared" si="21"/>
        <v>788.75</v>
      </c>
      <c r="V710" s="109">
        <f t="shared" si="22"/>
        <v>3311.6875</v>
      </c>
      <c r="W710" s="110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5">
      <c r="A711" s="105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3"/>
      <c r="Q711" s="39"/>
      <c r="R711" s="13">
        <v>39267</v>
      </c>
      <c r="S711" s="94">
        <f t="shared" si="18"/>
        <v>592.75</v>
      </c>
      <c r="T711" s="106">
        <f t="shared" si="20"/>
        <v>1830.875</v>
      </c>
      <c r="U711" s="109">
        <f t="shared" si="21"/>
        <v>732.1875</v>
      </c>
      <c r="V711" s="109">
        <f t="shared" si="22"/>
        <v>3237.25</v>
      </c>
      <c r="W711" s="110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5">
      <c r="A712" s="105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3"/>
      <c r="Q712" s="39"/>
      <c r="R712" s="13">
        <v>39274</v>
      </c>
      <c r="S712" s="94">
        <f t="shared" si="18"/>
        <v>608.5</v>
      </c>
      <c r="T712" s="106">
        <f t="shared" si="20"/>
        <v>1727.6875</v>
      </c>
      <c r="U712" s="109">
        <f t="shared" si="21"/>
        <v>795.25</v>
      </c>
      <c r="V712" s="109">
        <f t="shared" si="22"/>
        <v>3195.875</v>
      </c>
      <c r="W712" s="110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5">
      <c r="A713" s="105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3"/>
      <c r="Q713" s="39"/>
      <c r="R713" s="13">
        <v>39281</v>
      </c>
      <c r="S713" s="94">
        <f t="shared" si="18"/>
        <v>696.58333333333337</v>
      </c>
      <c r="T713" s="106">
        <f t="shared" si="20"/>
        <v>1714.3125</v>
      </c>
      <c r="U713" s="109">
        <f t="shared" si="21"/>
        <v>849.875</v>
      </c>
      <c r="V713" s="109">
        <f t="shared" si="22"/>
        <v>3208.6875</v>
      </c>
      <c r="W713" s="110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5">
      <c r="A714" s="105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3"/>
      <c r="Q714" s="39"/>
      <c r="R714" s="13">
        <v>39288</v>
      </c>
      <c r="S714" s="94">
        <f t="shared" si="18"/>
        <v>745.58333333333337</v>
      </c>
      <c r="T714" s="106">
        <f t="shared" si="20"/>
        <v>1670</v>
      </c>
      <c r="U714" s="109">
        <f t="shared" si="21"/>
        <v>856.8125</v>
      </c>
      <c r="V714" s="109">
        <f t="shared" si="22"/>
        <v>3074.6875</v>
      </c>
      <c r="W714" s="110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5">
      <c r="A715" s="105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3"/>
      <c r="Q715" s="39"/>
      <c r="R715" s="13">
        <v>39295</v>
      </c>
      <c r="S715" s="94">
        <f t="shared" si="18"/>
        <v>742.41666666666663</v>
      </c>
      <c r="T715" s="106">
        <f t="shared" si="20"/>
        <v>1633.125</v>
      </c>
      <c r="U715" s="109">
        <f t="shared" si="21"/>
        <v>867.25</v>
      </c>
      <c r="V715" s="109">
        <f t="shared" si="22"/>
        <v>3139.9375</v>
      </c>
      <c r="W715" s="110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5">
      <c r="A716" s="105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3"/>
      <c r="Q716" s="39"/>
      <c r="R716" s="13">
        <v>39302</v>
      </c>
      <c r="S716" s="94">
        <f t="shared" si="18"/>
        <v>869.91666666666663</v>
      </c>
      <c r="T716" s="106">
        <f t="shared" si="20"/>
        <v>1688.875</v>
      </c>
      <c r="U716" s="109">
        <f t="shared" si="21"/>
        <v>806.1875</v>
      </c>
      <c r="V716" s="109">
        <f t="shared" si="22"/>
        <v>3112.0625</v>
      </c>
      <c r="W716" s="110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5">
      <c r="A717" s="105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3"/>
      <c r="Q717" s="39"/>
      <c r="R717" s="13">
        <v>39309</v>
      </c>
      <c r="S717" s="94">
        <f t="shared" ref="S717:S742" si="25">AVERAGE(B665,B613,B561)</f>
        <v>877.41666666666663</v>
      </c>
      <c r="T717" s="106">
        <f t="shared" si="20"/>
        <v>1839.6875</v>
      </c>
      <c r="U717" s="109">
        <f t="shared" si="21"/>
        <v>792.1875</v>
      </c>
      <c r="V717" s="109">
        <f t="shared" si="22"/>
        <v>3095.8125</v>
      </c>
      <c r="W717" s="110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5">
      <c r="A718" s="105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3"/>
      <c r="Q718" s="39"/>
      <c r="R718" s="13">
        <v>39316</v>
      </c>
      <c r="S718" s="94">
        <f t="shared" si="25"/>
        <v>981.83333333333337</v>
      </c>
      <c r="T718" s="106">
        <f t="shared" si="20"/>
        <v>1897.5625</v>
      </c>
      <c r="U718" s="109">
        <f t="shared" si="21"/>
        <v>776.125</v>
      </c>
      <c r="V718" s="109">
        <f t="shared" si="22"/>
        <v>3140.625</v>
      </c>
      <c r="W718" s="110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5">
      <c r="A719" s="105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3"/>
      <c r="Q719" s="39"/>
      <c r="R719" s="13">
        <v>39323</v>
      </c>
      <c r="S719" s="94">
        <f t="shared" si="25"/>
        <v>1083.5</v>
      </c>
      <c r="T719" s="106">
        <f t="shared" si="20"/>
        <v>1929.0625</v>
      </c>
      <c r="U719" s="109">
        <f t="shared" si="21"/>
        <v>807.8125</v>
      </c>
      <c r="V719" s="109">
        <f t="shared" si="22"/>
        <v>3284.9375</v>
      </c>
      <c r="W719" s="110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5">
      <c r="A720" s="105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3"/>
      <c r="Q720" s="39"/>
      <c r="R720" s="13">
        <v>39330</v>
      </c>
      <c r="S720" s="94">
        <f t="shared" si="25"/>
        <v>967.91666666666663</v>
      </c>
      <c r="T720" s="106">
        <f t="shared" si="20"/>
        <v>1949.75</v>
      </c>
      <c r="U720" s="109">
        <f t="shared" si="21"/>
        <v>827</v>
      </c>
      <c r="V720" s="109">
        <f t="shared" si="22"/>
        <v>3349.6875</v>
      </c>
      <c r="W720" s="110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5">
      <c r="A721" s="105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3"/>
      <c r="Q721" s="39"/>
      <c r="R721" s="13">
        <v>39337</v>
      </c>
      <c r="S721" s="94">
        <f t="shared" si="25"/>
        <v>1039.4166666666667</v>
      </c>
      <c r="T721" s="106">
        <f t="shared" si="20"/>
        <v>1992.4375</v>
      </c>
      <c r="U721" s="109">
        <f t="shared" si="21"/>
        <v>867.625</v>
      </c>
      <c r="V721" s="109">
        <f t="shared" si="22"/>
        <v>3394.5625</v>
      </c>
      <c r="W721" s="110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5">
      <c r="A722" s="105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3"/>
      <c r="Q722" s="39"/>
      <c r="R722" s="13">
        <v>39344</v>
      </c>
      <c r="S722" s="94">
        <f t="shared" si="25"/>
        <v>1109.0833333333333</v>
      </c>
      <c r="T722" s="106">
        <f t="shared" si="20"/>
        <v>2037.0625</v>
      </c>
      <c r="U722" s="109">
        <f t="shared" si="21"/>
        <v>948.4375</v>
      </c>
      <c r="V722" s="109">
        <f t="shared" si="22"/>
        <v>3389.75</v>
      </c>
      <c r="W722" s="110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5">
      <c r="A723" s="105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3"/>
      <c r="Q723" s="39"/>
      <c r="R723" s="13">
        <v>39351</v>
      </c>
      <c r="S723" s="94">
        <f t="shared" si="25"/>
        <v>1239.6666666666667</v>
      </c>
      <c r="T723" s="106">
        <f t="shared" si="20"/>
        <v>1991.6875</v>
      </c>
      <c r="U723" s="109">
        <f t="shared" si="21"/>
        <v>957.6875</v>
      </c>
      <c r="V723" s="109">
        <f t="shared" si="22"/>
        <v>3348.6875</v>
      </c>
      <c r="W723" s="110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5">
      <c r="A724" s="105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3"/>
      <c r="Q724" s="39"/>
      <c r="R724" s="13">
        <v>39358</v>
      </c>
      <c r="S724" s="94">
        <f t="shared" si="25"/>
        <v>1528.75</v>
      </c>
      <c r="T724" s="106">
        <f t="shared" si="20"/>
        <v>2065.625</v>
      </c>
      <c r="U724" s="109">
        <f t="shared" si="21"/>
        <v>1054.125</v>
      </c>
      <c r="V724" s="109">
        <f t="shared" si="22"/>
        <v>3542.5625</v>
      </c>
      <c r="W724" s="110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5">
      <c r="A725" s="105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3"/>
      <c r="Q725" s="39"/>
      <c r="R725" s="13">
        <v>39365</v>
      </c>
      <c r="S725" s="94">
        <f t="shared" si="25"/>
        <v>1778.75</v>
      </c>
      <c r="T725" s="106">
        <f t="shared" si="20"/>
        <v>1968.25</v>
      </c>
      <c r="U725" s="109">
        <f t="shared" si="21"/>
        <v>1149.4375</v>
      </c>
      <c r="V725" s="109">
        <f t="shared" si="22"/>
        <v>4022.5625</v>
      </c>
      <c r="W725" s="110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5">
      <c r="A726" s="105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3"/>
      <c r="Q726" s="39"/>
      <c r="R726" s="13">
        <v>39372</v>
      </c>
      <c r="S726" s="94">
        <f t="shared" si="25"/>
        <v>1925.5</v>
      </c>
      <c r="T726" s="106">
        <f t="shared" si="20"/>
        <v>1850.125</v>
      </c>
      <c r="U726" s="109">
        <f t="shared" si="21"/>
        <v>1171.3125</v>
      </c>
      <c r="V726" s="109">
        <f t="shared" si="22"/>
        <v>4522.4375</v>
      </c>
      <c r="W726" s="110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5">
      <c r="A727" s="105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3"/>
      <c r="Q727" s="39"/>
      <c r="R727" s="13">
        <v>39379</v>
      </c>
      <c r="S727" s="94">
        <f t="shared" si="25"/>
        <v>2036.5</v>
      </c>
      <c r="T727" s="106">
        <f t="shared" si="20"/>
        <v>1881.5</v>
      </c>
      <c r="U727" s="109">
        <f t="shared" si="21"/>
        <v>1200.875</v>
      </c>
      <c r="V727" s="109">
        <f t="shared" si="22"/>
        <v>4843.3125</v>
      </c>
      <c r="W727" s="110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5">
      <c r="A728" s="105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3"/>
      <c r="Q728" s="39"/>
      <c r="R728" s="13">
        <v>39386</v>
      </c>
      <c r="S728" s="94">
        <f t="shared" si="25"/>
        <v>2050</v>
      </c>
      <c r="T728" s="106">
        <f t="shared" si="20"/>
        <v>1677.125</v>
      </c>
      <c r="U728" s="109">
        <f t="shared" si="21"/>
        <v>1210.875</v>
      </c>
      <c r="V728" s="109">
        <f t="shared" si="22"/>
        <v>4997.6875</v>
      </c>
      <c r="W728" s="110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5">
      <c r="A729" s="105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3"/>
      <c r="Q729" s="39"/>
      <c r="R729" s="13">
        <v>39393</v>
      </c>
      <c r="S729" s="94">
        <f t="shared" si="25"/>
        <v>1951.9166666666667</v>
      </c>
      <c r="T729" s="106">
        <f t="shared" si="20"/>
        <v>1656.75</v>
      </c>
      <c r="U729" s="109">
        <f t="shared" si="21"/>
        <v>1178.5</v>
      </c>
      <c r="V729" s="109">
        <f t="shared" si="22"/>
        <v>4743.375</v>
      </c>
      <c r="W729" s="110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5">
      <c r="A730" s="105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3"/>
      <c r="Q730" s="39"/>
      <c r="R730" s="13">
        <v>39400</v>
      </c>
      <c r="S730" s="94">
        <f t="shared" si="25"/>
        <v>1907.6666666666667</v>
      </c>
      <c r="T730" s="106">
        <f t="shared" si="20"/>
        <v>1727.0625</v>
      </c>
      <c r="U730" s="109">
        <f t="shared" si="21"/>
        <v>1115.625</v>
      </c>
      <c r="V730" s="109">
        <f t="shared" si="22"/>
        <v>4534.3125</v>
      </c>
      <c r="W730" s="110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5">
      <c r="A731" s="105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3"/>
      <c r="Q731" s="39"/>
      <c r="R731" s="13">
        <v>39407</v>
      </c>
      <c r="S731" s="94">
        <f t="shared" si="25"/>
        <v>1842</v>
      </c>
      <c r="T731" s="106">
        <f t="shared" si="20"/>
        <v>1788.5625</v>
      </c>
      <c r="U731" s="109">
        <f t="shared" si="21"/>
        <v>1158.6875</v>
      </c>
      <c r="V731" s="109">
        <f t="shared" si="22"/>
        <v>4540.5</v>
      </c>
      <c r="W731" s="110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5">
      <c r="A732" s="105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3"/>
      <c r="Q732" s="39"/>
      <c r="R732" s="13">
        <v>39414</v>
      </c>
      <c r="S732" s="94">
        <f t="shared" si="25"/>
        <v>1656.1666666666667</v>
      </c>
      <c r="T732" s="106">
        <f t="shared" si="20"/>
        <v>1956.625</v>
      </c>
      <c r="U732" s="109">
        <f t="shared" si="21"/>
        <v>1144.9375</v>
      </c>
      <c r="V732" s="109">
        <f t="shared" si="22"/>
        <v>4373.125</v>
      </c>
      <c r="W732" s="110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5">
      <c r="A733" s="105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3"/>
      <c r="Q733" s="39"/>
      <c r="R733" s="13">
        <v>39421</v>
      </c>
      <c r="S733" s="94">
        <f t="shared" si="25"/>
        <v>1607.8333333333333</v>
      </c>
      <c r="T733" s="106">
        <f t="shared" si="20"/>
        <v>1957.3125</v>
      </c>
      <c r="U733" s="109">
        <f t="shared" si="21"/>
        <v>1201.9375</v>
      </c>
      <c r="V733" s="109">
        <f t="shared" si="22"/>
        <v>4283.75</v>
      </c>
      <c r="W733" s="110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5">
      <c r="A734" s="105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3"/>
      <c r="Q734" s="39"/>
      <c r="R734" s="13">
        <v>39428</v>
      </c>
      <c r="S734" s="94">
        <f t="shared" si="25"/>
        <v>1510.5</v>
      </c>
      <c r="T734" s="106">
        <f t="shared" si="20"/>
        <v>1986</v>
      </c>
      <c r="U734" s="109">
        <f t="shared" si="21"/>
        <v>1302.9375</v>
      </c>
      <c r="V734" s="109">
        <f t="shared" si="22"/>
        <v>4294.6875</v>
      </c>
      <c r="W734" s="110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5">
      <c r="A735" s="105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3"/>
      <c r="Q735" s="39"/>
      <c r="R735" s="13">
        <v>39435</v>
      </c>
      <c r="S735" s="94">
        <f t="shared" si="25"/>
        <v>1447.6666666666667</v>
      </c>
      <c r="T735" s="106">
        <f t="shared" si="20"/>
        <v>1935.6875</v>
      </c>
      <c r="U735" s="109">
        <f t="shared" si="21"/>
        <v>1394.9375</v>
      </c>
      <c r="V735" s="109">
        <f t="shared" si="22"/>
        <v>4183.125</v>
      </c>
      <c r="W735" s="110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5">
      <c r="A736" s="105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3"/>
      <c r="Q736" s="39"/>
      <c r="R736" s="13">
        <v>39442</v>
      </c>
      <c r="S736" s="94">
        <f t="shared" si="25"/>
        <v>1485.5833333333333</v>
      </c>
      <c r="T736" s="106">
        <f t="shared" si="20"/>
        <v>1835.3125</v>
      </c>
      <c r="U736" s="109">
        <f t="shared" si="21"/>
        <v>1396.75</v>
      </c>
      <c r="V736" s="109">
        <f t="shared" si="22"/>
        <v>4063.0625</v>
      </c>
      <c r="W736" s="110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5">
      <c r="A737" s="105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3"/>
      <c r="Q737" s="39"/>
      <c r="R737" s="13">
        <v>39449</v>
      </c>
      <c r="S737" s="94">
        <f t="shared" si="25"/>
        <v>1422.0833333333333</v>
      </c>
      <c r="T737" s="106">
        <f t="shared" si="20"/>
        <v>1909.0625</v>
      </c>
      <c r="U737" s="109">
        <f t="shared" si="21"/>
        <v>1319.75</v>
      </c>
      <c r="V737" s="109">
        <f t="shared" si="22"/>
        <v>4001.5</v>
      </c>
      <c r="W737" s="110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5">
      <c r="A738" s="105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3"/>
      <c r="Q738" s="39"/>
      <c r="R738" s="13">
        <v>39456</v>
      </c>
      <c r="S738" s="94">
        <f t="shared" si="25"/>
        <v>1451.6666666666667</v>
      </c>
      <c r="T738" s="106">
        <f t="shared" si="20"/>
        <v>1873.3125</v>
      </c>
      <c r="U738" s="109">
        <f t="shared" si="21"/>
        <v>1107.0625</v>
      </c>
      <c r="V738" s="109">
        <f t="shared" si="22"/>
        <v>3899.25</v>
      </c>
      <c r="W738" s="110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5">
      <c r="A739" s="105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3"/>
      <c r="Q739" s="39"/>
      <c r="R739" s="13">
        <v>39463</v>
      </c>
      <c r="S739" s="94">
        <f t="shared" si="25"/>
        <v>1597.5833333333333</v>
      </c>
      <c r="T739" s="106">
        <f t="shared" si="20"/>
        <v>1928.75</v>
      </c>
      <c r="U739" s="109">
        <f t="shared" si="21"/>
        <v>948.75</v>
      </c>
      <c r="V739" s="109">
        <f t="shared" si="22"/>
        <v>3793.875</v>
      </c>
      <c r="W739" s="110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5">
      <c r="A740" s="105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1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1">
        <f>AVERAGE('Weekly Data'!I688,'Weekly Data'!I636,'Weekly Data'!I584,'Weekly Data'!I532)</f>
        <v>9194.75</v>
      </c>
      <c r="P740" s="203"/>
      <c r="Q740" s="39"/>
      <c r="R740" s="13">
        <v>39470</v>
      </c>
      <c r="S740" s="94">
        <f t="shared" si="25"/>
        <v>1785.6666666666667</v>
      </c>
      <c r="T740" s="106">
        <f t="shared" si="20"/>
        <v>2041.625</v>
      </c>
      <c r="U740" s="109">
        <f t="shared" si="21"/>
        <v>846.1875</v>
      </c>
      <c r="V740" s="109">
        <f t="shared" si="22"/>
        <v>4050.25</v>
      </c>
      <c r="W740" s="110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5">
      <c r="A741" s="105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1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1">
        <f>AVERAGE('Weekly Data'!I689,'Weekly Data'!I637,'Weekly Data'!I585,'Weekly Data'!I533)</f>
        <v>8701</v>
      </c>
      <c r="P741" s="203"/>
      <c r="Q741" s="39"/>
      <c r="R741" s="13">
        <v>39477</v>
      </c>
      <c r="S741" s="94">
        <f t="shared" si="25"/>
        <v>1871.75</v>
      </c>
      <c r="T741" s="106">
        <f t="shared" si="20"/>
        <v>2061.4375</v>
      </c>
      <c r="U741" s="109">
        <f t="shared" si="21"/>
        <v>768.125</v>
      </c>
      <c r="V741" s="109">
        <f t="shared" si="22"/>
        <v>4281.3125</v>
      </c>
      <c r="W741" s="110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5">
      <c r="A742" s="105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1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1">
        <f>AVERAGE('Weekly Data'!I690,'Weekly Data'!I638,'Weekly Data'!I586,'Weekly Data'!I534)</f>
        <v>8360.75</v>
      </c>
      <c r="P742" s="203"/>
      <c r="Q742" s="39"/>
      <c r="R742" s="13">
        <v>39484</v>
      </c>
      <c r="S742" s="94">
        <f t="shared" si="25"/>
        <v>1928.6666666666667</v>
      </c>
      <c r="T742" s="106">
        <f t="shared" si="20"/>
        <v>2092.8125</v>
      </c>
      <c r="U742" s="109">
        <f t="shared" si="21"/>
        <v>800.9375</v>
      </c>
      <c r="V742" s="109">
        <f t="shared" si="22"/>
        <v>4341.25</v>
      </c>
      <c r="W742" s="110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5">
      <c r="A743" s="105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1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1">
        <f>AVERAGE('Weekly Data'!I691,'Weekly Data'!I639,'Weekly Data'!I587,'Weekly Data'!I535)</f>
        <v>9356.5</v>
      </c>
      <c r="P743" s="203"/>
      <c r="Q743" s="39"/>
      <c r="R743" s="13">
        <v>39491</v>
      </c>
      <c r="S743" s="106">
        <f t="shared" ref="S743:X743" si="27">AVERAGE(B691,B639,B587,B534)</f>
        <v>1687.9375</v>
      </c>
      <c r="T743" s="106">
        <f t="shared" si="27"/>
        <v>2103.4375</v>
      </c>
      <c r="U743" s="109">
        <f t="shared" si="27"/>
        <v>810.5</v>
      </c>
      <c r="V743" s="109">
        <f t="shared" si="27"/>
        <v>4596.0625</v>
      </c>
      <c r="W743" s="110">
        <f t="shared" si="27"/>
        <v>505.75</v>
      </c>
      <c r="X743" s="106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5">
      <c r="A744" s="105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1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1">
        <f>AVERAGE('Weekly Data'!I692,'Weekly Data'!I640,'Weekly Data'!I588,'Weekly Data'!I536)</f>
        <v>8512.75</v>
      </c>
      <c r="P744" s="203"/>
      <c r="Q744" s="39"/>
      <c r="R744" s="13">
        <v>39498</v>
      </c>
      <c r="S744" s="106">
        <f t="shared" ref="S744:S807" si="28">AVERAGE(B692,B640,B588,B535)</f>
        <v>1573.1875</v>
      </c>
      <c r="T744" s="106">
        <f t="shared" ref="T744:T807" si="29">AVERAGE(C692,C640,C588,C535)</f>
        <v>2066</v>
      </c>
      <c r="U744" s="109">
        <f t="shared" ref="U744:U807" si="30">AVERAGE(D692,D640,D588,D535)</f>
        <v>789.1875</v>
      </c>
      <c r="V744" s="109">
        <f t="shared" ref="V744:V807" si="31">AVERAGE(E692,E640,E588,E535)</f>
        <v>4562.6875</v>
      </c>
      <c r="W744" s="110">
        <f t="shared" ref="W744:W807" si="32">AVERAGE(F692,F640,F588,F535)</f>
        <v>479.625</v>
      </c>
      <c r="X744" s="106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5">
      <c r="A745" s="105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1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1">
        <f>AVERAGE('Weekly Data'!I693,'Weekly Data'!I641,'Weekly Data'!I589,'Weekly Data'!I537)</f>
        <v>8655</v>
      </c>
      <c r="P745" s="203"/>
      <c r="Q745" s="39"/>
      <c r="R745" s="13">
        <v>39505</v>
      </c>
      <c r="S745" s="106">
        <f t="shared" si="28"/>
        <v>1563</v>
      </c>
      <c r="T745" s="106">
        <f t="shared" si="29"/>
        <v>2057.125</v>
      </c>
      <c r="U745" s="109">
        <f t="shared" si="30"/>
        <v>904.8125</v>
      </c>
      <c r="V745" s="109">
        <f t="shared" si="31"/>
        <v>4607</v>
      </c>
      <c r="W745" s="110">
        <f t="shared" si="32"/>
        <v>460.125</v>
      </c>
      <c r="X745" s="106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5">
      <c r="A746" s="105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1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1">
        <f>AVERAGE('Weekly Data'!I694,'Weekly Data'!I642,'Weekly Data'!I590,'Weekly Data'!I538)</f>
        <v>8908</v>
      </c>
      <c r="P746" s="203"/>
      <c r="Q746" s="39"/>
      <c r="R746" s="13">
        <v>39512</v>
      </c>
      <c r="S746" s="106">
        <f t="shared" si="28"/>
        <v>1570.6875</v>
      </c>
      <c r="T746" s="106">
        <f t="shared" si="29"/>
        <v>2059.0625</v>
      </c>
      <c r="U746" s="109">
        <f t="shared" si="30"/>
        <v>1049.1875</v>
      </c>
      <c r="V746" s="109">
        <f t="shared" si="31"/>
        <v>4739.6875</v>
      </c>
      <c r="W746" s="110">
        <f t="shared" si="32"/>
        <v>487.9375</v>
      </c>
      <c r="X746" s="106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5">
      <c r="A747" s="105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1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1">
        <f>AVERAGE('Weekly Data'!I695,'Weekly Data'!I643,'Weekly Data'!I591,'Weekly Data'!I539)</f>
        <v>8680</v>
      </c>
      <c r="P747" s="203"/>
      <c r="Q747" s="39"/>
      <c r="R747" s="13">
        <v>39519</v>
      </c>
      <c r="S747" s="106">
        <f t="shared" si="28"/>
        <v>1461.1875</v>
      </c>
      <c r="T747" s="106">
        <f t="shared" si="29"/>
        <v>2125.1875</v>
      </c>
      <c r="U747" s="109">
        <f t="shared" si="30"/>
        <v>1030.625</v>
      </c>
      <c r="V747" s="109">
        <f t="shared" si="31"/>
        <v>4707.25</v>
      </c>
      <c r="W747" s="110">
        <f t="shared" si="32"/>
        <v>421.0625</v>
      </c>
      <c r="X747" s="106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5">
      <c r="A748" s="105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1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1">
        <f>AVERAGE('Weekly Data'!I696,'Weekly Data'!I644,'Weekly Data'!I592,'Weekly Data'!I540)</f>
        <v>7976</v>
      </c>
      <c r="P748" s="203"/>
      <c r="Q748" s="39"/>
      <c r="R748" s="13">
        <v>39526</v>
      </c>
      <c r="S748" s="106">
        <f t="shared" si="28"/>
        <v>1418.4375</v>
      </c>
      <c r="T748" s="106">
        <f t="shared" si="29"/>
        <v>2111.125</v>
      </c>
      <c r="U748" s="109">
        <f t="shared" si="30"/>
        <v>1149.4375</v>
      </c>
      <c r="V748" s="109">
        <f t="shared" si="31"/>
        <v>4667.625</v>
      </c>
      <c r="W748" s="110">
        <f t="shared" si="32"/>
        <v>415.9375</v>
      </c>
      <c r="X748" s="106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5">
      <c r="A749" s="105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1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1">
        <f>AVERAGE('Weekly Data'!I697,'Weekly Data'!I645,'Weekly Data'!I593,'Weekly Data'!I541)</f>
        <v>7657.25</v>
      </c>
      <c r="P749" s="203"/>
      <c r="Q749" s="39"/>
      <c r="R749" s="13">
        <v>39533</v>
      </c>
      <c r="S749" s="106">
        <f t="shared" si="28"/>
        <v>1269.3125</v>
      </c>
      <c r="T749" s="106">
        <f t="shared" si="29"/>
        <v>2056.8125</v>
      </c>
      <c r="U749" s="109">
        <f t="shared" si="30"/>
        <v>1103.75</v>
      </c>
      <c r="V749" s="109">
        <f t="shared" si="31"/>
        <v>4663.4375</v>
      </c>
      <c r="W749" s="110">
        <f t="shared" si="32"/>
        <v>383.9375</v>
      </c>
      <c r="X749" s="106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5">
      <c r="A750" s="105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1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1">
        <f>AVERAGE('Weekly Data'!I698,'Weekly Data'!I646,'Weekly Data'!I594,'Weekly Data'!I542)</f>
        <v>7271.25</v>
      </c>
      <c r="P750" s="203"/>
      <c r="Q750" s="39"/>
      <c r="R750" s="13">
        <v>39540</v>
      </c>
      <c r="S750" s="106">
        <f t="shared" si="28"/>
        <v>1081.5</v>
      </c>
      <c r="T750" s="106">
        <f t="shared" si="29"/>
        <v>2024.375</v>
      </c>
      <c r="U750" s="109">
        <f t="shared" si="30"/>
        <v>1093.75</v>
      </c>
      <c r="V750" s="109">
        <f t="shared" si="31"/>
        <v>4563.9375</v>
      </c>
      <c r="W750" s="110">
        <f t="shared" si="32"/>
        <v>356.5625</v>
      </c>
      <c r="X750" s="106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5">
      <c r="A751" s="105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1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1">
        <f>AVERAGE('Weekly Data'!I699,'Weekly Data'!I647,'Weekly Data'!I595,'Weekly Data'!I543)</f>
        <v>6799.5</v>
      </c>
      <c r="P751" s="203"/>
      <c r="Q751" s="39"/>
      <c r="R751" s="13">
        <v>39547</v>
      </c>
      <c r="S751" s="106">
        <f t="shared" si="28"/>
        <v>1003.0625</v>
      </c>
      <c r="T751" s="106">
        <f t="shared" si="29"/>
        <v>1849</v>
      </c>
      <c r="U751" s="109">
        <f t="shared" si="30"/>
        <v>1148.1875</v>
      </c>
      <c r="V751" s="109">
        <f t="shared" si="31"/>
        <v>4382.125</v>
      </c>
      <c r="W751" s="110">
        <f t="shared" si="32"/>
        <v>318.625</v>
      </c>
      <c r="X751" s="106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5">
      <c r="A752" s="105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1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1">
        <f>AVERAGE('Weekly Data'!I700,'Weekly Data'!I648,'Weekly Data'!I596,'Weekly Data'!I544)</f>
        <v>6529.25</v>
      </c>
      <c r="P752" s="203"/>
      <c r="Q752" s="39"/>
      <c r="R752" s="13">
        <v>39554</v>
      </c>
      <c r="S752" s="106">
        <f t="shared" si="28"/>
        <v>830.0625</v>
      </c>
      <c r="T752" s="106">
        <f t="shared" si="29"/>
        <v>1853.5625</v>
      </c>
      <c r="U752" s="109">
        <f t="shared" si="30"/>
        <v>1116.25</v>
      </c>
      <c r="V752" s="109">
        <f t="shared" si="31"/>
        <v>4259.5</v>
      </c>
      <c r="W752" s="110">
        <f t="shared" si="32"/>
        <v>276.125</v>
      </c>
      <c r="X752" s="106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5">
      <c r="A753" s="105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1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1">
        <f>AVERAGE('Weekly Data'!I701,'Weekly Data'!I649,'Weekly Data'!I597,'Weekly Data'!I545)</f>
        <v>6957</v>
      </c>
      <c r="P753" s="203"/>
      <c r="Q753" s="39"/>
      <c r="R753" s="13">
        <v>39561</v>
      </c>
      <c r="S753" s="106">
        <f t="shared" si="28"/>
        <v>768.4375</v>
      </c>
      <c r="T753" s="106">
        <f t="shared" si="29"/>
        <v>1787.875</v>
      </c>
      <c r="U753" s="109">
        <f t="shared" si="30"/>
        <v>1181.6875</v>
      </c>
      <c r="V753" s="109">
        <f t="shared" si="31"/>
        <v>4116.625</v>
      </c>
      <c r="W753" s="110">
        <f t="shared" si="32"/>
        <v>249.125</v>
      </c>
      <c r="X753" s="106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5">
      <c r="A754" s="105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1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1">
        <f>AVERAGE('Weekly Data'!I702,'Weekly Data'!I650,'Weekly Data'!I598,'Weekly Data'!I546)</f>
        <v>6847</v>
      </c>
      <c r="P754" s="203"/>
      <c r="Q754" s="39"/>
      <c r="R754" s="13">
        <v>39568</v>
      </c>
      <c r="S754" s="106">
        <f t="shared" si="28"/>
        <v>684.875</v>
      </c>
      <c r="T754" s="106">
        <f t="shared" si="29"/>
        <v>1763.375</v>
      </c>
      <c r="U754" s="109">
        <f t="shared" si="30"/>
        <v>1314.6875</v>
      </c>
      <c r="V754" s="109">
        <f t="shared" si="31"/>
        <v>4069.9375</v>
      </c>
      <c r="W754" s="110">
        <f t="shared" si="32"/>
        <v>228.875</v>
      </c>
      <c r="X754" s="106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5">
      <c r="A755" s="105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1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1">
        <f>AVERAGE('Weekly Data'!I703,'Weekly Data'!I651,'Weekly Data'!I599,'Weekly Data'!I547)</f>
        <v>6533</v>
      </c>
      <c r="P755" s="203"/>
      <c r="Q755" s="39"/>
      <c r="R755" s="13">
        <v>39575</v>
      </c>
      <c r="S755" s="106">
        <f t="shared" si="28"/>
        <v>638.3125</v>
      </c>
      <c r="T755" s="106">
        <f t="shared" si="29"/>
        <v>1738.625</v>
      </c>
      <c r="U755" s="109">
        <f t="shared" si="30"/>
        <v>1291.25</v>
      </c>
      <c r="V755" s="109">
        <f t="shared" si="31"/>
        <v>4077.875</v>
      </c>
      <c r="W755" s="110">
        <f t="shared" si="32"/>
        <v>230.125</v>
      </c>
      <c r="X755" s="106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5">
      <c r="A756" s="105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1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1">
        <f>AVERAGE('Weekly Data'!I704,'Weekly Data'!I652,'Weekly Data'!I600,'Weekly Data'!I548)</f>
        <v>6090.25</v>
      </c>
      <c r="P756" s="203"/>
      <c r="Q756" s="39"/>
      <c r="R756" s="13">
        <v>39582</v>
      </c>
      <c r="S756" s="106">
        <f t="shared" si="28"/>
        <v>596.125</v>
      </c>
      <c r="T756" s="106">
        <f t="shared" si="29"/>
        <v>1651.375</v>
      </c>
      <c r="U756" s="109">
        <f t="shared" si="30"/>
        <v>1341.9375</v>
      </c>
      <c r="V756" s="109">
        <f t="shared" si="31"/>
        <v>4101.4375</v>
      </c>
      <c r="W756" s="110">
        <f t="shared" si="32"/>
        <v>221.125</v>
      </c>
      <c r="X756" s="106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5">
      <c r="A757" s="105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1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1">
        <f>AVERAGE('Weekly Data'!I705,'Weekly Data'!I653,'Weekly Data'!I601,'Weekly Data'!I549)</f>
        <v>6671.75</v>
      </c>
      <c r="P757" s="203"/>
      <c r="Q757" s="39"/>
      <c r="R757" s="13">
        <v>39589</v>
      </c>
      <c r="S757" s="106">
        <f t="shared" si="28"/>
        <v>536.8125</v>
      </c>
      <c r="T757" s="106">
        <f t="shared" si="29"/>
        <v>1645.4375</v>
      </c>
      <c r="U757" s="109">
        <f t="shared" si="30"/>
        <v>1251.4375</v>
      </c>
      <c r="V757" s="109">
        <f t="shared" si="31"/>
        <v>4114.75</v>
      </c>
      <c r="W757" s="110">
        <f t="shared" si="32"/>
        <v>220.75</v>
      </c>
      <c r="X757" s="106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5">
      <c r="A758" s="105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1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1">
        <f>AVERAGE('Weekly Data'!I706,'Weekly Data'!I654,'Weekly Data'!I602,'Weekly Data'!I550)</f>
        <v>6399.25</v>
      </c>
      <c r="P758" s="203"/>
      <c r="Q758" s="39"/>
      <c r="R758" s="13">
        <v>39596</v>
      </c>
      <c r="S758" s="106">
        <f t="shared" si="28"/>
        <v>544.6875</v>
      </c>
      <c r="T758" s="106">
        <f t="shared" si="29"/>
        <v>1523.5625</v>
      </c>
      <c r="U758" s="109">
        <f t="shared" si="30"/>
        <v>1107.25</v>
      </c>
      <c r="V758" s="109">
        <f t="shared" si="31"/>
        <v>4133.0625</v>
      </c>
      <c r="W758" s="110">
        <f t="shared" si="32"/>
        <v>211.0625</v>
      </c>
      <c r="X758" s="106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5">
      <c r="A759" s="105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1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1">
        <f>AVERAGE('Weekly Data'!I707,'Weekly Data'!I655,'Weekly Data'!I603,'Weekly Data'!I551)</f>
        <v>5867.75</v>
      </c>
      <c r="P759" s="203"/>
      <c r="Q759" s="39"/>
      <c r="R759" s="13">
        <v>39603</v>
      </c>
      <c r="S759" s="106">
        <f t="shared" si="28"/>
        <v>518.5625</v>
      </c>
      <c r="T759" s="106">
        <f t="shared" si="29"/>
        <v>1482.4375</v>
      </c>
      <c r="U759" s="109">
        <f t="shared" si="30"/>
        <v>1098.0625</v>
      </c>
      <c r="V759" s="109">
        <f t="shared" si="31"/>
        <v>4057.0625</v>
      </c>
      <c r="W759" s="110">
        <f t="shared" si="32"/>
        <v>176.375</v>
      </c>
      <c r="X759" s="106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5">
      <c r="A760" s="105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1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1">
        <f>AVERAGE('Weekly Data'!I708,'Weekly Data'!I656,'Weekly Data'!I604,'Weekly Data'!I552)</f>
        <v>6624.25</v>
      </c>
      <c r="P760" s="203"/>
      <c r="Q760" s="39"/>
      <c r="R760" s="13">
        <v>39610</v>
      </c>
      <c r="S760" s="106">
        <f t="shared" si="28"/>
        <v>547.75</v>
      </c>
      <c r="T760" s="106">
        <f t="shared" si="29"/>
        <v>1659.5625</v>
      </c>
      <c r="U760" s="109">
        <f t="shared" si="30"/>
        <v>929.25</v>
      </c>
      <c r="V760" s="109">
        <f t="shared" si="31"/>
        <v>3970.5625</v>
      </c>
      <c r="W760" s="110">
        <f t="shared" si="32"/>
        <v>170.25</v>
      </c>
      <c r="X760" s="106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5">
      <c r="A761" s="105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1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1">
        <f>AVERAGE('Weekly Data'!I709,'Weekly Data'!I657,'Weekly Data'!I605,'Weekly Data'!I553)</f>
        <v>5944</v>
      </c>
      <c r="P761" s="203"/>
      <c r="Q761" s="39"/>
      <c r="R761" s="13">
        <v>39617</v>
      </c>
      <c r="S761" s="106">
        <f t="shared" si="28"/>
        <v>558.625</v>
      </c>
      <c r="T761" s="106">
        <f t="shared" si="29"/>
        <v>1632.75</v>
      </c>
      <c r="U761" s="109">
        <f t="shared" si="30"/>
        <v>895.625</v>
      </c>
      <c r="V761" s="109">
        <f t="shared" si="31"/>
        <v>3916.3125</v>
      </c>
      <c r="W761" s="110">
        <f t="shared" si="32"/>
        <v>167.8125</v>
      </c>
      <c r="X761" s="106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5">
      <c r="A762" s="105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1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1">
        <f>AVERAGE('Weekly Data'!I710,'Weekly Data'!I658,'Weekly Data'!I606,'Weekly Data'!I554)</f>
        <v>6605</v>
      </c>
      <c r="P762" s="203"/>
      <c r="Q762" s="39"/>
      <c r="R762" s="13">
        <v>39624</v>
      </c>
      <c r="S762" s="106">
        <f t="shared" si="28"/>
        <v>541.1875</v>
      </c>
      <c r="T762" s="106">
        <f t="shared" si="29"/>
        <v>1800.0625</v>
      </c>
      <c r="U762" s="109">
        <f t="shared" si="30"/>
        <v>775.25</v>
      </c>
      <c r="V762" s="109">
        <f t="shared" si="31"/>
        <v>3854.75</v>
      </c>
      <c r="W762" s="110">
        <f t="shared" si="32"/>
        <v>162.25</v>
      </c>
      <c r="X762" s="106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5">
      <c r="A763" s="105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1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1">
        <f>AVERAGE('Weekly Data'!I711,'Weekly Data'!I659,'Weekly Data'!I607,'Weekly Data'!I555)</f>
        <v>5455.75</v>
      </c>
      <c r="P763" s="203"/>
      <c r="Q763" s="39"/>
      <c r="R763" s="13">
        <v>39631</v>
      </c>
      <c r="S763" s="106">
        <f t="shared" si="28"/>
        <v>515.75</v>
      </c>
      <c r="T763" s="106">
        <f t="shared" si="29"/>
        <v>1888.0625</v>
      </c>
      <c r="U763" s="109">
        <f t="shared" si="30"/>
        <v>759.25</v>
      </c>
      <c r="V763" s="109">
        <f t="shared" si="31"/>
        <v>3645.6875</v>
      </c>
      <c r="W763" s="110">
        <f t="shared" si="32"/>
        <v>189.4375</v>
      </c>
      <c r="X763" s="106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5">
      <c r="A764" s="105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1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1">
        <f>AVERAGE('Weekly Data'!I712,'Weekly Data'!I660,'Weekly Data'!I608,'Weekly Data'!I556)</f>
        <v>6072</v>
      </c>
      <c r="P764" s="203"/>
      <c r="Q764" s="39"/>
      <c r="R764" s="13">
        <v>39638</v>
      </c>
      <c r="S764" s="106">
        <f t="shared" si="28"/>
        <v>506.5625</v>
      </c>
      <c r="T764" s="106">
        <f t="shared" si="29"/>
        <v>1784.625</v>
      </c>
      <c r="U764" s="109">
        <f t="shared" si="30"/>
        <v>848.125</v>
      </c>
      <c r="V764" s="109">
        <f t="shared" si="31"/>
        <v>3630.1875</v>
      </c>
      <c r="W764" s="110">
        <f t="shared" si="32"/>
        <v>198.75</v>
      </c>
      <c r="X764" s="106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5">
      <c r="A765" s="105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1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1">
        <f>AVERAGE('Weekly Data'!I713,'Weekly Data'!I661,'Weekly Data'!I609,'Weekly Data'!I557)</f>
        <v>6002</v>
      </c>
      <c r="P765" s="203"/>
      <c r="Q765" s="39"/>
      <c r="R765" s="13">
        <v>39645</v>
      </c>
      <c r="S765" s="106">
        <f t="shared" si="28"/>
        <v>592.6875</v>
      </c>
      <c r="T765" s="106">
        <f t="shared" si="29"/>
        <v>1787.6875</v>
      </c>
      <c r="U765" s="109">
        <f t="shared" si="30"/>
        <v>838</v>
      </c>
      <c r="V765" s="109">
        <f t="shared" si="31"/>
        <v>3476.5625</v>
      </c>
      <c r="W765" s="110">
        <f t="shared" si="32"/>
        <v>196.9375</v>
      </c>
      <c r="X765" s="106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5">
      <c r="A766" s="105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1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1">
        <f>AVERAGE('Weekly Data'!I714,'Weekly Data'!I662,'Weekly Data'!I610,'Weekly Data'!I558)</f>
        <v>5526.5</v>
      </c>
      <c r="P766" s="203"/>
      <c r="Q766" s="39"/>
      <c r="R766" s="13">
        <v>39652</v>
      </c>
      <c r="S766" s="106">
        <f t="shared" si="28"/>
        <v>655.875</v>
      </c>
      <c r="T766" s="106">
        <f t="shared" si="29"/>
        <v>1660.375</v>
      </c>
      <c r="U766" s="109">
        <f t="shared" si="30"/>
        <v>862.375</v>
      </c>
      <c r="V766" s="109">
        <f t="shared" si="31"/>
        <v>3298.3125</v>
      </c>
      <c r="W766" s="110">
        <f t="shared" si="32"/>
        <v>202.125</v>
      </c>
      <c r="X766" s="106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5">
      <c r="A767" s="105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1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1">
        <f>AVERAGE('Weekly Data'!I715,'Weekly Data'!I663,'Weekly Data'!I611,'Weekly Data'!I559)</f>
        <v>6188.75</v>
      </c>
      <c r="P767" s="203"/>
      <c r="Q767" s="39"/>
      <c r="R767" s="13">
        <v>39659</v>
      </c>
      <c r="S767" s="106">
        <f t="shared" si="28"/>
        <v>679.5</v>
      </c>
      <c r="T767" s="106">
        <f t="shared" si="29"/>
        <v>1697.875</v>
      </c>
      <c r="U767" s="109">
        <f t="shared" si="30"/>
        <v>823.6875</v>
      </c>
      <c r="V767" s="109">
        <f t="shared" si="31"/>
        <v>3457.9375</v>
      </c>
      <c r="W767" s="110">
        <f t="shared" si="32"/>
        <v>210.75</v>
      </c>
      <c r="X767" s="106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5">
      <c r="A768" s="105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1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1">
        <f>AVERAGE('Weekly Data'!I716,'Weekly Data'!I664,'Weekly Data'!I612,'Weekly Data'!I560)</f>
        <v>6678.25</v>
      </c>
      <c r="P768" s="203"/>
      <c r="Q768" s="39"/>
      <c r="R768" s="13">
        <v>39666</v>
      </c>
      <c r="S768" s="106">
        <f t="shared" si="28"/>
        <v>784.625</v>
      </c>
      <c r="T768" s="106">
        <f t="shared" si="29"/>
        <v>1704.3125</v>
      </c>
      <c r="U768" s="109">
        <f t="shared" si="30"/>
        <v>787.875</v>
      </c>
      <c r="V768" s="109">
        <f t="shared" si="31"/>
        <v>3435.4375</v>
      </c>
      <c r="W768" s="110">
        <f t="shared" si="32"/>
        <v>222.625</v>
      </c>
      <c r="X768" s="106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5">
      <c r="A769" s="105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1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1">
        <f>AVERAGE('Weekly Data'!I717,'Weekly Data'!I665,'Weekly Data'!I613,'Weekly Data'!I561)</f>
        <v>7085</v>
      </c>
      <c r="P769" s="203"/>
      <c r="Q769" s="39"/>
      <c r="R769" s="13">
        <v>39673</v>
      </c>
      <c r="S769" s="106">
        <f t="shared" si="28"/>
        <v>798.8125</v>
      </c>
      <c r="T769" s="106">
        <f t="shared" si="29"/>
        <v>1852.75</v>
      </c>
      <c r="U769" s="109">
        <f t="shared" si="30"/>
        <v>770</v>
      </c>
      <c r="V769" s="109">
        <f t="shared" si="31"/>
        <v>3494.125</v>
      </c>
      <c r="W769" s="110">
        <f t="shared" si="32"/>
        <v>245.25</v>
      </c>
      <c r="X769" s="106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5">
      <c r="A770" s="105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1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1">
        <f>AVERAGE('Weekly Data'!I718,'Weekly Data'!I666,'Weekly Data'!I614,'Weekly Data'!I562)</f>
        <v>7439.5</v>
      </c>
      <c r="P770" s="203"/>
      <c r="Q770" s="39"/>
      <c r="R770" s="13">
        <v>39680</v>
      </c>
      <c r="S770" s="106">
        <f t="shared" si="28"/>
        <v>881.9375</v>
      </c>
      <c r="T770" s="106">
        <f t="shared" si="29"/>
        <v>2011.75</v>
      </c>
      <c r="U770" s="109">
        <f t="shared" si="30"/>
        <v>752.0625</v>
      </c>
      <c r="V770" s="109">
        <f t="shared" si="31"/>
        <v>3694.4375</v>
      </c>
      <c r="W770" s="110">
        <f t="shared" si="32"/>
        <v>254.25</v>
      </c>
      <c r="X770" s="106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5">
      <c r="A771" s="105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1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1">
        <f>AVERAGE('Weekly Data'!I719,'Weekly Data'!I667,'Weekly Data'!I615,'Weekly Data'!I563)</f>
        <v>7649.25</v>
      </c>
      <c r="P771" s="203"/>
      <c r="Q771" s="39"/>
      <c r="R771" s="13">
        <v>39687</v>
      </c>
      <c r="S771" s="106">
        <f t="shared" si="28"/>
        <v>1016</v>
      </c>
      <c r="T771" s="106">
        <f t="shared" si="29"/>
        <v>2034.5</v>
      </c>
      <c r="U771" s="109">
        <f t="shared" si="30"/>
        <v>738.25</v>
      </c>
      <c r="V771" s="109">
        <f t="shared" si="31"/>
        <v>3746.4375</v>
      </c>
      <c r="W771" s="110">
        <f t="shared" si="32"/>
        <v>315.625</v>
      </c>
      <c r="X771" s="106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5">
      <c r="A772" s="105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1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1">
        <f>AVERAGE('Weekly Data'!I720,'Weekly Data'!I668,'Weekly Data'!I616,'Weekly Data'!I564)</f>
        <v>6770</v>
      </c>
      <c r="P772" s="203"/>
      <c r="Q772" s="39"/>
      <c r="R772" s="13">
        <v>39694</v>
      </c>
      <c r="S772" s="106">
        <f t="shared" si="28"/>
        <v>990.75</v>
      </c>
      <c r="T772" s="106">
        <f t="shared" si="29"/>
        <v>2086.1875</v>
      </c>
      <c r="U772" s="109">
        <f t="shared" si="30"/>
        <v>791.6875</v>
      </c>
      <c r="V772" s="109">
        <f t="shared" si="31"/>
        <v>3808.6875</v>
      </c>
      <c r="W772" s="110">
        <f t="shared" si="32"/>
        <v>313.5625</v>
      </c>
      <c r="X772" s="106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5">
      <c r="A773" s="105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1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1">
        <f>AVERAGE('Weekly Data'!I721,'Weekly Data'!I669,'Weekly Data'!I617,'Weekly Data'!I565)</f>
        <v>7627.25</v>
      </c>
      <c r="P773" s="203"/>
      <c r="Q773" s="39"/>
      <c r="R773" s="13">
        <v>39701</v>
      </c>
      <c r="S773" s="106">
        <f t="shared" si="28"/>
        <v>1084.0625</v>
      </c>
      <c r="T773" s="106">
        <f t="shared" si="29"/>
        <v>2175.4375</v>
      </c>
      <c r="U773" s="109">
        <f t="shared" si="30"/>
        <v>813.3125</v>
      </c>
      <c r="V773" s="109">
        <f t="shared" si="31"/>
        <v>3739.9375</v>
      </c>
      <c r="W773" s="110">
        <f t="shared" si="32"/>
        <v>343.9375</v>
      </c>
      <c r="X773" s="106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5">
      <c r="A774" s="105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1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1">
        <f>AVERAGE('Weekly Data'!I722,'Weekly Data'!I670,'Weekly Data'!I618,'Weekly Data'!I566)</f>
        <v>7486</v>
      </c>
      <c r="P774" s="203"/>
      <c r="Q774" s="39"/>
      <c r="R774" s="13">
        <v>39708</v>
      </c>
      <c r="S774" s="106">
        <f t="shared" si="28"/>
        <v>1190.1875</v>
      </c>
      <c r="T774" s="106">
        <f t="shared" si="29"/>
        <v>2290.8125</v>
      </c>
      <c r="U774" s="109">
        <f t="shared" si="30"/>
        <v>919.1875</v>
      </c>
      <c r="V774" s="109">
        <f t="shared" si="31"/>
        <v>3558.9375</v>
      </c>
      <c r="W774" s="110">
        <f t="shared" si="32"/>
        <v>400.375</v>
      </c>
      <c r="X774" s="106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5">
      <c r="A775" s="105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1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1">
        <f>AVERAGE('Weekly Data'!I723,'Weekly Data'!I671,'Weekly Data'!I619,'Weekly Data'!I567)</f>
        <v>7926.25</v>
      </c>
      <c r="P775" s="203"/>
      <c r="Q775" s="39"/>
      <c r="R775" s="13">
        <v>39715</v>
      </c>
      <c r="S775" s="106">
        <f t="shared" si="28"/>
        <v>1295.0625</v>
      </c>
      <c r="T775" s="106">
        <f t="shared" si="29"/>
        <v>2297.5625</v>
      </c>
      <c r="U775" s="109">
        <f t="shared" si="30"/>
        <v>1003.0625</v>
      </c>
      <c r="V775" s="109">
        <f t="shared" si="31"/>
        <v>3444.75</v>
      </c>
      <c r="W775" s="110">
        <f t="shared" si="32"/>
        <v>406.9375</v>
      </c>
      <c r="X775" s="106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5">
      <c r="A776" s="105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1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1">
        <f>AVERAGE('Weekly Data'!I724,'Weekly Data'!I672,'Weekly Data'!I620,'Weekly Data'!I568)</f>
        <v>9167.75</v>
      </c>
      <c r="P776" s="203"/>
      <c r="Q776" s="39"/>
      <c r="R776" s="13">
        <v>39722</v>
      </c>
      <c r="S776" s="106">
        <f t="shared" si="28"/>
        <v>1570.3125</v>
      </c>
      <c r="T776" s="106">
        <f t="shared" si="29"/>
        <v>2321</v>
      </c>
      <c r="U776" s="109">
        <f t="shared" si="30"/>
        <v>1004.25</v>
      </c>
      <c r="V776" s="109">
        <f t="shared" si="31"/>
        <v>3533.0625</v>
      </c>
      <c r="W776" s="110">
        <f t="shared" si="32"/>
        <v>506.4375</v>
      </c>
      <c r="X776" s="106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5">
      <c r="A777" s="105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2">
        <f>SUM('Weekly Data'!J774:J777)/4</f>
        <v>603.5</v>
      </c>
      <c r="I777" s="39"/>
      <c r="J777" s="101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1">
        <f>AVERAGE('Weekly Data'!I725,'Weekly Data'!I673,'Weekly Data'!I621,'Weekly Data'!I569)</f>
        <v>10546</v>
      </c>
      <c r="P777" s="203"/>
      <c r="Q777" s="39"/>
      <c r="R777" s="13">
        <v>39729</v>
      </c>
      <c r="S777" s="106">
        <f t="shared" si="28"/>
        <v>1801.375</v>
      </c>
      <c r="T777" s="106">
        <f t="shared" si="29"/>
        <v>2280.625</v>
      </c>
      <c r="U777" s="109">
        <f t="shared" si="30"/>
        <v>1062.8125</v>
      </c>
      <c r="V777" s="109">
        <f t="shared" si="31"/>
        <v>3930.9375</v>
      </c>
      <c r="W777" s="110">
        <f t="shared" si="32"/>
        <v>572.125</v>
      </c>
      <c r="X777" s="106">
        <f t="shared" si="33"/>
        <v>8585.0625</v>
      </c>
      <c r="Y777" s="143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5">
      <c r="A778" s="105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2">
        <f>SUM('Weekly Data'!J775:J778)/4</f>
        <v>1328.3375000000001</v>
      </c>
      <c r="I778" s="39"/>
      <c r="J778" s="101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1">
        <f>AVERAGE('Weekly Data'!I726,'Weekly Data'!I674,'Weekly Data'!I622,'Weekly Data'!I570)</f>
        <v>10552.75</v>
      </c>
      <c r="P778" s="203"/>
      <c r="Q778" s="39"/>
      <c r="R778" s="13">
        <v>39736</v>
      </c>
      <c r="S778" s="106">
        <f t="shared" si="28"/>
        <v>1983.75</v>
      </c>
      <c r="T778" s="106">
        <f t="shared" si="29"/>
        <v>2122.0625</v>
      </c>
      <c r="U778" s="109">
        <f t="shared" si="30"/>
        <v>1133.4375</v>
      </c>
      <c r="V778" s="109">
        <f t="shared" si="31"/>
        <v>4531.5</v>
      </c>
      <c r="W778" s="110">
        <f t="shared" si="32"/>
        <v>630</v>
      </c>
      <c r="X778" s="106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5">
      <c r="A779" s="105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2">
        <f>SUM('Weekly Data'!J776:J779)/4</f>
        <v>2000.6875</v>
      </c>
      <c r="I779" s="39"/>
      <c r="J779" s="101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1">
        <f>AVERAGE('Weekly Data'!I727,'Weekly Data'!I675,'Weekly Data'!I623,'Weekly Data'!I571)</f>
        <v>10299.75</v>
      </c>
      <c r="P779" s="203"/>
      <c r="Q779" s="39"/>
      <c r="R779" s="13">
        <v>39743</v>
      </c>
      <c r="S779" s="106">
        <f t="shared" si="28"/>
        <v>2135.3125</v>
      </c>
      <c r="T779" s="106">
        <f t="shared" si="29"/>
        <v>2159.25</v>
      </c>
      <c r="U779" s="109">
        <f t="shared" si="30"/>
        <v>1118.875</v>
      </c>
      <c r="V779" s="109">
        <f t="shared" si="31"/>
        <v>4970.875</v>
      </c>
      <c r="W779" s="110">
        <f t="shared" si="32"/>
        <v>696.1875</v>
      </c>
      <c r="X779" s="106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5">
      <c r="A780" s="105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2">
        <f>SUM('Weekly Data'!J777:J780)/4</f>
        <v>2704.7</v>
      </c>
      <c r="I780" s="39"/>
      <c r="J780" s="101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1">
        <f>AVERAGE('Weekly Data'!I728,'Weekly Data'!I676,'Weekly Data'!I624,'Weekly Data'!I572)</f>
        <v>10305.75</v>
      </c>
      <c r="P780" s="203"/>
      <c r="Q780" s="39"/>
      <c r="R780" s="13">
        <v>39750</v>
      </c>
      <c r="S780" s="106">
        <f t="shared" si="28"/>
        <v>2132.5625</v>
      </c>
      <c r="T780" s="106">
        <f t="shared" si="29"/>
        <v>2165.25</v>
      </c>
      <c r="U780" s="109">
        <f t="shared" si="30"/>
        <v>1142.875</v>
      </c>
      <c r="V780" s="109">
        <f t="shared" si="31"/>
        <v>5347.3125</v>
      </c>
      <c r="W780" s="110">
        <f t="shared" si="32"/>
        <v>743.625</v>
      </c>
      <c r="X780" s="106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5">
      <c r="A781" s="105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2">
        <f>SUM('Weekly Data'!J778:J781)/4</f>
        <v>2577.625</v>
      </c>
      <c r="I781" s="39"/>
      <c r="J781" s="101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1">
        <f>AVERAGE('Weekly Data'!I729,'Weekly Data'!I677,'Weekly Data'!I625,'Weekly Data'!I573)</f>
        <v>9739.75</v>
      </c>
      <c r="P781" s="203"/>
      <c r="Q781" s="39"/>
      <c r="R781" s="13">
        <v>39757</v>
      </c>
      <c r="S781" s="106">
        <f t="shared" si="28"/>
        <v>2037.25</v>
      </c>
      <c r="T781" s="106">
        <f t="shared" si="29"/>
        <v>2142.1875</v>
      </c>
      <c r="U781" s="109">
        <f t="shared" si="30"/>
        <v>1164.75</v>
      </c>
      <c r="V781" s="109">
        <f t="shared" si="31"/>
        <v>5253.625</v>
      </c>
      <c r="W781" s="110">
        <f t="shared" si="32"/>
        <v>771.25</v>
      </c>
      <c r="X781" s="106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5">
      <c r="A782" s="105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2">
        <f>SUM('Weekly Data'!J779:J782)/4</f>
        <v>2456.7124999999996</v>
      </c>
      <c r="I782" s="39"/>
      <c r="J782" s="101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1">
        <f>AVERAGE('Weekly Data'!I730,'Weekly Data'!I678,'Weekly Data'!I626,'Weekly Data'!I574)</f>
        <v>9394.25</v>
      </c>
      <c r="P782" s="203"/>
      <c r="Q782" s="39"/>
      <c r="R782" s="13">
        <v>39764</v>
      </c>
      <c r="S782" s="106">
        <f t="shared" si="28"/>
        <v>1899</v>
      </c>
      <c r="T782" s="106">
        <f t="shared" si="29"/>
        <v>2148.875</v>
      </c>
      <c r="U782" s="109">
        <f t="shared" si="30"/>
        <v>1049.75</v>
      </c>
      <c r="V782" s="109">
        <f t="shared" si="31"/>
        <v>5056.5625</v>
      </c>
      <c r="W782" s="110">
        <f t="shared" si="32"/>
        <v>842.1875</v>
      </c>
      <c r="X782" s="106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5">
      <c r="A783" s="105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2">
        <f>SUM('Weekly Data'!J780:J783)/4</f>
        <v>2299.6750000000002</v>
      </c>
      <c r="I783" s="39"/>
      <c r="J783" s="101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1">
        <f>AVERAGE('Weekly Data'!I731,'Weekly Data'!I679,'Weekly Data'!I627,'Weekly Data'!I575)</f>
        <v>9737.75</v>
      </c>
      <c r="P783" s="203"/>
      <c r="Q783" s="39"/>
      <c r="R783" s="13">
        <v>39771</v>
      </c>
      <c r="S783" s="106">
        <f t="shared" si="28"/>
        <v>1758.4375</v>
      </c>
      <c r="T783" s="106">
        <f t="shared" si="29"/>
        <v>2143.5</v>
      </c>
      <c r="U783" s="109">
        <f t="shared" si="30"/>
        <v>1012.5625</v>
      </c>
      <c r="V783" s="109">
        <f t="shared" si="31"/>
        <v>5051.0625</v>
      </c>
      <c r="W783" s="110">
        <f t="shared" si="32"/>
        <v>870.5</v>
      </c>
      <c r="X783" s="106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5">
      <c r="A784" s="105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2">
        <f>SUM('Weekly Data'!J781:J784)/4</f>
        <v>2125.6374999999998</v>
      </c>
      <c r="I784" s="39"/>
      <c r="J784" s="101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1">
        <f>AVERAGE('Weekly Data'!I732,'Weekly Data'!I680,'Weekly Data'!I628,'Weekly Data'!I576)</f>
        <v>8445.25</v>
      </c>
      <c r="P784" s="203"/>
      <c r="Q784" s="39"/>
      <c r="R784" s="13">
        <v>39778</v>
      </c>
      <c r="S784" s="106">
        <f t="shared" si="28"/>
        <v>1663.4375</v>
      </c>
      <c r="T784" s="106">
        <f t="shared" si="29"/>
        <v>2109.4375</v>
      </c>
      <c r="U784" s="109">
        <f t="shared" si="30"/>
        <v>1005.1875</v>
      </c>
      <c r="V784" s="109">
        <f t="shared" si="31"/>
        <v>4717.5625</v>
      </c>
      <c r="W784" s="110">
        <f t="shared" si="32"/>
        <v>836.25</v>
      </c>
      <c r="X784" s="106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5">
      <c r="A785" s="105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2">
        <f>SUM('Weekly Data'!J782:J785)/4</f>
        <v>2051.4749999999999</v>
      </c>
      <c r="I785" s="39"/>
      <c r="J785" s="101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1">
        <f>AVERAGE('Weekly Data'!I733,'Weekly Data'!I681,'Weekly Data'!I629,'Weekly Data'!I577)</f>
        <v>8487.25</v>
      </c>
      <c r="P785" s="203"/>
      <c r="Q785" s="39"/>
      <c r="R785" s="13">
        <v>39785</v>
      </c>
      <c r="S785" s="106">
        <f t="shared" si="28"/>
        <v>1623.6875</v>
      </c>
      <c r="T785" s="106">
        <f t="shared" si="29"/>
        <v>2044.875</v>
      </c>
      <c r="U785" s="109">
        <f t="shared" si="30"/>
        <v>1024.8125</v>
      </c>
      <c r="V785" s="109">
        <f t="shared" si="31"/>
        <v>4666.1875</v>
      </c>
      <c r="W785" s="110">
        <f t="shared" si="32"/>
        <v>828.4375</v>
      </c>
      <c r="X785" s="106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5">
      <c r="A786" s="105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2">
        <f>SUM('Weekly Data'!J783:J786)/4</f>
        <v>1821.3374999999999</v>
      </c>
      <c r="I786" s="39"/>
      <c r="J786" s="101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1">
        <f>AVERAGE('Weekly Data'!I734,'Weekly Data'!I682,'Weekly Data'!I630,'Weekly Data'!I578)</f>
        <v>9180.25</v>
      </c>
      <c r="P786" s="203"/>
      <c r="Q786" s="39"/>
      <c r="R786" s="13">
        <v>39792</v>
      </c>
      <c r="S786" s="106">
        <f t="shared" si="28"/>
        <v>1575</v>
      </c>
      <c r="T786" s="106">
        <f t="shared" si="29"/>
        <v>2004.5625</v>
      </c>
      <c r="U786" s="109">
        <f t="shared" si="30"/>
        <v>1076.6875</v>
      </c>
      <c r="V786" s="109">
        <f t="shared" si="31"/>
        <v>4684.8125</v>
      </c>
      <c r="W786" s="110">
        <f t="shared" si="32"/>
        <v>743.6875</v>
      </c>
      <c r="X786" s="106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5">
      <c r="A787" s="105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2">
        <f>SUM('Weekly Data'!J784:J787)/4</f>
        <v>1690.0124999999998</v>
      </c>
      <c r="I787" s="39"/>
      <c r="J787" s="101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1">
        <f>AVERAGE('Weekly Data'!I735,'Weekly Data'!I683,'Weekly Data'!I631,'Weekly Data'!I579)</f>
        <v>8715.5</v>
      </c>
      <c r="P787" s="203"/>
      <c r="Q787" s="39"/>
      <c r="R787" s="13">
        <v>39799</v>
      </c>
      <c r="S787" s="106">
        <f t="shared" si="28"/>
        <v>1549.25</v>
      </c>
      <c r="T787" s="106">
        <f t="shared" si="29"/>
        <v>1999.75</v>
      </c>
      <c r="U787" s="109">
        <f t="shared" si="30"/>
        <v>1135.75</v>
      </c>
      <c r="V787" s="109">
        <f t="shared" si="31"/>
        <v>4545.125</v>
      </c>
      <c r="W787" s="110">
        <f t="shared" si="32"/>
        <v>619.625</v>
      </c>
      <c r="X787" s="106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5">
      <c r="A788" s="105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2">
        <f>SUM('Weekly Data'!J785:J788)/4</f>
        <v>1448.8249999999998</v>
      </c>
      <c r="I788" s="39"/>
      <c r="J788" s="101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1">
        <f>AVERAGE('Weekly Data'!I736,'Weekly Data'!I684,'Weekly Data'!I632,'Weekly Data'!I580)</f>
        <v>7155.25</v>
      </c>
      <c r="P788" s="203"/>
      <c r="Q788" s="39"/>
      <c r="R788" s="13">
        <v>39806</v>
      </c>
      <c r="S788" s="106">
        <f t="shared" si="28"/>
        <v>1495.3125</v>
      </c>
      <c r="T788" s="106">
        <f t="shared" si="29"/>
        <v>1880.9375</v>
      </c>
      <c r="U788" s="109">
        <f t="shared" si="30"/>
        <v>1147.5</v>
      </c>
      <c r="V788" s="109">
        <f t="shared" si="31"/>
        <v>4497.8125</v>
      </c>
      <c r="W788" s="110">
        <f t="shared" si="32"/>
        <v>587</v>
      </c>
      <c r="X788" s="106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5">
      <c r="A789" s="105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2">
        <f>SUM('Weekly Data'!J786:J789)/4</f>
        <v>1399.7375</v>
      </c>
      <c r="I789" s="39"/>
      <c r="J789" s="101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1">
        <f>AVERAGE('Weekly Data'!I737,'Weekly Data'!I685,'Weekly Data'!I633,'Weekly Data'!I581)</f>
        <v>7902.5</v>
      </c>
      <c r="P789" s="203"/>
      <c r="Q789" s="39"/>
      <c r="R789" s="13">
        <f t="shared" ref="R789:R820" si="35">R788+7</f>
        <v>39813</v>
      </c>
      <c r="S789" s="106">
        <f t="shared" si="28"/>
        <v>1401</v>
      </c>
      <c r="T789" s="106">
        <f t="shared" si="29"/>
        <v>1860.5</v>
      </c>
      <c r="U789" s="109">
        <f t="shared" si="30"/>
        <v>1020.375</v>
      </c>
      <c r="V789" s="109">
        <f t="shared" si="31"/>
        <v>4441.3125</v>
      </c>
      <c r="W789" s="110">
        <f t="shared" si="32"/>
        <v>537.6875</v>
      </c>
      <c r="X789" s="106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5">
      <c r="A790" s="105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2">
        <f>SUM('Weekly Data'!J787:J790)/4</f>
        <v>1294.125</v>
      </c>
      <c r="I790" s="39"/>
      <c r="J790" s="101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1">
        <f>AVERAGE('Weekly Data'!I738,'Weekly Data'!I686,'Weekly Data'!I634,'Weekly Data'!I582)</f>
        <v>9000.75</v>
      </c>
      <c r="P790" s="203"/>
      <c r="Q790" s="39"/>
      <c r="R790" s="13">
        <f t="shared" si="35"/>
        <v>39820</v>
      </c>
      <c r="S790" s="106">
        <f t="shared" si="28"/>
        <v>1404.6875</v>
      </c>
      <c r="T790" s="106">
        <f t="shared" si="29"/>
        <v>1951.4375</v>
      </c>
      <c r="U790" s="109">
        <f t="shared" si="30"/>
        <v>959.4375</v>
      </c>
      <c r="V790" s="109">
        <f t="shared" si="31"/>
        <v>4299.125</v>
      </c>
      <c r="W790" s="110">
        <f t="shared" si="32"/>
        <v>578.6875</v>
      </c>
      <c r="X790" s="106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5">
      <c r="A791" s="105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2">
        <f>SUM('Weekly Data'!J788:J791)/4</f>
        <v>1359.0901782735195</v>
      </c>
      <c r="I791" s="39"/>
      <c r="J791" s="101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1">
        <f>AVERAGE('Weekly Data'!I739,'Weekly Data'!I687,'Weekly Data'!I635,'Weekly Data'!I583)</f>
        <v>8986.25</v>
      </c>
      <c r="P791" s="203"/>
      <c r="Q791" s="39"/>
      <c r="R791" s="13">
        <f t="shared" si="35"/>
        <v>39827</v>
      </c>
      <c r="S791" s="106">
        <f t="shared" si="28"/>
        <v>1516.4375</v>
      </c>
      <c r="T791" s="106">
        <f t="shared" si="29"/>
        <v>1862.875</v>
      </c>
      <c r="U791" s="109">
        <f t="shared" si="30"/>
        <v>863.875</v>
      </c>
      <c r="V791" s="109">
        <f t="shared" si="31"/>
        <v>4254</v>
      </c>
      <c r="W791" s="110">
        <f t="shared" si="32"/>
        <v>630.0625</v>
      </c>
      <c r="X791" s="106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5">
      <c r="A792" s="105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2">
        <f>SUM('Weekly Data'!J789:J792)/4</f>
        <v>1347.6957970758206</v>
      </c>
      <c r="I792" s="39"/>
      <c r="J792" s="101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1">
        <f>AVERAGE('Weekly Data'!I740,'Weekly Data'!I688,'Weekly Data'!I636,'Weekly Data'!I584)</f>
        <v>9972.75</v>
      </c>
      <c r="P792" s="203"/>
      <c r="Q792" s="39"/>
      <c r="R792" s="13">
        <f t="shared" si="35"/>
        <v>39834</v>
      </c>
      <c r="S792" s="106">
        <f t="shared" si="28"/>
        <v>1672.4375</v>
      </c>
      <c r="T792" s="106">
        <f t="shared" si="29"/>
        <v>1947.375</v>
      </c>
      <c r="U792" s="109">
        <f t="shared" si="30"/>
        <v>791.375</v>
      </c>
      <c r="V792" s="109">
        <f t="shared" si="31"/>
        <v>4468.875</v>
      </c>
      <c r="W792" s="110">
        <f t="shared" si="32"/>
        <v>673.125</v>
      </c>
      <c r="X792" s="106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5">
      <c r="A793" s="105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2">
        <f>SUM('Weekly Data'!J790:J793)/4</f>
        <v>1298.3723057108919</v>
      </c>
      <c r="I793" s="39"/>
      <c r="J793" s="101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1">
        <f>AVERAGE('Weekly Data'!I741,'Weekly Data'!I689,'Weekly Data'!I637,'Weekly Data'!I585)</f>
        <v>9432.25</v>
      </c>
      <c r="P793" s="203"/>
      <c r="Q793" s="39"/>
      <c r="R793" s="13">
        <f t="shared" si="35"/>
        <v>39841</v>
      </c>
      <c r="S793" s="106">
        <f t="shared" si="28"/>
        <v>1818.625</v>
      </c>
      <c r="T793" s="106">
        <f t="shared" si="29"/>
        <v>2046.75</v>
      </c>
      <c r="U793" s="109">
        <f t="shared" si="30"/>
        <v>760.4375</v>
      </c>
      <c r="V793" s="109">
        <f t="shared" si="31"/>
        <v>4617.4375</v>
      </c>
      <c r="W793" s="110">
        <f t="shared" si="32"/>
        <v>738.8125</v>
      </c>
      <c r="X793" s="106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5">
      <c r="A794" s="105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2">
        <f>SUM('Weekly Data'!J791:J794)/4</f>
        <v>1382.3458751518144</v>
      </c>
      <c r="I794" s="39"/>
      <c r="J794" s="101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1">
        <f>AVERAGE('Weekly Data'!I742,'Weekly Data'!I690,'Weekly Data'!I638,'Weekly Data'!I586)</f>
        <v>8563</v>
      </c>
      <c r="P794" s="203"/>
      <c r="Q794" s="39"/>
      <c r="R794" s="13">
        <f t="shared" si="35"/>
        <v>39848</v>
      </c>
      <c r="S794" s="106">
        <f t="shared" si="28"/>
        <v>1862.4375</v>
      </c>
      <c r="T794" s="106">
        <f t="shared" si="29"/>
        <v>1976.5625</v>
      </c>
      <c r="U794" s="109">
        <f t="shared" si="30"/>
        <v>698.5625</v>
      </c>
      <c r="V794" s="109">
        <f t="shared" si="31"/>
        <v>4630.1875</v>
      </c>
      <c r="W794" s="110">
        <f t="shared" si="32"/>
        <v>674.5625</v>
      </c>
      <c r="X794" s="106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5">
      <c r="A795" s="105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2">
        <f>SUM('Weekly Data'!J792:J795)/4</f>
        <v>1128.8912995315441</v>
      </c>
      <c r="I795" s="39"/>
      <c r="J795" s="101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1">
        <f>AVERAGE('Weekly Data'!I743,'Weekly Data'!I691,'Weekly Data'!I639,'Weekly Data'!I587)</f>
        <v>9696.75</v>
      </c>
      <c r="P795" s="203"/>
      <c r="Q795" s="39"/>
      <c r="R795" s="13">
        <f t="shared" si="35"/>
        <v>39855</v>
      </c>
      <c r="S795" s="106">
        <f t="shared" si="28"/>
        <v>1814</v>
      </c>
      <c r="T795" s="106">
        <f t="shared" si="29"/>
        <v>2078.0625</v>
      </c>
      <c r="U795" s="109">
        <f t="shared" si="30"/>
        <v>763.9375</v>
      </c>
      <c r="V795" s="109">
        <f t="shared" si="31"/>
        <v>4760.75</v>
      </c>
      <c r="W795" s="110">
        <f t="shared" si="32"/>
        <v>688</v>
      </c>
      <c r="X795" s="106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5">
      <c r="A796" s="105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2">
        <f>SUM('Weekly Data'!J793:J796)/4</f>
        <v>1242.0744115939515</v>
      </c>
      <c r="I796" s="39"/>
      <c r="J796" s="101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1">
        <f>AVERAGE('Weekly Data'!I744,'Weekly Data'!I692,'Weekly Data'!I640,'Weekly Data'!I588)</f>
        <v>9045.25</v>
      </c>
      <c r="P796" s="203"/>
      <c r="Q796" s="39"/>
      <c r="R796" s="13">
        <f t="shared" si="35"/>
        <v>39862</v>
      </c>
      <c r="S796" s="106">
        <f t="shared" si="28"/>
        <v>1744.375</v>
      </c>
      <c r="T796" s="106">
        <f t="shared" si="29"/>
        <v>2141.375</v>
      </c>
      <c r="U796" s="109">
        <f t="shared" si="30"/>
        <v>687.8125</v>
      </c>
      <c r="V796" s="109">
        <f t="shared" si="31"/>
        <v>4661.75</v>
      </c>
      <c r="W796" s="110">
        <f t="shared" si="32"/>
        <v>653.75</v>
      </c>
      <c r="X796" s="106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5">
      <c r="A797" s="105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2">
        <f>SUM('Weekly Data'!J794:J797)/4</f>
        <v>1257.6134659401819</v>
      </c>
      <c r="I797" s="39"/>
      <c r="J797" s="101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1">
        <f>AVERAGE('Weekly Data'!I745,'Weekly Data'!I693,'Weekly Data'!I641,'Weekly Data'!I589)</f>
        <v>9246</v>
      </c>
      <c r="P797" s="203"/>
      <c r="Q797" s="39"/>
      <c r="R797" s="13">
        <f t="shared" si="35"/>
        <v>39869</v>
      </c>
      <c r="S797" s="106">
        <f t="shared" si="28"/>
        <v>1658.625</v>
      </c>
      <c r="T797" s="106">
        <f t="shared" si="29"/>
        <v>2069.5625</v>
      </c>
      <c r="U797" s="109">
        <f t="shared" si="30"/>
        <v>805.5</v>
      </c>
      <c r="V797" s="109">
        <f t="shared" si="31"/>
        <v>4762.125</v>
      </c>
      <c r="W797" s="110">
        <f t="shared" si="32"/>
        <v>630.8125</v>
      </c>
      <c r="X797" s="106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5">
      <c r="A798" s="105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2">
        <f>SUM('Weekly Data'!J795:J798)/4</f>
        <v>1372.8964502115393</v>
      </c>
      <c r="I798" s="39"/>
      <c r="J798" s="101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1">
        <f>AVERAGE('Weekly Data'!I746,'Weekly Data'!I694,'Weekly Data'!I642,'Weekly Data'!I590)</f>
        <v>9979</v>
      </c>
      <c r="P798" s="203"/>
      <c r="Q798" s="39"/>
      <c r="R798" s="13">
        <f t="shared" si="35"/>
        <v>39876</v>
      </c>
      <c r="S798" s="106">
        <f t="shared" si="28"/>
        <v>1685</v>
      </c>
      <c r="T798" s="106">
        <f t="shared" si="29"/>
        <v>2167.375</v>
      </c>
      <c r="U798" s="109">
        <f t="shared" si="30"/>
        <v>918.6875</v>
      </c>
      <c r="V798" s="109">
        <f t="shared" si="31"/>
        <v>4919.5625</v>
      </c>
      <c r="W798" s="110">
        <f t="shared" si="32"/>
        <v>664.125</v>
      </c>
      <c r="X798" s="106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5">
      <c r="A799" s="105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2">
        <f>SUM('Weekly Data'!J796:J799)/4</f>
        <v>1592.9630577095038</v>
      </c>
      <c r="I799" s="39"/>
      <c r="J799" s="101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1">
        <f>AVERAGE('Weekly Data'!I747,'Weekly Data'!I695,'Weekly Data'!I643,'Weekly Data'!I591)</f>
        <v>9454.75</v>
      </c>
      <c r="P799" s="203"/>
      <c r="Q799" s="39"/>
      <c r="R799" s="13">
        <f t="shared" si="35"/>
        <v>39883</v>
      </c>
      <c r="S799" s="106">
        <f t="shared" si="28"/>
        <v>1666.1875</v>
      </c>
      <c r="T799" s="106">
        <f t="shared" si="29"/>
        <v>2182.125</v>
      </c>
      <c r="U799" s="109">
        <f t="shared" si="30"/>
        <v>924.8125</v>
      </c>
      <c r="V799" s="109">
        <f t="shared" si="31"/>
        <v>4963.3125</v>
      </c>
      <c r="W799" s="110">
        <f t="shared" si="32"/>
        <v>662.5</v>
      </c>
      <c r="X799" s="106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5">
      <c r="A800" s="105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2">
        <f>SUM('Weekly Data'!J797:J800)/4</f>
        <v>1522.6173387096774</v>
      </c>
      <c r="I800" s="39"/>
      <c r="J800" s="101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1">
        <f>AVERAGE('Weekly Data'!I748,'Weekly Data'!I696,'Weekly Data'!I644,'Weekly Data'!I592)</f>
        <v>8735.25</v>
      </c>
      <c r="P800" s="203"/>
      <c r="Q800" s="39"/>
      <c r="R800" s="13">
        <f t="shared" si="35"/>
        <v>39890</v>
      </c>
      <c r="S800" s="106">
        <f t="shared" si="28"/>
        <v>1566.6875</v>
      </c>
      <c r="T800" s="106">
        <f t="shared" si="29"/>
        <v>2176.1875</v>
      </c>
      <c r="U800" s="109">
        <f t="shared" si="30"/>
        <v>1012.0625</v>
      </c>
      <c r="V800" s="109">
        <f t="shared" si="31"/>
        <v>5087.6875</v>
      </c>
      <c r="W800" s="110">
        <f t="shared" si="32"/>
        <v>677.875</v>
      </c>
      <c r="X800" s="106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5">
      <c r="A801" s="105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2">
        <f>SUM('Weekly Data'!J798:J801)/4</f>
        <v>1453.111568593431</v>
      </c>
      <c r="I801" s="39"/>
      <c r="J801" s="101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1">
        <f>AVERAGE('Weekly Data'!I749,'Weekly Data'!I697,'Weekly Data'!I645,'Weekly Data'!I593)</f>
        <v>8553</v>
      </c>
      <c r="P801" s="203"/>
      <c r="Q801" s="39"/>
      <c r="R801" s="13">
        <f t="shared" si="35"/>
        <v>39897</v>
      </c>
      <c r="S801" s="106">
        <f t="shared" si="28"/>
        <v>1492.625</v>
      </c>
      <c r="T801" s="106">
        <f t="shared" si="29"/>
        <v>2123.4375</v>
      </c>
      <c r="U801" s="109">
        <f t="shared" si="30"/>
        <v>1023.375</v>
      </c>
      <c r="V801" s="109">
        <f t="shared" si="31"/>
        <v>5042.5</v>
      </c>
      <c r="W801" s="110">
        <f t="shared" si="32"/>
        <v>636.375</v>
      </c>
      <c r="X801" s="106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5">
      <c r="A802" s="105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2">
        <f>SUM('Weekly Data'!J799:J802)/4</f>
        <v>1223.8055233760861</v>
      </c>
      <c r="I802" s="39"/>
      <c r="J802" s="101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1">
        <f>AVERAGE('Weekly Data'!I750,'Weekly Data'!I698,'Weekly Data'!I646,'Weekly Data'!I594)</f>
        <v>8287.75</v>
      </c>
      <c r="P802" s="203"/>
      <c r="Q802" s="39"/>
      <c r="R802" s="13">
        <f t="shared" si="35"/>
        <v>39904</v>
      </c>
      <c r="S802" s="106">
        <f t="shared" si="28"/>
        <v>1332.375</v>
      </c>
      <c r="T802" s="106">
        <f t="shared" si="29"/>
        <v>2037.1875</v>
      </c>
      <c r="U802" s="109">
        <f t="shared" si="30"/>
        <v>1062.625</v>
      </c>
      <c r="V802" s="109">
        <f t="shared" si="31"/>
        <v>4929.375</v>
      </c>
      <c r="W802" s="110">
        <f t="shared" si="32"/>
        <v>596.125</v>
      </c>
      <c r="X802" s="106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5">
      <c r="A803" s="105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2">
        <f>SUM('Weekly Data'!J800:J803)/4</f>
        <v>1156.3996254687895</v>
      </c>
      <c r="I803" s="39"/>
      <c r="J803" s="101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1">
        <f>AVERAGE('Weekly Data'!I751,'Weekly Data'!I699,'Weekly Data'!I647,'Weekly Data'!I595)</f>
        <v>7806</v>
      </c>
      <c r="P803" s="203"/>
      <c r="Q803" s="39"/>
      <c r="R803" s="13">
        <f t="shared" si="35"/>
        <v>39911</v>
      </c>
      <c r="S803" s="106">
        <f t="shared" si="28"/>
        <v>1166</v>
      </c>
      <c r="T803" s="106">
        <f t="shared" si="29"/>
        <v>1950.1875</v>
      </c>
      <c r="U803" s="109">
        <f t="shared" si="30"/>
        <v>1057.375</v>
      </c>
      <c r="V803" s="109">
        <f t="shared" si="31"/>
        <v>4768.25</v>
      </c>
      <c r="W803" s="110">
        <f t="shared" si="32"/>
        <v>546.6875</v>
      </c>
      <c r="X803" s="106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5">
      <c r="A804" s="105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2">
        <f>SUM('Weekly Data'!J801:J804)/4</f>
        <v>1018.8579957825617</v>
      </c>
      <c r="I804" s="39"/>
      <c r="J804" s="101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1">
        <f>AVERAGE('Weekly Data'!I752,'Weekly Data'!I700,'Weekly Data'!I648,'Weekly Data'!I596)</f>
        <v>8083</v>
      </c>
      <c r="P804" s="203"/>
      <c r="Q804" s="39"/>
      <c r="R804" s="13">
        <f t="shared" si="35"/>
        <v>39918</v>
      </c>
      <c r="S804" s="106">
        <f t="shared" si="28"/>
        <v>1124.125</v>
      </c>
      <c r="T804" s="106">
        <f t="shared" si="29"/>
        <v>1903.0625</v>
      </c>
      <c r="U804" s="109">
        <f t="shared" si="30"/>
        <v>1087</v>
      </c>
      <c r="V804" s="109">
        <f t="shared" si="31"/>
        <v>4723.875</v>
      </c>
      <c r="W804" s="110">
        <f t="shared" si="32"/>
        <v>460.0625</v>
      </c>
      <c r="X804" s="106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5">
      <c r="A805" s="105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2">
        <f>SUM('Weekly Data'!J802:J805)/4</f>
        <v>980.85030880056581</v>
      </c>
      <c r="I805" s="39"/>
      <c r="J805" s="101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1">
        <f>AVERAGE('Weekly Data'!I753,'Weekly Data'!I701,'Weekly Data'!I649,'Weekly Data'!I597)</f>
        <v>7654.75</v>
      </c>
      <c r="P805" s="203"/>
      <c r="Q805" s="39"/>
      <c r="R805" s="13">
        <f t="shared" si="35"/>
        <v>39925</v>
      </c>
      <c r="S805" s="106">
        <f t="shared" si="28"/>
        <v>1037.125</v>
      </c>
      <c r="T805" s="106">
        <f t="shared" si="29"/>
        <v>1896.875</v>
      </c>
      <c r="U805" s="109">
        <f t="shared" si="30"/>
        <v>1108.875</v>
      </c>
      <c r="V805" s="109">
        <f t="shared" si="31"/>
        <v>4641.0625</v>
      </c>
      <c r="W805" s="110">
        <f t="shared" si="32"/>
        <v>413.4375</v>
      </c>
      <c r="X805" s="106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5">
      <c r="A806" s="105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2">
        <f>SUM('Weekly Data'!J803:J806)/4</f>
        <v>1166.0590376299597</v>
      </c>
      <c r="I806" s="39"/>
      <c r="J806" s="101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1">
        <f>AVERAGE('Weekly Data'!I754,'Weekly Data'!I702,'Weekly Data'!I650,'Weekly Data'!I598)</f>
        <v>7516.25</v>
      </c>
      <c r="P806" s="203"/>
      <c r="Q806" s="39"/>
      <c r="R806" s="13">
        <f t="shared" si="35"/>
        <v>39932</v>
      </c>
      <c r="S806" s="106">
        <f t="shared" si="28"/>
        <v>936.875</v>
      </c>
      <c r="T806" s="106">
        <f t="shared" si="29"/>
        <v>1859</v>
      </c>
      <c r="U806" s="109">
        <f t="shared" si="30"/>
        <v>1132.6875</v>
      </c>
      <c r="V806" s="109">
        <f t="shared" si="31"/>
        <v>4620.3125</v>
      </c>
      <c r="W806" s="110">
        <f t="shared" si="32"/>
        <v>390.875</v>
      </c>
      <c r="X806" s="106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5">
      <c r="A807" s="105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2">
        <f>SUM('Weekly Data'!J804:J807)/4</f>
        <v>1061.2754144033527</v>
      </c>
      <c r="I807" s="39"/>
      <c r="J807" s="101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1">
        <f>AVERAGE('Weekly Data'!I755,'Weekly Data'!I703,'Weekly Data'!I651,'Weekly Data'!I599)</f>
        <v>7494</v>
      </c>
      <c r="P807" s="203"/>
      <c r="Q807" s="39"/>
      <c r="R807" s="13">
        <f t="shared" si="35"/>
        <v>39939</v>
      </c>
      <c r="S807" s="106">
        <f t="shared" si="28"/>
        <v>849.0625</v>
      </c>
      <c r="T807" s="106">
        <f t="shared" si="29"/>
        <v>1844.5</v>
      </c>
      <c r="U807" s="109">
        <f t="shared" si="30"/>
        <v>1149.375</v>
      </c>
      <c r="V807" s="109">
        <f t="shared" si="31"/>
        <v>4635.25</v>
      </c>
      <c r="W807" s="110">
        <f t="shared" si="32"/>
        <v>398.4375</v>
      </c>
      <c r="X807" s="106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5">
      <c r="A808" s="105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2">
        <f>SUM('Weekly Data'!J805:J808)/4</f>
        <v>1140.8605711225591</v>
      </c>
      <c r="I808" s="39"/>
      <c r="J808" s="101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1">
        <f>AVERAGE('Weekly Data'!I756,'Weekly Data'!I704,'Weekly Data'!I652,'Weekly Data'!I600)</f>
        <v>6642.5</v>
      </c>
      <c r="P808" s="203"/>
      <c r="Q808" s="39"/>
      <c r="R808" s="13">
        <f t="shared" si="35"/>
        <v>39946</v>
      </c>
      <c r="S808" s="106">
        <f t="shared" ref="S808:S871" si="36">AVERAGE(B756,B704,B652,B599)</f>
        <v>766.1875</v>
      </c>
      <c r="T808" s="106">
        <f t="shared" ref="T808:T871" si="37">AVERAGE(C756,C704,C652,C599)</f>
        <v>1698.4375</v>
      </c>
      <c r="U808" s="109">
        <f t="shared" ref="U808:U871" si="38">AVERAGE(D756,D704,D652,D599)</f>
        <v>1124.3125</v>
      </c>
      <c r="V808" s="109">
        <f t="shared" ref="V808:V871" si="39">AVERAGE(E756,E704,E652,E599)</f>
        <v>4484.625</v>
      </c>
      <c r="W808" s="110">
        <f t="shared" ref="W808:W871" si="40">AVERAGE(F756,F704,F652,F599)</f>
        <v>396.1875</v>
      </c>
      <c r="X808" s="106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5">
      <c r="A809" s="105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2">
        <f>SUM('Weekly Data'!J806:J809)/4</f>
        <v>1343.0782648444485</v>
      </c>
      <c r="I809" s="39"/>
      <c r="J809" s="101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1">
        <f>AVERAGE('Weekly Data'!I757,'Weekly Data'!I705,'Weekly Data'!I653,'Weekly Data'!I601)</f>
        <v>6984.5</v>
      </c>
      <c r="P809" s="203"/>
      <c r="Q809" s="39"/>
      <c r="R809" s="13">
        <f t="shared" si="35"/>
        <v>39953</v>
      </c>
      <c r="S809" s="106">
        <f t="shared" si="36"/>
        <v>700</v>
      </c>
      <c r="T809" s="106">
        <f t="shared" si="37"/>
        <v>1621.625</v>
      </c>
      <c r="U809" s="109">
        <f t="shared" si="38"/>
        <v>1120.4375</v>
      </c>
      <c r="V809" s="109">
        <f t="shared" si="39"/>
        <v>4473.0625</v>
      </c>
      <c r="W809" s="110">
        <f t="shared" si="40"/>
        <v>374.9375</v>
      </c>
      <c r="X809" s="106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5">
      <c r="A810" s="105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2">
        <f>SUM('Weekly Data'!J807:J810)/4</f>
        <v>1457.101325790436</v>
      </c>
      <c r="I810" s="39"/>
      <c r="J810" s="101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1">
        <f>AVERAGE('Weekly Data'!I758,'Weekly Data'!I706,'Weekly Data'!I654,'Weekly Data'!I602)</f>
        <v>6723.25</v>
      </c>
      <c r="P810" s="203"/>
      <c r="Q810" s="39"/>
      <c r="R810" s="13">
        <f t="shared" si="35"/>
        <v>39960</v>
      </c>
      <c r="S810" s="106">
        <f t="shared" si="36"/>
        <v>665.625</v>
      </c>
      <c r="T810" s="106">
        <f t="shared" si="37"/>
        <v>1501.4375</v>
      </c>
      <c r="U810" s="109">
        <f t="shared" si="38"/>
        <v>1003.625</v>
      </c>
      <c r="V810" s="109">
        <f t="shared" si="39"/>
        <v>4478</v>
      </c>
      <c r="W810" s="110">
        <f t="shared" si="40"/>
        <v>330.625</v>
      </c>
      <c r="X810" s="106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5">
      <c r="A811" s="105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2">
        <f>SUM('Weekly Data'!J808:J811)/4</f>
        <v>1541.0962141484379</v>
      </c>
      <c r="I811" s="39"/>
      <c r="J811" s="101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1">
        <f>AVERAGE('Weekly Data'!I759,'Weekly Data'!I707,'Weekly Data'!I655,'Weekly Data'!I603)</f>
        <v>6226</v>
      </c>
      <c r="P811" s="203"/>
      <c r="Q811" s="39"/>
      <c r="R811" s="13">
        <f t="shared" si="35"/>
        <v>39967</v>
      </c>
      <c r="S811" s="106">
        <f t="shared" si="36"/>
        <v>669.5625</v>
      </c>
      <c r="T811" s="106">
        <f t="shared" si="37"/>
        <v>1393.75</v>
      </c>
      <c r="U811" s="109">
        <f t="shared" si="38"/>
        <v>980.4375</v>
      </c>
      <c r="V811" s="109">
        <f t="shared" si="39"/>
        <v>4410.25</v>
      </c>
      <c r="W811" s="110">
        <f t="shared" si="40"/>
        <v>245.625</v>
      </c>
      <c r="X811" s="106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5">
      <c r="A812" s="105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2">
        <f>SUM('Weekly Data'!J809:J812)/4</f>
        <v>1738.484201789742</v>
      </c>
      <c r="I812" s="39"/>
      <c r="J812" s="101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1">
        <f>AVERAGE('Weekly Data'!I760,'Weekly Data'!I708,'Weekly Data'!I656,'Weekly Data'!I604)</f>
        <v>7048.5</v>
      </c>
      <c r="P812" s="203"/>
      <c r="Q812" s="39"/>
      <c r="R812" s="13">
        <f t="shared" si="35"/>
        <v>39974</v>
      </c>
      <c r="S812" s="106">
        <f t="shared" si="36"/>
        <v>592.375</v>
      </c>
      <c r="T812" s="106">
        <f t="shared" si="37"/>
        <v>1604.875</v>
      </c>
      <c r="U812" s="109">
        <f t="shared" si="38"/>
        <v>879.625</v>
      </c>
      <c r="V812" s="109">
        <f t="shared" si="39"/>
        <v>4358.75</v>
      </c>
      <c r="W812" s="110">
        <f t="shared" si="40"/>
        <v>218.9375</v>
      </c>
      <c r="X812" s="106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5">
      <c r="A813" s="105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2">
        <f>SUM('Weekly Data'!J810:J813)/4</f>
        <v>1807.1500230224085</v>
      </c>
      <c r="I813" s="39"/>
      <c r="J813" s="101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1">
        <f>AVERAGE('Weekly Data'!I761,'Weekly Data'!I709,'Weekly Data'!I657,'Weekly Data'!I605)</f>
        <v>6297.75</v>
      </c>
      <c r="P813" s="203"/>
      <c r="Q813" s="39"/>
      <c r="R813" s="13">
        <f t="shared" si="35"/>
        <v>39981</v>
      </c>
      <c r="S813" s="106">
        <f t="shared" si="36"/>
        <v>603.1875</v>
      </c>
      <c r="T813" s="106">
        <f t="shared" si="37"/>
        <v>1621.1875</v>
      </c>
      <c r="U813" s="109">
        <f t="shared" si="38"/>
        <v>766.9375</v>
      </c>
      <c r="V813" s="109">
        <f t="shared" si="39"/>
        <v>4193.875</v>
      </c>
      <c r="W813" s="110">
        <f t="shared" si="40"/>
        <v>186.375</v>
      </c>
      <c r="X813" s="106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5">
      <c r="A814" s="105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2">
        <f>SUM('Weekly Data'!J811:J814)/4</f>
        <v>1545.5059457872328</v>
      </c>
      <c r="I814" s="39"/>
      <c r="J814" s="101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1">
        <f>AVERAGE('Weekly Data'!I762,'Weekly Data'!I710,'Weekly Data'!I658,'Weekly Data'!I606)</f>
        <v>7420.75</v>
      </c>
      <c r="P814" s="203"/>
      <c r="Q814" s="39"/>
      <c r="R814" s="13">
        <f t="shared" si="35"/>
        <v>39988</v>
      </c>
      <c r="S814" s="106">
        <f t="shared" si="36"/>
        <v>606.9375</v>
      </c>
      <c r="T814" s="106">
        <f t="shared" si="37"/>
        <v>1799.3125</v>
      </c>
      <c r="U814" s="109">
        <f t="shared" si="38"/>
        <v>675.375</v>
      </c>
      <c r="V814" s="109">
        <f t="shared" si="39"/>
        <v>4145.9375</v>
      </c>
      <c r="W814" s="110">
        <f t="shared" si="40"/>
        <v>176.875</v>
      </c>
      <c r="X814" s="106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5">
      <c r="A815" s="105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2">
        <f>SUM('Weekly Data'!J812:J815)/4</f>
        <v>1637.9003229810348</v>
      </c>
      <c r="I815" s="39"/>
      <c r="J815" s="101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1">
        <f>AVERAGE('Weekly Data'!I763,'Weekly Data'!I711,'Weekly Data'!I659,'Weekly Data'!I607)</f>
        <v>6346.5</v>
      </c>
      <c r="P815" s="203"/>
      <c r="Q815" s="39"/>
      <c r="R815" s="13">
        <f t="shared" si="35"/>
        <v>39995</v>
      </c>
      <c r="S815" s="106">
        <f t="shared" si="36"/>
        <v>650.3125</v>
      </c>
      <c r="T815" s="106">
        <f t="shared" si="37"/>
        <v>1902.5</v>
      </c>
      <c r="U815" s="109">
        <f t="shared" si="38"/>
        <v>632.6875</v>
      </c>
      <c r="V815" s="109">
        <f t="shared" si="39"/>
        <v>3980.6875</v>
      </c>
      <c r="W815" s="110">
        <f t="shared" si="40"/>
        <v>222.1875</v>
      </c>
      <c r="X815" s="106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5">
      <c r="A816" s="105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2">
        <f>SUM('Weekly Data'!J813:J816)/4</f>
        <v>1542.1461502529128</v>
      </c>
      <c r="I816" s="39"/>
      <c r="J816" s="101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1">
        <f>AVERAGE('Weekly Data'!I764,'Weekly Data'!I712,'Weekly Data'!I660,'Weekly Data'!I608)</f>
        <v>7127.5</v>
      </c>
      <c r="P816" s="203"/>
      <c r="Q816" s="39"/>
      <c r="R816" s="13">
        <f t="shared" si="35"/>
        <v>40002</v>
      </c>
      <c r="S816" s="106">
        <f t="shared" si="36"/>
        <v>744.8125</v>
      </c>
      <c r="T816" s="106">
        <f t="shared" si="37"/>
        <v>1902.375</v>
      </c>
      <c r="U816" s="109">
        <f t="shared" si="38"/>
        <v>757.6875</v>
      </c>
      <c r="V816" s="109">
        <f t="shared" si="39"/>
        <v>3945.625</v>
      </c>
      <c r="W816" s="110">
        <f t="shared" si="40"/>
        <v>232.5</v>
      </c>
      <c r="X816" s="106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5">
      <c r="A817" s="105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2">
        <f>SUM('Weekly Data'!J814:J817)/4</f>
        <v>1320.609632208683</v>
      </c>
      <c r="I817" s="39"/>
      <c r="J817" s="101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1">
        <f>AVERAGE('Weekly Data'!I765,'Weekly Data'!I713,'Weekly Data'!I661,'Weekly Data'!I609)</f>
        <v>7195.5</v>
      </c>
      <c r="P817" s="203"/>
      <c r="Q817" s="39"/>
      <c r="R817" s="13">
        <f t="shared" si="35"/>
        <v>40009</v>
      </c>
      <c r="S817" s="106">
        <f t="shared" si="36"/>
        <v>839.625</v>
      </c>
      <c r="T817" s="106">
        <f t="shared" si="37"/>
        <v>2033.0625</v>
      </c>
      <c r="U817" s="109">
        <f t="shared" si="38"/>
        <v>739.25</v>
      </c>
      <c r="V817" s="109">
        <f t="shared" si="39"/>
        <v>3838</v>
      </c>
      <c r="W817" s="110">
        <f t="shared" si="40"/>
        <v>282.625</v>
      </c>
      <c r="X817" s="106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5">
      <c r="A818" s="105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2">
        <f>SUM('Weekly Data'!J815:J818)/4</f>
        <v>1419.9335876920202</v>
      </c>
      <c r="I818" s="39"/>
      <c r="J818" s="101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1">
        <f>AVERAGE('Weekly Data'!I766,'Weekly Data'!I714,'Weekly Data'!I662,'Weekly Data'!I610)</f>
        <v>7067.75</v>
      </c>
      <c r="P818" s="203"/>
      <c r="Q818" s="39"/>
      <c r="R818" s="13">
        <f t="shared" si="35"/>
        <v>40016</v>
      </c>
      <c r="S818" s="106">
        <f t="shared" si="36"/>
        <v>979.0625</v>
      </c>
      <c r="T818" s="106">
        <f t="shared" si="37"/>
        <v>2019.75</v>
      </c>
      <c r="U818" s="109">
        <f t="shared" si="38"/>
        <v>805.25</v>
      </c>
      <c r="V818" s="109">
        <f t="shared" si="39"/>
        <v>3697.6875</v>
      </c>
      <c r="W818" s="110">
        <f t="shared" si="40"/>
        <v>315.5</v>
      </c>
      <c r="X818" s="106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5">
      <c r="A819" s="105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2">
        <f>SUM('Weekly Data'!J816:J819)/4</f>
        <v>1385.2856962443443</v>
      </c>
      <c r="I819" s="39"/>
      <c r="J819" s="101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1">
        <f>AVERAGE('Weekly Data'!I767,'Weekly Data'!I715,'Weekly Data'!I663,'Weekly Data'!I611)</f>
        <v>7450.75</v>
      </c>
      <c r="P819" s="203"/>
      <c r="Q819" s="39"/>
      <c r="R819" s="13">
        <f t="shared" si="35"/>
        <v>40023</v>
      </c>
      <c r="S819" s="106">
        <f t="shared" si="36"/>
        <v>978.875</v>
      </c>
      <c r="T819" s="106">
        <f t="shared" si="37"/>
        <v>2094.625</v>
      </c>
      <c r="U819" s="109">
        <f t="shared" si="38"/>
        <v>733.1875</v>
      </c>
      <c r="V819" s="109">
        <f t="shared" si="39"/>
        <v>3788.6875</v>
      </c>
      <c r="W819" s="110">
        <f t="shared" si="40"/>
        <v>285.4375</v>
      </c>
      <c r="X819" s="106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5">
      <c r="A820" s="105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2">
        <f>SUM('Weekly Data'!J817:J820)/4</f>
        <v>1378.9860796174944</v>
      </c>
      <c r="I820" s="39"/>
      <c r="J820" s="101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1">
        <f>AVERAGE('Weekly Data'!I768,'Weekly Data'!I716,'Weekly Data'!I664,'Weekly Data'!I612)</f>
        <v>7359</v>
      </c>
      <c r="P820" s="203"/>
      <c r="Q820" s="39"/>
      <c r="R820" s="13">
        <f t="shared" si="35"/>
        <v>40030</v>
      </c>
      <c r="S820" s="106">
        <f t="shared" si="36"/>
        <v>1020.3125</v>
      </c>
      <c r="T820" s="106">
        <f t="shared" si="37"/>
        <v>2086.8125</v>
      </c>
      <c r="U820" s="109">
        <f t="shared" si="38"/>
        <v>673.875</v>
      </c>
      <c r="V820" s="109">
        <f t="shared" si="39"/>
        <v>3787.6875</v>
      </c>
      <c r="W820" s="110">
        <f t="shared" si="40"/>
        <v>301.75</v>
      </c>
      <c r="X820" s="106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5">
      <c r="A821" s="105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2">
        <f>SUM('Weekly Data'!J818:J821)/4</f>
        <v>1390.3253895458247</v>
      </c>
      <c r="I821" s="39"/>
      <c r="J821" s="101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1">
        <f>AVERAGE('Weekly Data'!I769,'Weekly Data'!I717,'Weekly Data'!I665,'Weekly Data'!I613)</f>
        <v>7875</v>
      </c>
      <c r="P821" s="203"/>
      <c r="Q821" s="39"/>
      <c r="R821" s="13">
        <f t="shared" ref="R821:R884" si="42">R820+7</f>
        <v>40037</v>
      </c>
      <c r="S821" s="106">
        <f t="shared" si="36"/>
        <v>1035.875</v>
      </c>
      <c r="T821" s="106">
        <f t="shared" si="37"/>
        <v>2257.375</v>
      </c>
      <c r="U821" s="109">
        <f t="shared" si="38"/>
        <v>696.1875</v>
      </c>
      <c r="V821" s="109">
        <f t="shared" si="39"/>
        <v>3836.3125</v>
      </c>
      <c r="W821" s="110">
        <f t="shared" si="40"/>
        <v>276.4375</v>
      </c>
      <c r="X821" s="106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5">
      <c r="A822" s="105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2">
        <f>SUM('Weekly Data'!J819:J822)/4</f>
        <v>1363.0270508294739</v>
      </c>
      <c r="I822" s="39"/>
      <c r="J822" s="101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1">
        <f>AVERAGE('Weekly Data'!I770,'Weekly Data'!I718,'Weekly Data'!I666,'Weekly Data'!I614)</f>
        <v>7759.25</v>
      </c>
      <c r="P822" s="203"/>
      <c r="Q822" s="39"/>
      <c r="R822" s="13">
        <f t="shared" si="42"/>
        <v>40044</v>
      </c>
      <c r="S822" s="106">
        <f t="shared" si="36"/>
        <v>1020.9375</v>
      </c>
      <c r="T822" s="106">
        <f t="shared" si="37"/>
        <v>2424.4375</v>
      </c>
      <c r="U822" s="109">
        <f t="shared" si="38"/>
        <v>691.75</v>
      </c>
      <c r="V822" s="109">
        <f t="shared" si="39"/>
        <v>3849.75</v>
      </c>
      <c r="W822" s="110">
        <f t="shared" si="40"/>
        <v>254.75</v>
      </c>
      <c r="X822" s="106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5">
      <c r="A823" s="105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2">
        <f>SUM('Weekly Data'!J820:J823)/4</f>
        <v>1361.1371658414191</v>
      </c>
      <c r="I823" s="39"/>
      <c r="J823" s="101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1">
        <f>AVERAGE('Weekly Data'!I771,'Weekly Data'!I719,'Weekly Data'!I667,'Weekly Data'!I615)</f>
        <v>8160</v>
      </c>
      <c r="P823" s="203"/>
      <c r="Q823" s="39"/>
      <c r="R823" s="13">
        <f t="shared" si="42"/>
        <v>40051</v>
      </c>
      <c r="S823" s="106">
        <f t="shared" si="36"/>
        <v>1122.1875</v>
      </c>
      <c r="T823" s="106">
        <f t="shared" si="37"/>
        <v>2476.75</v>
      </c>
      <c r="U823" s="109">
        <f t="shared" si="38"/>
        <v>711.25</v>
      </c>
      <c r="V823" s="109">
        <f t="shared" si="39"/>
        <v>3842.75</v>
      </c>
      <c r="W823" s="110">
        <f t="shared" si="40"/>
        <v>333.1875</v>
      </c>
      <c r="X823" s="106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5">
      <c r="A824" s="105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2">
        <f>SUM('Weekly Data'!J821:J824)/4</f>
        <v>1439.4623992352556</v>
      </c>
      <c r="I824" s="39"/>
      <c r="J824" s="101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1">
        <f>AVERAGE('Weekly Data'!I772,'Weekly Data'!I720,'Weekly Data'!I668,'Weekly Data'!I616)</f>
        <v>7252</v>
      </c>
      <c r="P824" s="203"/>
      <c r="Q824" s="39"/>
      <c r="R824" s="13">
        <f t="shared" si="42"/>
        <v>40058</v>
      </c>
      <c r="S824" s="106">
        <f t="shared" si="36"/>
        <v>1141.0625</v>
      </c>
      <c r="T824" s="106">
        <f t="shared" si="37"/>
        <v>2473.5</v>
      </c>
      <c r="U824" s="109">
        <f t="shared" si="38"/>
        <v>710.8125</v>
      </c>
      <c r="V824" s="109">
        <f t="shared" si="39"/>
        <v>3825.9375</v>
      </c>
      <c r="W824" s="110">
        <f t="shared" si="40"/>
        <v>334.6875</v>
      </c>
      <c r="X824" s="106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5">
      <c r="A825" s="105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2">
        <f>SUM('Weekly Data'!J822:J825)/4</f>
        <v>1519.8875048380423</v>
      </c>
      <c r="I825" s="39"/>
      <c r="J825" s="101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1">
        <f>AVERAGE('Weekly Data'!I773,'Weekly Data'!I721,'Weekly Data'!I669,'Weekly Data'!I617)</f>
        <v>8204.75</v>
      </c>
      <c r="P825" s="203"/>
      <c r="Q825" s="39"/>
      <c r="R825" s="13">
        <f t="shared" si="42"/>
        <v>40065</v>
      </c>
      <c r="S825" s="106">
        <f t="shared" si="36"/>
        <v>1167.375</v>
      </c>
      <c r="T825" s="106">
        <f t="shared" si="37"/>
        <v>2396.25</v>
      </c>
      <c r="U825" s="109">
        <f t="shared" si="38"/>
        <v>698.5</v>
      </c>
      <c r="V825" s="109">
        <f t="shared" si="39"/>
        <v>3829.25</v>
      </c>
      <c r="W825" s="110">
        <f t="shared" si="40"/>
        <v>387.25</v>
      </c>
      <c r="X825" s="106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5">
      <c r="A826" s="105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2">
        <f>SUM('Weekly Data'!J823:J826)/4</f>
        <v>1453.3215558143258</v>
      </c>
      <c r="I826" s="39"/>
      <c r="J826" s="101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1">
        <f>AVERAGE('Weekly Data'!I774,'Weekly Data'!I722,'Weekly Data'!I670,'Weekly Data'!I618)</f>
        <v>8050.5</v>
      </c>
      <c r="P826" s="203"/>
      <c r="Q826" s="39"/>
      <c r="R826" s="13">
        <f t="shared" si="42"/>
        <v>40072</v>
      </c>
      <c r="S826" s="106">
        <f t="shared" si="36"/>
        <v>1213.3125</v>
      </c>
      <c r="T826" s="106">
        <f t="shared" si="37"/>
        <v>2357.125</v>
      </c>
      <c r="U826" s="109">
        <f t="shared" si="38"/>
        <v>726.75</v>
      </c>
      <c r="V826" s="109">
        <f t="shared" si="39"/>
        <v>3871.625</v>
      </c>
      <c r="W826" s="110">
        <f t="shared" si="40"/>
        <v>435.3125</v>
      </c>
      <c r="X826" s="106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5">
      <c r="A827" s="105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2">
        <f>SUM('Weekly Data'!J824:J827)/4</f>
        <v>1331.3189804743281</v>
      </c>
      <c r="I827" s="39"/>
      <c r="J827" s="101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1">
        <f>AVERAGE('Weekly Data'!I775,'Weekly Data'!I723,'Weekly Data'!I671,'Weekly Data'!I619)</f>
        <v>8389.5</v>
      </c>
      <c r="P827" s="203"/>
      <c r="Q827" s="39"/>
      <c r="R827" s="13">
        <f t="shared" si="42"/>
        <v>40079</v>
      </c>
      <c r="S827" s="106">
        <f t="shared" si="36"/>
        <v>1301.5625</v>
      </c>
      <c r="T827" s="106">
        <f t="shared" si="37"/>
        <v>2421.6875</v>
      </c>
      <c r="U827" s="109">
        <f t="shared" si="38"/>
        <v>873.125</v>
      </c>
      <c r="V827" s="109">
        <f t="shared" si="39"/>
        <v>3745.5</v>
      </c>
      <c r="W827" s="110">
        <f t="shared" si="40"/>
        <v>469</v>
      </c>
      <c r="X827" s="106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5">
      <c r="A828" s="105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2">
        <f>SUM('Weekly Data'!J825:J828)/4</f>
        <v>1176.3484114538151</v>
      </c>
      <c r="I828" s="39"/>
      <c r="J828" s="101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1">
        <f>AVERAGE('Weekly Data'!I776,'Weekly Data'!I724,'Weekly Data'!I672,'Weekly Data'!I620)</f>
        <v>9401.75</v>
      </c>
      <c r="P828" s="203"/>
      <c r="Q828" s="39"/>
      <c r="R828" s="13">
        <f t="shared" si="42"/>
        <v>40086</v>
      </c>
      <c r="S828" s="106">
        <f t="shared" si="36"/>
        <v>1516.625</v>
      </c>
      <c r="T828" s="106">
        <f t="shared" si="37"/>
        <v>2344</v>
      </c>
      <c r="U828" s="109">
        <f t="shared" si="38"/>
        <v>903.375</v>
      </c>
      <c r="V828" s="109">
        <f t="shared" si="39"/>
        <v>3857.5</v>
      </c>
      <c r="W828" s="110">
        <f t="shared" si="40"/>
        <v>549.6875</v>
      </c>
      <c r="X828" s="106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5">
      <c r="A829" s="105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2">
        <f>SUM('Weekly Data'!J826:J829)/4</f>
        <v>1069.2549287973627</v>
      </c>
      <c r="I829" s="39"/>
      <c r="J829" s="101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1">
        <f>AVERAGE('Weekly Data'!I777,'Weekly Data'!I725,'Weekly Data'!I673,'Weekly Data'!I621)</f>
        <v>10346.75</v>
      </c>
      <c r="P829" s="203">
        <f>AVERAGE('Weekly Data'!J777,'Weekly Data'!J725,'Weekly Data'!J673,'Weekly Data'!J621)</f>
        <v>2414</v>
      </c>
      <c r="Q829" s="39"/>
      <c r="R829" s="13">
        <f t="shared" si="42"/>
        <v>40093</v>
      </c>
      <c r="S829" s="106">
        <f t="shared" si="36"/>
        <v>1776.125</v>
      </c>
      <c r="T829" s="106">
        <f t="shared" si="37"/>
        <v>2353.3125</v>
      </c>
      <c r="U829" s="109">
        <f t="shared" si="38"/>
        <v>936.6875</v>
      </c>
      <c r="V829" s="109">
        <f t="shared" si="39"/>
        <v>4136.25</v>
      </c>
      <c r="W829" s="110">
        <f t="shared" si="40"/>
        <v>600.9375</v>
      </c>
      <c r="X829" s="106">
        <f t="shared" si="41"/>
        <v>8866.625</v>
      </c>
      <c r="Y829" s="204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5">
      <c r="A830" s="105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2">
        <f>SUM('Weekly Data'!J827:J830)/4</f>
        <v>1236.1947694088913</v>
      </c>
      <c r="I830" s="39"/>
      <c r="J830" s="101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1">
        <f>AVERAGE('Weekly Data'!I778,'Weekly Data'!I726,'Weekly Data'!I674,'Weekly Data'!I622)</f>
        <v>11183.5</v>
      </c>
      <c r="P830" s="203">
        <f>AVERAGE('Weekly Data'!J778,'Weekly Data'!J726,'Weekly Data'!J674,'Weekly Data'!J622)</f>
        <v>2899.35</v>
      </c>
      <c r="Q830" s="39"/>
      <c r="R830" s="13">
        <f t="shared" si="42"/>
        <v>40100</v>
      </c>
      <c r="S830" s="106">
        <f t="shared" si="36"/>
        <v>2089.8125</v>
      </c>
      <c r="T830" s="106">
        <f t="shared" si="37"/>
        <v>2258.375</v>
      </c>
      <c r="U830" s="109">
        <f t="shared" si="38"/>
        <v>1031.4375</v>
      </c>
      <c r="V830" s="109">
        <f t="shared" si="39"/>
        <v>4610.1875</v>
      </c>
      <c r="W830" s="110">
        <f t="shared" si="40"/>
        <v>712.875</v>
      </c>
      <c r="X830" s="106">
        <f t="shared" si="41"/>
        <v>9671.25</v>
      </c>
      <c r="Y830" s="204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5">
      <c r="A831" s="105">
        <f t="shared" si="34"/>
        <v>40107</v>
      </c>
      <c r="B831" s="59">
        <f>SUM('Weekly Data'!D828:D831)/4</f>
        <v>1005</v>
      </c>
      <c r="C831" s="121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2">
        <f>SUM('Weekly Data'!J828:J831)/4</f>
        <v>1419.7236004711251</v>
      </c>
      <c r="I831" s="39"/>
      <c r="J831" s="101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1">
        <f>AVERAGE('Weekly Data'!I779,'Weekly Data'!I727,'Weekly Data'!I675,'Weekly Data'!I623)</f>
        <v>10588.75</v>
      </c>
      <c r="P831" s="203">
        <f>AVERAGE('Weekly Data'!J779,'Weekly Data'!J727,'Weekly Data'!J675,'Weekly Data'!J623)</f>
        <v>2689.4</v>
      </c>
      <c r="Q831" s="39"/>
      <c r="R831" s="13">
        <f t="shared" si="42"/>
        <v>40107</v>
      </c>
      <c r="S831" s="106">
        <f t="shared" si="36"/>
        <v>2220.4375</v>
      </c>
      <c r="T831" s="106">
        <f t="shared" si="37"/>
        <v>2091.8125</v>
      </c>
      <c r="U831" s="109">
        <f t="shared" si="38"/>
        <v>956.1875</v>
      </c>
      <c r="V831" s="109">
        <f t="shared" si="39"/>
        <v>5092.8125</v>
      </c>
      <c r="W831" s="110">
        <f t="shared" si="40"/>
        <v>762.1875</v>
      </c>
      <c r="X831" s="106">
        <f t="shared" si="41"/>
        <v>10167.25</v>
      </c>
      <c r="Y831" s="204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5">
      <c r="A832" s="105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2">
        <f>SUM('Weekly Data'!J829:J832)/4</f>
        <v>1534.1666358589025</v>
      </c>
      <c r="I832" s="39"/>
      <c r="J832" s="101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1">
        <f>AVERAGE('Weekly Data'!I780,'Weekly Data'!I728,'Weekly Data'!I676,'Weekly Data'!I624)</f>
        <v>10680</v>
      </c>
      <c r="P832" s="203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6">
        <f t="shared" si="36"/>
        <v>2286.4375</v>
      </c>
      <c r="T832" s="106">
        <f t="shared" si="37"/>
        <v>2191.875</v>
      </c>
      <c r="U832" s="109">
        <f t="shared" si="38"/>
        <v>1020.6875</v>
      </c>
      <c r="V832" s="109">
        <f t="shared" si="39"/>
        <v>5431.0625</v>
      </c>
      <c r="W832" s="110">
        <f t="shared" si="40"/>
        <v>823.375</v>
      </c>
      <c r="X832" s="106">
        <f t="shared" si="41"/>
        <v>10732.75</v>
      </c>
      <c r="Y832" s="204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5">
      <c r="A833" s="105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2">
        <f>SUM('Weekly Data'!J830:J833)/4</f>
        <v>1664.9886744764904</v>
      </c>
      <c r="I833" s="39"/>
      <c r="J833" s="101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1">
        <f>AVERAGE('Weekly Data'!I781,'Weekly Data'!I729,'Weekly Data'!I677,'Weekly Data'!I625)</f>
        <v>9487.5</v>
      </c>
      <c r="P833" s="203">
        <f>AVERAGE('Weekly Data'!J781,'Weekly Data'!J729,'Weekly Data'!J677,'Weekly Data'!J625)</f>
        <v>1905.7</v>
      </c>
      <c r="Q833" s="39"/>
      <c r="R833" s="13">
        <f t="shared" si="42"/>
        <v>40121</v>
      </c>
      <c r="S833" s="106">
        <f t="shared" si="36"/>
        <v>2230.9375</v>
      </c>
      <c r="T833" s="106">
        <f t="shared" si="37"/>
        <v>2061.3125</v>
      </c>
      <c r="U833" s="109">
        <f t="shared" si="38"/>
        <v>1187.5625</v>
      </c>
      <c r="V833" s="109">
        <f t="shared" si="39"/>
        <v>5453.1875</v>
      </c>
      <c r="W833" s="110">
        <f t="shared" si="40"/>
        <v>870.125</v>
      </c>
      <c r="X833" s="106">
        <f t="shared" si="41"/>
        <v>10615.5625</v>
      </c>
      <c r="Y833" s="204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5">
      <c r="A834" s="105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2">
        <f>SUM('Weekly Data'!J831:J834)/4</f>
        <v>1678.8478310555608</v>
      </c>
      <c r="I834" s="39"/>
      <c r="J834" s="101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1">
        <f>AVERAGE('Weekly Data'!I782,'Weekly Data'!I730,'Weekly Data'!I678,'Weekly Data'!I626)</f>
        <v>8769</v>
      </c>
      <c r="P834" s="203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6">
        <f t="shared" si="36"/>
        <v>2055.4375</v>
      </c>
      <c r="T834" s="106">
        <f t="shared" si="37"/>
        <v>2072.0625</v>
      </c>
      <c r="U834" s="109">
        <f t="shared" si="38"/>
        <v>1105.1875</v>
      </c>
      <c r="V834" s="109">
        <f t="shared" si="39"/>
        <v>4967.375</v>
      </c>
      <c r="W834" s="110">
        <f t="shared" si="40"/>
        <v>858.5625</v>
      </c>
      <c r="X834" s="106">
        <f t="shared" si="41"/>
        <v>9953.4375</v>
      </c>
      <c r="Y834" s="204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5">
      <c r="A835" s="105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2">
        <f>SUM('Weekly Data'!J832:J835)/4</f>
        <v>1787.2012370373832</v>
      </c>
      <c r="I835" s="39"/>
      <c r="J835" s="101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1">
        <f>AVERAGE('Weekly Data'!I783,'Weekly Data'!I731,'Weekly Data'!I679,'Weekly Data'!I627)</f>
        <v>9459.5</v>
      </c>
      <c r="P835" s="203">
        <f>AVERAGE('Weekly Data'!J783,'Weekly Data'!J731,'Weekly Data'!J679,'Weekly Data'!J627)</f>
        <v>2061.25</v>
      </c>
      <c r="Q835" s="39"/>
      <c r="R835" s="13">
        <f t="shared" si="42"/>
        <v>40135</v>
      </c>
      <c r="S835" s="106">
        <f t="shared" si="36"/>
        <v>1870.25</v>
      </c>
      <c r="T835" s="106">
        <f t="shared" si="37"/>
        <v>2061.9375</v>
      </c>
      <c r="U835" s="109">
        <f t="shared" si="38"/>
        <v>1097.75</v>
      </c>
      <c r="V835" s="109">
        <f t="shared" si="39"/>
        <v>4883.5625</v>
      </c>
      <c r="W835" s="110">
        <f t="shared" si="40"/>
        <v>896</v>
      </c>
      <c r="X835" s="106">
        <f t="shared" si="41"/>
        <v>9711.75</v>
      </c>
      <c r="Y835" s="204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5">
      <c r="A836" s="105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2">
        <f>SUM('Weekly Data'!J833:J836)/4</f>
        <v>1824.7889495775889</v>
      </c>
      <c r="I836" s="39"/>
      <c r="J836" s="101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1">
        <f>AVERAGE('Weekly Data'!I784,'Weekly Data'!I732,'Weekly Data'!I680,'Weekly Data'!I628)</f>
        <v>8272.25</v>
      </c>
      <c r="P836" s="203">
        <f>AVERAGE('Weekly Data'!J784,'Weekly Data'!J732,'Weekly Data'!J680,'Weekly Data'!J628)</f>
        <v>2119.9</v>
      </c>
      <c r="Q836" s="39"/>
      <c r="R836" s="13">
        <f t="shared" si="42"/>
        <v>40142</v>
      </c>
      <c r="S836" s="106">
        <f t="shared" si="36"/>
        <v>1707.1875</v>
      </c>
      <c r="T836" s="106">
        <f t="shared" si="37"/>
        <v>1991.0625</v>
      </c>
      <c r="U836" s="109">
        <f t="shared" si="38"/>
        <v>995.8125</v>
      </c>
      <c r="V836" s="109">
        <f t="shared" si="39"/>
        <v>4508.875</v>
      </c>
      <c r="W836" s="110">
        <f t="shared" si="40"/>
        <v>866.75</v>
      </c>
      <c r="X836" s="106">
        <f t="shared" si="41"/>
        <v>9073.875</v>
      </c>
      <c r="Y836" s="204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5">
      <c r="A837" s="105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2">
        <f>SUM('Weekly Data'!J834:J837)/4</f>
        <v>1828.5687195536989</v>
      </c>
      <c r="I837" s="39"/>
      <c r="J837" s="101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1">
        <f>AVERAGE('Weekly Data'!I785,'Weekly Data'!I733,'Weekly Data'!I681,'Weekly Data'!I629)</f>
        <v>8631.25</v>
      </c>
      <c r="P837" s="203">
        <f>AVERAGE('Weekly Data'!J785,'Weekly Data'!J733,'Weekly Data'!J681,'Weekly Data'!J629)</f>
        <v>1609.05</v>
      </c>
      <c r="Q837" s="39"/>
      <c r="R837" s="13">
        <f t="shared" si="42"/>
        <v>40149</v>
      </c>
      <c r="S837" s="106">
        <f t="shared" si="36"/>
        <v>1609.4375</v>
      </c>
      <c r="T837" s="106">
        <f t="shared" si="37"/>
        <v>1978.9375</v>
      </c>
      <c r="U837" s="109">
        <f t="shared" si="38"/>
        <v>888.6875</v>
      </c>
      <c r="V837" s="109">
        <f t="shared" si="39"/>
        <v>4378.625</v>
      </c>
      <c r="W837" s="110">
        <f t="shared" si="40"/>
        <v>846.3125</v>
      </c>
      <c r="X837" s="106">
        <f t="shared" si="41"/>
        <v>8813.3125</v>
      </c>
      <c r="Y837" s="204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5">
      <c r="A838" s="105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2">
        <f>SUM('Weekly Data'!J835:J838)/4</f>
        <v>1669.6083933361806</v>
      </c>
      <c r="I838" s="39"/>
      <c r="J838" s="101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1">
        <f>AVERAGE('Weekly Data'!I786,'Weekly Data'!I734,'Weekly Data'!I682,'Weekly Data'!I630)</f>
        <v>8955</v>
      </c>
      <c r="P838" s="203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6">
        <f t="shared" si="36"/>
        <v>1536.6875</v>
      </c>
      <c r="T838" s="106">
        <f t="shared" si="37"/>
        <v>1905.6875</v>
      </c>
      <c r="U838" s="109">
        <f t="shared" si="38"/>
        <v>895.6875</v>
      </c>
      <c r="V838" s="109">
        <f t="shared" si="39"/>
        <v>4600.0625</v>
      </c>
      <c r="W838" s="110">
        <f t="shared" si="40"/>
        <v>824.3125</v>
      </c>
      <c r="X838" s="106">
        <f t="shared" si="41"/>
        <v>8866.75</v>
      </c>
      <c r="Y838" s="204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5">
      <c r="A839" s="105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2">
        <f>SUM('Weekly Data'!J836:J839)/4</f>
        <v>1613.3318181363195</v>
      </c>
      <c r="I839" s="39"/>
      <c r="J839" s="101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1">
        <f>AVERAGE('Weekly Data'!I787,'Weekly Data'!I735,'Weekly Data'!I683,'Weekly Data'!I631)</f>
        <v>7962.5</v>
      </c>
      <c r="P839" s="203">
        <f>AVERAGE('Weekly Data'!J787,'Weekly Data'!J735,'Weekly Data'!J683,'Weekly Data'!J631)</f>
        <v>1535.95</v>
      </c>
      <c r="Q839" s="39"/>
      <c r="R839" s="13">
        <f t="shared" si="42"/>
        <v>40163</v>
      </c>
      <c r="S839" s="106">
        <f t="shared" si="36"/>
        <v>1509.125</v>
      </c>
      <c r="T839" s="106">
        <f t="shared" si="37"/>
        <v>1854.3125</v>
      </c>
      <c r="U839" s="109">
        <f t="shared" si="38"/>
        <v>864.375</v>
      </c>
      <c r="V839" s="109">
        <f t="shared" si="39"/>
        <v>4432.1875</v>
      </c>
      <c r="W839" s="110">
        <f t="shared" si="40"/>
        <v>690.5625</v>
      </c>
      <c r="X839" s="106">
        <f t="shared" si="41"/>
        <v>8486.1875</v>
      </c>
      <c r="Y839" s="204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5">
      <c r="A840" s="105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2">
        <f>SUM('Weekly Data'!J837:J840)/4</f>
        <v>1519.2575431753573</v>
      </c>
      <c r="I840" s="39"/>
      <c r="J840" s="101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1">
        <f>AVERAGE('Weekly Data'!I788,'Weekly Data'!I736,'Weekly Data'!I684,'Weekly Data'!I632)</f>
        <v>6555.5</v>
      </c>
      <c r="P840" s="203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6">
        <f t="shared" si="36"/>
        <v>1467.3125</v>
      </c>
      <c r="T840" s="106">
        <f t="shared" si="37"/>
        <v>1733.4375</v>
      </c>
      <c r="U840" s="109">
        <f t="shared" si="38"/>
        <v>908.875</v>
      </c>
      <c r="V840" s="109">
        <f t="shared" si="39"/>
        <v>4308.75</v>
      </c>
      <c r="W840" s="110">
        <f t="shared" si="40"/>
        <v>632.125</v>
      </c>
      <c r="X840" s="106">
        <f t="shared" si="41"/>
        <v>8141.625</v>
      </c>
      <c r="Y840" s="204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5">
      <c r="A841" s="105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2">
        <f>SUM('Weekly Data'!J838:J841)/4</f>
        <v>1507.9182332470273</v>
      </c>
      <c r="I841" s="39"/>
      <c r="J841" s="101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1">
        <f>AVERAGE('Weekly Data'!I789,'Weekly Data'!I737,'Weekly Data'!I685,'Weekly Data'!I633)</f>
        <v>7378.5</v>
      </c>
      <c r="P841" s="203">
        <f>AVERAGE('Weekly Data'!J789,'Weekly Data'!J737,'Weekly Data'!J685,'Weekly Data'!J633)</f>
        <v>1412.7</v>
      </c>
      <c r="Q841" s="39"/>
      <c r="R841" s="13">
        <f t="shared" si="42"/>
        <v>40177</v>
      </c>
      <c r="S841" s="106">
        <f t="shared" si="36"/>
        <v>1336.375</v>
      </c>
      <c r="T841" s="106">
        <f t="shared" si="37"/>
        <v>1700.5625</v>
      </c>
      <c r="U841" s="109">
        <f t="shared" si="38"/>
        <v>788.6875</v>
      </c>
      <c r="V841" s="109">
        <f t="shared" si="39"/>
        <v>4091.9375</v>
      </c>
      <c r="W841" s="110">
        <f t="shared" si="40"/>
        <v>565.75</v>
      </c>
      <c r="X841" s="106">
        <f t="shared" si="41"/>
        <v>7694.625</v>
      </c>
      <c r="Y841" s="204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5">
      <c r="A842" s="105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2">
        <f>SUM('Weekly Data'!J839:J842)/4</f>
        <v>1541.5161885902278</v>
      </c>
      <c r="I842" s="39"/>
      <c r="J842" s="101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1">
        <f>AVERAGE('Weekly Data'!I790,'Weekly Data'!I738,'Weekly Data'!I686,'Weekly Data'!I634)</f>
        <v>8196.75</v>
      </c>
      <c r="P842" s="203">
        <f>AVERAGE('Weekly Data'!J790,'Weekly Data'!J738,'Weekly Data'!J686,'Weekly Data'!J634)</f>
        <v>1072.7</v>
      </c>
      <c r="Q842" s="39"/>
      <c r="R842" s="13">
        <f t="shared" si="42"/>
        <v>40184</v>
      </c>
      <c r="S842" s="106">
        <f t="shared" si="36"/>
        <v>1299.75</v>
      </c>
      <c r="T842" s="106">
        <f t="shared" si="37"/>
        <v>1741.875</v>
      </c>
      <c r="U842" s="109">
        <f t="shared" si="38"/>
        <v>733.9375</v>
      </c>
      <c r="V842" s="109">
        <f t="shared" si="39"/>
        <v>3869.8125</v>
      </c>
      <c r="W842" s="110">
        <f t="shared" si="40"/>
        <v>576.25</v>
      </c>
      <c r="X842" s="106">
        <f t="shared" si="41"/>
        <v>7487.6875</v>
      </c>
      <c r="Y842" s="204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5">
      <c r="A843" s="105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2">
        <f>SUM('Weekly Data'!J840:J843)/4</f>
        <v>1554.4249373686887</v>
      </c>
      <c r="I843" s="39"/>
      <c r="J843" s="101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1">
        <f>AVERAGE('Weekly Data'!I791,'Weekly Data'!I739,'Weekly Data'!I687,'Weekly Data'!I635)</f>
        <v>8253.25</v>
      </c>
      <c r="P843" s="203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6">
        <f t="shared" si="36"/>
        <v>1382.0625</v>
      </c>
      <c r="T843" s="106">
        <f t="shared" si="37"/>
        <v>1761.625</v>
      </c>
      <c r="U843" s="109">
        <f t="shared" si="38"/>
        <v>669.25</v>
      </c>
      <c r="V843" s="109">
        <f t="shared" si="39"/>
        <v>3835.125</v>
      </c>
      <c r="W843" s="110">
        <f t="shared" si="40"/>
        <v>642.25</v>
      </c>
      <c r="X843" s="106">
        <f t="shared" si="41"/>
        <v>7621.0625</v>
      </c>
      <c r="Y843" s="204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5">
      <c r="A844" s="105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2">
        <f>SUM('Weekly Data'!J841:J844)/4</f>
        <v>1516.9257770680408</v>
      </c>
      <c r="I844" s="39"/>
      <c r="J844" s="101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1">
        <f>AVERAGE('Weekly Data'!I792,'Weekly Data'!I740,'Weekly Data'!I688,'Weekly Data'!I636)</f>
        <v>9020</v>
      </c>
      <c r="P844" s="203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6">
        <f t="shared" si="36"/>
        <v>1434.5</v>
      </c>
      <c r="T844" s="106">
        <f t="shared" si="37"/>
        <v>1840.625</v>
      </c>
      <c r="U844" s="109">
        <f t="shared" si="38"/>
        <v>637.5625</v>
      </c>
      <c r="V844" s="109">
        <f t="shared" si="39"/>
        <v>4075.9375</v>
      </c>
      <c r="W844" s="110">
        <f t="shared" si="40"/>
        <v>659.125</v>
      </c>
      <c r="X844" s="106">
        <f t="shared" si="41"/>
        <v>8010.1875</v>
      </c>
      <c r="Y844" s="204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5">
      <c r="A845" s="105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2">
        <f>SUM('Weekly Data'!J842:J845)/4</f>
        <v>1664.1410968892681</v>
      </c>
      <c r="I845" s="39"/>
      <c r="J845" s="101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1">
        <f>AVERAGE('Weekly Data'!I793,'Weekly Data'!I741,'Weekly Data'!I689,'Weekly Data'!I637)</f>
        <v>8732.75</v>
      </c>
      <c r="P845" s="203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6">
        <f t="shared" si="36"/>
        <v>1614.375</v>
      </c>
      <c r="T845" s="106">
        <f t="shared" si="37"/>
        <v>1808.8125</v>
      </c>
      <c r="U845" s="109">
        <f t="shared" si="38"/>
        <v>679.375</v>
      </c>
      <c r="V845" s="109">
        <f t="shared" si="39"/>
        <v>4304.625</v>
      </c>
      <c r="W845" s="110">
        <f t="shared" si="40"/>
        <v>757.1875</v>
      </c>
      <c r="X845" s="106">
        <f t="shared" si="41"/>
        <v>8485</v>
      </c>
      <c r="Y845" s="204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5">
      <c r="A846" s="105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2">
        <f>SUM('Weekly Data'!J843:J846)/4</f>
        <v>1650.8451204558573</v>
      </c>
      <c r="I846" s="39"/>
      <c r="J846" s="101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1">
        <f>AVERAGE('Weekly Data'!I794,'Weekly Data'!I742,'Weekly Data'!I690,'Weekly Data'!I638)</f>
        <v>8384.75</v>
      </c>
      <c r="P846" s="203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6">
        <f t="shared" si="36"/>
        <v>1602</v>
      </c>
      <c r="T846" s="106">
        <f t="shared" si="37"/>
        <v>1792.5</v>
      </c>
      <c r="U846" s="109">
        <f t="shared" si="38"/>
        <v>611.1875</v>
      </c>
      <c r="V846" s="109">
        <f t="shared" si="39"/>
        <v>4427.8125</v>
      </c>
      <c r="W846" s="110">
        <f t="shared" si="40"/>
        <v>723.375</v>
      </c>
      <c r="X846" s="106">
        <f t="shared" si="41"/>
        <v>8545.6875</v>
      </c>
      <c r="Y846" s="204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5">
      <c r="A847" s="105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2">
        <f>SUM('Weekly Data'!J844:J847)/4</f>
        <v>1554.4260350548184</v>
      </c>
      <c r="I847" s="39"/>
      <c r="J847" s="101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1">
        <f>AVERAGE('Weekly Data'!I795,'Weekly Data'!I743,'Weekly Data'!I691,'Weekly Data'!I639)</f>
        <v>9243.5</v>
      </c>
      <c r="P847" s="203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6">
        <f t="shared" si="36"/>
        <v>1639.4375</v>
      </c>
      <c r="T847" s="106">
        <f t="shared" si="37"/>
        <v>1883.3125</v>
      </c>
      <c r="U847" s="109">
        <f t="shared" si="38"/>
        <v>696</v>
      </c>
      <c r="V847" s="109">
        <f t="shared" si="39"/>
        <v>4486.75</v>
      </c>
      <c r="W847" s="110">
        <f t="shared" si="40"/>
        <v>707.0625</v>
      </c>
      <c r="X847" s="106">
        <f t="shared" si="41"/>
        <v>8716.5625</v>
      </c>
      <c r="Y847" s="204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5">
      <c r="A848" s="105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2">
        <f>SUM('Weekly Data'!J845:J848)/4</f>
        <v>1737.9761288228508</v>
      </c>
      <c r="I848" s="39"/>
      <c r="J848" s="101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1">
        <f>AVERAGE('Weekly Data'!I796,'Weekly Data'!I744,'Weekly Data'!I692,'Weekly Data'!I640)</f>
        <v>8342</v>
      </c>
      <c r="P848" s="203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6">
        <f t="shared" si="36"/>
        <v>1649.1875</v>
      </c>
      <c r="T848" s="106">
        <f t="shared" si="37"/>
        <v>1940.25</v>
      </c>
      <c r="U848" s="109">
        <f t="shared" si="38"/>
        <v>630.1875</v>
      </c>
      <c r="V848" s="109">
        <f t="shared" si="39"/>
        <v>4383</v>
      </c>
      <c r="W848" s="110">
        <f t="shared" si="40"/>
        <v>712.625</v>
      </c>
      <c r="X848" s="106">
        <f t="shared" si="41"/>
        <v>8685.0625</v>
      </c>
      <c r="Y848" s="204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5">
      <c r="A849" s="105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2">
        <f>SUM('Weekly Data'!J846:J849)/4</f>
        <v>1534.080723456434</v>
      </c>
      <c r="I849" s="39"/>
      <c r="J849" s="101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1">
        <f>AVERAGE('Weekly Data'!I797,'Weekly Data'!I745,'Weekly Data'!I693,'Weekly Data'!I641)</f>
        <v>8567</v>
      </c>
      <c r="P849" s="203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6">
        <f t="shared" si="36"/>
        <v>1553.9375</v>
      </c>
      <c r="T849" s="106">
        <f t="shared" si="37"/>
        <v>2004.4375</v>
      </c>
      <c r="U849" s="109">
        <f t="shared" si="38"/>
        <v>664.5</v>
      </c>
      <c r="V849" s="109">
        <f t="shared" si="39"/>
        <v>4445.375</v>
      </c>
      <c r="W849" s="110">
        <f t="shared" si="40"/>
        <v>669.5625</v>
      </c>
      <c r="X849" s="106">
        <f t="shared" si="41"/>
        <v>8673.3125</v>
      </c>
      <c r="Y849" s="204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5">
      <c r="A850" s="105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2">
        <f>SUM('Weekly Data'!J847:J850)/4</f>
        <v>1683.795679457588</v>
      </c>
      <c r="I850" s="39"/>
      <c r="J850" s="101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1">
        <f>AVERAGE('Weekly Data'!I798,'Weekly Data'!I746,'Weekly Data'!I694,'Weekly Data'!I642)</f>
        <v>9312.75</v>
      </c>
      <c r="P850" s="203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6">
        <f t="shared" si="36"/>
        <v>1620</v>
      </c>
      <c r="T850" s="106">
        <f t="shared" si="37"/>
        <v>1993.5625</v>
      </c>
      <c r="U850" s="109">
        <f t="shared" si="38"/>
        <v>780.625</v>
      </c>
      <c r="V850" s="109">
        <f t="shared" si="39"/>
        <v>4511.625</v>
      </c>
      <c r="W850" s="110">
        <f t="shared" si="40"/>
        <v>682.6875</v>
      </c>
      <c r="X850" s="106">
        <f t="shared" si="41"/>
        <v>8807.875</v>
      </c>
      <c r="Y850" s="204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5">
      <c r="A851" s="105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2">
        <f>SUM('Weekly Data'!J848:J851)/4</f>
        <v>1809.1847194171958</v>
      </c>
      <c r="I851" s="39"/>
      <c r="J851" s="101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1">
        <f>AVERAGE('Weekly Data'!I799,'Weekly Data'!I747,'Weekly Data'!I695,'Weekly Data'!I643)</f>
        <v>8919.25</v>
      </c>
      <c r="P851" s="203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6">
        <f t="shared" si="36"/>
        <v>1610.6875</v>
      </c>
      <c r="T851" s="106">
        <f t="shared" si="37"/>
        <v>1969.6875</v>
      </c>
      <c r="U851" s="109">
        <f t="shared" si="38"/>
        <v>832.6875</v>
      </c>
      <c r="V851" s="109">
        <f t="shared" si="39"/>
        <v>4526</v>
      </c>
      <c r="W851" s="110">
        <f t="shared" si="40"/>
        <v>707.3125</v>
      </c>
      <c r="X851" s="106">
        <f t="shared" si="41"/>
        <v>8813.6875</v>
      </c>
      <c r="Y851" s="204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5">
      <c r="A852" s="105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2">
        <f>SUM('Weekly Data'!J849:J852)/4</f>
        <v>1918.2090522215813</v>
      </c>
      <c r="I852" s="39"/>
      <c r="J852" s="101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1">
        <f>AVERAGE('Weekly Data'!I800,'Weekly Data'!I748,'Weekly Data'!I696,'Weekly Data'!I644)</f>
        <v>8243.75</v>
      </c>
      <c r="P852" s="203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6">
        <f t="shared" si="36"/>
        <v>1520.75</v>
      </c>
      <c r="T852" s="106">
        <f t="shared" si="37"/>
        <v>1879.9375</v>
      </c>
      <c r="U852" s="109">
        <f t="shared" si="38"/>
        <v>856.6875</v>
      </c>
      <c r="V852" s="109">
        <f t="shared" si="39"/>
        <v>4649.9375</v>
      </c>
      <c r="W852" s="110">
        <f t="shared" si="40"/>
        <v>710.5</v>
      </c>
      <c r="X852" s="106">
        <f t="shared" si="41"/>
        <v>8761.125</v>
      </c>
      <c r="Y852" s="204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5">
      <c r="A853" s="105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2">
        <f>SUM('Weekly Data'!J850:J853)/4</f>
        <v>2130.9502452394695</v>
      </c>
      <c r="I853" s="39"/>
      <c r="J853" s="101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1">
        <f>AVERAGE('Weekly Data'!I801,'Weekly Data'!I749,'Weekly Data'!I697,'Weekly Data'!I645)</f>
        <v>8214</v>
      </c>
      <c r="P853" s="203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6">
        <f t="shared" si="36"/>
        <v>1423.6875</v>
      </c>
      <c r="T853" s="106">
        <f t="shared" si="37"/>
        <v>1807.75</v>
      </c>
      <c r="U853" s="109">
        <f t="shared" si="38"/>
        <v>881</v>
      </c>
      <c r="V853" s="109">
        <f t="shared" si="39"/>
        <v>4780.1875</v>
      </c>
      <c r="W853" s="110">
        <f t="shared" si="40"/>
        <v>695.1875</v>
      </c>
      <c r="X853" s="106">
        <f t="shared" si="41"/>
        <v>8706.8125</v>
      </c>
      <c r="Y853" s="204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5">
      <c r="A854" s="105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2">
        <f>SUM('Weekly Data'!J851:J854)/4</f>
        <v>2276.9057414887484</v>
      </c>
      <c r="I854" s="39"/>
      <c r="J854" s="101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1">
        <f>AVERAGE('Weekly Data'!I802,'Weekly Data'!I750,'Weekly Data'!I698,'Weekly Data'!I646)</f>
        <v>7926.25</v>
      </c>
      <c r="P854" s="203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6">
        <f t="shared" si="36"/>
        <v>1228.75</v>
      </c>
      <c r="T854" s="106">
        <f t="shared" si="37"/>
        <v>1811.5625</v>
      </c>
      <c r="U854" s="109">
        <f t="shared" si="38"/>
        <v>841.25</v>
      </c>
      <c r="V854" s="109">
        <f t="shared" si="39"/>
        <v>4708.875</v>
      </c>
      <c r="W854" s="110">
        <f t="shared" si="40"/>
        <v>674.3125</v>
      </c>
      <c r="X854" s="106">
        <f t="shared" si="41"/>
        <v>8423.5</v>
      </c>
      <c r="Y854" s="204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5">
      <c r="A855" s="105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2">
        <f>SUM('Weekly Data'!J852:J855)/4</f>
        <v>2245.7243400173111</v>
      </c>
      <c r="I855" s="39"/>
      <c r="J855" s="101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1">
        <f>AVERAGE('Weekly Data'!I803,'Weekly Data'!I751,'Weekly Data'!I699,'Weekly Data'!I647)</f>
        <v>7316.75</v>
      </c>
      <c r="P855" s="203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6">
        <f t="shared" si="36"/>
        <v>1036.125</v>
      </c>
      <c r="T855" s="106">
        <f t="shared" si="37"/>
        <v>1756.6875</v>
      </c>
      <c r="U855" s="109">
        <f t="shared" si="38"/>
        <v>852.25</v>
      </c>
      <c r="V855" s="109">
        <f t="shared" si="39"/>
        <v>4704.4375</v>
      </c>
      <c r="W855" s="110">
        <f t="shared" si="40"/>
        <v>624.9375</v>
      </c>
      <c r="X855" s="106">
        <f t="shared" si="41"/>
        <v>8122.1875</v>
      </c>
      <c r="Y855" s="204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5">
      <c r="A856" s="105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2">
        <f>SUM('Weekly Data'!J853:J856)/4</f>
        <v>2140.2383222735143</v>
      </c>
      <c r="I856" s="39"/>
      <c r="J856" s="101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1">
        <f>AVERAGE('Weekly Data'!I804,'Weekly Data'!I752,'Weekly Data'!I700,'Weekly Data'!I648)</f>
        <v>7839.75</v>
      </c>
      <c r="P856" s="203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6">
        <f t="shared" si="36"/>
        <v>981.1875</v>
      </c>
      <c r="T856" s="106">
        <f t="shared" si="37"/>
        <v>1725</v>
      </c>
      <c r="U856" s="109">
        <f t="shared" si="38"/>
        <v>902.25</v>
      </c>
      <c r="V856" s="109">
        <f t="shared" si="39"/>
        <v>4689.8125</v>
      </c>
      <c r="W856" s="110">
        <f t="shared" si="40"/>
        <v>580.6875</v>
      </c>
      <c r="X856" s="106">
        <f t="shared" si="41"/>
        <v>7976.6875</v>
      </c>
      <c r="Y856" s="204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5">
      <c r="A857" s="105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2">
        <f>SUM('Weekly Data'!J854:J857)/4</f>
        <v>2139.1325988170802</v>
      </c>
      <c r="I857" s="39"/>
      <c r="J857" s="101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1">
        <f>AVERAGE('Weekly Data'!I805,'Weekly Data'!I753,'Weekly Data'!I701,'Weekly Data'!I649)</f>
        <v>7098.5</v>
      </c>
      <c r="P857" s="203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6">
        <f t="shared" si="36"/>
        <v>880.125</v>
      </c>
      <c r="T857" s="106">
        <f t="shared" si="37"/>
        <v>1654.5</v>
      </c>
      <c r="U857" s="109">
        <f t="shared" si="38"/>
        <v>885.5625</v>
      </c>
      <c r="V857" s="109">
        <f t="shared" si="39"/>
        <v>4515.3125</v>
      </c>
      <c r="W857" s="110">
        <f t="shared" si="40"/>
        <v>495</v>
      </c>
      <c r="X857" s="106">
        <f t="shared" si="41"/>
        <v>7544.9375</v>
      </c>
      <c r="Y857" s="204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5">
      <c r="A858" s="105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2">
        <f>SUM('Weekly Data'!J855:J858)/4</f>
        <v>2215.6486620023084</v>
      </c>
      <c r="I858" s="39"/>
      <c r="J858" s="101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1">
        <f>AVERAGE('Weekly Data'!I806,'Weekly Data'!I754,'Weekly Data'!I702,'Weekly Data'!I650)</f>
        <v>7110</v>
      </c>
      <c r="P858" s="203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6">
        <f t="shared" si="36"/>
        <v>841.0625</v>
      </c>
      <c r="T858" s="106">
        <f t="shared" si="37"/>
        <v>1623.3125</v>
      </c>
      <c r="U858" s="109">
        <f t="shared" si="38"/>
        <v>914.5</v>
      </c>
      <c r="V858" s="109">
        <f t="shared" si="39"/>
        <v>4517.4375</v>
      </c>
      <c r="W858" s="110">
        <f t="shared" si="40"/>
        <v>445.875</v>
      </c>
      <c r="X858" s="106">
        <f t="shared" si="41"/>
        <v>7427.6875</v>
      </c>
      <c r="Y858" s="204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5">
      <c r="A859" s="105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2">
        <f>SUM('Weekly Data'!J856:J859)/4</f>
        <v>2222.9464368147724</v>
      </c>
      <c r="I859" s="39"/>
      <c r="J859" s="101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1">
        <f>AVERAGE('Weekly Data'!I807,'Weekly Data'!I755,'Weekly Data'!I703,'Weekly Data'!I651)</f>
        <v>7089.25</v>
      </c>
      <c r="P859" s="203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6">
        <f t="shared" si="36"/>
        <v>744.4375</v>
      </c>
      <c r="T859" s="106">
        <f t="shared" si="37"/>
        <v>1627.875</v>
      </c>
      <c r="U859" s="109">
        <f t="shared" si="38"/>
        <v>907.5</v>
      </c>
      <c r="V859" s="109">
        <f t="shared" si="39"/>
        <v>4466.4375</v>
      </c>
      <c r="W859" s="110">
        <f t="shared" si="40"/>
        <v>455.9375</v>
      </c>
      <c r="X859" s="106">
        <f t="shared" si="41"/>
        <v>7294.6875</v>
      </c>
      <c r="Y859" s="204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5">
      <c r="A860" s="105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2">
        <f>SUM('Weekly Data'!J857:J860)/4</f>
        <v>2241.743735574149</v>
      </c>
      <c r="I860" s="39"/>
      <c r="J860" s="101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1">
        <f>AVERAGE('Weekly Data'!I808,'Weekly Data'!I756,'Weekly Data'!I704,'Weekly Data'!I652)</f>
        <v>5885.75</v>
      </c>
      <c r="P860" s="203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6">
        <f t="shared" si="36"/>
        <v>639.3125</v>
      </c>
      <c r="T860" s="106">
        <f t="shared" si="37"/>
        <v>1533.5</v>
      </c>
      <c r="U860" s="109">
        <f t="shared" si="38"/>
        <v>943.5625</v>
      </c>
      <c r="V860" s="109">
        <f t="shared" si="39"/>
        <v>4201.0625</v>
      </c>
      <c r="W860" s="110">
        <f t="shared" si="40"/>
        <v>429.5</v>
      </c>
      <c r="X860" s="106">
        <f t="shared" si="41"/>
        <v>6803.375</v>
      </c>
      <c r="Y860" s="204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5">
      <c r="A861" s="105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2">
        <f>SUM('Weekly Data'!J858:J861)/4</f>
        <v>2232.8979479226773</v>
      </c>
      <c r="I861" s="39"/>
      <c r="J861" s="101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1">
        <f>AVERAGE('Weekly Data'!I809,'Weekly Data'!I757,'Weekly Data'!I705,'Weekly Data'!I653)</f>
        <v>6135.75</v>
      </c>
      <c r="P861" s="203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6">
        <f t="shared" si="36"/>
        <v>610</v>
      </c>
      <c r="T861" s="106">
        <f t="shared" si="37"/>
        <v>1507.875</v>
      </c>
      <c r="U861" s="109">
        <f t="shared" si="38"/>
        <v>948.0625</v>
      </c>
      <c r="V861" s="109">
        <f t="shared" si="39"/>
        <v>4048.6875</v>
      </c>
      <c r="W861" s="110">
        <f t="shared" si="40"/>
        <v>422.5625</v>
      </c>
      <c r="X861" s="106">
        <f t="shared" si="41"/>
        <v>6589.125</v>
      </c>
      <c r="Y861" s="204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5">
      <c r="A862" s="105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2">
        <f>SUM('Weekly Data'!J859:J862)/4</f>
        <v>2111.2683677149453</v>
      </c>
      <c r="I862" s="39"/>
      <c r="J862" s="101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1">
        <f>AVERAGE('Weekly Data'!I810,'Weekly Data'!I758,'Weekly Data'!I706,'Weekly Data'!I654)</f>
        <v>6049</v>
      </c>
      <c r="P862" s="203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6">
        <f t="shared" si="36"/>
        <v>555.625</v>
      </c>
      <c r="T862" s="106">
        <f t="shared" si="37"/>
        <v>1355</v>
      </c>
      <c r="U862" s="109">
        <f t="shared" si="38"/>
        <v>943.375</v>
      </c>
      <c r="V862" s="109">
        <f t="shared" si="39"/>
        <v>3932.6875</v>
      </c>
      <c r="W862" s="110">
        <f t="shared" si="40"/>
        <v>404</v>
      </c>
      <c r="X862" s="106">
        <f t="shared" si="41"/>
        <v>6247.3125</v>
      </c>
      <c r="Y862" s="204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5">
      <c r="A863" s="105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2">
        <f>SUM('Weekly Data'!J860:J863)/4</f>
        <v>2117.2392743796886</v>
      </c>
      <c r="I863" s="39"/>
      <c r="J863" s="101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1">
        <f>AVERAGE('Weekly Data'!I811,'Weekly Data'!I759,'Weekly Data'!I707,'Weekly Data'!I655)</f>
        <v>5907.75</v>
      </c>
      <c r="P863" s="203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6">
        <f t="shared" si="36"/>
        <v>589.375</v>
      </c>
      <c r="T863" s="106">
        <f t="shared" si="37"/>
        <v>1327.5625</v>
      </c>
      <c r="U863" s="109">
        <f t="shared" si="38"/>
        <v>943.125</v>
      </c>
      <c r="V863" s="109">
        <f t="shared" si="39"/>
        <v>3781.625</v>
      </c>
      <c r="W863" s="110">
        <f t="shared" si="40"/>
        <v>321.75</v>
      </c>
      <c r="X863" s="106">
        <f t="shared" si="41"/>
        <v>6020.3125</v>
      </c>
      <c r="Y863" s="204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5">
      <c r="A864" s="105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2">
        <f>SUM('Weekly Data'!J861:J864)/4</f>
        <v>2212.5526363242934</v>
      </c>
      <c r="I864" s="39"/>
      <c r="J864" s="101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1">
        <f>AVERAGE('Weekly Data'!I812,'Weekly Data'!I760,'Weekly Data'!I708,'Weekly Data'!I656)</f>
        <v>6192</v>
      </c>
      <c r="P864" s="203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6">
        <f t="shared" si="36"/>
        <v>504.75</v>
      </c>
      <c r="T864" s="106">
        <f t="shared" si="37"/>
        <v>1414.75</v>
      </c>
      <c r="U864" s="109">
        <f t="shared" si="38"/>
        <v>819.375</v>
      </c>
      <c r="V864" s="109">
        <f t="shared" si="39"/>
        <v>3815</v>
      </c>
      <c r="W864" s="110">
        <f t="shared" si="40"/>
        <v>303.75</v>
      </c>
      <c r="X864" s="106">
        <f t="shared" si="41"/>
        <v>6038.25</v>
      </c>
      <c r="Y864" s="204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5">
      <c r="A865" s="105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2">
        <f>SUM('Weekly Data'!J862:J865)/4</f>
        <v>2238.205420513561</v>
      </c>
      <c r="I865" s="39"/>
      <c r="J865" s="101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1">
        <f>AVERAGE('Weekly Data'!I813,'Weekly Data'!I761,'Weekly Data'!I709,'Weekly Data'!I657)</f>
        <v>5601</v>
      </c>
      <c r="P865" s="203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6">
        <f t="shared" si="36"/>
        <v>494.3125</v>
      </c>
      <c r="T865" s="106">
        <f t="shared" si="37"/>
        <v>1526.0625</v>
      </c>
      <c r="U865" s="109">
        <f t="shared" si="38"/>
        <v>776.375</v>
      </c>
      <c r="V865" s="109">
        <f t="shared" si="39"/>
        <v>3680.9375</v>
      </c>
      <c r="W865" s="110">
        <f t="shared" si="40"/>
        <v>293.625</v>
      </c>
      <c r="X865" s="106">
        <f t="shared" si="41"/>
        <v>5994.9375</v>
      </c>
      <c r="Y865" s="204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5">
      <c r="A866" s="105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2">
        <f>SUM('Weekly Data'!J863:J866)/4</f>
        <v>2094.4613711771499</v>
      </c>
      <c r="I866" s="39"/>
      <c r="J866" s="101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1">
        <f>AVERAGE('Weekly Data'!I814,'Weekly Data'!I762,'Weekly Data'!I710,'Weekly Data'!I658)</f>
        <v>6785.75</v>
      </c>
      <c r="P866" s="203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6">
        <f t="shared" si="36"/>
        <v>510.6875</v>
      </c>
      <c r="T866" s="106">
        <f t="shared" si="37"/>
        <v>1629.375</v>
      </c>
      <c r="U866" s="109">
        <f t="shared" si="38"/>
        <v>698.1875</v>
      </c>
      <c r="V866" s="109">
        <f t="shared" si="39"/>
        <v>3730.6875</v>
      </c>
      <c r="W866" s="110">
        <f t="shared" si="40"/>
        <v>278.4375</v>
      </c>
      <c r="X866" s="106">
        <f t="shared" si="41"/>
        <v>6149.1875</v>
      </c>
      <c r="Y866" s="204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5">
      <c r="A867" s="105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2">
        <f>SUM('Weekly Data'!J864:J867)/4</f>
        <v>2150.4109780727063</v>
      </c>
      <c r="I867" s="39"/>
      <c r="J867" s="101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1">
        <f>AVERAGE('Weekly Data'!I815,'Weekly Data'!I763,'Weekly Data'!I711,'Weekly Data'!I659)</f>
        <v>5890.25</v>
      </c>
      <c r="P867" s="203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6">
        <f t="shared" si="36"/>
        <v>530</v>
      </c>
      <c r="T867" s="106">
        <f t="shared" si="37"/>
        <v>1595.6875</v>
      </c>
      <c r="U867" s="109">
        <f t="shared" si="38"/>
        <v>625.375</v>
      </c>
      <c r="V867" s="109">
        <f t="shared" si="39"/>
        <v>3727.125</v>
      </c>
      <c r="W867" s="110">
        <f t="shared" si="40"/>
        <v>282.875</v>
      </c>
      <c r="X867" s="106">
        <f t="shared" si="41"/>
        <v>6135.6875</v>
      </c>
      <c r="Y867" s="204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5">
      <c r="A868" s="105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2">
        <f>SUM('Weekly Data'!J865:J868)/4</f>
        <v>1880.3933100115407</v>
      </c>
      <c r="I868" s="85"/>
      <c r="J868" s="101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1">
        <f>AVERAGE('Weekly Data'!I816,'Weekly Data'!I764,'Weekly Data'!I712,'Weekly Data'!I660)</f>
        <v>6848.5</v>
      </c>
      <c r="P868" s="203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6">
        <f t="shared" si="36"/>
        <v>630.1875</v>
      </c>
      <c r="T868" s="106">
        <f t="shared" si="37"/>
        <v>1671.5</v>
      </c>
      <c r="U868" s="109">
        <f t="shared" si="38"/>
        <v>674.4375</v>
      </c>
      <c r="V868" s="109">
        <f t="shared" si="39"/>
        <v>3631.25</v>
      </c>
      <c r="W868" s="110">
        <f t="shared" si="40"/>
        <v>300.375</v>
      </c>
      <c r="X868" s="106">
        <f t="shared" si="41"/>
        <v>6233.3125</v>
      </c>
      <c r="Y868" s="204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5">
      <c r="A869" s="105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2">
        <f>SUM('Weekly Data'!J866:J869)/4</f>
        <v>1647.7490947778419</v>
      </c>
      <c r="I869" s="39"/>
      <c r="J869" s="101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1">
        <f>AVERAGE('Weekly Data'!I817,'Weekly Data'!I765,'Weekly Data'!I713,'Weekly Data'!I661)</f>
        <v>6858.25</v>
      </c>
      <c r="P869" s="203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6">
        <f t="shared" si="36"/>
        <v>741</v>
      </c>
      <c r="T869" s="106">
        <f t="shared" si="37"/>
        <v>1710.9375</v>
      </c>
      <c r="U869" s="109">
        <f t="shared" si="38"/>
        <v>635</v>
      </c>
      <c r="V869" s="109">
        <f t="shared" si="39"/>
        <v>3776.375</v>
      </c>
      <c r="W869" s="110">
        <f t="shared" si="40"/>
        <v>347.0625</v>
      </c>
      <c r="X869" s="106">
        <f t="shared" si="41"/>
        <v>6575.375</v>
      </c>
      <c r="Y869" s="204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5">
      <c r="A870" s="105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2">
        <f>SUM('Weekly Data'!J867:J870)/4</f>
        <v>1555.3106138199655</v>
      </c>
      <c r="I870" s="85"/>
      <c r="J870" s="101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1">
        <f>AVERAGE('Weekly Data'!I818,'Weekly Data'!I766,'Weekly Data'!I714,'Weekly Data'!I662)</f>
        <v>6946</v>
      </c>
      <c r="P870" s="203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6">
        <f t="shared" si="36"/>
        <v>869.875</v>
      </c>
      <c r="T870" s="106">
        <f t="shared" si="37"/>
        <v>1726.625</v>
      </c>
      <c r="U870" s="109">
        <f t="shared" si="38"/>
        <v>670.0625</v>
      </c>
      <c r="V870" s="109">
        <f t="shared" si="39"/>
        <v>3691.25</v>
      </c>
      <c r="W870" s="110">
        <f t="shared" si="40"/>
        <v>370.6875</v>
      </c>
      <c r="X870" s="106">
        <f t="shared" si="41"/>
        <v>6658.4375</v>
      </c>
      <c r="Y870" s="204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5">
      <c r="A871" s="105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2">
        <f>SUM('Weekly Data'!J868:J871)/4</f>
        <v>1388.1252272071554</v>
      </c>
      <c r="I871" s="39"/>
      <c r="J871" s="101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1">
        <f>AVERAGE('Weekly Data'!I819,'Weekly Data'!I767,'Weekly Data'!I715,'Weekly Data'!I663)</f>
        <v>6967.5</v>
      </c>
      <c r="P871" s="203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6">
        <f t="shared" si="36"/>
        <v>916.4375</v>
      </c>
      <c r="T871" s="106">
        <f t="shared" si="37"/>
        <v>1804.375</v>
      </c>
      <c r="U871" s="109">
        <f t="shared" si="38"/>
        <v>622.5</v>
      </c>
      <c r="V871" s="109">
        <f t="shared" si="39"/>
        <v>3731.75</v>
      </c>
      <c r="W871" s="110">
        <f t="shared" si="40"/>
        <v>341.625</v>
      </c>
      <c r="X871" s="106">
        <f t="shared" si="41"/>
        <v>6794.1875</v>
      </c>
      <c r="Y871" s="204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5">
      <c r="A872" s="105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2">
        <f>SUM('Weekly Data'!J869:J872)/4</f>
        <v>1649.0759629255629</v>
      </c>
      <c r="I872" s="39"/>
      <c r="J872" s="101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1">
        <f>AVERAGE('Weekly Data'!I820,'Weekly Data'!I768,'Weekly Data'!I716,'Weekly Data'!I664)</f>
        <v>6733.5</v>
      </c>
      <c r="P872" s="203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6">
        <f t="shared" ref="S872:S893" si="44">AVERAGE(B820,B768,B716,B663)</f>
        <v>935.4375</v>
      </c>
      <c r="T872" s="106">
        <f t="shared" ref="T872:T893" si="45">AVERAGE(C820,C768,C716,C663)</f>
        <v>1762.8125</v>
      </c>
      <c r="U872" s="109">
        <f t="shared" ref="U872:U893" si="46">AVERAGE(D820,D768,D716,D663)</f>
        <v>615.9375</v>
      </c>
      <c r="V872" s="109">
        <f t="shared" ref="V872:V893" si="47">AVERAGE(E820,E768,E716,E663)</f>
        <v>3828.6875</v>
      </c>
      <c r="W872" s="110">
        <f t="shared" ref="W872:W893" si="48">AVERAGE(F820,F768,F716,F663)</f>
        <v>330</v>
      </c>
      <c r="X872" s="106">
        <f t="shared" ref="X872:Y893" si="49">AVERAGE(G820,G768,G716,G663)</f>
        <v>6856.9375</v>
      </c>
      <c r="Y872" s="204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5">
      <c r="A873" s="105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2">
        <f>SUM('Weekly Data'!J870:J873)/4</f>
        <v>1614.5773910848243</v>
      </c>
      <c r="I873" s="39"/>
      <c r="J873" s="101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1">
        <f>AVERAGE('Weekly Data'!I821,'Weekly Data'!I769,'Weekly Data'!I717,'Weekly Data'!I665)</f>
        <v>7536</v>
      </c>
      <c r="P873" s="203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6">
        <f t="shared" si="44"/>
        <v>1023.75</v>
      </c>
      <c r="T873" s="106">
        <f t="shared" si="45"/>
        <v>1829.1875</v>
      </c>
      <c r="U873" s="109">
        <f t="shared" si="46"/>
        <v>608.25</v>
      </c>
      <c r="V873" s="109">
        <f t="shared" si="47"/>
        <v>3824.8125</v>
      </c>
      <c r="W873" s="110">
        <f t="shared" si="48"/>
        <v>300.4375</v>
      </c>
      <c r="X873" s="106">
        <f t="shared" si="49"/>
        <v>6978.1875</v>
      </c>
      <c r="Y873" s="204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5">
      <c r="A874" s="105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2">
        <f>SUM('Weekly Data'!J871:J874)/4</f>
        <v>1620.7694424408542</v>
      </c>
      <c r="I874" s="39"/>
      <c r="J874" s="101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1">
        <f>AVERAGE('Weekly Data'!I822,'Weekly Data'!I770,'Weekly Data'!I718,'Weekly Data'!I666)</f>
        <v>7220.75</v>
      </c>
      <c r="P874" s="203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6">
        <f t="shared" si="44"/>
        <v>972.25</v>
      </c>
      <c r="T874" s="106">
        <f t="shared" si="45"/>
        <v>1976.25</v>
      </c>
      <c r="U874" s="109">
        <f t="shared" si="46"/>
        <v>601.75</v>
      </c>
      <c r="V874" s="109">
        <f t="shared" si="47"/>
        <v>3788.875</v>
      </c>
      <c r="W874" s="110">
        <f t="shared" si="48"/>
        <v>282.3125</v>
      </c>
      <c r="X874" s="106">
        <f t="shared" si="49"/>
        <v>7019.6875</v>
      </c>
      <c r="Y874" s="204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5">
      <c r="A875" s="105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2">
        <f>SUM('Weekly Data'!J872:J875)/4</f>
        <v>1638.6821624350839</v>
      </c>
      <c r="I875" s="39"/>
      <c r="J875" s="101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1">
        <f>AVERAGE('Weekly Data'!I823,'Weekly Data'!I771,'Weekly Data'!I719,'Weekly Data'!I667)</f>
        <v>7504.25</v>
      </c>
      <c r="P875" s="203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6">
        <f t="shared" si="44"/>
        <v>1059.4375</v>
      </c>
      <c r="T875" s="106">
        <f t="shared" si="45"/>
        <v>2073.625</v>
      </c>
      <c r="U875" s="109">
        <f t="shared" si="46"/>
        <v>678.75</v>
      </c>
      <c r="V875" s="109">
        <f t="shared" si="47"/>
        <v>3700.0625</v>
      </c>
      <c r="W875" s="110">
        <f t="shared" si="48"/>
        <v>353.125</v>
      </c>
      <c r="X875" s="106">
        <f t="shared" si="49"/>
        <v>7186.25</v>
      </c>
      <c r="Y875" s="204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5">
      <c r="A876" s="105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2">
        <f>SUM('Weekly Data'!J873:J876)/4</f>
        <v>1303.6479551356033</v>
      </c>
      <c r="I876" s="39"/>
      <c r="J876" s="101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1">
        <f>AVERAGE('Weekly Data'!I824,'Weekly Data'!I772,'Weekly Data'!I720,'Weekly Data'!I668)</f>
        <v>6912.75</v>
      </c>
      <c r="P876" s="203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6">
        <f t="shared" si="44"/>
        <v>1188.5</v>
      </c>
      <c r="T876" s="106">
        <f t="shared" si="45"/>
        <v>2099.375</v>
      </c>
      <c r="U876" s="109">
        <f t="shared" si="46"/>
        <v>651.0625</v>
      </c>
      <c r="V876" s="109">
        <f t="shared" si="47"/>
        <v>3676.125</v>
      </c>
      <c r="W876" s="110">
        <f t="shared" si="48"/>
        <v>392.125</v>
      </c>
      <c r="X876" s="106">
        <f t="shared" si="49"/>
        <v>7356.125</v>
      </c>
      <c r="Y876" s="204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5">
      <c r="A877" s="105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2">
        <f>SUM('Weekly Data'!J874:J877)/4</f>
        <v>1543.1476557991923</v>
      </c>
      <c r="I877" s="39"/>
      <c r="J877" s="101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1">
        <f>AVERAGE('Weekly Data'!I825,'Weekly Data'!I773,'Weekly Data'!I721,'Weekly Data'!I669)</f>
        <v>7464.75</v>
      </c>
      <c r="P877" s="203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6">
        <f t="shared" si="44"/>
        <v>1115.875</v>
      </c>
      <c r="T877" s="106">
        <f t="shared" si="45"/>
        <v>2114.0625</v>
      </c>
      <c r="U877" s="109">
        <f t="shared" si="46"/>
        <v>671.5</v>
      </c>
      <c r="V877" s="109">
        <f t="shared" si="47"/>
        <v>3595.625</v>
      </c>
      <c r="W877" s="110">
        <f t="shared" si="48"/>
        <v>423.625</v>
      </c>
      <c r="X877" s="106">
        <f t="shared" si="49"/>
        <v>7249.1875</v>
      </c>
      <c r="Y877" s="204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5">
      <c r="A878" s="105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2">
        <f>SUM('Weekly Data'!J875:J878)/4</f>
        <v>1436.3347699076746</v>
      </c>
      <c r="I878" s="39"/>
      <c r="J878" s="101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1">
        <f>AVERAGE('Weekly Data'!I826,'Weekly Data'!I774,'Weekly Data'!I722,'Weekly Data'!I670)</f>
        <v>7604</v>
      </c>
      <c r="P878" s="203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6">
        <f t="shared" si="44"/>
        <v>1229.6875</v>
      </c>
      <c r="T878" s="106">
        <f t="shared" si="45"/>
        <v>2029.9375</v>
      </c>
      <c r="U878" s="109">
        <f t="shared" si="46"/>
        <v>684.625</v>
      </c>
      <c r="V878" s="109">
        <f t="shared" si="47"/>
        <v>3597.8125</v>
      </c>
      <c r="W878" s="110">
        <f t="shared" si="48"/>
        <v>470</v>
      </c>
      <c r="X878" s="106">
        <f t="shared" si="49"/>
        <v>7327.4375</v>
      </c>
      <c r="Y878" s="204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5">
      <c r="A879" s="105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2">
        <f>SUM('Weekly Data'!J876:J879)/4</f>
        <v>1451.593753606463</v>
      </c>
      <c r="I879" s="39"/>
      <c r="J879" s="101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1">
        <f>AVERAGE('Weekly Data'!I827,'Weekly Data'!I775,'Weekly Data'!I723,'Weekly Data'!I671)</f>
        <v>7731.75</v>
      </c>
      <c r="P879" s="203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6">
        <f t="shared" si="44"/>
        <v>1295.75</v>
      </c>
      <c r="T879" s="106">
        <f t="shared" si="45"/>
        <v>2058.125</v>
      </c>
      <c r="U879" s="109">
        <f t="shared" si="46"/>
        <v>741.5625</v>
      </c>
      <c r="V879" s="109">
        <f t="shared" si="47"/>
        <v>3595.25</v>
      </c>
      <c r="W879" s="110">
        <f t="shared" si="48"/>
        <v>508.1875</v>
      </c>
      <c r="X879" s="106">
        <f t="shared" si="49"/>
        <v>7457.3125</v>
      </c>
      <c r="Y879" s="204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5">
      <c r="A880" s="105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2">
        <f>SUM('Weekly Data'!J877:J880)/4</f>
        <v>1495.6015471725332</v>
      </c>
      <c r="I880" s="39"/>
      <c r="J880" s="101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1">
        <f>AVERAGE('Weekly Data'!I828,'Weekly Data'!I776,'Weekly Data'!I724,'Weekly Data'!I672)</f>
        <v>7876.5</v>
      </c>
      <c r="P880" s="203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6">
        <f t="shared" si="44"/>
        <v>1333</v>
      </c>
      <c r="T880" s="106">
        <f t="shared" si="45"/>
        <v>2067.625</v>
      </c>
      <c r="U880" s="109">
        <f t="shared" si="46"/>
        <v>797.5</v>
      </c>
      <c r="V880" s="109">
        <f t="shared" si="47"/>
        <v>3643.75</v>
      </c>
      <c r="W880" s="110">
        <f t="shared" si="48"/>
        <v>535.6875</v>
      </c>
      <c r="X880" s="106">
        <f t="shared" si="49"/>
        <v>7580.0625</v>
      </c>
      <c r="Y880" s="204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5">
      <c r="A881" s="105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2">
        <f>SUM('Weekly Data'!J878:J881)/4</f>
        <v>1330.4064627813041</v>
      </c>
      <c r="I881" s="39"/>
      <c r="J881" s="101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1">
        <f>AVERAGE('Weekly Data'!I829,'Weekly Data'!I777,'Weekly Data'!I725,'Weekly Data'!I673)</f>
        <v>9387.25</v>
      </c>
      <c r="P881" s="203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6">
        <f t="shared" si="44"/>
        <v>1613.4375</v>
      </c>
      <c r="T881" s="106">
        <f t="shared" si="45"/>
        <v>2007.375</v>
      </c>
      <c r="U881" s="109">
        <f t="shared" si="46"/>
        <v>835.75</v>
      </c>
      <c r="V881" s="109">
        <f t="shared" si="47"/>
        <v>3782.4375</v>
      </c>
      <c r="W881" s="110">
        <f t="shared" si="48"/>
        <v>589.125</v>
      </c>
      <c r="X881" s="106">
        <f t="shared" si="49"/>
        <v>7992.375</v>
      </c>
      <c r="Y881" s="204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5">
      <c r="A882" s="105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2">
        <f>SUM('Weekly Data'!J879:J882)/4</f>
        <v>1504.4473348240049</v>
      </c>
      <c r="I882" s="39"/>
      <c r="J882" s="101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1">
        <f>AVERAGE('Weekly Data'!I830,'Weekly Data'!I778,'Weekly Data'!I726,'Weekly Data'!I674)</f>
        <v>11011.5</v>
      </c>
      <c r="P882" s="203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6">
        <f t="shared" si="44"/>
        <v>1921.75</v>
      </c>
      <c r="T882" s="106">
        <f t="shared" si="45"/>
        <v>2073.75</v>
      </c>
      <c r="U882" s="109">
        <f t="shared" si="46"/>
        <v>915.9375</v>
      </c>
      <c r="V882" s="109">
        <f t="shared" si="47"/>
        <v>4251.75</v>
      </c>
      <c r="W882" s="110">
        <f t="shared" si="48"/>
        <v>674.625</v>
      </c>
      <c r="X882" s="106">
        <f t="shared" si="49"/>
        <v>8921.875</v>
      </c>
      <c r="Y882" s="204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5">
      <c r="A883" s="105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2">
        <f>SUM('Weekly Data'!J880:J883)/4</f>
        <v>1482.1117210040393</v>
      </c>
      <c r="I883" s="39"/>
      <c r="J883" s="101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1">
        <f>AVERAGE('Weekly Data'!I831,'Weekly Data'!I779,'Weekly Data'!I727,'Weekly Data'!I675)</f>
        <v>10099.25</v>
      </c>
      <c r="P883" s="203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6">
        <f t="shared" si="44"/>
        <v>2099.25</v>
      </c>
      <c r="T883" s="120">
        <f t="shared" si="45"/>
        <v>1912.0625</v>
      </c>
      <c r="U883" s="109">
        <f t="shared" si="46"/>
        <v>866.5</v>
      </c>
      <c r="V883" s="109">
        <f t="shared" si="47"/>
        <v>4708.0625</v>
      </c>
      <c r="W883" s="110">
        <f t="shared" si="48"/>
        <v>767.125</v>
      </c>
      <c r="X883" s="106">
        <f t="shared" si="49"/>
        <v>9486.5</v>
      </c>
      <c r="Y883" s="204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5">
      <c r="A884" s="105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2">
        <f>SUM('Weekly Data'!J881:J884)/4</f>
        <v>1635.364992065782</v>
      </c>
      <c r="I884" s="39"/>
      <c r="J884" s="101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1">
        <f>AVERAGE('Weekly Data'!I832,'Weekly Data'!I780,'Weekly Data'!I728,'Weekly Data'!I676)</f>
        <v>10417</v>
      </c>
      <c r="P884" s="203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6">
        <f t="shared" si="44"/>
        <v>2297.0625</v>
      </c>
      <c r="T884" s="106">
        <f t="shared" si="45"/>
        <v>1966.125</v>
      </c>
      <c r="U884" s="109">
        <f t="shared" si="46"/>
        <v>902.0625</v>
      </c>
      <c r="V884" s="109">
        <f t="shared" si="47"/>
        <v>5039.6875</v>
      </c>
      <c r="W884" s="110">
        <f t="shared" si="48"/>
        <v>855.25</v>
      </c>
      <c r="X884" s="106">
        <f t="shared" si="49"/>
        <v>10158.125</v>
      </c>
      <c r="Y884" s="204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5">
      <c r="A885" s="105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2">
        <f>SUM('Weekly Data'!J882:J885)/4</f>
        <v>1773.1381347374495</v>
      </c>
      <c r="J885" s="101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1">
        <f>AVERAGE('Weekly Data'!I833,'Weekly Data'!I781,'Weekly Data'!I729,'Weekly Data'!I677)</f>
        <v>9890.75</v>
      </c>
      <c r="P885" s="203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6">
        <f t="shared" si="44"/>
        <v>2218.8125</v>
      </c>
      <c r="T885" s="106">
        <f t="shared" si="45"/>
        <v>1984.25</v>
      </c>
      <c r="U885" s="109">
        <f t="shared" si="46"/>
        <v>989.3125</v>
      </c>
      <c r="V885" s="109">
        <f t="shared" si="47"/>
        <v>5328.1875</v>
      </c>
      <c r="W885" s="110">
        <f t="shared" si="48"/>
        <v>936.75</v>
      </c>
      <c r="X885" s="106">
        <f t="shared" si="49"/>
        <v>10468</v>
      </c>
      <c r="Y885" s="204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5">
      <c r="A886" s="105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2">
        <f>SUM('Weekly Data'!J883:J886)/4</f>
        <v>1757.6580063473746</v>
      </c>
      <c r="J886" s="101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1">
        <f>AVERAGE('Weekly Data'!I834,'Weekly Data'!I782,'Weekly Data'!I730,'Weekly Data'!I678)</f>
        <v>9146.75</v>
      </c>
      <c r="P886" s="203">
        <f>AVERAGE('Weekly Data'!J834,'Weekly Data'!J782,'Weekly Data'!J730,'Weekly Data'!J678)</f>
        <v>2131.7937719380197</v>
      </c>
      <c r="R886" s="13">
        <f t="shared" si="50"/>
        <v>40492</v>
      </c>
      <c r="S886" s="106">
        <f t="shared" si="44"/>
        <v>2029.125</v>
      </c>
      <c r="T886" s="106">
        <f t="shared" si="45"/>
        <v>2026.625</v>
      </c>
      <c r="U886" s="109">
        <f t="shared" si="46"/>
        <v>946.3125</v>
      </c>
      <c r="V886" s="109">
        <f t="shared" si="47"/>
        <v>4925.75</v>
      </c>
      <c r="W886" s="110">
        <f t="shared" si="48"/>
        <v>980.4375</v>
      </c>
      <c r="X886" s="106">
        <f t="shared" si="49"/>
        <v>9961.9375</v>
      </c>
      <c r="Y886" s="204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5">
      <c r="A887" s="105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2">
        <f>SUM('Weekly Data'!J884:J887)/4</f>
        <v>1677.3824834102713</v>
      </c>
      <c r="J887" s="101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1">
        <f>AVERAGE('Weekly Data'!I835,'Weekly Data'!I783,'Weekly Data'!I731,'Weekly Data'!I679)</f>
        <v>9585</v>
      </c>
      <c r="P887" s="203">
        <f>AVERAGE('Weekly Data'!J835,'Weekly Data'!J783,'Weekly Data'!J731,'Weekly Data'!J679)</f>
        <v>2136.8376796748835</v>
      </c>
      <c r="R887" s="13">
        <f t="shared" si="50"/>
        <v>40499</v>
      </c>
      <c r="S887" s="106">
        <f t="shared" si="44"/>
        <v>1885.75</v>
      </c>
      <c r="T887" s="106">
        <f t="shared" si="45"/>
        <v>2125.9375</v>
      </c>
      <c r="U887" s="109">
        <f t="shared" si="46"/>
        <v>936.5</v>
      </c>
      <c r="V887" s="109">
        <f t="shared" si="47"/>
        <v>4701.125</v>
      </c>
      <c r="W887" s="110">
        <f t="shared" si="48"/>
        <v>1040.3125</v>
      </c>
      <c r="X887" s="106">
        <f t="shared" si="49"/>
        <v>9753.125</v>
      </c>
      <c r="Y887" s="204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5">
      <c r="A888" s="105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2">
        <f>SUM('Weekly Data'!J885:J888)/4</f>
        <v>1593.7897901038664</v>
      </c>
      <c r="J888" s="101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1">
        <f>AVERAGE('Weekly Data'!I836,'Weekly Data'!I784,'Weekly Data'!I732,'Weekly Data'!I680)</f>
        <v>8649.5</v>
      </c>
      <c r="P888" s="203">
        <f>AVERAGE('Weekly Data'!J836,'Weekly Data'!J784,'Weekly Data'!J732,'Weekly Data'!J680)</f>
        <v>1925.9372989709987</v>
      </c>
      <c r="R888" s="13">
        <f t="shared" si="50"/>
        <v>40506</v>
      </c>
      <c r="S888" s="106">
        <f t="shared" si="44"/>
        <v>1760</v>
      </c>
      <c r="T888" s="106">
        <f t="shared" si="45"/>
        <v>2122.0625</v>
      </c>
      <c r="U888" s="109">
        <f t="shared" si="46"/>
        <v>889.875</v>
      </c>
      <c r="V888" s="109">
        <f t="shared" si="47"/>
        <v>4565.625</v>
      </c>
      <c r="W888" s="110">
        <f t="shared" si="48"/>
        <v>1026.3125</v>
      </c>
      <c r="X888" s="106">
        <f t="shared" si="49"/>
        <v>9474</v>
      </c>
      <c r="Y888" s="204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5">
      <c r="A889" s="105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2">
        <f>SUM('Weekly Data'!J886:J889)/4</f>
        <v>1451.1514642238892</v>
      </c>
      <c r="J889" s="101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1">
        <f>AVERAGE('Weekly Data'!I837,'Weekly Data'!I785,'Weekly Data'!I733,'Weekly Data'!I681)</f>
        <v>8747.75</v>
      </c>
      <c r="P889" s="203">
        <f>AVERAGE('Weekly Data'!J837,'Weekly Data'!J785,'Weekly Data'!J733,'Weekly Data'!J681)</f>
        <v>1565.5186885234962</v>
      </c>
      <c r="R889" s="13">
        <f t="shared" si="50"/>
        <v>40513</v>
      </c>
      <c r="S889" s="106">
        <f t="shared" si="44"/>
        <v>1697.8125</v>
      </c>
      <c r="T889" s="106">
        <f t="shared" si="45"/>
        <v>2082.875</v>
      </c>
      <c r="U889" s="109">
        <f t="shared" si="46"/>
        <v>770.875</v>
      </c>
      <c r="V889" s="109">
        <f t="shared" si="47"/>
        <v>4254.4375</v>
      </c>
      <c r="W889" s="110">
        <f t="shared" si="48"/>
        <v>1009.0625</v>
      </c>
      <c r="X889" s="106">
        <f t="shared" si="49"/>
        <v>9044.1875</v>
      </c>
      <c r="Y889" s="204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5">
      <c r="A890" s="105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2">
        <f>SUM('Weekly Data'!J887:J890)/4</f>
        <v>1344.5597230236585</v>
      </c>
      <c r="J890" s="101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1">
        <f>AVERAGE('Weekly Data'!I838,'Weekly Data'!I786,'Weekly Data'!I734,'Weekly Data'!I682)</f>
        <v>9003</v>
      </c>
      <c r="P890" s="203">
        <f>AVERAGE('Weekly Data'!J838,'Weekly Data'!J786,'Weekly Data'!J734,'Weekly Data'!J682)</f>
        <v>1353.5981195029829</v>
      </c>
      <c r="R890" s="13">
        <f t="shared" si="50"/>
        <v>40520</v>
      </c>
      <c r="S890" s="106">
        <f t="shared" si="44"/>
        <v>1631.75</v>
      </c>
      <c r="T890" s="106">
        <f t="shared" si="45"/>
        <v>1857.625</v>
      </c>
      <c r="U890" s="109">
        <f t="shared" si="46"/>
        <v>767.375</v>
      </c>
      <c r="V890" s="109">
        <f t="shared" si="47"/>
        <v>4469.375</v>
      </c>
      <c r="W890" s="110">
        <f t="shared" si="48"/>
        <v>1002.5</v>
      </c>
      <c r="X890" s="106">
        <f t="shared" si="49"/>
        <v>8961.25</v>
      </c>
      <c r="Y890" s="204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5">
      <c r="A891" s="105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2">
        <f>SUM('Weekly Data'!J888:J891)/4</f>
        <v>1449.6034513848817</v>
      </c>
      <c r="J891" s="101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1">
        <f>AVERAGE('Weekly Data'!I839,'Weekly Data'!I787,'Weekly Data'!I735,'Weekly Data'!I683)</f>
        <v>7633</v>
      </c>
      <c r="P891" s="203">
        <f>AVERAGE('Weekly Data'!J839,'Weekly Data'!J787,'Weekly Data'!J735,'Weekly Data'!J683)</f>
        <v>1761.6345292751612</v>
      </c>
      <c r="R891" s="13">
        <f t="shared" si="50"/>
        <v>40527</v>
      </c>
      <c r="S891" s="106">
        <f t="shared" si="44"/>
        <v>1516.75</v>
      </c>
      <c r="T891" s="106">
        <f t="shared" si="45"/>
        <v>1762.9375</v>
      </c>
      <c r="U891" s="109">
        <f t="shared" si="46"/>
        <v>724.25</v>
      </c>
      <c r="V891" s="109">
        <f t="shared" si="47"/>
        <v>4394.625</v>
      </c>
      <c r="W891" s="110">
        <f t="shared" si="48"/>
        <v>890.5625</v>
      </c>
      <c r="X891" s="106">
        <f t="shared" si="49"/>
        <v>8564.875</v>
      </c>
      <c r="Y891" s="204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5">
      <c r="A892" s="105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2">
        <f>SUM('Weekly Data'!J889:J892)/4</f>
        <v>1373.5296775822276</v>
      </c>
      <c r="J892" s="101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1">
        <f>AVERAGE('Weekly Data'!I840,'Weekly Data'!I788,'Weekly Data'!I736,'Weekly Data'!I684)</f>
        <v>6805.25</v>
      </c>
      <c r="P892" s="203">
        <f>AVERAGE('Weekly Data'!J840,'Weekly Data'!J788,'Weekly Data'!J736,'Weekly Data'!J684)</f>
        <v>1255.4137490490743</v>
      </c>
      <c r="R892" s="13">
        <f t="shared" si="50"/>
        <v>40534</v>
      </c>
      <c r="S892" s="106">
        <f t="shared" si="44"/>
        <v>1379.75</v>
      </c>
      <c r="T892" s="106">
        <f t="shared" si="45"/>
        <v>1600.25</v>
      </c>
      <c r="U892" s="109">
        <f t="shared" si="46"/>
        <v>742.25</v>
      </c>
      <c r="V892" s="109">
        <f t="shared" si="47"/>
        <v>4221.125</v>
      </c>
      <c r="W892" s="110">
        <f t="shared" si="48"/>
        <v>869.5</v>
      </c>
      <c r="X892" s="106">
        <f t="shared" si="49"/>
        <v>8070.625</v>
      </c>
      <c r="Y892" s="204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5">
      <c r="A893" s="105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2">
        <f>SUM('Weekly Data'!J890:J893)/4</f>
        <v>1347.8768933929603</v>
      </c>
      <c r="J893" s="101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1">
        <f>AVERAGE('Weekly Data'!I841,'Weekly Data'!I789,'Weekly Data'!I737,'Weekly Data'!I685)</f>
        <v>6377.25</v>
      </c>
      <c r="P893" s="203">
        <f>AVERAGE('Weekly Data'!J841,'Weekly Data'!J789,'Weekly Data'!J737,'Weekly Data'!J685)</f>
        <v>1444.6650686668359</v>
      </c>
      <c r="R893" s="13">
        <f t="shared" si="50"/>
        <v>40541</v>
      </c>
      <c r="S893" s="106">
        <f t="shared" si="44"/>
        <v>1218.9375</v>
      </c>
      <c r="T893" s="106">
        <f t="shared" si="45"/>
        <v>1500.25</v>
      </c>
      <c r="U893" s="109">
        <f t="shared" si="46"/>
        <v>683.0625</v>
      </c>
      <c r="V893" s="109">
        <f t="shared" si="47"/>
        <v>3983.5625</v>
      </c>
      <c r="W893" s="110">
        <f t="shared" si="48"/>
        <v>776.5625</v>
      </c>
      <c r="X893" s="106">
        <f t="shared" si="49"/>
        <v>7479.3125</v>
      </c>
      <c r="Y893" s="204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5">
      <c r="A894" s="105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2">
        <f>SUM('Weekly Data'!J891:J894)/4</f>
        <v>1291.7061418061166</v>
      </c>
      <c r="J894" s="101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1">
        <f>AVERAGE('Weekly Data'!I842,'Weekly Data'!I790,'Weekly Data'!I738,'Weekly Data'!I686)</f>
        <v>7536.5</v>
      </c>
      <c r="P894" s="203">
        <f>AVERAGE('Weekly Data'!J842,'Weekly Data'!J790,'Weekly Data'!J738,'Weekly Data'!J686)</f>
        <v>1209.5690301893842</v>
      </c>
      <c r="R894" s="13">
        <f t="shared" si="50"/>
        <v>40548</v>
      </c>
      <c r="S894" s="106">
        <f t="shared" ref="S894:S916" si="51">AVERAGE(B842,B790,B738,B685)</f>
        <v>1112.0625</v>
      </c>
      <c r="T894" s="106">
        <f t="shared" ref="T894:T916" si="52">AVERAGE(C842,C790,C738,C685)</f>
        <v>1620.6875</v>
      </c>
      <c r="U894" s="109">
        <f t="shared" ref="U894:U916" si="53">AVERAGE(D842,D790,D738,D685)</f>
        <v>669.625</v>
      </c>
      <c r="V894" s="109">
        <f t="shared" ref="V894:V916" si="54">AVERAGE(E842,E790,E738,E685)</f>
        <v>3636.125</v>
      </c>
      <c r="W894" s="110">
        <f t="shared" ref="W894:W916" si="55">AVERAGE(F842,F790,F738,F685)</f>
        <v>734.25</v>
      </c>
      <c r="X894" s="106">
        <f t="shared" ref="X894:Y916" si="56">AVERAGE(G842,G790,G738,G685)</f>
        <v>7103.125</v>
      </c>
      <c r="Y894" s="204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5">
      <c r="A895" s="105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2">
        <f>SUM('Weekly Data'!J892:J895)/4</f>
        <v>1204.2163829143958</v>
      </c>
      <c r="J895" s="101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1">
        <f>AVERAGE('Weekly Data'!I843,'Weekly Data'!I791,'Weekly Data'!I739,'Weekly Data'!I687)</f>
        <v>7629.5</v>
      </c>
      <c r="P895" s="203">
        <f>AVERAGE('Weekly Data'!J843,'Weekly Data'!J791,'Weekly Data'!J739,'Weekly Data'!J687)</f>
        <v>1917.3823833791223</v>
      </c>
      <c r="R895" s="13">
        <f t="shared" si="50"/>
        <v>40555</v>
      </c>
      <c r="S895" s="106">
        <f t="shared" si="51"/>
        <v>1129.75</v>
      </c>
      <c r="T895" s="106">
        <f t="shared" si="52"/>
        <v>1580.4375</v>
      </c>
      <c r="U895" s="109">
        <f t="shared" si="53"/>
        <v>630.8125</v>
      </c>
      <c r="V895" s="109">
        <f t="shared" si="54"/>
        <v>3620.4375</v>
      </c>
      <c r="W895" s="110">
        <f t="shared" si="55"/>
        <v>826</v>
      </c>
      <c r="X895" s="106">
        <f t="shared" si="56"/>
        <v>7156.625</v>
      </c>
      <c r="Y895" s="204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5">
      <c r="A896" s="105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2">
        <f>SUM('Weekly Data'!J893:J896)/4</f>
        <v>1278.1958596892373</v>
      </c>
      <c r="J896" s="101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1">
        <f>AVERAGE('Weekly Data'!I844,'Weekly Data'!I792,'Weekly Data'!I740,'Weekly Data'!I688)</f>
        <v>8259.5</v>
      </c>
      <c r="P896" s="203">
        <f>AVERAGE('Weekly Data'!J844,'Weekly Data'!J792,'Weekly Data'!J740,'Weekly Data'!J688)</f>
        <v>1157.6266660523802</v>
      </c>
      <c r="R896" s="13">
        <f t="shared" si="50"/>
        <v>40562</v>
      </c>
      <c r="S896" s="106">
        <f t="shared" si="51"/>
        <v>1181.75</v>
      </c>
      <c r="T896" s="106">
        <f t="shared" si="52"/>
        <v>1575.875</v>
      </c>
      <c r="U896" s="109">
        <f t="shared" si="53"/>
        <v>577</v>
      </c>
      <c r="V896" s="109">
        <f t="shared" si="54"/>
        <v>3729.1875</v>
      </c>
      <c r="W896" s="110">
        <f t="shared" si="55"/>
        <v>823.625</v>
      </c>
      <c r="X896" s="106">
        <f t="shared" si="56"/>
        <v>7310.4375</v>
      </c>
      <c r="Y896" s="204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5">
      <c r="A897" s="105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2">
        <f>SUM('Weekly Data'!J894:J897)/4</f>
        <v>1351.7900657883774</v>
      </c>
      <c r="J897" s="101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1">
        <f>AVERAGE('Weekly Data'!I845,'Weekly Data'!I793,'Weekly Data'!I741,'Weekly Data'!I689)</f>
        <v>8271.75</v>
      </c>
      <c r="P897" s="203">
        <f>AVERAGE('Weekly Data'!J845,'Weekly Data'!J793,'Weekly Data'!J741,'Weekly Data'!J689)</f>
        <v>1640.4487255794334</v>
      </c>
      <c r="R897" s="13">
        <f t="shared" si="50"/>
        <v>40569</v>
      </c>
      <c r="S897" s="106">
        <f t="shared" si="51"/>
        <v>1269.125</v>
      </c>
      <c r="T897" s="106">
        <f t="shared" si="52"/>
        <v>1639.3125</v>
      </c>
      <c r="U897" s="109">
        <f t="shared" si="53"/>
        <v>654.125</v>
      </c>
      <c r="V897" s="109">
        <f t="shared" si="54"/>
        <v>4057.875</v>
      </c>
      <c r="W897" s="110">
        <f t="shared" si="55"/>
        <v>920.875</v>
      </c>
      <c r="X897" s="106">
        <f t="shared" si="56"/>
        <v>7887.1875</v>
      </c>
      <c r="Y897" s="204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5">
      <c r="A898" s="105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2">
        <f>SUM('Weekly Data'!J895:J898)/4</f>
        <v>1476.3774656437697</v>
      </c>
      <c r="J898" s="101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1">
        <f>AVERAGE('Weekly Data'!I846,'Weekly Data'!I794,'Weekly Data'!I742,'Weekly Data'!I690)</f>
        <v>7740</v>
      </c>
      <c r="P898" s="203">
        <f>AVERAGE('Weekly Data'!J846,'Weekly Data'!J794,'Weekly Data'!J742,'Weekly Data'!J690)</f>
        <v>1350.9242162044072</v>
      </c>
      <c r="R898" s="13">
        <f t="shared" si="50"/>
        <v>40576</v>
      </c>
      <c r="S898" s="106">
        <f t="shared" si="51"/>
        <v>1306.9375</v>
      </c>
      <c r="T898" s="106">
        <f t="shared" si="52"/>
        <v>1615.0625</v>
      </c>
      <c r="U898" s="109">
        <f t="shared" si="53"/>
        <v>599.8125</v>
      </c>
      <c r="V898" s="109">
        <f t="shared" si="54"/>
        <v>4248.1875</v>
      </c>
      <c r="W898" s="110">
        <f t="shared" si="55"/>
        <v>961.6875</v>
      </c>
      <c r="X898" s="106">
        <f t="shared" si="56"/>
        <v>8131.875</v>
      </c>
      <c r="Y898" s="204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5">
      <c r="A899" s="105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2">
        <f>SUM('Weekly Data'!J896:J899)/4</f>
        <v>1404.5321218665722</v>
      </c>
      <c r="J899" s="101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1">
        <f>AVERAGE('Weekly Data'!I847,'Weekly Data'!I795,'Weekly Data'!I743,'Weekly Data'!I691)</f>
        <v>8536</v>
      </c>
      <c r="P899" s="203">
        <f>AVERAGE('Weekly Data'!J847,'Weekly Data'!J795,'Weekly Data'!J743,'Weekly Data'!J691)</f>
        <v>1217.6350613365041</v>
      </c>
      <c r="R899" s="13">
        <f t="shared" si="50"/>
        <v>40583</v>
      </c>
      <c r="S899" s="106">
        <f t="shared" si="51"/>
        <v>1284.0625</v>
      </c>
      <c r="T899" s="106">
        <f t="shared" si="52"/>
        <v>1714.3125</v>
      </c>
      <c r="U899" s="109">
        <f t="shared" si="53"/>
        <v>669.0625</v>
      </c>
      <c r="V899" s="109">
        <f t="shared" si="54"/>
        <v>4245.6875</v>
      </c>
      <c r="W899" s="110">
        <f t="shared" si="55"/>
        <v>869.625</v>
      </c>
      <c r="X899" s="106">
        <f t="shared" si="56"/>
        <v>8113.6875</v>
      </c>
      <c r="Y899" s="204">
        <f t="shared" si="56"/>
        <v>1341.6586672931812</v>
      </c>
    </row>
    <row r="900" spans="1:34" x14ac:dyDescent="0.25">
      <c r="A900" s="105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2">
        <f>SUM('Weekly Data'!J897:J900)/4</f>
        <v>1251.7498938959266</v>
      </c>
      <c r="J900" s="101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1">
        <f>AVERAGE('Weekly Data'!I848,'Weekly Data'!I796,'Weekly Data'!I744,'Weekly Data'!I692)</f>
        <v>7567.25</v>
      </c>
      <c r="P900" s="203">
        <f>AVERAGE('Weekly Data'!J848,'Weekly Data'!J796,'Weekly Data'!J744,'Weekly Data'!J692)</f>
        <v>1751.0930777132598</v>
      </c>
      <c r="R900" s="13">
        <f t="shared" si="50"/>
        <v>40590</v>
      </c>
      <c r="S900" s="106">
        <f t="shared" si="51"/>
        <v>1253.5</v>
      </c>
      <c r="T900" s="106">
        <f t="shared" si="52"/>
        <v>1831.75</v>
      </c>
      <c r="U900" s="109">
        <f t="shared" si="53"/>
        <v>726.9375</v>
      </c>
      <c r="V900" s="109">
        <f t="shared" si="54"/>
        <v>4263.625</v>
      </c>
      <c r="W900" s="110">
        <f t="shared" si="55"/>
        <v>875.375</v>
      </c>
      <c r="X900" s="106">
        <f t="shared" si="56"/>
        <v>8224.25</v>
      </c>
      <c r="Y900" s="204">
        <f t="shared" si="56"/>
        <v>1490.0252702084013</v>
      </c>
    </row>
    <row r="901" spans="1:34" x14ac:dyDescent="0.25">
      <c r="A901" s="105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2">
        <f>SUM('Weekly Data'!J898:J901)/4</f>
        <v>1293.2161879895561</v>
      </c>
      <c r="J901" s="101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1">
        <f>AVERAGE('Weekly Data'!I849,'Weekly Data'!I797,'Weekly Data'!I745,'Weekly Data'!I693)</f>
        <v>7946.25</v>
      </c>
      <c r="P901" s="203">
        <f>AVERAGE('Weekly Data'!J849,'Weekly Data'!J797,'Weekly Data'!J745,'Weekly Data'!J693)</f>
        <v>1263.7360235390606</v>
      </c>
      <c r="R901" s="13">
        <f t="shared" si="50"/>
        <v>40597</v>
      </c>
      <c r="S901" s="106">
        <f t="shared" si="51"/>
        <v>1130.9375</v>
      </c>
      <c r="T901" s="106">
        <f t="shared" si="52"/>
        <v>1769.9375</v>
      </c>
      <c r="U901" s="109">
        <f t="shared" si="53"/>
        <v>737.6875</v>
      </c>
      <c r="V901" s="109">
        <f t="shared" si="54"/>
        <v>4227.8125</v>
      </c>
      <c r="W901" s="110">
        <f t="shared" si="55"/>
        <v>841.8125</v>
      </c>
      <c r="X901" s="106">
        <f t="shared" si="56"/>
        <v>7970.5</v>
      </c>
      <c r="Y901" s="204">
        <f t="shared" si="56"/>
        <v>1395.847094698308</v>
      </c>
    </row>
    <row r="902" spans="1:34" x14ac:dyDescent="0.25">
      <c r="A902" s="105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2">
        <f>SUM('Weekly Data'!J899:J902)/4</f>
        <v>1259.5109649829697</v>
      </c>
      <c r="J902" s="101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1">
        <f>AVERAGE('Weekly Data'!I850,'Weekly Data'!I798,'Weekly Data'!I746,'Weekly Data'!I694)</f>
        <v>8451</v>
      </c>
      <c r="P902" s="203">
        <f>AVERAGE('Weekly Data'!J850,'Weekly Data'!J798,'Weekly Data'!J746,'Weekly Data'!J694)</f>
        <v>1880.9200967494301</v>
      </c>
      <c r="R902" s="13">
        <f t="shared" si="50"/>
        <v>40604</v>
      </c>
      <c r="S902" s="106">
        <f t="shared" si="51"/>
        <v>1131.0625</v>
      </c>
      <c r="T902" s="106">
        <f t="shared" si="52"/>
        <v>1784.8125</v>
      </c>
      <c r="U902" s="109">
        <f t="shared" si="53"/>
        <v>812.5625</v>
      </c>
      <c r="V902" s="109">
        <f t="shared" si="54"/>
        <v>4363.5625</v>
      </c>
      <c r="W902" s="110">
        <f t="shared" si="55"/>
        <v>823.6875</v>
      </c>
      <c r="X902" s="106">
        <f t="shared" si="56"/>
        <v>8103.125</v>
      </c>
      <c r="Y902" s="204">
        <f t="shared" si="56"/>
        <v>1528.3460648345635</v>
      </c>
    </row>
    <row r="903" spans="1:34" x14ac:dyDescent="0.25">
      <c r="A903" s="105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2">
        <f>SUM('Weekly Data'!J900:J903)/4</f>
        <v>1254.8543223307438</v>
      </c>
      <c r="J903" s="101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1">
        <f>AVERAGE('Weekly Data'!I851,'Weekly Data'!I799,'Weekly Data'!I747,'Weekly Data'!I695)</f>
        <v>8416</v>
      </c>
      <c r="P903" s="203">
        <f>AVERAGE('Weekly Data'!J851,'Weekly Data'!J799,'Weekly Data'!J747,'Weekly Data'!J695)</f>
        <v>1908.5463562516488</v>
      </c>
      <c r="R903" s="13">
        <f t="shared" si="50"/>
        <v>40611</v>
      </c>
      <c r="S903" s="106">
        <f t="shared" si="51"/>
        <v>1097.6875</v>
      </c>
      <c r="T903" s="106">
        <f t="shared" si="52"/>
        <v>1767.125</v>
      </c>
      <c r="U903" s="109">
        <f t="shared" si="53"/>
        <v>898</v>
      </c>
      <c r="V903" s="109">
        <f t="shared" si="54"/>
        <v>4461.5625</v>
      </c>
      <c r="W903" s="110">
        <f t="shared" si="55"/>
        <v>840.8125</v>
      </c>
      <c r="X903" s="106">
        <f t="shared" si="56"/>
        <v>8167.1875</v>
      </c>
      <c r="Y903" s="204">
        <f t="shared" si="56"/>
        <v>1701.0738885633498</v>
      </c>
    </row>
    <row r="904" spans="1:34" x14ac:dyDescent="0.25">
      <c r="A904" s="105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2">
        <f>SUM('Weekly Data'!J901:J904)/4</f>
        <v>1598.5588990426459</v>
      </c>
      <c r="J904" s="101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1">
        <f>AVERAGE('Weekly Data'!I852,'Weekly Data'!I800,'Weekly Data'!I748,'Weekly Data'!I696)</f>
        <v>7321.75</v>
      </c>
      <c r="P904" s="203">
        <f>AVERAGE('Weekly Data'!J852,'Weekly Data'!J800,'Weekly Data'!J748,'Weekly Data'!J696)</f>
        <v>1828.4503053223777</v>
      </c>
      <c r="R904" s="13">
        <f t="shared" si="50"/>
        <v>40618</v>
      </c>
      <c r="S904" s="106">
        <f t="shared" si="51"/>
        <v>991</v>
      </c>
      <c r="T904" s="106">
        <f t="shared" si="52"/>
        <v>1748.75</v>
      </c>
      <c r="U904" s="109">
        <f t="shared" si="53"/>
        <v>838.4375</v>
      </c>
      <c r="V904" s="109">
        <f t="shared" si="54"/>
        <v>4401.5625</v>
      </c>
      <c r="W904" s="110">
        <f t="shared" si="55"/>
        <v>813.125</v>
      </c>
      <c r="X904" s="106">
        <f t="shared" si="56"/>
        <v>7954.4375</v>
      </c>
      <c r="Y904" s="204">
        <f t="shared" si="56"/>
        <v>1720.4131954656293</v>
      </c>
    </row>
    <row r="905" spans="1:34" x14ac:dyDescent="0.25">
      <c r="A905" s="105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2">
        <f>SUM('Weekly Data'!J902:J905)/4</f>
        <v>1548.0010645327659</v>
      </c>
      <c r="J905" s="101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1">
        <f>AVERAGE('Weekly Data'!I853,'Weekly Data'!I801,'Weekly Data'!I749,'Weekly Data'!I697)</f>
        <v>7897.25</v>
      </c>
      <c r="P905" s="203">
        <f>AVERAGE('Weekly Data'!J853,'Weekly Data'!J801,'Weekly Data'!J749,'Weekly Data'!J697)</f>
        <v>1550.2068693423439</v>
      </c>
      <c r="R905" s="13">
        <f t="shared" si="50"/>
        <v>40625</v>
      </c>
      <c r="S905" s="106">
        <f t="shared" si="51"/>
        <v>1002.125</v>
      </c>
      <c r="T905" s="106">
        <f t="shared" si="52"/>
        <v>1712.5</v>
      </c>
      <c r="U905" s="109">
        <f t="shared" si="53"/>
        <v>887.1875</v>
      </c>
      <c r="V905" s="109">
        <f t="shared" si="54"/>
        <v>4534.125</v>
      </c>
      <c r="W905" s="110">
        <f t="shared" si="55"/>
        <v>805.1875</v>
      </c>
      <c r="X905" s="106">
        <f t="shared" si="56"/>
        <v>8053.9375</v>
      </c>
      <c r="Y905" s="204">
        <f t="shared" si="56"/>
        <v>1792.0309069164502</v>
      </c>
    </row>
    <row r="906" spans="1:34" x14ac:dyDescent="0.25">
      <c r="A906" s="105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2">
        <f>SUM('Weekly Data'!J903:J906)/4</f>
        <v>1793.2509108833233</v>
      </c>
      <c r="J906" s="101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1">
        <f>AVERAGE('Weekly Data'!I854,'Weekly Data'!I802,'Weekly Data'!I750,'Weekly Data'!I698)</f>
        <v>7096.75</v>
      </c>
      <c r="P906" s="203">
        <f>AVERAGE('Weekly Data'!J854,'Weekly Data'!J802,'Weekly Data'!J750,'Weekly Data'!J698)</f>
        <v>1714.218998813298</v>
      </c>
      <c r="R906" s="13">
        <f t="shared" si="50"/>
        <v>40632</v>
      </c>
      <c r="S906" s="106">
        <f t="shared" si="51"/>
        <v>848.9375</v>
      </c>
      <c r="T906" s="106">
        <f t="shared" si="52"/>
        <v>1682.5</v>
      </c>
      <c r="U906" s="109">
        <f t="shared" si="53"/>
        <v>834.125</v>
      </c>
      <c r="V906" s="109">
        <f t="shared" si="54"/>
        <v>4466.75</v>
      </c>
      <c r="W906" s="110">
        <f t="shared" si="55"/>
        <v>728.625</v>
      </c>
      <c r="X906" s="106">
        <f t="shared" si="56"/>
        <v>7726.8125</v>
      </c>
      <c r="Y906" s="204">
        <f t="shared" si="56"/>
        <v>1750.3556324324172</v>
      </c>
    </row>
    <row r="907" spans="1:34" x14ac:dyDescent="0.25">
      <c r="A907" s="105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2">
        <f>SUM('Weekly Data'!J904:J907)/4</f>
        <v>1959.7813219224447</v>
      </c>
      <c r="J907" s="101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1">
        <f>AVERAGE('Weekly Data'!I855,'Weekly Data'!I803,'Weekly Data'!I751,'Weekly Data'!I699)</f>
        <v>7185.25</v>
      </c>
      <c r="P907" s="203">
        <f>AVERAGE('Weekly Data'!J855,'Weekly Data'!J803,'Weekly Data'!J751,'Weekly Data'!J699)</f>
        <v>1711.3717574941822</v>
      </c>
      <c r="R907" s="13">
        <f t="shared" si="50"/>
        <v>40639</v>
      </c>
      <c r="S907" s="106">
        <f t="shared" si="51"/>
        <v>731</v>
      </c>
      <c r="T907" s="106">
        <f t="shared" si="52"/>
        <v>1578.5625</v>
      </c>
      <c r="U907" s="109">
        <f t="shared" si="53"/>
        <v>794</v>
      </c>
      <c r="V907" s="109">
        <f t="shared" si="54"/>
        <v>4462.875</v>
      </c>
      <c r="W907" s="110">
        <f t="shared" si="55"/>
        <v>663.5</v>
      </c>
      <c r="X907" s="106">
        <f t="shared" si="56"/>
        <v>7435.9375</v>
      </c>
      <c r="Y907" s="204">
        <f t="shared" si="56"/>
        <v>1701.0619827430503</v>
      </c>
    </row>
    <row r="908" spans="1:34" x14ac:dyDescent="0.25">
      <c r="A908" s="105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2">
        <f>SUM('Weekly Data'!J905:J908)/4</f>
        <v>2386.8619765980084</v>
      </c>
      <c r="J908" s="101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1">
        <f>AVERAGE('Weekly Data'!I856,'Weekly Data'!I804,'Weekly Data'!I752,'Weekly Data'!I700)</f>
        <v>7293.75</v>
      </c>
      <c r="P908" s="203">
        <f>AVERAGE('Weekly Data'!J856,'Weekly Data'!J804,'Weekly Data'!J752,'Weekly Data'!J700)</f>
        <v>1342.3950104623282</v>
      </c>
      <c r="R908" s="13">
        <f t="shared" si="50"/>
        <v>40646</v>
      </c>
      <c r="S908" s="106">
        <f t="shared" si="51"/>
        <v>713.125</v>
      </c>
      <c r="T908" s="106">
        <f t="shared" si="52"/>
        <v>1492.375</v>
      </c>
      <c r="U908" s="109">
        <f t="shared" si="53"/>
        <v>846.125</v>
      </c>
      <c r="V908" s="109">
        <f t="shared" si="54"/>
        <v>4570.625</v>
      </c>
      <c r="W908" s="110">
        <f t="shared" si="55"/>
        <v>617.6875</v>
      </c>
      <c r="X908" s="106">
        <f t="shared" si="56"/>
        <v>7393.8125</v>
      </c>
      <c r="Y908" s="204">
        <f t="shared" si="56"/>
        <v>1579.5481590280381</v>
      </c>
    </row>
    <row r="909" spans="1:34" x14ac:dyDescent="0.25">
      <c r="A909" s="105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2">
        <f>SUM('Weekly Data'!J906:J909)/4</f>
        <v>2695.7526058623171</v>
      </c>
      <c r="J909" s="101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1">
        <f>AVERAGE('Weekly Data'!I857,'Weekly Data'!I805,'Weekly Data'!I753,'Weekly Data'!I701)</f>
        <v>6309.5</v>
      </c>
      <c r="P909" s="203">
        <f>AVERAGE('Weekly Data'!J857,'Weekly Data'!J805,'Weekly Data'!J753,'Weekly Data'!J701)</f>
        <v>1471.9800484654843</v>
      </c>
      <c r="R909" s="13">
        <f t="shared" si="50"/>
        <v>40653</v>
      </c>
      <c r="S909" s="106">
        <f t="shared" si="51"/>
        <v>649.75</v>
      </c>
      <c r="T909" s="106">
        <f t="shared" si="52"/>
        <v>1480.375</v>
      </c>
      <c r="U909" s="109">
        <f t="shared" si="53"/>
        <v>845.5</v>
      </c>
      <c r="V909" s="109">
        <f t="shared" si="54"/>
        <v>4430.6875</v>
      </c>
      <c r="W909" s="110">
        <f t="shared" si="55"/>
        <v>522.5</v>
      </c>
      <c r="X909" s="106">
        <f t="shared" si="56"/>
        <v>7083.3125</v>
      </c>
      <c r="Y909" s="204">
        <f t="shared" si="56"/>
        <v>1559.9914538088231</v>
      </c>
    </row>
    <row r="910" spans="1:34" x14ac:dyDescent="0.25">
      <c r="A910" s="105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2">
        <f>SUM('Weekly Data'!J907:J910)/4</f>
        <v>2783.5635815900032</v>
      </c>
      <c r="J910" s="101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1">
        <f>AVERAGE('Weekly Data'!I858,'Weekly Data'!I806,'Weekly Data'!I754,'Weekly Data'!I702)</f>
        <v>6424.25</v>
      </c>
      <c r="P910" s="203">
        <f>AVERAGE('Weekly Data'!J858,'Weekly Data'!J806,'Weekly Data'!J754,'Weekly Data'!J702)</f>
        <v>2237.6685828425416</v>
      </c>
      <c r="R910" s="13">
        <f t="shared" si="50"/>
        <v>40660</v>
      </c>
      <c r="S910" s="106">
        <f t="shared" si="51"/>
        <v>600.875</v>
      </c>
      <c r="T910" s="106">
        <f t="shared" si="52"/>
        <v>1348.125</v>
      </c>
      <c r="U910" s="109">
        <f t="shared" si="53"/>
        <v>904.4375</v>
      </c>
      <c r="V910" s="109">
        <f t="shared" si="54"/>
        <v>4397.0625</v>
      </c>
      <c r="W910" s="110">
        <f t="shared" si="55"/>
        <v>470.8125</v>
      </c>
      <c r="X910" s="106">
        <f t="shared" si="56"/>
        <v>6816.875</v>
      </c>
      <c r="Y910" s="204">
        <f t="shared" si="56"/>
        <v>1690.853849816134</v>
      </c>
    </row>
    <row r="911" spans="1:34" x14ac:dyDescent="0.25">
      <c r="A911" s="105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2">
        <f>SUM('Weekly Data'!J908:J911)/4</f>
        <v>2935.9023197842462</v>
      </c>
      <c r="J911" s="101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1">
        <f>AVERAGE('Weekly Data'!I859,'Weekly Data'!I807,'Weekly Data'!I755,'Weekly Data'!I703)</f>
        <v>6778.75</v>
      </c>
      <c r="P911" s="203">
        <f>AVERAGE('Weekly Data'!J859,'Weekly Data'!J807,'Weekly Data'!J755,'Weekly Data'!J703)</f>
        <v>1516.4000606658956</v>
      </c>
      <c r="R911" s="13">
        <f t="shared" si="50"/>
        <v>40667</v>
      </c>
      <c r="S911" s="106">
        <f t="shared" si="51"/>
        <v>552.625</v>
      </c>
      <c r="T911" s="106">
        <f t="shared" si="52"/>
        <v>1383.125</v>
      </c>
      <c r="U911" s="109">
        <f t="shared" si="53"/>
        <v>870</v>
      </c>
      <c r="V911" s="109">
        <f t="shared" si="54"/>
        <v>4338.9375</v>
      </c>
      <c r="W911" s="110">
        <f t="shared" si="55"/>
        <v>474.5625</v>
      </c>
      <c r="X911" s="106">
        <f t="shared" si="56"/>
        <v>6749.25</v>
      </c>
      <c r="Y911" s="204">
        <f t="shared" si="56"/>
        <v>1642.1109256090626</v>
      </c>
    </row>
    <row r="912" spans="1:34" x14ac:dyDescent="0.25">
      <c r="A912" s="105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2">
        <f>SUM('Weekly Data'!J909:J912)/4</f>
        <v>2602.8414977060033</v>
      </c>
      <c r="J912" s="101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1">
        <f>AVERAGE('Weekly Data'!I860,'Weekly Data'!I808,'Weekly Data'!I756,'Weekly Data'!I704)</f>
        <v>5207.25</v>
      </c>
      <c r="P912" s="203">
        <f>AVERAGE('Weekly Data'!J860,'Weekly Data'!J808,'Weekly Data'!J756,'Weekly Data'!J704)</f>
        <v>1539.159921419495</v>
      </c>
      <c r="R912" s="13">
        <f t="shared" si="50"/>
        <v>40674</v>
      </c>
      <c r="S912" s="106">
        <f t="shared" si="51"/>
        <v>477</v>
      </c>
      <c r="T912" s="106">
        <f t="shared" si="52"/>
        <v>1253.375</v>
      </c>
      <c r="U912" s="109">
        <f t="shared" si="53"/>
        <v>923.8125</v>
      </c>
      <c r="V912" s="109">
        <f t="shared" si="54"/>
        <v>4141.4375</v>
      </c>
      <c r="W912" s="110">
        <f t="shared" si="55"/>
        <v>428.5625</v>
      </c>
      <c r="X912" s="106">
        <f t="shared" si="56"/>
        <v>6300.375</v>
      </c>
      <c r="Y912" s="204">
        <f t="shared" si="56"/>
        <v>1691.3021533483541</v>
      </c>
    </row>
    <row r="913" spans="1:25" x14ac:dyDescent="0.25">
      <c r="A913" s="105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2">
        <f>SUM('Weekly Data'!J910:J913)/4</f>
        <v>2236.5189423975762</v>
      </c>
      <c r="J913" s="101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1">
        <f>AVERAGE('Weekly Data'!I861,'Weekly Data'!I809,'Weekly Data'!I757,'Weekly Data'!I705)</f>
        <v>5425</v>
      </c>
      <c r="P913" s="203">
        <f>AVERAGE('Weekly Data'!J861,'Weekly Data'!J809,'Weekly Data'!J757,'Weekly Data'!J705)</f>
        <v>1858.7238606063202</v>
      </c>
      <c r="R913" s="13">
        <f t="shared" si="50"/>
        <v>40681</v>
      </c>
      <c r="S913" s="106">
        <f t="shared" si="51"/>
        <v>449.3125</v>
      </c>
      <c r="T913" s="106">
        <f t="shared" si="52"/>
        <v>1188.875</v>
      </c>
      <c r="U913" s="109">
        <f t="shared" si="53"/>
        <v>898.9375</v>
      </c>
      <c r="V913" s="109">
        <f t="shared" si="54"/>
        <v>3974.6875</v>
      </c>
      <c r="W913" s="110">
        <f t="shared" si="55"/>
        <v>390.75</v>
      </c>
      <c r="X913" s="106">
        <f t="shared" si="56"/>
        <v>6003.625</v>
      </c>
      <c r="Y913" s="204">
        <f t="shared" si="56"/>
        <v>1787.9881063835628</v>
      </c>
    </row>
    <row r="914" spans="1:25" x14ac:dyDescent="0.25">
      <c r="A914" s="105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2">
        <f>SUM('Weekly Data'!J911:J914)/4</f>
        <v>2174.8738634776355</v>
      </c>
      <c r="J914" s="101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1">
        <f>AVERAGE('Weekly Data'!I862,'Weekly Data'!I810,'Weekly Data'!I758,'Weekly Data'!I706)</f>
        <v>5174.75</v>
      </c>
      <c r="P914" s="203">
        <f>AVERAGE('Weekly Data'!J862,'Weekly Data'!J810,'Weekly Data'!J758,'Weekly Data'!J706)</f>
        <v>2222.455544319052</v>
      </c>
      <c r="R914" s="13">
        <f t="shared" si="50"/>
        <v>40688</v>
      </c>
      <c r="S914" s="106">
        <f t="shared" si="51"/>
        <v>429.625</v>
      </c>
      <c r="T914" s="106">
        <f t="shared" si="52"/>
        <v>1165</v>
      </c>
      <c r="U914" s="109">
        <f t="shared" si="53"/>
        <v>914.25</v>
      </c>
      <c r="V914" s="109">
        <f t="shared" si="54"/>
        <v>3842.4375</v>
      </c>
      <c r="W914" s="110">
        <f t="shared" si="55"/>
        <v>360.5</v>
      </c>
      <c r="X914" s="106">
        <f t="shared" si="56"/>
        <v>5797.5625</v>
      </c>
      <c r="Y914" s="204">
        <f t="shared" si="56"/>
        <v>1784.1848467526906</v>
      </c>
    </row>
    <row r="915" spans="1:25" x14ac:dyDescent="0.25">
      <c r="A915" s="105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2">
        <f>SUM('Weekly Data'!J912:J915)/4</f>
        <v>2100.5893259302238</v>
      </c>
      <c r="J915" s="101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1">
        <f>AVERAGE('Weekly Data'!I863,'Weekly Data'!I811,'Weekly Data'!I759,'Weekly Data'!I707)</f>
        <v>5461.25</v>
      </c>
      <c r="P915" s="203">
        <f>AVERAGE('Weekly Data'!J863,'Weekly Data'!J811,'Weekly Data'!J759,'Weekly Data'!J707)</f>
        <v>1696.3316507113859</v>
      </c>
      <c r="R915" s="13">
        <f t="shared" si="50"/>
        <v>40695</v>
      </c>
      <c r="S915" s="106">
        <f t="shared" si="51"/>
        <v>401.0625</v>
      </c>
      <c r="T915" s="106">
        <f t="shared" si="52"/>
        <v>1058.375</v>
      </c>
      <c r="U915" s="109">
        <f t="shared" si="53"/>
        <v>932.6875</v>
      </c>
      <c r="V915" s="109">
        <f t="shared" si="54"/>
        <v>3654.5625</v>
      </c>
      <c r="W915" s="110">
        <f t="shared" si="55"/>
        <v>291.3125</v>
      </c>
      <c r="X915" s="106">
        <f t="shared" si="56"/>
        <v>5405.3125</v>
      </c>
      <c r="Y915" s="204">
        <f t="shared" si="56"/>
        <v>1829.1677442640632</v>
      </c>
    </row>
    <row r="916" spans="1:25" x14ac:dyDescent="0.25">
      <c r="A916" s="105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2">
        <f>SUM('Weekly Data'!J913:J916)/4</f>
        <v>1839.8173374055809</v>
      </c>
      <c r="J916" s="101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1">
        <f>AVERAGE('Weekly Data'!I864,'Weekly Data'!I812,'Weekly Data'!I760,'Weekly Data'!I708)</f>
        <v>5408.75</v>
      </c>
      <c r="P916" s="203">
        <f>AVERAGE('Weekly Data'!J864,'Weekly Data'!J812,'Weekly Data'!J760,'Weekly Data'!J708)</f>
        <v>2124.5626205913127</v>
      </c>
      <c r="R916" s="13">
        <f t="shared" si="50"/>
        <v>40702</v>
      </c>
      <c r="S916" s="106">
        <f t="shared" si="51"/>
        <v>344.5</v>
      </c>
      <c r="T916" s="106">
        <f t="shared" si="52"/>
        <v>1119.6875</v>
      </c>
      <c r="U916" s="109">
        <f t="shared" si="53"/>
        <v>874.0625</v>
      </c>
      <c r="V916" s="109">
        <f t="shared" si="54"/>
        <v>3558.0625</v>
      </c>
      <c r="W916" s="110">
        <f t="shared" si="55"/>
        <v>257.8125</v>
      </c>
      <c r="X916" s="106">
        <f t="shared" si="56"/>
        <v>5280.0625</v>
      </c>
      <c r="Y916" s="204">
        <f t="shared" si="56"/>
        <v>1975.5184190570176</v>
      </c>
    </row>
    <row r="917" spans="1:25" x14ac:dyDescent="0.25">
      <c r="A917" s="105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2">
        <f>SUM('Weekly Data'!J914:J917)/4</f>
        <v>2130.3031409491887</v>
      </c>
      <c r="J917" s="101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1">
        <f>AVERAGE('Weekly Data'!I865,'Weekly Data'!I813,'Weekly Data'!I761,'Weekly Data'!I709)</f>
        <v>4874.25</v>
      </c>
      <c r="P917" s="203">
        <f>AVERAGE('Weekly Data'!J865,'Weekly Data'!J813,'Weekly Data'!J761,'Weekly Data'!J709)</f>
        <v>2047.3610714501874</v>
      </c>
      <c r="R917" s="13">
        <f t="shared" si="50"/>
        <v>40709</v>
      </c>
      <c r="S917" s="106">
        <f t="shared" ref="S917:S950" si="58">AVERAGE(B865,B813,B761,B708)</f>
        <v>314.8125</v>
      </c>
      <c r="T917" s="106">
        <f t="shared" ref="T917:T950" si="59">AVERAGE(C865,C813,C761,C708)</f>
        <v>1225.875</v>
      </c>
      <c r="U917" s="109">
        <f t="shared" ref="U917:U950" si="60">AVERAGE(D865,D813,D761,D708)</f>
        <v>799.875</v>
      </c>
      <c r="V917" s="109">
        <f t="shared" ref="V917:V950" si="61">AVERAGE(E865,E813,E761,E708)</f>
        <v>3464.1875</v>
      </c>
      <c r="W917" s="110">
        <f t="shared" ref="W917:W950" si="62">AVERAGE(F865,F813,F761,F708)</f>
        <v>251.875</v>
      </c>
      <c r="X917" s="106">
        <f t="shared" ref="X917:Y950" si="63">AVERAGE(G865,G813,G761,G708)</f>
        <v>5256.75</v>
      </c>
      <c r="Y917" s="204">
        <f t="shared" si="63"/>
        <v>2022.6777217679846</v>
      </c>
    </row>
    <row r="918" spans="1:25" x14ac:dyDescent="0.25">
      <c r="A918" s="105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2">
        <f>SUM('Weekly Data'!J915:J918)/4</f>
        <v>1929.6240171270779</v>
      </c>
      <c r="J918" s="101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1">
        <f>AVERAGE('Weekly Data'!I866,'Weekly Data'!I814,'Weekly Data'!I762,'Weekly Data'!I710)</f>
        <v>5905.5</v>
      </c>
      <c r="P918" s="203">
        <f>AVERAGE('Weekly Data'!J866,'Weekly Data'!J814,'Weekly Data'!J762,'Weekly Data'!J710)</f>
        <v>1411.6792911758789</v>
      </c>
      <c r="R918" s="13">
        <f t="shared" si="50"/>
        <v>40716</v>
      </c>
      <c r="S918" s="106">
        <f t="shared" si="58"/>
        <v>324</v>
      </c>
      <c r="T918" s="106">
        <f t="shared" si="59"/>
        <v>1274.875</v>
      </c>
      <c r="U918" s="109">
        <f t="shared" si="60"/>
        <v>768.875</v>
      </c>
      <c r="V918" s="109">
        <f t="shared" si="61"/>
        <v>3419.4375</v>
      </c>
      <c r="W918" s="110">
        <f t="shared" si="62"/>
        <v>236.3125</v>
      </c>
      <c r="X918" s="106">
        <f t="shared" si="63"/>
        <v>5254.625</v>
      </c>
      <c r="Y918" s="204">
        <f t="shared" si="63"/>
        <v>1819.9836584821915</v>
      </c>
    </row>
    <row r="919" spans="1:25" x14ac:dyDescent="0.25">
      <c r="A919" s="105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2">
        <f>SUM('Weekly Data'!J916:J919)/4</f>
        <v>2090.6108059611688</v>
      </c>
      <c r="J919" s="101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1">
        <f>AVERAGE('Weekly Data'!I867,'Weekly Data'!I815,'Weekly Data'!I763,'Weekly Data'!I711)</f>
        <v>5547.25</v>
      </c>
      <c r="P919" s="203">
        <f>AVERAGE('Weekly Data'!J867,'Weekly Data'!J815,'Weekly Data'!J763,'Weekly Data'!J711)</f>
        <v>1993.0196188901032</v>
      </c>
      <c r="R919" s="13">
        <f t="shared" si="50"/>
        <v>40723</v>
      </c>
      <c r="S919" s="106">
        <f t="shared" si="58"/>
        <v>370.5</v>
      </c>
      <c r="T919" s="106">
        <f t="shared" si="59"/>
        <v>1366.1875</v>
      </c>
      <c r="U919" s="109">
        <f t="shared" si="60"/>
        <v>713.3125</v>
      </c>
      <c r="V919" s="109">
        <f t="shared" si="61"/>
        <v>3478.125</v>
      </c>
      <c r="W919" s="110">
        <f t="shared" si="62"/>
        <v>244.6875</v>
      </c>
      <c r="X919" s="106">
        <f t="shared" si="63"/>
        <v>5459.5</v>
      </c>
      <c r="Y919" s="204">
        <f t="shared" si="63"/>
        <v>1894.1556505268704</v>
      </c>
    </row>
    <row r="920" spans="1:25" x14ac:dyDescent="0.25">
      <c r="A920" s="105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2">
        <f>SUM('Weekly Data'!J917:J920)/4</f>
        <v>2291.2899297832791</v>
      </c>
      <c r="J920" s="101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1">
        <f>AVERAGE('Weekly Data'!I868,'Weekly Data'!I816,'Weekly Data'!I764,'Weekly Data'!I712)</f>
        <v>5815.5</v>
      </c>
      <c r="P920" s="203">
        <f>AVERAGE('Weekly Data'!J868,'Weekly Data'!J816,'Weekly Data'!J764,'Weekly Data'!J712)</f>
        <v>1393.0189390127375</v>
      </c>
      <c r="R920" s="13">
        <f t="shared" si="50"/>
        <v>40730</v>
      </c>
      <c r="S920" s="106">
        <f t="shared" si="58"/>
        <v>406.5625</v>
      </c>
      <c r="T920" s="106">
        <f t="shared" si="59"/>
        <v>1526.375</v>
      </c>
      <c r="U920" s="109">
        <f t="shared" si="60"/>
        <v>667.6875</v>
      </c>
      <c r="V920" s="109">
        <f t="shared" si="61"/>
        <v>3398</v>
      </c>
      <c r="W920" s="110">
        <f t="shared" si="62"/>
        <v>262.6875</v>
      </c>
      <c r="X920" s="106">
        <f t="shared" si="63"/>
        <v>5593.625</v>
      </c>
      <c r="Y920" s="204">
        <f t="shared" si="63"/>
        <v>1711.2697301322269</v>
      </c>
    </row>
    <row r="921" spans="1:25" x14ac:dyDescent="0.25">
      <c r="A921" s="105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2">
        <f>SUM('Weekly Data'!J918:J921)/4</f>
        <v>2164.6735986203785</v>
      </c>
      <c r="J921" s="101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1">
        <f>AVERAGE('Weekly Data'!I869,'Weekly Data'!I817,'Weekly Data'!I765,'Weekly Data'!I713)</f>
        <v>6464.75</v>
      </c>
      <c r="P921" s="203">
        <f>AVERAGE('Weekly Data'!J869,'Weekly Data'!J817,'Weekly Data'!J765,'Weekly Data'!J713)</f>
        <v>1138.9996048943303</v>
      </c>
      <c r="R921" s="13">
        <f t="shared" si="50"/>
        <v>40737</v>
      </c>
      <c r="S921" s="106">
        <f t="shared" si="58"/>
        <v>452.375</v>
      </c>
      <c r="T921" s="106">
        <f t="shared" si="59"/>
        <v>1625.4375</v>
      </c>
      <c r="U921" s="109">
        <f t="shared" si="60"/>
        <v>725.8125</v>
      </c>
      <c r="V921" s="109">
        <f t="shared" si="61"/>
        <v>3569.875</v>
      </c>
      <c r="W921" s="110">
        <f t="shared" si="62"/>
        <v>300.4375</v>
      </c>
      <c r="X921" s="106">
        <f t="shared" si="63"/>
        <v>5948.125</v>
      </c>
      <c r="Y921" s="204">
        <f t="shared" si="63"/>
        <v>1484.1793634932624</v>
      </c>
    </row>
    <row r="922" spans="1:25" x14ac:dyDescent="0.25">
      <c r="A922" s="105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2">
        <f>SUM('Weekly Data'!J919:J922)/4</f>
        <v>2276.2112773855956</v>
      </c>
      <c r="J922" s="101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1">
        <f>AVERAGE('Weekly Data'!I870,'Weekly Data'!I818,'Weekly Data'!I766,'Weekly Data'!I714)</f>
        <v>6635.5</v>
      </c>
      <c r="P922" s="203">
        <f>AVERAGE('Weekly Data'!J870,'Weekly Data'!J818,'Weekly Data'!J766,'Weekly Data'!J714)</f>
        <v>1425.4502402268004</v>
      </c>
      <c r="R922" s="13">
        <f t="shared" si="50"/>
        <v>40744</v>
      </c>
      <c r="S922" s="106">
        <f t="shared" si="58"/>
        <v>520.8125</v>
      </c>
      <c r="T922" s="106">
        <f t="shared" si="59"/>
        <v>1718.5</v>
      </c>
      <c r="U922" s="109">
        <f t="shared" si="60"/>
        <v>643.625</v>
      </c>
      <c r="V922" s="109">
        <f t="shared" si="61"/>
        <v>3670.3125</v>
      </c>
      <c r="W922" s="110">
        <f t="shared" si="62"/>
        <v>322.75</v>
      </c>
      <c r="X922" s="106">
        <f t="shared" si="63"/>
        <v>6232.375</v>
      </c>
      <c r="Y922" s="204">
        <f t="shared" si="63"/>
        <v>1487.622100755993</v>
      </c>
    </row>
    <row r="923" spans="1:25" x14ac:dyDescent="0.25">
      <c r="A923" s="105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2">
        <f>SUM('Weekly Data'!J920:J923)/4</f>
        <v>1965.5466890156767</v>
      </c>
      <c r="J923" s="101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1">
        <f>AVERAGE('Weekly Data'!I871,'Weekly Data'!I819,'Weekly Data'!I767,'Weekly Data'!I715)</f>
        <v>6645</v>
      </c>
      <c r="P923" s="203">
        <f>AVERAGE('Weekly Data'!J871,'Weekly Data'!J819,'Weekly Data'!J767,'Weekly Data'!J715)</f>
        <v>1589.3530627691316</v>
      </c>
      <c r="R923" s="13">
        <f t="shared" si="50"/>
        <v>40751</v>
      </c>
      <c r="S923" s="106">
        <f t="shared" si="58"/>
        <v>560.75</v>
      </c>
      <c r="T923" s="106">
        <f t="shared" si="59"/>
        <v>1747.75</v>
      </c>
      <c r="U923" s="109">
        <f t="shared" si="60"/>
        <v>682.6875</v>
      </c>
      <c r="V923" s="109">
        <f t="shared" si="61"/>
        <v>3691.1875</v>
      </c>
      <c r="W923" s="110">
        <f t="shared" si="62"/>
        <v>282.125</v>
      </c>
      <c r="X923" s="106">
        <f t="shared" si="63"/>
        <v>6281.8125</v>
      </c>
      <c r="Y923" s="204">
        <f t="shared" si="63"/>
        <v>1386.70546172575</v>
      </c>
    </row>
    <row r="924" spans="1:25" x14ac:dyDescent="0.25">
      <c r="A924" s="105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2">
        <f>SUM('Weekly Data'!J921:J924)/4</f>
        <v>1857.3351835734777</v>
      </c>
      <c r="J924" s="101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1">
        <f>AVERAGE('Weekly Data'!I872,'Weekly Data'!I820,'Weekly Data'!I768,'Weekly Data'!I716)</f>
        <v>5788</v>
      </c>
      <c r="P924" s="203">
        <f>AVERAGE('Weekly Data'!J872,'Weekly Data'!J820,'Weekly Data'!J768,'Weekly Data'!J716)</f>
        <v>1902.3211771958522</v>
      </c>
      <c r="R924" s="13">
        <f t="shared" si="50"/>
        <v>40758</v>
      </c>
      <c r="S924" s="106">
        <f t="shared" si="58"/>
        <v>561</v>
      </c>
      <c r="T924" s="106">
        <f t="shared" si="59"/>
        <v>1747.5</v>
      </c>
      <c r="U924" s="109">
        <f t="shared" si="60"/>
        <v>681.875</v>
      </c>
      <c r="V924" s="109">
        <f t="shared" si="61"/>
        <v>3714.875</v>
      </c>
      <c r="W924" s="110">
        <f t="shared" si="62"/>
        <v>251.3125</v>
      </c>
      <c r="X924" s="106">
        <f t="shared" si="63"/>
        <v>6274.6875</v>
      </c>
      <c r="Y924" s="204">
        <f t="shared" si="63"/>
        <v>1514.0310212715285</v>
      </c>
    </row>
    <row r="925" spans="1:25" x14ac:dyDescent="0.25">
      <c r="A925" s="105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2">
        <f>SUM('Weekly Data'!J922:J925)/4</f>
        <v>1801.0119819703662</v>
      </c>
      <c r="J925" s="101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1">
        <f>AVERAGE('Weekly Data'!I873,'Weekly Data'!I821,'Weekly Data'!I769,'Weekly Data'!I717)</f>
        <v>6814</v>
      </c>
      <c r="P925" s="203">
        <f>AVERAGE('Weekly Data'!J873,'Weekly Data'!J821,'Weekly Data'!J769,'Weekly Data'!J717)</f>
        <v>1092.6810810695135</v>
      </c>
      <c r="R925" s="13">
        <f t="shared" si="50"/>
        <v>40765</v>
      </c>
      <c r="S925" s="106">
        <f t="shared" si="58"/>
        <v>607.4375</v>
      </c>
      <c r="T925" s="106">
        <f t="shared" si="59"/>
        <v>1796.375</v>
      </c>
      <c r="U925" s="109">
        <f t="shared" si="60"/>
        <v>663.5625</v>
      </c>
      <c r="V925" s="109">
        <f t="shared" si="61"/>
        <v>3672.125</v>
      </c>
      <c r="W925" s="110">
        <f t="shared" si="62"/>
        <v>202.3125</v>
      </c>
      <c r="X925" s="106">
        <f t="shared" si="63"/>
        <v>6278.25</v>
      </c>
      <c r="Y925" s="204">
        <f t="shared" si="63"/>
        <v>1502.4513903153245</v>
      </c>
    </row>
    <row r="926" spans="1:25" x14ac:dyDescent="0.25">
      <c r="A926" s="105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2">
        <f>SUM('Weekly Data'!J923:J926)/4</f>
        <v>1630.4901629436224</v>
      </c>
      <c r="J926" s="101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1">
        <f>AVERAGE('Weekly Data'!I874,'Weekly Data'!I822,'Weekly Data'!I770,'Weekly Data'!I718)</f>
        <v>6352</v>
      </c>
      <c r="P926" s="203">
        <f>AVERAGE('Weekly Data'!J874,'Weekly Data'!J822,'Weekly Data'!J770,'Weekly Data'!J718)</f>
        <v>1383.2376655061589</v>
      </c>
      <c r="R926" s="13">
        <f t="shared" si="50"/>
        <v>40772</v>
      </c>
      <c r="S926" s="106">
        <f t="shared" si="58"/>
        <v>573.1875</v>
      </c>
      <c r="T926" s="106">
        <f t="shared" si="59"/>
        <v>1902.75</v>
      </c>
      <c r="U926" s="109">
        <f t="shared" si="60"/>
        <v>699</v>
      </c>
      <c r="V926" s="109">
        <f t="shared" si="61"/>
        <v>3421.75</v>
      </c>
      <c r="W926" s="110">
        <f t="shared" si="62"/>
        <v>185.1875</v>
      </c>
      <c r="X926" s="106">
        <f t="shared" si="63"/>
        <v>6082.875</v>
      </c>
      <c r="Y926" s="204">
        <f t="shared" si="63"/>
        <v>1491.898246635164</v>
      </c>
    </row>
    <row r="927" spans="1:25" x14ac:dyDescent="0.25">
      <c r="A927" s="105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2">
        <f>SUM('Weekly Data'!J924:J927)/4</f>
        <v>1670.4042428198434</v>
      </c>
      <c r="J927" s="101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1">
        <f>AVERAGE('Weekly Data'!I875,'Weekly Data'!I823,'Weekly Data'!I771,'Weekly Data'!I719)</f>
        <v>6826.5</v>
      </c>
      <c r="P927" s="203">
        <f>AVERAGE('Weekly Data'!J875,'Weekly Data'!J823,'Weekly Data'!J771,'Weekly Data'!J719)</f>
        <v>1621.3987327814807</v>
      </c>
      <c r="R927" s="13">
        <f t="shared" si="50"/>
        <v>40779</v>
      </c>
      <c r="S927" s="106">
        <f t="shared" si="58"/>
        <v>587.625</v>
      </c>
      <c r="T927" s="106">
        <f t="shared" si="59"/>
        <v>1982.125</v>
      </c>
      <c r="U927" s="109">
        <f t="shared" si="60"/>
        <v>659.75</v>
      </c>
      <c r="V927" s="109">
        <f t="shared" si="61"/>
        <v>3476.8125</v>
      </c>
      <c r="W927" s="110">
        <f t="shared" si="62"/>
        <v>209.6875</v>
      </c>
      <c r="X927" s="106">
        <f t="shared" si="63"/>
        <v>6256.25</v>
      </c>
      <c r="Y927" s="204">
        <f t="shared" si="63"/>
        <v>1499.9096641382516</v>
      </c>
    </row>
    <row r="928" spans="1:25" x14ac:dyDescent="0.25">
      <c r="A928" s="105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2">
        <f>SUM('Weekly Data'!J925:J928)/4</f>
        <v>1626.4987549560005</v>
      </c>
      <c r="J928" s="101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1">
        <f>AVERAGE('Weekly Data'!I876,'Weekly Data'!I824,'Weekly Data'!I772,'Weekly Data'!I720)</f>
        <v>6306.5</v>
      </c>
      <c r="P928" s="203">
        <f>AVERAGE('Weekly Data'!J876,'Weekly Data'!J824,'Weekly Data'!J772,'Weekly Data'!J720)</f>
        <v>1388.9032293845639</v>
      </c>
      <c r="R928" s="13">
        <f t="shared" si="50"/>
        <v>40786</v>
      </c>
      <c r="S928" s="106">
        <f t="shared" si="58"/>
        <v>704.25</v>
      </c>
      <c r="T928" s="106">
        <f t="shared" si="59"/>
        <v>2006.625</v>
      </c>
      <c r="U928" s="109">
        <f t="shared" si="60"/>
        <v>638.25</v>
      </c>
      <c r="V928" s="109">
        <f t="shared" si="61"/>
        <v>3525.5</v>
      </c>
      <c r="W928" s="110">
        <f t="shared" si="62"/>
        <v>275.875</v>
      </c>
      <c r="X928" s="106">
        <f t="shared" si="63"/>
        <v>6512.25</v>
      </c>
      <c r="Y928" s="204">
        <f t="shared" si="63"/>
        <v>1371.5551771854293</v>
      </c>
    </row>
    <row r="929" spans="1:25" x14ac:dyDescent="0.25">
      <c r="A929" s="105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2">
        <f>SUM('Weekly Data'!J926:J929)/4</f>
        <v>1519.8394637312103</v>
      </c>
      <c r="J929" s="101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1">
        <f>AVERAGE('Weekly Data'!I877,'Weekly Data'!I825,'Weekly Data'!I773,'Weekly Data'!I721)</f>
        <v>6885</v>
      </c>
      <c r="P929" s="203">
        <f>AVERAGE('Weekly Data'!J877,'Weekly Data'!J825,'Weekly Data'!J773,'Weekly Data'!J721)</f>
        <v>1732.5306936022653</v>
      </c>
      <c r="R929" s="13">
        <f t="shared" si="50"/>
        <v>40793</v>
      </c>
      <c r="S929" s="106">
        <f t="shared" si="58"/>
        <v>722.1875</v>
      </c>
      <c r="T929" s="106">
        <f t="shared" si="59"/>
        <v>2059.1875</v>
      </c>
      <c r="U929" s="109">
        <f t="shared" si="60"/>
        <v>598.375</v>
      </c>
      <c r="V929" s="109">
        <f t="shared" si="61"/>
        <v>3474.3125</v>
      </c>
      <c r="W929" s="110">
        <f t="shared" si="62"/>
        <v>319.6875</v>
      </c>
      <c r="X929" s="106">
        <f t="shared" si="63"/>
        <v>6575.375</v>
      </c>
      <c r="Y929" s="204">
        <f t="shared" si="63"/>
        <v>1531.5175803186173</v>
      </c>
    </row>
    <row r="930" spans="1:25" x14ac:dyDescent="0.25">
      <c r="A930" s="105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2">
        <f>SUM('Weekly Data'!J927:J930)/4</f>
        <v>1622.9508367447806</v>
      </c>
      <c r="J930" s="101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1">
        <f>AVERAGE('Weekly Data'!I878,'Weekly Data'!I826,'Weekly Data'!I774,'Weekly Data'!I722)</f>
        <v>6575.5</v>
      </c>
      <c r="P930" s="203">
        <f>AVERAGE('Weekly Data'!J878,'Weekly Data'!J826,'Weekly Data'!J774,'Weekly Data'!J722)</f>
        <v>1036.4799956756908</v>
      </c>
      <c r="R930" s="13">
        <f t="shared" si="50"/>
        <v>40800</v>
      </c>
      <c r="S930" s="106">
        <f t="shared" si="58"/>
        <v>794.0625</v>
      </c>
      <c r="T930" s="106">
        <f t="shared" si="59"/>
        <v>2061.8125</v>
      </c>
      <c r="U930" s="109">
        <f t="shared" si="60"/>
        <v>563.9375</v>
      </c>
      <c r="V930" s="109">
        <f t="shared" si="61"/>
        <v>3457.5625</v>
      </c>
      <c r="W930" s="110">
        <f t="shared" si="62"/>
        <v>349.5625</v>
      </c>
      <c r="X930" s="106">
        <f t="shared" si="63"/>
        <v>6663</v>
      </c>
      <c r="Y930" s="204">
        <f t="shared" si="63"/>
        <v>1444.8281628610002</v>
      </c>
    </row>
    <row r="931" spans="1:25" x14ac:dyDescent="0.25">
      <c r="A931" s="105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2">
        <f>SUM('Weekly Data'!J928:J931)/4</f>
        <v>1739.5886479386263</v>
      </c>
      <c r="J931" s="101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1">
        <f>AVERAGE('Weekly Data'!I879,'Weekly Data'!I827,'Weekly Data'!I775,'Weekly Data'!I723)</f>
        <v>6854.75</v>
      </c>
      <c r="P931" s="203">
        <f>AVERAGE('Weekly Data'!J879,'Weekly Data'!J827,'Weekly Data'!J775,'Weekly Data'!J723)</f>
        <v>1407.9115494990619</v>
      </c>
      <c r="R931" s="13">
        <f t="shared" si="50"/>
        <v>40807</v>
      </c>
      <c r="S931" s="106">
        <f t="shared" si="58"/>
        <v>878.8125</v>
      </c>
      <c r="T931" s="106">
        <f t="shared" si="59"/>
        <v>2131.625</v>
      </c>
      <c r="U931" s="109">
        <f t="shared" si="60"/>
        <v>627.375</v>
      </c>
      <c r="V931" s="109">
        <f t="shared" si="61"/>
        <v>3202</v>
      </c>
      <c r="W931" s="110">
        <f t="shared" si="62"/>
        <v>389.25</v>
      </c>
      <c r="X931" s="106">
        <f t="shared" si="63"/>
        <v>6601.6875</v>
      </c>
      <c r="Y931" s="204">
        <f t="shared" si="63"/>
        <v>1391.4563670403954</v>
      </c>
    </row>
    <row r="932" spans="1:25" x14ac:dyDescent="0.25">
      <c r="A932" s="105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2">
        <f>SUM('Weekly Data'!J929:J932)/4</f>
        <v>1604.546011024079</v>
      </c>
      <c r="J932" s="101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1">
        <f>AVERAGE('Weekly Data'!I880,'Weekly Data'!I828,'Weekly Data'!I776,'Weekly Data'!I724)</f>
        <v>7059.75</v>
      </c>
      <c r="P932" s="203">
        <f>AVERAGE('Weekly Data'!J880,'Weekly Data'!J828,'Weekly Data'!J776,'Weekly Data'!J724)</f>
        <v>1166.9776784756782</v>
      </c>
      <c r="R932" s="13">
        <f t="shared" si="50"/>
        <v>40814</v>
      </c>
      <c r="S932" s="106">
        <f t="shared" si="58"/>
        <v>940.3125</v>
      </c>
      <c r="T932" s="106">
        <f t="shared" si="59"/>
        <v>2216.3125</v>
      </c>
      <c r="U932" s="109">
        <f t="shared" si="60"/>
        <v>697.25</v>
      </c>
      <c r="V932" s="109">
        <f t="shared" si="61"/>
        <v>3114.9375</v>
      </c>
      <c r="W932" s="110">
        <f t="shared" si="62"/>
        <v>426.75</v>
      </c>
      <c r="X932" s="106">
        <f t="shared" si="63"/>
        <v>6698.3125</v>
      </c>
      <c r="Y932" s="204">
        <f t="shared" si="63"/>
        <v>1335.9749793131741</v>
      </c>
    </row>
    <row r="933" spans="1:25" x14ac:dyDescent="0.25">
      <c r="A933" s="105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2">
        <f>SUM('Weekly Data'!J930:J933)/4</f>
        <v>1692.3569867517649</v>
      </c>
      <c r="J933" s="101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1">
        <f>AVERAGE('Weekly Data'!I881,'Weekly Data'!I829,'Weekly Data'!I777,'Weekly Data'!I725)</f>
        <v>8277.25</v>
      </c>
      <c r="P933" s="203">
        <f>AVERAGE('Weekly Data'!J881,'Weekly Data'!J829,'Weekly Data'!J777,'Weekly Data'!J725)</f>
        <v>1596.6357063379353</v>
      </c>
      <c r="R933" s="13">
        <f t="shared" si="50"/>
        <v>40821</v>
      </c>
      <c r="S933" s="106">
        <f t="shared" si="58"/>
        <v>1140.625</v>
      </c>
      <c r="T933" s="106">
        <f t="shared" si="59"/>
        <v>2166</v>
      </c>
      <c r="U933" s="109">
        <f t="shared" si="60"/>
        <v>724.25</v>
      </c>
      <c r="V933" s="109">
        <f t="shared" si="61"/>
        <v>3179.375</v>
      </c>
      <c r="W933" s="110">
        <f t="shared" si="62"/>
        <v>510.5625</v>
      </c>
      <c r="X933" s="106">
        <f t="shared" si="63"/>
        <v>6996.5625</v>
      </c>
      <c r="Y933" s="204">
        <f t="shared" si="63"/>
        <v>1001.0537971928889</v>
      </c>
    </row>
    <row r="934" spans="1:25" x14ac:dyDescent="0.25">
      <c r="A934" s="105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2">
        <f>SUM('Weekly Data'!J931:J934)/4</f>
        <v>1767.7502487401821</v>
      </c>
      <c r="J934" s="101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1">
        <f>AVERAGE('Weekly Data'!I882,'Weekly Data'!I830,'Weekly Data'!I778,'Weekly Data'!I726)</f>
        <v>11009.5</v>
      </c>
      <c r="P934" s="203">
        <f>AVERAGE('Weekly Data'!J882,'Weekly Data'!J830,'Weekly Data'!J778,'Weekly Data'!J726)</f>
        <v>2112.0776139894328</v>
      </c>
      <c r="R934" s="13">
        <f t="shared" si="50"/>
        <v>40828</v>
      </c>
      <c r="S934" s="106">
        <f t="shared" si="58"/>
        <v>1450.875</v>
      </c>
      <c r="T934" s="106">
        <f t="shared" si="59"/>
        <v>2182.5625</v>
      </c>
      <c r="U934" s="109">
        <f t="shared" si="60"/>
        <v>743.5625</v>
      </c>
      <c r="V934" s="109">
        <f t="shared" si="61"/>
        <v>3780.5625</v>
      </c>
      <c r="W934" s="110">
        <f t="shared" si="62"/>
        <v>639.5</v>
      </c>
      <c r="X934" s="106">
        <f t="shared" si="63"/>
        <v>8053.5</v>
      </c>
      <c r="Y934" s="204">
        <f t="shared" si="63"/>
        <v>1356.3265347442987</v>
      </c>
    </row>
    <row r="935" spans="1:25" x14ac:dyDescent="0.25">
      <c r="A935" s="105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2">
        <f>SUM('Weekly Data'!J932:J935)/4</f>
        <v>1504.3173215571246</v>
      </c>
      <c r="J935" s="101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1">
        <f>AVERAGE('Weekly Data'!I883,'Weekly Data'!I831,'Weekly Data'!I779,'Weekly Data'!I727)</f>
        <v>10174.5</v>
      </c>
      <c r="P935" s="203">
        <f>AVERAGE('Weekly Data'!J883,'Weekly Data'!J831,'Weekly Data'!J779,'Weekly Data'!J727)</f>
        <v>2049.9986559890658</v>
      </c>
      <c r="R935" s="13">
        <f t="shared" si="50"/>
        <v>40835</v>
      </c>
      <c r="S935" s="106">
        <f t="shared" si="58"/>
        <v>1753.3125</v>
      </c>
      <c r="T935" s="106">
        <f t="shared" si="59"/>
        <v>2101.125</v>
      </c>
      <c r="U935" s="109">
        <f t="shared" si="60"/>
        <v>722.625</v>
      </c>
      <c r="V935" s="109">
        <f t="shared" si="61"/>
        <v>4406.3125</v>
      </c>
      <c r="W935" s="110">
        <f t="shared" si="62"/>
        <v>776.125</v>
      </c>
      <c r="X935" s="106">
        <f t="shared" si="63"/>
        <v>9036.875</v>
      </c>
      <c r="Y935" s="204">
        <f t="shared" si="63"/>
        <v>1634.1742738250548</v>
      </c>
    </row>
    <row r="936" spans="1:25" x14ac:dyDescent="0.25">
      <c r="A936" s="105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2">
        <f>SUM('Weekly Data'!J933:J936)/4</f>
        <v>1791.9204415541158</v>
      </c>
      <c r="J936" s="101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1">
        <f>AVERAGE('Weekly Data'!I884,'Weekly Data'!I832,'Weekly Data'!I780,'Weekly Data'!I728)</f>
        <v>10194.75</v>
      </c>
      <c r="P936" s="203">
        <f>AVERAGE('Weekly Data'!J884,'Weekly Data'!J832,'Weekly Data'!J780,'Weekly Data'!J728)</f>
        <v>2073.5968609164788</v>
      </c>
      <c r="R936" s="13">
        <f t="shared" si="50"/>
        <v>40842</v>
      </c>
      <c r="S936" s="106">
        <f t="shared" si="58"/>
        <v>1995.9375</v>
      </c>
      <c r="T936" s="106">
        <f t="shared" si="59"/>
        <v>2016.1875</v>
      </c>
      <c r="U936" s="109">
        <f t="shared" si="60"/>
        <v>777.25</v>
      </c>
      <c r="V936" s="109">
        <f t="shared" si="61"/>
        <v>4832.8125</v>
      </c>
      <c r="W936" s="110">
        <f t="shared" si="62"/>
        <v>859.5</v>
      </c>
      <c r="X936" s="106">
        <f t="shared" si="63"/>
        <v>9704.4375</v>
      </c>
      <c r="Y936" s="204">
        <f t="shared" si="63"/>
        <v>1958.077209308228</v>
      </c>
    </row>
    <row r="937" spans="1:25" x14ac:dyDescent="0.25">
      <c r="A937" s="105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2">
        <f>SUM('Weekly Data'!J934:J937)/4</f>
        <v>1869.3094075363442</v>
      </c>
      <c r="J937" s="101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1">
        <f>AVERAGE('Weekly Data'!I885,'Weekly Data'!I833,'Weekly Data'!I781,'Weekly Data'!I729)</f>
        <v>9984.25</v>
      </c>
      <c r="P937" s="203">
        <f>AVERAGE('Weekly Data'!J885,'Weekly Data'!J833,'Weekly Data'!J781,'Weekly Data'!J729)</f>
        <v>1785.3292813902756</v>
      </c>
      <c r="R937" s="13">
        <f t="shared" si="50"/>
        <v>40849</v>
      </c>
      <c r="S937" s="106">
        <f t="shared" si="58"/>
        <v>2050.4375</v>
      </c>
      <c r="T937" s="106">
        <f t="shared" si="59"/>
        <v>2091.6875</v>
      </c>
      <c r="U937" s="109">
        <f t="shared" si="60"/>
        <v>879.1875</v>
      </c>
      <c r="V937" s="109">
        <f t="shared" si="61"/>
        <v>5237.875</v>
      </c>
      <c r="W937" s="110">
        <f t="shared" si="62"/>
        <v>938.5</v>
      </c>
      <c r="X937" s="106">
        <f t="shared" si="63"/>
        <v>10318.5</v>
      </c>
      <c r="Y937" s="204">
        <f t="shared" si="63"/>
        <v>2005.2506030713132</v>
      </c>
    </row>
    <row r="938" spans="1:25" x14ac:dyDescent="0.25">
      <c r="A938" s="105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2">
        <f>SUM('Weekly Data'!J935:J938)/4</f>
        <v>1912.5496607355833</v>
      </c>
      <c r="J938" s="101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1">
        <f>AVERAGE('Weekly Data'!I886,'Weekly Data'!I834,'Weekly Data'!I782,'Weekly Data'!I730)</f>
        <v>9265</v>
      </c>
      <c r="P938" s="203">
        <f>AVERAGE('Weekly Data'!J886,'Weekly Data'!J834,'Weekly Data'!J782,'Weekly Data'!J730)</f>
        <v>1948.6996515747596</v>
      </c>
      <c r="R938" s="13">
        <f t="shared" si="50"/>
        <v>40856</v>
      </c>
      <c r="S938" s="106">
        <f t="shared" si="58"/>
        <v>1938.875</v>
      </c>
      <c r="T938" s="106">
        <f t="shared" si="59"/>
        <v>2165.6875</v>
      </c>
      <c r="U938" s="109">
        <f t="shared" si="60"/>
        <v>955.875</v>
      </c>
      <c r="V938" s="109">
        <f t="shared" si="61"/>
        <v>4991.125</v>
      </c>
      <c r="W938" s="110">
        <f t="shared" si="62"/>
        <v>941.1875</v>
      </c>
      <c r="X938" s="106">
        <f t="shared" si="63"/>
        <v>10036.875</v>
      </c>
      <c r="Y938" s="204">
        <f t="shared" si="63"/>
        <v>1964.4061124676452</v>
      </c>
    </row>
    <row r="939" spans="1:25" x14ac:dyDescent="0.25">
      <c r="A939" s="105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2">
        <f>SUM('Weekly Data'!J936:J939)/4</f>
        <v>2120.1028760919321</v>
      </c>
      <c r="J939" s="101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1">
        <f>AVERAGE('Weekly Data'!I887,'Weekly Data'!I835,'Weekly Data'!I783,'Weekly Data'!I731)</f>
        <v>9721.5</v>
      </c>
      <c r="P939" s="203">
        <f>AVERAGE('Weekly Data'!J887,'Weekly Data'!J835,'Weekly Data'!J783,'Weekly Data'!J731)</f>
        <v>1878.0525000486914</v>
      </c>
      <c r="R939" s="13">
        <f t="shared" si="50"/>
        <v>40863</v>
      </c>
      <c r="S939" s="106">
        <f t="shared" si="58"/>
        <v>1733.125</v>
      </c>
      <c r="T939" s="106">
        <f t="shared" si="59"/>
        <v>2308.3125</v>
      </c>
      <c r="U939" s="109">
        <f t="shared" si="60"/>
        <v>945.9375</v>
      </c>
      <c r="V939" s="109">
        <f t="shared" si="61"/>
        <v>4736.625</v>
      </c>
      <c r="W939" s="110">
        <f t="shared" si="62"/>
        <v>1018.6875</v>
      </c>
      <c r="X939" s="106">
        <f t="shared" si="63"/>
        <v>9796.75</v>
      </c>
      <c r="Y939" s="204">
        <f t="shared" si="63"/>
        <v>1921.4195734825516</v>
      </c>
    </row>
    <row r="940" spans="1:25" x14ac:dyDescent="0.25">
      <c r="A940" s="105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2">
        <f>SUM('Weekly Data'!J937:J940)/4</f>
        <v>1983.2862800717749</v>
      </c>
      <c r="J940" s="101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1">
        <f>AVERAGE('Weekly Data'!I888,'Weekly Data'!I836,'Weekly Data'!I784,'Weekly Data'!I732)</f>
        <v>8786.75</v>
      </c>
      <c r="P940" s="203">
        <f>AVERAGE('Weekly Data'!J888,'Weekly Data'!J836,'Weekly Data'!J784,'Weekly Data'!J732)</f>
        <v>1780.2068865615468</v>
      </c>
      <c r="R940" s="13">
        <f t="shared" si="50"/>
        <v>40870</v>
      </c>
      <c r="S940" s="106">
        <f t="shared" si="58"/>
        <v>1550.9375</v>
      </c>
      <c r="T940" s="106">
        <f t="shared" si="59"/>
        <v>2404.6875</v>
      </c>
      <c r="U940" s="109">
        <f t="shared" si="60"/>
        <v>916.125</v>
      </c>
      <c r="V940" s="109">
        <f t="shared" si="61"/>
        <v>4617.375</v>
      </c>
      <c r="W940" s="110">
        <f t="shared" si="62"/>
        <v>1101.25</v>
      </c>
      <c r="X940" s="106">
        <f t="shared" si="63"/>
        <v>9674.25</v>
      </c>
      <c r="Y940" s="204">
        <f t="shared" si="63"/>
        <v>1848.0720798938182</v>
      </c>
    </row>
    <row r="941" spans="1:25" x14ac:dyDescent="0.25">
      <c r="A941" s="105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2">
        <f>SUM('Weekly Data'!J938:J941)/4</f>
        <v>1885.0532945986313</v>
      </c>
      <c r="J941" s="101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1">
        <f>AVERAGE('Weekly Data'!I889,'Weekly Data'!I837,'Weekly Data'!I785,'Weekly Data'!I733)</f>
        <v>8370.75</v>
      </c>
      <c r="P941" s="203">
        <f>AVERAGE('Weekly Data'!J889,'Weekly Data'!J837,'Weekly Data'!J785,'Weekly Data'!J733)</f>
        <v>1501.3012068517864</v>
      </c>
      <c r="R941" s="13">
        <f t="shared" si="50"/>
        <v>40877</v>
      </c>
      <c r="S941" s="106">
        <f t="shared" si="58"/>
        <v>1474.6875</v>
      </c>
      <c r="T941" s="106">
        <f t="shared" si="59"/>
        <v>2237.4375</v>
      </c>
      <c r="U941" s="109">
        <f t="shared" si="60"/>
        <v>827.125</v>
      </c>
      <c r="V941" s="109">
        <f t="shared" si="61"/>
        <v>4377.75</v>
      </c>
      <c r="W941" s="110">
        <f t="shared" si="62"/>
        <v>1069.9375</v>
      </c>
      <c r="X941" s="106">
        <f t="shared" si="63"/>
        <v>9159.8125</v>
      </c>
      <c r="Y941" s="204">
        <f t="shared" si="63"/>
        <v>1777.0650612591962</v>
      </c>
    </row>
    <row r="942" spans="1:25" x14ac:dyDescent="0.25">
      <c r="A942" s="105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2">
        <f>SUM('Weekly Data'!J939:J942)/4</f>
        <v>1780.8331971440546</v>
      </c>
      <c r="J942" s="101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1">
        <f>AVERAGE('Weekly Data'!I890,'Weekly Data'!I838,'Weekly Data'!I786,'Weekly Data'!I734)</f>
        <v>8783.75</v>
      </c>
      <c r="P942" s="203">
        <f>AVERAGE('Weekly Data'!J890,'Weekly Data'!J838,'Weekly Data'!J786,'Weekly Data'!J734)</f>
        <v>1287.7802283510944</v>
      </c>
      <c r="R942" s="13">
        <f t="shared" si="50"/>
        <v>40884</v>
      </c>
      <c r="S942" s="106">
        <f t="shared" si="58"/>
        <v>1417.625</v>
      </c>
      <c r="T942" s="106">
        <f t="shared" si="59"/>
        <v>2012.75</v>
      </c>
      <c r="U942" s="109">
        <f t="shared" si="60"/>
        <v>809.5625</v>
      </c>
      <c r="V942" s="109">
        <f t="shared" si="61"/>
        <v>4371.875</v>
      </c>
      <c r="W942" s="110">
        <f t="shared" si="62"/>
        <v>1119.3125</v>
      </c>
      <c r="X942" s="106">
        <f t="shared" si="63"/>
        <v>8921.5625</v>
      </c>
      <c r="Y942" s="204">
        <f t="shared" si="63"/>
        <v>1611.8352054532797</v>
      </c>
    </row>
    <row r="943" spans="1:25" x14ac:dyDescent="0.25">
      <c r="A943" s="105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2">
        <f>SUM('Weekly Data'!J940:J943)/4</f>
        <v>1616.0767452105429</v>
      </c>
      <c r="J943" s="101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1">
        <f>AVERAGE('Weekly Data'!I891,'Weekly Data'!I839,'Weekly Data'!I787,'Weekly Data'!I735)</f>
        <v>7240.75</v>
      </c>
      <c r="P943" s="203">
        <f>AVERAGE('Weekly Data'!J891,'Weekly Data'!J839,'Weekly Data'!J787,'Weekly Data'!J735)</f>
        <v>1767.9753709305076</v>
      </c>
      <c r="R943" s="13">
        <f t="shared" si="50"/>
        <v>40891</v>
      </c>
      <c r="S943" s="106">
        <f t="shared" si="58"/>
        <v>1334.1875</v>
      </c>
      <c r="T943" s="106">
        <f t="shared" si="59"/>
        <v>1772.5</v>
      </c>
      <c r="U943" s="109">
        <f t="shared" si="60"/>
        <v>740.9375</v>
      </c>
      <c r="V943" s="109">
        <f t="shared" si="61"/>
        <v>4322.8125</v>
      </c>
      <c r="W943" s="110">
        <f t="shared" si="62"/>
        <v>1027.375</v>
      </c>
      <c r="X943" s="106">
        <f t="shared" si="63"/>
        <v>8456.875</v>
      </c>
      <c r="Y943" s="204">
        <f t="shared" si="63"/>
        <v>1584.3159231737336</v>
      </c>
    </row>
    <row r="944" spans="1:25" x14ac:dyDescent="0.25">
      <c r="A944" s="105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2">
        <f>SUM('Weekly Data'!J941:J944)/4</f>
        <v>1540.6834832221257</v>
      </c>
      <c r="J944" s="101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1">
        <f>AVERAGE('Weekly Data'!I892,'Weekly Data'!I840,'Weekly Data'!I788,'Weekly Data'!I736)</f>
        <v>7025.25</v>
      </c>
      <c r="P944" s="203">
        <f>AVERAGE('Weekly Data'!J892,'Weekly Data'!J840,'Weekly Data'!J788,'Weekly Data'!J736)</f>
        <v>1231.7594882100582</v>
      </c>
      <c r="R944" s="13">
        <f t="shared" si="50"/>
        <v>40898</v>
      </c>
      <c r="S944" s="106">
        <f t="shared" si="58"/>
        <v>1218.1875</v>
      </c>
      <c r="T944" s="106">
        <f t="shared" si="59"/>
        <v>1594.875</v>
      </c>
      <c r="U944" s="109">
        <f t="shared" si="60"/>
        <v>684.25</v>
      </c>
      <c r="V944" s="109">
        <f t="shared" si="61"/>
        <v>4237.5</v>
      </c>
      <c r="W944" s="110">
        <f t="shared" si="62"/>
        <v>911.625</v>
      </c>
      <c r="X944" s="106">
        <f t="shared" si="63"/>
        <v>7962.1875</v>
      </c>
      <c r="Y944" s="204">
        <f t="shared" si="63"/>
        <v>1447.2040735858616</v>
      </c>
    </row>
    <row r="945" spans="1:25" x14ac:dyDescent="0.25">
      <c r="A945" s="105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2">
        <f>SUM('Weekly Data'!J942:J945)/4</f>
        <v>1915.6540891704008</v>
      </c>
      <c r="J945" s="101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1">
        <f>AVERAGE('Weekly Data'!I893,'Weekly Data'!I841,'Weekly Data'!I789,'Weekly Data'!I737)</f>
        <v>5767.25</v>
      </c>
      <c r="P945" s="203">
        <f>AVERAGE('Weekly Data'!J893,'Weekly Data'!J841,'Weekly Data'!J789,'Weekly Data'!J737)</f>
        <v>1386.5284146949898</v>
      </c>
      <c r="R945" s="13">
        <f t="shared" si="50"/>
        <v>40905</v>
      </c>
      <c r="S945" s="106">
        <f t="shared" si="58"/>
        <v>1079.125</v>
      </c>
      <c r="T945" s="106">
        <f t="shared" si="59"/>
        <v>1528.4375</v>
      </c>
      <c r="U945" s="109">
        <f t="shared" si="60"/>
        <v>618.5625</v>
      </c>
      <c r="V945" s="109">
        <f t="shared" si="61"/>
        <v>3895.5</v>
      </c>
      <c r="W945" s="110">
        <f t="shared" si="62"/>
        <v>838.8125</v>
      </c>
      <c r="X945" s="106">
        <f t="shared" si="63"/>
        <v>7341.875</v>
      </c>
      <c r="Y945" s="204">
        <f t="shared" si="63"/>
        <v>1418.5108755466626</v>
      </c>
    </row>
    <row r="946" spans="1:25" x14ac:dyDescent="0.25">
      <c r="A946" s="105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2">
        <f>SUM('Weekly Data'!J943:J946)/4</f>
        <v>1871.5268564183564</v>
      </c>
      <c r="J946" s="101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1">
        <f>AVERAGE('Weekly Data'!I894,'Weekly Data'!I842,'Weekly Data'!I790,'Weekly Data'!I738)</f>
        <v>6858.75</v>
      </c>
      <c r="P946" s="203">
        <f>AVERAGE('Weekly Data'!J894,'Weekly Data'!J842,'Weekly Data'!J790,'Weekly Data'!J738)</f>
        <v>1116.866500026237</v>
      </c>
      <c r="R946" s="13">
        <f t="shared" si="50"/>
        <v>40912</v>
      </c>
      <c r="S946" s="106">
        <f t="shared" si="58"/>
        <v>926.625</v>
      </c>
      <c r="T946" s="106">
        <f t="shared" si="59"/>
        <v>1505.5625</v>
      </c>
      <c r="U946" s="109">
        <f t="shared" si="60"/>
        <v>564</v>
      </c>
      <c r="V946" s="109">
        <f t="shared" si="61"/>
        <v>3549.25</v>
      </c>
      <c r="W946" s="110">
        <f t="shared" si="62"/>
        <v>766.5</v>
      </c>
      <c r="X946" s="106">
        <f t="shared" si="63"/>
        <v>6747.9375</v>
      </c>
      <c r="Y946" s="204">
        <f t="shared" si="63"/>
        <v>1375.7824434654483</v>
      </c>
    </row>
    <row r="947" spans="1:25" x14ac:dyDescent="0.25">
      <c r="A947" s="105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2">
        <f>SUM('Weekly Data'!J944:J947)/4</f>
        <v>2205.9567987192295</v>
      </c>
      <c r="J947" s="101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1">
        <f>AVERAGE('Weekly Data'!I895,'Weekly Data'!I843,'Weekly Data'!I791,'Weekly Data'!I739)</f>
        <v>7511.25</v>
      </c>
      <c r="P947" s="203">
        <f>AVERAGE('Weekly Data'!J895,'Weekly Data'!J843,'Weekly Data'!J791,'Weekly Data'!J739)</f>
        <v>1755.154261810854</v>
      </c>
      <c r="R947" s="13">
        <f t="shared" si="50"/>
        <v>40919</v>
      </c>
      <c r="S947" s="106">
        <f t="shared" si="58"/>
        <v>873.6875</v>
      </c>
      <c r="T947" s="106">
        <f t="shared" si="59"/>
        <v>1562.4375</v>
      </c>
      <c r="U947" s="109">
        <f t="shared" si="60"/>
        <v>603.9375</v>
      </c>
      <c r="V947" s="109">
        <f t="shared" si="61"/>
        <v>3381.875</v>
      </c>
      <c r="W947" s="110">
        <f t="shared" si="62"/>
        <v>808.1875</v>
      </c>
      <c r="X947" s="106">
        <f t="shared" si="63"/>
        <v>6626.1875</v>
      </c>
      <c r="Y947" s="204">
        <f t="shared" si="63"/>
        <v>1372.5771661855349</v>
      </c>
    </row>
    <row r="948" spans="1:25" x14ac:dyDescent="0.25">
      <c r="A948" s="105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2">
        <f>SUM('Weekly Data'!J945:J948)/4</f>
        <v>2342.7691319075093</v>
      </c>
      <c r="J948" s="101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1">
        <f>AVERAGE('Weekly Data'!I896,'Weekly Data'!I844,'Weekly Data'!I792,'Weekly Data'!I740)</f>
        <v>8084.25</v>
      </c>
      <c r="P948" s="203">
        <f>AVERAGE('Weekly Data'!J896,'Weekly Data'!J844,'Weekly Data'!J792,'Weekly Data'!J740)</f>
        <v>1265.2074019120507</v>
      </c>
      <c r="R948" s="13">
        <f t="shared" si="50"/>
        <v>40926</v>
      </c>
      <c r="S948" s="106">
        <f t="shared" si="58"/>
        <v>949.0625</v>
      </c>
      <c r="T948" s="106">
        <f t="shared" si="59"/>
        <v>1644.875</v>
      </c>
      <c r="U948" s="109">
        <f t="shared" si="60"/>
        <v>581.5</v>
      </c>
      <c r="V948" s="109">
        <f t="shared" si="61"/>
        <v>3442.9375</v>
      </c>
      <c r="W948" s="110">
        <f t="shared" si="62"/>
        <v>860.0625</v>
      </c>
      <c r="X948" s="106">
        <f t="shared" si="63"/>
        <v>6896.9375</v>
      </c>
      <c r="Y948" s="204">
        <f t="shared" si="63"/>
        <v>1380.9391446110328</v>
      </c>
    </row>
    <row r="949" spans="1:25" x14ac:dyDescent="0.25">
      <c r="A949" s="105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2">
        <f>SUM('Weekly Data'!J946:J949)/4</f>
        <v>2003.2850738430625</v>
      </c>
      <c r="J949" s="101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1">
        <f>AVERAGE('Weekly Data'!I897,'Weekly Data'!I845,'Weekly Data'!I793,'Weekly Data'!I741)</f>
        <v>8068.75</v>
      </c>
      <c r="P949" s="203">
        <f>AVERAGE('Weekly Data'!J897,'Weekly Data'!J845,'Weekly Data'!J793,'Weekly Data'!J741)</f>
        <v>1615.1764607689083</v>
      </c>
      <c r="R949" s="13">
        <f t="shared" si="50"/>
        <v>40933</v>
      </c>
      <c r="S949" s="106">
        <f t="shared" si="58"/>
        <v>1029.375</v>
      </c>
      <c r="T949" s="106">
        <f t="shared" si="59"/>
        <v>1736.625</v>
      </c>
      <c r="U949" s="109">
        <f t="shared" si="60"/>
        <v>636</v>
      </c>
      <c r="V949" s="109">
        <f t="shared" si="61"/>
        <v>3769.4375</v>
      </c>
      <c r="W949" s="110">
        <f t="shared" si="62"/>
        <v>942.0625</v>
      </c>
      <c r="X949" s="106">
        <f t="shared" si="63"/>
        <v>7477.5</v>
      </c>
      <c r="Y949" s="204">
        <f t="shared" si="63"/>
        <v>1438.1011561295124</v>
      </c>
    </row>
    <row r="950" spans="1:25" x14ac:dyDescent="0.25">
      <c r="A950" s="105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2">
        <f>SUM('Weekly Data'!J947:J950)/4</f>
        <v>2086.3249999999998</v>
      </c>
      <c r="J950" s="101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1">
        <f>AVERAGE('Weekly Data'!I898,'Weekly Data'!I846,'Weekly Data'!I794,'Weekly Data'!I742)</f>
        <v>8055.5</v>
      </c>
      <c r="P950" s="203">
        <f>AVERAGE('Weekly Data'!J898,'Weekly Data'!J846,'Weekly Data'!J794,'Weekly Data'!J742)</f>
        <v>1377.2198238434421</v>
      </c>
      <c r="R950" s="13">
        <f t="shared" si="50"/>
        <v>40940</v>
      </c>
      <c r="S950" s="106">
        <f t="shared" si="58"/>
        <v>1086.125</v>
      </c>
      <c r="T950" s="106">
        <f t="shared" si="59"/>
        <v>1901.8125</v>
      </c>
      <c r="U950" s="109">
        <f t="shared" si="60"/>
        <v>620.0625</v>
      </c>
      <c r="V950" s="109">
        <f t="shared" si="61"/>
        <v>4049.125</v>
      </c>
      <c r="W950" s="110">
        <f t="shared" si="62"/>
        <v>992.4375</v>
      </c>
      <c r="X950" s="106">
        <f t="shared" si="63"/>
        <v>8029.5</v>
      </c>
      <c r="Y950" s="204">
        <f t="shared" si="63"/>
        <v>1503.1894870838139</v>
      </c>
    </row>
    <row r="951" spans="1:25" x14ac:dyDescent="0.25">
      <c r="A951" s="105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2">
        <f>SUM('Weekly Data'!J948:J951)/4</f>
        <v>1773.1</v>
      </c>
      <c r="J951" s="101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1">
        <f>AVERAGE('Weekly Data'!I899,'Weekly Data'!I847,'Weekly Data'!I795,'Weekly Data'!I743)</f>
        <v>7984.5</v>
      </c>
      <c r="P951" s="203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6">
        <f t="shared" ref="S951:Y955" si="65">AVERAGE(B899,B847,B795,B742)</f>
        <v>1123.625</v>
      </c>
      <c r="T951" s="106">
        <f t="shared" si="65"/>
        <v>1930.0625</v>
      </c>
      <c r="U951" s="109">
        <f t="shared" si="65"/>
        <v>671.0625</v>
      </c>
      <c r="V951" s="109">
        <f t="shared" si="65"/>
        <v>4152.4375</v>
      </c>
      <c r="W951" s="110">
        <f t="shared" si="65"/>
        <v>956.6875</v>
      </c>
      <c r="X951" s="106">
        <f t="shared" si="65"/>
        <v>8162.8125</v>
      </c>
      <c r="Y951" s="204">
        <f t="shared" si="65"/>
        <v>1362.6164854843116</v>
      </c>
    </row>
    <row r="952" spans="1:25" x14ac:dyDescent="0.25">
      <c r="A952" s="105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2">
        <f>SUM('Weekly Data'!J949:J952)/4</f>
        <v>1821.3375000000001</v>
      </c>
      <c r="J952" s="101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1">
        <f>AVERAGE('Weekly Data'!I900,'Weekly Data'!I848,'Weekly Data'!I796,'Weekly Data'!I744)</f>
        <v>8060.25</v>
      </c>
      <c r="P952" s="203">
        <f>AVERAGE('Weekly Data'!J900,'Weekly Data'!J848,'Weekly Data'!J796,'Weekly Data'!J744)</f>
        <v>1457.1420390584433</v>
      </c>
      <c r="R952" s="13">
        <f t="shared" si="64"/>
        <v>40954</v>
      </c>
      <c r="S952" s="106">
        <f t="shared" si="65"/>
        <v>1099.875</v>
      </c>
      <c r="T952" s="106">
        <f t="shared" si="65"/>
        <v>1957.25</v>
      </c>
      <c r="U952" s="109">
        <f t="shared" si="65"/>
        <v>682.9375</v>
      </c>
      <c r="V952" s="109">
        <f t="shared" si="65"/>
        <v>4090.5625</v>
      </c>
      <c r="W952" s="110">
        <f t="shared" si="65"/>
        <v>904.6875</v>
      </c>
      <c r="X952" s="106">
        <f t="shared" si="65"/>
        <v>8052.375</v>
      </c>
      <c r="Y952" s="204">
        <f t="shared" si="65"/>
        <v>1410.6001447709095</v>
      </c>
    </row>
    <row r="953" spans="1:25" x14ac:dyDescent="0.25">
      <c r="A953" s="105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2">
        <f>SUM('Weekly Data'!J950:J953)/4</f>
        <v>1876.8000000000002</v>
      </c>
      <c r="J953" s="101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1">
        <f>AVERAGE('Weekly Data'!I901,'Weekly Data'!I849,'Weekly Data'!I797,'Weekly Data'!I745)</f>
        <v>7716</v>
      </c>
      <c r="P953" s="203">
        <f>AVERAGE('Weekly Data'!J901,'Weekly Data'!J849,'Weekly Data'!J797,'Weekly Data'!J745)</f>
        <v>1419.323051533499</v>
      </c>
      <c r="R953" s="13">
        <f t="shared" si="64"/>
        <v>40961</v>
      </c>
      <c r="S953" s="106">
        <f t="shared" si="65"/>
        <v>1045.0625</v>
      </c>
      <c r="T953" s="106">
        <f t="shared" si="65"/>
        <v>1990.25</v>
      </c>
      <c r="U953" s="109">
        <f t="shared" si="65"/>
        <v>725.3125</v>
      </c>
      <c r="V953" s="109">
        <f t="shared" si="65"/>
        <v>4041.3125</v>
      </c>
      <c r="W953" s="110">
        <f t="shared" si="65"/>
        <v>878.5</v>
      </c>
      <c r="X953" s="106">
        <f t="shared" si="65"/>
        <v>7955.125</v>
      </c>
      <c r="Y953" s="204">
        <f t="shared" si="65"/>
        <v>1361.6367924620574</v>
      </c>
    </row>
    <row r="954" spans="1:25" x14ac:dyDescent="0.25">
      <c r="A954" s="105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2">
        <f>SUM('Weekly Data'!J951:J954)/4</f>
        <v>1881.05</v>
      </c>
      <c r="J954" s="101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1">
        <f>AVERAGE('Weekly Data'!I902,'Weekly Data'!I850,'Weekly Data'!I798,'Weekly Data'!I746)</f>
        <v>8349.25</v>
      </c>
      <c r="P954" s="203">
        <f>AVERAGE('Weekly Data'!J902,'Weekly Data'!J850,'Weekly Data'!J798,'Weekly Data'!J746)</f>
        <v>1685.610113531342</v>
      </c>
      <c r="R954" s="13">
        <f t="shared" si="64"/>
        <v>40968</v>
      </c>
      <c r="S954" s="106">
        <f t="shared" si="65"/>
        <v>1015.625</v>
      </c>
      <c r="T954" s="106">
        <f t="shared" si="65"/>
        <v>1863.4375</v>
      </c>
      <c r="U954" s="109">
        <f t="shared" si="65"/>
        <v>765.375</v>
      </c>
      <c r="V954" s="109">
        <f t="shared" si="65"/>
        <v>4036.8125</v>
      </c>
      <c r="W954" s="110">
        <f t="shared" si="65"/>
        <v>893.75</v>
      </c>
      <c r="X954" s="106">
        <f t="shared" si="65"/>
        <v>7809.625</v>
      </c>
      <c r="Y954" s="204">
        <f t="shared" si="65"/>
        <v>1438.7343648840324</v>
      </c>
    </row>
    <row r="955" spans="1:25" x14ac:dyDescent="0.25">
      <c r="A955" s="105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2">
        <f>SUM('Weekly Data'!J952:J955)/4</f>
        <v>2102.2624999999998</v>
      </c>
      <c r="J955" s="101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1">
        <f>AVERAGE('Weekly Data'!I903,'Weekly Data'!I851,'Weekly Data'!I799,'Weekly Data'!I747)</f>
        <v>8453.75</v>
      </c>
      <c r="P955" s="203">
        <f>AVERAGE('Weekly Data'!J903,'Weekly Data'!J851,'Weekly Data'!J799,'Weekly Data'!J747)</f>
        <v>1647.2609284866405</v>
      </c>
      <c r="R955" s="13">
        <f t="shared" si="64"/>
        <v>40975</v>
      </c>
      <c r="S955" s="106">
        <f t="shared" si="65"/>
        <v>1027.125</v>
      </c>
      <c r="T955" s="106">
        <f t="shared" si="65"/>
        <v>1962.0625</v>
      </c>
      <c r="U955" s="109">
        <f t="shared" si="65"/>
        <v>797.1875</v>
      </c>
      <c r="V955" s="109">
        <f t="shared" si="65"/>
        <v>4201.3125</v>
      </c>
      <c r="W955" s="110">
        <f t="shared" si="65"/>
        <v>871.4375</v>
      </c>
      <c r="X955" s="106">
        <f t="shared" si="65"/>
        <v>8061.9375</v>
      </c>
      <c r="Y955" s="204">
        <f t="shared" si="65"/>
        <v>1552.3340331524812</v>
      </c>
    </row>
    <row r="956" spans="1:25" x14ac:dyDescent="0.25">
      <c r="A956" s="105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2">
        <f>SUM('Weekly Data'!J953:J956)/4</f>
        <v>2227.85</v>
      </c>
      <c r="J956" s="101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1">
        <f>AVERAGE('Weekly Data'!I904,'Weekly Data'!I852,'Weekly Data'!I800,'Weekly Data'!I748)</f>
        <v>7388.5</v>
      </c>
      <c r="P956" s="203">
        <f>AVERAGE('Weekly Data'!J904,'Weekly Data'!J852,'Weekly Data'!J800,'Weekly Data'!J748)</f>
        <v>1966.9862930803913</v>
      </c>
      <c r="R956" s="13">
        <f t="shared" si="64"/>
        <v>40982</v>
      </c>
      <c r="S956" s="106">
        <f t="shared" ref="S956:X956" si="66">AVERAGE(B904,B852,B800,B747)</f>
        <v>956.3125</v>
      </c>
      <c r="T956" s="106">
        <f t="shared" si="66"/>
        <v>1926.9375</v>
      </c>
      <c r="U956" s="109">
        <f t="shared" si="66"/>
        <v>824.25</v>
      </c>
      <c r="V956" s="109">
        <f t="shared" si="66"/>
        <v>4220.125</v>
      </c>
      <c r="W956" s="110">
        <f t="shared" si="66"/>
        <v>875.1875</v>
      </c>
      <c r="X956" s="106">
        <f t="shared" si="66"/>
        <v>7978.5625</v>
      </c>
      <c r="Y956" s="204">
        <f t="shared" ref="Y956:Y989" si="67">AVERAGE(H904,H852,H800,H747)</f>
        <v>1679.7950966579683</v>
      </c>
    </row>
    <row r="957" spans="1:25" x14ac:dyDescent="0.25">
      <c r="A957" s="105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2">
        <f>SUM('Weekly Data'!J954:J957)/4</f>
        <v>2256.9624999999996</v>
      </c>
      <c r="J957" s="101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1">
        <f>AVERAGE('Weekly Data'!I905,'Weekly Data'!I853,'Weekly Data'!I801,'Weekly Data'!I749)</f>
        <v>8188</v>
      </c>
      <c r="P957" s="203">
        <f>AVERAGE('Weekly Data'!J905,'Weekly Data'!J853,'Weekly Data'!J801,'Weekly Data'!J749)</f>
        <v>1542.8931693891816</v>
      </c>
      <c r="R957" s="13">
        <f t="shared" si="64"/>
        <v>40989</v>
      </c>
      <c r="S957" s="106">
        <f t="shared" ref="S957:X958" si="68">AVERAGE(B905,B853,B801,B748)</f>
        <v>964.5625</v>
      </c>
      <c r="T957" s="106">
        <f t="shared" si="68"/>
        <v>1868.4375</v>
      </c>
      <c r="U957" s="109">
        <f t="shared" si="68"/>
        <v>800.9375</v>
      </c>
      <c r="V957" s="109">
        <f t="shared" si="68"/>
        <v>4342</v>
      </c>
      <c r="W957" s="110">
        <f t="shared" si="68"/>
        <v>911.875</v>
      </c>
      <c r="X957" s="106">
        <f t="shared" si="68"/>
        <v>8086.875</v>
      </c>
      <c r="Y957" s="204">
        <f t="shared" si="67"/>
        <v>1710.6876261218888</v>
      </c>
    </row>
    <row r="958" spans="1:25" x14ac:dyDescent="0.25">
      <c r="A958" s="105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2">
        <f>SUM('Weekly Data'!J955:J958)/4</f>
        <v>2299.4624999999996</v>
      </c>
      <c r="J958" s="101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1">
        <f>AVERAGE('Weekly Data'!I906,'Weekly Data'!I854,'Weekly Data'!I802,'Weekly Data'!I750)</f>
        <v>7728</v>
      </c>
      <c r="P958" s="203">
        <f>AVERAGE('Weekly Data'!J906,'Weekly Data'!J854,'Weekly Data'!J802,'Weekly Data'!J750)</f>
        <v>1901.4758433746636</v>
      </c>
      <c r="R958" s="13">
        <f t="shared" si="64"/>
        <v>40996</v>
      </c>
      <c r="S958" s="106">
        <f t="shared" si="68"/>
        <v>925.8125</v>
      </c>
      <c r="T958" s="106">
        <f t="shared" si="68"/>
        <v>1923.625</v>
      </c>
      <c r="U958" s="109">
        <f t="shared" si="68"/>
        <v>811.125</v>
      </c>
      <c r="V958" s="109">
        <f t="shared" si="68"/>
        <v>4402.8125</v>
      </c>
      <c r="W958" s="110">
        <f t="shared" si="68"/>
        <v>831.1875</v>
      </c>
      <c r="X958" s="106">
        <f t="shared" si="68"/>
        <v>8083.4375</v>
      </c>
      <c r="Y958" s="204">
        <f t="shared" si="67"/>
        <v>1764.6540585827195</v>
      </c>
    </row>
    <row r="959" spans="1:25" x14ac:dyDescent="0.25">
      <c r="A959" s="105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2">
        <f>SUM('Weekly Data'!J956:J959)/4</f>
        <v>2458.8375000000001</v>
      </c>
      <c r="J959" s="101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1">
        <f>AVERAGE('Weekly Data'!I907,'Weekly Data'!I855,'Weekly Data'!I803,'Weekly Data'!I751)</f>
        <v>7514.75</v>
      </c>
      <c r="P959" s="203">
        <f>AVERAGE('Weekly Data'!J907,'Weekly Data'!J855,'Weekly Data'!J803,'Weekly Data'!J751)</f>
        <v>1737.8517440338248</v>
      </c>
      <c r="R959" s="13">
        <f t="shared" si="64"/>
        <v>41003</v>
      </c>
      <c r="S959" s="106">
        <f t="shared" ref="S959:X959" si="69">AVERAGE(B907,B855,B803,B750)</f>
        <v>841.75</v>
      </c>
      <c r="T959" s="106">
        <f t="shared" si="69"/>
        <v>1834.0625</v>
      </c>
      <c r="U959" s="109">
        <f t="shared" si="69"/>
        <v>828.9375</v>
      </c>
      <c r="V959" s="109">
        <f t="shared" si="69"/>
        <v>4330.4375</v>
      </c>
      <c r="W959" s="110">
        <f t="shared" si="69"/>
        <v>767.4375</v>
      </c>
      <c r="X959" s="106">
        <f t="shared" si="69"/>
        <v>7773.6875</v>
      </c>
      <c r="Y959" s="204">
        <f t="shared" si="67"/>
        <v>1787.3017624695149</v>
      </c>
    </row>
    <row r="960" spans="1:25" x14ac:dyDescent="0.25">
      <c r="A960" s="105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2">
        <f>SUM('Weekly Data'!J957:J960)/4</f>
        <v>2455.65</v>
      </c>
      <c r="J960" s="101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1">
        <f>AVERAGE('Weekly Data'!I908,'Weekly Data'!I856,'Weekly Data'!I804,'Weekly Data'!I752)</f>
        <v>7468.75</v>
      </c>
      <c r="P960" s="203">
        <f>AVERAGE('Weekly Data'!J908,'Weekly Data'!J856,'Weekly Data'!J804,'Weekly Data'!J752)</f>
        <v>2212.3903027411088</v>
      </c>
      <c r="R960" s="13">
        <f t="shared" si="64"/>
        <v>41010</v>
      </c>
      <c r="S960" s="106">
        <f t="shared" ref="S960:X960" si="70">AVERAGE(B908,B856,B804,B751)</f>
        <v>785.625</v>
      </c>
      <c r="T960" s="106">
        <f t="shared" si="70"/>
        <v>1768.6875</v>
      </c>
      <c r="U960" s="109">
        <f t="shared" si="70"/>
        <v>893.5</v>
      </c>
      <c r="V960" s="109">
        <f t="shared" si="70"/>
        <v>4405.125</v>
      </c>
      <c r="W960" s="110">
        <f t="shared" si="70"/>
        <v>721.75</v>
      </c>
      <c r="X960" s="106">
        <f t="shared" si="70"/>
        <v>7681.1875</v>
      </c>
      <c r="Y960" s="204">
        <f t="shared" si="67"/>
        <v>1848.6527648846948</v>
      </c>
    </row>
    <row r="961" spans="1:25" x14ac:dyDescent="0.25">
      <c r="A961" s="105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2">
        <f>SUM('Weekly Data'!J958:J961)/4</f>
        <v>2525.7749999999996</v>
      </c>
      <c r="J961" s="101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1">
        <f>AVERAGE('Weekly Data'!I909,'Weekly Data'!I857,'Weekly Data'!I805,'Weekly Data'!I753)</f>
        <v>6418.25</v>
      </c>
      <c r="P961" s="203">
        <f>AVERAGE('Weekly Data'!J909,'Weekly Data'!J857,'Weekly Data'!J805,'Weekly Data'!J753)</f>
        <v>1902.596127823688</v>
      </c>
      <c r="R961" s="13">
        <f t="shared" si="64"/>
        <v>41017</v>
      </c>
      <c r="S961" s="106">
        <f t="shared" ref="S961:X961" si="71">AVERAGE(B909,B857,B805,B752)</f>
        <v>701.8125</v>
      </c>
      <c r="T961" s="106">
        <f t="shared" si="71"/>
        <v>1766.1875</v>
      </c>
      <c r="U961" s="109">
        <f t="shared" si="71"/>
        <v>939.3125</v>
      </c>
      <c r="V961" s="109">
        <f t="shared" si="71"/>
        <v>4302.5625</v>
      </c>
      <c r="W961" s="110">
        <f t="shared" si="71"/>
        <v>594.1875</v>
      </c>
      <c r="X961" s="106">
        <f t="shared" si="71"/>
        <v>7364.75</v>
      </c>
      <c r="Y961" s="204">
        <f t="shared" si="67"/>
        <v>1938.5785044933209</v>
      </c>
    </row>
    <row r="962" spans="1:25" x14ac:dyDescent="0.25">
      <c r="A962" s="105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2">
        <f>SUM('Weekly Data'!J959:J962)/4</f>
        <v>2591.4375</v>
      </c>
      <c r="J962" s="101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1">
        <f>AVERAGE('Weekly Data'!I910,'Weekly Data'!I858,'Weekly Data'!I806,'Weekly Data'!I754)</f>
        <v>6659.5</v>
      </c>
      <c r="P962" s="203">
        <f>AVERAGE('Weekly Data'!J910,'Weekly Data'!J858,'Weekly Data'!J806,'Weekly Data'!J754)</f>
        <v>2367.5235336977403</v>
      </c>
      <c r="R962" s="13">
        <f t="shared" si="64"/>
        <v>41024</v>
      </c>
      <c r="S962" s="106">
        <f t="shared" ref="S962:X962" si="72">AVERAGE(B910,B858,B806,B753)</f>
        <v>631.5625</v>
      </c>
      <c r="T962" s="106">
        <f t="shared" si="72"/>
        <v>1676.5</v>
      </c>
      <c r="U962" s="109">
        <f t="shared" si="72"/>
        <v>977.8125</v>
      </c>
      <c r="V962" s="109">
        <f t="shared" si="72"/>
        <v>4248</v>
      </c>
      <c r="W962" s="110">
        <f t="shared" si="72"/>
        <v>509.9375</v>
      </c>
      <c r="X962" s="106">
        <f t="shared" si="72"/>
        <v>7066</v>
      </c>
      <c r="Y962" s="204">
        <f t="shared" si="67"/>
        <v>2055.0904270740907</v>
      </c>
    </row>
    <row r="963" spans="1:25" x14ac:dyDescent="0.25">
      <c r="A963" s="105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2">
        <f>SUM('Weekly Data'!J960:J963)/4</f>
        <v>2438.8625000000002</v>
      </c>
      <c r="J963" s="101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1">
        <f>AVERAGE('Weekly Data'!I911,'Weekly Data'!I859,'Weekly Data'!I807,'Weekly Data'!I755)</f>
        <v>6795.25</v>
      </c>
      <c r="P963" s="203">
        <f>AVERAGE('Weekly Data'!J911,'Weekly Data'!J859,'Weekly Data'!J807,'Weekly Data'!J755)</f>
        <v>1810.9889304072913</v>
      </c>
      <c r="R963" s="13">
        <f t="shared" si="64"/>
        <v>41031</v>
      </c>
      <c r="S963" s="106">
        <f t="shared" ref="S963:X963" si="73">AVERAGE(B911,B859,B807,B754)</f>
        <v>550.875</v>
      </c>
      <c r="T963" s="106">
        <f t="shared" si="73"/>
        <v>1630.4375</v>
      </c>
      <c r="U963" s="109">
        <f t="shared" si="73"/>
        <v>922.125</v>
      </c>
      <c r="V963" s="109">
        <f t="shared" si="73"/>
        <v>4150</v>
      </c>
      <c r="W963" s="110">
        <f t="shared" si="73"/>
        <v>483.875</v>
      </c>
      <c r="X963" s="106">
        <f t="shared" si="73"/>
        <v>6815.1875</v>
      </c>
      <c r="Y963" s="204">
        <f t="shared" si="67"/>
        <v>2073.3747236674567</v>
      </c>
    </row>
    <row r="964" spans="1:25" x14ac:dyDescent="0.25">
      <c r="A964" s="105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2">
        <f>SUM('Weekly Data'!J961:J964)/4</f>
        <v>2384.8875000000003</v>
      </c>
      <c r="J964" s="101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1">
        <f>AVERAGE('Weekly Data'!I912,'Weekly Data'!I860,'Weekly Data'!I808,'Weekly Data'!I756)</f>
        <v>5763.75</v>
      </c>
      <c r="P964" s="203">
        <f>AVERAGE('Weekly Data'!J912,'Weekly Data'!J860,'Weekly Data'!J808,'Weekly Data'!J756)</f>
        <v>1899.4858139415628</v>
      </c>
      <c r="R964" s="13">
        <f t="shared" si="64"/>
        <v>41038</v>
      </c>
      <c r="S964" s="106">
        <f t="shared" ref="S964:X964" si="74">AVERAGE(B912,B860,B808,B755)</f>
        <v>518</v>
      </c>
      <c r="T964" s="106">
        <f t="shared" si="74"/>
        <v>1572.6875</v>
      </c>
      <c r="U964" s="109">
        <f t="shared" si="74"/>
        <v>917.3125</v>
      </c>
      <c r="V964" s="109">
        <f t="shared" si="74"/>
        <v>4056.4375</v>
      </c>
      <c r="W964" s="110">
        <f t="shared" si="74"/>
        <v>475.6875</v>
      </c>
      <c r="X964" s="106">
        <f t="shared" si="74"/>
        <v>6622.8125</v>
      </c>
      <c r="Y964" s="204">
        <f t="shared" si="67"/>
        <v>1995.1486014675704</v>
      </c>
    </row>
    <row r="965" spans="1:25" x14ac:dyDescent="0.25">
      <c r="A965" s="105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2">
        <f>SUM('Weekly Data'!J962:J965)/4</f>
        <v>2420.1624999999999</v>
      </c>
      <c r="J965" s="101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1">
        <f>AVERAGE('Weekly Data'!I913,'Weekly Data'!I861,'Weekly Data'!I809,'Weekly Data'!I757)</f>
        <v>5517.75</v>
      </c>
      <c r="P965" s="203">
        <f>AVERAGE('Weekly Data'!J913,'Weekly Data'!J861,'Weekly Data'!J809,'Weekly Data'!J757)</f>
        <v>1671.9952621730088</v>
      </c>
      <c r="R965" s="13">
        <f t="shared" si="64"/>
        <v>41045</v>
      </c>
      <c r="S965" s="106">
        <f t="shared" ref="S965:X965" si="75">AVERAGE(B913,B861,B809,B756)</f>
        <v>471.5625</v>
      </c>
      <c r="T965" s="106">
        <f t="shared" si="75"/>
        <v>1456.875</v>
      </c>
      <c r="U965" s="109">
        <f t="shared" si="75"/>
        <v>911.875</v>
      </c>
      <c r="V965" s="109">
        <f t="shared" si="75"/>
        <v>3891.9375</v>
      </c>
      <c r="W965" s="110">
        <f t="shared" si="75"/>
        <v>442.1875</v>
      </c>
      <c r="X965" s="106">
        <f t="shared" si="75"/>
        <v>6262.5625</v>
      </c>
      <c r="Y965" s="204">
        <f t="shared" si="67"/>
        <v>1937.4983850549006</v>
      </c>
    </row>
    <row r="966" spans="1:25" x14ac:dyDescent="0.25">
      <c r="A966" s="105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2">
        <f>SUM('Weekly Data'!J963:J966)/4</f>
        <v>2316.25</v>
      </c>
      <c r="J966" s="101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1">
        <f>AVERAGE('Weekly Data'!I914,'Weekly Data'!I862,'Weekly Data'!I810,'Weekly Data'!I758)</f>
        <v>5926</v>
      </c>
      <c r="P966" s="203">
        <f>AVERAGE('Weekly Data'!J914,'Weekly Data'!J862,'Weekly Data'!J810,'Weekly Data'!J758)</f>
        <v>2275.1880694554925</v>
      </c>
      <c r="R966" s="13">
        <f t="shared" si="64"/>
        <v>41052</v>
      </c>
      <c r="S966" s="106">
        <f t="shared" ref="S966:X966" si="76">AVERAGE(B914,B862,B810,B757)</f>
        <v>473.6875</v>
      </c>
      <c r="T966" s="106">
        <f t="shared" si="76"/>
        <v>1362.6875</v>
      </c>
      <c r="U966" s="109">
        <f t="shared" si="76"/>
        <v>898.25</v>
      </c>
      <c r="V966" s="109">
        <f t="shared" si="76"/>
        <v>3810.4375</v>
      </c>
      <c r="W966" s="110">
        <f t="shared" si="76"/>
        <v>429</v>
      </c>
      <c r="X966" s="106">
        <f t="shared" si="76"/>
        <v>6075.8125</v>
      </c>
      <c r="Y966" s="204">
        <f t="shared" si="67"/>
        <v>1914.414518994339</v>
      </c>
    </row>
    <row r="967" spans="1:25" x14ac:dyDescent="0.25">
      <c r="A967" s="105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2">
        <f>SUM('Weekly Data'!J964:J967)/4</f>
        <v>2264.4</v>
      </c>
      <c r="J967" s="101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1">
        <f>AVERAGE('Weekly Data'!I915,'Weekly Data'!I863,'Weekly Data'!I811,'Weekly Data'!I759)</f>
        <v>5738.25</v>
      </c>
      <c r="P967" s="203">
        <f>AVERAGE('Weekly Data'!J915,'Weekly Data'!J863,'Weekly Data'!J811,'Weekly Data'!J759)</f>
        <v>1831.8972737077363</v>
      </c>
      <c r="R967" s="13">
        <f t="shared" si="64"/>
        <v>41059</v>
      </c>
      <c r="S967" s="106">
        <f t="shared" ref="S967:X967" si="77">AVERAGE(B915,B863,B811,B758)</f>
        <v>483.4375</v>
      </c>
      <c r="T967" s="106">
        <f t="shared" si="77"/>
        <v>1283.3125</v>
      </c>
      <c r="U967" s="109">
        <f t="shared" si="77"/>
        <v>941.3125</v>
      </c>
      <c r="V967" s="109">
        <f t="shared" si="77"/>
        <v>3717.625</v>
      </c>
      <c r="W967" s="110">
        <f t="shared" si="77"/>
        <v>379.9375</v>
      </c>
      <c r="X967" s="106">
        <f t="shared" si="77"/>
        <v>5864.3125</v>
      </c>
      <c r="Y967" s="204">
        <f t="shared" si="67"/>
        <v>1919.6416048194503</v>
      </c>
    </row>
    <row r="968" spans="1:25" x14ac:dyDescent="0.25">
      <c r="A968" s="105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2">
        <f>SUM('Weekly Data'!J965:J968)/4</f>
        <v>2160.9124999999999</v>
      </c>
      <c r="J968" s="101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1">
        <f>AVERAGE('Weekly Data'!I916,'Weekly Data'!I864,'Weekly Data'!I812,'Weekly Data'!I760)</f>
        <v>5188.25</v>
      </c>
      <c r="P968" s="203">
        <f>AVERAGE('Weekly Data'!J916,'Weekly Data'!J864,'Weekly Data'!J812,'Weekly Data'!J760)</f>
        <v>1942.0582953565843</v>
      </c>
      <c r="R968" s="13">
        <f t="shared" si="64"/>
        <v>41066</v>
      </c>
      <c r="S968" s="106">
        <f t="shared" ref="S968:X968" si="78">AVERAGE(B916,B864,B812,B759)</f>
        <v>418.4375</v>
      </c>
      <c r="T968" s="106">
        <f t="shared" si="78"/>
        <v>1275.25</v>
      </c>
      <c r="U968" s="109">
        <f t="shared" si="78"/>
        <v>920.25</v>
      </c>
      <c r="V968" s="109">
        <f t="shared" si="78"/>
        <v>3597.375</v>
      </c>
      <c r="W968" s="110">
        <f t="shared" si="78"/>
        <v>290.875</v>
      </c>
      <c r="X968" s="106">
        <f t="shared" si="78"/>
        <v>5581.9375</v>
      </c>
      <c r="Y968" s="204">
        <f t="shared" si="67"/>
        <v>1930.2847251732055</v>
      </c>
    </row>
    <row r="969" spans="1:25" x14ac:dyDescent="0.25">
      <c r="A969" s="105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2">
        <f>SUM('Weekly Data'!J966:J969)/4</f>
        <v>1945.0125</v>
      </c>
      <c r="J969" s="101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1">
        <f>AVERAGE('Weekly Data'!I917,'Weekly Data'!I865,'Weekly Data'!I813,'Weekly Data'!I761)</f>
        <v>4709.75</v>
      </c>
      <c r="P969" s="203">
        <f>AVERAGE('Weekly Data'!J917,'Weekly Data'!J865,'Weekly Data'!J813,'Weekly Data'!J761)</f>
        <v>2185.067807460397</v>
      </c>
      <c r="R969" s="13">
        <f t="shared" si="64"/>
        <v>41073</v>
      </c>
      <c r="S969" s="106">
        <f t="shared" ref="S969:X969" si="79">AVERAGE(B917,B865,B813,B760)</f>
        <v>350.875</v>
      </c>
      <c r="T969" s="106">
        <f t="shared" si="79"/>
        <v>1296.25</v>
      </c>
      <c r="U969" s="109">
        <f t="shared" si="79"/>
        <v>825.125</v>
      </c>
      <c r="V969" s="109">
        <f t="shared" si="79"/>
        <v>3528.25</v>
      </c>
      <c r="W969" s="110">
        <f t="shared" si="79"/>
        <v>271.625</v>
      </c>
      <c r="X969" s="106">
        <f t="shared" si="79"/>
        <v>5447</v>
      </c>
      <c r="Y969" s="204">
        <f t="shared" si="67"/>
        <v>2058.5528614950526</v>
      </c>
    </row>
    <row r="970" spans="1:25" x14ac:dyDescent="0.25">
      <c r="A970" s="105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2">
        <f>SUM('Weekly Data'!J967:J970)/4</f>
        <v>1838.7625</v>
      </c>
      <c r="J970" s="101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1">
        <f>AVERAGE('Weekly Data'!I918,'Weekly Data'!I866,'Weekly Data'!I814,'Weekly Data'!I762)</f>
        <v>5651.75</v>
      </c>
      <c r="P970" s="203">
        <f>AVERAGE('Weekly Data'!J918,'Weekly Data'!J866,'Weekly Data'!J814,'Weekly Data'!J762)</f>
        <v>1467.0984022638966</v>
      </c>
      <c r="R970" s="13">
        <f t="shared" si="64"/>
        <v>41080</v>
      </c>
      <c r="S970" s="106">
        <f t="shared" ref="S970:X970" si="80">AVERAGE(B918,B866,B814,B761)</f>
        <v>301.9375</v>
      </c>
      <c r="T970" s="106">
        <f t="shared" si="80"/>
        <v>1294.8125</v>
      </c>
      <c r="U970" s="109">
        <f t="shared" si="80"/>
        <v>832.9375</v>
      </c>
      <c r="V970" s="109">
        <f t="shared" si="80"/>
        <v>3463.75</v>
      </c>
      <c r="W970" s="110">
        <f t="shared" si="80"/>
        <v>236.5625</v>
      </c>
      <c r="X970" s="106">
        <f t="shared" si="80"/>
        <v>5297.0625</v>
      </c>
      <c r="Y970" s="204">
        <f t="shared" si="67"/>
        <v>1856.5304446971534</v>
      </c>
    </row>
    <row r="971" spans="1:25" x14ac:dyDescent="0.25">
      <c r="A971" s="105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2">
        <f>SUM('Weekly Data'!J968:J971)/4</f>
        <v>1681.5125</v>
      </c>
      <c r="J971" s="101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1">
        <f>AVERAGE('Weekly Data'!I919,'Weekly Data'!I867,'Weekly Data'!I815,'Weekly Data'!I763)</f>
        <v>5537.25</v>
      </c>
      <c r="P971" s="203">
        <f>AVERAGE('Weekly Data'!J919,'Weekly Data'!J867,'Weekly Data'!J815,'Weekly Data'!J763)</f>
        <v>2244.3383042723358</v>
      </c>
      <c r="R971" s="13">
        <f t="shared" si="64"/>
        <v>41087</v>
      </c>
      <c r="S971" s="106">
        <f t="shared" ref="S971:X971" si="81">AVERAGE(B919,B867,B815,B762)</f>
        <v>273.375</v>
      </c>
      <c r="T971" s="106">
        <f t="shared" si="81"/>
        <v>1216.125</v>
      </c>
      <c r="U971" s="109">
        <f t="shared" si="81"/>
        <v>726.875</v>
      </c>
      <c r="V971" s="109">
        <f t="shared" si="81"/>
        <v>3514.75</v>
      </c>
      <c r="W971" s="110">
        <f t="shared" si="81"/>
        <v>216.0625</v>
      </c>
      <c r="X971" s="106">
        <f t="shared" si="81"/>
        <v>5220.3125</v>
      </c>
      <c r="Y971" s="204">
        <f t="shared" si="67"/>
        <v>1959.6407023383035</v>
      </c>
    </row>
    <row r="972" spans="1:25" x14ac:dyDescent="0.25">
      <c r="A972" s="105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2">
        <f>SUM('Weekly Data'!J969:J972)/4</f>
        <v>1471.5625</v>
      </c>
      <c r="J972" s="101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1">
        <f>AVERAGE('Weekly Data'!I920,'Weekly Data'!I868,'Weekly Data'!I816,'Weekly Data'!I764)</f>
        <v>5323.5</v>
      </c>
      <c r="P972" s="203">
        <f>AVERAGE('Weekly Data'!J920,'Weekly Data'!J868,'Weekly Data'!J816,'Weekly Data'!J764)</f>
        <v>1721.9346727336813</v>
      </c>
      <c r="R972" s="13">
        <f t="shared" si="64"/>
        <v>41094</v>
      </c>
      <c r="S972" s="106">
        <f t="shared" ref="S972:X972" si="82">AVERAGE(B920,B868,B816,B763)</f>
        <v>335.9375</v>
      </c>
      <c r="T972" s="106">
        <f t="shared" si="82"/>
        <v>1239.5625</v>
      </c>
      <c r="U972" s="109">
        <f t="shared" si="82"/>
        <v>711.375</v>
      </c>
      <c r="V972" s="109">
        <f t="shared" si="82"/>
        <v>3427.875</v>
      </c>
      <c r="W972" s="110">
        <f t="shared" si="82"/>
        <v>245.3125</v>
      </c>
      <c r="X972" s="106">
        <f t="shared" si="82"/>
        <v>5248.6875</v>
      </c>
      <c r="Y972" s="204">
        <f t="shared" si="67"/>
        <v>1904.6097966825776</v>
      </c>
    </row>
    <row r="973" spans="1:25" x14ac:dyDescent="0.25">
      <c r="A973" s="105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2">
        <f>SUM('Weekly Data'!J970:J973)/4</f>
        <v>1393.5749999999998</v>
      </c>
      <c r="J973" s="101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1">
        <f>AVERAGE('Weekly Data'!I921,'Weekly Data'!I869,'Weekly Data'!I817,'Weekly Data'!I765)</f>
        <v>6516</v>
      </c>
      <c r="P973" s="203">
        <f>AVERAGE('Weekly Data'!J921,'Weekly Data'!J869,'Weekly Data'!J817,'Weekly Data'!J765)</f>
        <v>1410.671721539291</v>
      </c>
      <c r="R973" s="13">
        <f t="shared" si="64"/>
        <v>41101</v>
      </c>
      <c r="S973" s="106">
        <f t="shared" ref="S973:X973" si="84">AVERAGE(B921,B869,B817,B764)</f>
        <v>380.8125</v>
      </c>
      <c r="T973" s="106">
        <f t="shared" si="84"/>
        <v>1350.25</v>
      </c>
      <c r="U973" s="109">
        <f t="shared" si="84"/>
        <v>781.0625</v>
      </c>
      <c r="V973" s="109">
        <f t="shared" si="84"/>
        <v>3573.375</v>
      </c>
      <c r="W973" s="110">
        <f t="shared" si="84"/>
        <v>262.9375</v>
      </c>
      <c r="X973" s="106">
        <f t="shared" si="84"/>
        <v>5567.375</v>
      </c>
      <c r="Y973" s="204">
        <f t="shared" si="67"/>
        <v>1711.0107752023011</v>
      </c>
    </row>
    <row r="974" spans="1:25" x14ac:dyDescent="0.25">
      <c r="A974" s="105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2">
        <f>SUM('Weekly Data'!J971:J974)/4</f>
        <v>1409.9375</v>
      </c>
      <c r="J974" s="101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1">
        <f>AVERAGE('Weekly Data'!I922,'Weekly Data'!I870,'Weekly Data'!I818,'Weekly Data'!I766)</f>
        <v>6541.5</v>
      </c>
      <c r="P974" s="203">
        <f>AVERAGE('Weekly Data'!J922,'Weekly Data'!J870,'Weekly Data'!J818,'Weekly Data'!J766)</f>
        <v>1624.9959399848003</v>
      </c>
      <c r="R974" s="13">
        <f t="shared" si="64"/>
        <v>41108</v>
      </c>
      <c r="S974" s="106">
        <f t="shared" ref="S974:X974" si="85">AVERAGE(B922,B870,B818,B765)</f>
        <v>446.8125</v>
      </c>
      <c r="T974" s="106">
        <f t="shared" si="85"/>
        <v>1404.75</v>
      </c>
      <c r="U974" s="109">
        <f t="shared" si="85"/>
        <v>713.3125</v>
      </c>
      <c r="V974" s="109">
        <f t="shared" si="85"/>
        <v>3709.0625</v>
      </c>
      <c r="W974" s="110">
        <f t="shared" si="85"/>
        <v>290.1875</v>
      </c>
      <c r="X974" s="106">
        <f t="shared" si="85"/>
        <v>5850.8125</v>
      </c>
      <c r="Y974" s="204">
        <f t="shared" si="67"/>
        <v>1750.485159632527</v>
      </c>
    </row>
    <row r="975" spans="1:25" x14ac:dyDescent="0.25">
      <c r="A975" s="105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2">
        <f>SUM('Weekly Data'!J972:J975)/4</f>
        <v>1386.9875</v>
      </c>
      <c r="J975" s="101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1">
        <f>AVERAGE('Weekly Data'!I923,'Weekly Data'!I871,'Weekly Data'!I819,'Weekly Data'!I767)</f>
        <v>6198</v>
      </c>
      <c r="P975" s="203">
        <f>AVERAGE('Weekly Data'!J923,'Weekly Data'!J871,'Weekly Data'!J819,'Weekly Data'!J767)</f>
        <v>1561.0078156984625</v>
      </c>
      <c r="R975" s="13">
        <f t="shared" si="64"/>
        <v>41115</v>
      </c>
      <c r="S975" s="106">
        <f t="shared" ref="S975:X975" si="86">AVERAGE(B923,B871,B819,B766)</f>
        <v>521.625</v>
      </c>
      <c r="T975" s="106">
        <f t="shared" si="86"/>
        <v>1536.8125</v>
      </c>
      <c r="U975" s="109">
        <f t="shared" si="86"/>
        <v>810.4375</v>
      </c>
      <c r="V975" s="109">
        <f t="shared" si="86"/>
        <v>3795.375</v>
      </c>
      <c r="W975" s="110">
        <f t="shared" si="86"/>
        <v>296.875</v>
      </c>
      <c r="X975" s="106">
        <f t="shared" si="86"/>
        <v>6150.6875</v>
      </c>
      <c r="Y975" s="204">
        <f t="shared" si="67"/>
        <v>1579.6525374890589</v>
      </c>
    </row>
    <row r="976" spans="1:25" x14ac:dyDescent="0.25">
      <c r="A976" s="105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2">
        <f>SUM('Weekly Data'!J973:J976)/4</f>
        <v>1291.5749999999998</v>
      </c>
      <c r="J976" s="101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1">
        <f>AVERAGE('Weekly Data'!I924,'Weekly Data'!I872,'Weekly Data'!I820,'Weekly Data'!I768)</f>
        <v>5297.5</v>
      </c>
      <c r="P976" s="203">
        <f>AVERAGE('Weekly Data'!J924,'Weekly Data'!J872,'Weekly Data'!J820,'Weekly Data'!J768)</f>
        <v>1917.187490932826</v>
      </c>
      <c r="R976" s="13">
        <f t="shared" si="64"/>
        <v>41122</v>
      </c>
      <c r="S976" s="106">
        <f t="shared" ref="S976:X977" si="87">AVERAGE(B924,B872,B820,B767)</f>
        <v>496</v>
      </c>
      <c r="T976" s="106">
        <f t="shared" si="87"/>
        <v>1560.6875</v>
      </c>
      <c r="U976" s="109">
        <f t="shared" si="87"/>
        <v>736.5625</v>
      </c>
      <c r="V976" s="109">
        <f t="shared" si="87"/>
        <v>3964.625</v>
      </c>
      <c r="W976" s="110">
        <f t="shared" si="87"/>
        <v>258.75</v>
      </c>
      <c r="X976" s="106">
        <f t="shared" si="87"/>
        <v>6280.0625</v>
      </c>
      <c r="Y976" s="204">
        <f t="shared" si="67"/>
        <v>1628.4657420388448</v>
      </c>
    </row>
    <row r="977" spans="1:25" x14ac:dyDescent="0.25">
      <c r="A977" s="105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2">
        <f>SUM('Weekly Data'!J974:J977)/4</f>
        <v>1389.3249999999998</v>
      </c>
      <c r="J977" s="101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1">
        <f>AVERAGE('Weekly Data'!I925,'Weekly Data'!I873,'Weekly Data'!I821,'Weekly Data'!I769)</f>
        <v>5565.75</v>
      </c>
      <c r="P977" s="203">
        <f>AVERAGE('Weekly Data'!J925,'Weekly Data'!J873,'Weekly Data'!J821,'Weekly Data'!J769)</f>
        <v>1304.6951035185978</v>
      </c>
      <c r="R977" s="13">
        <f t="shared" si="64"/>
        <v>41129</v>
      </c>
      <c r="S977" s="106">
        <f t="shared" si="87"/>
        <v>496.6875</v>
      </c>
      <c r="T977" s="106">
        <f t="shared" si="87"/>
        <v>1470.6875</v>
      </c>
      <c r="U977" s="109">
        <f t="shared" si="87"/>
        <v>764.125</v>
      </c>
      <c r="V977" s="109">
        <f t="shared" si="87"/>
        <v>3830</v>
      </c>
      <c r="W977" s="110">
        <f t="shared" si="87"/>
        <v>225.5</v>
      </c>
      <c r="X977" s="106">
        <f t="shared" si="87"/>
        <v>6022.875</v>
      </c>
      <c r="Y977" s="204">
        <f t="shared" si="67"/>
        <v>1601.9715875336717</v>
      </c>
    </row>
    <row r="978" spans="1:25" x14ac:dyDescent="0.25">
      <c r="A978" s="105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2">
        <f>SUM('Weekly Data'!J975:J978)/4</f>
        <v>1484.7375</v>
      </c>
      <c r="J978" s="101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1">
        <f>AVERAGE('Weekly Data'!I926,'Weekly Data'!I874,'Weekly Data'!I822,'Weekly Data'!I770)</f>
        <v>4839.25</v>
      </c>
      <c r="P978" s="203">
        <f>AVERAGE('Weekly Data'!J926,'Weekly Data'!J874,'Weekly Data'!J822,'Weekly Data'!J770)</f>
        <v>1369.4917981353813</v>
      </c>
      <c r="R978" s="13">
        <f t="shared" si="64"/>
        <v>41136</v>
      </c>
      <c r="S978" s="106">
        <f t="shared" ref="S978:X978" si="88">AVERAGE(B926,B874,B822,B769)</f>
        <v>478.75</v>
      </c>
      <c r="T978" s="106">
        <f t="shared" si="88"/>
        <v>1616.5625</v>
      </c>
      <c r="U978" s="109">
        <f t="shared" si="88"/>
        <v>772</v>
      </c>
      <c r="V978" s="109">
        <f t="shared" si="88"/>
        <v>3497.75</v>
      </c>
      <c r="W978" s="110">
        <f t="shared" si="88"/>
        <v>181.9375</v>
      </c>
      <c r="X978" s="106">
        <f t="shared" si="88"/>
        <v>5775</v>
      </c>
      <c r="Y978" s="204">
        <f t="shared" si="67"/>
        <v>1538.0955520713167</v>
      </c>
    </row>
    <row r="979" spans="1:25" x14ac:dyDescent="0.25">
      <c r="A979" s="105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2">
        <f>SUM('Weekly Data'!J976:J979)/4</f>
        <v>1548.6999999999998</v>
      </c>
      <c r="J979" s="101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1">
        <f>AVERAGE('Weekly Data'!I927,'Weekly Data'!I875,'Weekly Data'!I823,'Weekly Data'!I771)</f>
        <v>5526.75</v>
      </c>
      <c r="P979" s="203">
        <f>AVERAGE('Weekly Data'!J927,'Weekly Data'!J875,'Weekly Data'!J823,'Weekly Data'!J771)</f>
        <v>1635.5903688749897</v>
      </c>
      <c r="R979" s="13">
        <f t="shared" si="64"/>
        <v>41143</v>
      </c>
      <c r="S979" s="106">
        <f t="shared" ref="S979:X979" si="89">AVERAGE(B927,B875,B823,B770)</f>
        <v>440.9375</v>
      </c>
      <c r="T979" s="106">
        <f t="shared" si="89"/>
        <v>1604.875</v>
      </c>
      <c r="U979" s="109">
        <f t="shared" si="89"/>
        <v>707.9375</v>
      </c>
      <c r="V979" s="109">
        <f t="shared" si="89"/>
        <v>3180.5</v>
      </c>
      <c r="W979" s="110">
        <f t="shared" si="89"/>
        <v>168.375</v>
      </c>
      <c r="X979" s="106">
        <f t="shared" si="89"/>
        <v>5394.6875</v>
      </c>
      <c r="Y979" s="204">
        <f t="shared" si="67"/>
        <v>1556.741190365449</v>
      </c>
    </row>
    <row r="980" spans="1:25" x14ac:dyDescent="0.25">
      <c r="A980" s="105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2">
        <f>SUM('Weekly Data'!J977:J980)/4</f>
        <v>1577.3875</v>
      </c>
      <c r="J980" s="101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1">
        <f>AVERAGE('Weekly Data'!I928,'Weekly Data'!I876,'Weekly Data'!I824,'Weekly Data'!I772)</f>
        <v>5129</v>
      </c>
      <c r="P980" s="203">
        <f>AVERAGE('Weekly Data'!J928,'Weekly Data'!J876,'Weekly Data'!J824,'Weekly Data'!J772)</f>
        <v>1516.3682085735099</v>
      </c>
      <c r="R980" s="13">
        <f t="shared" si="64"/>
        <v>41150</v>
      </c>
      <c r="S980" s="106">
        <f t="shared" ref="S980:X981" si="90">AVERAGE(B928,B876,B824,B771)</f>
        <v>467.8125</v>
      </c>
      <c r="T980" s="106">
        <f t="shared" si="90"/>
        <v>1608.3125</v>
      </c>
      <c r="U980" s="109">
        <f t="shared" si="90"/>
        <v>709.5625</v>
      </c>
      <c r="V980" s="109">
        <f t="shared" si="90"/>
        <v>3036.6875</v>
      </c>
      <c r="W980" s="110">
        <f t="shared" si="90"/>
        <v>165.3125</v>
      </c>
      <c r="X980" s="106">
        <f t="shared" si="90"/>
        <v>5278.125</v>
      </c>
      <c r="Y980" s="204">
        <f t="shared" si="67"/>
        <v>1456.53636977562</v>
      </c>
    </row>
    <row r="981" spans="1:25" x14ac:dyDescent="0.25">
      <c r="A981" s="105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2">
        <f>SUM('Weekly Data'!J978:J981)/4</f>
        <v>1497.4875</v>
      </c>
      <c r="J981" s="101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1">
        <f>AVERAGE('Weekly Data'!I929,'Weekly Data'!I877,'Weekly Data'!I825,'Weekly Data'!I773)</f>
        <v>5664.75</v>
      </c>
      <c r="P981" s="203">
        <f>AVERAGE('Weekly Data'!J929,'Weekly Data'!J877,'Weekly Data'!J825,'Weekly Data'!J773)</f>
        <v>1589.0491235740453</v>
      </c>
      <c r="R981" s="13">
        <f t="shared" si="64"/>
        <v>41157</v>
      </c>
      <c r="S981" s="106">
        <f t="shared" si="90"/>
        <v>526.9375</v>
      </c>
      <c r="T981" s="106">
        <f t="shared" si="90"/>
        <v>1631.625</v>
      </c>
      <c r="U981" s="109">
        <f t="shared" si="90"/>
        <v>621.5625</v>
      </c>
      <c r="V981" s="109">
        <f t="shared" si="90"/>
        <v>2978.5</v>
      </c>
      <c r="W981" s="110">
        <f t="shared" si="90"/>
        <v>177.875</v>
      </c>
      <c r="X981" s="106">
        <f t="shared" si="90"/>
        <v>5314.9375</v>
      </c>
      <c r="Y981" s="204">
        <f t="shared" si="67"/>
        <v>1527.6248747894817</v>
      </c>
    </row>
    <row r="982" spans="1:25" x14ac:dyDescent="0.25">
      <c r="A982" s="105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2">
        <f>SUM('Weekly Data'!J979:J982)/4</f>
        <v>1291.9999999999998</v>
      </c>
      <c r="J982" s="101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1">
        <f>AVERAGE('Weekly Data'!I930,'Weekly Data'!I878,'Weekly Data'!I826,'Weekly Data'!I774)</f>
        <v>5103</v>
      </c>
      <c r="P982" s="203">
        <f>AVERAGE('Weekly Data'!J930,'Weekly Data'!J878,'Weekly Data'!J826,'Weekly Data'!J774)</f>
        <v>1275.8018489331635</v>
      </c>
      <c r="R982" s="13">
        <f t="shared" si="64"/>
        <v>41164</v>
      </c>
      <c r="S982" s="106">
        <f t="shared" ref="S982:X982" si="91">AVERAGE(B930,B878,B826,B773)</f>
        <v>519.6875</v>
      </c>
      <c r="T982" s="106">
        <f t="shared" si="91"/>
        <v>1606.25</v>
      </c>
      <c r="U982" s="109">
        <f t="shared" si="91"/>
        <v>633.625</v>
      </c>
      <c r="V982" s="109">
        <f t="shared" si="91"/>
        <v>3024.75</v>
      </c>
      <c r="W982" s="110">
        <f t="shared" si="91"/>
        <v>201.1875</v>
      </c>
      <c r="X982" s="106">
        <f t="shared" si="91"/>
        <v>5351.875</v>
      </c>
      <c r="Y982" s="204">
        <f t="shared" si="67"/>
        <v>1504.2023874889271</v>
      </c>
    </row>
    <row r="983" spans="1:25" x14ac:dyDescent="0.25">
      <c r="A983" s="105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2">
        <f>SUM('Weekly Data'!J980:J983)/4</f>
        <v>1224.2125000000001</v>
      </c>
      <c r="J983" s="101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1">
        <f>AVERAGE('Weekly Data'!I931,'Weekly Data'!I879,'Weekly Data'!I827,'Weekly Data'!I775)</f>
        <v>5304.75</v>
      </c>
      <c r="P983" s="203">
        <f>AVERAGE('Weekly Data'!J931,'Weekly Data'!J879,'Weekly Data'!J827,'Weekly Data'!J775)</f>
        <v>1648.782661611838</v>
      </c>
      <c r="R983" s="13">
        <f t="shared" si="64"/>
        <v>41171</v>
      </c>
      <c r="S983" s="106">
        <f t="shared" ref="S983:X983" si="92">AVERAGE(B931,B879,B827,B774)</f>
        <v>545.8125</v>
      </c>
      <c r="T983" s="106">
        <f t="shared" si="92"/>
        <v>1539.125</v>
      </c>
      <c r="U983" s="109">
        <f t="shared" si="92"/>
        <v>597.8125</v>
      </c>
      <c r="V983" s="109">
        <f t="shared" si="92"/>
        <v>2999.25</v>
      </c>
      <c r="W983" s="110">
        <f t="shared" si="92"/>
        <v>220</v>
      </c>
      <c r="X983" s="106">
        <f t="shared" si="92"/>
        <v>5304.1875</v>
      </c>
      <c r="Y983" s="204">
        <f t="shared" si="67"/>
        <v>1507.5004606731391</v>
      </c>
    </row>
    <row r="984" spans="1:25" x14ac:dyDescent="0.25">
      <c r="A984" s="105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2">
        <f>SUM('Weekly Data'!J981:J984)/4</f>
        <v>1370.8374999999999</v>
      </c>
      <c r="J984" s="101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1">
        <f>AVERAGE('Weekly Data'!I932,'Weekly Data'!I880,'Weekly Data'!I828,'Weekly Data'!I776)</f>
        <v>5367.75</v>
      </c>
      <c r="P984" s="203">
        <f>AVERAGE('Weekly Data'!J932,'Weekly Data'!J880,'Weekly Data'!J828,'Weekly Data'!J776)</f>
        <v>1188.3609920815231</v>
      </c>
      <c r="R984" s="13">
        <f t="shared" si="64"/>
        <v>41178</v>
      </c>
      <c r="S984" s="106">
        <f t="shared" ref="S984:X987" si="93">AVERAGE(B932,B880,B828,B775)</f>
        <v>617.625</v>
      </c>
      <c r="T984" s="106">
        <f t="shared" si="93"/>
        <v>1490.5625</v>
      </c>
      <c r="U984" s="109">
        <f t="shared" si="93"/>
        <v>674.125</v>
      </c>
      <c r="V984" s="109">
        <f t="shared" si="93"/>
        <v>2899.125</v>
      </c>
      <c r="W984" s="110">
        <f t="shared" si="93"/>
        <v>293.75</v>
      </c>
      <c r="X984" s="106">
        <f t="shared" si="93"/>
        <v>5301.0625</v>
      </c>
      <c r="Y984" s="204">
        <f t="shared" si="67"/>
        <v>1425.4986565501424</v>
      </c>
    </row>
    <row r="985" spans="1:25" x14ac:dyDescent="0.25">
      <c r="A985" s="105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2">
        <f>SUM('Weekly Data'!J982:J985)/4</f>
        <v>1364.25</v>
      </c>
      <c r="J985" s="101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1">
        <f>AVERAGE('Weekly Data'!I933,'Weekly Data'!I881,'Weekly Data'!I829,'Weekly Data'!I777)</f>
        <v>6274.25</v>
      </c>
      <c r="P985" s="203">
        <f>AVERAGE('Weekly Data'!J933,'Weekly Data'!J881,'Weekly Data'!J829,'Weekly Data'!J777)</f>
        <v>1610.8092513605384</v>
      </c>
      <c r="R985" s="13">
        <f t="shared" si="64"/>
        <v>41185</v>
      </c>
      <c r="S985" s="106">
        <f t="shared" si="93"/>
        <v>694.0625</v>
      </c>
      <c r="T985" s="106">
        <f t="shared" si="93"/>
        <v>1564.0625</v>
      </c>
      <c r="U985" s="109">
        <f t="shared" si="93"/>
        <v>657</v>
      </c>
      <c r="V985" s="109">
        <f t="shared" si="93"/>
        <v>2921.375</v>
      </c>
      <c r="W985" s="110">
        <f t="shared" si="93"/>
        <v>330.6875</v>
      </c>
      <c r="X985" s="106">
        <f t="shared" si="93"/>
        <v>5510.1875</v>
      </c>
      <c r="Y985" s="204">
        <f t="shared" si="67"/>
        <v>1364.0061261101439</v>
      </c>
    </row>
    <row r="986" spans="1:25" x14ac:dyDescent="0.25">
      <c r="A986" s="105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2">
        <f>SUM('Weekly Data'!J983:J986)/4</f>
        <v>1639.65</v>
      </c>
      <c r="J986" s="101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1">
        <f>AVERAGE('Weekly Data'!I934,'Weekly Data'!I882,'Weekly Data'!I830,'Weekly Data'!I778)</f>
        <v>8991.5</v>
      </c>
      <c r="P986" s="203">
        <f>AVERAGE('Weekly Data'!J934,'Weekly Data'!J882,'Weekly Data'!J830,'Weekly Data'!J778)</f>
        <v>2098.0628613425188</v>
      </c>
      <c r="R986" s="13">
        <f t="shared" si="64"/>
        <v>41192</v>
      </c>
      <c r="S986" s="106">
        <f t="shared" si="93"/>
        <v>886</v>
      </c>
      <c r="T986" s="106">
        <f t="shared" si="93"/>
        <v>1525.5625</v>
      </c>
      <c r="U986" s="109">
        <f t="shared" si="93"/>
        <v>643.4375</v>
      </c>
      <c r="V986" s="109">
        <f t="shared" si="93"/>
        <v>3349.6875</v>
      </c>
      <c r="W986" s="110">
        <f t="shared" si="93"/>
        <v>425.875</v>
      </c>
      <c r="X986" s="106">
        <f t="shared" si="93"/>
        <v>6187.125</v>
      </c>
      <c r="Y986" s="204">
        <f t="shared" si="67"/>
        <v>1277.9730882432696</v>
      </c>
    </row>
    <row r="987" spans="1:25" x14ac:dyDescent="0.25">
      <c r="A987" s="105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2">
        <f>SUM('Weekly Data'!J984:J987)/4</f>
        <v>1658.35</v>
      </c>
      <c r="J987" s="101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1">
        <f>AVERAGE('Weekly Data'!I935,'Weekly Data'!I883,'Weekly Data'!I831,'Weekly Data'!I779)</f>
        <v>8752</v>
      </c>
      <c r="P987" s="203">
        <f>AVERAGE('Weekly Data'!J935,'Weekly Data'!J883,'Weekly Data'!J831,'Weekly Data'!J779)</f>
        <v>1806.6972862680891</v>
      </c>
      <c r="R987" s="13">
        <f t="shared" si="64"/>
        <v>41199</v>
      </c>
      <c r="S987" s="106">
        <f t="shared" si="93"/>
        <v>1179.3125</v>
      </c>
      <c r="T987" s="106">
        <f t="shared" si="93"/>
        <v>1557.5625</v>
      </c>
      <c r="U987" s="109">
        <f t="shared" si="93"/>
        <v>751.25</v>
      </c>
      <c r="V987" s="109">
        <f t="shared" si="93"/>
        <v>3901.9375</v>
      </c>
      <c r="W987" s="110">
        <f t="shared" si="93"/>
        <v>571.1875</v>
      </c>
      <c r="X987" s="106">
        <f t="shared" si="93"/>
        <v>7210</v>
      </c>
      <c r="Y987" s="204">
        <f t="shared" si="67"/>
        <v>1433.6225357580724</v>
      </c>
    </row>
    <row r="988" spans="1:25" x14ac:dyDescent="0.25">
      <c r="A988" s="105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2">
        <f>SUM('Weekly Data'!J985:J988)/4</f>
        <v>1644.75</v>
      </c>
      <c r="J988" s="101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1">
        <f>AVERAGE('Weekly Data'!I936,'Weekly Data'!I884,'Weekly Data'!I832,'Weekly Data'!I780)</f>
        <v>8237</v>
      </c>
      <c r="P988" s="203">
        <f>AVERAGE('Weekly Data'!J936,'Weekly Data'!J884,'Weekly Data'!J832,'Weekly Data'!J780)</f>
        <v>2150.5826705076538</v>
      </c>
      <c r="R988" s="13">
        <f t="shared" si="64"/>
        <v>41206</v>
      </c>
      <c r="S988" s="106">
        <f t="shared" ref="S988:X989" si="94">AVERAGE(B936,B884,B832,B779)</f>
        <v>1428</v>
      </c>
      <c r="T988" s="106">
        <f t="shared" si="94"/>
        <v>1512.3125</v>
      </c>
      <c r="U988" s="109">
        <f t="shared" si="94"/>
        <v>818.5</v>
      </c>
      <c r="V988" s="109">
        <f t="shared" si="94"/>
        <v>4385.875</v>
      </c>
      <c r="W988" s="110">
        <f t="shared" si="94"/>
        <v>665.125</v>
      </c>
      <c r="X988" s="106">
        <f t="shared" si="94"/>
        <v>7991.3125</v>
      </c>
      <c r="Y988" s="204">
        <f t="shared" si="67"/>
        <v>1740.5348923697002</v>
      </c>
    </row>
    <row r="989" spans="1:25" x14ac:dyDescent="0.25">
      <c r="A989" s="105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2">
        <f>SUM('Weekly Data'!J986:J989)/4</f>
        <v>1749.7249999999999</v>
      </c>
      <c r="J989" s="101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1">
        <f>AVERAGE('Weekly Data'!I937,'Weekly Data'!I885,'Weekly Data'!I833,'Weekly Data'!I781)</f>
        <v>8258.75</v>
      </c>
      <c r="P989" s="203">
        <f>AVERAGE('Weekly Data'!J937,'Weekly Data'!J885,'Weekly Data'!J833,'Weekly Data'!J781)</f>
        <v>1829.7183986320222</v>
      </c>
      <c r="R989" s="13">
        <f t="shared" si="64"/>
        <v>41213</v>
      </c>
      <c r="S989" s="106">
        <f t="shared" si="94"/>
        <v>1601.625</v>
      </c>
      <c r="T989" s="106">
        <f t="shared" si="94"/>
        <v>1412.3125</v>
      </c>
      <c r="U989" s="109">
        <f t="shared" si="94"/>
        <v>935.0625</v>
      </c>
      <c r="V989" s="109">
        <f t="shared" si="94"/>
        <v>4751.5</v>
      </c>
      <c r="W989" s="110">
        <f t="shared" si="94"/>
        <v>787.4375</v>
      </c>
      <c r="X989" s="106">
        <f t="shared" si="94"/>
        <v>8552.875</v>
      </c>
      <c r="Y989" s="204">
        <f t="shared" si="67"/>
        <v>2003.034054187571</v>
      </c>
    </row>
    <row r="990" spans="1:25" x14ac:dyDescent="0.25">
      <c r="A990" s="105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2">
        <f>SUM('Weekly Data'!J987:J990)/4</f>
        <v>1528.85</v>
      </c>
      <c r="J990" s="101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1">
        <f>AVERAGE('Weekly Data'!I938,'Weekly Data'!I886,'Weekly Data'!I834,'Weekly Data'!I782)</f>
        <v>7821.75</v>
      </c>
      <c r="P990" s="203">
        <f>AVERAGE('Weekly Data'!J938,'Weekly Data'!J886,'Weekly Data'!J834,'Weekly Data'!J782)</f>
        <v>2018.7696427307535</v>
      </c>
      <c r="R990" s="13">
        <f t="shared" si="64"/>
        <v>41220</v>
      </c>
      <c r="S990" s="106">
        <f t="shared" ref="S990:Y990" si="95">AVERAGE(B938,B886,B834,B781)</f>
        <v>1661.25</v>
      </c>
      <c r="T990" s="106">
        <f t="shared" si="95"/>
        <v>1384.0625</v>
      </c>
      <c r="U990" s="109">
        <f t="shared" si="95"/>
        <v>1076.75</v>
      </c>
      <c r="V990" s="109">
        <f t="shared" si="95"/>
        <v>4681.5625</v>
      </c>
      <c r="W990" s="110">
        <f t="shared" si="95"/>
        <v>866.25</v>
      </c>
      <c r="X990" s="106">
        <f t="shared" si="95"/>
        <v>8593.125</v>
      </c>
      <c r="Y990" s="204">
        <f t="shared" si="95"/>
        <v>1981.6701245346296</v>
      </c>
    </row>
    <row r="991" spans="1:25" x14ac:dyDescent="0.25">
      <c r="A991" s="105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2">
        <f>SUM('Weekly Data'!J988:J991)/4</f>
        <v>1602.0625</v>
      </c>
      <c r="J991" s="101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1">
        <f>AVERAGE('Weekly Data'!I939,'Weekly Data'!I887,'Weekly Data'!I835,'Weekly Data'!I783)</f>
        <v>8075.5</v>
      </c>
      <c r="P991" s="203">
        <f>AVERAGE('Weekly Data'!J939,'Weekly Data'!J887,'Weekly Data'!J835,'Weekly Data'!J783)</f>
        <v>1885.2908846691566</v>
      </c>
      <c r="R991" s="13">
        <f t="shared" si="64"/>
        <v>41227</v>
      </c>
      <c r="S991" s="106">
        <f t="shared" ref="S991:Y992" si="96">AVERAGE(B939,B887,B835,B782)</f>
        <v>1504.6875</v>
      </c>
      <c r="T991" s="106">
        <f t="shared" si="96"/>
        <v>1476.6875</v>
      </c>
      <c r="U991" s="109">
        <f t="shared" si="96"/>
        <v>1023.0625</v>
      </c>
      <c r="V991" s="109">
        <f t="shared" si="96"/>
        <v>4399.9375</v>
      </c>
      <c r="W991" s="110">
        <f t="shared" si="96"/>
        <v>887.875</v>
      </c>
      <c r="X991" s="106">
        <f t="shared" si="96"/>
        <v>8269.1875</v>
      </c>
      <c r="Y991" s="204">
        <f t="shared" si="96"/>
        <v>2010.3497741348965</v>
      </c>
    </row>
    <row r="992" spans="1:25" x14ac:dyDescent="0.25">
      <c r="A992" s="105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2">
        <f>SUM('Weekly Data'!J989:J992)/4</f>
        <v>1588.55</v>
      </c>
      <c r="J992" s="101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1">
        <f>AVERAGE('Weekly Data'!I940,'Weekly Data'!I888,'Weekly Data'!I836,'Weekly Data'!I784)</f>
        <v>7613.5</v>
      </c>
      <c r="P992" s="203">
        <f>AVERAGE('Weekly Data'!J940,'Weekly Data'!J888,'Weekly Data'!J836,'Weekly Data'!J784)</f>
        <v>1793.7235937212977</v>
      </c>
      <c r="R992" s="13">
        <f t="shared" si="64"/>
        <v>41234</v>
      </c>
      <c r="S992" s="106">
        <f t="shared" si="96"/>
        <v>1342.8125</v>
      </c>
      <c r="T992" s="106">
        <f t="shared" si="96"/>
        <v>1626.125</v>
      </c>
      <c r="U992" s="109">
        <f t="shared" si="96"/>
        <v>1005.125</v>
      </c>
      <c r="V992" s="109">
        <f t="shared" si="96"/>
        <v>4140.5625</v>
      </c>
      <c r="W992" s="110">
        <f t="shared" si="96"/>
        <v>967.125</v>
      </c>
      <c r="X992" s="106">
        <f t="shared" si="96"/>
        <v>8076.625</v>
      </c>
      <c r="Y992" s="204">
        <f t="shared" si="96"/>
        <v>1925.3850049383075</v>
      </c>
    </row>
    <row r="993" spans="1:25" x14ac:dyDescent="0.25">
      <c r="A993" s="105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2">
        <f>SUM('Weekly Data'!J990:J993)/4</f>
        <v>1435</v>
      </c>
      <c r="J993" s="101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1">
        <f>AVERAGE('Weekly Data'!I941,'Weekly Data'!I889,'Weekly Data'!I837,'Weekly Data'!I785)</f>
        <v>7208.75</v>
      </c>
      <c r="P993" s="203">
        <f>AVERAGE('Weekly Data'!J941,'Weekly Data'!J889,'Weekly Data'!J837,'Weekly Data'!J785)</f>
        <v>1518.4643572550119</v>
      </c>
      <c r="R993" s="13">
        <f t="shared" si="64"/>
        <v>41241</v>
      </c>
      <c r="S993" s="106">
        <f t="shared" ref="S993:Y993" si="97">AVERAGE(B941,B889,B837,B784)</f>
        <v>1187.3125</v>
      </c>
      <c r="T993" s="106">
        <f t="shared" si="97"/>
        <v>1645.1875</v>
      </c>
      <c r="U993" s="109">
        <f t="shared" si="97"/>
        <v>940.8125</v>
      </c>
      <c r="V993" s="109">
        <f t="shared" si="97"/>
        <v>3965.625</v>
      </c>
      <c r="W993" s="110">
        <f t="shared" si="97"/>
        <v>929.75</v>
      </c>
      <c r="X993" s="106">
        <f t="shared" si="97"/>
        <v>7727.875</v>
      </c>
      <c r="Y993" s="204">
        <f t="shared" si="97"/>
        <v>1822.6027445940547</v>
      </c>
    </row>
    <row r="994" spans="1:25" x14ac:dyDescent="0.25">
      <c r="A994" s="105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2">
        <f>SUM('Weekly Data'!J991:J994)/4</f>
        <v>1360.5</v>
      </c>
      <c r="J994" s="101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1">
        <f>AVERAGE('Weekly Data'!I942,'Weekly Data'!I890,'Weekly Data'!I838,'Weekly Data'!I786)</f>
        <v>7302.5</v>
      </c>
      <c r="P994" s="203">
        <f>AVERAGE('Weekly Data'!J942,'Weekly Data'!J890,'Weekly Data'!J838,'Weekly Data'!J786)</f>
        <v>1418.8599778584276</v>
      </c>
      <c r="R994" s="13">
        <f t="shared" si="64"/>
        <v>41248</v>
      </c>
      <c r="S994" s="106">
        <f t="shared" ref="S994:Y994" si="98">AVERAGE(B942,B890,B838,B785)</f>
        <v>1071.3125</v>
      </c>
      <c r="T994" s="106">
        <f t="shared" si="98"/>
        <v>1544.5</v>
      </c>
      <c r="U994" s="109">
        <f t="shared" si="98"/>
        <v>887.5</v>
      </c>
      <c r="V994" s="109">
        <f t="shared" si="98"/>
        <v>3982.25</v>
      </c>
      <c r="W994" s="110">
        <f t="shared" si="98"/>
        <v>897.4375</v>
      </c>
      <c r="X994" s="106">
        <f t="shared" si="98"/>
        <v>7495.5</v>
      </c>
      <c r="Y994" s="204">
        <f t="shared" si="98"/>
        <v>1711.6190783759735</v>
      </c>
    </row>
    <row r="995" spans="1:25" x14ac:dyDescent="0.25">
      <c r="A995" s="105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2">
        <f>SUM('Weekly Data'!J992:J995)/4</f>
        <v>1269.75</v>
      </c>
      <c r="J995" s="101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1">
        <f>AVERAGE('Weekly Data'!I943,'Weekly Data'!I891,'Weekly Data'!I839,'Weekly Data'!I787)</f>
        <v>6910.75</v>
      </c>
      <c r="P995" s="203">
        <f>AVERAGE('Weekly Data'!J943,'Weekly Data'!J891,'Weekly Data'!J839,'Weekly Data'!J787)</f>
        <v>1637.9765858970072</v>
      </c>
      <c r="R995" s="13">
        <f t="shared" si="64"/>
        <v>41255</v>
      </c>
      <c r="S995" s="106">
        <f t="shared" ref="S995:Y995" si="99">AVERAGE(B943,B891,B839,B786)</f>
        <v>978</v>
      </c>
      <c r="T995" s="106">
        <f t="shared" si="99"/>
        <v>1404.875</v>
      </c>
      <c r="U995" s="109">
        <f t="shared" si="99"/>
        <v>880.75</v>
      </c>
      <c r="V995" s="109">
        <f t="shared" si="99"/>
        <v>4134.25</v>
      </c>
      <c r="W995" s="110">
        <f t="shared" si="99"/>
        <v>867.125</v>
      </c>
      <c r="X995" s="106">
        <f t="shared" si="99"/>
        <v>7384.25</v>
      </c>
      <c r="Y995" s="204">
        <f t="shared" si="99"/>
        <v>1625.0873786829359</v>
      </c>
    </row>
    <row r="996" spans="1:25" x14ac:dyDescent="0.25">
      <c r="A996" s="105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2">
        <f>SUM('Weekly Data'!J993:J996)/4</f>
        <v>1134.75</v>
      </c>
      <c r="J996" s="101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1">
        <f>AVERAGE('Weekly Data'!I944,'Weekly Data'!I892,'Weekly Data'!I840,'Weekly Data'!I788)</f>
        <v>6570</v>
      </c>
      <c r="P996" s="203">
        <f>AVERAGE('Weekly Data'!J944,'Weekly Data'!J892,'Weekly Data'!J840,'Weekly Data'!J788)</f>
        <v>1306.994782969264</v>
      </c>
      <c r="R996" s="13">
        <f t="shared" si="64"/>
        <v>41262</v>
      </c>
      <c r="S996" s="106">
        <f t="shared" ref="S996:Y996" si="100">AVERAGE(B944,B892,B840,B787)</f>
        <v>848.375</v>
      </c>
      <c r="T996" s="106">
        <f t="shared" si="100"/>
        <v>1261.0625</v>
      </c>
      <c r="U996" s="109">
        <f t="shared" si="100"/>
        <v>795.125</v>
      </c>
      <c r="V996" s="109">
        <f t="shared" si="100"/>
        <v>4270.6875</v>
      </c>
      <c r="W996" s="110">
        <f t="shared" si="100"/>
        <v>801.0625</v>
      </c>
      <c r="X996" s="106">
        <f t="shared" si="100"/>
        <v>7181.1875</v>
      </c>
      <c r="Y996" s="204">
        <f t="shared" si="100"/>
        <v>1530.8708009949275</v>
      </c>
    </row>
    <row r="997" spans="1:25" x14ac:dyDescent="0.25">
      <c r="A997" s="105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2">
        <f>SUM('Weekly Data'!J994:J997)/4</f>
        <v>1144.75</v>
      </c>
      <c r="J997" s="101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1">
        <f>AVERAGE('Weekly Data'!I945,'Weekly Data'!I893,'Weekly Data'!I841,'Weekly Data'!I789)</f>
        <v>4993</v>
      </c>
      <c r="P997" s="203">
        <f>AVERAGE('Weekly Data'!J945,'Weekly Data'!J893,'Weekly Data'!J841,'Weekly Data'!J789)</f>
        <v>1807.3553690856891</v>
      </c>
      <c r="R997" s="13">
        <f t="shared" si="64"/>
        <v>41269</v>
      </c>
      <c r="S997" s="106">
        <f t="shared" ref="S997:Y997" si="101">AVERAGE(B945,B893,B841,B788)</f>
        <v>730.125</v>
      </c>
      <c r="T997" s="106">
        <f t="shared" si="101"/>
        <v>1129.25</v>
      </c>
      <c r="U997" s="109">
        <f t="shared" si="101"/>
        <v>795.6875</v>
      </c>
      <c r="V997" s="109">
        <f t="shared" si="101"/>
        <v>4012.4375</v>
      </c>
      <c r="W997" s="110">
        <f t="shared" si="101"/>
        <v>741.375</v>
      </c>
      <c r="X997" s="106">
        <f t="shared" si="101"/>
        <v>6613.1875</v>
      </c>
      <c r="Y997" s="204">
        <f t="shared" si="101"/>
        <v>1555.0685539525971</v>
      </c>
    </row>
    <row r="998" spans="1:25" x14ac:dyDescent="0.25">
      <c r="A998" s="105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2">
        <f>SUM('Weekly Data'!J995:J998)/4</f>
        <v>1078.25</v>
      </c>
      <c r="J998" s="101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1">
        <f>AVERAGE('Weekly Data'!I946,'Weekly Data'!I894,'Weekly Data'!I842,'Weekly Data'!I790)</f>
        <v>5614.75</v>
      </c>
      <c r="P998" s="203">
        <f>AVERAGE('Weekly Data'!J946,'Weekly Data'!J894,'Weekly Data'!J842,'Weekly Data'!J790)</f>
        <v>1246.5474488627403</v>
      </c>
      <c r="R998" s="13">
        <f t="shared" si="64"/>
        <v>41276</v>
      </c>
      <c r="S998" s="106">
        <f t="shared" ref="S998:Y998" si="102">AVERAGE(B946,B894,B842,B789)</f>
        <v>622.5</v>
      </c>
      <c r="T998" s="106">
        <f t="shared" si="102"/>
        <v>1165.8125</v>
      </c>
      <c r="U998" s="109">
        <f t="shared" si="102"/>
        <v>704.3125</v>
      </c>
      <c r="V998" s="109">
        <f t="shared" si="102"/>
        <v>3726.625</v>
      </c>
      <c r="W998" s="110">
        <f t="shared" si="102"/>
        <v>692.3125</v>
      </c>
      <c r="X998" s="106">
        <f t="shared" si="102"/>
        <v>6207.25</v>
      </c>
      <c r="Y998" s="204">
        <f t="shared" si="102"/>
        <v>1526.1216717036752</v>
      </c>
    </row>
    <row r="999" spans="1:25" x14ac:dyDescent="0.25">
      <c r="A999" s="105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2">
        <f>SUM('Weekly Data'!J996:J999)/4</f>
        <v>980.75</v>
      </c>
      <c r="J999" s="101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1">
        <f>AVERAGE('Weekly Data'!I947,'Weekly Data'!I895,'Weekly Data'!I843,'Weekly Data'!I791)</f>
        <v>6094.25</v>
      </c>
      <c r="P999" s="203">
        <f>AVERAGE('Weekly Data'!J947,'Weekly Data'!J895,'Weekly Data'!J843,'Weekly Data'!J791)</f>
        <v>1962.7906963581402</v>
      </c>
      <c r="R999" s="13">
        <f t="shared" si="64"/>
        <v>41283</v>
      </c>
      <c r="S999" s="106">
        <f t="shared" ref="S999:Y999" si="103">AVERAGE(B947,B895,B843,B790)</f>
        <v>554.875</v>
      </c>
      <c r="T999" s="106">
        <f t="shared" si="103"/>
        <v>1141.875</v>
      </c>
      <c r="U999" s="109">
        <f t="shared" si="103"/>
        <v>694.75</v>
      </c>
      <c r="V999" s="109">
        <f t="shared" si="103"/>
        <v>3411.5</v>
      </c>
      <c r="W999" s="110">
        <f t="shared" si="103"/>
        <v>706.9375</v>
      </c>
      <c r="X999" s="106">
        <f t="shared" si="103"/>
        <v>5815.1875</v>
      </c>
      <c r="Y999" s="204">
        <f t="shared" si="103"/>
        <v>1564.6807797505785</v>
      </c>
    </row>
    <row r="1000" spans="1:25" x14ac:dyDescent="0.25">
      <c r="A1000" s="105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2">
        <f>SUM('Weekly Data'!J997:J1000)/4</f>
        <v>1070.75</v>
      </c>
      <c r="J1000" s="101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1">
        <f>AVERAGE('Weekly Data'!I948,'Weekly Data'!I896,'Weekly Data'!I844,'Weekly Data'!I792)</f>
        <v>6631</v>
      </c>
      <c r="P1000" s="203">
        <f>AVERAGE('Weekly Data'!J948,'Weekly Data'!J896,'Weekly Data'!J844,'Weekly Data'!J792)</f>
        <v>1468.8930514340379</v>
      </c>
      <c r="R1000" s="13">
        <f t="shared" si="64"/>
        <v>41290</v>
      </c>
      <c r="S1000" s="106">
        <f t="shared" ref="S1000:Y1000" si="104">AVERAGE(B948,B896,B844,B791)</f>
        <v>586.375</v>
      </c>
      <c r="T1000" s="106">
        <f t="shared" si="104"/>
        <v>1158.4375</v>
      </c>
      <c r="U1000" s="109">
        <f t="shared" si="104"/>
        <v>703.75</v>
      </c>
      <c r="V1000" s="109">
        <f t="shared" si="104"/>
        <v>3285.1875</v>
      </c>
      <c r="W1000" s="110">
        <f t="shared" si="104"/>
        <v>687.75</v>
      </c>
      <c r="X1000" s="106">
        <f t="shared" si="104"/>
        <v>5717.75</v>
      </c>
      <c r="Y1000" s="204">
        <f t="shared" si="104"/>
        <v>1624.2452367345768</v>
      </c>
    </row>
    <row r="1001" spans="1:25" x14ac:dyDescent="0.25">
      <c r="A1001" s="105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2">
        <f>SUM('Weekly Data'!J998:J1001)/4</f>
        <v>1008.75</v>
      </c>
      <c r="J1001" s="101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1">
        <f>AVERAGE('Weekly Data'!I949,'Weekly Data'!I897,'Weekly Data'!I845,'Weekly Data'!I793)</f>
        <v>6577.25</v>
      </c>
      <c r="P1001" s="203">
        <f>AVERAGE('Weekly Data'!J949,'Weekly Data'!J897,'Weekly Data'!J845,'Weekly Data'!J793)</f>
        <v>1639.3573455766812</v>
      </c>
      <c r="R1001" s="13">
        <f t="shared" si="64"/>
        <v>41297</v>
      </c>
      <c r="S1001" s="106">
        <f t="shared" ref="S1001:Y1001" si="105">AVERAGE(B949,B897,B845,B792)</f>
        <v>624.8125</v>
      </c>
      <c r="T1001" s="106">
        <f t="shared" si="105"/>
        <v>1268.125</v>
      </c>
      <c r="U1001" s="109">
        <f t="shared" si="105"/>
        <v>706.8125</v>
      </c>
      <c r="V1001" s="109">
        <f t="shared" si="105"/>
        <v>3508.5</v>
      </c>
      <c r="W1001" s="110">
        <f t="shared" si="105"/>
        <v>745.375</v>
      </c>
      <c r="X1001" s="106">
        <f t="shared" si="105"/>
        <v>6146.8125</v>
      </c>
      <c r="Y1001" s="204">
        <f t="shared" si="105"/>
        <v>1591.728008399132</v>
      </c>
    </row>
    <row r="1002" spans="1:25" x14ac:dyDescent="0.25">
      <c r="A1002" s="105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2">
        <f>SUM('Weekly Data'!J999:J1002)/4</f>
        <v>1065</v>
      </c>
      <c r="J1002" s="101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1">
        <f>AVERAGE('Weekly Data'!I950,'Weekly Data'!I898,'Weekly Data'!I846,'Weekly Data'!I794)</f>
        <v>7193.25</v>
      </c>
      <c r="P1002" s="203">
        <f>AVERAGE('Weekly Data'!J950,'Weekly Data'!J898,'Weekly Data'!J846,'Weekly Data'!J794)</f>
        <v>1524.8523678825818</v>
      </c>
      <c r="R1002" s="13">
        <f t="shared" si="64"/>
        <v>41304</v>
      </c>
      <c r="S1002" s="106">
        <f t="shared" ref="S1002:Y1002" si="106">AVERAGE(B950,B898,B846,B793)</f>
        <v>674</v>
      </c>
      <c r="T1002" s="106">
        <f t="shared" si="106"/>
        <v>1305.875</v>
      </c>
      <c r="U1002" s="109">
        <f t="shared" si="106"/>
        <v>747.5625</v>
      </c>
      <c r="V1002" s="109">
        <f t="shared" si="106"/>
        <v>3601.0625</v>
      </c>
      <c r="W1002" s="110">
        <f t="shared" si="106"/>
        <v>791.75</v>
      </c>
      <c r="X1002" s="106">
        <f t="shared" si="106"/>
        <v>6372.6875</v>
      </c>
      <c r="Y1002" s="204">
        <f t="shared" si="106"/>
        <v>1627.9799729526296</v>
      </c>
    </row>
    <row r="1003" spans="1:25" x14ac:dyDescent="0.25">
      <c r="A1003" s="105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2">
        <f>SUM('Weekly Data'!J1000:J1003)/4</f>
        <v>1161.25</v>
      </c>
      <c r="J1003" s="101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1">
        <f>AVERAGE('Weekly Data'!I951,'Weekly Data'!I899,'Weekly Data'!I847,'Weekly Data'!I795)</f>
        <v>7190.5</v>
      </c>
      <c r="P1003" s="203">
        <f>AVERAGE('Weekly Data'!J951,'Weekly Data'!J899,'Weekly Data'!J847,'Weekly Data'!J795)</f>
        <v>1227.8466915596337</v>
      </c>
      <c r="R1003" s="13">
        <f t="shared" si="64"/>
        <v>41311</v>
      </c>
      <c r="S1003" s="106">
        <f t="shared" ref="S1003:Y1003" si="107">AVERAGE(B951,B899,B847,B794)</f>
        <v>717.5</v>
      </c>
      <c r="T1003" s="106">
        <f t="shared" si="107"/>
        <v>1414</v>
      </c>
      <c r="U1003" s="109">
        <f t="shared" si="107"/>
        <v>792.875</v>
      </c>
      <c r="V1003" s="109">
        <f t="shared" si="107"/>
        <v>3861.3125</v>
      </c>
      <c r="W1003" s="110">
        <f t="shared" si="107"/>
        <v>759.875</v>
      </c>
      <c r="X1003" s="106">
        <f t="shared" si="107"/>
        <v>6752.6875</v>
      </c>
      <c r="Y1003" s="204">
        <f t="shared" si="107"/>
        <v>1528.6010080183012</v>
      </c>
    </row>
    <row r="1004" spans="1:25" x14ac:dyDescent="0.25">
      <c r="A1004" s="105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2">
        <f>SUM('Weekly Data'!J1001:J1004)/4</f>
        <v>1109.25</v>
      </c>
      <c r="J1004" s="101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1">
        <f>AVERAGE('Weekly Data'!I952,'Weekly Data'!I900,'Weekly Data'!I848,'Weekly Data'!I796)</f>
        <v>6981.5</v>
      </c>
      <c r="P1004" s="203">
        <f>AVERAGE('Weekly Data'!J952,'Weekly Data'!J900,'Weekly Data'!J848,'Weekly Data'!J796)</f>
        <v>1661.0815292938325</v>
      </c>
      <c r="R1004" s="13">
        <f t="shared" si="64"/>
        <v>41318</v>
      </c>
      <c r="S1004" s="106">
        <f t="shared" ref="S1004:Y1004" si="108">AVERAGE(B952,B900,B848,B795)</f>
        <v>756</v>
      </c>
      <c r="T1004" s="106">
        <f t="shared" si="108"/>
        <v>1491.3125</v>
      </c>
      <c r="U1004" s="109">
        <f t="shared" si="108"/>
        <v>804.5</v>
      </c>
      <c r="V1004" s="109">
        <f t="shared" si="108"/>
        <v>3937.6875</v>
      </c>
      <c r="W1004" s="110">
        <f t="shared" si="108"/>
        <v>755.1875</v>
      </c>
      <c r="X1004" s="106">
        <f t="shared" si="108"/>
        <v>6940.1875</v>
      </c>
      <c r="Y1004" s="204">
        <f t="shared" si="108"/>
        <v>1484.9887055625804</v>
      </c>
    </row>
    <row r="1005" spans="1:25" x14ac:dyDescent="0.25">
      <c r="A1005" s="105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2">
        <f>SUM('Weekly Data'!J1002:J1005)/4</f>
        <v>1125</v>
      </c>
      <c r="J1005" s="101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1">
        <f>AVERAGE('Weekly Data'!I953,'Weekly Data'!I901,'Weekly Data'!I849,'Weekly Data'!I797)</f>
        <v>6768</v>
      </c>
      <c r="P1005" s="203">
        <f>AVERAGE('Weekly Data'!J953,'Weekly Data'!J901,'Weekly Data'!J849,'Weekly Data'!J797)</f>
        <v>1547.9297886501242</v>
      </c>
      <c r="R1005" s="13">
        <f t="shared" si="64"/>
        <v>41325</v>
      </c>
      <c r="S1005" s="106">
        <f t="shared" ref="S1005:Y1005" si="109">AVERAGE(B953,B901,B849,B796)</f>
        <v>780.1875</v>
      </c>
      <c r="T1005" s="106">
        <f t="shared" si="109"/>
        <v>1459.4375</v>
      </c>
      <c r="U1005" s="109">
        <f t="shared" si="109"/>
        <v>859.375</v>
      </c>
      <c r="V1005" s="109">
        <f t="shared" si="109"/>
        <v>3998</v>
      </c>
      <c r="W1005" s="110">
        <f t="shared" si="109"/>
        <v>773.9375</v>
      </c>
      <c r="X1005" s="106">
        <f t="shared" si="109"/>
        <v>7011.5625</v>
      </c>
      <c r="Y1005" s="204">
        <f t="shared" si="109"/>
        <v>1486.5428307599855</v>
      </c>
    </row>
    <row r="1006" spans="1:25" x14ac:dyDescent="0.25">
      <c r="A1006" s="105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2">
        <f>SUM('Weekly Data'!J1003:J1006)/4</f>
        <v>1153.5</v>
      </c>
      <c r="J1006" s="101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1">
        <f>AVERAGE('Weekly Data'!I954,'Weekly Data'!I902,'Weekly Data'!I850,'Weekly Data'!I798)</f>
        <v>6658</v>
      </c>
      <c r="P1006" s="203">
        <f>AVERAGE('Weekly Data'!J954,'Weekly Data'!J902,'Weekly Data'!J850,'Weekly Data'!J798)</f>
        <v>1760.3950851485067</v>
      </c>
      <c r="R1006" s="13">
        <f t="shared" si="64"/>
        <v>41332</v>
      </c>
      <c r="S1006" s="106">
        <f t="shared" ref="S1006:Y1006" si="110">AVERAGE(B954,B902,B850,B797)</f>
        <v>778.1875</v>
      </c>
      <c r="T1006" s="106">
        <f t="shared" si="110"/>
        <v>1382.875</v>
      </c>
      <c r="U1006" s="109">
        <f t="shared" si="110"/>
        <v>911.625</v>
      </c>
      <c r="V1006" s="109">
        <f t="shared" si="110"/>
        <v>4025.5625</v>
      </c>
      <c r="W1006" s="110">
        <f t="shared" si="110"/>
        <v>779.1875</v>
      </c>
      <c r="X1006" s="106">
        <f t="shared" si="110"/>
        <v>6965.8125</v>
      </c>
      <c r="Y1006" s="204">
        <f t="shared" si="110"/>
        <v>1520.4925275951846</v>
      </c>
    </row>
    <row r="1007" spans="1:25" x14ac:dyDescent="0.25">
      <c r="A1007" s="105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2">
        <f>SUM('Weekly Data'!J1004:J1007)/4</f>
        <v>1038</v>
      </c>
      <c r="J1007" s="101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1">
        <f>AVERAGE('Weekly Data'!I955,'Weekly Data'!I903,'Weekly Data'!I851,'Weekly Data'!I799)</f>
        <v>7310.75</v>
      </c>
      <c r="P1007" s="203">
        <f>AVERAGE('Weekly Data'!J955,'Weekly Data'!J903,'Weekly Data'!J851,'Weekly Data'!J799)</f>
        <v>1789.8581963649804</v>
      </c>
      <c r="R1007" s="13">
        <f t="shared" si="64"/>
        <v>41339</v>
      </c>
      <c r="S1007" s="106">
        <f t="shared" ref="S1007:Y1007" si="111">AVERAGE(B955,B903,B851,B798)</f>
        <v>812.5</v>
      </c>
      <c r="T1007" s="106">
        <f t="shared" si="111"/>
        <v>1430.8125</v>
      </c>
      <c r="U1007" s="109">
        <f t="shared" si="111"/>
        <v>943.3125</v>
      </c>
      <c r="V1007" s="109">
        <f t="shared" si="111"/>
        <v>3971.1875</v>
      </c>
      <c r="W1007" s="110">
        <f t="shared" si="111"/>
        <v>778.5</v>
      </c>
      <c r="X1007" s="106">
        <f t="shared" si="111"/>
        <v>6993</v>
      </c>
      <c r="Y1007" s="204">
        <f t="shared" si="111"/>
        <v>1634.7994979898697</v>
      </c>
    </row>
    <row r="1008" spans="1:25" x14ac:dyDescent="0.25">
      <c r="A1008" s="105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2">
        <f>SUM('Weekly Data'!J1005:J1008)/4</f>
        <v>1098.5</v>
      </c>
      <c r="J1008" s="101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1">
        <f>AVERAGE('Weekly Data'!I956,'Weekly Data'!I904,'Weekly Data'!I852,'Weekly Data'!I800)</f>
        <v>6203</v>
      </c>
      <c r="P1008" s="203">
        <f>AVERAGE('Weekly Data'!J956,'Weekly Data'!J904,'Weekly Data'!J852,'Weekly Data'!J800)</f>
        <v>2169.0522198102935</v>
      </c>
      <c r="R1008" s="13">
        <f t="shared" si="64"/>
        <v>41346</v>
      </c>
      <c r="S1008" s="106">
        <f t="shared" ref="S1008:Y1008" si="112">AVERAGE(B956,B904,B852,B799)</f>
        <v>752.625</v>
      </c>
      <c r="T1008" s="106">
        <f t="shared" si="112"/>
        <v>1388.9375</v>
      </c>
      <c r="U1008" s="109">
        <f t="shared" si="112"/>
        <v>1036.5625</v>
      </c>
      <c r="V1008" s="109">
        <f t="shared" si="112"/>
        <v>3954.875</v>
      </c>
      <c r="W1008" s="110">
        <f t="shared" si="112"/>
        <v>740.25</v>
      </c>
      <c r="X1008" s="106">
        <f t="shared" si="112"/>
        <v>6836.6875</v>
      </c>
      <c r="Y1008" s="204">
        <f t="shared" si="112"/>
        <v>1834.3952522434327</v>
      </c>
    </row>
    <row r="1009" spans="1:25" x14ac:dyDescent="0.25">
      <c r="A1009" s="105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2">
        <f>SUM('Weekly Data'!J1006:J1009)/4</f>
        <v>1100.75</v>
      </c>
      <c r="J1009" s="101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1">
        <f>AVERAGE('Weekly Data'!I957,'Weekly Data'!I905,'Weekly Data'!I853,'Weekly Data'!I801)</f>
        <v>6990.75</v>
      </c>
      <c r="P1009" s="203">
        <f>AVERAGE('Weekly Data'!J957,'Weekly Data'!J905,'Weekly Data'!J853,'Weekly Data'!J801)</f>
        <v>1669.7198770418859</v>
      </c>
      <c r="R1009" s="13">
        <f t="shared" si="64"/>
        <v>41353</v>
      </c>
      <c r="S1009" s="106">
        <f t="shared" ref="S1009:Y1009" si="113">AVERAGE(B957,B905,B853,B800)</f>
        <v>714.75</v>
      </c>
      <c r="T1009" s="106">
        <f t="shared" si="113"/>
        <v>1421.0625</v>
      </c>
      <c r="U1009" s="109">
        <f t="shared" si="113"/>
        <v>1017</v>
      </c>
      <c r="V1009" s="109">
        <f t="shared" si="113"/>
        <v>3951.125</v>
      </c>
      <c r="W1009" s="110">
        <f t="shared" si="113"/>
        <v>733.125</v>
      </c>
      <c r="X1009" s="106">
        <f t="shared" si="113"/>
        <v>6820.0625</v>
      </c>
      <c r="Y1009" s="204">
        <f t="shared" si="113"/>
        <v>1864.632787120478</v>
      </c>
    </row>
    <row r="1010" spans="1:25" x14ac:dyDescent="0.25">
      <c r="A1010" s="105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2">
        <f>SUM('Weekly Data'!J1007:J1010)/4</f>
        <v>1175.25</v>
      </c>
      <c r="J1010" s="101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1">
        <f>AVERAGE('Weekly Data'!I958,'Weekly Data'!I906,'Weekly Data'!I854,'Weekly Data'!I802)</f>
        <v>6664.75</v>
      </c>
      <c r="P1010" s="203">
        <f>AVERAGE('Weekly Data'!J958,'Weekly Data'!J906,'Weekly Data'!J854,'Weekly Data'!J802)</f>
        <v>1964.7943825309978</v>
      </c>
      <c r="R1010" s="13">
        <f t="shared" si="64"/>
        <v>41360</v>
      </c>
      <c r="S1010" s="106">
        <f t="shared" ref="S1010:Y1010" si="114">AVERAGE(B958,B906,B854,B801)</f>
        <v>621</v>
      </c>
      <c r="T1010" s="106">
        <f t="shared" si="114"/>
        <v>1504.3125</v>
      </c>
      <c r="U1010" s="109">
        <f t="shared" si="114"/>
        <v>1034.5</v>
      </c>
      <c r="V1010" s="109">
        <f t="shared" si="114"/>
        <v>4040</v>
      </c>
      <c r="W1010" s="110">
        <f t="shared" si="114"/>
        <v>688.1875</v>
      </c>
      <c r="X1010" s="106">
        <f t="shared" si="114"/>
        <v>6853.5</v>
      </c>
      <c r="Y1010" s="204">
        <f t="shared" si="114"/>
        <v>1955.6826802413757</v>
      </c>
    </row>
    <row r="1011" spans="1:25" x14ac:dyDescent="0.25">
      <c r="A1011" s="105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2">
        <f>SUM('Weekly Data'!J1008:J1011)/4</f>
        <v>1291.25</v>
      </c>
      <c r="J1011" s="101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1">
        <f>AVERAGE('Weekly Data'!I959,'Weekly Data'!I907,'Weekly Data'!I855,'Weekly Data'!I803)</f>
        <v>6437.25</v>
      </c>
      <c r="P1011" s="203">
        <f>AVERAGE('Weekly Data'!J959,'Weekly Data'!J907,'Weekly Data'!J855,'Weekly Data'!J803)</f>
        <v>2017.1763080253686</v>
      </c>
      <c r="R1011" s="13">
        <f t="shared" si="64"/>
        <v>41367</v>
      </c>
      <c r="S1011" s="106">
        <f t="shared" ref="S1011:Y1011" si="115">AVERAGE(B959,B907,B855,B802)</f>
        <v>532.4375</v>
      </c>
      <c r="T1011" s="106">
        <f t="shared" si="115"/>
        <v>1462.625</v>
      </c>
      <c r="U1011" s="109">
        <f t="shared" si="115"/>
        <v>1092.625</v>
      </c>
      <c r="V1011" s="109">
        <f t="shared" si="115"/>
        <v>4003.25</v>
      </c>
      <c r="W1011" s="110">
        <f t="shared" si="115"/>
        <v>649.6875</v>
      </c>
      <c r="X1011" s="106">
        <f t="shared" si="115"/>
        <v>6648</v>
      </c>
      <c r="Y1011" s="204">
        <f t="shared" si="115"/>
        <v>1972.0371713289605</v>
      </c>
    </row>
    <row r="1012" spans="1:25" x14ac:dyDescent="0.25">
      <c r="A1012" s="105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2">
        <f>SUM('Weekly Data'!J1009:J1012)/4</f>
        <v>1309.75</v>
      </c>
      <c r="J1012" s="101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1">
        <f>AVERAGE('Weekly Data'!I960,'Weekly Data'!I908,'Weekly Data'!I856,'Weekly Data'!I804)</f>
        <v>5690.25</v>
      </c>
      <c r="P1012" s="203">
        <f>AVERAGE('Weekly Data'!J960,'Weekly Data'!J908,'Weekly Data'!J856,'Weekly Data'!J804)</f>
        <v>2349.9177270558316</v>
      </c>
      <c r="R1012" s="13">
        <f t="shared" si="64"/>
        <v>41374</v>
      </c>
      <c r="S1012" s="106">
        <f t="shared" ref="S1012:Y1012" si="116">AVERAGE(B960,B908,B856,B803)</f>
        <v>456.625</v>
      </c>
      <c r="T1012" s="106">
        <f t="shared" si="116"/>
        <v>1407.625</v>
      </c>
      <c r="U1012" s="109">
        <f t="shared" si="116"/>
        <v>1085</v>
      </c>
      <c r="V1012" s="109">
        <f t="shared" si="116"/>
        <v>3945.9375</v>
      </c>
      <c r="W1012" s="110">
        <f t="shared" si="116"/>
        <v>602.1875</v>
      </c>
      <c r="X1012" s="106">
        <f t="shared" si="116"/>
        <v>6412.375</v>
      </c>
      <c r="Y1012" s="204">
        <f t="shared" si="116"/>
        <v>2034.7874810850781</v>
      </c>
    </row>
    <row r="1013" spans="1:25" x14ac:dyDescent="0.25">
      <c r="A1013" s="105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2">
        <f>SUM('Weekly Data'!J1010:J1013)/4</f>
        <v>1370.5</v>
      </c>
      <c r="J1013" s="101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1">
        <f>AVERAGE('Weekly Data'!I961,'Weekly Data'!I909,'Weekly Data'!I857,'Weekly Data'!I805)</f>
        <v>5417</v>
      </c>
      <c r="P1013" s="203">
        <f>AVERAGE('Weekly Data'!J961,'Weekly Data'!J909,'Weekly Data'!J857,'Weekly Data'!J805)</f>
        <v>2009.6220958677657</v>
      </c>
      <c r="R1013" s="13">
        <f t="shared" si="64"/>
        <v>41381</v>
      </c>
      <c r="S1013" s="106">
        <f t="shared" ref="S1013:Y1013" si="117">AVERAGE(B961,B909,B857,B804)</f>
        <v>324.6875</v>
      </c>
      <c r="T1013" s="106">
        <f t="shared" si="117"/>
        <v>1364.875</v>
      </c>
      <c r="U1013" s="109">
        <f t="shared" si="117"/>
        <v>1168.75</v>
      </c>
      <c r="V1013" s="109">
        <f t="shared" si="117"/>
        <v>3914.1875</v>
      </c>
      <c r="W1013" s="110">
        <f t="shared" si="117"/>
        <v>533.5</v>
      </c>
      <c r="X1013" s="106">
        <f t="shared" si="117"/>
        <v>6137.25</v>
      </c>
      <c r="Y1013" s="204">
        <f t="shared" si="117"/>
        <v>2094.8795501154896</v>
      </c>
    </row>
    <row r="1014" spans="1:25" x14ac:dyDescent="0.25">
      <c r="A1014" s="105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2">
        <f>SUM('Weekly Data'!J1011:J1014)/4</f>
        <v>1290.25</v>
      </c>
      <c r="J1014" s="101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1">
        <f>AVERAGE('Weekly Data'!I962,'Weekly Data'!I910,'Weekly Data'!I858,'Weekly Data'!I806)</f>
        <v>5199.5</v>
      </c>
      <c r="P1014" s="203">
        <f>AVERAGE('Weekly Data'!J962,'Weekly Data'!J910,'Weekly Data'!J858,'Weekly Data'!J806)</f>
        <v>2379.9926502733051</v>
      </c>
      <c r="R1014" s="13">
        <f t="shared" si="64"/>
        <v>41388</v>
      </c>
      <c r="S1014" s="106">
        <f t="shared" ref="S1014:Y1014" si="118">AVERAGE(B962,B910,B858,B805)</f>
        <v>286.9375</v>
      </c>
      <c r="T1014" s="106">
        <f t="shared" si="118"/>
        <v>1276.75</v>
      </c>
      <c r="U1014" s="109">
        <f t="shared" si="118"/>
        <v>1133.875</v>
      </c>
      <c r="V1014" s="109">
        <f t="shared" si="118"/>
        <v>3701.5625</v>
      </c>
      <c r="W1014" s="110">
        <f t="shared" si="118"/>
        <v>474</v>
      </c>
      <c r="X1014" s="106">
        <f t="shared" si="118"/>
        <v>5739.25</v>
      </c>
      <c r="Y1014" s="204">
        <f t="shared" si="118"/>
        <v>2142.8750130982194</v>
      </c>
    </row>
    <row r="1015" spans="1:25" x14ac:dyDescent="0.25">
      <c r="A1015" s="105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2">
        <f>SUM('Weekly Data'!J1012:J1015)/4</f>
        <v>1321.5</v>
      </c>
      <c r="J1015" s="101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1">
        <f>AVERAGE('Weekly Data'!I963,'Weekly Data'!I911,'Weekly Data'!I859,'Weekly Data'!I807)</f>
        <v>5405.75</v>
      </c>
      <c r="P1015" s="203">
        <f>AVERAGE('Weekly Data'!J963,'Weekly Data'!J911,'Weekly Data'!J859,'Weekly Data'!J807)</f>
        <v>1919.4541978054681</v>
      </c>
      <c r="R1015" s="13">
        <f t="shared" ref="R1015:R1050" si="119">R1014+7</f>
        <v>41395</v>
      </c>
      <c r="S1015" s="106">
        <f t="shared" ref="S1015:Y1015" si="120">AVERAGE(B963,B911,B859,B806)</f>
        <v>203.625</v>
      </c>
      <c r="T1015" s="106">
        <f t="shared" si="120"/>
        <v>1190.6875</v>
      </c>
      <c r="U1015" s="109">
        <f t="shared" si="120"/>
        <v>1095.75</v>
      </c>
      <c r="V1015" s="109">
        <f t="shared" si="120"/>
        <v>3646.125</v>
      </c>
      <c r="W1015" s="110">
        <f t="shared" si="120"/>
        <v>406.8125</v>
      </c>
      <c r="X1015" s="106">
        <f t="shared" si="120"/>
        <v>5447.25</v>
      </c>
      <c r="Y1015" s="204">
        <f t="shared" si="120"/>
        <v>2190.9425735572449</v>
      </c>
    </row>
    <row r="1016" spans="1:25" x14ac:dyDescent="0.25">
      <c r="A1016" s="105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2">
        <f>SUM('Weekly Data'!J1013:J1016)/4</f>
        <v>1260.25</v>
      </c>
      <c r="J1016" s="101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1">
        <f>AVERAGE('Weekly Data'!I964,'Weekly Data'!I912,'Weekly Data'!I860,'Weekly Data'!I808)</f>
        <v>4791.75</v>
      </c>
      <c r="P1016" s="203">
        <f>AVERAGE('Weekly Data'!J964,'Weekly Data'!J912,'Weekly Data'!J860,'Weekly Data'!J808)</f>
        <v>2061.2643604561722</v>
      </c>
      <c r="R1016" s="13">
        <f t="shared" si="119"/>
        <v>41402</v>
      </c>
      <c r="S1016" s="106">
        <f t="shared" ref="S1016:Y1016" si="121">AVERAGE(B964,B912,B860,B807)</f>
        <v>187.1875</v>
      </c>
      <c r="T1016" s="106">
        <f t="shared" si="121"/>
        <v>1173.3125</v>
      </c>
      <c r="U1016" s="109">
        <f t="shared" si="121"/>
        <v>1078.5</v>
      </c>
      <c r="V1016" s="109">
        <f t="shared" si="121"/>
        <v>3574.8125</v>
      </c>
      <c r="W1016" s="110">
        <f t="shared" si="121"/>
        <v>415.125</v>
      </c>
      <c r="X1016" s="106">
        <f t="shared" si="121"/>
        <v>5350.4375</v>
      </c>
      <c r="Y1016" s="204">
        <f t="shared" si="121"/>
        <v>2072.6870369208764</v>
      </c>
    </row>
    <row r="1017" spans="1:25" x14ac:dyDescent="0.25">
      <c r="A1017" s="105">
        <f t="shared" si="83"/>
        <v>41409</v>
      </c>
      <c r="B1017" s="59">
        <f>SUM('Weekly Data'!D1014:D1017)/4</f>
        <v>70</v>
      </c>
      <c r="C1017" s="90">
        <f>SUM('Weekly Data'!E1014:E1017)/4</f>
        <v>1434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3004.25</v>
      </c>
      <c r="H1017" s="202">
        <f>SUM('Weekly Data'!J1014:J1017)/4</f>
        <v>1241.25</v>
      </c>
      <c r="J1017" s="101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1">
        <f>AVERAGE('Weekly Data'!I965,'Weekly Data'!I913,'Weekly Data'!I861,'Weekly Data'!I809)</f>
        <v>4590.5</v>
      </c>
      <c r="P1017" s="203">
        <f>AVERAGE('Weekly Data'!J965,'Weekly Data'!J913,'Weekly Data'!J861,'Weekly Data'!J809)</f>
        <v>1871.9464466297563</v>
      </c>
      <c r="R1017" s="13">
        <f t="shared" si="119"/>
        <v>41409</v>
      </c>
      <c r="S1017" s="106">
        <f t="shared" ref="S1017:Y1017" si="122">AVERAGE(B965,B913,B861,B808)</f>
        <v>216.375</v>
      </c>
      <c r="T1017" s="106">
        <f t="shared" si="122"/>
        <v>1083.25</v>
      </c>
      <c r="U1017" s="109">
        <f t="shared" si="122"/>
        <v>1068.0625</v>
      </c>
      <c r="V1017" s="109">
        <f t="shared" si="122"/>
        <v>3425.4375</v>
      </c>
      <c r="W1017" s="110">
        <f t="shared" si="122"/>
        <v>355.25</v>
      </c>
      <c r="X1017" s="106">
        <f t="shared" si="122"/>
        <v>5080.3125</v>
      </c>
      <c r="Y1017" s="204">
        <f t="shared" si="122"/>
        <v>2007.609990360703</v>
      </c>
    </row>
    <row r="1018" spans="1:25" x14ac:dyDescent="0.25">
      <c r="A1018" s="105">
        <f t="shared" si="83"/>
        <v>41416</v>
      </c>
      <c r="B1018" s="103"/>
      <c r="R1018" s="13">
        <f t="shared" si="119"/>
        <v>41416</v>
      </c>
    </row>
    <row r="1019" spans="1:25" x14ac:dyDescent="0.25">
      <c r="A1019" s="105">
        <f t="shared" si="83"/>
        <v>41423</v>
      </c>
      <c r="B1019" s="103"/>
      <c r="R1019" s="13">
        <f t="shared" si="119"/>
        <v>41423</v>
      </c>
    </row>
    <row r="1020" spans="1:25" x14ac:dyDescent="0.25">
      <c r="A1020" s="105">
        <f t="shared" si="83"/>
        <v>41430</v>
      </c>
      <c r="B1020" s="103"/>
      <c r="R1020" s="13">
        <f t="shared" si="119"/>
        <v>41430</v>
      </c>
    </row>
    <row r="1021" spans="1:25" x14ac:dyDescent="0.25">
      <c r="A1021" s="105">
        <f t="shared" si="83"/>
        <v>41437</v>
      </c>
      <c r="B1021" s="103"/>
      <c r="R1021" s="13">
        <f t="shared" si="119"/>
        <v>41437</v>
      </c>
    </row>
    <row r="1022" spans="1:25" x14ac:dyDescent="0.25">
      <c r="A1022" s="105">
        <f t="shared" si="83"/>
        <v>41444</v>
      </c>
      <c r="B1022" s="103"/>
      <c r="R1022" s="13">
        <f t="shared" si="119"/>
        <v>41444</v>
      </c>
    </row>
    <row r="1023" spans="1:25" x14ac:dyDescent="0.25">
      <c r="A1023" s="105">
        <f t="shared" si="83"/>
        <v>41451</v>
      </c>
      <c r="B1023" s="103"/>
      <c r="R1023" s="13">
        <f t="shared" si="119"/>
        <v>41451</v>
      </c>
    </row>
    <row r="1024" spans="1:25" x14ac:dyDescent="0.25">
      <c r="A1024" s="105">
        <f t="shared" si="83"/>
        <v>41458</v>
      </c>
      <c r="B1024" s="103"/>
      <c r="R1024" s="13">
        <f t="shared" si="119"/>
        <v>41458</v>
      </c>
    </row>
    <row r="1025" spans="1:18" x14ac:dyDescent="0.25">
      <c r="A1025" s="105">
        <f t="shared" si="83"/>
        <v>41465</v>
      </c>
      <c r="B1025" s="103"/>
      <c r="R1025" s="13">
        <f t="shared" si="119"/>
        <v>41465</v>
      </c>
    </row>
    <row r="1026" spans="1:18" x14ac:dyDescent="0.25">
      <c r="A1026" s="105">
        <f t="shared" si="83"/>
        <v>41472</v>
      </c>
      <c r="B1026" s="103"/>
      <c r="R1026" s="13">
        <f t="shared" si="119"/>
        <v>41472</v>
      </c>
    </row>
    <row r="1027" spans="1:18" x14ac:dyDescent="0.25">
      <c r="A1027" s="105">
        <f t="shared" si="83"/>
        <v>41479</v>
      </c>
      <c r="B1027" s="103"/>
      <c r="R1027" s="13">
        <f t="shared" si="119"/>
        <v>41479</v>
      </c>
    </row>
    <row r="1028" spans="1:18" x14ac:dyDescent="0.25">
      <c r="A1028" s="105">
        <f t="shared" si="83"/>
        <v>41486</v>
      </c>
      <c r="B1028" s="103"/>
      <c r="R1028" s="13">
        <f t="shared" si="119"/>
        <v>41486</v>
      </c>
    </row>
    <row r="1029" spans="1:18" x14ac:dyDescent="0.25">
      <c r="A1029" s="105">
        <f t="shared" si="83"/>
        <v>41493</v>
      </c>
      <c r="B1029" s="103"/>
      <c r="R1029" s="13">
        <f t="shared" si="119"/>
        <v>41493</v>
      </c>
    </row>
    <row r="1030" spans="1:18" x14ac:dyDescent="0.25">
      <c r="A1030" s="105">
        <f t="shared" si="83"/>
        <v>41500</v>
      </c>
      <c r="B1030" s="103"/>
      <c r="R1030" s="13">
        <f t="shared" si="119"/>
        <v>41500</v>
      </c>
    </row>
    <row r="1031" spans="1:18" x14ac:dyDescent="0.25">
      <c r="A1031" s="105">
        <f t="shared" si="83"/>
        <v>41507</v>
      </c>
      <c r="B1031" s="103"/>
      <c r="R1031" s="13">
        <f t="shared" si="119"/>
        <v>41507</v>
      </c>
    </row>
    <row r="1032" spans="1:18" x14ac:dyDescent="0.25">
      <c r="A1032" s="105">
        <f t="shared" si="83"/>
        <v>41514</v>
      </c>
      <c r="B1032" s="103"/>
      <c r="R1032" s="13">
        <f t="shared" si="119"/>
        <v>41514</v>
      </c>
    </row>
    <row r="1033" spans="1:18" x14ac:dyDescent="0.25">
      <c r="A1033" s="105">
        <f t="shared" si="83"/>
        <v>41521</v>
      </c>
      <c r="B1033" s="103"/>
      <c r="R1033" s="13">
        <f t="shared" si="119"/>
        <v>41521</v>
      </c>
    </row>
    <row r="1034" spans="1:18" x14ac:dyDescent="0.25">
      <c r="A1034" s="105">
        <f t="shared" si="83"/>
        <v>41528</v>
      </c>
      <c r="B1034" s="103"/>
      <c r="R1034" s="13">
        <f t="shared" si="119"/>
        <v>41528</v>
      </c>
    </row>
    <row r="1035" spans="1:18" x14ac:dyDescent="0.25">
      <c r="A1035" s="105">
        <f t="shared" si="83"/>
        <v>41535</v>
      </c>
      <c r="B1035" s="103"/>
      <c r="R1035" s="13">
        <f t="shared" si="119"/>
        <v>41535</v>
      </c>
    </row>
    <row r="1036" spans="1:18" x14ac:dyDescent="0.25">
      <c r="A1036" s="105">
        <f t="shared" si="83"/>
        <v>41542</v>
      </c>
      <c r="B1036" s="103"/>
      <c r="R1036" s="13">
        <f t="shared" si="119"/>
        <v>41542</v>
      </c>
    </row>
    <row r="1037" spans="1:18" x14ac:dyDescent="0.25">
      <c r="A1037" s="105">
        <f t="shared" ref="A1037:A1050" si="123">A1036+7</f>
        <v>41549</v>
      </c>
      <c r="B1037" s="103"/>
      <c r="R1037" s="13">
        <f t="shared" si="119"/>
        <v>41549</v>
      </c>
    </row>
    <row r="1038" spans="1:18" x14ac:dyDescent="0.25">
      <c r="A1038" s="105">
        <f t="shared" si="123"/>
        <v>41556</v>
      </c>
      <c r="B1038" s="103"/>
      <c r="R1038" s="13">
        <f t="shared" si="119"/>
        <v>41556</v>
      </c>
    </row>
    <row r="1039" spans="1:18" x14ac:dyDescent="0.25">
      <c r="A1039" s="105">
        <f t="shared" si="123"/>
        <v>41563</v>
      </c>
      <c r="B1039" s="103"/>
      <c r="R1039" s="13">
        <f t="shared" si="119"/>
        <v>41563</v>
      </c>
    </row>
    <row r="1040" spans="1:18" x14ac:dyDescent="0.25">
      <c r="A1040" s="105">
        <f t="shared" si="123"/>
        <v>41570</v>
      </c>
      <c r="B1040" s="103"/>
      <c r="R1040" s="13">
        <f t="shared" si="119"/>
        <v>41570</v>
      </c>
    </row>
    <row r="1041" spans="1:18" x14ac:dyDescent="0.25">
      <c r="A1041" s="105">
        <f t="shared" si="123"/>
        <v>41577</v>
      </c>
      <c r="B1041" s="103"/>
      <c r="R1041" s="13">
        <f t="shared" si="119"/>
        <v>41577</v>
      </c>
    </row>
    <row r="1042" spans="1:18" x14ac:dyDescent="0.25">
      <c r="A1042" s="105">
        <f t="shared" si="123"/>
        <v>41584</v>
      </c>
      <c r="B1042" s="103"/>
      <c r="R1042" s="13">
        <f t="shared" si="119"/>
        <v>41584</v>
      </c>
    </row>
    <row r="1043" spans="1:18" x14ac:dyDescent="0.25">
      <c r="A1043" s="105">
        <f t="shared" si="123"/>
        <v>41591</v>
      </c>
      <c r="B1043" s="103"/>
      <c r="R1043" s="13">
        <f t="shared" si="119"/>
        <v>41591</v>
      </c>
    </row>
    <row r="1044" spans="1:18" x14ac:dyDescent="0.25">
      <c r="A1044" s="105">
        <f t="shared" si="123"/>
        <v>41598</v>
      </c>
      <c r="B1044" s="103"/>
      <c r="R1044" s="13">
        <f t="shared" si="119"/>
        <v>41598</v>
      </c>
    </row>
    <row r="1045" spans="1:18" x14ac:dyDescent="0.25">
      <c r="A1045" s="105">
        <f t="shared" si="123"/>
        <v>41605</v>
      </c>
      <c r="B1045" s="103"/>
      <c r="R1045" s="13">
        <f t="shared" si="119"/>
        <v>41605</v>
      </c>
    </row>
    <row r="1046" spans="1:18" x14ac:dyDescent="0.25">
      <c r="A1046" s="105">
        <f t="shared" si="123"/>
        <v>41612</v>
      </c>
      <c r="B1046" s="103"/>
      <c r="R1046" s="13">
        <f t="shared" si="119"/>
        <v>41612</v>
      </c>
    </row>
    <row r="1047" spans="1:18" x14ac:dyDescent="0.25">
      <c r="A1047" s="105">
        <f t="shared" si="123"/>
        <v>41619</v>
      </c>
      <c r="B1047" s="103"/>
      <c r="R1047" s="13">
        <f t="shared" si="119"/>
        <v>41619</v>
      </c>
    </row>
    <row r="1048" spans="1:18" x14ac:dyDescent="0.25">
      <c r="A1048" s="105">
        <f t="shared" si="123"/>
        <v>41626</v>
      </c>
      <c r="B1048" s="103"/>
      <c r="R1048" s="13">
        <f t="shared" si="119"/>
        <v>41626</v>
      </c>
    </row>
    <row r="1049" spans="1:18" x14ac:dyDescent="0.25">
      <c r="A1049" s="105">
        <f t="shared" si="123"/>
        <v>41633</v>
      </c>
      <c r="B1049" s="103"/>
      <c r="R1049" s="13">
        <f t="shared" si="119"/>
        <v>41633</v>
      </c>
    </row>
    <row r="1050" spans="1:18" x14ac:dyDescent="0.25">
      <c r="A1050" s="105">
        <f t="shared" si="123"/>
        <v>41640</v>
      </c>
      <c r="B1050" s="103"/>
      <c r="R1050" s="13">
        <f t="shared" si="119"/>
        <v>41640</v>
      </c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2"/>
  <sheetViews>
    <sheetView topLeftCell="C1" workbookViewId="0">
      <selection activeCell="F23" sqref="F23"/>
    </sheetView>
  </sheetViews>
  <sheetFormatPr defaultRowHeight="15" x14ac:dyDescent="0.25"/>
  <cols>
    <col min="1" max="1" width="15.1796875" customWidth="1"/>
    <col min="2" max="2" width="10.54296875" customWidth="1"/>
    <col min="6" max="6" width="10.81640625" customWidth="1"/>
    <col min="7" max="7" width="9.453125" customWidth="1"/>
    <col min="12" max="12" width="15.90625" customWidth="1"/>
    <col min="13" max="13" width="7.36328125" customWidth="1"/>
    <col min="14" max="14" width="7.453125" customWidth="1"/>
    <col min="15" max="15" width="10.90625" customWidth="1"/>
    <col min="16" max="16" width="7.08984375" customWidth="1"/>
    <col min="17" max="17" width="6.90625" customWidth="1"/>
    <col min="18" max="18" width="7.453125" customWidth="1"/>
    <col min="19" max="19" width="7.36328125" customWidth="1"/>
  </cols>
  <sheetData>
    <row r="2" spans="1:20" ht="15.6" thickBot="1" x14ac:dyDescent="0.3">
      <c r="A2" s="13"/>
      <c r="B2" s="39"/>
      <c r="C2" s="39"/>
      <c r="D2" s="253" t="s">
        <v>39</v>
      </c>
      <c r="E2" s="253"/>
      <c r="F2" s="253"/>
      <c r="G2" s="253"/>
      <c r="H2" s="253"/>
      <c r="I2" s="253"/>
      <c r="J2" s="253"/>
      <c r="L2" s="86"/>
      <c r="M2" s="253" t="s">
        <v>38</v>
      </c>
      <c r="N2" s="253"/>
      <c r="O2" s="253"/>
      <c r="P2" s="253"/>
      <c r="Q2" s="253"/>
      <c r="R2" s="253"/>
      <c r="S2" s="253"/>
      <c r="T2" s="201"/>
    </row>
    <row r="3" spans="1:20" x14ac:dyDescent="0.25">
      <c r="A3" s="39"/>
      <c r="B3" s="39"/>
      <c r="C3" s="39"/>
      <c r="D3" s="47" t="s">
        <v>31</v>
      </c>
      <c r="E3" s="47" t="s">
        <v>32</v>
      </c>
      <c r="F3" s="232" t="s">
        <v>66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232" t="s">
        <v>66</v>
      </c>
      <c r="P3" s="67" t="s">
        <v>20</v>
      </c>
      <c r="Q3" s="67" t="s">
        <v>24</v>
      </c>
      <c r="R3" s="67" t="s">
        <v>33</v>
      </c>
      <c r="S3" s="67" t="s">
        <v>7</v>
      </c>
      <c r="T3" s="231"/>
    </row>
    <row r="4" spans="1:20" x14ac:dyDescent="0.25">
      <c r="A4" s="99" t="s">
        <v>28</v>
      </c>
      <c r="B4" s="99"/>
      <c r="C4" s="39"/>
      <c r="D4" s="85">
        <f>('Weekly Data'!D1017/'Weekly Data'!D1016)*100</f>
        <v>4066.6666666666665</v>
      </c>
      <c r="E4" s="85">
        <f>('Weekly Data'!E1017/'Weekly Data'!E1016)*100</f>
        <v>59.580663948747812</v>
      </c>
      <c r="F4" s="85">
        <f>('Weekly Data'!J1017/'Weekly Data'!J1016)*100</f>
        <v>99.24178601516428</v>
      </c>
      <c r="G4" s="187" t="s">
        <v>34</v>
      </c>
      <c r="H4" s="85">
        <f>('Weekly Data'!G1017/'Weekly Data'!G1016)*100</f>
        <v>82.640144665461122</v>
      </c>
      <c r="I4" s="85">
        <f>('Weekly Data'!H1017/'Weekly Data'!H1016)*100</f>
        <v>216.36363636363635</v>
      </c>
      <c r="J4" s="85">
        <f>('Weekly Data'!I1017/'Weekly Data'!I1016)*100</f>
        <v>78.235694822888277</v>
      </c>
      <c r="L4" s="39" t="s">
        <v>28</v>
      </c>
      <c r="M4" s="85">
        <f>('Weekly Averages'!B1017/'Weekly Averages'!B1016)*100</f>
        <v>176.10062893081761</v>
      </c>
      <c r="N4" s="85">
        <f>('Weekly Averages'!C1017/'Weekly Averages'!C1016)*100</f>
        <v>89.681050656660403</v>
      </c>
      <c r="O4" s="85">
        <f>('Weekly Averages'!H1017/'Weekly Averages'!H1016)*100</f>
        <v>98.492362626463006</v>
      </c>
      <c r="P4" s="187" t="s">
        <v>34</v>
      </c>
      <c r="Q4" s="85">
        <f>('Weekly Averages'!E1017/'Weekly Averages'!E1016)*100</f>
        <v>92.126680820948337</v>
      </c>
      <c r="R4" s="85">
        <f>('Weekly Averages'!F1017/'Weekly Averages'!F1016)*100</f>
        <v>135.72649572649573</v>
      </c>
      <c r="S4" s="85">
        <f>('Weekly Averages'!G1017/'Weekly Averages'!G1016)*100</f>
        <v>93.941525953721069</v>
      </c>
      <c r="T4" s="172"/>
    </row>
    <row r="5" spans="1:20" x14ac:dyDescent="0.25">
      <c r="A5" s="97" t="s">
        <v>29</v>
      </c>
      <c r="B5" s="39"/>
      <c r="C5" s="39"/>
      <c r="D5" s="85" t="e">
        <f>('Weekly Data'!D1017/'Weekly Data'!D965)*100</f>
        <v>#DIV/0!</v>
      </c>
      <c r="E5" s="85">
        <f>('Weekly Data'!E1017/'Weekly Data'!E965)*100</f>
        <v>250.12224938875306</v>
      </c>
      <c r="F5" s="85">
        <f>('Weekly Data'!J1017/'Weekly Data'!J965)*100</f>
        <v>47.657577473905661</v>
      </c>
      <c r="G5" s="187" t="s">
        <v>34</v>
      </c>
      <c r="H5" s="85">
        <f>('Weekly Data'!G1017/'Weekly Data'!G965)*100</f>
        <v>26.249282021826538</v>
      </c>
      <c r="I5" s="85">
        <f>('Weekly Data'!H1017/'Weekly Data'!H965)*100</f>
        <v>70.414201183431956</v>
      </c>
      <c r="J5" s="85">
        <f>('Weekly Data'!I1017/'Weekly Data'!I965)*100</f>
        <v>54.315441002601084</v>
      </c>
      <c r="L5" s="39" t="s">
        <v>29</v>
      </c>
      <c r="M5" s="172">
        <f>('Weekly Averages'!B1017/'Weekly Averages'!B965)*100</f>
        <v>288.65979381443299</v>
      </c>
      <c r="N5" s="172">
        <f>('Weekly Averages'!C1017/'Weekly Averages'!C965)*100</f>
        <v>344.09118176364728</v>
      </c>
      <c r="O5" s="172">
        <f>('Weekly Averages'!H1017/'Weekly Averages'!H965)*100</f>
        <v>51.287878396595275</v>
      </c>
      <c r="P5" s="187" t="s">
        <v>34</v>
      </c>
      <c r="Q5" s="172">
        <f>('Weekly Averages'!E1017/'Weekly Averages'!E965)*100</f>
        <v>36.311018131101811</v>
      </c>
      <c r="R5" s="172">
        <f>('Weekly Averages'!F1017/'Weekly Averages'!F965)*100</f>
        <v>58.511422254974207</v>
      </c>
      <c r="S5" s="172">
        <f>('Weekly Averages'!G1017/'Weekly Averages'!G965)*100</f>
        <v>68.821946051199816</v>
      </c>
      <c r="T5" s="172"/>
    </row>
    <row r="6" spans="1:20" x14ac:dyDescent="0.25">
      <c r="A6" s="97" t="s">
        <v>30</v>
      </c>
      <c r="B6" s="39"/>
      <c r="C6" s="39"/>
      <c r="D6" s="85">
        <f>('Weekly Data'!D1017/'Weekly Averages'!J1017)*100</f>
        <v>55.016910935738437</v>
      </c>
      <c r="E6" s="85">
        <f>('Weekly Data'!E1017/'Weekly Averages'!K1017)*100</f>
        <v>114.62184873949579</v>
      </c>
      <c r="F6" s="85">
        <f>('Weekly Data'!J1017/'Weekly Averages'!P1017)*100</f>
        <v>62.929150677406696</v>
      </c>
      <c r="G6" s="187" t="s">
        <v>34</v>
      </c>
      <c r="H6" s="85">
        <f>('Weekly Data'!G1017/'Weekly Averages'!M1017)*100</f>
        <v>28.587067010712332</v>
      </c>
      <c r="I6" s="85">
        <f>('Weekly Data'!H1017/'Weekly Averages'!N1017)*100</f>
        <v>85.304659498207883</v>
      </c>
      <c r="J6" s="85">
        <f>('Weekly Data'!I1017/'Weekly Averages'!O1017)*100</f>
        <v>50.038122208909705</v>
      </c>
      <c r="L6" s="39" t="s">
        <v>30</v>
      </c>
      <c r="M6" s="172">
        <f>('Weekly Averages'!B1017/'Weekly Averages'!S1017)*100</f>
        <v>32.351242056614673</v>
      </c>
      <c r="N6" s="172">
        <f>('Weekly Averages'!C1017/'Weekly Averages'!T1017)*100</f>
        <v>132.37941380106162</v>
      </c>
      <c r="O6" s="172">
        <f>('Weekly Averages'!H1017/'Weekly Averages'!Y1017)*100</f>
        <v>61.827247620788505</v>
      </c>
      <c r="P6" s="187" t="s">
        <v>34</v>
      </c>
      <c r="Q6" s="172">
        <f>('Weekly Averages'!E1017/'Weekly Averages'!V1017)*100</f>
        <v>38.002444943164193</v>
      </c>
      <c r="R6" s="172">
        <f>('Weekly Averages'!F1017/'Weekly Averages'!W1017)*100</f>
        <v>55.876143560872627</v>
      </c>
      <c r="S6" s="172">
        <f>('Weekly Averages'!G1017/'Weekly Averages'!X1017)*100</f>
        <v>59.135141785077195</v>
      </c>
      <c r="T6" s="172"/>
    </row>
    <row r="7" spans="1:20" x14ac:dyDescent="0.25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5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5">
      <c r="A10" s="39" t="s">
        <v>74</v>
      </c>
      <c r="B10" s="39"/>
      <c r="C10" s="39"/>
      <c r="D10" s="100">
        <f>SUM('Weekly Data'!D998:D1010)</f>
        <v>7582</v>
      </c>
      <c r="E10" s="100">
        <f>SUM('Weekly Data'!E998:E1010)</f>
        <v>11498</v>
      </c>
      <c r="F10" s="100">
        <f>SUM('Weekly Data'!J998:J1010)</f>
        <v>14431</v>
      </c>
      <c r="G10" s="187" t="s">
        <v>34</v>
      </c>
      <c r="H10" s="100">
        <f>SUM('Weekly Data'!G998:G1010)</f>
        <v>53722</v>
      </c>
      <c r="I10" s="100">
        <f>SUM('Weekly Data'!H998:H1010)</f>
        <v>7865</v>
      </c>
      <c r="J10" s="100">
        <f>SUM('Weekly Data'!I998:I1010)</f>
        <v>80667</v>
      </c>
    </row>
    <row r="11" spans="1:20" x14ac:dyDescent="0.25">
      <c r="A11" s="39" t="s">
        <v>73</v>
      </c>
      <c r="B11" s="39"/>
      <c r="C11" s="39"/>
      <c r="D11" s="100">
        <f>SUM('Weekly Data'!D946:D958)</f>
        <v>3182</v>
      </c>
      <c r="E11" s="100">
        <f>SUM('Weekly Data'!E946:E958)</f>
        <v>9240</v>
      </c>
      <c r="F11" s="100">
        <f>SUM('Weekly Data'!J946:J958)</f>
        <v>26702.940295372249</v>
      </c>
      <c r="G11" s="187" t="s">
        <v>34</v>
      </c>
      <c r="H11" s="100">
        <f>SUM('Weekly Data'!G946:G958)</f>
        <v>59953</v>
      </c>
      <c r="I11" s="100">
        <f>SUM('Weekly Data'!H946:H958)</f>
        <v>6648</v>
      </c>
      <c r="J11" s="100">
        <f>SUM('Weekly Data'!I946:I958)</f>
        <v>79023</v>
      </c>
    </row>
    <row r="12" spans="1:20" x14ac:dyDescent="0.25">
      <c r="A12" s="39" t="s">
        <v>42</v>
      </c>
      <c r="B12" s="39"/>
      <c r="C12" s="39"/>
      <c r="D12" s="40">
        <f t="shared" ref="D12:J12" si="0">(D10/D11)-1</f>
        <v>1.3827781269641735</v>
      </c>
      <c r="E12" s="40">
        <f t="shared" si="0"/>
        <v>0.24437229437229435</v>
      </c>
      <c r="F12" s="40">
        <f t="shared" si="0"/>
        <v>-0.4595726223265022</v>
      </c>
      <c r="G12" s="187" t="s">
        <v>34</v>
      </c>
      <c r="H12" s="40">
        <f t="shared" si="0"/>
        <v>-0.10393141294013641</v>
      </c>
      <c r="I12" s="40">
        <f t="shared" si="0"/>
        <v>0.18306257521058966</v>
      </c>
      <c r="J12" s="40">
        <f t="shared" si="0"/>
        <v>2.0804069701226169E-2</v>
      </c>
      <c r="L12" s="146"/>
    </row>
  </sheetData>
  <mergeCells count="2">
    <mergeCell ref="D2:J2"/>
    <mergeCell ref="M2:S2"/>
  </mergeCells>
  <pageMargins left="0.7" right="0.7" top="0.75" bottom="0.75" header="0.3" footer="0.3"/>
  <pageSetup scale="69" orientation="landscape" r:id="rId1"/>
  <ignoredErrors>
    <ignoredError sqref="H12:J12 K11 D12:E12 D10:D11 E10:E11 F10:F11 H10:H1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50" zoomScaleNormal="150" workbookViewId="0">
      <selection sqref="A1:H21"/>
    </sheetView>
  </sheetViews>
  <sheetFormatPr defaultRowHeight="15" x14ac:dyDescent="0.25"/>
  <cols>
    <col min="1" max="1" width="21.26953125" customWidth="1"/>
    <col min="2" max="2" width="8.81640625" customWidth="1"/>
    <col min="3" max="3" width="7.453125" customWidth="1"/>
    <col min="4" max="4" width="8.1796875" customWidth="1"/>
    <col min="5" max="5" width="7.36328125" customWidth="1"/>
    <col min="6" max="6" width="8.36328125" customWidth="1"/>
    <col min="7" max="8" width="10.7265625" customWidth="1"/>
    <col min="9" max="9" width="9.1796875" customWidth="1"/>
    <col min="10" max="10" width="9" customWidth="1"/>
  </cols>
  <sheetData>
    <row r="1" spans="1:12" x14ac:dyDescent="0.25">
      <c r="A1" s="24" t="s">
        <v>55</v>
      </c>
      <c r="B1" s="42"/>
      <c r="C1" s="42"/>
      <c r="D1" s="42"/>
      <c r="E1" s="42"/>
      <c r="F1" s="42"/>
      <c r="G1" s="42"/>
      <c r="H1" s="42"/>
      <c r="I1" s="206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6"/>
    </row>
    <row r="3" spans="1:12" x14ac:dyDescent="0.25">
      <c r="A3" s="73"/>
      <c r="B3" s="89" t="s">
        <v>1</v>
      </c>
      <c r="C3" s="74"/>
      <c r="D3" s="75" t="s">
        <v>5</v>
      </c>
      <c r="E3" s="76" t="s">
        <v>2</v>
      </c>
      <c r="F3" s="198"/>
      <c r="G3" s="209"/>
      <c r="H3" s="193" t="s">
        <v>19</v>
      </c>
      <c r="I3" s="206"/>
    </row>
    <row r="4" spans="1:12" x14ac:dyDescent="0.25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9" t="s">
        <v>7</v>
      </c>
      <c r="G4" s="210" t="s">
        <v>15</v>
      </c>
      <c r="H4" s="79" t="s">
        <v>60</v>
      </c>
      <c r="I4" s="206"/>
    </row>
    <row r="5" spans="1:12" ht="6" customHeight="1" x14ac:dyDescent="0.25">
      <c r="A5" s="24"/>
      <c r="B5" s="28"/>
      <c r="C5" s="23"/>
      <c r="D5" s="24"/>
      <c r="E5" s="24"/>
      <c r="F5" s="194"/>
      <c r="G5" s="23"/>
      <c r="H5" s="42"/>
      <c r="I5" s="206"/>
    </row>
    <row r="6" spans="1:12" ht="12.6" customHeight="1" x14ac:dyDescent="0.25">
      <c r="A6" s="25" t="s">
        <v>78</v>
      </c>
      <c r="B6" s="167">
        <f>'Weekly Data'!D1017</f>
        <v>122</v>
      </c>
      <c r="C6" s="167">
        <f>'Weekly Data'!E1017</f>
        <v>1023</v>
      </c>
      <c r="D6" s="174">
        <f>'Weekly Data'!G1017</f>
        <v>914</v>
      </c>
      <c r="E6" s="174">
        <f>'Weekly Data'!H1017</f>
        <v>238</v>
      </c>
      <c r="F6" s="174">
        <f>'Weekly Data'!I1017</f>
        <v>2297</v>
      </c>
      <c r="G6" s="233">
        <v>41405</v>
      </c>
      <c r="H6" s="239">
        <f>'Weekly Data'!J1017</f>
        <v>1178</v>
      </c>
      <c r="I6" s="206"/>
    </row>
    <row r="7" spans="1:12" ht="12.6" customHeight="1" x14ac:dyDescent="0.25">
      <c r="A7" s="25" t="s">
        <v>79</v>
      </c>
      <c r="B7" s="167">
        <f>'Weekly Data'!D1016</f>
        <v>3</v>
      </c>
      <c r="C7" s="167">
        <f>'Weekly Data'!E1016</f>
        <v>1717</v>
      </c>
      <c r="D7" s="174">
        <f>'Weekly Data'!G1016</f>
        <v>1106</v>
      </c>
      <c r="E7" s="174">
        <f>'Weekly Data'!H1016</f>
        <v>110</v>
      </c>
      <c r="F7" s="174">
        <f>'Weekly Data'!I1016</f>
        <v>2936</v>
      </c>
      <c r="G7" s="233">
        <v>41398</v>
      </c>
      <c r="H7" s="167">
        <f>'Weekly Data'!J1016</f>
        <v>1187</v>
      </c>
      <c r="I7" s="206"/>
    </row>
    <row r="8" spans="1:12" ht="12.6" customHeight="1" x14ac:dyDescent="0.25">
      <c r="A8" s="25" t="s">
        <v>67</v>
      </c>
      <c r="B8" s="174">
        <f>SUM('Weekly Data'!D998:D1049)</f>
        <v>8170</v>
      </c>
      <c r="C8" s="174">
        <f>SUM('Weekly Data'!E998:E1049)</f>
        <v>21857</v>
      </c>
      <c r="D8" s="174">
        <f>SUM('Weekly Data'!G998:G1049)</f>
        <v>64769</v>
      </c>
      <c r="E8" s="174">
        <f>SUM('Weekly Data'!H998:H1049)</f>
        <v>8926</v>
      </c>
      <c r="F8" s="174">
        <f>SUM('Weekly Data'!I998:I1049)</f>
        <v>103722</v>
      </c>
      <c r="G8" s="228" t="s">
        <v>71</v>
      </c>
      <c r="H8" s="200">
        <f>SUM('Weekly Data'!J998:J1049)</f>
        <v>23385</v>
      </c>
      <c r="I8" s="206"/>
    </row>
    <row r="9" spans="1:12" ht="12.6" customHeight="1" x14ac:dyDescent="0.25">
      <c r="A9" s="25" t="s">
        <v>58</v>
      </c>
      <c r="B9" s="167">
        <f>SUM('Weekly Data'!D946:D965)</f>
        <v>3585</v>
      </c>
      <c r="C9" s="167">
        <f>SUM('Weekly Data'!E946:E965)</f>
        <v>12893</v>
      </c>
      <c r="D9" s="167">
        <f>SUM('Weekly Data'!G946:G965)</f>
        <v>86463</v>
      </c>
      <c r="E9" s="167">
        <f>SUM('Weekly Data'!H946:H965)</f>
        <v>9128</v>
      </c>
      <c r="F9" s="167">
        <f>SUM('Weekly Data'!I946:I965)</f>
        <v>112069</v>
      </c>
      <c r="G9" s="228" t="s">
        <v>61</v>
      </c>
      <c r="H9" s="224">
        <f>SUM('Weekly Data'!J946:J965)</f>
        <v>44331.940295372253</v>
      </c>
      <c r="I9" s="206"/>
    </row>
    <row r="10" spans="1:12" ht="12.75" customHeight="1" x14ac:dyDescent="0.25">
      <c r="A10" s="25" t="s">
        <v>68</v>
      </c>
      <c r="B10" s="174">
        <f t="shared" ref="B10:H10" si="0">B8/B9*100</f>
        <v>227.89400278940028</v>
      </c>
      <c r="C10" s="176">
        <f t="shared" si="0"/>
        <v>169.52609943380128</v>
      </c>
      <c r="D10" s="176">
        <f t="shared" si="0"/>
        <v>74.909498860784382</v>
      </c>
      <c r="E10" s="176">
        <f t="shared" si="0"/>
        <v>97.787028921998242</v>
      </c>
      <c r="F10" s="196">
        <f t="shared" si="0"/>
        <v>92.551909984027702</v>
      </c>
      <c r="G10" s="23" t="s">
        <v>63</v>
      </c>
      <c r="H10" s="200">
        <f t="shared" si="0"/>
        <v>52.749777799464205</v>
      </c>
      <c r="I10" s="207"/>
    </row>
    <row r="11" spans="1:12" ht="13.5" customHeight="1" x14ac:dyDescent="0.25">
      <c r="A11" s="87" t="s">
        <v>69</v>
      </c>
      <c r="B11" s="167">
        <f>'Weekly Changes'!M5</f>
        <v>288.65979381443299</v>
      </c>
      <c r="C11" s="29">
        <f>'Weekly Changes'!N5</f>
        <v>344.09118176364728</v>
      </c>
      <c r="D11" s="29">
        <f>'Weekly Changes'!Q5</f>
        <v>36.311018131101811</v>
      </c>
      <c r="E11" s="29">
        <f>'Weekly Changes'!R5</f>
        <v>58.511422254974207</v>
      </c>
      <c r="F11" s="196">
        <f>'Weekly Changes'!S5</f>
        <v>68.821946051199816</v>
      </c>
      <c r="G11" s="37" t="s">
        <v>72</v>
      </c>
      <c r="H11" s="200">
        <f>'Weekly Changes'!O5</f>
        <v>51.287878396595275</v>
      </c>
      <c r="I11" s="206"/>
    </row>
    <row r="12" spans="1:12" ht="13.5" customHeight="1" x14ac:dyDescent="0.25">
      <c r="A12" s="87" t="s">
        <v>47</v>
      </c>
      <c r="B12" s="167">
        <f>'Weekly Changes'!M6</f>
        <v>32.351242056614673</v>
      </c>
      <c r="C12" s="88">
        <f>'Weekly Changes'!N6</f>
        <v>132.37941380106162</v>
      </c>
      <c r="D12" s="88">
        <f>'Weekly Changes'!Q6</f>
        <v>38.002444943164193</v>
      </c>
      <c r="E12" s="88">
        <f>'Weekly Changes'!R6</f>
        <v>55.876143560872627</v>
      </c>
      <c r="F12" s="197">
        <f>'Weekly Changes'!S6</f>
        <v>59.135141785077195</v>
      </c>
      <c r="G12" s="37" t="s">
        <v>62</v>
      </c>
      <c r="H12" s="205">
        <f>'Weekly Changes'!O6</f>
        <v>61.827247620788505</v>
      </c>
      <c r="I12" s="206"/>
    </row>
    <row r="13" spans="1:12" ht="12.75" customHeight="1" x14ac:dyDescent="0.25">
      <c r="A13" s="27" t="s">
        <v>70</v>
      </c>
      <c r="B13" s="167">
        <f>SUM('Weekly Data'!D946:D997)</f>
        <v>22604</v>
      </c>
      <c r="C13" s="167">
        <f>SUM('Weekly Data'!E946:E997)</f>
        <v>40780</v>
      </c>
      <c r="D13" s="174">
        <f>SUM('Weekly Data'!G946:G997)</f>
        <v>199419</v>
      </c>
      <c r="E13" s="174">
        <f>SUM('Weekly Data'!H946:H9997)</f>
        <v>33585</v>
      </c>
      <c r="F13" s="195">
        <f>SUM('Weekly Data'!I946:I997)</f>
        <v>287462</v>
      </c>
      <c r="G13" s="27" t="s">
        <v>56</v>
      </c>
      <c r="H13" s="243">
        <v>97118</v>
      </c>
      <c r="I13" s="213"/>
      <c r="J13" s="214"/>
      <c r="K13" s="215"/>
      <c r="L13" s="214"/>
    </row>
    <row r="14" spans="1:12" ht="12.6" customHeight="1" x14ac:dyDescent="0.25">
      <c r="A14" s="102" t="s">
        <v>56</v>
      </c>
      <c r="B14" s="211">
        <f>SUM('Weekly Data'!D894:D945)</f>
        <v>27358</v>
      </c>
      <c r="C14" s="211">
        <f>SUM('Weekly Data'!E894:E945)</f>
        <v>77515</v>
      </c>
      <c r="D14" s="211">
        <f>SUM('Weekly Data'!G894:G945)</f>
        <v>191187</v>
      </c>
      <c r="E14" s="211">
        <f>SUM('Weekly Data'!H894:H945)</f>
        <v>24088</v>
      </c>
      <c r="F14" s="212">
        <f>SUM('Weekly Data'!I894:I945)</f>
        <v>320148</v>
      </c>
      <c r="G14" s="102" t="s">
        <v>53</v>
      </c>
      <c r="H14" s="244">
        <v>90175</v>
      </c>
      <c r="I14" s="206"/>
      <c r="K14" s="215"/>
    </row>
    <row r="15" spans="1:12" ht="12" customHeight="1" x14ac:dyDescent="0.25">
      <c r="A15" s="72" t="s">
        <v>45</v>
      </c>
      <c r="B15" s="37"/>
      <c r="C15" s="37"/>
      <c r="D15" s="37"/>
      <c r="E15" s="37"/>
      <c r="F15" s="37"/>
      <c r="G15" s="23"/>
      <c r="H15" s="42"/>
      <c r="I15" s="206"/>
    </row>
    <row r="16" spans="1:12" ht="12" customHeight="1" x14ac:dyDescent="0.25">
      <c r="A16" s="91" t="s">
        <v>57</v>
      </c>
      <c r="B16" s="33"/>
      <c r="C16" s="33"/>
      <c r="D16" s="33"/>
      <c r="E16" s="33"/>
      <c r="F16" s="21"/>
      <c r="G16" s="35"/>
      <c r="H16" s="42"/>
      <c r="I16" s="206"/>
    </row>
    <row r="17" spans="1:9" ht="12" customHeight="1" x14ac:dyDescent="0.25">
      <c r="A17" s="91" t="s">
        <v>75</v>
      </c>
      <c r="B17" s="33"/>
      <c r="C17" s="33"/>
      <c r="D17" s="33"/>
      <c r="E17" s="33"/>
      <c r="F17" s="21"/>
      <c r="G17" s="35"/>
      <c r="H17" s="42"/>
      <c r="I17" s="206"/>
    </row>
    <row r="18" spans="1:9" ht="12" customHeight="1" x14ac:dyDescent="0.25">
      <c r="A18" s="91" t="s">
        <v>76</v>
      </c>
      <c r="B18" s="33"/>
      <c r="C18" s="33"/>
      <c r="D18" s="33"/>
      <c r="E18" s="33"/>
      <c r="F18" s="21"/>
      <c r="G18" s="35"/>
      <c r="H18" s="42"/>
      <c r="I18" s="206"/>
    </row>
    <row r="19" spans="1:9" ht="12" customHeight="1" x14ac:dyDescent="0.25">
      <c r="A19" s="234" t="s">
        <v>59</v>
      </c>
      <c r="B19" s="235"/>
      <c r="C19" s="235"/>
      <c r="D19" s="235"/>
      <c r="E19" s="235"/>
      <c r="F19" s="236"/>
      <c r="G19" s="237"/>
      <c r="H19" s="206"/>
      <c r="I19" s="206"/>
    </row>
    <row r="20" spans="1:9" ht="12" customHeight="1" x14ac:dyDescent="0.25">
      <c r="A20" s="236" t="s">
        <v>16</v>
      </c>
      <c r="B20" s="206"/>
      <c r="C20" s="206"/>
      <c r="D20" s="206"/>
      <c r="E20" s="206"/>
      <c r="F20" s="206"/>
      <c r="G20" s="206"/>
      <c r="H20" s="206"/>
      <c r="I20" s="206"/>
    </row>
    <row r="21" spans="1:9" x14ac:dyDescent="0.25">
      <c r="A21" s="206"/>
      <c r="B21" s="206"/>
      <c r="C21" s="206"/>
      <c r="D21" s="206"/>
      <c r="E21" s="206"/>
      <c r="F21" s="206"/>
      <c r="G21" s="206"/>
      <c r="H21" s="206"/>
      <c r="I21" s="206"/>
    </row>
    <row r="22" spans="1:9" x14ac:dyDescent="0.25">
      <c r="A22" s="206"/>
      <c r="B22" s="206"/>
      <c r="C22" s="206"/>
      <c r="D22" s="206"/>
      <c r="E22" s="206"/>
      <c r="F22" s="206"/>
      <c r="G22" s="206"/>
      <c r="H22" s="206"/>
      <c r="I22" s="206"/>
    </row>
    <row r="23" spans="1:9" x14ac:dyDescent="0.25">
      <c r="A23" s="206"/>
      <c r="B23" s="206"/>
      <c r="C23" s="206"/>
      <c r="D23" s="206"/>
      <c r="E23" s="206"/>
      <c r="F23" s="206"/>
      <c r="G23" s="206"/>
      <c r="H23" s="206"/>
      <c r="I23" s="206"/>
    </row>
    <row r="24" spans="1:9" x14ac:dyDescent="0.25">
      <c r="A24" s="206"/>
      <c r="B24" s="206"/>
      <c r="C24" s="206"/>
      <c r="D24" s="206"/>
      <c r="E24" s="206"/>
      <c r="F24" s="206"/>
      <c r="G24" s="206"/>
      <c r="H24" s="206"/>
      <c r="I24" s="206"/>
    </row>
    <row r="25" spans="1:9" x14ac:dyDescent="0.25">
      <c r="A25" s="206"/>
      <c r="B25" s="206"/>
      <c r="C25" s="206"/>
      <c r="D25" s="206"/>
      <c r="E25" s="206"/>
      <c r="F25" s="206"/>
      <c r="G25" s="206"/>
      <c r="H25" s="206"/>
      <c r="I25" s="206"/>
    </row>
    <row r="26" spans="1:9" ht="12" customHeight="1" x14ac:dyDescent="0.25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3:D13 B14:D14 B8:C8 H8:H9 D8 B9:D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V28" sqref="V28"/>
    </sheetView>
  </sheetViews>
  <sheetFormatPr defaultRowHeight="15" x14ac:dyDescent="0.25"/>
  <sheetData>
    <row r="1" spans="1:22" ht="15.6" x14ac:dyDescent="0.3">
      <c r="A1" s="64"/>
      <c r="B1" s="66"/>
      <c r="C1" s="66"/>
      <c r="D1" s="66"/>
      <c r="E1" s="66"/>
      <c r="F1" s="66"/>
      <c r="G1" s="42"/>
      <c r="H1" s="42" t="s">
        <v>77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6" x14ac:dyDescent="0.3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2013-01-09T21:16:36Z</cp:lastPrinted>
  <dcterms:created xsi:type="dcterms:W3CDTF">2003-12-04T20:28:17Z</dcterms:created>
  <dcterms:modified xsi:type="dcterms:W3CDTF">2013-05-20T18:49:23Z</dcterms:modified>
</cp:coreProperties>
</file>