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20" windowWidth="14355" windowHeight="6210"/>
  </bookViews>
  <sheets>
    <sheet name="Cache Cluster 1" sheetId="1" r:id="rId1"/>
  </sheets>
  <calcPr calcId="145621"/>
</workbook>
</file>

<file path=xl/calcChain.xml><?xml version="1.0" encoding="utf-8"?>
<calcChain xmlns="http://schemas.openxmlformats.org/spreadsheetml/2006/main">
  <c r="C16" i="1" l="1"/>
  <c r="E16" i="1"/>
  <c r="G24" i="1"/>
  <c r="I24" i="1"/>
  <c r="K24" i="1"/>
  <c r="M24" i="1"/>
  <c r="O24" i="1"/>
  <c r="Q24" i="1"/>
  <c r="S24" i="1"/>
  <c r="U24" i="1"/>
  <c r="W24" i="1"/>
  <c r="Y24" i="1"/>
  <c r="AA24" i="1"/>
  <c r="AC24" i="1"/>
  <c r="G17" i="1"/>
  <c r="I17" i="1"/>
  <c r="K17" i="1"/>
  <c r="M17" i="1"/>
  <c r="O17" i="1"/>
  <c r="Q17" i="1"/>
  <c r="S17" i="1"/>
  <c r="U17" i="1"/>
  <c r="W17" i="1"/>
  <c r="Y17" i="1"/>
  <c r="AA17" i="1"/>
  <c r="AC17" i="1"/>
  <c r="G18" i="1"/>
  <c r="I18" i="1"/>
  <c r="K18" i="1"/>
  <c r="M18" i="1"/>
  <c r="O18" i="1"/>
  <c r="Q18" i="1"/>
  <c r="S18" i="1"/>
  <c r="U18" i="1"/>
  <c r="W18" i="1"/>
  <c r="Y18" i="1"/>
  <c r="AA18" i="1"/>
  <c r="AC18" i="1"/>
  <c r="E17" i="1" l="1"/>
  <c r="E18" i="1" s="1"/>
  <c r="E24" i="1" s="1"/>
  <c r="G20" i="1"/>
  <c r="I20" i="1"/>
  <c r="K20" i="1"/>
  <c r="M20" i="1"/>
  <c r="O20" i="1"/>
  <c r="Q20" i="1"/>
  <c r="S20" i="1"/>
  <c r="U20" i="1"/>
  <c r="W20" i="1"/>
  <c r="Y20" i="1"/>
  <c r="AA20" i="1"/>
  <c r="AC20" i="1"/>
  <c r="C17" i="1"/>
  <c r="C18" i="1" s="1"/>
  <c r="F13" i="1" l="1"/>
  <c r="C20" i="1"/>
  <c r="C21" i="1" s="1"/>
  <c r="C24" i="1"/>
  <c r="G21" i="1" l="1"/>
  <c r="E20" i="1" l="1"/>
  <c r="E21" i="1" s="1"/>
  <c r="Y21" i="1"/>
  <c r="S21" i="1"/>
  <c r="Q21" i="1"/>
  <c r="I21" i="1"/>
  <c r="AA21" i="1"/>
  <c r="K21" i="1"/>
  <c r="AC21" i="1"/>
  <c r="U21" i="1"/>
  <c r="M21" i="1"/>
  <c r="W21" i="1"/>
  <c r="O21" i="1"/>
  <c r="C34" i="1"/>
  <c r="C41" i="1" s="1"/>
  <c r="E41" i="1" l="1"/>
  <c r="F41" i="1" s="1"/>
  <c r="B11" i="1"/>
  <c r="B10" i="1"/>
  <c r="G26" i="1"/>
  <c r="I26" i="1"/>
  <c r="I27" i="1" s="1"/>
  <c r="K26" i="1"/>
  <c r="K27" i="1" s="1"/>
  <c r="M26" i="1"/>
  <c r="M27" i="1" s="1"/>
  <c r="O26" i="1"/>
  <c r="O27" i="1" s="1"/>
  <c r="Q26" i="1"/>
  <c r="Q27" i="1" s="1"/>
  <c r="S26" i="1"/>
  <c r="S27" i="1" s="1"/>
  <c r="U26" i="1"/>
  <c r="U27" i="1" s="1"/>
  <c r="W26" i="1"/>
  <c r="W27" i="1" s="1"/>
  <c r="Y26" i="1"/>
  <c r="Y27" i="1" s="1"/>
  <c r="AA26" i="1"/>
  <c r="AA27" i="1" s="1"/>
  <c r="AC26" i="1"/>
  <c r="E26" i="1"/>
  <c r="C26" i="1"/>
  <c r="F7" i="1"/>
  <c r="F8" i="1"/>
  <c r="F9" i="1"/>
  <c r="F10" i="1"/>
  <c r="F11" i="1"/>
  <c r="F6" i="1"/>
  <c r="D7" i="1"/>
  <c r="D8" i="1"/>
  <c r="D9" i="1"/>
  <c r="D10" i="1"/>
  <c r="D11" i="1"/>
  <c r="D6" i="1"/>
  <c r="C39" i="1" l="1"/>
  <c r="E39" i="1" s="1"/>
  <c r="F39" i="1" s="1"/>
  <c r="C27" i="1"/>
  <c r="AC27" i="1"/>
  <c r="G27" i="1"/>
  <c r="E27" i="1"/>
  <c r="C40" i="1" l="1"/>
  <c r="E40" i="1" s="1"/>
  <c r="F40" i="1" s="1"/>
  <c r="C38" i="1"/>
  <c r="E38" i="1" s="1"/>
  <c r="C42" i="1" l="1"/>
  <c r="F38" i="1"/>
  <c r="E42" i="1" s="1"/>
</calcChain>
</file>

<file path=xl/comments1.xml><?xml version="1.0" encoding="utf-8"?>
<comments xmlns="http://schemas.openxmlformats.org/spreadsheetml/2006/main">
  <authors>
    <author>Jason Roth</author>
  </authors>
  <commentList>
    <comment ref="B16" authorId="0">
      <text>
        <r>
          <rPr>
            <b/>
            <sz val="10"/>
            <color indexed="81"/>
            <rFont val="Calibri"/>
            <family val="2"/>
            <scheme val="minor"/>
          </rPr>
          <t>Serialized size of key + Serialized size of object</t>
        </r>
      </text>
    </comment>
    <comment ref="C30" authorId="0">
      <text>
        <r>
          <rPr>
            <sz val="10"/>
            <color indexed="81"/>
            <rFont val="Calibri"/>
            <family val="2"/>
            <scheme val="minor"/>
          </rPr>
          <t>This section assumes that one DataCacheFactoryConfiguration is used. If you use multiple configurations, each could have a different MaxConnectionsToServerValue. Also, when connection pooling is enabled, there is a separate connection pool for each named configuration. In that case, you would have additional calculations based on what you see here but for each named configuration used.</t>
        </r>
      </text>
    </comment>
    <comment ref="C31" authorId="0">
      <text>
        <r>
          <rPr>
            <sz val="10"/>
            <color indexed="81"/>
            <rFont val="Calibri"/>
            <family val="2"/>
            <scheme val="minor"/>
          </rPr>
          <t>The default for maxConnectionsToServer is 1. When connection pooling is not being used, each DataCacheFactory instance uses this number of connections to the service. In this scenario, we recommend keeping the setting at 1 unless there is a known performance benefit for increasing it.</t>
        </r>
      </text>
    </comment>
    <comment ref="C33" authorId="0">
      <text>
        <r>
          <rPr>
            <sz val="10"/>
            <color indexed="81"/>
            <rFont val="Calibri"/>
            <family val="2"/>
            <scheme val="minor"/>
          </rPr>
          <t>Connection pooling is enabled by default when you use the latest Azure SDK and configure your cache clients with the application configuration file alone. In other cases, you should review the documentation. When connection pooling is enabled, the MaxConnectionsToServer value determines the size of the pool for a given named configuration.</t>
        </r>
      </text>
    </comment>
    <comment ref="E40" authorId="0">
      <text>
        <r>
          <rPr>
            <sz val="10"/>
            <color indexed="81"/>
            <rFont val="Calibri"/>
            <family val="2"/>
            <scheme val="minor"/>
          </rPr>
          <t>The quotas for transactions and bandwidth attempt to provide a reasonable buffer for a cache of a given size. So in a more typical scenario, the decision could be made on memory alone. However, as you can see with these example estimates, it is possible that you could require a higher offering based on transactions, bandwidth, or connections. This example data was designed to show this scenario for educational purposes.</t>
        </r>
      </text>
    </comment>
    <comment ref="B42" authorId="0">
      <text>
        <r>
          <rPr>
            <sz val="10"/>
            <color indexed="81"/>
            <rFont val="Calibri"/>
            <family val="2"/>
            <scheme val="minor"/>
          </rPr>
          <t>The cache offering required is the maximum cache offering required for any one quota: memory, transactions, bandwidth, or connections.</t>
        </r>
      </text>
    </comment>
  </commentList>
</comments>
</file>

<file path=xl/sharedStrings.xml><?xml version="1.0" encoding="utf-8"?>
<sst xmlns="http://schemas.openxmlformats.org/spreadsheetml/2006/main" count="194" uniqueCount="45">
  <si>
    <t>*Average Object Size (Post-Serialization):</t>
  </si>
  <si>
    <t>*Max Number of Active Objects:</t>
  </si>
  <si>
    <t>Objects</t>
  </si>
  <si>
    <t>Memory Requirements:</t>
  </si>
  <si>
    <t>Network Requirements:</t>
  </si>
  <si>
    <t>Other</t>
  </si>
  <si>
    <t>Activity Data (Example)</t>
  </si>
  <si>
    <t>Reference Data (Example)</t>
  </si>
  <si>
    <t>MB</t>
  </si>
  <si>
    <t xml:space="preserve">GB </t>
  </si>
  <si>
    <t>Transactions Per Hour</t>
  </si>
  <si>
    <t>Bandwidth MB Per Hour</t>
  </si>
  <si>
    <t>Concurrent Connections</t>
  </si>
  <si>
    <t>Transactions Per Sec</t>
  </si>
  <si>
    <t>Bandwidth MB Per Sec</t>
  </si>
  <si>
    <t>Total Bandwidth per Hour:</t>
  </si>
  <si>
    <t>Total Transactions per Hour:</t>
  </si>
  <si>
    <t>Trns/sec</t>
  </si>
  <si>
    <t>Trns/hour</t>
  </si>
  <si>
    <t>MB/hour</t>
  </si>
  <si>
    <t>Total Cache Memory Required (MB):</t>
  </si>
  <si>
    <t>Total Cache Memory Required (GB):</t>
  </si>
  <si>
    <t>Azure Cache Offering:</t>
  </si>
  <si>
    <t>Total Memory Requirement:</t>
  </si>
  <si>
    <t>Offering:</t>
  </si>
  <si>
    <t>Cache Size (MB)</t>
  </si>
  <si>
    <t>Connections</t>
  </si>
  <si>
    <t>Cache Offering Required:</t>
  </si>
  <si>
    <t>MB Offering</t>
  </si>
  <si>
    <t>Average Object Size:</t>
  </si>
  <si>
    <t>*Average Transactions per Second (Peak Load):</t>
  </si>
  <si>
    <t>Connections Requirements:</t>
  </si>
  <si>
    <t>Total Connections Required:</t>
  </si>
  <si>
    <t>*Maximum Active DataCacheFactory Instances:</t>
  </si>
  <si>
    <t>*MaxConnectionsToServer setting:</t>
  </si>
  <si>
    <t>*Connection Pooling Enabled?</t>
  </si>
  <si>
    <t>Yes</t>
  </si>
  <si>
    <t>*Number of Azure role instances:</t>
  </si>
  <si>
    <t>Connections Required?</t>
  </si>
  <si>
    <t xml:space="preserve">This spreadsheet provides a tool for estimating the Azure Cache Offering required by an Azure application. Please note that the recommendations are based on </t>
  </si>
  <si>
    <t>estimates, so the actual requirements could be different. Please test and monitor your Azure applications to verify that the offering you select is appropriate.</t>
  </si>
  <si>
    <r>
      <rPr>
        <sz val="11"/>
        <color theme="1"/>
        <rFont val="Calibri"/>
        <family val="2"/>
        <scheme val="minor"/>
      </rPr>
      <t>To use the sheet, fill out the blue items and the sheet performs common capacity planning calculations. For more information,</t>
    </r>
    <r>
      <rPr>
        <u/>
        <sz val="11"/>
        <color theme="10"/>
        <rFont val="Calibri"/>
        <family val="2"/>
        <scheme val="minor"/>
      </rPr>
      <t xml:space="preserve"> see the whitepaper.</t>
    </r>
  </si>
  <si>
    <t>Bytes</t>
  </si>
  <si>
    <t>Adjusted Object Size Rounded to Nearest KB:</t>
  </si>
  <si>
    <t>Per Object Overhead (1 %):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</si>
</sst>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 x14ac:knownFonts="1">
    <font>
      <sz val="11"/>
      <color theme="1"/>
      <name val="Calibri"/>
      <family val="2"/>
      <scheme val="minor"/>
    </font>
    <font>
      <sz val="10"/>
      <color theme="3"/>
      <name val="Calibri"/>
      <family val="2"/>
      <scheme val="minor"/>
    </font>
    <font>
      <b/>
      <sz val="10"/>
      <color theme="1"/>
      <name val="Calibri"/>
      <family val="2"/>
      <scheme val="minor"/>
    </font>
    <font>
      <b/>
      <u/>
      <sz val="11"/>
      <color theme="1"/>
      <name val="Calibri"/>
      <family val="2"/>
      <scheme val="minor"/>
    </font>
    <font>
      <b/>
      <sz val="11"/>
      <color theme="1"/>
      <name val="Calibri"/>
      <family val="2"/>
      <scheme val="minor"/>
    </font>
    <font>
      <b/>
      <sz val="10"/>
      <color rgb="FF000066"/>
      <name val="Calibri"/>
      <family val="2"/>
      <scheme val="minor"/>
    </font>
    <font>
      <b/>
      <sz val="11"/>
      <color rgb="FFFF0000"/>
      <name val="Calibri"/>
      <family val="2"/>
      <scheme val="minor"/>
    </font>
    <font>
      <b/>
      <sz val="10"/>
      <color rgb="FF000000"/>
      <name val="Calibri"/>
      <family val="2"/>
      <scheme val="minor"/>
    </font>
    <font>
      <sz val="10"/>
      <color indexed="81"/>
      <name val="Calibri"/>
      <family val="2"/>
      <scheme val="minor"/>
    </font>
    <font>
      <u/>
      <sz val="11"/>
      <color theme="10"/>
      <name val="Calibri"/>
      <family val="2"/>
      <scheme val="minor"/>
    </font>
    <font>
      <b/>
      <sz val="10"/>
      <color indexed="81"/>
      <name val="Calibri"/>
      <family val="2"/>
      <scheme val="minor"/>
    </font>
    <font>
      <sz val="11"/>
      <color rgb="FF1F497D"/>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CCCCCC"/>
        <bgColor indexed="64"/>
      </patternFill>
    </fill>
    <fill>
      <patternFill patternType="solid">
        <fgColor rgb="FFFFFFFF"/>
        <bgColor indexed="64"/>
      </patternFill>
    </fill>
  </fills>
  <borders count="13">
    <border>
      <left/>
      <right/>
      <top/>
      <bottom/>
      <diagonal/>
    </border>
    <border>
      <left/>
      <right/>
      <top/>
      <bottom style="double">
        <color indexed="64"/>
      </bottom>
      <diagonal/>
    </border>
    <border>
      <left/>
      <right/>
      <top style="thin">
        <color indexed="64"/>
      </top>
      <bottom/>
      <diagonal/>
    </border>
    <border>
      <left style="medium">
        <color rgb="FFCCCCCC"/>
      </left>
      <right style="medium">
        <color rgb="FFD5D5D3"/>
      </right>
      <top style="medium">
        <color rgb="FFCCCCCC"/>
      </top>
      <bottom style="medium">
        <color rgb="FFCCCCCC"/>
      </bottom>
      <diagonal/>
    </border>
    <border>
      <left style="medium">
        <color indexed="64"/>
      </left>
      <right/>
      <top style="medium">
        <color indexed="64"/>
      </top>
      <bottom style="medium">
        <color rgb="FFC8CDDE"/>
      </bottom>
      <diagonal/>
    </border>
    <border>
      <left/>
      <right/>
      <top style="medium">
        <color indexed="64"/>
      </top>
      <bottom style="medium">
        <color rgb="FFC8CDDE"/>
      </bottom>
      <diagonal/>
    </border>
    <border>
      <left/>
      <right style="medium">
        <color indexed="64"/>
      </right>
      <top style="medium">
        <color indexed="64"/>
      </top>
      <bottom style="medium">
        <color rgb="FFC8CDDE"/>
      </bottom>
      <diagonal/>
    </border>
    <border>
      <left style="medium">
        <color indexed="64"/>
      </left>
      <right style="medium">
        <color rgb="FFD5D5D3"/>
      </right>
      <top style="medium">
        <color rgb="FFCCCCCC"/>
      </top>
      <bottom style="medium">
        <color rgb="FFCCCCCC"/>
      </bottom>
      <diagonal/>
    </border>
    <border>
      <left style="medium">
        <color rgb="FFCCCCCC"/>
      </left>
      <right style="medium">
        <color indexed="64"/>
      </right>
      <top style="medium">
        <color rgb="FFCCCCCC"/>
      </top>
      <bottom style="medium">
        <color rgb="FFCCCCCC"/>
      </bottom>
      <diagonal/>
    </border>
    <border>
      <left style="medium">
        <color indexed="64"/>
      </left>
      <right style="medium">
        <color rgb="FFD5D5D3"/>
      </right>
      <top style="medium">
        <color rgb="FFCCCCCC"/>
      </top>
      <bottom style="medium">
        <color indexed="64"/>
      </bottom>
      <diagonal/>
    </border>
    <border>
      <left style="medium">
        <color rgb="FFCCCCCC"/>
      </left>
      <right style="medium">
        <color rgb="FFD5D5D3"/>
      </right>
      <top style="medium">
        <color rgb="FFCCCCCC"/>
      </top>
      <bottom style="medium">
        <color indexed="64"/>
      </bottom>
      <diagonal/>
    </border>
    <border>
      <left style="medium">
        <color rgb="FFCCCCCC"/>
      </left>
      <right style="medium">
        <color indexed="64"/>
      </right>
      <top style="medium">
        <color rgb="FFCCCCCC"/>
      </top>
      <bottom style="medium">
        <color indexed="64"/>
      </bottom>
      <diagonal/>
    </border>
    <border>
      <left/>
      <right/>
      <top style="thin">
        <color indexed="64"/>
      </top>
      <bottom style="double">
        <color indexed="64"/>
      </bottom>
      <diagonal/>
    </border>
  </borders>
  <cellStyleXfs count="2">
    <xf numFmtId="0" fontId="0" fillId="0" borderId="0"/>
    <xf numFmtId="0" fontId="9" fillId="0" borderId="0" applyNumberFormat="0" applyFill="0" applyBorder="0" applyAlignment="0" applyProtection="0"/>
  </cellStyleXfs>
  <cellXfs count="47">
    <xf numFmtId="0" fontId="0" fillId="0" borderId="0" xfId="0"/>
    <xf numFmtId="0" fontId="0" fillId="0" borderId="0" xfId="0"/>
    <xf numFmtId="0" fontId="1" fillId="0" borderId="0" xfId="0" applyFont="1"/>
    <xf numFmtId="0" fontId="2" fillId="0" borderId="0" xfId="0" applyFont="1"/>
    <xf numFmtId="0" fontId="1" fillId="0" borderId="1" xfId="0" applyFont="1" applyBorder="1"/>
    <xf numFmtId="3" fontId="1" fillId="0" borderId="1" xfId="0" applyNumberFormat="1" applyFont="1" applyBorder="1"/>
    <xf numFmtId="164" fontId="2" fillId="0" borderId="0" xfId="0" applyNumberFormat="1" applyFont="1"/>
    <xf numFmtId="0" fontId="1" fillId="0" borderId="0" xfId="0" applyFont="1" applyFill="1" applyBorder="1"/>
    <xf numFmtId="0" fontId="2" fillId="0" borderId="0" xfId="0" applyFont="1" applyFill="1" applyBorder="1"/>
    <xf numFmtId="0" fontId="2" fillId="2" borderId="1" xfId="0" applyFont="1" applyFill="1" applyBorder="1"/>
    <xf numFmtId="0" fontId="1" fillId="0" borderId="0" xfId="0" applyNumberFormat="1" applyFont="1"/>
    <xf numFmtId="0" fontId="1" fillId="0" borderId="0" xfId="0" applyNumberFormat="1" applyFont="1" applyFill="1" applyBorder="1"/>
    <xf numFmtId="0" fontId="0" fillId="0" borderId="0" xfId="0" applyAlignment="1">
      <alignment wrapText="1"/>
    </xf>
    <xf numFmtId="164" fontId="2" fillId="2" borderId="1" xfId="0" applyNumberFormat="1" applyFont="1" applyFill="1" applyBorder="1"/>
    <xf numFmtId="0" fontId="2" fillId="2" borderId="0" xfId="0" applyFont="1" applyFill="1" applyBorder="1"/>
    <xf numFmtId="164" fontId="2" fillId="2" borderId="0" xfId="0" applyNumberFormat="1" applyFont="1" applyFill="1" applyBorder="1"/>
    <xf numFmtId="1" fontId="2" fillId="0" borderId="0" xfId="0" applyNumberFormat="1" applyFont="1"/>
    <xf numFmtId="1" fontId="2" fillId="2" borderId="0" xfId="0" applyNumberFormat="1" applyFont="1" applyFill="1" applyBorder="1"/>
    <xf numFmtId="0" fontId="3" fillId="0" borderId="0" xfId="0" applyFont="1"/>
    <xf numFmtId="0" fontId="2" fillId="2" borderId="2" xfId="0" applyFont="1" applyFill="1" applyBorder="1"/>
    <xf numFmtId="164" fontId="2" fillId="2" borderId="2" xfId="0" applyNumberFormat="1" applyFont="1" applyFill="1" applyBorder="1"/>
    <xf numFmtId="0" fontId="5" fillId="3" borderId="5" xfId="0" applyFont="1" applyFill="1" applyBorder="1" applyAlignment="1">
      <alignment horizontal="left" wrapText="1"/>
    </xf>
    <xf numFmtId="0" fontId="5" fillId="3" borderId="6" xfId="0" applyFont="1" applyFill="1" applyBorder="1" applyAlignment="1">
      <alignment horizontal="left" wrapText="1"/>
    </xf>
    <xf numFmtId="0" fontId="5" fillId="3" borderId="4" xfId="0" applyFont="1" applyFill="1" applyBorder="1" applyAlignment="1">
      <alignment horizontal="center" wrapText="1"/>
    </xf>
    <xf numFmtId="1" fontId="2" fillId="2" borderId="1" xfId="0" applyNumberFormat="1" applyFont="1" applyFill="1" applyBorder="1"/>
    <xf numFmtId="0" fontId="4" fillId="0" borderId="0" xfId="0" applyFont="1"/>
    <xf numFmtId="0" fontId="6" fillId="0" borderId="0" xfId="0" applyFont="1"/>
    <xf numFmtId="0" fontId="1" fillId="4" borderId="3" xfId="0" applyFont="1" applyFill="1" applyBorder="1" applyAlignment="1">
      <alignment horizontal="left" vertical="center" wrapText="1"/>
    </xf>
    <xf numFmtId="0" fontId="1" fillId="4" borderId="10" xfId="0" applyFont="1" applyFill="1" applyBorder="1" applyAlignment="1">
      <alignment horizontal="left" vertical="center" wrapText="1"/>
    </xf>
    <xf numFmtId="0" fontId="1" fillId="4" borderId="8" xfId="0" applyFont="1" applyFill="1" applyBorder="1" applyAlignment="1">
      <alignment horizontal="left" vertical="center" wrapText="1"/>
    </xf>
    <xf numFmtId="0" fontId="1" fillId="4" borderId="11" xfId="0" applyFont="1" applyFill="1" applyBorder="1" applyAlignment="1">
      <alignment horizontal="left" vertical="center" wrapText="1"/>
    </xf>
    <xf numFmtId="0" fontId="7" fillId="4" borderId="3" xfId="0" applyFont="1" applyFill="1" applyBorder="1" applyAlignment="1">
      <alignment horizontal="left" vertical="center" wrapText="1"/>
    </xf>
    <xf numFmtId="0" fontId="7" fillId="4" borderId="10" xfId="0" applyFont="1" applyFill="1" applyBorder="1" applyAlignment="1">
      <alignment horizontal="left" vertical="center" wrapText="1"/>
    </xf>
    <xf numFmtId="0" fontId="7" fillId="4" borderId="7"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1" fillId="0" borderId="0" xfId="0" applyNumberFormat="1" applyFont="1" applyAlignment="1">
      <alignment horizontal="right"/>
    </xf>
    <xf numFmtId="0" fontId="2" fillId="2" borderId="12" xfId="0" applyFont="1" applyFill="1" applyBorder="1"/>
    <xf numFmtId="0" fontId="0" fillId="0" borderId="0" xfId="0"/>
    <xf numFmtId="0" fontId="7" fillId="4" borderId="0" xfId="0" applyFont="1" applyFill="1" applyBorder="1" applyAlignment="1">
      <alignment horizontal="center" vertical="center" wrapText="1"/>
    </xf>
    <xf numFmtId="0" fontId="1" fillId="4" borderId="0" xfId="0" applyFont="1" applyFill="1" applyBorder="1" applyAlignment="1">
      <alignment horizontal="left" vertical="center" wrapText="1"/>
    </xf>
    <xf numFmtId="0" fontId="7" fillId="4" borderId="0" xfId="0" applyFont="1" applyFill="1" applyBorder="1" applyAlignment="1">
      <alignment horizontal="left" vertical="center" wrapText="1"/>
    </xf>
    <xf numFmtId="1" fontId="0" fillId="0" borderId="0" xfId="0" applyNumberFormat="1"/>
    <xf numFmtId="2" fontId="2" fillId="2" borderId="1" xfId="0" applyNumberFormat="1" applyFont="1" applyFill="1" applyBorder="1"/>
    <xf numFmtId="0" fontId="2" fillId="0" borderId="0" xfId="0" applyFont="1" applyAlignment="1">
      <alignment horizontal="center" wrapText="1"/>
    </xf>
    <xf numFmtId="0" fontId="0" fillId="0" borderId="0" xfId="0"/>
    <xf numFmtId="0" fontId="9" fillId="0" borderId="0" xfId="1"/>
    <xf numFmtId="0" fontId="1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go.microsoft.com/fwlink/?LinkId=215690" TargetMode="External"/></Relationships>
</file>

<file path=xl/drawings/drawing1.xml><?xml version="1.0" encoding="utf-8"?>
<xdr:wsDr xmlns:xdr="http://schemas.openxmlformats.org/drawingml/2006/spreadsheetDrawing" xmlns:a="http://schemas.openxmlformats.org/drawingml/2006/main">
  <xdr:oneCellAnchor>
    <xdr:from>
      <xdr:col>8</xdr:col>
      <xdr:colOff>19047</xdr:colOff>
      <xdr:row>5</xdr:row>
      <xdr:rowOff>0</xdr:rowOff>
    </xdr:from>
    <xdr:ext cx="3095627" cy="781240"/>
    <xdr:sp macro="" textlink="">
      <xdr:nvSpPr>
        <xdr:cNvPr id="2" name="TextBox 1">
          <a:hlinkClick xmlns:r="http://schemas.openxmlformats.org/officeDocument/2006/relationships" r:id="rId1"/>
        </xdr:cNvPr>
        <xdr:cNvSpPr txBox="1"/>
      </xdr:nvSpPr>
      <xdr:spPr>
        <a:xfrm>
          <a:off x="7477122" y="1114425"/>
          <a:ext cx="3095627" cy="78124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Note: The</a:t>
          </a:r>
          <a:r>
            <a:rPr lang="en-US" sz="1100" baseline="0"/>
            <a:t> latest quotas for Azure Caching must be used in this table. See </a:t>
          </a:r>
          <a:r>
            <a:rPr lang="en-US" sz="1100" b="1" u="sng" baseline="0">
              <a:solidFill>
                <a:schemeClr val="accent1"/>
              </a:solidFill>
            </a:rPr>
            <a:t>http://go.microsoft.com/fwlink/?LinkId=215690</a:t>
          </a:r>
          <a:r>
            <a:rPr lang="en-US" sz="1100" baseline="0"/>
            <a:t>. Replace values in this table with current  quotas.</a:t>
          </a:r>
          <a:endParaRPr lang="en-US" sz="1100"/>
        </a:p>
      </xdr:txBody>
    </xdr:sp>
    <xdr:clientData/>
  </xdr:oneCellAnchor>
  <xdr:twoCellAnchor>
    <xdr:from>
      <xdr:col>7</xdr:col>
      <xdr:colOff>57153</xdr:colOff>
      <xdr:row>5</xdr:row>
      <xdr:rowOff>57151</xdr:rowOff>
    </xdr:from>
    <xdr:to>
      <xdr:col>8</xdr:col>
      <xdr:colOff>19047</xdr:colOff>
      <xdr:row>6</xdr:row>
      <xdr:rowOff>190595</xdr:rowOff>
    </xdr:to>
    <xdr:cxnSp macro="">
      <xdr:nvCxnSpPr>
        <xdr:cNvPr id="4" name="Straight Arrow Connector 3"/>
        <xdr:cNvCxnSpPr>
          <a:stCxn id="2" idx="1"/>
        </xdr:cNvCxnSpPr>
      </xdr:nvCxnSpPr>
      <xdr:spPr>
        <a:xfrm flipH="1" flipV="1">
          <a:off x="6905628" y="1171576"/>
          <a:ext cx="571494" cy="33346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go.microsoft.com/fwlink/?LinkId=235043"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48"/>
  <sheetViews>
    <sheetView tabSelected="1" workbookViewId="0"/>
  </sheetViews>
  <sheetFormatPr defaultRowHeight="15" x14ac:dyDescent="0.25"/>
  <cols>
    <col min="1" max="1" width="5.28515625" style="1" customWidth="1"/>
    <col min="2" max="2" width="38" customWidth="1"/>
    <col min="3" max="3" width="11.5703125" customWidth="1"/>
    <col min="4" max="4" width="11.140625" style="1" customWidth="1"/>
    <col min="5" max="5" width="15" customWidth="1"/>
    <col min="6" max="6" width="11" customWidth="1"/>
    <col min="7" max="7" width="10.7109375" customWidth="1"/>
  </cols>
  <sheetData>
    <row r="1" spans="1:30" s="1" customFormat="1" x14ac:dyDescent="0.25">
      <c r="B1" s="44" t="s">
        <v>39</v>
      </c>
      <c r="C1" s="44"/>
      <c r="D1" s="44"/>
      <c r="E1" s="44"/>
      <c r="F1" s="44"/>
      <c r="G1" s="44"/>
      <c r="H1" s="44"/>
      <c r="I1" s="44"/>
      <c r="J1" s="44"/>
      <c r="K1" s="44"/>
      <c r="L1" s="44"/>
    </row>
    <row r="2" spans="1:30" s="1" customFormat="1" x14ac:dyDescent="0.25">
      <c r="B2" s="44" t="s">
        <v>40</v>
      </c>
      <c r="C2" s="44"/>
      <c r="D2" s="44"/>
      <c r="E2" s="44"/>
      <c r="F2" s="44"/>
      <c r="G2" s="44"/>
      <c r="H2" s="44"/>
      <c r="I2" s="44"/>
      <c r="J2" s="44"/>
      <c r="K2" s="44"/>
      <c r="L2" s="44"/>
    </row>
    <row r="3" spans="1:30" s="1" customFormat="1" x14ac:dyDescent="0.25">
      <c r="B3" s="45" t="s">
        <v>41</v>
      </c>
      <c r="C3" s="45"/>
      <c r="D3" s="45"/>
      <c r="E3" s="45"/>
      <c r="F3" s="45"/>
      <c r="G3" s="45"/>
      <c r="H3" s="45"/>
      <c r="I3" s="45"/>
      <c r="J3" s="45"/>
      <c r="K3" s="45"/>
      <c r="L3" s="45"/>
    </row>
    <row r="4" spans="1:30" s="1" customFormat="1" ht="15.75" thickBot="1" x14ac:dyDescent="0.3"/>
    <row r="5" spans="1:30" s="1" customFormat="1" ht="27" thickBot="1" x14ac:dyDescent="0.3">
      <c r="B5" s="23" t="s">
        <v>25</v>
      </c>
      <c r="C5" s="21" t="s">
        <v>10</v>
      </c>
      <c r="D5" s="21" t="s">
        <v>13</v>
      </c>
      <c r="E5" s="21" t="s">
        <v>11</v>
      </c>
      <c r="F5" s="21" t="s">
        <v>14</v>
      </c>
      <c r="G5" s="22" t="s">
        <v>12</v>
      </c>
    </row>
    <row r="6" spans="1:30" s="1" customFormat="1" ht="15.75" thickBot="1" x14ac:dyDescent="0.3">
      <c r="B6" s="33">
        <v>128</v>
      </c>
      <c r="C6" s="27">
        <v>400000</v>
      </c>
      <c r="D6" s="31">
        <f t="shared" ref="D6:D11" si="0">ROUNDDOWN(C6/60/60,0)</f>
        <v>111</v>
      </c>
      <c r="E6" s="27">
        <v>1400</v>
      </c>
      <c r="F6" s="31">
        <f t="shared" ref="F6:F11" si="1">ROUNDDOWN(E6/60/60,2)</f>
        <v>0.38</v>
      </c>
      <c r="G6" s="29">
        <v>10</v>
      </c>
    </row>
    <row r="7" spans="1:30" s="1" customFormat="1" ht="15.75" thickBot="1" x14ac:dyDescent="0.3">
      <c r="B7" s="33">
        <v>256</v>
      </c>
      <c r="C7" s="27">
        <v>800000</v>
      </c>
      <c r="D7" s="31">
        <f t="shared" si="0"/>
        <v>222</v>
      </c>
      <c r="E7" s="27">
        <v>2800</v>
      </c>
      <c r="F7" s="31">
        <f t="shared" si="1"/>
        <v>0.77</v>
      </c>
      <c r="G7" s="29">
        <v>10</v>
      </c>
    </row>
    <row r="8" spans="1:30" s="1" customFormat="1" ht="15.75" thickBot="1" x14ac:dyDescent="0.3">
      <c r="B8" s="33">
        <v>512</v>
      </c>
      <c r="C8" s="27">
        <v>1600000</v>
      </c>
      <c r="D8" s="31">
        <f t="shared" si="0"/>
        <v>444</v>
      </c>
      <c r="E8" s="27">
        <v>5600</v>
      </c>
      <c r="F8" s="31">
        <f t="shared" si="1"/>
        <v>1.55</v>
      </c>
      <c r="G8" s="29">
        <v>20</v>
      </c>
    </row>
    <row r="9" spans="1:30" s="1" customFormat="1" ht="15.75" thickBot="1" x14ac:dyDescent="0.3">
      <c r="B9" s="33">
        <v>1024</v>
      </c>
      <c r="C9" s="27">
        <v>3200000</v>
      </c>
      <c r="D9" s="31">
        <f t="shared" si="0"/>
        <v>888</v>
      </c>
      <c r="E9" s="27">
        <v>11200</v>
      </c>
      <c r="F9" s="31">
        <f t="shared" si="1"/>
        <v>3.11</v>
      </c>
      <c r="G9" s="29">
        <v>40</v>
      </c>
    </row>
    <row r="10" spans="1:30" s="1" customFormat="1" ht="15.75" thickBot="1" x14ac:dyDescent="0.3">
      <c r="B10" s="33">
        <f>1024*2</f>
        <v>2048</v>
      </c>
      <c r="C10" s="27">
        <v>6400000</v>
      </c>
      <c r="D10" s="31">
        <f t="shared" si="0"/>
        <v>1777</v>
      </c>
      <c r="E10" s="27">
        <v>22400</v>
      </c>
      <c r="F10" s="31">
        <f t="shared" si="1"/>
        <v>6.22</v>
      </c>
      <c r="G10" s="29">
        <v>80</v>
      </c>
    </row>
    <row r="11" spans="1:30" s="1" customFormat="1" ht="15.75" thickBot="1" x14ac:dyDescent="0.3">
      <c r="B11" s="34">
        <f>1024*4</f>
        <v>4096</v>
      </c>
      <c r="C11" s="28">
        <v>12800000</v>
      </c>
      <c r="D11" s="32">
        <f t="shared" si="0"/>
        <v>3555</v>
      </c>
      <c r="E11" s="28">
        <v>44800</v>
      </c>
      <c r="F11" s="32">
        <f t="shared" si="1"/>
        <v>12.44</v>
      </c>
      <c r="G11" s="30">
        <v>160</v>
      </c>
      <c r="J11" s="41"/>
    </row>
    <row r="12" spans="1:30" s="37" customFormat="1" x14ac:dyDescent="0.25">
      <c r="B12" s="38"/>
      <c r="C12" s="39"/>
      <c r="D12" s="40"/>
      <c r="E12" s="39"/>
      <c r="F12" s="40"/>
      <c r="G12" s="39"/>
    </row>
    <row r="13" spans="1:30" s="1" customFormat="1" x14ac:dyDescent="0.25">
      <c r="F13" s="41">
        <f>E16+E17</f>
        <v>82739.199999999997</v>
      </c>
    </row>
    <row r="14" spans="1:30" s="1" customFormat="1" x14ac:dyDescent="0.25">
      <c r="A14" s="18" t="s">
        <v>3</v>
      </c>
      <c r="H14" s="41"/>
    </row>
    <row r="15" spans="1:30" ht="15" customHeight="1" x14ac:dyDescent="0.25">
      <c r="B15" s="12"/>
      <c r="C15" s="43" t="s">
        <v>6</v>
      </c>
      <c r="D15" s="43"/>
      <c r="E15" s="43" t="s">
        <v>7</v>
      </c>
      <c r="F15" s="43"/>
      <c r="G15" s="43" t="s">
        <v>5</v>
      </c>
      <c r="H15" s="43"/>
      <c r="I15" s="43" t="s">
        <v>5</v>
      </c>
      <c r="J15" s="43"/>
      <c r="K15" s="43" t="s">
        <v>5</v>
      </c>
      <c r="L15" s="43"/>
      <c r="M15" s="43" t="s">
        <v>5</v>
      </c>
      <c r="N15" s="43"/>
      <c r="O15" s="43" t="s">
        <v>5</v>
      </c>
      <c r="P15" s="43"/>
      <c r="Q15" s="43" t="s">
        <v>5</v>
      </c>
      <c r="R15" s="43"/>
      <c r="S15" s="43" t="s">
        <v>5</v>
      </c>
      <c r="T15" s="43"/>
      <c r="U15" s="43" t="s">
        <v>5</v>
      </c>
      <c r="V15" s="43"/>
      <c r="W15" s="43" t="s">
        <v>5</v>
      </c>
      <c r="X15" s="43"/>
      <c r="Y15" s="43" t="s">
        <v>5</v>
      </c>
      <c r="Z15" s="43"/>
      <c r="AA15" s="43" t="s">
        <v>5</v>
      </c>
      <c r="AB15" s="43"/>
      <c r="AC15" s="43" t="s">
        <v>5</v>
      </c>
      <c r="AD15" s="43"/>
    </row>
    <row r="16" spans="1:30" x14ac:dyDescent="0.25">
      <c r="B16" s="2" t="s">
        <v>0</v>
      </c>
      <c r="C16" s="2">
        <f>10*1024</f>
        <v>10240</v>
      </c>
      <c r="D16" s="2" t="s">
        <v>42</v>
      </c>
      <c r="E16" s="2">
        <f>80*1024</f>
        <v>81920</v>
      </c>
      <c r="F16" s="2" t="s">
        <v>42</v>
      </c>
      <c r="G16" s="46">
        <v>0</v>
      </c>
      <c r="H16" s="2" t="s">
        <v>42</v>
      </c>
      <c r="I16" s="2">
        <v>0</v>
      </c>
      <c r="J16" s="2" t="s">
        <v>42</v>
      </c>
      <c r="K16" s="2">
        <v>0</v>
      </c>
      <c r="L16" s="2" t="s">
        <v>42</v>
      </c>
      <c r="M16" s="2">
        <v>0</v>
      </c>
      <c r="N16" s="2" t="s">
        <v>42</v>
      </c>
      <c r="O16" s="2">
        <v>0</v>
      </c>
      <c r="P16" s="2" t="s">
        <v>42</v>
      </c>
      <c r="Q16" s="2">
        <v>0</v>
      </c>
      <c r="R16" s="2" t="s">
        <v>42</v>
      </c>
      <c r="S16" s="2">
        <v>0</v>
      </c>
      <c r="T16" s="2" t="s">
        <v>42</v>
      </c>
      <c r="U16" s="2">
        <v>0</v>
      </c>
      <c r="V16" s="2" t="s">
        <v>42</v>
      </c>
      <c r="W16" s="2">
        <v>0</v>
      </c>
      <c r="X16" s="2" t="s">
        <v>42</v>
      </c>
      <c r="Y16" s="2">
        <v>0</v>
      </c>
      <c r="Z16" s="2" t="s">
        <v>42</v>
      </c>
      <c r="AA16" s="2">
        <v>0</v>
      </c>
      <c r="AB16" s="2" t="s">
        <v>42</v>
      </c>
      <c r="AC16" s="2">
        <v>0</v>
      </c>
      <c r="AD16" s="2" t="s">
        <v>42</v>
      </c>
    </row>
    <row r="17" spans="1:34" s="25" customFormat="1" x14ac:dyDescent="0.25">
      <c r="B17" s="3" t="s">
        <v>44</v>
      </c>
      <c r="C17" s="16">
        <f>C16*0.01</f>
        <v>102.4</v>
      </c>
      <c r="D17" s="3" t="s">
        <v>42</v>
      </c>
      <c r="E17" s="16">
        <f>E16*0.01</f>
        <v>819.2</v>
      </c>
      <c r="F17" s="3" t="s">
        <v>42</v>
      </c>
      <c r="G17" s="16">
        <f t="shared" ref="G17" si="2">G16*0.01</f>
        <v>0</v>
      </c>
      <c r="H17" s="3" t="s">
        <v>42</v>
      </c>
      <c r="I17" s="16">
        <f t="shared" ref="I17" si="3">I16*0.01</f>
        <v>0</v>
      </c>
      <c r="J17" s="3" t="s">
        <v>42</v>
      </c>
      <c r="K17" s="16">
        <f t="shared" ref="K17" si="4">K16*0.01</f>
        <v>0</v>
      </c>
      <c r="L17" s="3" t="s">
        <v>42</v>
      </c>
      <c r="M17" s="16">
        <f t="shared" ref="M17" si="5">M16*0.01</f>
        <v>0</v>
      </c>
      <c r="N17" s="3" t="s">
        <v>42</v>
      </c>
      <c r="O17" s="16">
        <f t="shared" ref="O17" si="6">O16*0.01</f>
        <v>0</v>
      </c>
      <c r="P17" s="3" t="s">
        <v>42</v>
      </c>
      <c r="Q17" s="16">
        <f t="shared" ref="Q17" si="7">Q16*0.01</f>
        <v>0</v>
      </c>
      <c r="R17" s="3" t="s">
        <v>42</v>
      </c>
      <c r="S17" s="16">
        <f t="shared" ref="S17" si="8">S16*0.01</f>
        <v>0</v>
      </c>
      <c r="T17" s="3" t="s">
        <v>42</v>
      </c>
      <c r="U17" s="16">
        <f t="shared" ref="U17" si="9">U16*0.01</f>
        <v>0</v>
      </c>
      <c r="V17" s="3" t="s">
        <v>42</v>
      </c>
      <c r="W17" s="16">
        <f t="shared" ref="W17" si="10">W16*0.01</f>
        <v>0</v>
      </c>
      <c r="X17" s="3" t="s">
        <v>42</v>
      </c>
      <c r="Y17" s="16">
        <f t="shared" ref="Y17" si="11">Y16*0.01</f>
        <v>0</v>
      </c>
      <c r="Z17" s="3" t="s">
        <v>42</v>
      </c>
      <c r="AA17" s="16">
        <f t="shared" ref="AA17" si="12">AA16*0.01</f>
        <v>0</v>
      </c>
      <c r="AB17" s="3" t="s">
        <v>42</v>
      </c>
      <c r="AC17" s="16">
        <f t="shared" ref="AC17" si="13">AC16*0.01</f>
        <v>0</v>
      </c>
      <c r="AD17" s="3" t="s">
        <v>42</v>
      </c>
    </row>
    <row r="18" spans="1:34" s="25" customFormat="1" x14ac:dyDescent="0.25">
      <c r="B18" s="3" t="s">
        <v>43</v>
      </c>
      <c r="C18" s="16">
        <f>ROUNDUP((C17+C16)/1024, 0) * 1024</f>
        <v>11264</v>
      </c>
      <c r="D18" s="3" t="s">
        <v>42</v>
      </c>
      <c r="E18" s="16">
        <f>ROUNDUP((E17+E16)/1024, 0) * 1024</f>
        <v>82944</v>
      </c>
      <c r="F18" s="3" t="s">
        <v>42</v>
      </c>
      <c r="G18" s="16">
        <f t="shared" ref="G18" si="14">ROUNDUP((G17+G16)/1024, 0) * 1024</f>
        <v>0</v>
      </c>
      <c r="H18" s="3" t="s">
        <v>42</v>
      </c>
      <c r="I18" s="16">
        <f t="shared" ref="I18" si="15">ROUNDUP((I17+I16)/1024, 0) * 1024</f>
        <v>0</v>
      </c>
      <c r="J18" s="3" t="s">
        <v>42</v>
      </c>
      <c r="K18" s="16">
        <f t="shared" ref="K18" si="16">ROUNDUP((K17+K16)/1024, 0) * 1024</f>
        <v>0</v>
      </c>
      <c r="L18" s="3" t="s">
        <v>42</v>
      </c>
      <c r="M18" s="16">
        <f t="shared" ref="M18" si="17">ROUNDUP((M17+M16)/1024, 0) * 1024</f>
        <v>0</v>
      </c>
      <c r="N18" s="3" t="s">
        <v>42</v>
      </c>
      <c r="O18" s="16">
        <f t="shared" ref="O18" si="18">ROUNDUP((O17+O16)/1024, 0) * 1024</f>
        <v>0</v>
      </c>
      <c r="P18" s="3" t="s">
        <v>42</v>
      </c>
      <c r="Q18" s="16">
        <f t="shared" ref="Q18" si="19">ROUNDUP((Q17+Q16)/1024, 0) * 1024</f>
        <v>0</v>
      </c>
      <c r="R18" s="3" t="s">
        <v>42</v>
      </c>
      <c r="S18" s="16">
        <f t="shared" ref="S18" si="20">ROUNDUP((S17+S16)/1024, 0) * 1024</f>
        <v>0</v>
      </c>
      <c r="T18" s="3" t="s">
        <v>42</v>
      </c>
      <c r="U18" s="16">
        <f t="shared" ref="U18" si="21">ROUNDUP((U17+U16)/1024, 0) * 1024</f>
        <v>0</v>
      </c>
      <c r="V18" s="3" t="s">
        <v>42</v>
      </c>
      <c r="W18" s="16">
        <f t="shared" ref="W18" si="22">ROUNDUP((W17+W16)/1024, 0) * 1024</f>
        <v>0</v>
      </c>
      <c r="X18" s="3" t="s">
        <v>42</v>
      </c>
      <c r="Y18" s="16">
        <f t="shared" ref="Y18" si="23">ROUNDUP((Y17+Y16)/1024, 0) * 1024</f>
        <v>0</v>
      </c>
      <c r="Z18" s="3" t="s">
        <v>42</v>
      </c>
      <c r="AA18" s="16">
        <f t="shared" ref="AA18" si="24">ROUNDUP((AA17+AA16)/1024, 0) * 1024</f>
        <v>0</v>
      </c>
      <c r="AB18" s="3" t="s">
        <v>42</v>
      </c>
      <c r="AC18" s="16">
        <f t="shared" ref="AC18" si="25">ROUNDUP((AC17+AC16)/1024, 0) * 1024</f>
        <v>0</v>
      </c>
      <c r="AD18" s="3" t="s">
        <v>42</v>
      </c>
    </row>
    <row r="19" spans="1:34" ht="15.75" thickBot="1" x14ac:dyDescent="0.3">
      <c r="B19" s="4" t="s">
        <v>1</v>
      </c>
      <c r="C19" s="5">
        <v>1000</v>
      </c>
      <c r="D19" s="5" t="s">
        <v>2</v>
      </c>
      <c r="E19" s="5">
        <v>1200</v>
      </c>
      <c r="F19" s="5" t="s">
        <v>2</v>
      </c>
      <c r="G19" s="5">
        <v>0</v>
      </c>
      <c r="H19" s="5" t="s">
        <v>2</v>
      </c>
      <c r="I19" s="4">
        <v>0</v>
      </c>
      <c r="J19" s="5" t="s">
        <v>2</v>
      </c>
      <c r="K19" s="4">
        <v>0</v>
      </c>
      <c r="L19" s="5" t="s">
        <v>2</v>
      </c>
      <c r="M19" s="4">
        <v>0</v>
      </c>
      <c r="N19" s="5" t="s">
        <v>2</v>
      </c>
      <c r="O19" s="4">
        <v>0</v>
      </c>
      <c r="P19" s="5" t="s">
        <v>2</v>
      </c>
      <c r="Q19" s="4">
        <v>0</v>
      </c>
      <c r="R19" s="5" t="s">
        <v>2</v>
      </c>
      <c r="S19" s="4">
        <v>0</v>
      </c>
      <c r="T19" s="5" t="s">
        <v>2</v>
      </c>
      <c r="U19" s="4">
        <v>0</v>
      </c>
      <c r="V19" s="5" t="s">
        <v>2</v>
      </c>
      <c r="W19" s="4">
        <v>0</v>
      </c>
      <c r="X19" s="5" t="s">
        <v>2</v>
      </c>
      <c r="Y19" s="4">
        <v>0</v>
      </c>
      <c r="Z19" s="5" t="s">
        <v>2</v>
      </c>
      <c r="AA19" s="4">
        <v>0</v>
      </c>
      <c r="AB19" s="5" t="s">
        <v>2</v>
      </c>
      <c r="AC19" s="4">
        <v>0</v>
      </c>
      <c r="AD19" s="5" t="s">
        <v>2</v>
      </c>
    </row>
    <row r="20" spans="1:34" s="1" customFormat="1" ht="15.75" thickTop="1" x14ac:dyDescent="0.25">
      <c r="B20" s="19" t="s">
        <v>20</v>
      </c>
      <c r="C20" s="20">
        <f>((C18*C19)/1024)/1024</f>
        <v>10.7421875</v>
      </c>
      <c r="D20" s="20" t="s">
        <v>8</v>
      </c>
      <c r="E20" s="20">
        <f t="shared" ref="E20" si="26">((E18*E19)/1024)/1024</f>
        <v>94.921875</v>
      </c>
      <c r="F20" s="20" t="s">
        <v>8</v>
      </c>
      <c r="G20" s="20">
        <f t="shared" ref="G20" si="27">((G18*G19)/1024)/1024</f>
        <v>0</v>
      </c>
      <c r="H20" s="20" t="s">
        <v>8</v>
      </c>
      <c r="I20" s="20">
        <f t="shared" ref="I20" si="28">((I18*I19)/1024)/1024</f>
        <v>0</v>
      </c>
      <c r="J20" s="20" t="s">
        <v>8</v>
      </c>
      <c r="K20" s="20">
        <f t="shared" ref="K20" si="29">((K18*K19)/1024)/1024</f>
        <v>0</v>
      </c>
      <c r="L20" s="20" t="s">
        <v>8</v>
      </c>
      <c r="M20" s="20">
        <f t="shared" ref="M20" si="30">((M18*M19)/1024)/1024</f>
        <v>0</v>
      </c>
      <c r="N20" s="20" t="s">
        <v>8</v>
      </c>
      <c r="O20" s="20">
        <f t="shared" ref="O20" si="31">((O18*O19)/1024)/1024</f>
        <v>0</v>
      </c>
      <c r="P20" s="20" t="s">
        <v>8</v>
      </c>
      <c r="Q20" s="20">
        <f t="shared" ref="Q20" si="32">((Q18*Q19)/1024)/1024</f>
        <v>0</v>
      </c>
      <c r="R20" s="20" t="s">
        <v>8</v>
      </c>
      <c r="S20" s="20">
        <f t="shared" ref="S20" si="33">((S18*S19)/1024)/1024</f>
        <v>0</v>
      </c>
      <c r="T20" s="20" t="s">
        <v>8</v>
      </c>
      <c r="U20" s="20">
        <f t="shared" ref="U20" si="34">((U18*U19)/1024)/1024</f>
        <v>0</v>
      </c>
      <c r="V20" s="20" t="s">
        <v>8</v>
      </c>
      <c r="W20" s="20">
        <f t="shared" ref="W20" si="35">((W18*W19)/1024)/1024</f>
        <v>0</v>
      </c>
      <c r="X20" s="20" t="s">
        <v>8</v>
      </c>
      <c r="Y20" s="20">
        <f t="shared" ref="Y20" si="36">((Y18*Y19)/1024)/1024</f>
        <v>0</v>
      </c>
      <c r="Z20" s="20" t="s">
        <v>8</v>
      </c>
      <c r="AA20" s="20">
        <f t="shared" ref="AA20" si="37">((AA18*AA19)/1024)/1024</f>
        <v>0</v>
      </c>
      <c r="AB20" s="20" t="s">
        <v>8</v>
      </c>
      <c r="AC20" s="20">
        <f t="shared" ref="AC20" si="38">((AC18*AC19)/1024)/1024</f>
        <v>0</v>
      </c>
      <c r="AD20" s="20" t="s">
        <v>8</v>
      </c>
    </row>
    <row r="21" spans="1:34" ht="15.75" thickBot="1" x14ac:dyDescent="0.3">
      <c r="B21" s="9" t="s">
        <v>21</v>
      </c>
      <c r="C21" s="42">
        <f>C20/1024</f>
        <v>1.049041748046875E-2</v>
      </c>
      <c r="D21" s="13" t="s">
        <v>9</v>
      </c>
      <c r="E21" s="42">
        <f t="shared" ref="E21" si="39">E20/1024</f>
        <v>9.26971435546875E-2</v>
      </c>
      <c r="F21" s="13" t="s">
        <v>9</v>
      </c>
      <c r="G21" s="42">
        <f t="shared" ref="G21" si="40">G20/1024</f>
        <v>0</v>
      </c>
      <c r="H21" s="13" t="s">
        <v>9</v>
      </c>
      <c r="I21" s="42">
        <f t="shared" ref="I21" si="41">I20/1024</f>
        <v>0</v>
      </c>
      <c r="J21" s="13" t="s">
        <v>9</v>
      </c>
      <c r="K21" s="42">
        <f t="shared" ref="K21" si="42">K20/1024</f>
        <v>0</v>
      </c>
      <c r="L21" s="13" t="s">
        <v>9</v>
      </c>
      <c r="M21" s="42">
        <f t="shared" ref="M21" si="43">M20/1024</f>
        <v>0</v>
      </c>
      <c r="N21" s="13" t="s">
        <v>9</v>
      </c>
      <c r="O21" s="42">
        <f t="shared" ref="O21" si="44">O20/1024</f>
        <v>0</v>
      </c>
      <c r="P21" s="13" t="s">
        <v>9</v>
      </c>
      <c r="Q21" s="42">
        <f t="shared" ref="Q21" si="45">Q20/1024</f>
        <v>0</v>
      </c>
      <c r="R21" s="13" t="s">
        <v>9</v>
      </c>
      <c r="S21" s="42">
        <f t="shared" ref="S21" si="46">S20/1024</f>
        <v>0</v>
      </c>
      <c r="T21" s="13" t="s">
        <v>9</v>
      </c>
      <c r="U21" s="42">
        <f t="shared" ref="U21" si="47">U20/1024</f>
        <v>0</v>
      </c>
      <c r="V21" s="13" t="s">
        <v>9</v>
      </c>
      <c r="W21" s="42">
        <f t="shared" ref="W21" si="48">W20/1024</f>
        <v>0</v>
      </c>
      <c r="X21" s="13" t="s">
        <v>9</v>
      </c>
      <c r="Y21" s="42">
        <f t="shared" ref="Y21" si="49">Y20/1024</f>
        <v>0</v>
      </c>
      <c r="Z21" s="13" t="s">
        <v>9</v>
      </c>
      <c r="AA21" s="42">
        <f t="shared" ref="AA21" si="50">AA20/1024</f>
        <v>0</v>
      </c>
      <c r="AB21" s="13" t="s">
        <v>9</v>
      </c>
      <c r="AC21" s="42">
        <f t="shared" ref="AC21" si="51">AC20/1024</f>
        <v>0</v>
      </c>
      <c r="AD21" s="13" t="s">
        <v>9</v>
      </c>
    </row>
    <row r="22" spans="1:34" ht="15.75" thickTop="1" x14ac:dyDescent="0.25">
      <c r="F22" s="1"/>
      <c r="G22" s="1"/>
      <c r="H22" s="1"/>
      <c r="I22" s="1"/>
      <c r="J22" s="1"/>
      <c r="K22" s="1"/>
      <c r="L22" s="1"/>
      <c r="M22" s="1"/>
      <c r="N22" s="1"/>
      <c r="O22" s="1"/>
      <c r="P22" s="1"/>
      <c r="Q22" s="1"/>
      <c r="R22" s="1"/>
      <c r="S22" s="1"/>
      <c r="T22" s="1"/>
      <c r="U22" s="1"/>
      <c r="V22" s="1"/>
      <c r="W22" s="1"/>
      <c r="X22" s="1"/>
      <c r="Y22" s="1"/>
      <c r="Z22" s="1"/>
      <c r="AA22" s="1"/>
      <c r="AB22" s="1"/>
      <c r="AC22" s="1"/>
      <c r="AD22" s="1"/>
    </row>
    <row r="23" spans="1:34" s="1" customFormat="1" x14ac:dyDescent="0.25">
      <c r="A23" s="18" t="s">
        <v>4</v>
      </c>
    </row>
    <row r="24" spans="1:34" x14ac:dyDescent="0.25">
      <c r="B24" s="3" t="s">
        <v>29</v>
      </c>
      <c r="C24" s="16">
        <f>C18</f>
        <v>11264</v>
      </c>
      <c r="D24" s="3" t="s">
        <v>42</v>
      </c>
      <c r="E24" s="16">
        <f t="shared" ref="E24:AD24" si="52">E18</f>
        <v>82944</v>
      </c>
      <c r="F24" s="3" t="s">
        <v>42</v>
      </c>
      <c r="G24" s="16">
        <f t="shared" ref="G24:AD24" si="53">G18</f>
        <v>0</v>
      </c>
      <c r="H24" s="3" t="s">
        <v>42</v>
      </c>
      <c r="I24" s="16">
        <f t="shared" ref="I24:AD24" si="54">I18</f>
        <v>0</v>
      </c>
      <c r="J24" s="3" t="s">
        <v>42</v>
      </c>
      <c r="K24" s="16">
        <f t="shared" ref="K24:AD24" si="55">K18</f>
        <v>0</v>
      </c>
      <c r="L24" s="3" t="s">
        <v>42</v>
      </c>
      <c r="M24" s="16">
        <f t="shared" ref="M24:AD24" si="56">M18</f>
        <v>0</v>
      </c>
      <c r="N24" s="3" t="s">
        <v>42</v>
      </c>
      <c r="O24" s="16">
        <f t="shared" ref="O24:AD24" si="57">O18</f>
        <v>0</v>
      </c>
      <c r="P24" s="3" t="s">
        <v>42</v>
      </c>
      <c r="Q24" s="16">
        <f t="shared" ref="Q24:AD24" si="58">Q18</f>
        <v>0</v>
      </c>
      <c r="R24" s="3" t="s">
        <v>42</v>
      </c>
      <c r="S24" s="16">
        <f t="shared" ref="S24:AD24" si="59">S18</f>
        <v>0</v>
      </c>
      <c r="T24" s="3" t="s">
        <v>42</v>
      </c>
      <c r="U24" s="16">
        <f t="shared" ref="U24:AD24" si="60">U18</f>
        <v>0</v>
      </c>
      <c r="V24" s="3" t="s">
        <v>42</v>
      </c>
      <c r="W24" s="16">
        <f t="shared" ref="W24:AD24" si="61">W18</f>
        <v>0</v>
      </c>
      <c r="X24" s="3" t="s">
        <v>42</v>
      </c>
      <c r="Y24" s="16">
        <f t="shared" ref="Y24:AD24" si="62">Y18</f>
        <v>0</v>
      </c>
      <c r="Z24" s="3" t="s">
        <v>42</v>
      </c>
      <c r="AA24" s="16">
        <f t="shared" ref="AA24:AD24" si="63">AA18</f>
        <v>0</v>
      </c>
      <c r="AB24" s="3" t="s">
        <v>42</v>
      </c>
      <c r="AC24" s="16">
        <f t="shared" ref="AC24:AD24" si="64">AC18</f>
        <v>0</v>
      </c>
      <c r="AD24" s="3" t="s">
        <v>42</v>
      </c>
      <c r="AE24" s="11"/>
      <c r="AF24" s="11"/>
      <c r="AG24" s="11"/>
      <c r="AH24" s="11"/>
    </row>
    <row r="25" spans="1:34" x14ac:dyDescent="0.25">
      <c r="B25" s="7" t="s">
        <v>30</v>
      </c>
      <c r="C25" s="10">
        <v>5</v>
      </c>
      <c r="D25" s="10" t="s">
        <v>17</v>
      </c>
      <c r="E25" s="10">
        <v>8</v>
      </c>
      <c r="F25" s="10" t="s">
        <v>17</v>
      </c>
      <c r="G25" s="10">
        <v>0</v>
      </c>
      <c r="H25" s="10" t="s">
        <v>17</v>
      </c>
      <c r="I25" s="10">
        <v>0</v>
      </c>
      <c r="J25" s="10" t="s">
        <v>17</v>
      </c>
      <c r="K25" s="10">
        <v>0</v>
      </c>
      <c r="L25" s="10" t="s">
        <v>17</v>
      </c>
      <c r="M25" s="10">
        <v>0</v>
      </c>
      <c r="N25" s="10" t="s">
        <v>17</v>
      </c>
      <c r="O25" s="10">
        <v>0</v>
      </c>
      <c r="P25" s="10" t="s">
        <v>17</v>
      </c>
      <c r="Q25" s="10">
        <v>0</v>
      </c>
      <c r="R25" s="10" t="s">
        <v>17</v>
      </c>
      <c r="S25" s="10">
        <v>0</v>
      </c>
      <c r="T25" s="10" t="s">
        <v>17</v>
      </c>
      <c r="U25" s="10">
        <v>0</v>
      </c>
      <c r="V25" s="10" t="s">
        <v>17</v>
      </c>
      <c r="W25" s="10">
        <v>0</v>
      </c>
      <c r="X25" s="10" t="s">
        <v>17</v>
      </c>
      <c r="Y25" s="10">
        <v>0</v>
      </c>
      <c r="Z25" s="10" t="s">
        <v>17</v>
      </c>
      <c r="AA25" s="10">
        <v>0</v>
      </c>
      <c r="AB25" s="10" t="s">
        <v>17</v>
      </c>
      <c r="AC25" s="10">
        <v>0</v>
      </c>
      <c r="AD25" s="10" t="s">
        <v>17</v>
      </c>
      <c r="AE25" s="10"/>
      <c r="AF25" s="10"/>
      <c r="AG25" s="10"/>
      <c r="AH25" s="10"/>
    </row>
    <row r="26" spans="1:34" x14ac:dyDescent="0.25">
      <c r="B26" s="19" t="s">
        <v>16</v>
      </c>
      <c r="C26" s="19">
        <f>C25*60*60</f>
        <v>18000</v>
      </c>
      <c r="D26" s="19" t="s">
        <v>18</v>
      </c>
      <c r="E26" s="19">
        <f>E25*60*60</f>
        <v>28800</v>
      </c>
      <c r="F26" s="19" t="s">
        <v>18</v>
      </c>
      <c r="G26" s="19">
        <f>G25*60*60</f>
        <v>0</v>
      </c>
      <c r="H26" s="19" t="s">
        <v>18</v>
      </c>
      <c r="I26" s="19">
        <f>I25*60*60</f>
        <v>0</v>
      </c>
      <c r="J26" s="19" t="s">
        <v>18</v>
      </c>
      <c r="K26" s="19">
        <f>K25*60*60</f>
        <v>0</v>
      </c>
      <c r="L26" s="19" t="s">
        <v>18</v>
      </c>
      <c r="M26" s="19">
        <f>M25*60*60</f>
        <v>0</v>
      </c>
      <c r="N26" s="19" t="s">
        <v>18</v>
      </c>
      <c r="O26" s="19">
        <f>O25*60*60</f>
        <v>0</v>
      </c>
      <c r="P26" s="19" t="s">
        <v>18</v>
      </c>
      <c r="Q26" s="19">
        <f>Q25*60*60</f>
        <v>0</v>
      </c>
      <c r="R26" s="19" t="s">
        <v>18</v>
      </c>
      <c r="S26" s="19">
        <f>S25*60*60</f>
        <v>0</v>
      </c>
      <c r="T26" s="19" t="s">
        <v>18</v>
      </c>
      <c r="U26" s="19">
        <f>U25*60*60</f>
        <v>0</v>
      </c>
      <c r="V26" s="19" t="s">
        <v>18</v>
      </c>
      <c r="W26" s="19">
        <f>W25*60*60</f>
        <v>0</v>
      </c>
      <c r="X26" s="19" t="s">
        <v>18</v>
      </c>
      <c r="Y26" s="19">
        <f>Y25*60*60</f>
        <v>0</v>
      </c>
      <c r="Z26" s="19" t="s">
        <v>18</v>
      </c>
      <c r="AA26" s="19">
        <f>AA25*60*60</f>
        <v>0</v>
      </c>
      <c r="AB26" s="19" t="s">
        <v>18</v>
      </c>
      <c r="AC26" s="19">
        <f>AC25*60*60</f>
        <v>0</v>
      </c>
      <c r="AD26" s="19" t="s">
        <v>18</v>
      </c>
      <c r="AE26" s="10"/>
      <c r="AF26" s="10"/>
      <c r="AG26" s="10"/>
      <c r="AH26" s="10"/>
    </row>
    <row r="27" spans="1:34" ht="15.75" thickBot="1" x14ac:dyDescent="0.3">
      <c r="B27" s="9" t="s">
        <v>15</v>
      </c>
      <c r="C27" s="24">
        <f>ROUNDUP((C26*C24)/1024/1024,0)</f>
        <v>194</v>
      </c>
      <c r="D27" s="13" t="s">
        <v>19</v>
      </c>
      <c r="E27" s="24">
        <f t="shared" ref="E27" si="65">ROUNDUP((E26*E24)/1024/1024,0)</f>
        <v>2279</v>
      </c>
      <c r="F27" s="13" t="s">
        <v>19</v>
      </c>
      <c r="G27" s="24">
        <f t="shared" ref="G27" si="66">ROUNDUP((G26*G24)/1024/1024,0)</f>
        <v>0</v>
      </c>
      <c r="H27" s="13" t="s">
        <v>19</v>
      </c>
      <c r="I27" s="24">
        <f t="shared" ref="I27" si="67">ROUNDUP((I26*I24)/1024/1024,0)</f>
        <v>0</v>
      </c>
      <c r="J27" s="13" t="s">
        <v>19</v>
      </c>
      <c r="K27" s="24">
        <f t="shared" ref="K27" si="68">ROUNDUP((K26*K24)/1024/1024,0)</f>
        <v>0</v>
      </c>
      <c r="L27" s="13" t="s">
        <v>19</v>
      </c>
      <c r="M27" s="24">
        <f t="shared" ref="M27" si="69">ROUNDUP((M26*M24)/1024/1024,0)</f>
        <v>0</v>
      </c>
      <c r="N27" s="13" t="s">
        <v>19</v>
      </c>
      <c r="O27" s="24">
        <f t="shared" ref="O27" si="70">ROUNDUP((O26*O24)/1024/1024,0)</f>
        <v>0</v>
      </c>
      <c r="P27" s="13" t="s">
        <v>19</v>
      </c>
      <c r="Q27" s="24">
        <f t="shared" ref="Q27" si="71">ROUNDUP((Q26*Q24)/1024/1024,0)</f>
        <v>0</v>
      </c>
      <c r="R27" s="13" t="s">
        <v>19</v>
      </c>
      <c r="S27" s="24">
        <f t="shared" ref="S27" si="72">ROUNDUP((S26*S24)/1024/1024,0)</f>
        <v>0</v>
      </c>
      <c r="T27" s="13" t="s">
        <v>19</v>
      </c>
      <c r="U27" s="24">
        <f t="shared" ref="U27" si="73">ROUNDUP((U26*U24)/1024/1024,0)</f>
        <v>0</v>
      </c>
      <c r="V27" s="13" t="s">
        <v>19</v>
      </c>
      <c r="W27" s="24">
        <f t="shared" ref="W27" si="74">ROUNDUP((W26*W24)/1024/1024,0)</f>
        <v>0</v>
      </c>
      <c r="X27" s="13" t="s">
        <v>19</v>
      </c>
      <c r="Y27" s="24">
        <f t="shared" ref="Y27" si="75">ROUNDUP((Y26*Y24)/1024/1024,0)</f>
        <v>0</v>
      </c>
      <c r="Z27" s="13" t="s">
        <v>19</v>
      </c>
      <c r="AA27" s="24">
        <f t="shared" ref="AA27" si="76">ROUNDUP((AA26*AA24)/1024/1024,0)</f>
        <v>0</v>
      </c>
      <c r="AB27" s="13" t="s">
        <v>19</v>
      </c>
      <c r="AC27" s="24">
        <f t="shared" ref="AC27" si="77">ROUNDUP((AC26*AC24)/1024/1024,0)</f>
        <v>0</v>
      </c>
      <c r="AD27" s="13" t="s">
        <v>19</v>
      </c>
    </row>
    <row r="28" spans="1:34" s="1" customFormat="1" ht="15.75" thickTop="1" x14ac:dyDescent="0.25"/>
    <row r="29" spans="1:34" s="1" customFormat="1" x14ac:dyDescent="0.25">
      <c r="A29" s="18" t="s">
        <v>31</v>
      </c>
    </row>
    <row r="30" spans="1:34" s="1" customFormat="1" x14ac:dyDescent="0.25">
      <c r="B30" s="7" t="s">
        <v>33</v>
      </c>
      <c r="C30" s="10">
        <v>4</v>
      </c>
    </row>
    <row r="31" spans="1:34" s="1" customFormat="1" x14ac:dyDescent="0.25">
      <c r="B31" s="7" t="s">
        <v>34</v>
      </c>
      <c r="C31" s="10">
        <v>1</v>
      </c>
    </row>
    <row r="32" spans="1:34" s="1" customFormat="1" x14ac:dyDescent="0.25">
      <c r="B32" s="7" t="s">
        <v>37</v>
      </c>
      <c r="C32" s="10">
        <v>3</v>
      </c>
    </row>
    <row r="33" spans="1:6" s="1" customFormat="1" x14ac:dyDescent="0.25">
      <c r="B33" s="7" t="s">
        <v>35</v>
      </c>
      <c r="C33" s="35" t="s">
        <v>36</v>
      </c>
    </row>
    <row r="34" spans="1:6" s="1" customFormat="1" ht="15.75" thickBot="1" x14ac:dyDescent="0.3">
      <c r="B34" s="36" t="s">
        <v>32</v>
      </c>
      <c r="C34" s="36">
        <f>IF(C33="Yes", (C31*C32), ((C30*C31)*C32))</f>
        <v>3</v>
      </c>
    </row>
    <row r="35" spans="1:6" s="1" customFormat="1" ht="15.75" thickTop="1" x14ac:dyDescent="0.25"/>
    <row r="36" spans="1:6" s="1" customFormat="1" x14ac:dyDescent="0.25"/>
    <row r="37" spans="1:6" s="1" customFormat="1" x14ac:dyDescent="0.25">
      <c r="A37" s="18" t="s">
        <v>22</v>
      </c>
      <c r="E37" s="25" t="s">
        <v>24</v>
      </c>
    </row>
    <row r="38" spans="1:6" s="1" customFormat="1" x14ac:dyDescent="0.25">
      <c r="B38" s="3" t="s">
        <v>23</v>
      </c>
      <c r="C38" s="16">
        <f>SUM(C20,E20,G20,I20,K20,M20,O20,Q20,S20,U20,W20,Y20,AA20,AC20)</f>
        <v>105.6640625</v>
      </c>
      <c r="D38" s="6" t="s">
        <v>8</v>
      </c>
      <c r="E38" s="1">
        <f>IF(C38&lt;=B$6,$B$6,IF(C38&lt;=B$7,$B$7,IF(C38&lt;=B$8,$B$8,IF(C38&lt;=B$9,$B$9,IF(C38&lt;=B$10,$B$10,IF(C38&lt;=B$11,$B$11,-1))))))</f>
        <v>128</v>
      </c>
      <c r="F38" s="26" t="str">
        <f>IF(E38=-1,"Beyond maximum cache offering! ","")</f>
        <v/>
      </c>
    </row>
    <row r="39" spans="1:6" s="1" customFormat="1" x14ac:dyDescent="0.25">
      <c r="B39" s="3" t="s">
        <v>16</v>
      </c>
      <c r="C39" s="16">
        <f>SUM(C26,E26,G26,I26,K26,M26,O26,Q26,S26,U26,W26,Y26,AA26,AC26)</f>
        <v>46800</v>
      </c>
      <c r="D39" s="6" t="s">
        <v>18</v>
      </c>
      <c r="E39" s="1">
        <f>IF(C39&lt;=C$6,$B$6,IF(C39&lt;=C$7,$B$7,IF(C39&lt;=C$8,$B$8,IF(C39&lt;=C$9,$B$9,IF(C39&lt;=C$10,$B$10,IF(C39&lt;=C$11,$B$11,-1))))))</f>
        <v>128</v>
      </c>
      <c r="F39" s="26" t="str">
        <f>IF(E39=-1,"Beyond maximum cache offering! ","")</f>
        <v/>
      </c>
    </row>
    <row r="40" spans="1:6" s="1" customFormat="1" x14ac:dyDescent="0.25">
      <c r="B40" s="3" t="s">
        <v>15</v>
      </c>
      <c r="C40" s="16">
        <f>SUM(C27,E27,G27,I27,K27,M27,O27,Q27,S27,U27,W27,Y27,AA27,AC27)</f>
        <v>2473</v>
      </c>
      <c r="D40" s="6" t="s">
        <v>19</v>
      </c>
      <c r="E40" s="1">
        <f>IF(C40&lt;=E$6,$B$6,IF(C40&lt;=E$7,$B$7,IF(C40&lt;=E$8,$B$8,IF(C40&lt;=E$9,$B$9,IF(C40&lt;=E$10,$B$10,IF(C40&lt;=E$11,$B$11,-1))))))</f>
        <v>256</v>
      </c>
      <c r="F40" s="26" t="str">
        <f>IF(E40=-1,"Beyond maximum cache offering! ","")</f>
        <v/>
      </c>
    </row>
    <row r="41" spans="1:6" s="1" customFormat="1" x14ac:dyDescent="0.25">
      <c r="B41" s="3" t="s">
        <v>38</v>
      </c>
      <c r="C41" s="3">
        <f>C34</f>
        <v>3</v>
      </c>
      <c r="D41" s="3" t="s">
        <v>26</v>
      </c>
      <c r="E41" s="1">
        <f>IF(C41&lt;=G$6,$B$6,IF(C41&lt;=G$7,$B$7,IF(C41&lt;=G$8,$B$8,IF(C41&lt;=G$9,$B$9,IF(C41&lt;=G$10,$B$10,IF(C41&lt;=G$11,$B$11,-1))))))</f>
        <v>128</v>
      </c>
      <c r="F41" s="26" t="str">
        <f>IF(E41=-1,"Beyond maximum cache offering! ","")</f>
        <v/>
      </c>
    </row>
    <row r="42" spans="1:6" s="1" customFormat="1" x14ac:dyDescent="0.25">
      <c r="B42" s="14" t="s">
        <v>27</v>
      </c>
      <c r="C42" s="17">
        <f>MAX(E38:E41)</f>
        <v>256</v>
      </c>
      <c r="D42" s="15" t="s">
        <v>28</v>
      </c>
      <c r="E42" s="26" t="str">
        <f>IF(LEN(F41&amp;F40&amp;F39&amp;F38)&gt;0,"Error: Exceeds one or more maximum quota.","")</f>
        <v/>
      </c>
    </row>
    <row r="44" spans="1:6" x14ac:dyDescent="0.25">
      <c r="A44" s="18"/>
    </row>
    <row r="45" spans="1:6" x14ac:dyDescent="0.25">
      <c r="B45" s="8"/>
    </row>
    <row r="46" spans="1:6" x14ac:dyDescent="0.25">
      <c r="B46" s="8"/>
    </row>
    <row r="47" spans="1:6" x14ac:dyDescent="0.25">
      <c r="B47" s="8"/>
    </row>
    <row r="48" spans="1:6" x14ac:dyDescent="0.25">
      <c r="B48" s="8"/>
    </row>
  </sheetData>
  <mergeCells count="17">
    <mergeCell ref="B1:L1"/>
    <mergeCell ref="B3:L3"/>
    <mergeCell ref="B2:L2"/>
    <mergeCell ref="AA15:AB15"/>
    <mergeCell ref="C15:D15"/>
    <mergeCell ref="E15:F15"/>
    <mergeCell ref="AC15:AD15"/>
    <mergeCell ref="G15:H15"/>
    <mergeCell ref="I15:J15"/>
    <mergeCell ref="K15:L15"/>
    <mergeCell ref="M15:N15"/>
    <mergeCell ref="O15:P15"/>
    <mergeCell ref="Q15:R15"/>
    <mergeCell ref="Y15:Z15"/>
    <mergeCell ref="S15:T15"/>
    <mergeCell ref="U15:V15"/>
    <mergeCell ref="W15:X15"/>
  </mergeCells>
  <hyperlinks>
    <hyperlink ref="B3" r:id="rId1"/>
  </hyperlinks>
  <pageMargins left="0.7" right="0.7" top="0.75" bottom="0.75" header="0.3" footer="0.3"/>
  <pageSetup orientation="portrait" horizontalDpi="0" verticalDpi="0"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Cache Cluster 1</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Roth</dc:creator>
  <cp:lastModifiedBy>Jason Roth</cp:lastModifiedBy>
  <dcterms:created xsi:type="dcterms:W3CDTF">2011-02-25T03:27:05Z</dcterms:created>
  <dcterms:modified xsi:type="dcterms:W3CDTF">2011-12-07T04:33:11Z</dcterms:modified>
</cp:coreProperties>
</file>