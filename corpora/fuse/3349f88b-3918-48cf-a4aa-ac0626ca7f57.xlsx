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6" yWindow="-372" windowWidth="20400" windowHeight="11640"/>
  </bookViews>
  <sheets>
    <sheet name="January 2012 - Data" sheetId="1" r:id="rId1"/>
    <sheet name="January 2013 - HP Toner" sheetId="5" r:id="rId2"/>
    <sheet name="Tables" sheetId="3" r:id="rId3"/>
    <sheet name="Totals" sheetId="4" r:id="rId4"/>
  </sheets>
  <calcPr calcId="145621"/>
</workbook>
</file>

<file path=xl/calcChain.xml><?xml version="1.0" encoding="utf-8"?>
<calcChain xmlns="http://schemas.openxmlformats.org/spreadsheetml/2006/main">
  <c r="BC379" i="1" l="1"/>
  <c r="M379" i="1"/>
  <c r="BC296" i="1"/>
  <c r="BC292" i="1"/>
  <c r="BC290" i="1"/>
  <c r="BC288" i="1"/>
  <c r="BC284" i="1"/>
  <c r="BC279" i="1"/>
  <c r="BC277" i="1"/>
  <c r="BC275" i="1"/>
  <c r="BC273" i="1"/>
  <c r="BC271" i="1"/>
  <c r="BC266" i="1"/>
  <c r="BC264" i="1"/>
  <c r="BC259" i="1"/>
  <c r="BC257" i="1"/>
  <c r="BC242" i="1"/>
  <c r="BC238" i="1"/>
  <c r="BC232" i="1"/>
  <c r="BC228" i="1"/>
  <c r="BC226" i="1"/>
  <c r="BC223" i="1"/>
  <c r="BC221" i="1"/>
  <c r="BC219" i="1"/>
  <c r="BC215" i="1"/>
  <c r="BC213" i="1"/>
  <c r="BC207" i="1"/>
  <c r="BC205" i="1"/>
  <c r="BC201" i="1"/>
  <c r="BC195" i="1"/>
  <c r="BC193" i="1"/>
  <c r="BC187" i="1"/>
  <c r="BC185" i="1"/>
  <c r="BC182" i="1"/>
  <c r="BC179" i="1"/>
  <c r="BC175" i="1"/>
  <c r="BC173" i="1"/>
  <c r="BC171" i="1"/>
  <c r="BC169" i="1"/>
  <c r="BC165" i="1"/>
  <c r="BC161" i="1"/>
  <c r="BC155" i="1"/>
  <c r="BC149" i="1"/>
  <c r="BC147" i="1"/>
  <c r="BC145" i="1"/>
  <c r="BC143" i="1"/>
  <c r="BC137" i="1"/>
  <c r="BC124" i="1"/>
  <c r="BC111" i="1"/>
  <c r="BC108" i="1"/>
  <c r="BC105" i="1"/>
  <c r="BC101" i="1"/>
  <c r="BC98" i="1"/>
  <c r="BC96" i="1"/>
  <c r="BC94" i="1"/>
  <c r="BC90" i="1"/>
  <c r="BC84" i="1"/>
  <c r="BC80" i="1"/>
  <c r="BC78" i="1"/>
  <c r="BC74" i="1"/>
  <c r="BC69" i="1"/>
  <c r="BC65" i="1"/>
  <c r="BC56" i="1"/>
  <c r="BC53" i="1"/>
  <c r="BC51" i="1"/>
  <c r="BC49" i="1"/>
  <c r="BC38" i="1"/>
  <c r="BC36" i="1"/>
  <c r="BC34" i="1"/>
  <c r="BC32" i="1"/>
  <c r="BC18" i="1"/>
  <c r="BC15" i="1"/>
  <c r="BC13" i="1"/>
  <c r="BC4" i="1"/>
  <c r="I265" i="1" l="1"/>
  <c r="L27" i="5" l="1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G12" i="4" l="1"/>
  <c r="L25" i="5"/>
  <c r="E15" i="4" l="1"/>
  <c r="E14" i="4"/>
  <c r="D15" i="4"/>
  <c r="D14" i="4"/>
  <c r="G17" i="1"/>
  <c r="Q17" i="1" s="1"/>
  <c r="G19" i="1"/>
  <c r="Q19" i="1" s="1"/>
  <c r="G24" i="1"/>
  <c r="G21" i="1"/>
  <c r="G30" i="1"/>
  <c r="P30" i="1" s="1"/>
  <c r="G26" i="1"/>
  <c r="Q26" i="1" s="1"/>
  <c r="G23" i="1"/>
  <c r="G29" i="1"/>
  <c r="G25" i="1"/>
  <c r="P25" i="1" s="1"/>
  <c r="G31" i="1"/>
  <c r="Q31" i="1" s="1"/>
  <c r="G22" i="1"/>
  <c r="G20" i="1"/>
  <c r="G27" i="1"/>
  <c r="P27" i="1" s="1"/>
  <c r="G28" i="1"/>
  <c r="Q28" i="1" s="1"/>
  <c r="G59" i="1"/>
  <c r="G60" i="1"/>
  <c r="G61" i="1"/>
  <c r="P61" i="1" s="1"/>
  <c r="G64" i="1"/>
  <c r="Q64" i="1" s="1"/>
  <c r="G62" i="1"/>
  <c r="G63" i="1"/>
  <c r="G82" i="1"/>
  <c r="Q82" i="1" s="1"/>
  <c r="G83" i="1"/>
  <c r="P83" i="1" s="1"/>
  <c r="G81" i="1"/>
  <c r="G86" i="1"/>
  <c r="P86" i="1" s="1"/>
  <c r="G87" i="1"/>
  <c r="Q87" i="1" s="1"/>
  <c r="G85" i="1"/>
  <c r="P85" i="1" s="1"/>
  <c r="G88" i="1"/>
  <c r="G110" i="1"/>
  <c r="P110" i="1" s="1"/>
  <c r="G125" i="1"/>
  <c r="Q125" i="1" s="1"/>
  <c r="G109" i="1"/>
  <c r="P109" i="1" s="1"/>
  <c r="G114" i="1"/>
  <c r="G115" i="1"/>
  <c r="P115" i="1" s="1"/>
  <c r="G116" i="1"/>
  <c r="Q116" i="1" s="1"/>
  <c r="G117" i="1"/>
  <c r="P117" i="1" s="1"/>
  <c r="G112" i="1"/>
  <c r="G113" i="1"/>
  <c r="P113" i="1" s="1"/>
  <c r="G133" i="1"/>
  <c r="Q133" i="1" s="1"/>
  <c r="G135" i="1"/>
  <c r="P135" i="1" s="1"/>
  <c r="G132" i="1"/>
  <c r="Q132" i="1" s="1"/>
  <c r="G129" i="1"/>
  <c r="G134" i="1"/>
  <c r="Q134" i="1" s="1"/>
  <c r="G136" i="1"/>
  <c r="P136" i="1" s="1"/>
  <c r="G130" i="1"/>
  <c r="Q130" i="1" s="1"/>
  <c r="G126" i="1"/>
  <c r="G128" i="1"/>
  <c r="Q128" i="1" s="1"/>
  <c r="G127" i="1"/>
  <c r="P127" i="1" s="1"/>
  <c r="G131" i="1"/>
  <c r="Q131" i="1" s="1"/>
  <c r="G152" i="1"/>
  <c r="G150" i="1"/>
  <c r="P150" i="1" s="1"/>
  <c r="G151" i="1"/>
  <c r="Q151" i="1" s="1"/>
  <c r="G154" i="1"/>
  <c r="G153" i="1"/>
  <c r="P153" i="1" s="1"/>
  <c r="G178" i="1"/>
  <c r="P178" i="1" s="1"/>
  <c r="G174" i="1"/>
  <c r="P174" i="1" s="1"/>
  <c r="G176" i="1"/>
  <c r="Q176" i="1" s="1"/>
  <c r="G177" i="1"/>
  <c r="G189" i="1"/>
  <c r="P189" i="1" s="1"/>
  <c r="G188" i="1"/>
  <c r="P188" i="1" s="1"/>
  <c r="G190" i="1"/>
  <c r="Q190" i="1" s="1"/>
  <c r="G194" i="1"/>
  <c r="G196" i="1"/>
  <c r="P196" i="1" s="1"/>
  <c r="G198" i="1"/>
  <c r="P198" i="1" s="1"/>
  <c r="G197" i="1"/>
  <c r="G210" i="1"/>
  <c r="P210" i="1" s="1"/>
  <c r="G211" i="1"/>
  <c r="P211" i="1" s="1"/>
  <c r="G208" i="1"/>
  <c r="P208" i="1" s="1"/>
  <c r="G209" i="1"/>
  <c r="Q209" i="1" s="1"/>
  <c r="G217" i="1"/>
  <c r="G216" i="1"/>
  <c r="P216" i="1" s="1"/>
  <c r="G218" i="1"/>
  <c r="P218" i="1" s="1"/>
  <c r="G230" i="1"/>
  <c r="P230" i="1" s="1"/>
  <c r="G229" i="1"/>
  <c r="Q229" i="1" s="1"/>
  <c r="G231" i="1"/>
  <c r="P231" i="1" s="1"/>
  <c r="G291" i="1"/>
  <c r="Q291" i="1" s="1"/>
  <c r="G240" i="1"/>
  <c r="P240" i="1" s="1"/>
  <c r="G241" i="1"/>
  <c r="Q241" i="1" s="1"/>
  <c r="G260" i="1"/>
  <c r="P260" i="1" s="1"/>
  <c r="G261" i="1"/>
  <c r="Q261" i="1" s="1"/>
  <c r="G262" i="1"/>
  <c r="P262" i="1" s="1"/>
  <c r="G263" i="1"/>
  <c r="Q263" i="1" s="1"/>
  <c r="G214" i="1"/>
  <c r="P214" i="1" s="1"/>
  <c r="G289" i="1"/>
  <c r="P289" i="1" s="1"/>
  <c r="G253" i="1"/>
  <c r="Q253" i="1" s="1"/>
  <c r="G254" i="1"/>
  <c r="P254" i="1" s="1"/>
  <c r="G248" i="1"/>
  <c r="Q248" i="1" s="1"/>
  <c r="G245" i="1"/>
  <c r="P245" i="1" s="1"/>
  <c r="G250" i="1"/>
  <c r="Q250" i="1" s="1"/>
  <c r="G246" i="1"/>
  <c r="P246" i="1" s="1"/>
  <c r="G249" i="1"/>
  <c r="Q249" i="1" s="1"/>
  <c r="G252" i="1"/>
  <c r="P252" i="1" s="1"/>
  <c r="G251" i="1"/>
  <c r="Q251" i="1" s="1"/>
  <c r="G244" i="1"/>
  <c r="P244" i="1" s="1"/>
  <c r="G247" i="1"/>
  <c r="Q247" i="1" s="1"/>
  <c r="G243" i="1"/>
  <c r="P243" i="1" s="1"/>
  <c r="G167" i="1"/>
  <c r="G166" i="1"/>
  <c r="P166" i="1" s="1"/>
  <c r="G107" i="1"/>
  <c r="Q107" i="1" s="1"/>
  <c r="G103" i="1"/>
  <c r="P103" i="1" s="1"/>
  <c r="G102" i="1"/>
  <c r="Q102" i="1" s="1"/>
  <c r="G104" i="1"/>
  <c r="G294" i="1"/>
  <c r="P294" i="1" s="1"/>
  <c r="G295" i="1"/>
  <c r="Q295" i="1" s="1"/>
  <c r="G293" i="1"/>
  <c r="P293" i="1" s="1"/>
  <c r="G72" i="1"/>
  <c r="G70" i="1"/>
  <c r="Q70" i="1" s="1"/>
  <c r="G71" i="1"/>
  <c r="P71" i="1" s="1"/>
  <c r="G183" i="1"/>
  <c r="G5" i="1"/>
  <c r="G66" i="1"/>
  <c r="Q66" i="1" s="1"/>
  <c r="G8" i="1"/>
  <c r="P8" i="1" s="1"/>
  <c r="G9" i="1"/>
  <c r="G10" i="1"/>
  <c r="G11" i="1"/>
  <c r="Q11" i="1" s="1"/>
  <c r="G6" i="1"/>
  <c r="P6" i="1" s="1"/>
  <c r="G12" i="1"/>
  <c r="G7" i="1"/>
  <c r="G184" i="1"/>
  <c r="P184" i="1" s="1"/>
  <c r="G206" i="1"/>
  <c r="P206" i="1" s="1"/>
  <c r="G269" i="1"/>
  <c r="P269" i="1" s="1"/>
  <c r="G267" i="1"/>
  <c r="Q267" i="1" s="1"/>
  <c r="G268" i="1"/>
  <c r="P268" i="1" s="1"/>
  <c r="G3" i="1"/>
  <c r="Q3" i="1" s="1"/>
  <c r="G270" i="1"/>
  <c r="P270" i="1" s="1"/>
  <c r="G139" i="1"/>
  <c r="G142" i="1"/>
  <c r="P142" i="1" s="1"/>
  <c r="G140" i="1"/>
  <c r="Q140" i="1" s="1"/>
  <c r="G141" i="1"/>
  <c r="G138" i="1"/>
  <c r="G278" i="1"/>
  <c r="P278" i="1" s="1"/>
  <c r="G106" i="1"/>
  <c r="Q106" i="1" s="1"/>
  <c r="G280" i="1"/>
  <c r="P280" i="1" s="1"/>
  <c r="G281" i="1"/>
  <c r="Q281" i="1" s="1"/>
  <c r="G282" i="1"/>
  <c r="P282" i="1" s="1"/>
  <c r="G283" i="1"/>
  <c r="Q283" i="1" s="1"/>
  <c r="G286" i="1"/>
  <c r="P286" i="1" s="1"/>
  <c r="G67" i="1"/>
  <c r="G68" i="1"/>
  <c r="Q68" i="1" s="1"/>
  <c r="G287" i="1"/>
  <c r="Q287" i="1" s="1"/>
  <c r="G285" i="1"/>
  <c r="P285" i="1" s="1"/>
  <c r="G99" i="1"/>
  <c r="G100" i="1"/>
  <c r="Q100" i="1" s="1"/>
  <c r="G160" i="1"/>
  <c r="P160" i="1" s="1"/>
  <c r="G157" i="1"/>
  <c r="P157" i="1" s="1"/>
  <c r="G158" i="1"/>
  <c r="P158" i="1" s="1"/>
  <c r="G156" i="1"/>
  <c r="P156" i="1" s="1"/>
  <c r="G159" i="1"/>
  <c r="P159" i="1" s="1"/>
  <c r="G265" i="1"/>
  <c r="Q265" i="1" s="1"/>
  <c r="G272" i="1"/>
  <c r="G274" i="1"/>
  <c r="Q274" i="1" s="1"/>
  <c r="G227" i="1"/>
  <c r="P227" i="1" s="1"/>
  <c r="G54" i="1"/>
  <c r="G55" i="1"/>
  <c r="Q55" i="1" s="1"/>
  <c r="G73" i="1"/>
  <c r="P73" i="1" s="1"/>
  <c r="G14" i="1"/>
  <c r="Q14" i="1" s="1"/>
  <c r="G57" i="1"/>
  <c r="G58" i="1"/>
  <c r="Q58" i="1" s="1"/>
  <c r="G89" i="1"/>
  <c r="P89" i="1" s="1"/>
  <c r="G119" i="1"/>
  <c r="Q119" i="1" s="1"/>
  <c r="G122" i="1"/>
  <c r="G123" i="1"/>
  <c r="G121" i="1"/>
  <c r="P121" i="1" s="1"/>
  <c r="G120" i="1"/>
  <c r="Q120" i="1" s="1"/>
  <c r="G118" i="1"/>
  <c r="G168" i="1"/>
  <c r="P168" i="1" s="1"/>
  <c r="G191" i="1"/>
  <c r="P191" i="1" s="1"/>
  <c r="G192" i="1"/>
  <c r="Q192" i="1" s="1"/>
  <c r="G200" i="1"/>
  <c r="P200" i="1" s="1"/>
  <c r="G199" i="1"/>
  <c r="Q199" i="1" s="1"/>
  <c r="G212" i="1"/>
  <c r="P212" i="1" s="1"/>
  <c r="G239" i="1"/>
  <c r="P239" i="1" s="1"/>
  <c r="G256" i="1"/>
  <c r="Q256" i="1" s="1"/>
  <c r="G255" i="1"/>
  <c r="P255" i="1" s="1"/>
  <c r="G186" i="1"/>
  <c r="P186" i="1" s="1"/>
  <c r="G258" i="1"/>
  <c r="Q258" i="1" s="1"/>
  <c r="G172" i="1"/>
  <c r="P172" i="1" s="1"/>
  <c r="G97" i="1"/>
  <c r="Q97" i="1" s="1"/>
  <c r="G95" i="1"/>
  <c r="P95" i="1" s="1"/>
  <c r="G37" i="1"/>
  <c r="Q37" i="1" s="1"/>
  <c r="G234" i="1"/>
  <c r="Q234" i="1" s="1"/>
  <c r="G233" i="1"/>
  <c r="P233" i="1" s="1"/>
  <c r="G235" i="1"/>
  <c r="Q235" i="1" s="1"/>
  <c r="G236" i="1"/>
  <c r="P236" i="1" s="1"/>
  <c r="G237" i="1"/>
  <c r="Q237" i="1" s="1"/>
  <c r="G225" i="1"/>
  <c r="Q225" i="1" s="1"/>
  <c r="G170" i="1"/>
  <c r="P170" i="1" s="1"/>
  <c r="G224" i="1"/>
  <c r="P224" i="1" s="1"/>
  <c r="G79" i="1"/>
  <c r="P79" i="1" s="1"/>
  <c r="G91" i="1"/>
  <c r="Q91" i="1" s="1"/>
  <c r="G92" i="1"/>
  <c r="P92" i="1" s="1"/>
  <c r="G93" i="1"/>
  <c r="Q93" i="1" s="1"/>
  <c r="G148" i="1"/>
  <c r="G222" i="1"/>
  <c r="P222" i="1" s="1"/>
  <c r="G52" i="1"/>
  <c r="Q52" i="1" s="1"/>
  <c r="G35" i="1"/>
  <c r="G202" i="1"/>
  <c r="G203" i="1"/>
  <c r="P203" i="1" s="1"/>
  <c r="G204" i="1"/>
  <c r="P204" i="1" s="1"/>
  <c r="G180" i="1"/>
  <c r="Q180" i="1" s="1"/>
  <c r="G181" i="1"/>
  <c r="G164" i="1"/>
  <c r="Q164" i="1" s="1"/>
  <c r="G163" i="1"/>
  <c r="P163" i="1" s="1"/>
  <c r="G162" i="1"/>
  <c r="P162" i="1" s="1"/>
  <c r="G220" i="1"/>
  <c r="G50" i="1"/>
  <c r="G48" i="1"/>
  <c r="Q48" i="1" s="1"/>
  <c r="G276" i="1"/>
  <c r="P276" i="1" s="1"/>
  <c r="G40" i="1"/>
  <c r="G75" i="1"/>
  <c r="Q75" i="1" s="1"/>
  <c r="G76" i="1"/>
  <c r="P76" i="1" s="1"/>
  <c r="G77" i="1"/>
  <c r="G146" i="1"/>
  <c r="Q146" i="1" s="1"/>
  <c r="G144" i="1"/>
  <c r="P144" i="1" s="1"/>
  <c r="G39" i="1"/>
  <c r="P39" i="1" s="1"/>
  <c r="G41" i="1"/>
  <c r="Q41" i="1" s="1"/>
  <c r="G45" i="1"/>
  <c r="G43" i="1"/>
  <c r="G42" i="1"/>
  <c r="Q42" i="1" s="1"/>
  <c r="G33" i="1"/>
  <c r="G44" i="1"/>
  <c r="G46" i="1"/>
  <c r="Q46" i="1" s="1"/>
  <c r="G47" i="1"/>
  <c r="P47" i="1" s="1"/>
  <c r="G16" i="1"/>
  <c r="Q35" i="1" l="1"/>
  <c r="G19" i="4"/>
  <c r="G18" i="4"/>
  <c r="P237" i="1"/>
  <c r="P251" i="1"/>
  <c r="P256" i="1"/>
  <c r="P106" i="1"/>
  <c r="P192" i="1"/>
  <c r="P19" i="1"/>
  <c r="Q276" i="1"/>
  <c r="Q208" i="1"/>
  <c r="P151" i="1"/>
  <c r="P119" i="1"/>
  <c r="Q289" i="1"/>
  <c r="P265" i="1"/>
  <c r="Q252" i="1"/>
  <c r="Q206" i="1"/>
  <c r="P131" i="1"/>
  <c r="Q39" i="1"/>
  <c r="Q135" i="1"/>
  <c r="P291" i="1"/>
  <c r="P258" i="1"/>
  <c r="Q245" i="1"/>
  <c r="P132" i="1"/>
  <c r="P31" i="1"/>
  <c r="Q282" i="1"/>
  <c r="Q216" i="1"/>
  <c r="Q178" i="1"/>
  <c r="Q89" i="1"/>
  <c r="P295" i="1"/>
  <c r="P283" i="1"/>
  <c r="P37" i="1"/>
  <c r="Q268" i="1"/>
  <c r="Q260" i="1"/>
  <c r="P247" i="1"/>
  <c r="P250" i="1"/>
  <c r="Q239" i="1"/>
  <c r="P234" i="1"/>
  <c r="Q218" i="1"/>
  <c r="P209" i="1"/>
  <c r="Q196" i="1"/>
  <c r="Q188" i="1"/>
  <c r="P180" i="1"/>
  <c r="Q159" i="1"/>
  <c r="P140" i="1"/>
  <c r="Q136" i="1"/>
  <c r="Q121" i="1"/>
  <c r="Q103" i="1"/>
  <c r="P75" i="1"/>
  <c r="Q61" i="1"/>
  <c r="Q27" i="1"/>
  <c r="Q30" i="1"/>
  <c r="P11" i="1"/>
  <c r="Q294" i="1"/>
  <c r="Q231" i="1"/>
  <c r="Q186" i="1"/>
  <c r="Q142" i="1"/>
  <c r="Q73" i="1"/>
  <c r="P66" i="1"/>
  <c r="P274" i="1"/>
  <c r="Q95" i="1"/>
  <c r="P248" i="1"/>
  <c r="Q236" i="1"/>
  <c r="Q224" i="1"/>
  <c r="Q214" i="1"/>
  <c r="Q184" i="1"/>
  <c r="Q162" i="1"/>
  <c r="Q150" i="1"/>
  <c r="P116" i="1"/>
  <c r="P87" i="1"/>
  <c r="P70" i="1"/>
  <c r="P46" i="1"/>
  <c r="Q25" i="1"/>
  <c r="P287" i="1"/>
  <c r="Q278" i="1"/>
  <c r="P3" i="1"/>
  <c r="P261" i="1"/>
  <c r="Q243" i="1"/>
  <c r="P249" i="1"/>
  <c r="P253" i="1"/>
  <c r="P235" i="1"/>
  <c r="Q198" i="1"/>
  <c r="P190" i="1"/>
  <c r="Q144" i="1"/>
  <c r="Q127" i="1"/>
  <c r="P120" i="1"/>
  <c r="P125" i="1"/>
  <c r="P82" i="1"/>
  <c r="P64" i="1"/>
  <c r="P28" i="1"/>
  <c r="P26" i="1"/>
  <c r="P14" i="1"/>
  <c r="P44" i="1"/>
  <c r="Q44" i="1"/>
  <c r="Q123" i="1"/>
  <c r="P123" i="1"/>
  <c r="P67" i="1"/>
  <c r="Q67" i="1"/>
  <c r="Q138" i="1"/>
  <c r="P138" i="1"/>
  <c r="P10" i="1"/>
  <c r="Q10" i="1"/>
  <c r="P72" i="1"/>
  <c r="Q72" i="1"/>
  <c r="P177" i="1"/>
  <c r="Q177" i="1"/>
  <c r="P126" i="1"/>
  <c r="Q126" i="1"/>
  <c r="Q63" i="1"/>
  <c r="P63" i="1"/>
  <c r="Q20" i="1"/>
  <c r="P20" i="1"/>
  <c r="Q29" i="1"/>
  <c r="P29" i="1"/>
  <c r="P281" i="1"/>
  <c r="Q203" i="1"/>
  <c r="Q168" i="1"/>
  <c r="Q153" i="1"/>
  <c r="P146" i="1"/>
  <c r="P16" i="1"/>
  <c r="Q16" i="1"/>
  <c r="P33" i="1"/>
  <c r="Q33" i="1"/>
  <c r="Q77" i="1"/>
  <c r="P77" i="1"/>
  <c r="P220" i="1"/>
  <c r="Q220" i="1"/>
  <c r="P202" i="1"/>
  <c r="Q202" i="1"/>
  <c r="P118" i="1"/>
  <c r="Q118" i="1"/>
  <c r="P57" i="1"/>
  <c r="Q57" i="1"/>
  <c r="P141" i="1"/>
  <c r="Q141" i="1"/>
  <c r="Q9" i="1"/>
  <c r="P9" i="1"/>
  <c r="P167" i="1"/>
  <c r="Q167" i="1"/>
  <c r="P197" i="1"/>
  <c r="Q197" i="1"/>
  <c r="Q112" i="1"/>
  <c r="P112" i="1"/>
  <c r="Q88" i="1"/>
  <c r="P88" i="1"/>
  <c r="Q81" i="1"/>
  <c r="P81" i="1"/>
  <c r="P62" i="1"/>
  <c r="Q62" i="1"/>
  <c r="P59" i="1"/>
  <c r="Q59" i="1"/>
  <c r="P22" i="1"/>
  <c r="Q22" i="1"/>
  <c r="P24" i="1"/>
  <c r="Q24" i="1"/>
  <c r="Q110" i="1"/>
  <c r="Q172" i="1"/>
  <c r="P267" i="1"/>
  <c r="P263" i="1"/>
  <c r="P229" i="1"/>
  <c r="Q210" i="1"/>
  <c r="P176" i="1"/>
  <c r="Q158" i="1"/>
  <c r="P130" i="1"/>
  <c r="P91" i="1"/>
  <c r="Q43" i="1"/>
  <c r="P43" i="1"/>
  <c r="Q293" i="1"/>
  <c r="Q285" i="1"/>
  <c r="Q270" i="1"/>
  <c r="Q269" i="1"/>
  <c r="Q262" i="1"/>
  <c r="Q255" i="1"/>
  <c r="Q244" i="1"/>
  <c r="Q246" i="1"/>
  <c r="Q254" i="1"/>
  <c r="Q240" i="1"/>
  <c r="Q233" i="1"/>
  <c r="Q230" i="1"/>
  <c r="Q222" i="1"/>
  <c r="Q200" i="1"/>
  <c r="Q157" i="1"/>
  <c r="Q115" i="1"/>
  <c r="Q79" i="1"/>
  <c r="P58" i="1"/>
  <c r="P41" i="1"/>
  <c r="P45" i="1"/>
  <c r="Q45" i="1"/>
  <c r="P50" i="1"/>
  <c r="Q50" i="1"/>
  <c r="P272" i="1"/>
  <c r="Q272" i="1"/>
  <c r="P99" i="1"/>
  <c r="Q99" i="1"/>
  <c r="Q139" i="1"/>
  <c r="P139" i="1"/>
  <c r="P7" i="1"/>
  <c r="Q7" i="1"/>
  <c r="Q5" i="1"/>
  <c r="P104" i="1"/>
  <c r="Q104" i="1"/>
  <c r="P217" i="1"/>
  <c r="Q217" i="1"/>
  <c r="P194" i="1"/>
  <c r="Q194" i="1"/>
  <c r="Q152" i="1"/>
  <c r="P152" i="1"/>
  <c r="P129" i="1"/>
  <c r="Q129" i="1"/>
  <c r="Q60" i="1"/>
  <c r="P60" i="1"/>
  <c r="Q21" i="1"/>
  <c r="P21" i="1"/>
  <c r="P164" i="1"/>
  <c r="P97" i="1"/>
  <c r="P40" i="1"/>
  <c r="Q40" i="1"/>
  <c r="P181" i="1"/>
  <c r="Q181" i="1"/>
  <c r="P148" i="1"/>
  <c r="Q148" i="1"/>
  <c r="P122" i="1"/>
  <c r="Q122" i="1"/>
  <c r="P54" i="1"/>
  <c r="Q54" i="1"/>
  <c r="Q12" i="1"/>
  <c r="P12" i="1"/>
  <c r="Q183" i="1"/>
  <c r="P183" i="1"/>
  <c r="P154" i="1"/>
  <c r="Q154" i="1"/>
  <c r="Q114" i="1"/>
  <c r="P114" i="1"/>
  <c r="P23" i="1"/>
  <c r="Q23" i="1"/>
  <c r="Q286" i="1"/>
  <c r="Q280" i="1"/>
  <c r="Q166" i="1"/>
  <c r="Q113" i="1"/>
  <c r="Q86" i="1"/>
  <c r="P5" i="1"/>
  <c r="P241" i="1"/>
  <c r="P225" i="1"/>
  <c r="P199" i="1"/>
  <c r="P102" i="1"/>
  <c r="P55" i="1"/>
  <c r="P35" i="1"/>
  <c r="Q170" i="1"/>
  <c r="Q212" i="1"/>
  <c r="Q211" i="1"/>
  <c r="Q191" i="1"/>
  <c r="Q189" i="1"/>
  <c r="Q174" i="1"/>
  <c r="Q163" i="1"/>
  <c r="Q156" i="1"/>
  <c r="P128" i="1"/>
  <c r="P134" i="1"/>
  <c r="P133" i="1"/>
  <c r="P107" i="1"/>
  <c r="P100" i="1"/>
  <c r="P93" i="1"/>
  <c r="P68" i="1"/>
  <c r="P52" i="1"/>
  <c r="P42" i="1"/>
  <c r="P48" i="1"/>
  <c r="P17" i="1"/>
  <c r="Q227" i="1"/>
  <c r="Q204" i="1"/>
  <c r="Q160" i="1"/>
  <c r="Q117" i="1"/>
  <c r="Q109" i="1"/>
  <c r="Q92" i="1"/>
  <c r="Q85" i="1"/>
  <c r="Q83" i="1"/>
  <c r="Q76" i="1"/>
  <c r="Q71" i="1"/>
  <c r="Q47" i="1"/>
  <c r="Q6" i="1"/>
  <c r="Q8" i="1"/>
  <c r="J47" i="1"/>
  <c r="I47" i="1"/>
  <c r="K47" i="1" s="1"/>
  <c r="J46" i="1"/>
  <c r="L46" i="1" s="1"/>
  <c r="I46" i="1"/>
  <c r="J44" i="1"/>
  <c r="I44" i="1"/>
  <c r="J33" i="1"/>
  <c r="I33" i="1"/>
  <c r="J42" i="1"/>
  <c r="L42" i="1" s="1"/>
  <c r="I42" i="1"/>
  <c r="J43" i="1"/>
  <c r="I43" i="1"/>
  <c r="J45" i="1"/>
  <c r="I45" i="1"/>
  <c r="J41" i="1"/>
  <c r="L41" i="1" s="1"/>
  <c r="I41" i="1"/>
  <c r="J39" i="1"/>
  <c r="I39" i="1"/>
  <c r="K39" i="1" s="1"/>
  <c r="J144" i="1"/>
  <c r="I144" i="1"/>
  <c r="K144" i="1" s="1"/>
  <c r="J146" i="1"/>
  <c r="L146" i="1" s="1"/>
  <c r="I146" i="1"/>
  <c r="J77" i="1"/>
  <c r="I77" i="1"/>
  <c r="J76" i="1"/>
  <c r="I76" i="1"/>
  <c r="K76" i="1" s="1"/>
  <c r="J75" i="1"/>
  <c r="L75" i="1" s="1"/>
  <c r="I75" i="1"/>
  <c r="J40" i="1"/>
  <c r="I40" i="1"/>
  <c r="J276" i="1"/>
  <c r="I276" i="1"/>
  <c r="K276" i="1" s="1"/>
  <c r="J48" i="1"/>
  <c r="L48" i="1" s="1"/>
  <c r="I48" i="1"/>
  <c r="J50" i="1"/>
  <c r="I50" i="1"/>
  <c r="J220" i="1"/>
  <c r="I220" i="1"/>
  <c r="J162" i="1"/>
  <c r="I162" i="1"/>
  <c r="K162" i="1" s="1"/>
  <c r="J163" i="1"/>
  <c r="I163" i="1"/>
  <c r="K163" i="1" s="1"/>
  <c r="J164" i="1"/>
  <c r="L164" i="1" s="1"/>
  <c r="I164" i="1"/>
  <c r="J181" i="1"/>
  <c r="I181" i="1"/>
  <c r="J180" i="1"/>
  <c r="L180" i="1" s="1"/>
  <c r="I180" i="1"/>
  <c r="J204" i="1"/>
  <c r="I204" i="1"/>
  <c r="K204" i="1" s="1"/>
  <c r="J203" i="1"/>
  <c r="I203" i="1"/>
  <c r="K203" i="1" s="1"/>
  <c r="J202" i="1"/>
  <c r="I202" i="1"/>
  <c r="J35" i="1"/>
  <c r="I35" i="1"/>
  <c r="J52" i="1"/>
  <c r="L52" i="1" s="1"/>
  <c r="I52" i="1"/>
  <c r="J222" i="1"/>
  <c r="I222" i="1"/>
  <c r="K222" i="1" s="1"/>
  <c r="J148" i="1"/>
  <c r="I148" i="1"/>
  <c r="J93" i="1"/>
  <c r="L93" i="1" s="1"/>
  <c r="I93" i="1"/>
  <c r="J92" i="1"/>
  <c r="I92" i="1"/>
  <c r="K92" i="1" s="1"/>
  <c r="J91" i="1"/>
  <c r="L91" i="1" s="1"/>
  <c r="I91" i="1"/>
  <c r="J79" i="1"/>
  <c r="I79" i="1"/>
  <c r="K79" i="1" s="1"/>
  <c r="J224" i="1"/>
  <c r="I224" i="1"/>
  <c r="K224" i="1" s="1"/>
  <c r="J170" i="1"/>
  <c r="I170" i="1"/>
  <c r="K170" i="1" s="1"/>
  <c r="J225" i="1"/>
  <c r="L225" i="1" s="1"/>
  <c r="I225" i="1"/>
  <c r="J237" i="1"/>
  <c r="L237" i="1" s="1"/>
  <c r="I237" i="1"/>
  <c r="J236" i="1"/>
  <c r="I236" i="1"/>
  <c r="K236" i="1" s="1"/>
  <c r="J235" i="1"/>
  <c r="L235" i="1" s="1"/>
  <c r="I235" i="1"/>
  <c r="J233" i="1"/>
  <c r="I233" i="1"/>
  <c r="K233" i="1" s="1"/>
  <c r="J234" i="1"/>
  <c r="L234" i="1" s="1"/>
  <c r="I234" i="1"/>
  <c r="J37" i="1"/>
  <c r="L37" i="1" s="1"/>
  <c r="I37" i="1"/>
  <c r="J95" i="1"/>
  <c r="I95" i="1"/>
  <c r="K95" i="1" s="1"/>
  <c r="J97" i="1"/>
  <c r="L97" i="1" s="1"/>
  <c r="I97" i="1"/>
  <c r="J172" i="1"/>
  <c r="I172" i="1"/>
  <c r="K172" i="1" s="1"/>
  <c r="J258" i="1"/>
  <c r="L258" i="1" s="1"/>
  <c r="I258" i="1"/>
  <c r="J186" i="1"/>
  <c r="I186" i="1"/>
  <c r="K186" i="1" s="1"/>
  <c r="J255" i="1"/>
  <c r="I255" i="1"/>
  <c r="K255" i="1" s="1"/>
  <c r="J256" i="1"/>
  <c r="L256" i="1" s="1"/>
  <c r="I256" i="1"/>
  <c r="J239" i="1"/>
  <c r="I239" i="1"/>
  <c r="K239" i="1" s="1"/>
  <c r="J212" i="1"/>
  <c r="I212" i="1"/>
  <c r="K212" i="1" s="1"/>
  <c r="J199" i="1"/>
  <c r="L199" i="1" s="1"/>
  <c r="I199" i="1"/>
  <c r="J200" i="1"/>
  <c r="I200" i="1"/>
  <c r="K200" i="1" s="1"/>
  <c r="J192" i="1"/>
  <c r="L192" i="1" s="1"/>
  <c r="I192" i="1"/>
  <c r="J191" i="1"/>
  <c r="I191" i="1"/>
  <c r="K191" i="1" s="1"/>
  <c r="J168" i="1"/>
  <c r="I168" i="1"/>
  <c r="K168" i="1" s="1"/>
  <c r="J118" i="1"/>
  <c r="I118" i="1"/>
  <c r="J120" i="1"/>
  <c r="L120" i="1" s="1"/>
  <c r="I120" i="1"/>
  <c r="J121" i="1"/>
  <c r="I121" i="1"/>
  <c r="K121" i="1" s="1"/>
  <c r="J123" i="1"/>
  <c r="I123" i="1"/>
  <c r="J122" i="1"/>
  <c r="I122" i="1"/>
  <c r="J119" i="1"/>
  <c r="L119" i="1" s="1"/>
  <c r="I119" i="1"/>
  <c r="J89" i="1"/>
  <c r="I89" i="1"/>
  <c r="K89" i="1" s="1"/>
  <c r="J58" i="1"/>
  <c r="L58" i="1" s="1"/>
  <c r="I58" i="1"/>
  <c r="J57" i="1"/>
  <c r="I57" i="1"/>
  <c r="J14" i="1"/>
  <c r="L14" i="1" s="1"/>
  <c r="I14" i="1"/>
  <c r="J73" i="1"/>
  <c r="I73" i="1"/>
  <c r="K73" i="1" s="1"/>
  <c r="J55" i="1"/>
  <c r="L55" i="1" s="1"/>
  <c r="I55" i="1"/>
  <c r="J54" i="1"/>
  <c r="I54" i="1"/>
  <c r="J227" i="1"/>
  <c r="I227" i="1"/>
  <c r="K227" i="1" s="1"/>
  <c r="J274" i="1"/>
  <c r="L274" i="1" s="1"/>
  <c r="I274" i="1"/>
  <c r="J272" i="1"/>
  <c r="I272" i="1"/>
  <c r="J265" i="1"/>
  <c r="L265" i="1" s="1"/>
  <c r="J159" i="1"/>
  <c r="I159" i="1"/>
  <c r="K159" i="1" s="1"/>
  <c r="J156" i="1"/>
  <c r="I156" i="1"/>
  <c r="K156" i="1" s="1"/>
  <c r="J158" i="1"/>
  <c r="I158" i="1"/>
  <c r="K158" i="1" s="1"/>
  <c r="J157" i="1"/>
  <c r="I157" i="1"/>
  <c r="K157" i="1" s="1"/>
  <c r="J160" i="1"/>
  <c r="I160" i="1"/>
  <c r="K160" i="1" s="1"/>
  <c r="J100" i="1"/>
  <c r="L100" i="1" s="1"/>
  <c r="I100" i="1"/>
  <c r="J99" i="1"/>
  <c r="I99" i="1"/>
  <c r="J285" i="1"/>
  <c r="I285" i="1"/>
  <c r="K285" i="1" s="1"/>
  <c r="J287" i="1"/>
  <c r="L287" i="1" s="1"/>
  <c r="I287" i="1"/>
  <c r="J68" i="1"/>
  <c r="L68" i="1" s="1"/>
  <c r="I68" i="1"/>
  <c r="J67" i="1"/>
  <c r="I67" i="1"/>
  <c r="J286" i="1"/>
  <c r="I286" i="1"/>
  <c r="K286" i="1" s="1"/>
  <c r="J283" i="1"/>
  <c r="L283" i="1" s="1"/>
  <c r="I283" i="1"/>
  <c r="J282" i="1"/>
  <c r="I282" i="1"/>
  <c r="K282" i="1" s="1"/>
  <c r="J281" i="1"/>
  <c r="L281" i="1" s="1"/>
  <c r="I281" i="1"/>
  <c r="J280" i="1"/>
  <c r="I280" i="1"/>
  <c r="K280" i="1" s="1"/>
  <c r="J106" i="1"/>
  <c r="L106" i="1" s="1"/>
  <c r="I106" i="1"/>
  <c r="J278" i="1"/>
  <c r="I278" i="1"/>
  <c r="K278" i="1" s="1"/>
  <c r="J138" i="1"/>
  <c r="I138" i="1"/>
  <c r="J141" i="1"/>
  <c r="I141" i="1"/>
  <c r="J140" i="1"/>
  <c r="L140" i="1" s="1"/>
  <c r="I140" i="1"/>
  <c r="J142" i="1"/>
  <c r="I142" i="1"/>
  <c r="K142" i="1" s="1"/>
  <c r="J139" i="1"/>
  <c r="I139" i="1"/>
  <c r="J270" i="1"/>
  <c r="I270" i="1"/>
  <c r="K270" i="1" s="1"/>
  <c r="J3" i="1"/>
  <c r="L3" i="1" s="1"/>
  <c r="I3" i="1"/>
  <c r="J268" i="1"/>
  <c r="I268" i="1"/>
  <c r="K268" i="1" s="1"/>
  <c r="J267" i="1"/>
  <c r="L267" i="1" s="1"/>
  <c r="I267" i="1"/>
  <c r="J269" i="1"/>
  <c r="I269" i="1"/>
  <c r="K269" i="1" s="1"/>
  <c r="J206" i="1"/>
  <c r="I206" i="1"/>
  <c r="K206" i="1" s="1"/>
  <c r="J184" i="1"/>
  <c r="I184" i="1"/>
  <c r="K184" i="1" s="1"/>
  <c r="J7" i="1"/>
  <c r="I7" i="1"/>
  <c r="J12" i="1"/>
  <c r="I12" i="1"/>
  <c r="J6" i="1"/>
  <c r="I6" i="1"/>
  <c r="K6" i="1" s="1"/>
  <c r="J11" i="1"/>
  <c r="L11" i="1" s="1"/>
  <c r="I11" i="1"/>
  <c r="J10" i="1"/>
  <c r="I10" i="1"/>
  <c r="J9" i="1"/>
  <c r="I9" i="1"/>
  <c r="J8" i="1"/>
  <c r="I8" i="1"/>
  <c r="K8" i="1" s="1"/>
  <c r="J66" i="1"/>
  <c r="L66" i="1" s="1"/>
  <c r="I66" i="1"/>
  <c r="J5" i="1"/>
  <c r="I5" i="1"/>
  <c r="J183" i="1"/>
  <c r="I183" i="1"/>
  <c r="J71" i="1"/>
  <c r="I71" i="1"/>
  <c r="K71" i="1" s="1"/>
  <c r="J70" i="1"/>
  <c r="L70" i="1" s="1"/>
  <c r="I70" i="1"/>
  <c r="J72" i="1"/>
  <c r="I72" i="1"/>
  <c r="J293" i="1"/>
  <c r="I293" i="1"/>
  <c r="K293" i="1" s="1"/>
  <c r="J295" i="1"/>
  <c r="L295" i="1" s="1"/>
  <c r="I295" i="1"/>
  <c r="J294" i="1"/>
  <c r="I294" i="1"/>
  <c r="K294" i="1" s="1"/>
  <c r="J104" i="1"/>
  <c r="I104" i="1"/>
  <c r="J102" i="1"/>
  <c r="L102" i="1" s="1"/>
  <c r="I102" i="1"/>
  <c r="J103" i="1"/>
  <c r="I103" i="1"/>
  <c r="K103" i="1" s="1"/>
  <c r="J107" i="1"/>
  <c r="L107" i="1" s="1"/>
  <c r="I107" i="1"/>
  <c r="J166" i="1"/>
  <c r="I166" i="1"/>
  <c r="K166" i="1" s="1"/>
  <c r="J167" i="1"/>
  <c r="I167" i="1"/>
  <c r="J243" i="1"/>
  <c r="I243" i="1"/>
  <c r="K243" i="1" s="1"/>
  <c r="J247" i="1"/>
  <c r="L247" i="1" s="1"/>
  <c r="I247" i="1"/>
  <c r="J244" i="1"/>
  <c r="I244" i="1"/>
  <c r="K244" i="1" s="1"/>
  <c r="J251" i="1"/>
  <c r="L251" i="1" s="1"/>
  <c r="I251" i="1"/>
  <c r="J252" i="1"/>
  <c r="I252" i="1"/>
  <c r="K252" i="1" s="1"/>
  <c r="J249" i="1"/>
  <c r="L249" i="1" s="1"/>
  <c r="I249" i="1"/>
  <c r="J246" i="1"/>
  <c r="I246" i="1"/>
  <c r="K246" i="1" s="1"/>
  <c r="J250" i="1"/>
  <c r="L250" i="1" s="1"/>
  <c r="I250" i="1"/>
  <c r="J245" i="1"/>
  <c r="I245" i="1"/>
  <c r="K245" i="1" s="1"/>
  <c r="J248" i="1"/>
  <c r="L248" i="1" s="1"/>
  <c r="I248" i="1"/>
  <c r="J254" i="1"/>
  <c r="I254" i="1"/>
  <c r="K254" i="1" s="1"/>
  <c r="J253" i="1"/>
  <c r="L253" i="1" s="1"/>
  <c r="I253" i="1"/>
  <c r="J289" i="1"/>
  <c r="I289" i="1"/>
  <c r="K289" i="1" s="1"/>
  <c r="J214" i="1"/>
  <c r="I214" i="1"/>
  <c r="K214" i="1" s="1"/>
  <c r="J263" i="1"/>
  <c r="L263" i="1" s="1"/>
  <c r="I263" i="1"/>
  <c r="J262" i="1"/>
  <c r="I262" i="1"/>
  <c r="K262" i="1" s="1"/>
  <c r="J261" i="1"/>
  <c r="L261" i="1" s="1"/>
  <c r="I261" i="1"/>
  <c r="J260" i="1"/>
  <c r="I260" i="1"/>
  <c r="K260" i="1" s="1"/>
  <c r="J241" i="1"/>
  <c r="L241" i="1" s="1"/>
  <c r="I241" i="1"/>
  <c r="J240" i="1"/>
  <c r="I240" i="1"/>
  <c r="K240" i="1" s="1"/>
  <c r="J291" i="1"/>
  <c r="L291" i="1" s="1"/>
  <c r="I291" i="1"/>
  <c r="J231" i="1"/>
  <c r="I231" i="1"/>
  <c r="K231" i="1" s="1"/>
  <c r="J229" i="1"/>
  <c r="L229" i="1" s="1"/>
  <c r="I229" i="1"/>
  <c r="J230" i="1"/>
  <c r="I230" i="1"/>
  <c r="K230" i="1" s="1"/>
  <c r="J218" i="1"/>
  <c r="I218" i="1"/>
  <c r="K218" i="1" s="1"/>
  <c r="J216" i="1"/>
  <c r="I216" i="1"/>
  <c r="K216" i="1" s="1"/>
  <c r="J217" i="1"/>
  <c r="I217" i="1"/>
  <c r="J209" i="1"/>
  <c r="L209" i="1" s="1"/>
  <c r="I209" i="1"/>
  <c r="J208" i="1"/>
  <c r="I208" i="1"/>
  <c r="K208" i="1" s="1"/>
  <c r="J211" i="1"/>
  <c r="I211" i="1"/>
  <c r="K211" i="1" s="1"/>
  <c r="J210" i="1"/>
  <c r="I210" i="1"/>
  <c r="K210" i="1" s="1"/>
  <c r="J197" i="1"/>
  <c r="I197" i="1"/>
  <c r="J198" i="1"/>
  <c r="I198" i="1"/>
  <c r="K198" i="1" s="1"/>
  <c r="J196" i="1"/>
  <c r="I196" i="1"/>
  <c r="K196" i="1" s="1"/>
  <c r="J194" i="1"/>
  <c r="I194" i="1"/>
  <c r="J190" i="1"/>
  <c r="L190" i="1" s="1"/>
  <c r="I190" i="1"/>
  <c r="J188" i="1"/>
  <c r="I188" i="1"/>
  <c r="K188" i="1" s="1"/>
  <c r="J189" i="1"/>
  <c r="I189" i="1"/>
  <c r="K189" i="1" s="1"/>
  <c r="J177" i="1"/>
  <c r="I177" i="1"/>
  <c r="J176" i="1"/>
  <c r="L176" i="1" s="1"/>
  <c r="I176" i="1"/>
  <c r="J174" i="1"/>
  <c r="I174" i="1"/>
  <c r="K174" i="1" s="1"/>
  <c r="J178" i="1"/>
  <c r="I178" i="1"/>
  <c r="K178" i="1" s="1"/>
  <c r="J153" i="1"/>
  <c r="I153" i="1"/>
  <c r="K153" i="1" s="1"/>
  <c r="J154" i="1"/>
  <c r="I154" i="1"/>
  <c r="J151" i="1"/>
  <c r="L151" i="1" s="1"/>
  <c r="I151" i="1"/>
  <c r="J150" i="1"/>
  <c r="I150" i="1"/>
  <c r="K150" i="1" s="1"/>
  <c r="J152" i="1"/>
  <c r="I152" i="1"/>
  <c r="J131" i="1"/>
  <c r="L131" i="1" s="1"/>
  <c r="I131" i="1"/>
  <c r="J127" i="1"/>
  <c r="I127" i="1"/>
  <c r="K127" i="1" s="1"/>
  <c r="J128" i="1"/>
  <c r="L128" i="1" s="1"/>
  <c r="I128" i="1"/>
  <c r="J126" i="1"/>
  <c r="I126" i="1"/>
  <c r="J130" i="1"/>
  <c r="L130" i="1" s="1"/>
  <c r="I130" i="1"/>
  <c r="J136" i="1"/>
  <c r="I136" i="1"/>
  <c r="K136" i="1" s="1"/>
  <c r="J134" i="1"/>
  <c r="L134" i="1" s="1"/>
  <c r="I134" i="1"/>
  <c r="J129" i="1"/>
  <c r="I129" i="1"/>
  <c r="J132" i="1"/>
  <c r="L132" i="1" s="1"/>
  <c r="I132" i="1"/>
  <c r="J135" i="1"/>
  <c r="I135" i="1"/>
  <c r="K135" i="1" s="1"/>
  <c r="J133" i="1"/>
  <c r="L133" i="1" s="1"/>
  <c r="I133" i="1"/>
  <c r="J113" i="1"/>
  <c r="I113" i="1"/>
  <c r="K113" i="1" s="1"/>
  <c r="J112" i="1"/>
  <c r="I112" i="1"/>
  <c r="J117" i="1"/>
  <c r="I117" i="1"/>
  <c r="K117" i="1" s="1"/>
  <c r="J116" i="1"/>
  <c r="L116" i="1" s="1"/>
  <c r="I116" i="1"/>
  <c r="J115" i="1"/>
  <c r="I115" i="1"/>
  <c r="K115" i="1" s="1"/>
  <c r="J114" i="1"/>
  <c r="I114" i="1"/>
  <c r="J109" i="1"/>
  <c r="I109" i="1"/>
  <c r="K109" i="1" s="1"/>
  <c r="J125" i="1"/>
  <c r="L125" i="1" s="1"/>
  <c r="I125" i="1"/>
  <c r="J110" i="1"/>
  <c r="I110" i="1"/>
  <c r="K110" i="1" s="1"/>
  <c r="J88" i="1"/>
  <c r="I88" i="1"/>
  <c r="J85" i="1"/>
  <c r="I85" i="1"/>
  <c r="K85" i="1" s="1"/>
  <c r="J87" i="1"/>
  <c r="L87" i="1" s="1"/>
  <c r="I87" i="1"/>
  <c r="J86" i="1"/>
  <c r="I86" i="1"/>
  <c r="K86" i="1" s="1"/>
  <c r="J81" i="1"/>
  <c r="I81" i="1"/>
  <c r="J83" i="1"/>
  <c r="I83" i="1"/>
  <c r="K83" i="1" s="1"/>
  <c r="J82" i="1"/>
  <c r="L82" i="1" s="1"/>
  <c r="I82" i="1"/>
  <c r="J63" i="1"/>
  <c r="I63" i="1"/>
  <c r="J62" i="1"/>
  <c r="I62" i="1"/>
  <c r="J64" i="1"/>
  <c r="L64" i="1" s="1"/>
  <c r="I64" i="1"/>
  <c r="J61" i="1"/>
  <c r="I61" i="1"/>
  <c r="K61" i="1" s="1"/>
  <c r="J60" i="1"/>
  <c r="I60" i="1"/>
  <c r="J59" i="1"/>
  <c r="I59" i="1"/>
  <c r="J28" i="1"/>
  <c r="L28" i="1" s="1"/>
  <c r="I28" i="1"/>
  <c r="J27" i="1"/>
  <c r="I27" i="1"/>
  <c r="K27" i="1" s="1"/>
  <c r="J20" i="1"/>
  <c r="I20" i="1"/>
  <c r="J22" i="1"/>
  <c r="I22" i="1"/>
  <c r="J31" i="1"/>
  <c r="L31" i="1" s="1"/>
  <c r="I31" i="1"/>
  <c r="J25" i="1"/>
  <c r="I25" i="1"/>
  <c r="K25" i="1" s="1"/>
  <c r="J29" i="1"/>
  <c r="I29" i="1"/>
  <c r="J23" i="1"/>
  <c r="I23" i="1"/>
  <c r="J26" i="1"/>
  <c r="L26" i="1" s="1"/>
  <c r="I26" i="1"/>
  <c r="J30" i="1"/>
  <c r="I30" i="1"/>
  <c r="K30" i="1" s="1"/>
  <c r="J21" i="1"/>
  <c r="I21" i="1"/>
  <c r="J24" i="1"/>
  <c r="I24" i="1"/>
  <c r="J19" i="1"/>
  <c r="I19" i="1"/>
  <c r="J17" i="1"/>
  <c r="L17" i="1" s="1"/>
  <c r="I17" i="1"/>
  <c r="J16" i="1"/>
  <c r="I16" i="1"/>
  <c r="L35" i="1" l="1"/>
  <c r="K151" i="1"/>
  <c r="M151" i="1" s="1"/>
  <c r="K229" i="1"/>
  <c r="M229" i="1" s="1"/>
  <c r="K3" i="1"/>
  <c r="K139" i="1"/>
  <c r="K138" i="1"/>
  <c r="K14" i="1"/>
  <c r="M14" i="1" s="1"/>
  <c r="M15" i="1" s="1"/>
  <c r="K123" i="1"/>
  <c r="K192" i="1"/>
  <c r="M192" i="1" s="1"/>
  <c r="K37" i="1"/>
  <c r="K20" i="1"/>
  <c r="L71" i="1"/>
  <c r="M71" i="1" s="1"/>
  <c r="K237" i="1"/>
  <c r="M237" i="1" s="1"/>
  <c r="G20" i="4"/>
  <c r="K93" i="1"/>
  <c r="L211" i="1"/>
  <c r="M211" i="1" s="1"/>
  <c r="L163" i="1"/>
  <c r="M163" i="1" s="1"/>
  <c r="L114" i="1"/>
  <c r="L183" i="1"/>
  <c r="K131" i="1"/>
  <c r="M131" i="1" s="1"/>
  <c r="L25" i="1"/>
  <c r="M25" i="1" s="1"/>
  <c r="L22" i="1"/>
  <c r="L62" i="1"/>
  <c r="L196" i="1"/>
  <c r="M196" i="1" s="1"/>
  <c r="L197" i="1"/>
  <c r="L240" i="1"/>
  <c r="M240" i="1" s="1"/>
  <c r="L214" i="1"/>
  <c r="M214" i="1" s="1"/>
  <c r="M215" i="1" s="1"/>
  <c r="L268" i="1"/>
  <c r="M268" i="1" s="1"/>
  <c r="L142" i="1"/>
  <c r="M142" i="1" s="1"/>
  <c r="L286" i="1"/>
  <c r="M286" i="1" s="1"/>
  <c r="L285" i="1"/>
  <c r="M285" i="1" s="1"/>
  <c r="L57" i="1"/>
  <c r="L89" i="1"/>
  <c r="M89" i="1" s="1"/>
  <c r="L200" i="1"/>
  <c r="M200" i="1" s="1"/>
  <c r="L172" i="1"/>
  <c r="M172" i="1" s="1"/>
  <c r="M173" i="1" s="1"/>
  <c r="L95" i="1"/>
  <c r="M95" i="1" s="1"/>
  <c r="M96" i="1" s="1"/>
  <c r="L202" i="1"/>
  <c r="K87" i="1"/>
  <c r="M87" i="1" s="1"/>
  <c r="K248" i="1"/>
  <c r="M248" i="1" s="1"/>
  <c r="K152" i="1"/>
  <c r="K97" i="1"/>
  <c r="M97" i="1" s="1"/>
  <c r="M98" i="1" s="1"/>
  <c r="K225" i="1"/>
  <c r="M225" i="1" s="1"/>
  <c r="L208" i="1"/>
  <c r="M208" i="1" s="1"/>
  <c r="L218" i="1"/>
  <c r="M218" i="1" s="1"/>
  <c r="L245" i="1"/>
  <c r="M245" i="1" s="1"/>
  <c r="L236" i="1"/>
  <c r="M236" i="1" s="1"/>
  <c r="L162" i="1"/>
  <c r="M162" i="1" s="1"/>
  <c r="L39" i="1"/>
  <c r="M39" i="1" s="1"/>
  <c r="K60" i="1"/>
  <c r="D6" i="4"/>
  <c r="F6" i="4" s="1"/>
  <c r="K256" i="1"/>
  <c r="M256" i="1" s="1"/>
  <c r="K234" i="1"/>
  <c r="M234" i="1" s="1"/>
  <c r="E6" i="4"/>
  <c r="G6" i="4" s="1"/>
  <c r="K88" i="1"/>
  <c r="K116" i="1"/>
  <c r="M116" i="1" s="1"/>
  <c r="K251" i="1"/>
  <c r="M251" i="1" s="1"/>
  <c r="K9" i="1"/>
  <c r="K11" i="1"/>
  <c r="M11" i="1" s="1"/>
  <c r="K235" i="1"/>
  <c r="M235" i="1" s="1"/>
  <c r="K75" i="1"/>
  <c r="M75" i="1" s="1"/>
  <c r="L24" i="1"/>
  <c r="L27" i="1"/>
  <c r="M27" i="1" s="1"/>
  <c r="L59" i="1"/>
  <c r="L189" i="1"/>
  <c r="M189" i="1" s="1"/>
  <c r="L216" i="1"/>
  <c r="M216" i="1" s="1"/>
  <c r="L230" i="1"/>
  <c r="M230" i="1" s="1"/>
  <c r="L231" i="1"/>
  <c r="M231" i="1" s="1"/>
  <c r="L167" i="1"/>
  <c r="L269" i="1"/>
  <c r="M269" i="1" s="1"/>
  <c r="L141" i="1"/>
  <c r="L278" i="1"/>
  <c r="M278" i="1" s="1"/>
  <c r="M279" i="1" s="1"/>
  <c r="L121" i="1"/>
  <c r="M121" i="1" s="1"/>
  <c r="K26" i="1"/>
  <c r="M26" i="1" s="1"/>
  <c r="K106" i="1"/>
  <c r="M106" i="1" s="1"/>
  <c r="K283" i="1"/>
  <c r="M283" i="1" s="1"/>
  <c r="K180" i="1"/>
  <c r="M180" i="1" s="1"/>
  <c r="K42" i="1"/>
  <c r="M42" i="1" s="1"/>
  <c r="L135" i="1"/>
  <c r="M135" i="1" s="1"/>
  <c r="L252" i="1"/>
  <c r="M252" i="1" s="1"/>
  <c r="K132" i="1"/>
  <c r="M132" i="1" s="1"/>
  <c r="K265" i="1"/>
  <c r="M265" i="1" s="1"/>
  <c r="M266" i="1" s="1"/>
  <c r="K54" i="1"/>
  <c r="K148" i="1"/>
  <c r="K40" i="1"/>
  <c r="K77" i="1"/>
  <c r="L61" i="1"/>
  <c r="M61" i="1" s="1"/>
  <c r="L81" i="1"/>
  <c r="L112" i="1"/>
  <c r="L260" i="1"/>
  <c r="M260" i="1" s="1"/>
  <c r="L294" i="1"/>
  <c r="M294" i="1" s="1"/>
  <c r="L184" i="1"/>
  <c r="M184" i="1" s="1"/>
  <c r="L270" i="1"/>
  <c r="M270" i="1" s="1"/>
  <c r="L280" i="1"/>
  <c r="M280" i="1" s="1"/>
  <c r="L282" i="1"/>
  <c r="M282" i="1" s="1"/>
  <c r="L157" i="1"/>
  <c r="M157" i="1" s="1"/>
  <c r="L156" i="1"/>
  <c r="M156" i="1" s="1"/>
  <c r="L54" i="1"/>
  <c r="L73" i="1"/>
  <c r="M73" i="1" s="1"/>
  <c r="L191" i="1"/>
  <c r="M191" i="1" s="1"/>
  <c r="L148" i="1"/>
  <c r="L40" i="1"/>
  <c r="L43" i="1"/>
  <c r="K21" i="1"/>
  <c r="K29" i="1"/>
  <c r="K28" i="1"/>
  <c r="M28" i="1" s="1"/>
  <c r="K64" i="1"/>
  <c r="M64" i="1" s="1"/>
  <c r="K129" i="1"/>
  <c r="K194" i="1"/>
  <c r="K104" i="1"/>
  <c r="K10" i="1"/>
  <c r="K7" i="1"/>
  <c r="K267" i="1"/>
  <c r="M267" i="1" s="1"/>
  <c r="K140" i="1"/>
  <c r="M140" i="1" s="1"/>
  <c r="K287" i="1"/>
  <c r="M287" i="1" s="1"/>
  <c r="K99" i="1"/>
  <c r="K58" i="1"/>
  <c r="M58" i="1" s="1"/>
  <c r="K119" i="1"/>
  <c r="M119" i="1" s="1"/>
  <c r="K120" i="1"/>
  <c r="M120" i="1" s="1"/>
  <c r="K199" i="1"/>
  <c r="M199" i="1" s="1"/>
  <c r="K258" i="1"/>
  <c r="M258" i="1" s="1"/>
  <c r="M259" i="1" s="1"/>
  <c r="K91" i="1"/>
  <c r="M91" i="1" s="1"/>
  <c r="K50" i="1"/>
  <c r="K44" i="1"/>
  <c r="K31" i="1"/>
  <c r="M31" i="1" s="1"/>
  <c r="K63" i="1"/>
  <c r="K177" i="1"/>
  <c r="K291" i="1"/>
  <c r="M291" i="1" s="1"/>
  <c r="M292" i="1" s="1"/>
  <c r="K261" i="1"/>
  <c r="M261" i="1" s="1"/>
  <c r="K295" i="1"/>
  <c r="M295" i="1" s="1"/>
  <c r="K5" i="1"/>
  <c r="K67" i="1"/>
  <c r="L21" i="1"/>
  <c r="L29" i="1"/>
  <c r="L63" i="1"/>
  <c r="L86" i="1"/>
  <c r="M86" i="1" s="1"/>
  <c r="L109" i="1"/>
  <c r="M109" i="1" s="1"/>
  <c r="L136" i="1"/>
  <c r="M136" i="1" s="1"/>
  <c r="L127" i="1"/>
  <c r="M127" i="1" s="1"/>
  <c r="L188" i="1"/>
  <c r="M188" i="1" s="1"/>
  <c r="L198" i="1"/>
  <c r="M198" i="1" s="1"/>
  <c r="L210" i="1"/>
  <c r="M210" i="1" s="1"/>
  <c r="L289" i="1"/>
  <c r="M289" i="1" s="1"/>
  <c r="M290" i="1" s="1"/>
  <c r="L243" i="1"/>
  <c r="M243" i="1" s="1"/>
  <c r="L8" i="1"/>
  <c r="M8" i="1" s="1"/>
  <c r="L206" i="1"/>
  <c r="M206" i="1" s="1"/>
  <c r="M207" i="1" s="1"/>
  <c r="L227" i="1"/>
  <c r="M227" i="1" s="1"/>
  <c r="M228" i="1" s="1"/>
  <c r="L168" i="1"/>
  <c r="M168" i="1" s="1"/>
  <c r="L239" i="1"/>
  <c r="M239" i="1" s="1"/>
  <c r="L255" i="1"/>
  <c r="M255" i="1" s="1"/>
  <c r="L276" i="1"/>
  <c r="M276" i="1" s="1"/>
  <c r="M277" i="1" s="1"/>
  <c r="L113" i="1"/>
  <c r="M113" i="1" s="1"/>
  <c r="L30" i="1"/>
  <c r="M30" i="1" s="1"/>
  <c r="L23" i="1"/>
  <c r="L88" i="1"/>
  <c r="M88" i="1" s="1"/>
  <c r="L150" i="1"/>
  <c r="M150" i="1" s="1"/>
  <c r="L154" i="1"/>
  <c r="L178" i="1"/>
  <c r="M178" i="1" s="1"/>
  <c r="L262" i="1"/>
  <c r="M262" i="1" s="1"/>
  <c r="L293" i="1"/>
  <c r="M293" i="1" s="1"/>
  <c r="L9" i="1"/>
  <c r="L12" i="1"/>
  <c r="L122" i="1"/>
  <c r="L118" i="1"/>
  <c r="L212" i="1"/>
  <c r="M212" i="1" s="1"/>
  <c r="L186" i="1"/>
  <c r="M186" i="1" s="1"/>
  <c r="M187" i="1" s="1"/>
  <c r="L170" i="1"/>
  <c r="M170" i="1" s="1"/>
  <c r="M171" i="1" s="1"/>
  <c r="L79" i="1"/>
  <c r="M79" i="1" s="1"/>
  <c r="M80" i="1" s="1"/>
  <c r="L92" i="1"/>
  <c r="M92" i="1" s="1"/>
  <c r="L204" i="1"/>
  <c r="M204" i="1" s="1"/>
  <c r="L181" i="1"/>
  <c r="L220" i="1"/>
  <c r="L77" i="1"/>
  <c r="L144" i="1"/>
  <c r="M144" i="1" s="1"/>
  <c r="M145" i="1" s="1"/>
  <c r="L33" i="1"/>
  <c r="L110" i="1"/>
  <c r="M110" i="1" s="1"/>
  <c r="L126" i="1"/>
  <c r="L174" i="1"/>
  <c r="M174" i="1" s="1"/>
  <c r="M175" i="1" s="1"/>
  <c r="L217" i="1"/>
  <c r="L254" i="1"/>
  <c r="M254" i="1" s="1"/>
  <c r="L103" i="1"/>
  <c r="M103" i="1" s="1"/>
  <c r="L72" i="1"/>
  <c r="L159" i="1"/>
  <c r="M159" i="1" s="1"/>
  <c r="L272" i="1"/>
  <c r="L224" i="1"/>
  <c r="M224" i="1" s="1"/>
  <c r="L222" i="1"/>
  <c r="M222" i="1" s="1"/>
  <c r="M223" i="1" s="1"/>
  <c r="L203" i="1"/>
  <c r="M203" i="1" s="1"/>
  <c r="L45" i="1"/>
  <c r="K22" i="1"/>
  <c r="K62" i="1"/>
  <c r="K82" i="1"/>
  <c r="M82" i="1" s="1"/>
  <c r="K125" i="1"/>
  <c r="M125" i="1" s="1"/>
  <c r="K134" i="1"/>
  <c r="M134" i="1" s="1"/>
  <c r="K130" i="1"/>
  <c r="M130" i="1" s="1"/>
  <c r="K128" i="1"/>
  <c r="M128" i="1" s="1"/>
  <c r="K190" i="1"/>
  <c r="M190" i="1" s="1"/>
  <c r="K197" i="1"/>
  <c r="K209" i="1"/>
  <c r="M209" i="1" s="1"/>
  <c r="K253" i="1"/>
  <c r="M253" i="1" s="1"/>
  <c r="K250" i="1"/>
  <c r="M250" i="1" s="1"/>
  <c r="K249" i="1"/>
  <c r="M249" i="1" s="1"/>
  <c r="K247" i="1"/>
  <c r="M247" i="1" s="1"/>
  <c r="K70" i="1"/>
  <c r="M70" i="1" s="1"/>
  <c r="K66" i="1"/>
  <c r="M66" i="1" s="1"/>
  <c r="K12" i="1"/>
  <c r="K100" i="1"/>
  <c r="M100" i="1" s="1"/>
  <c r="K274" i="1"/>
  <c r="M274" i="1" s="1"/>
  <c r="M275" i="1" s="1"/>
  <c r="K57" i="1"/>
  <c r="K202" i="1"/>
  <c r="K48" i="1"/>
  <c r="M48" i="1" s="1"/>
  <c r="K46" i="1"/>
  <c r="M46" i="1" s="1"/>
  <c r="K126" i="1"/>
  <c r="K217" i="1"/>
  <c r="K241" i="1"/>
  <c r="M241" i="1" s="1"/>
  <c r="K263" i="1"/>
  <c r="M263" i="1" s="1"/>
  <c r="K72" i="1"/>
  <c r="K281" i="1"/>
  <c r="M281" i="1" s="1"/>
  <c r="K272" i="1"/>
  <c r="K55" i="1"/>
  <c r="M55" i="1" s="1"/>
  <c r="K17" i="1"/>
  <c r="M17" i="1" s="1"/>
  <c r="K24" i="1"/>
  <c r="K23" i="1"/>
  <c r="M23" i="1" s="1"/>
  <c r="K59" i="1"/>
  <c r="K81" i="1"/>
  <c r="M81" i="1" s="1"/>
  <c r="K114" i="1"/>
  <c r="K112" i="1"/>
  <c r="K133" i="1"/>
  <c r="M133" i="1" s="1"/>
  <c r="K154" i="1"/>
  <c r="K176" i="1"/>
  <c r="M176" i="1" s="1"/>
  <c r="K167" i="1"/>
  <c r="K107" i="1"/>
  <c r="M107" i="1" s="1"/>
  <c r="K102" i="1"/>
  <c r="M102" i="1" s="1"/>
  <c r="K183" i="1"/>
  <c r="K141" i="1"/>
  <c r="K68" i="1"/>
  <c r="M68" i="1" s="1"/>
  <c r="K122" i="1"/>
  <c r="K118" i="1"/>
  <c r="K52" i="1"/>
  <c r="M52" i="1" s="1"/>
  <c r="M53" i="1" s="1"/>
  <c r="K181" i="1"/>
  <c r="M181" i="1" s="1"/>
  <c r="K220" i="1"/>
  <c r="M220" i="1" s="1"/>
  <c r="M221" i="1" s="1"/>
  <c r="K41" i="1"/>
  <c r="M41" i="1" s="1"/>
  <c r="K43" i="1"/>
  <c r="K33" i="1"/>
  <c r="M33" i="1" s="1"/>
  <c r="M34" i="1" s="1"/>
  <c r="K35" i="1"/>
  <c r="K164" i="1"/>
  <c r="M164" i="1" s="1"/>
  <c r="K146" i="1"/>
  <c r="M146" i="1" s="1"/>
  <c r="M147" i="1" s="1"/>
  <c r="K45" i="1"/>
  <c r="L20" i="1"/>
  <c r="M20" i="1" s="1"/>
  <c r="L60" i="1"/>
  <c r="L83" i="1"/>
  <c r="M83" i="1" s="1"/>
  <c r="L85" i="1"/>
  <c r="M85" i="1" s="1"/>
  <c r="L115" i="1"/>
  <c r="M115" i="1" s="1"/>
  <c r="L117" i="1"/>
  <c r="M117" i="1" s="1"/>
  <c r="L129" i="1"/>
  <c r="L152" i="1"/>
  <c r="L153" i="1"/>
  <c r="M153" i="1" s="1"/>
  <c r="L177" i="1"/>
  <c r="L194" i="1"/>
  <c r="L246" i="1"/>
  <c r="M246" i="1" s="1"/>
  <c r="L244" i="1"/>
  <c r="M244" i="1" s="1"/>
  <c r="L166" i="1"/>
  <c r="M166" i="1" s="1"/>
  <c r="L104" i="1"/>
  <c r="L5" i="1"/>
  <c r="M5" i="1" s="1"/>
  <c r="L10" i="1"/>
  <c r="L6" i="1"/>
  <c r="M6" i="1" s="1"/>
  <c r="L7" i="1"/>
  <c r="L139" i="1"/>
  <c r="L138" i="1"/>
  <c r="L67" i="1"/>
  <c r="L99" i="1"/>
  <c r="L160" i="1"/>
  <c r="M160" i="1" s="1"/>
  <c r="L158" i="1"/>
  <c r="M158" i="1" s="1"/>
  <c r="L123" i="1"/>
  <c r="M123" i="1" s="1"/>
  <c r="L233" i="1"/>
  <c r="M233" i="1" s="1"/>
  <c r="L50" i="1"/>
  <c r="M50" i="1" s="1"/>
  <c r="M51" i="1" s="1"/>
  <c r="L76" i="1"/>
  <c r="M76" i="1" s="1"/>
  <c r="L44" i="1"/>
  <c r="L47" i="1"/>
  <c r="M47" i="1" s="1"/>
  <c r="M37" i="1"/>
  <c r="M38" i="1" s="1"/>
  <c r="M93" i="1"/>
  <c r="M3" i="1"/>
  <c r="M4" i="1" s="1"/>
  <c r="L19" i="1"/>
  <c r="K16" i="1"/>
  <c r="L16" i="1"/>
  <c r="K19" i="1"/>
  <c r="M296" i="1" l="1"/>
  <c r="M284" i="1"/>
  <c r="M288" i="1"/>
  <c r="M238" i="1"/>
  <c r="M271" i="1"/>
  <c r="M264" i="1"/>
  <c r="M257" i="1"/>
  <c r="M226" i="1"/>
  <c r="M242" i="1"/>
  <c r="M232" i="1"/>
  <c r="M213" i="1"/>
  <c r="M193" i="1"/>
  <c r="M182" i="1"/>
  <c r="M165" i="1"/>
  <c r="M161" i="1"/>
  <c r="M111" i="1"/>
  <c r="M108" i="1"/>
  <c r="M90" i="1"/>
  <c r="M94" i="1"/>
  <c r="M84" i="1"/>
  <c r="M35" i="1"/>
  <c r="M36" i="1" s="1"/>
  <c r="M138" i="1"/>
  <c r="M139" i="1"/>
  <c r="M202" i="1"/>
  <c r="M205" i="1" s="1"/>
  <c r="M197" i="1"/>
  <c r="M201" i="1" s="1"/>
  <c r="M57" i="1"/>
  <c r="M114" i="1"/>
  <c r="M183" i="1"/>
  <c r="M185" i="1" s="1"/>
  <c r="M152" i="1"/>
  <c r="M62" i="1"/>
  <c r="M22" i="1"/>
  <c r="M60" i="1"/>
  <c r="M122" i="1"/>
  <c r="M24" i="1"/>
  <c r="M9" i="1"/>
  <c r="M44" i="1"/>
  <c r="M21" i="1"/>
  <c r="M148" i="1"/>
  <c r="M149" i="1" s="1"/>
  <c r="M167" i="1"/>
  <c r="M169" i="1" s="1"/>
  <c r="M112" i="1"/>
  <c r="M12" i="1"/>
  <c r="M40" i="1"/>
  <c r="M10" i="1"/>
  <c r="M45" i="1"/>
  <c r="M67" i="1"/>
  <c r="M69" i="1" s="1"/>
  <c r="M177" i="1"/>
  <c r="M179" i="1" s="1"/>
  <c r="M118" i="1"/>
  <c r="M59" i="1"/>
  <c r="M99" i="1"/>
  <c r="M101" i="1" s="1"/>
  <c r="M7" i="1"/>
  <c r="M129" i="1"/>
  <c r="M43" i="1"/>
  <c r="M141" i="1"/>
  <c r="M272" i="1"/>
  <c r="M273" i="1" s="1"/>
  <c r="M72" i="1"/>
  <c r="M74" i="1" s="1"/>
  <c r="M63" i="1"/>
  <c r="M54" i="1"/>
  <c r="M56" i="1" s="1"/>
  <c r="M104" i="1"/>
  <c r="M105" i="1" s="1"/>
  <c r="M77" i="1"/>
  <c r="M78" i="1" s="1"/>
  <c r="M194" i="1"/>
  <c r="M195" i="1" s="1"/>
  <c r="M29" i="1"/>
  <c r="M154" i="1"/>
  <c r="M126" i="1"/>
  <c r="M137" i="1" s="1"/>
  <c r="M217" i="1"/>
  <c r="M219" i="1" s="1"/>
  <c r="J6" i="4"/>
  <c r="K6" i="4"/>
  <c r="M16" i="1"/>
  <c r="M18" i="1" s="1"/>
  <c r="M19" i="1"/>
  <c r="M155" i="1" l="1"/>
  <c r="M143" i="1"/>
  <c r="M124" i="1"/>
  <c r="M65" i="1"/>
  <c r="M49" i="1"/>
  <c r="M13" i="1"/>
  <c r="M32" i="1"/>
  <c r="K3" i="4"/>
  <c r="D3" i="4"/>
  <c r="F3" i="4" s="1"/>
  <c r="E3" i="4"/>
  <c r="G3" i="4" s="1"/>
  <c r="J3" i="4"/>
  <c r="J9" i="4" l="1"/>
  <c r="E9" i="4"/>
  <c r="G9" i="4"/>
  <c r="K9" i="4"/>
  <c r="F9" i="4"/>
  <c r="D9" i="4"/>
  <c r="K11" i="4" l="1"/>
  <c r="G11" i="4"/>
  <c r="G13" i="4" l="1"/>
  <c r="K12" i="4" s="1"/>
</calcChain>
</file>

<file path=xl/sharedStrings.xml><?xml version="1.0" encoding="utf-8"?>
<sst xmlns="http://schemas.openxmlformats.org/spreadsheetml/2006/main" count="1959" uniqueCount="844">
  <si>
    <t>GL Description</t>
  </si>
  <si>
    <t>Building</t>
  </si>
  <si>
    <t>Room</t>
  </si>
  <si>
    <t>Model</t>
  </si>
  <si>
    <t>Serial Number</t>
  </si>
  <si>
    <t>IP Address</t>
  </si>
  <si>
    <t>Device Type</t>
  </si>
  <si>
    <t>Prev Color Click Count</t>
  </si>
  <si>
    <t>Current Color Click Count</t>
  </si>
  <si>
    <t>Color Click Charge</t>
  </si>
  <si>
    <t>Device Total Click Charge</t>
  </si>
  <si>
    <t>Air Force Rotc</t>
  </si>
  <si>
    <t>10_03_011_02100_5521</t>
  </si>
  <si>
    <t>ROTC-Air Force</t>
  </si>
  <si>
    <t>Kilbourne Hall</t>
  </si>
  <si>
    <t>AF SP4310N</t>
  </si>
  <si>
    <t>T1129010871</t>
  </si>
  <si>
    <t>144.75.187.135</t>
  </si>
  <si>
    <t>Printer</t>
  </si>
  <si>
    <t>T1129010832</t>
  </si>
  <si>
    <t>144.75.187.138</t>
  </si>
  <si>
    <t>Army Rotc</t>
  </si>
  <si>
    <t>10_03_011_04100_5521</t>
  </si>
  <si>
    <t>ROTC-Army</t>
  </si>
  <si>
    <t>AF MPC3502</t>
  </si>
  <si>
    <t>W502L600854</t>
  </si>
  <si>
    <t>144.75.187.122</t>
  </si>
  <si>
    <t>MFP</t>
  </si>
  <si>
    <t>T1129010677</t>
  </si>
  <si>
    <t>144.75.187.133</t>
  </si>
  <si>
    <t>T1129010869</t>
  </si>
  <si>
    <t>144.75.187.137</t>
  </si>
  <si>
    <t>T1129010889</t>
  </si>
  <si>
    <t>144.75.187.123</t>
  </si>
  <si>
    <t>T1129010681</t>
  </si>
  <si>
    <t>144.75.187.136</t>
  </si>
  <si>
    <t>T1129010837</t>
  </si>
  <si>
    <t>144.75.187.131</t>
  </si>
  <si>
    <t>T1129010820</t>
  </si>
  <si>
    <t>144.75.187.121</t>
  </si>
  <si>
    <t>T1129010760</t>
  </si>
  <si>
    <t>144.75.187.119</t>
  </si>
  <si>
    <t>T1129010900</t>
  </si>
  <si>
    <t>144.75.187.132</t>
  </si>
  <si>
    <t>T1129010748</t>
  </si>
  <si>
    <t>144.75.187.112</t>
  </si>
  <si>
    <t>T1129010902</t>
  </si>
  <si>
    <t>144.75.187.16</t>
  </si>
  <si>
    <t>T1129010874</t>
  </si>
  <si>
    <t>144.75.187.118</t>
  </si>
  <si>
    <t>T1129010823</t>
  </si>
  <si>
    <t>144.75.187.140</t>
  </si>
  <si>
    <t>Biology</t>
  </si>
  <si>
    <t>Maury Brooke</t>
  </si>
  <si>
    <t>AF MPC2051</t>
  </si>
  <si>
    <t>V9725401445</t>
  </si>
  <si>
    <t>144.75.191.21</t>
  </si>
  <si>
    <t>T1129011365</t>
  </si>
  <si>
    <t>144.75.202.56</t>
  </si>
  <si>
    <t>203A</t>
  </si>
  <si>
    <t>T1128911356</t>
  </si>
  <si>
    <t>144.75.202.51</t>
  </si>
  <si>
    <t>T1129011299</t>
  </si>
  <si>
    <t>144.75.202.57</t>
  </si>
  <si>
    <t>203B</t>
  </si>
  <si>
    <t>T1129011364</t>
  </si>
  <si>
    <t>144.75.202.58</t>
  </si>
  <si>
    <t>203C</t>
  </si>
  <si>
    <t>T1128911365</t>
  </si>
  <si>
    <t>144.75.202.44</t>
  </si>
  <si>
    <t>Chemistry</t>
  </si>
  <si>
    <t>10_03_011_26100_5521</t>
  </si>
  <si>
    <t>303E</t>
  </si>
  <si>
    <t>W502L601221</t>
  </si>
  <si>
    <t>144.75.202.45</t>
  </si>
  <si>
    <t>403H</t>
  </si>
  <si>
    <t>T1129011350</t>
  </si>
  <si>
    <t>144.75.202.13</t>
  </si>
  <si>
    <t>T1129011366</t>
  </si>
  <si>
    <t>144.75.202.14</t>
  </si>
  <si>
    <t>Civil &amp; Environmental Eng.</t>
  </si>
  <si>
    <t>10_03_011_28100_5521</t>
  </si>
  <si>
    <t>Civil Engineering</t>
  </si>
  <si>
    <t>Nichols Hall</t>
  </si>
  <si>
    <t>AF MPC4502</t>
  </si>
  <si>
    <t>W512L700506</t>
  </si>
  <si>
    <t>144.75.193.90</t>
  </si>
  <si>
    <t>T1129011096</t>
  </si>
  <si>
    <t>144.75.193.196</t>
  </si>
  <si>
    <t>T1128812156</t>
  </si>
  <si>
    <t>144.75.189.88</t>
  </si>
  <si>
    <t>410-445</t>
  </si>
  <si>
    <t>AF SPC242DN</t>
  </si>
  <si>
    <t>T202P600371</t>
  </si>
  <si>
    <t>144.75.193.75</t>
  </si>
  <si>
    <t>Economics &amp; Business</t>
  </si>
  <si>
    <t>10_03_011_36100_5521</t>
  </si>
  <si>
    <t>Economics</t>
  </si>
  <si>
    <t>Scott Shipp Hall</t>
  </si>
  <si>
    <t>W512L601991</t>
  </si>
  <si>
    <t>144.75.208.32</t>
  </si>
  <si>
    <t>10_03_011_40100_5521</t>
  </si>
  <si>
    <t>T1128910788</t>
  </si>
  <si>
    <t>144.75.214.43</t>
  </si>
  <si>
    <t>T1128712307</t>
  </si>
  <si>
    <t>144.75.214.34</t>
  </si>
  <si>
    <t>Electrical &amp; Computer Eng.</t>
  </si>
  <si>
    <t>10_03_011_38100_5521</t>
  </si>
  <si>
    <t>Electrical Engineering</t>
  </si>
  <si>
    <t>V9725600283</t>
  </si>
  <si>
    <t>144.75.193.30</t>
  </si>
  <si>
    <t>T1129011173</t>
  </si>
  <si>
    <t>144.75.193.191</t>
  </si>
  <si>
    <t>T1129011106</t>
  </si>
  <si>
    <t>144.75.193.131</t>
  </si>
  <si>
    <t>T1129011160</t>
  </si>
  <si>
    <t>144.75.193.180</t>
  </si>
  <si>
    <t>T1129011159</t>
  </si>
  <si>
    <t>144.75.193.195</t>
  </si>
  <si>
    <t>T1129011158</t>
  </si>
  <si>
    <t>144.75.193.192</t>
  </si>
  <si>
    <t>English &amp; Fine Arts</t>
  </si>
  <si>
    <t>V9725401426</t>
  </si>
  <si>
    <t>144.75.207.26</t>
  </si>
  <si>
    <t>T1128910767</t>
  </si>
  <si>
    <t>144.75.207.54</t>
  </si>
  <si>
    <t>T1128910772</t>
  </si>
  <si>
    <t>144.75.207.34</t>
  </si>
  <si>
    <t>T1128910785</t>
  </si>
  <si>
    <t>144.75.207.53</t>
  </si>
  <si>
    <t>T1128910781</t>
  </si>
  <si>
    <t>144.75.207.52</t>
  </si>
  <si>
    <t>T1128910789</t>
  </si>
  <si>
    <t>144.75.207.56</t>
  </si>
  <si>
    <t>T1128910768</t>
  </si>
  <si>
    <t>144.75.207.50</t>
  </si>
  <si>
    <t>T1128910783</t>
  </si>
  <si>
    <t>144.75.206.31</t>
  </si>
  <si>
    <t>T202P700476</t>
  </si>
  <si>
    <t>144.75.207.58</t>
  </si>
  <si>
    <t>T1128910784</t>
  </si>
  <si>
    <t>144.75.207.55</t>
  </si>
  <si>
    <t>T112891077</t>
  </si>
  <si>
    <t>144.75.207.57</t>
  </si>
  <si>
    <t>History</t>
  </si>
  <si>
    <t>10_03_011_48100_5521</t>
  </si>
  <si>
    <t>V9725501224</t>
  </si>
  <si>
    <t>144.75.213.36</t>
  </si>
  <si>
    <t>T1129010431</t>
  </si>
  <si>
    <t>144.75.213.44</t>
  </si>
  <si>
    <t>T1129010430</t>
  </si>
  <si>
    <t>144.75.213.39</t>
  </si>
  <si>
    <t>T1129010424</t>
  </si>
  <si>
    <t>144.75.213.26</t>
  </si>
  <si>
    <t>T1129010422</t>
  </si>
  <si>
    <t>144.75.213.42</t>
  </si>
  <si>
    <t>International Studies</t>
  </si>
  <si>
    <t>C9725401441</t>
  </si>
  <si>
    <t>144.75.209.65</t>
  </si>
  <si>
    <t>International Programs</t>
  </si>
  <si>
    <t>Old Hospital</t>
  </si>
  <si>
    <t>AF MP301SP</t>
  </si>
  <si>
    <t>W912P601488</t>
  </si>
  <si>
    <t>144.75.180.72</t>
  </si>
  <si>
    <t>T1128910774</t>
  </si>
  <si>
    <t>144.75.210.44</t>
  </si>
  <si>
    <t>T1129010389</t>
  </si>
  <si>
    <t>144.75.210.27</t>
  </si>
  <si>
    <t>Math/Computer Science</t>
  </si>
  <si>
    <t>10_03_011_64100_5521</t>
  </si>
  <si>
    <t>Mathematics</t>
  </si>
  <si>
    <t>Mallory Hall</t>
  </si>
  <si>
    <t>W512L601983</t>
  </si>
  <si>
    <t>144.75.182.151</t>
  </si>
  <si>
    <t>T1129011355</t>
  </si>
  <si>
    <t>144.75.182.61</t>
  </si>
  <si>
    <t>T1129011357</t>
  </si>
  <si>
    <t>144.75.182.239</t>
  </si>
  <si>
    <t>10_03_011_64125_5521</t>
  </si>
  <si>
    <t>MERC Operating</t>
  </si>
  <si>
    <t>Preston Library</t>
  </si>
  <si>
    <t>V9725501242</t>
  </si>
  <si>
    <t>144.75.181.16</t>
  </si>
  <si>
    <t>Mechanical Engineering</t>
  </si>
  <si>
    <t>10_03_011_66100_5521</t>
  </si>
  <si>
    <t>W512L601966</t>
  </si>
  <si>
    <t>144.75.193.6</t>
  </si>
  <si>
    <t>T1129011154</t>
  </si>
  <si>
    <t>144.75.193.197</t>
  </si>
  <si>
    <t>T202P600942</t>
  </si>
  <si>
    <t>144.75.193.118</t>
  </si>
  <si>
    <t>Modern Languages</t>
  </si>
  <si>
    <t>10_03_011_68100_5521</t>
  </si>
  <si>
    <t>V9725501168</t>
  </si>
  <si>
    <t>144.75.210.33</t>
  </si>
  <si>
    <t>T1129011164</t>
  </si>
  <si>
    <t>144.75.213.45</t>
  </si>
  <si>
    <t>T1128910773</t>
  </si>
  <si>
    <t>144.75.209.67</t>
  </si>
  <si>
    <t>T118910782</t>
  </si>
  <si>
    <t>144.75.209.70</t>
  </si>
  <si>
    <t>Naval Rotc</t>
  </si>
  <si>
    <t>10_03_011_72100_5521</t>
  </si>
  <si>
    <t>ROTC-Navy</t>
  </si>
  <si>
    <t>T1129010744</t>
  </si>
  <si>
    <t>144.75.187.31</t>
  </si>
  <si>
    <t>T11229010836</t>
  </si>
  <si>
    <t>144.75.187.107</t>
  </si>
  <si>
    <t>T1129010868</t>
  </si>
  <si>
    <t>144.75.187.115</t>
  </si>
  <si>
    <t>Physical Education</t>
  </si>
  <si>
    <t>10_03_011_76100_5521</t>
  </si>
  <si>
    <t>Cocke Hall</t>
  </si>
  <si>
    <t>W502L700470</t>
  </si>
  <si>
    <t>144.75.177.38</t>
  </si>
  <si>
    <t>T1128911213</t>
  </si>
  <si>
    <t>144.75.177.49</t>
  </si>
  <si>
    <t>320C</t>
  </si>
  <si>
    <t>T1128810903</t>
  </si>
  <si>
    <t>144.75.177.33</t>
  </si>
  <si>
    <t>Weight Room</t>
  </si>
  <si>
    <t>T202P700454</t>
  </si>
  <si>
    <t>144.75.177.36</t>
  </si>
  <si>
    <t>Physics &amp; Astronomy</t>
  </si>
  <si>
    <t>W502L601236</t>
  </si>
  <si>
    <t>144.75.182.208</t>
  </si>
  <si>
    <t>T1129011359</t>
  </si>
  <si>
    <t>144.75.182.15</t>
  </si>
  <si>
    <t>10_03_011_86100_5521</t>
  </si>
  <si>
    <t>Psychology &amp; Philosophy</t>
  </si>
  <si>
    <t>Carroll Hall</t>
  </si>
  <si>
    <t>W512L601987</t>
  </si>
  <si>
    <t>144.75.195.105</t>
  </si>
  <si>
    <t>T1128911364</t>
  </si>
  <si>
    <t>144.75.195.106</t>
  </si>
  <si>
    <t>T1128911358</t>
  </si>
  <si>
    <t>144.75.195.9</t>
  </si>
  <si>
    <t>T1128911367</t>
  </si>
  <si>
    <t>144.75.195.32</t>
  </si>
  <si>
    <t>Museum Operations</t>
  </si>
  <si>
    <t>10_03_031_70100_5521</t>
  </si>
  <si>
    <t>Museum</t>
  </si>
  <si>
    <t>Jackson Memorial</t>
  </si>
  <si>
    <t>V9725401442</t>
  </si>
  <si>
    <t>144.75.194.6</t>
  </si>
  <si>
    <t>10_03_011_34175_5521</t>
  </si>
  <si>
    <t>Libraries</t>
  </si>
  <si>
    <t>W502L700081</t>
  </si>
  <si>
    <t>144.75.197.69</t>
  </si>
  <si>
    <t>10_03_041_62100_5521</t>
  </si>
  <si>
    <t>400B</t>
  </si>
  <si>
    <t>V9725401436</t>
  </si>
  <si>
    <t>144.75.196.28</t>
  </si>
  <si>
    <t>Circ Desk</t>
  </si>
  <si>
    <t>V9725500671</t>
  </si>
  <si>
    <t>144.75.185.38</t>
  </si>
  <si>
    <t>T2238911520</t>
  </si>
  <si>
    <t>144.75.185.13</t>
  </si>
  <si>
    <t>T1129011038</t>
  </si>
  <si>
    <t>144.75.196.8</t>
  </si>
  <si>
    <t>T1128911511</t>
  </si>
  <si>
    <t>144.75.185.11</t>
  </si>
  <si>
    <t>T1128811625</t>
  </si>
  <si>
    <t>144.75.196.12</t>
  </si>
  <si>
    <t>T1128712304</t>
  </si>
  <si>
    <t>144.75.196.71</t>
  </si>
  <si>
    <t>300A</t>
  </si>
  <si>
    <t>T1128710718</t>
  </si>
  <si>
    <t>144.75.197.15</t>
  </si>
  <si>
    <t>T1128811936</t>
  </si>
  <si>
    <t>144.75.185.100</t>
  </si>
  <si>
    <t>T1128811633</t>
  </si>
  <si>
    <t>144.75.197.11</t>
  </si>
  <si>
    <t>T1129011155</t>
  </si>
  <si>
    <t>144.75.196.9</t>
  </si>
  <si>
    <t>T1128911524</t>
  </si>
  <si>
    <t>144.75.197.12</t>
  </si>
  <si>
    <t>Information Technology</t>
  </si>
  <si>
    <t>10_03_043_50100_5521</t>
  </si>
  <si>
    <t>IST</t>
  </si>
  <si>
    <t>W512L601973</t>
  </si>
  <si>
    <t>144.75.5.14</t>
  </si>
  <si>
    <t>T1129011126</t>
  </si>
  <si>
    <t>144.75.5.68</t>
  </si>
  <si>
    <t>Dean's Office</t>
  </si>
  <si>
    <t>10_03_045_34100_5521</t>
  </si>
  <si>
    <t>Deans Office</t>
  </si>
  <si>
    <t>Smith Hall</t>
  </si>
  <si>
    <t>V9725401451</t>
  </si>
  <si>
    <t>144.75.179.99</t>
  </si>
  <si>
    <t>T1128911226</t>
  </si>
  <si>
    <t>144.75.179.101</t>
  </si>
  <si>
    <t>T1128911227</t>
  </si>
  <si>
    <t>144.75.179.56</t>
  </si>
  <si>
    <t>T202P700469</t>
  </si>
  <si>
    <t>144.75.179.11</t>
  </si>
  <si>
    <t>Writing Center</t>
  </si>
  <si>
    <t>10_03_045_99200_5521</t>
  </si>
  <si>
    <t>W502L700053</t>
  </si>
  <si>
    <t>144.75.195.87</t>
  </si>
  <si>
    <t>T1128910779</t>
  </si>
  <si>
    <t>144.75.195.99</t>
  </si>
  <si>
    <t>T1128910778</t>
  </si>
  <si>
    <t>144.75.195.34</t>
  </si>
  <si>
    <t>Career Services / Financial Aid</t>
  </si>
  <si>
    <t>10_03_053_20300_5521</t>
  </si>
  <si>
    <t>Financial Aid Administration</t>
  </si>
  <si>
    <t>T1128911361</t>
  </si>
  <si>
    <t>144.75.195.81</t>
  </si>
  <si>
    <t>T1128910754</t>
  </si>
  <si>
    <t>144.75.195.25</t>
  </si>
  <si>
    <t>T1128911369</t>
  </si>
  <si>
    <t>144.75.195.109</t>
  </si>
  <si>
    <t>T1128911363</t>
  </si>
  <si>
    <t>144.75.195.229</t>
  </si>
  <si>
    <t>Admissions</t>
  </si>
  <si>
    <t>10_03_054_01100_5521</t>
  </si>
  <si>
    <t>307 Letcher</t>
  </si>
  <si>
    <t>W502L600872</t>
  </si>
  <si>
    <t>144.75.215.48</t>
  </si>
  <si>
    <t>T202P700462</t>
  </si>
  <si>
    <t>144.75.186.31</t>
  </si>
  <si>
    <t>T1129010899</t>
  </si>
  <si>
    <t>144.75.178.24</t>
  </si>
  <si>
    <t>T202P700447</t>
  </si>
  <si>
    <t>144.75.186.28</t>
  </si>
  <si>
    <t>T202P700463</t>
  </si>
  <si>
    <t>144.75.186.29</t>
  </si>
  <si>
    <t>T202P700465</t>
  </si>
  <si>
    <t>144.75.186.25</t>
  </si>
  <si>
    <t>T1128911219</t>
  </si>
  <si>
    <t>144.75.215.43</t>
  </si>
  <si>
    <t>T202P600637</t>
  </si>
  <si>
    <t>T1129010877</t>
  </si>
  <si>
    <t>144.75.186.30</t>
  </si>
  <si>
    <t>Learning Center</t>
  </si>
  <si>
    <t>10_03_054_60100_5521</t>
  </si>
  <si>
    <t>Learning Programs</t>
  </si>
  <si>
    <t>207A</t>
  </si>
  <si>
    <t>T1128811582</t>
  </si>
  <si>
    <t>144.75.195.46</t>
  </si>
  <si>
    <t>Miller Head Clinic</t>
  </si>
  <si>
    <t>T1128911370</t>
  </si>
  <si>
    <t>144.75.195.92</t>
  </si>
  <si>
    <t>Registrar Office</t>
  </si>
  <si>
    <t>10_03_054_90100_5521</t>
  </si>
  <si>
    <t>Registration &amp; Records</t>
  </si>
  <si>
    <t>Shell Hall</t>
  </si>
  <si>
    <t>T1129012229</t>
  </si>
  <si>
    <t>144.75.180.58</t>
  </si>
  <si>
    <t>T1129012238</t>
  </si>
  <si>
    <t>144.75.180.38</t>
  </si>
  <si>
    <t>T1129012240</t>
  </si>
  <si>
    <t>144.75.180.42</t>
  </si>
  <si>
    <t>10_07_205_90300_5521</t>
  </si>
  <si>
    <t>T202P700442</t>
  </si>
  <si>
    <t>144.75.180.103</t>
  </si>
  <si>
    <t>T202P700458</t>
  </si>
  <si>
    <t>144.75.180.41</t>
  </si>
  <si>
    <t>Financial Aid</t>
  </si>
  <si>
    <t>T1128911371</t>
  </si>
  <si>
    <t>144.75.195.91</t>
  </si>
  <si>
    <t>302D</t>
  </si>
  <si>
    <t>T1128911366</t>
  </si>
  <si>
    <t>144.75.195.102</t>
  </si>
  <si>
    <t>302A</t>
  </si>
  <si>
    <t>T1128910753</t>
  </si>
  <si>
    <t>144.75.195.38</t>
  </si>
  <si>
    <t>302B</t>
  </si>
  <si>
    <t>T1128811968</t>
  </si>
  <si>
    <t>144.75.195.10</t>
  </si>
  <si>
    <t>T1128911268</t>
  </si>
  <si>
    <t>144.75.195.101</t>
  </si>
  <si>
    <t>Superintendents Office</t>
  </si>
  <si>
    <t>10_03_061_94100_5521</t>
  </si>
  <si>
    <t>W502L600891</t>
  </si>
  <si>
    <t>144.75.179.53</t>
  </si>
  <si>
    <t>Superintendent's Office</t>
  </si>
  <si>
    <t>T112891197</t>
  </si>
  <si>
    <t>T1128811618</t>
  </si>
  <si>
    <t>144.75.179.77</t>
  </si>
  <si>
    <t>T1128911097</t>
  </si>
  <si>
    <t>144.75.179.107</t>
  </si>
  <si>
    <t>T1128911224</t>
  </si>
  <si>
    <t>144.75.179.108</t>
  </si>
  <si>
    <t>T1128911225</t>
  </si>
  <si>
    <t>144.75.179.109</t>
  </si>
  <si>
    <t>Treasurer's Office</t>
  </si>
  <si>
    <t>10_03_062_16100_5521</t>
  </si>
  <si>
    <t>Business Executive</t>
  </si>
  <si>
    <t>W502L600725</t>
  </si>
  <si>
    <t>144.75.179.35</t>
  </si>
  <si>
    <t>Business Office</t>
  </si>
  <si>
    <t>T1128911215</t>
  </si>
  <si>
    <t>144.75.179.115</t>
  </si>
  <si>
    <t>T1128911216</t>
  </si>
  <si>
    <t>144.75.179.65</t>
  </si>
  <si>
    <t>T1129012215</t>
  </si>
  <si>
    <t>144.75.179.113</t>
  </si>
  <si>
    <t>T1129012239</t>
  </si>
  <si>
    <t>144.75.179.114</t>
  </si>
  <si>
    <t>Comptrollers</t>
  </si>
  <si>
    <t>10_03_062_32100_5521</t>
  </si>
  <si>
    <t>Comptroller's Office</t>
  </si>
  <si>
    <t>V9725401454</t>
  </si>
  <si>
    <t>144.75.179.234</t>
  </si>
  <si>
    <t>T1129012230</t>
  </si>
  <si>
    <t>144.75.179.43</t>
  </si>
  <si>
    <t>Human Resources</t>
  </si>
  <si>
    <t>10_03_063_74100_5521</t>
  </si>
  <si>
    <t>Personnel Administration</t>
  </si>
  <si>
    <t>V9725401440</t>
  </si>
  <si>
    <t>144.75.215.28</t>
  </si>
  <si>
    <t>T1129010888</t>
  </si>
  <si>
    <t>144.75.215.69</t>
  </si>
  <si>
    <t>T1129010903</t>
  </si>
  <si>
    <t>144.75.215.22</t>
  </si>
  <si>
    <t>T1129010833</t>
  </si>
  <si>
    <t>144.75.215.14</t>
  </si>
  <si>
    <t>T1129010891</t>
  </si>
  <si>
    <t>144.75.215.52</t>
  </si>
  <si>
    <t>Purchasing</t>
  </si>
  <si>
    <t>10_03_064_32105_5521</t>
  </si>
  <si>
    <t>Purchasing Office</t>
  </si>
  <si>
    <t>AF MP4002</t>
  </si>
  <si>
    <t>W522L700681</t>
  </si>
  <si>
    <t>144.75.179.66</t>
  </si>
  <si>
    <t>10_03_064_32145_5521</t>
  </si>
  <si>
    <t>AF MP6001</t>
  </si>
  <si>
    <t>V6925300966</t>
  </si>
  <si>
    <t>144.75.212.17</t>
  </si>
  <si>
    <t>Duplicating</t>
  </si>
  <si>
    <t>AF MPC6501</t>
  </si>
  <si>
    <t>V7620500472</t>
  </si>
  <si>
    <t>144.75.179.103</t>
  </si>
  <si>
    <t>Old Barracks</t>
  </si>
  <si>
    <t>B8</t>
  </si>
  <si>
    <t>T202P700470</t>
  </si>
  <si>
    <t>144.75.190.50</t>
  </si>
  <si>
    <t>Barracks Study Room</t>
  </si>
  <si>
    <t>10_03_064_50550_5521</t>
  </si>
  <si>
    <t>Printer Services</t>
  </si>
  <si>
    <t>New Barracks</t>
  </si>
  <si>
    <t>C11</t>
  </si>
  <si>
    <t>W522L700693</t>
  </si>
  <si>
    <t>144.75.188.60</t>
  </si>
  <si>
    <t>W522L700688</t>
  </si>
  <si>
    <t>144.75.188.50</t>
  </si>
  <si>
    <t>V7620400172</t>
  </si>
  <si>
    <t>144.75.195.225</t>
  </si>
  <si>
    <t>ADV</t>
  </si>
  <si>
    <t>210C</t>
  </si>
  <si>
    <t>T1128911292</t>
  </si>
  <si>
    <t>144.75.195.20</t>
  </si>
  <si>
    <t>T1129011291</t>
  </si>
  <si>
    <t>144.75.182.5</t>
  </si>
  <si>
    <t>204A</t>
  </si>
  <si>
    <t>T1129011358</t>
  </si>
  <si>
    <t>144.75.202.47</t>
  </si>
  <si>
    <t>T1128811663</t>
  </si>
  <si>
    <t>144.75.193.42</t>
  </si>
  <si>
    <t>T1128710825</t>
  </si>
  <si>
    <t>144.75.189.87</t>
  </si>
  <si>
    <t>T1128811911</t>
  </si>
  <si>
    <t>144.75.193.178</t>
  </si>
  <si>
    <t>T1129011165</t>
  </si>
  <si>
    <t>144.75.193.12</t>
  </si>
  <si>
    <t>T1128811954</t>
  </si>
  <si>
    <t>144.75.193.212</t>
  </si>
  <si>
    <t>T1128811955</t>
  </si>
  <si>
    <t>144.75.193.74</t>
  </si>
  <si>
    <t>T1128811953</t>
  </si>
  <si>
    <t>144.75.193.69</t>
  </si>
  <si>
    <t>T1129011163</t>
  </si>
  <si>
    <t>144.75.189.15</t>
  </si>
  <si>
    <t>W912P602284</t>
  </si>
  <si>
    <t>144.75.182.242</t>
  </si>
  <si>
    <t>T1128811629</t>
  </si>
  <si>
    <t>144.75.182.193</t>
  </si>
  <si>
    <t>T1129011168</t>
  </si>
  <si>
    <t>144.75.193.198</t>
  </si>
  <si>
    <t>T1129011167</t>
  </si>
  <si>
    <t>144.75.193.199</t>
  </si>
  <si>
    <t>T1128910780</t>
  </si>
  <si>
    <t>144.75.209.11</t>
  </si>
  <si>
    <t>T1129011352</t>
  </si>
  <si>
    <t>144.75.182.246</t>
  </si>
  <si>
    <t>T1129010306</t>
  </si>
  <si>
    <t>144.74.185.15</t>
  </si>
  <si>
    <t>T1129011161</t>
  </si>
  <si>
    <t>144.75.185.49</t>
  </si>
  <si>
    <t>Mail Services</t>
  </si>
  <si>
    <t>10_03_064_82140_5521</t>
  </si>
  <si>
    <t>Post Mail</t>
  </si>
  <si>
    <t>C10</t>
  </si>
  <si>
    <t>W912P602291</t>
  </si>
  <si>
    <t>144.75.130.87</t>
  </si>
  <si>
    <t>Protocol Office</t>
  </si>
  <si>
    <t>10_03_065_84100_5521</t>
  </si>
  <si>
    <t>T1129010803</t>
  </si>
  <si>
    <t>144.75.215.9</t>
  </si>
  <si>
    <t>10_03_045_54100_5521</t>
  </si>
  <si>
    <t>Communications &amp; Marketing</t>
  </si>
  <si>
    <t>V9725500667</t>
  </si>
  <si>
    <t>144.75.179.233</t>
  </si>
  <si>
    <t>Communications and Marketing</t>
  </si>
  <si>
    <t>10_03_065_88100_5521</t>
  </si>
  <si>
    <t>114A</t>
  </si>
  <si>
    <t>T1128911218</t>
  </si>
  <si>
    <t>144.75.179.110</t>
  </si>
  <si>
    <t>W912P602281</t>
  </si>
  <si>
    <t>144.75.179.81</t>
  </si>
  <si>
    <t>30_00_310_06104_5521</t>
  </si>
  <si>
    <t>W912P602286</t>
  </si>
  <si>
    <t>144.75.179.49</t>
  </si>
  <si>
    <t>Physical Plant</t>
  </si>
  <si>
    <t>10_03_071_14100_5521</t>
  </si>
  <si>
    <t>Physical Plant Administration</t>
  </si>
  <si>
    <t>V9725401439</t>
  </si>
  <si>
    <t>144.75.218.6</t>
  </si>
  <si>
    <t>W912P602228</t>
  </si>
  <si>
    <t>144.75.218.8</t>
  </si>
  <si>
    <t>T1129012156</t>
  </si>
  <si>
    <t>144.75.218.7</t>
  </si>
  <si>
    <t>T1129012227</t>
  </si>
  <si>
    <t>144.75.218.55</t>
  </si>
  <si>
    <t>T1129012236</t>
  </si>
  <si>
    <t>144.75.218.57</t>
  </si>
  <si>
    <t>Office of Construction</t>
  </si>
  <si>
    <t>Hallway</t>
  </si>
  <si>
    <t>W502L700003</t>
  </si>
  <si>
    <t>144.75.201.7</t>
  </si>
  <si>
    <t>T1129010870</t>
  </si>
  <si>
    <t>144.75.201.9</t>
  </si>
  <si>
    <t>T1129010901</t>
  </si>
  <si>
    <t>144.75.201.21</t>
  </si>
  <si>
    <t>Chaplains Office</t>
  </si>
  <si>
    <t>10_07_205_24100_5521</t>
  </si>
  <si>
    <t>UMA-Counselors Office</t>
  </si>
  <si>
    <t>W912P601485</t>
  </si>
  <si>
    <t>144.75.180.73</t>
  </si>
  <si>
    <t>Commandant's Office</t>
  </si>
  <si>
    <t>10_07_205_30150_5521</t>
  </si>
  <si>
    <t>UMA-Commandant's Office</t>
  </si>
  <si>
    <t>W512L601992</t>
  </si>
  <si>
    <t>144.75.190.18</t>
  </si>
  <si>
    <t>T112901223</t>
  </si>
  <si>
    <t>144.75.190.21</t>
  </si>
  <si>
    <t>135C</t>
  </si>
  <si>
    <t>T1129012232</t>
  </si>
  <si>
    <t>144.75.190.22</t>
  </si>
  <si>
    <t>Guard Room</t>
  </si>
  <si>
    <t>T1128811958</t>
  </si>
  <si>
    <t>144.75.190.30</t>
  </si>
  <si>
    <t>OC Hole</t>
  </si>
  <si>
    <t>3-303</t>
  </si>
  <si>
    <t>W912P602290</t>
  </si>
  <si>
    <t>144.75.143.18</t>
  </si>
  <si>
    <t>Band</t>
  </si>
  <si>
    <t>10_07_205_30200_5521</t>
  </si>
  <si>
    <t>UMA-Band</t>
  </si>
  <si>
    <t>W912P602276</t>
  </si>
  <si>
    <t>144.75.180.76</t>
  </si>
  <si>
    <t>Academic Advising</t>
  </si>
  <si>
    <t>V9725401429</t>
  </si>
  <si>
    <t>144.75.195.41</t>
  </si>
  <si>
    <t>Military Store</t>
  </si>
  <si>
    <t>10_08_302_82190_5521</t>
  </si>
  <si>
    <t>AUX-Military Store</t>
  </si>
  <si>
    <t>Richardson Hall</t>
  </si>
  <si>
    <t>V9725700303</t>
  </si>
  <si>
    <t>144.75.180.200</t>
  </si>
  <si>
    <t>T1129012233</t>
  </si>
  <si>
    <t>144.75.180.101</t>
  </si>
  <si>
    <t>T1129012234</t>
  </si>
  <si>
    <t>144.75.180.11</t>
  </si>
  <si>
    <t>Laundry</t>
  </si>
  <si>
    <t>10_08_303_82240_5521</t>
  </si>
  <si>
    <t>AUX-Laundry &amp; Pressing</t>
  </si>
  <si>
    <t>W912P602288</t>
  </si>
  <si>
    <t>144.75.195.6</t>
  </si>
  <si>
    <t>T202P700340</t>
  </si>
  <si>
    <t>144.75.195.95</t>
  </si>
  <si>
    <t>Infirmary</t>
  </si>
  <si>
    <t>10_08_305_80150_5521</t>
  </si>
  <si>
    <t>AUX-Student Health</t>
  </si>
  <si>
    <t>V9725401375</t>
  </si>
  <si>
    <t>144.75.176.46</t>
  </si>
  <si>
    <t>V9725401162</t>
  </si>
  <si>
    <t>144.75.176.21</t>
  </si>
  <si>
    <t>T1128710823</t>
  </si>
  <si>
    <t>144.75.176.20</t>
  </si>
  <si>
    <t>Newspaper</t>
  </si>
  <si>
    <t>10_08_307_18380_5521</t>
  </si>
  <si>
    <t>Student Union</t>
  </si>
  <si>
    <t>W912P602285</t>
  </si>
  <si>
    <t>144.75.86.16</t>
  </si>
  <si>
    <t>Auxiliary Services</t>
  </si>
  <si>
    <t>10_08_309_82115_5521</t>
  </si>
  <si>
    <t>Auxiliary Administration</t>
  </si>
  <si>
    <t>V9725500651</t>
  </si>
  <si>
    <t>144.75.177.32</t>
  </si>
  <si>
    <t>Athletics</t>
  </si>
  <si>
    <t>Cameron Hall</t>
  </si>
  <si>
    <t>T1129010385</t>
  </si>
  <si>
    <t>144.75.183.63</t>
  </si>
  <si>
    <t>Sport Medicine</t>
  </si>
  <si>
    <t>T1129010423</t>
  </si>
  <si>
    <t>144.75.183.71</t>
  </si>
  <si>
    <t>30_00_310_06090_5521</t>
  </si>
  <si>
    <t>T1129010429</t>
  </si>
  <si>
    <t>144.75.183.65</t>
  </si>
  <si>
    <t>Center for Leadership &amp; Ethics</t>
  </si>
  <si>
    <t>30_00_045_61150_5521</t>
  </si>
  <si>
    <t>V9725400756</t>
  </si>
  <si>
    <t>144.75.215.6</t>
  </si>
  <si>
    <t>T1129012327</t>
  </si>
  <si>
    <t>144.75.215.10</t>
  </si>
  <si>
    <t>T1129011351</t>
  </si>
  <si>
    <t>144.75.215.30</t>
  </si>
  <si>
    <t>Football Office</t>
  </si>
  <si>
    <t>30_00_310_06000_5521</t>
  </si>
  <si>
    <t>Football</t>
  </si>
  <si>
    <t>Clarkson McKenna Hall</t>
  </si>
  <si>
    <t>W502L600898</t>
  </si>
  <si>
    <t>144.75.216.14</t>
  </si>
  <si>
    <t>Football Department</t>
  </si>
  <si>
    <t>T1129012226</t>
  </si>
  <si>
    <t>144.75.216.21</t>
  </si>
  <si>
    <t>30_00_310_06020_5521</t>
  </si>
  <si>
    <t>Track &amp; Cross Country</t>
  </si>
  <si>
    <t>T1129010426</t>
  </si>
  <si>
    <t>144.75.183.68</t>
  </si>
  <si>
    <t>30_00_310_06095_5521</t>
  </si>
  <si>
    <t>Soccer - Women</t>
  </si>
  <si>
    <t>T1129010419</t>
  </si>
  <si>
    <t>144.75.183.69</t>
  </si>
  <si>
    <t>30_00_310_06110_5521</t>
  </si>
  <si>
    <t>Administrative</t>
  </si>
  <si>
    <t>V9725401418</t>
  </si>
  <si>
    <t>144.75.183.52</t>
  </si>
  <si>
    <t>V7620400078</t>
  </si>
  <si>
    <t>144.75.183.56</t>
  </si>
  <si>
    <t>W912P602280</t>
  </si>
  <si>
    <t>144.75.183.73</t>
  </si>
  <si>
    <t>T1129010427</t>
  </si>
  <si>
    <t>144.75.183.9</t>
  </si>
  <si>
    <t>T1129010420</t>
  </si>
  <si>
    <t>144.75.183.64</t>
  </si>
  <si>
    <t>T1129010428</t>
  </si>
  <si>
    <t>144.75.183.67</t>
  </si>
  <si>
    <t>T1129010421</t>
  </si>
  <si>
    <t>144.75.183.62</t>
  </si>
  <si>
    <t>B&amp;W
MFP</t>
  </si>
  <si>
    <t>Color
MFP</t>
  </si>
  <si>
    <t>B/W
MFD</t>
  </si>
  <si>
    <t>Color
MFD</t>
  </si>
  <si>
    <t>B&amp;W 
MFP</t>
  </si>
  <si>
    <t>Color 
MFP</t>
  </si>
  <si>
    <t>MFP:</t>
  </si>
  <si>
    <t>B&amp;W 
Printer</t>
  </si>
  <si>
    <t>Color 
Printer</t>
  </si>
  <si>
    <t>B/W
Printer</t>
  </si>
  <si>
    <t>Color
Printer</t>
  </si>
  <si>
    <t>Printer:</t>
  </si>
  <si>
    <t>Total
B&amp;W</t>
  </si>
  <si>
    <t>Total 
Color</t>
  </si>
  <si>
    <t>Total:</t>
  </si>
  <si>
    <t>Total This
Invoice:</t>
  </si>
  <si>
    <t>Rates</t>
  </si>
  <si>
    <t>MFP B&amp;W</t>
  </si>
  <si>
    <t>MFP Color</t>
  </si>
  <si>
    <t>Printer B&amp;W</t>
  </si>
  <si>
    <t>Printer Color</t>
  </si>
  <si>
    <t>Devices</t>
  </si>
  <si>
    <t>Type</t>
  </si>
  <si>
    <t>PTR</t>
  </si>
  <si>
    <t>Athletic</t>
  </si>
  <si>
    <t>Grand Total</t>
  </si>
  <si>
    <t>Invoice Total</t>
  </si>
  <si>
    <t>Scott Shipp Fair Use</t>
  </si>
  <si>
    <t>VMI Center for Undergraduate Research</t>
  </si>
  <si>
    <t>203D</t>
  </si>
  <si>
    <t>Total Invoice After Credit:</t>
  </si>
  <si>
    <t>Athletic Advising</t>
  </si>
  <si>
    <t>NCAA Enhancement</t>
  </si>
  <si>
    <t>309 Letcher</t>
  </si>
  <si>
    <t>300D</t>
  </si>
  <si>
    <t>English</t>
  </si>
  <si>
    <t>305 Letcher Avenue</t>
  </si>
  <si>
    <t>320 Institute Hill</t>
  </si>
  <si>
    <t>303A Letcher Avenue</t>
  </si>
  <si>
    <t>Athletic Communications</t>
  </si>
  <si>
    <t>General Ledger</t>
  </si>
  <si>
    <t>Ricoh Tag</t>
  </si>
  <si>
    <t>Total BW Click Count</t>
  </si>
  <si>
    <t>Total Color Click Count</t>
  </si>
  <si>
    <t>BW Click Charge</t>
  </si>
  <si>
    <t>CPC BW</t>
  </si>
  <si>
    <t>CPC Color</t>
  </si>
  <si>
    <t>Prev BW Click Count</t>
  </si>
  <si>
    <t>Current BW Click Count</t>
  </si>
  <si>
    <t>MFP Total:</t>
  </si>
  <si>
    <t>Printer Total:</t>
  </si>
  <si>
    <t>Device Total:</t>
  </si>
  <si>
    <t xml:space="preserve"> Department</t>
  </si>
  <si>
    <t>Meter Read on:</t>
  </si>
  <si>
    <t>40_00_052_06550_5521</t>
  </si>
  <si>
    <t>26_23_901_14788_5521</t>
  </si>
  <si>
    <t>Toner Type</t>
  </si>
  <si>
    <t>Quantity</t>
  </si>
  <si>
    <t>Toner Cost Ea.</t>
  </si>
  <si>
    <t>Total Toner Cost</t>
  </si>
  <si>
    <t>Superintendents House</t>
  </si>
  <si>
    <t xml:space="preserve">M2727  </t>
  </si>
  <si>
    <t>Black</t>
  </si>
  <si>
    <t>CNG8961SWT</t>
  </si>
  <si>
    <t>144.75.156.35</t>
  </si>
  <si>
    <t>Protocol</t>
  </si>
  <si>
    <t>303 Ltecher</t>
  </si>
  <si>
    <t>17099-732</t>
  </si>
  <si>
    <t>JPKAC48117</t>
  </si>
  <si>
    <t xml:space="preserve">144.75.178.14  </t>
  </si>
  <si>
    <t>Cyan</t>
  </si>
  <si>
    <t>Magenta</t>
  </si>
  <si>
    <t>Yellow</t>
  </si>
  <si>
    <t xml:space="preserve">Admissions  </t>
  </si>
  <si>
    <t xml:space="preserve">10_03_054_01100_5521  </t>
  </si>
  <si>
    <t>307 Ltecher</t>
  </si>
  <si>
    <t>CP4025</t>
  </si>
  <si>
    <t>JPBCBBMOSG  </t>
  </si>
  <si>
    <t xml:space="preserve">144.75.215.29  </t>
  </si>
  <si>
    <t>Media Services</t>
  </si>
  <si>
    <t>10_03_041_62100_5304</t>
  </si>
  <si>
    <t>LJ3600</t>
  </si>
  <si>
    <t>CNWDF12176</t>
  </si>
  <si>
    <t>144.75.196.251</t>
  </si>
  <si>
    <t>CNWDF12177</t>
  </si>
  <si>
    <t>CNWDF12178</t>
  </si>
  <si>
    <t>CNWDF12179</t>
  </si>
  <si>
    <t>10_03_011_86100_5521  </t>
  </si>
  <si>
    <t>LJ4005  </t>
  </si>
  <si>
    <t>JPRLB46624</t>
  </si>
  <si>
    <t xml:space="preserve">144.75.195.232  </t>
  </si>
  <si>
    <t>JPRLB46625</t>
  </si>
  <si>
    <t>JPRLB46626</t>
  </si>
  <si>
    <t>JPRLB46627</t>
  </si>
  <si>
    <t xml:space="preserve">Athletics  </t>
  </si>
  <si>
    <t>17099-828</t>
  </si>
  <si>
    <t xml:space="preserve">P3010 </t>
  </si>
  <si>
    <t>VNBCC4L0MD</t>
  </si>
  <si>
    <t>144.75.179.5</t>
  </si>
  <si>
    <t>VNBCC4L0M6</t>
  </si>
  <si>
    <t>144.75.179.31</t>
  </si>
  <si>
    <t>Credit</t>
  </si>
  <si>
    <t>Total</t>
  </si>
  <si>
    <t>HP-MFP</t>
  </si>
  <si>
    <t>HP-PTR</t>
  </si>
  <si>
    <t>40_00_011_78500_5521</t>
  </si>
  <si>
    <t>40_00_011_10250_5521</t>
  </si>
  <si>
    <t>40_00_045_56350_5521</t>
  </si>
  <si>
    <t>10_03_045_55100_5521</t>
  </si>
  <si>
    <t>News Paper Office</t>
  </si>
  <si>
    <t>JP4LC17284</t>
  </si>
  <si>
    <t>Not on network</t>
  </si>
  <si>
    <t>HP Toner</t>
  </si>
  <si>
    <t>Meter Read On:</t>
  </si>
  <si>
    <t>10_03_062_98100_5521</t>
  </si>
  <si>
    <t>10_03_062_16150_5521</t>
  </si>
  <si>
    <t>Institute Planning</t>
  </si>
  <si>
    <t>Traeasurer's Office</t>
  </si>
  <si>
    <t>Institutional Research</t>
  </si>
  <si>
    <t>Academic Advising Total</t>
  </si>
  <si>
    <t>Admissions Total</t>
  </si>
  <si>
    <t>ADV Total</t>
  </si>
  <si>
    <t>Air Force Rotc Total</t>
  </si>
  <si>
    <t>Army Rotc Total</t>
  </si>
  <si>
    <t>Athletic Total</t>
  </si>
  <si>
    <t>Athletic Advising Total</t>
  </si>
  <si>
    <t>Athletic Communications Total</t>
  </si>
  <si>
    <t>Athletics Total</t>
  </si>
  <si>
    <t>Auxiliary Services Total</t>
  </si>
  <si>
    <t>Band Total</t>
  </si>
  <si>
    <t>Barracks Study Room Total</t>
  </si>
  <si>
    <t>Biology Total</t>
  </si>
  <si>
    <t>Business Office Total</t>
  </si>
  <si>
    <t>Career Services / Financial Aid Total</t>
  </si>
  <si>
    <t>Center for Leadership &amp; Ethics Total</t>
  </si>
  <si>
    <t>Chaplains Office Total</t>
  </si>
  <si>
    <t>Chemistry Total</t>
  </si>
  <si>
    <t>Civil &amp; Environmental Eng. Total</t>
  </si>
  <si>
    <t>Commandant's Office Total</t>
  </si>
  <si>
    <t>Communications &amp; Marketing Total</t>
  </si>
  <si>
    <t>Communications and Marketing Total</t>
  </si>
  <si>
    <t>Comptrollers Total</t>
  </si>
  <si>
    <t>Deans Office Total</t>
  </si>
  <si>
    <t>Dean's Office Total</t>
  </si>
  <si>
    <t>Economics &amp; Business Total</t>
  </si>
  <si>
    <t>Electrical &amp; Computer Eng. Total</t>
  </si>
  <si>
    <t>English &amp; Fine Arts Total</t>
  </si>
  <si>
    <t>Financial Aid Total</t>
  </si>
  <si>
    <t>Football Department Total</t>
  </si>
  <si>
    <t>Football Office Total</t>
  </si>
  <si>
    <t>Guard Room Total</t>
  </si>
  <si>
    <t>History Total</t>
  </si>
  <si>
    <t>Human Resources Total</t>
  </si>
  <si>
    <t>Infirmary Total</t>
  </si>
  <si>
    <t>Information Technology Total</t>
  </si>
  <si>
    <t>Institute Planning Total</t>
  </si>
  <si>
    <t>Institutional Research Total</t>
  </si>
  <si>
    <t>International Programs Total</t>
  </si>
  <si>
    <t>International Studies Total</t>
  </si>
  <si>
    <t>Laundry Total</t>
  </si>
  <si>
    <t>Learning Center Total</t>
  </si>
  <si>
    <t>Mail Services Total</t>
  </si>
  <si>
    <t>Math/Computer Science Total</t>
  </si>
  <si>
    <t>Mathematics Total</t>
  </si>
  <si>
    <t>Mechanical Engineering Total</t>
  </si>
  <si>
    <t>Military Store Total</t>
  </si>
  <si>
    <t>Miller Head Clinic Total</t>
  </si>
  <si>
    <t>Modern Languages Total</t>
  </si>
  <si>
    <t>Museum Operations Total</t>
  </si>
  <si>
    <t>Naval Rotc Total</t>
  </si>
  <si>
    <t>Newspaper Total</t>
  </si>
  <si>
    <t>OC Hole Total</t>
  </si>
  <si>
    <t>Office of Construction Total</t>
  </si>
  <si>
    <t>Old Barracks Total</t>
  </si>
  <si>
    <t>Physical Education Total</t>
  </si>
  <si>
    <t>Physical Plant Total</t>
  </si>
  <si>
    <t>Physics &amp; Astronomy Total</t>
  </si>
  <si>
    <t>Preston Library Total</t>
  </si>
  <si>
    <t>Protocol Office Total</t>
  </si>
  <si>
    <t>Psychology &amp; Philosophy Total</t>
  </si>
  <si>
    <t>Purchasing Total</t>
  </si>
  <si>
    <t>Registrar Office Total</t>
  </si>
  <si>
    <t>Scott Shipp Fair Use Total</t>
  </si>
  <si>
    <t>Smith Hall Total</t>
  </si>
  <si>
    <t>Sport Medicine Total</t>
  </si>
  <si>
    <t>Superintendents Office Total</t>
  </si>
  <si>
    <t>Superintendent's Office Total</t>
  </si>
  <si>
    <t>Treasurer's Office Total</t>
  </si>
  <si>
    <t>VMI Center for Undergraduate Research Total</t>
  </si>
  <si>
    <t>Weight Room Total</t>
  </si>
  <si>
    <t>Writing Center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</si>
</sst>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164" formatCode="&quot;$&quot;#,##0.00"/>
    <numFmt numFmtId="165" formatCode="_(&quot;$&quot;* #,##0.0000_);_(&quot;$&quot;* \(#,##0.0000\);_(&quot;$&quot;* &quot;-&quot;????_);_(@_)"/>
    <numFmt numFmtId="166" formatCode="_(&quot;$&quot;* #,##0.000_);_(&quot;$&quot;* \(#,##0.000\);_(&quot;$&quot;* &quot;-&quot;???_);_(@_)"/>
    <numFmt numFmtId="167" formatCode="0.0000"/>
    <numFmt numFmtId="168" formatCode="#####\-###"/>
    <numFmt numFmtId="169" formatCode="00000\-000"/>
  </numFmts>
  <fonts count="1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FFB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20">
    <xf numFmtId="0" fontId="0" fillId="0" borderId="0" xfId="0"/>
    <xf numFmtId="0" fontId="3" fillId="4" borderId="4" xfId="2" applyFont="1" applyFill="1" applyBorder="1" applyAlignment="1" applyProtection="1">
      <alignment horizontal="center" vertical="center" wrapText="1"/>
      <protection locked="0"/>
    </xf>
    <xf numFmtId="0" fontId="6" fillId="5" borderId="4" xfId="0" applyFont="1" applyFill="1" applyBorder="1" applyAlignment="1">
      <alignment horizontal="right" readingOrder="1"/>
    </xf>
    <xf numFmtId="167" fontId="6" fillId="5" borderId="4" xfId="0" applyNumberFormat="1" applyFont="1" applyFill="1" applyBorder="1" applyAlignment="1">
      <alignment horizontal="left" readingOrder="1"/>
    </xf>
    <xf numFmtId="0" fontId="0" fillId="5" borderId="4" xfId="0" applyFill="1" applyBorder="1" applyAlignment="1">
      <alignment horizontal="left" readingOrder="1"/>
    </xf>
    <xf numFmtId="0" fontId="6" fillId="5" borderId="4" xfId="0" applyFont="1" applyFill="1" applyBorder="1" applyAlignment="1">
      <alignment horizontal="left" readingOrder="1"/>
    </xf>
    <xf numFmtId="0" fontId="0" fillId="0" borderId="4" xfId="0" applyBorder="1" applyAlignment="1">
      <alignment horizontal="center"/>
    </xf>
    <xf numFmtId="0" fontId="0" fillId="0" borderId="4" xfId="0" applyBorder="1"/>
    <xf numFmtId="0" fontId="5" fillId="0" borderId="4" xfId="0" applyFont="1" applyFill="1" applyBorder="1" applyAlignment="1">
      <alignment horizontal="center"/>
    </xf>
    <xf numFmtId="0" fontId="9" fillId="4" borderId="4" xfId="2" applyFont="1" applyFill="1" applyBorder="1" applyAlignment="1">
      <alignment horizontal="left" vertical="center" wrapText="1" indent="1"/>
    </xf>
    <xf numFmtId="0" fontId="9" fillId="4" borderId="4" xfId="2" applyFont="1" applyFill="1" applyBorder="1" applyAlignment="1" applyProtection="1">
      <alignment horizontal="left" vertical="center" wrapText="1" indent="1"/>
      <protection locked="0"/>
    </xf>
    <xf numFmtId="1" fontId="9" fillId="4" borderId="4" xfId="2" applyNumberFormat="1" applyFont="1" applyFill="1" applyBorder="1" applyAlignment="1" applyProtection="1">
      <alignment horizontal="center" vertical="center" wrapText="1"/>
      <protection locked="0"/>
    </xf>
    <xf numFmtId="0" fontId="9" fillId="4" borderId="4" xfId="2" applyFont="1" applyFill="1" applyBorder="1" applyAlignment="1" applyProtection="1">
      <alignment horizontal="center" vertical="center" wrapText="1"/>
    </xf>
    <xf numFmtId="3" fontId="9" fillId="4" borderId="4" xfId="2" applyNumberFormat="1" applyFont="1" applyFill="1" applyBorder="1" applyAlignment="1" applyProtection="1">
      <alignment horizontal="center" vertical="center" wrapText="1"/>
    </xf>
    <xf numFmtId="44" fontId="9" fillId="4" borderId="4" xfId="2" applyNumberFormat="1" applyFont="1" applyFill="1" applyBorder="1" applyAlignment="1" applyProtection="1">
      <alignment horizontal="left" vertical="center" wrapText="1"/>
    </xf>
    <xf numFmtId="44" fontId="12" fillId="4" borderId="4" xfId="2" applyNumberFormat="1" applyFont="1" applyFill="1" applyBorder="1" applyAlignment="1" applyProtection="1">
      <alignment horizontal="left" vertical="center" wrapText="1"/>
    </xf>
    <xf numFmtId="165" fontId="9" fillId="4" borderId="4" xfId="2" applyNumberFormat="1" applyFont="1" applyFill="1" applyBorder="1" applyAlignment="1" applyProtection="1">
      <alignment horizontal="center" vertical="center" wrapText="1"/>
    </xf>
    <xf numFmtId="166" fontId="9" fillId="4" borderId="4" xfId="2" applyNumberFormat="1" applyFont="1" applyFill="1" applyBorder="1" applyAlignment="1" applyProtection="1">
      <alignment horizontal="center" vertical="center" wrapText="1"/>
    </xf>
    <xf numFmtId="3" fontId="9" fillId="4" borderId="4" xfId="2" applyNumberFormat="1" applyFont="1" applyFill="1" applyBorder="1" applyAlignment="1" applyProtection="1">
      <alignment horizontal="center" vertical="center" wrapText="1"/>
      <protection locked="0"/>
    </xf>
    <xf numFmtId="0" fontId="12" fillId="4" borderId="4" xfId="2" applyFont="1" applyFill="1" applyBorder="1" applyAlignment="1">
      <alignment horizontal="left" vertical="center" wrapText="1" indent="1"/>
    </xf>
    <xf numFmtId="0" fontId="9" fillId="4" borderId="4" xfId="2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>
      <alignment horizontal="left" indent="1"/>
    </xf>
    <xf numFmtId="0" fontId="7" fillId="0" borderId="0" xfId="2" applyFont="1" applyFill="1" applyBorder="1" applyAlignment="1" applyProtection="1">
      <alignment horizontal="center" vertical="center" wrapText="1"/>
      <protection locked="0"/>
    </xf>
    <xf numFmtId="0" fontId="7" fillId="0" borderId="0" xfId="2" applyFont="1" applyFill="1" applyBorder="1" applyAlignment="1" applyProtection="1">
      <alignment horizontal="left" vertical="center" wrapText="1"/>
      <protection locked="0"/>
    </xf>
    <xf numFmtId="164" fontId="7" fillId="0" borderId="0" xfId="2" applyNumberFormat="1" applyFont="1" applyFill="1" applyBorder="1" applyAlignment="1" applyProtection="1">
      <alignment horizontal="center" vertical="center" wrapText="1"/>
    </xf>
    <xf numFmtId="0" fontId="11" fillId="0" borderId="0" xfId="0" applyFont="1"/>
    <xf numFmtId="0" fontId="10" fillId="0" borderId="0" xfId="2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Alignment="1">
      <alignment horizontal="center"/>
    </xf>
    <xf numFmtId="0" fontId="10" fillId="0" borderId="1" xfId="2" applyFont="1" applyFill="1" applyBorder="1" applyAlignment="1" applyProtection="1">
      <alignment horizontal="center" vertical="center" wrapText="1"/>
    </xf>
    <xf numFmtId="0" fontId="10" fillId="0" borderId="2" xfId="2" applyFont="1" applyFill="1" applyBorder="1" applyAlignment="1" applyProtection="1">
      <alignment horizontal="center" vertical="center" wrapText="1"/>
    </xf>
    <xf numFmtId="0" fontId="10" fillId="0" borderId="3" xfId="2" applyFont="1" applyFill="1" applyBorder="1" applyAlignment="1" applyProtection="1">
      <alignment horizontal="center" vertical="center" wrapText="1"/>
    </xf>
    <xf numFmtId="0" fontId="10" fillId="0" borderId="9" xfId="2" applyFont="1" applyFill="1" applyBorder="1" applyAlignment="1" applyProtection="1">
      <alignment horizontal="center" vertical="center" wrapText="1"/>
    </xf>
    <xf numFmtId="164" fontId="10" fillId="0" borderId="1" xfId="2" applyNumberFormat="1" applyFont="1" applyFill="1" applyBorder="1" applyAlignment="1" applyProtection="1">
      <alignment horizontal="center" vertical="center" wrapText="1"/>
    </xf>
    <xf numFmtId="164" fontId="10" fillId="0" borderId="9" xfId="2" applyNumberFormat="1" applyFont="1" applyFill="1" applyBorder="1" applyAlignment="1" applyProtection="1">
      <alignment horizontal="center" vertical="center" wrapText="1"/>
    </xf>
    <xf numFmtId="0" fontId="7" fillId="0" borderId="10" xfId="2" applyFont="1" applyFill="1" applyBorder="1" applyAlignment="1" applyProtection="1">
      <alignment horizontal="left" vertical="center" wrapText="1"/>
    </xf>
    <xf numFmtId="3" fontId="7" fillId="0" borderId="6" xfId="2" applyNumberFormat="1" applyFont="1" applyFill="1" applyBorder="1" applyAlignment="1" applyProtection="1">
      <alignment horizontal="center" vertical="center" wrapText="1"/>
    </xf>
    <xf numFmtId="3" fontId="7" fillId="0" borderId="8" xfId="2" applyNumberFormat="1" applyFont="1" applyFill="1" applyBorder="1" applyAlignment="1" applyProtection="1">
      <alignment horizontal="center" vertical="center" wrapText="1"/>
    </xf>
    <xf numFmtId="44" fontId="7" fillId="0" borderId="7" xfId="2" applyNumberFormat="1" applyFont="1" applyFill="1" applyBorder="1" applyAlignment="1" applyProtection="1">
      <alignment horizontal="center" vertical="center" wrapText="1"/>
    </xf>
    <xf numFmtId="44" fontId="7" fillId="0" borderId="11" xfId="2" applyNumberFormat="1" applyFont="1" applyFill="1" applyBorder="1" applyAlignment="1" applyProtection="1">
      <alignment horizontal="center" vertical="center" wrapText="1"/>
    </xf>
    <xf numFmtId="44" fontId="7" fillId="0" borderId="6" xfId="2" applyNumberFormat="1" applyFont="1" applyFill="1" applyBorder="1" applyAlignment="1" applyProtection="1">
      <alignment horizontal="left" vertical="center" wrapText="1"/>
    </xf>
    <xf numFmtId="44" fontId="7" fillId="0" borderId="11" xfId="2" applyNumberFormat="1" applyFont="1" applyFill="1" applyBorder="1" applyAlignment="1" applyProtection="1">
      <alignment horizontal="left" vertical="center" wrapText="1"/>
    </xf>
    <xf numFmtId="0" fontId="7" fillId="0" borderId="0" xfId="2" applyFont="1" applyFill="1" applyBorder="1" applyAlignment="1" applyProtection="1">
      <alignment horizontal="left" vertical="center" wrapText="1" indent="1"/>
      <protection locked="0"/>
    </xf>
    <xf numFmtId="0" fontId="7" fillId="0" borderId="12" xfId="2" applyFont="1" applyFill="1" applyBorder="1" applyAlignment="1" applyProtection="1">
      <alignment horizontal="left" vertical="center" wrapText="1" indent="1"/>
      <protection locked="0"/>
    </xf>
    <xf numFmtId="0" fontId="7" fillId="0" borderId="0" xfId="2" applyFont="1" applyFill="1" applyBorder="1" applyAlignment="1" applyProtection="1">
      <alignment horizontal="left" vertical="center" wrapText="1"/>
    </xf>
    <xf numFmtId="0" fontId="7" fillId="0" borderId="13" xfId="2" applyFont="1" applyFill="1" applyBorder="1" applyAlignment="1" applyProtection="1">
      <alignment horizontal="left" vertical="center" wrapText="1" indent="1"/>
      <protection locked="0"/>
    </xf>
    <xf numFmtId="0" fontId="7" fillId="0" borderId="13" xfId="2" applyFont="1" applyFill="1" applyBorder="1" applyAlignment="1" applyProtection="1">
      <alignment horizontal="center" vertical="center" wrapText="1"/>
      <protection locked="0"/>
    </xf>
    <xf numFmtId="164" fontId="10" fillId="0" borderId="2" xfId="2" applyNumberFormat="1" applyFont="1" applyFill="1" applyBorder="1" applyAlignment="1" applyProtection="1">
      <alignment horizontal="center" vertical="center" wrapText="1"/>
    </xf>
    <xf numFmtId="44" fontId="10" fillId="0" borderId="9" xfId="2" applyNumberFormat="1" applyFont="1" applyFill="1" applyBorder="1" applyAlignment="1" applyProtection="1">
      <alignment horizontal="center" vertical="center" wrapText="1"/>
    </xf>
    <xf numFmtId="0" fontId="11" fillId="0" borderId="0" xfId="0" applyFont="1" applyFill="1"/>
    <xf numFmtId="44" fontId="11" fillId="0" borderId="10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44" fontId="11" fillId="0" borderId="11" xfId="0" applyNumberFormat="1" applyFont="1" applyFill="1" applyBorder="1" applyAlignment="1">
      <alignment vertical="center"/>
    </xf>
    <xf numFmtId="0" fontId="10" fillId="0" borderId="1" xfId="2" applyFont="1" applyFill="1" applyBorder="1" applyAlignment="1" applyProtection="1">
      <alignment horizontal="center" vertical="center" wrapText="1"/>
      <protection locked="0"/>
    </xf>
    <xf numFmtId="0" fontId="11" fillId="0" borderId="3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0" fillId="0" borderId="6" xfId="2" applyFont="1" applyFill="1" applyBorder="1" applyAlignment="1" applyProtection="1">
      <alignment horizontal="center" vertical="center" wrapText="1"/>
      <protection locked="0"/>
    </xf>
    <xf numFmtId="0" fontId="11" fillId="0" borderId="7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164" fontId="10" fillId="0" borderId="14" xfId="2" applyNumberFormat="1" applyFont="1" applyFill="1" applyBorder="1" applyAlignment="1" applyProtection="1">
      <alignment horizontal="center" vertical="center" wrapText="1"/>
    </xf>
    <xf numFmtId="44" fontId="10" fillId="0" borderId="15" xfId="2" applyNumberFormat="1" applyFont="1" applyFill="1" applyBorder="1" applyAlignment="1" applyProtection="1">
      <alignment horizontal="left" vertical="center" wrapText="1"/>
    </xf>
    <xf numFmtId="169" fontId="9" fillId="4" borderId="4" xfId="2" applyNumberFormat="1" applyFont="1" applyFill="1" applyBorder="1" applyAlignment="1" applyProtection="1">
      <alignment horizontal="left" vertical="center" wrapText="1" indent="1"/>
      <protection locked="0"/>
    </xf>
    <xf numFmtId="0" fontId="9" fillId="4" borderId="4" xfId="2" applyFont="1" applyFill="1" applyBorder="1" applyAlignment="1" applyProtection="1">
      <alignment horizontal="left" vertical="center" wrapText="1" indent="1"/>
    </xf>
    <xf numFmtId="1" fontId="9" fillId="4" borderId="4" xfId="2" applyNumberFormat="1" applyFont="1" applyFill="1" applyBorder="1" applyAlignment="1" applyProtection="1">
      <alignment horizontal="center" vertical="center" wrapText="1"/>
    </xf>
    <xf numFmtId="169" fontId="9" fillId="4" borderId="4" xfId="2" applyNumberFormat="1" applyFont="1" applyFill="1" applyBorder="1" applyAlignment="1" applyProtection="1">
      <alignment horizontal="left" vertical="center" wrapText="1" indent="1"/>
    </xf>
    <xf numFmtId="0" fontId="8" fillId="4" borderId="4" xfId="0" applyFont="1" applyFill="1" applyBorder="1" applyAlignment="1">
      <alignment textRotation="65"/>
    </xf>
    <xf numFmtId="0" fontId="8" fillId="4" borderId="4" xfId="0" applyFont="1" applyFill="1" applyBorder="1"/>
    <xf numFmtId="0" fontId="8" fillId="4" borderId="4" xfId="0" applyFont="1" applyFill="1" applyBorder="1" applyAlignment="1">
      <alignment wrapText="1"/>
    </xf>
    <xf numFmtId="0" fontId="10" fillId="4" borderId="4" xfId="1" applyFont="1" applyFill="1" applyBorder="1" applyAlignment="1">
      <alignment horizontal="center" textRotation="60" wrapText="1" readingOrder="1"/>
    </xf>
    <xf numFmtId="0" fontId="10" fillId="4" borderId="4" xfId="1" applyFont="1" applyFill="1" applyBorder="1" applyAlignment="1" applyProtection="1">
      <alignment horizontal="center" textRotation="60" wrapText="1" readingOrder="1"/>
      <protection locked="0"/>
    </xf>
    <xf numFmtId="49" fontId="10" fillId="4" borderId="4" xfId="1" applyNumberFormat="1" applyFont="1" applyFill="1" applyBorder="1" applyAlignment="1" applyProtection="1">
      <alignment horizontal="center" textRotation="60" wrapText="1" readingOrder="1"/>
      <protection locked="0"/>
    </xf>
    <xf numFmtId="164" fontId="10" fillId="4" borderId="4" xfId="1" applyNumberFormat="1" applyFont="1" applyFill="1" applyBorder="1" applyAlignment="1" applyProtection="1">
      <alignment horizontal="center" textRotation="60" wrapText="1" readingOrder="1"/>
      <protection locked="0"/>
    </xf>
    <xf numFmtId="168" fontId="10" fillId="4" borderId="4" xfId="1" applyNumberFormat="1" applyFont="1" applyFill="1" applyBorder="1" applyAlignment="1" applyProtection="1">
      <alignment horizontal="center" textRotation="60" wrapText="1" readingOrder="1"/>
      <protection locked="0"/>
    </xf>
    <xf numFmtId="0" fontId="3" fillId="4" borderId="5" xfId="2" applyFont="1" applyFill="1" applyBorder="1" applyAlignment="1" applyProtection="1">
      <alignment horizontal="center" vertical="center"/>
      <protection locked="0"/>
    </xf>
    <xf numFmtId="0" fontId="3" fillId="4" borderId="6" xfId="2" applyFont="1" applyFill="1" applyBorder="1" applyAlignment="1" applyProtection="1">
      <alignment horizontal="center" vertical="center"/>
      <protection locked="0"/>
    </xf>
    <xf numFmtId="0" fontId="9" fillId="4" borderId="4" xfId="2" applyFont="1" applyFill="1" applyBorder="1" applyAlignment="1" applyProtection="1">
      <alignment horizontal="left" vertical="center" wrapText="1"/>
      <protection locked="0"/>
    </xf>
    <xf numFmtId="0" fontId="8" fillId="4" borderId="4" xfId="0" applyFont="1" applyFill="1" applyBorder="1" applyAlignment="1">
      <alignment horizontal="left" vertical="center" indent="1"/>
    </xf>
    <xf numFmtId="0" fontId="8" fillId="4" borderId="4" xfId="0" applyFont="1" applyFill="1" applyBorder="1" applyAlignment="1">
      <alignment horizontal="center"/>
    </xf>
    <xf numFmtId="0" fontId="13" fillId="4" borderId="4" xfId="0" applyFont="1" applyFill="1" applyBorder="1"/>
    <xf numFmtId="14" fontId="8" fillId="4" borderId="4" xfId="0" applyNumberFormat="1" applyFont="1" applyFill="1" applyBorder="1" applyAlignment="1">
      <alignment horizontal="left" indent="1"/>
    </xf>
    <xf numFmtId="0" fontId="8" fillId="4" borderId="4" xfId="0" applyFont="1" applyFill="1" applyBorder="1" applyAlignment="1">
      <alignment horizontal="right" vertical="center" indent="1"/>
    </xf>
    <xf numFmtId="0" fontId="9" fillId="4" borderId="4" xfId="1" applyFont="1" applyFill="1" applyBorder="1" applyAlignment="1">
      <alignment horizontal="left" textRotation="60" wrapText="1"/>
    </xf>
    <xf numFmtId="0" fontId="9" fillId="4" borderId="4" xfId="1" applyFont="1" applyFill="1" applyBorder="1" applyAlignment="1" applyProtection="1">
      <alignment horizontal="left" textRotation="60" wrapText="1"/>
      <protection locked="0"/>
    </xf>
    <xf numFmtId="49" fontId="9" fillId="4" borderId="4" xfId="1" applyNumberFormat="1" applyFont="1" applyFill="1" applyBorder="1" applyAlignment="1" applyProtection="1">
      <alignment horizontal="left" textRotation="60" wrapText="1"/>
      <protection locked="0"/>
    </xf>
    <xf numFmtId="168" fontId="9" fillId="4" borderId="4" xfId="1" applyNumberFormat="1" applyFont="1" applyFill="1" applyBorder="1" applyAlignment="1" applyProtection="1">
      <alignment horizontal="left" textRotation="60" wrapText="1"/>
      <protection locked="0"/>
    </xf>
    <xf numFmtId="164" fontId="9" fillId="4" borderId="4" xfId="1" applyNumberFormat="1" applyFont="1" applyFill="1" applyBorder="1" applyAlignment="1" applyProtection="1">
      <alignment horizontal="left" textRotation="60" wrapText="1"/>
      <protection locked="0"/>
    </xf>
    <xf numFmtId="0" fontId="9" fillId="4" borderId="4" xfId="0" applyFont="1" applyFill="1" applyBorder="1" applyAlignment="1">
      <alignment horizontal="left" textRotation="65"/>
    </xf>
    <xf numFmtId="0" fontId="9" fillId="6" borderId="4" xfId="0" applyFont="1" applyFill="1" applyBorder="1" applyAlignment="1">
      <alignment horizontal="left" vertical="center" wrapText="1"/>
    </xf>
    <xf numFmtId="0" fontId="9" fillId="4" borderId="4" xfId="2" applyFont="1" applyFill="1" applyBorder="1" applyAlignment="1">
      <alignment horizontal="left" vertical="center" wrapText="1"/>
    </xf>
    <xf numFmtId="1" fontId="9" fillId="4" borderId="4" xfId="2" applyNumberFormat="1" applyFont="1" applyFill="1" applyBorder="1" applyAlignment="1" applyProtection="1">
      <alignment horizontal="left" vertical="center" wrapText="1"/>
      <protection locked="0"/>
    </xf>
    <xf numFmtId="0" fontId="9" fillId="4" borderId="4" xfId="2" applyFont="1" applyFill="1" applyBorder="1" applyAlignment="1" applyProtection="1">
      <alignment horizontal="left" vertical="center" wrapText="1"/>
    </xf>
    <xf numFmtId="169" fontId="9" fillId="4" borderId="4" xfId="2" applyNumberFormat="1" applyFont="1" applyFill="1" applyBorder="1" applyAlignment="1" applyProtection="1">
      <alignment horizontal="left" vertical="center" wrapText="1"/>
      <protection locked="0"/>
    </xf>
    <xf numFmtId="3" fontId="9" fillId="4" borderId="4" xfId="2" applyNumberFormat="1" applyFont="1" applyFill="1" applyBorder="1" applyAlignment="1" applyProtection="1">
      <alignment horizontal="left" vertical="center" wrapText="1"/>
    </xf>
    <xf numFmtId="0" fontId="9" fillId="4" borderId="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/>
    </xf>
    <xf numFmtId="169" fontId="9" fillId="0" borderId="4" xfId="2" applyNumberFormat="1" applyFont="1" applyFill="1" applyBorder="1" applyAlignment="1" applyProtection="1">
      <alignment horizontal="left" vertical="center" wrapText="1"/>
      <protection locked="0"/>
    </xf>
    <xf numFmtId="0" fontId="15" fillId="0" borderId="4" xfId="0" applyFont="1" applyBorder="1" applyAlignment="1">
      <alignment horizontal="left"/>
    </xf>
    <xf numFmtId="0" fontId="15" fillId="0" borderId="4" xfId="0" applyFont="1" applyBorder="1" applyAlignment="1">
      <alignment horizontal="left" vertical="center"/>
    </xf>
    <xf numFmtId="0" fontId="9" fillId="4" borderId="4" xfId="0" applyFont="1" applyFill="1" applyBorder="1" applyAlignment="1">
      <alignment horizontal="left"/>
    </xf>
    <xf numFmtId="0" fontId="9" fillId="4" borderId="4" xfId="2" applyNumberFormat="1" applyFont="1" applyFill="1" applyBorder="1" applyAlignment="1" applyProtection="1">
      <alignment horizontal="left" vertical="center" wrapText="1"/>
      <protection locked="0"/>
    </xf>
    <xf numFmtId="0" fontId="14" fillId="0" borderId="4" xfId="0" applyFont="1" applyBorder="1"/>
    <xf numFmtId="44" fontId="9" fillId="4" borderId="4" xfId="2" applyNumberFormat="1" applyFont="1" applyFill="1" applyBorder="1" applyAlignment="1" applyProtection="1">
      <alignment horizontal="right" vertical="center" wrapText="1"/>
    </xf>
    <xf numFmtId="0" fontId="9" fillId="0" borderId="4" xfId="2" applyFont="1" applyFill="1" applyBorder="1" applyAlignment="1">
      <alignment horizontal="left" vertical="center" wrapText="1" indent="1"/>
    </xf>
    <xf numFmtId="0" fontId="12" fillId="0" borderId="4" xfId="2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left" indent="1"/>
    </xf>
    <xf numFmtId="44" fontId="9" fillId="4" borderId="4" xfId="2" applyNumberFormat="1" applyFont="1" applyFill="1" applyBorder="1" applyAlignment="1" applyProtection="1">
      <alignment horizontal="left" vertical="center" wrapText="1"/>
    </xf>
    <xf numFmtId="1" fontId="9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0" fontId="9" fillId="4" borderId="4" xfId="2" applyFont="1" applyFill="1" applyBorder="1" applyAlignment="1" applyProtection="1">
      <alignment horizontal="left" vertical="center" wrapText="1" readingOrder="1"/>
      <protection locked="0"/>
    </xf>
    <xf numFmtId="0" fontId="9" fillId="4" borderId="4" xfId="2" applyFont="1" applyFill="1" applyBorder="1" applyAlignment="1">
      <alignment horizontal="left" vertical="center" wrapText="1" readingOrder="1"/>
    </xf>
    <xf numFmtId="0" fontId="9" fillId="4" borderId="4" xfId="2" applyFont="1" applyFill="1" applyBorder="1" applyAlignment="1">
      <alignment horizontal="left" vertical="center" wrapText="1" indent="1"/>
    </xf>
    <xf numFmtId="14" fontId="9" fillId="4" borderId="4" xfId="0" applyNumberFormat="1" applyFont="1" applyFill="1" applyBorder="1" applyAlignment="1">
      <alignment horizontal="left" indent="1"/>
    </xf>
    <xf numFmtId="0" fontId="4" fillId="5" borderId="4" xfId="2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 wrapText="1"/>
    </xf>
    <xf numFmtId="44" fontId="2" fillId="0" borderId="15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 indent="1"/>
    </xf>
  </cellXfs>
  <cellStyles count="3">
    <cellStyle name="60% - Accent1" xfId="2" builtinId="32"/>
    <cellStyle name="Accent1" xfId="1" builtinId="29"/>
    <cellStyle name="Normal" xfId="0" builtinId="0"/>
  </cellStyles>
  <dxfs count="15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</dxfs>
  <tableStyles count="3" defaultTableStyle="TableStyleMedium2" defaultPivotStyle="PivotStyleLight16">
    <tableStyle name="Table Style 1" pivot="0" count="1">
      <tableStyleElement type="firstRowStripe" dxfId="14"/>
    </tableStyle>
    <tableStyle name="Table Style 2" pivot="0" count="2">
      <tableStyleElement type="headerRow" dxfId="13"/>
      <tableStyleElement type="firstRowStripe" dxfId="12"/>
    </tableStyle>
    <tableStyle name="Table Style 3" pivot="0" count="2">
      <tableStyleElement type="headerRow" dxfId="11"/>
      <tableStyleElement type="firstRow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9"/>
  <sheetViews>
    <sheetView tabSelected="1" zoomScale="69" zoomScaleNormal="69" zoomScaleSheetLayoutView="100" workbookViewId="0">
      <pane ySplit="2" topLeftCell="A3" activePane="bottomLeft" state="frozen"/>
      <selection pane="bottomLeft" activeCell="N1" sqref="N1:U1048576"/>
    </sheetView>
  </sheetViews>
  <sheetFormatPr defaultColWidth="9.109375" defaultRowHeight="15.6" outlineLevelRow="2" outlineLevelCol="1" x14ac:dyDescent="0.3"/>
  <cols>
    <col min="1" max="1" width="31.6640625" style="75" customWidth="1"/>
    <col min="2" max="2" width="42.88671875" style="105" customWidth="1"/>
    <col min="3" max="3" width="29.5546875" style="21" customWidth="1"/>
    <col min="4" max="4" width="26.33203125" style="21" bestFit="1" customWidth="1"/>
    <col min="5" max="5" width="14.44140625" style="76" bestFit="1" customWidth="1"/>
    <col min="6" max="6" width="19.5546875" style="21" customWidth="1"/>
    <col min="7" max="7" width="7.5546875" style="76" customWidth="1"/>
    <col min="8" max="8" width="14.88671875" style="21" bestFit="1" customWidth="1"/>
    <col min="9" max="9" width="10" style="65" customWidth="1"/>
    <col min="10" max="10" width="8" style="65" bestFit="1" customWidth="1"/>
    <col min="11" max="11" width="13.88671875" style="65" bestFit="1" customWidth="1"/>
    <col min="12" max="12" width="12.5546875" style="65" bestFit="1" customWidth="1"/>
    <col min="13" max="13" width="14.44140625" style="77" bestFit="1" customWidth="1"/>
    <col min="14" max="14" width="19.109375" style="21" hidden="1" customWidth="1" outlineLevel="1"/>
    <col min="15" max="15" width="20.5546875" style="21" hidden="1" customWidth="1" outlineLevel="1"/>
    <col min="16" max="16" width="11.88671875" style="76" hidden="1" customWidth="1" outlineLevel="1"/>
    <col min="17" max="17" width="10.44140625" style="76" hidden="1" customWidth="1" outlineLevel="1"/>
    <col min="18" max="19" width="11" style="65" hidden="1" customWidth="1" outlineLevel="1"/>
    <col min="20" max="21" width="9.88671875" style="65" hidden="1" customWidth="1" outlineLevel="1"/>
    <col min="22" max="22" width="9.109375" style="65" collapsed="1"/>
    <col min="23" max="16384" width="9.109375" style="65"/>
  </cols>
  <sheetData>
    <row r="1" spans="1:55" ht="15.75" x14ac:dyDescent="0.25">
      <c r="A1" s="110" t="s">
        <v>766</v>
      </c>
      <c r="B1" s="111">
        <v>41305</v>
      </c>
    </row>
    <row r="2" spans="1:55" s="64" customFormat="1" ht="81.599999999999994" x14ac:dyDescent="0.3">
      <c r="A2" s="67" t="s">
        <v>705</v>
      </c>
      <c r="B2" s="67" t="s">
        <v>693</v>
      </c>
      <c r="C2" s="67" t="s">
        <v>0</v>
      </c>
      <c r="D2" s="68" t="s">
        <v>1</v>
      </c>
      <c r="E2" s="69" t="s">
        <v>2</v>
      </c>
      <c r="F2" s="68" t="s">
        <v>3</v>
      </c>
      <c r="G2" s="68" t="s">
        <v>6</v>
      </c>
      <c r="H2" s="71" t="s">
        <v>694</v>
      </c>
      <c r="I2" s="68" t="s">
        <v>695</v>
      </c>
      <c r="J2" s="68" t="s">
        <v>696</v>
      </c>
      <c r="K2" s="70" t="s">
        <v>697</v>
      </c>
      <c r="L2" s="70" t="s">
        <v>9</v>
      </c>
      <c r="M2" s="70" t="s">
        <v>10</v>
      </c>
      <c r="N2" s="68" t="s">
        <v>4</v>
      </c>
      <c r="O2" s="68" t="s">
        <v>5</v>
      </c>
      <c r="P2" s="68" t="s">
        <v>698</v>
      </c>
      <c r="Q2" s="68" t="s">
        <v>699</v>
      </c>
      <c r="R2" s="68" t="s">
        <v>700</v>
      </c>
      <c r="S2" s="68" t="s">
        <v>701</v>
      </c>
      <c r="T2" s="68" t="s">
        <v>7</v>
      </c>
      <c r="U2" s="68" t="s">
        <v>8</v>
      </c>
    </row>
    <row r="3" spans="1:55" ht="15.75" outlineLevel="2" x14ac:dyDescent="0.25">
      <c r="A3" s="9" t="s">
        <v>563</v>
      </c>
      <c r="B3" s="9" t="s">
        <v>354</v>
      </c>
      <c r="C3" s="9" t="s">
        <v>563</v>
      </c>
      <c r="D3" s="10" t="s">
        <v>347</v>
      </c>
      <c r="E3" s="11">
        <v>301</v>
      </c>
      <c r="F3" s="10" t="s">
        <v>92</v>
      </c>
      <c r="G3" s="12" t="str">
        <f>VLOOKUP(F3,Tables!D$9:E$17,2,FALSE)</f>
        <v>PTR</v>
      </c>
      <c r="H3" s="60">
        <v>17099684</v>
      </c>
      <c r="I3" s="13">
        <f>SUM(S3-R3)</f>
        <v>653</v>
      </c>
      <c r="J3" s="13">
        <f>SUM(U3-T3)</f>
        <v>6</v>
      </c>
      <c r="K3" s="14">
        <f>SUM(I3*$P3)</f>
        <v>17.108599999999999</v>
      </c>
      <c r="L3" s="14">
        <f>SUM(J3*$Q3)</f>
        <v>0.70799999999999996</v>
      </c>
      <c r="M3" s="15">
        <f>K3+L3</f>
        <v>17.816599999999998</v>
      </c>
      <c r="N3" s="10" t="s">
        <v>355</v>
      </c>
      <c r="O3" s="10" t="s">
        <v>356</v>
      </c>
      <c r="P3" s="16">
        <f>IF(G3="MFP",Tables!B$2,Tables!B$5)</f>
        <v>2.6200000000000001E-2</v>
      </c>
      <c r="Q3" s="17">
        <f>IF(G3="MFP",Tables!B$3,Tables!B$6)</f>
        <v>0.11799999999999999</v>
      </c>
      <c r="R3" s="18">
        <v>1269</v>
      </c>
      <c r="S3" s="18">
        <v>1922</v>
      </c>
      <c r="T3" s="18">
        <v>320</v>
      </c>
      <c r="U3" s="18">
        <v>326</v>
      </c>
    </row>
    <row r="4" spans="1:55" outlineLevel="1" x14ac:dyDescent="0.3">
      <c r="A4" s="19" t="s">
        <v>772</v>
      </c>
      <c r="B4" s="110"/>
      <c r="C4" s="110"/>
      <c r="D4" s="10"/>
      <c r="E4" s="11"/>
      <c r="F4" s="10"/>
      <c r="G4" s="12"/>
      <c r="H4" s="60"/>
      <c r="I4" s="13"/>
      <c r="J4" s="13"/>
      <c r="K4" s="106"/>
      <c r="L4" s="106"/>
      <c r="M4" s="15">
        <f>SUBTOTAL(9,M3:M3)</f>
        <v>17.816599999999998</v>
      </c>
      <c r="N4" s="10"/>
      <c r="O4" s="10"/>
      <c r="P4" s="16"/>
      <c r="Q4" s="17"/>
      <c r="R4" s="18"/>
      <c r="S4" s="18"/>
      <c r="T4" s="18"/>
      <c r="U4" s="18"/>
      <c r="BC4" s="65">
        <f>SUBTOTAL(9,BC3:BC3)</f>
        <v>0</v>
      </c>
    </row>
    <row r="5" spans="1:55" ht="15.75" outlineLevel="2" x14ac:dyDescent="0.25">
      <c r="A5" s="9" t="s">
        <v>315</v>
      </c>
      <c r="B5" s="9" t="s">
        <v>316</v>
      </c>
      <c r="C5" s="9" t="s">
        <v>315</v>
      </c>
      <c r="D5" s="10" t="s">
        <v>317</v>
      </c>
      <c r="E5" s="11">
        <v>204</v>
      </c>
      <c r="F5" s="10" t="s">
        <v>24</v>
      </c>
      <c r="G5" s="12" t="str">
        <f>VLOOKUP(F5,Tables!D$9:E$17,2,FALSE)</f>
        <v>MFP</v>
      </c>
      <c r="H5" s="60">
        <v>17099493</v>
      </c>
      <c r="I5" s="13">
        <f t="shared" ref="I5:I12" si="0">SUM(S5-R5)</f>
        <v>5305</v>
      </c>
      <c r="J5" s="13">
        <f t="shared" ref="J5:J12" si="1">SUM(U5-T5)</f>
        <v>1727</v>
      </c>
      <c r="K5" s="14">
        <f t="shared" ref="K5:K12" si="2">SUM(I5*$P5)</f>
        <v>109.8135</v>
      </c>
      <c r="L5" s="14">
        <f t="shared" ref="L5:L12" si="3">SUM(J5*$Q5)</f>
        <v>150.249</v>
      </c>
      <c r="M5" s="15">
        <f t="shared" ref="M5:M12" si="4">K5+L5</f>
        <v>260.0625</v>
      </c>
      <c r="N5" s="10" t="s">
        <v>318</v>
      </c>
      <c r="O5" s="10" t="s">
        <v>319</v>
      </c>
      <c r="P5" s="16">
        <f>IF(G5="MFP",Tables!B$2,Tables!B$5)</f>
        <v>2.07E-2</v>
      </c>
      <c r="Q5" s="17">
        <f>IF(G5="MFP",Tables!B$3,Tables!B$6)</f>
        <v>8.6999999999999994E-2</v>
      </c>
      <c r="R5" s="18">
        <v>22152</v>
      </c>
      <c r="S5" s="18">
        <v>27457</v>
      </c>
      <c r="T5" s="18">
        <v>9277</v>
      </c>
      <c r="U5" s="18">
        <v>11004</v>
      </c>
    </row>
    <row r="6" spans="1:55" ht="15.75" outlineLevel="2" x14ac:dyDescent="0.25">
      <c r="A6" s="9" t="s">
        <v>315</v>
      </c>
      <c r="B6" s="9" t="s">
        <v>316</v>
      </c>
      <c r="C6" s="9" t="s">
        <v>315</v>
      </c>
      <c r="D6" s="10" t="s">
        <v>686</v>
      </c>
      <c r="E6" s="11">
        <v>201</v>
      </c>
      <c r="F6" s="10" t="s">
        <v>15</v>
      </c>
      <c r="G6" s="12" t="str">
        <f>VLOOKUP(F6,Tables!D$9:E$17,2,FALSE)</f>
        <v>PTR</v>
      </c>
      <c r="H6" s="60">
        <v>17099780</v>
      </c>
      <c r="I6" s="13">
        <f t="shared" si="0"/>
        <v>86</v>
      </c>
      <c r="J6" s="13">
        <f t="shared" si="1"/>
        <v>0</v>
      </c>
      <c r="K6" s="14">
        <f t="shared" si="2"/>
        <v>2.2532000000000001</v>
      </c>
      <c r="L6" s="14">
        <f t="shared" si="3"/>
        <v>0</v>
      </c>
      <c r="M6" s="15">
        <f t="shared" si="4"/>
        <v>2.2532000000000001</v>
      </c>
      <c r="N6" s="10" t="s">
        <v>330</v>
      </c>
      <c r="O6" s="10" t="s">
        <v>331</v>
      </c>
      <c r="P6" s="16">
        <f>IF(G6="MFP",Tables!B$2,Tables!B$5)</f>
        <v>2.6200000000000001E-2</v>
      </c>
      <c r="Q6" s="17">
        <f>IF(G6="MFP",Tables!B$3,Tables!B$6)</f>
        <v>0.11799999999999999</v>
      </c>
      <c r="R6" s="18">
        <v>313</v>
      </c>
      <c r="S6" s="18">
        <v>399</v>
      </c>
      <c r="T6" s="18">
        <v>0</v>
      </c>
      <c r="U6" s="18">
        <v>0</v>
      </c>
    </row>
    <row r="7" spans="1:55" ht="15.75" outlineLevel="2" x14ac:dyDescent="0.25">
      <c r="A7" s="9" t="s">
        <v>315</v>
      </c>
      <c r="B7" s="9" t="s">
        <v>316</v>
      </c>
      <c r="C7" s="9" t="s">
        <v>315</v>
      </c>
      <c r="D7" s="10" t="s">
        <v>686</v>
      </c>
      <c r="E7" s="11">
        <v>201</v>
      </c>
      <c r="F7" s="10" t="s">
        <v>15</v>
      </c>
      <c r="G7" s="12" t="str">
        <f>VLOOKUP(F7,Tables!D$9:E$17,2,FALSE)</f>
        <v>PTR</v>
      </c>
      <c r="H7" s="60">
        <v>17099512</v>
      </c>
      <c r="I7" s="13">
        <f t="shared" si="0"/>
        <v>0</v>
      </c>
      <c r="J7" s="13">
        <f t="shared" si="1"/>
        <v>0</v>
      </c>
      <c r="K7" s="14">
        <f t="shared" si="2"/>
        <v>0</v>
      </c>
      <c r="L7" s="14">
        <f t="shared" si="3"/>
        <v>0</v>
      </c>
      <c r="M7" s="15">
        <f t="shared" si="4"/>
        <v>0</v>
      </c>
      <c r="N7" s="10" t="s">
        <v>333</v>
      </c>
      <c r="O7" s="10" t="s">
        <v>334</v>
      </c>
      <c r="P7" s="16">
        <f>IF(G7="MFP",Tables!B$2,Tables!B$5)</f>
        <v>2.6200000000000001E-2</v>
      </c>
      <c r="Q7" s="17">
        <f>IF(G7="MFP",Tables!B$3,Tables!B$6)</f>
        <v>0.11799999999999999</v>
      </c>
      <c r="R7" s="18">
        <v>48</v>
      </c>
      <c r="S7" s="18">
        <v>48</v>
      </c>
      <c r="T7" s="18">
        <v>0</v>
      </c>
      <c r="U7" s="18">
        <v>0</v>
      </c>
    </row>
    <row r="8" spans="1:55" ht="15.75" outlineLevel="2" x14ac:dyDescent="0.25">
      <c r="A8" s="9" t="s">
        <v>315</v>
      </c>
      <c r="B8" s="110" t="s">
        <v>316</v>
      </c>
      <c r="C8" s="110" t="s">
        <v>315</v>
      </c>
      <c r="D8" s="10" t="s">
        <v>686</v>
      </c>
      <c r="E8" s="11">
        <v>207</v>
      </c>
      <c r="F8" s="10" t="s">
        <v>15</v>
      </c>
      <c r="G8" s="12" t="str">
        <f>VLOOKUP(F8,Tables!D$9:E$17,2,FALSE)</f>
        <v>PTR</v>
      </c>
      <c r="H8" s="60">
        <v>17099440</v>
      </c>
      <c r="I8" s="13">
        <f t="shared" si="0"/>
        <v>0</v>
      </c>
      <c r="J8" s="13">
        <f t="shared" si="1"/>
        <v>0</v>
      </c>
      <c r="K8" s="14">
        <f t="shared" si="2"/>
        <v>0</v>
      </c>
      <c r="L8" s="14">
        <f t="shared" si="3"/>
        <v>0</v>
      </c>
      <c r="M8" s="15">
        <f t="shared" si="4"/>
        <v>0</v>
      </c>
      <c r="N8" s="10" t="s">
        <v>322</v>
      </c>
      <c r="O8" s="10" t="s">
        <v>323</v>
      </c>
      <c r="P8" s="16">
        <f>IF(G8="MFP",Tables!B$2,Tables!B$5)</f>
        <v>2.6200000000000001E-2</v>
      </c>
      <c r="Q8" s="17">
        <f>IF(G8="MFP",Tables!B$3,Tables!B$6)</f>
        <v>0.11799999999999999</v>
      </c>
      <c r="R8" s="18">
        <v>471</v>
      </c>
      <c r="S8" s="18">
        <v>471</v>
      </c>
      <c r="T8" s="18">
        <v>0</v>
      </c>
      <c r="U8" s="18">
        <v>0</v>
      </c>
    </row>
    <row r="9" spans="1:55" ht="15.75" outlineLevel="2" x14ac:dyDescent="0.25">
      <c r="A9" s="9" t="s">
        <v>315</v>
      </c>
      <c r="B9" s="9" t="s">
        <v>316</v>
      </c>
      <c r="C9" s="9" t="s">
        <v>315</v>
      </c>
      <c r="D9" s="10" t="s">
        <v>686</v>
      </c>
      <c r="E9" s="11">
        <v>301</v>
      </c>
      <c r="F9" s="10" t="s">
        <v>92</v>
      </c>
      <c r="G9" s="12" t="str">
        <f>VLOOKUP(F9,Tables!D$9:E$17,2,FALSE)</f>
        <v>PTR</v>
      </c>
      <c r="H9" s="60">
        <v>17099522</v>
      </c>
      <c r="I9" s="13">
        <f t="shared" si="0"/>
        <v>0</v>
      </c>
      <c r="J9" s="13">
        <f t="shared" si="1"/>
        <v>0</v>
      </c>
      <c r="K9" s="14">
        <f t="shared" si="2"/>
        <v>0</v>
      </c>
      <c r="L9" s="14">
        <f t="shared" si="3"/>
        <v>0</v>
      </c>
      <c r="M9" s="15">
        <f t="shared" si="4"/>
        <v>0</v>
      </c>
      <c r="N9" s="10" t="s">
        <v>324</v>
      </c>
      <c r="O9" s="10" t="s">
        <v>325</v>
      </c>
      <c r="P9" s="16">
        <f>IF(G9="MFP",Tables!B$2,Tables!B$5)</f>
        <v>2.6200000000000001E-2</v>
      </c>
      <c r="Q9" s="17">
        <f>IF(G9="MFP",Tables!B$3,Tables!B$6)</f>
        <v>0.11799999999999999</v>
      </c>
      <c r="R9" s="18">
        <v>716</v>
      </c>
      <c r="S9" s="18">
        <v>716</v>
      </c>
      <c r="T9" s="18">
        <v>141</v>
      </c>
      <c r="U9" s="18">
        <v>141</v>
      </c>
    </row>
    <row r="10" spans="1:55" ht="15.75" outlineLevel="2" x14ac:dyDescent="0.25">
      <c r="A10" s="9" t="s">
        <v>315</v>
      </c>
      <c r="B10" s="9" t="s">
        <v>316</v>
      </c>
      <c r="C10" s="9" t="s">
        <v>315</v>
      </c>
      <c r="D10" s="10" t="s">
        <v>686</v>
      </c>
      <c r="E10" s="11">
        <v>302</v>
      </c>
      <c r="F10" s="10" t="s">
        <v>92</v>
      </c>
      <c r="G10" s="12" t="str">
        <f>VLOOKUP(F10,Tables!D$9:E$17,2,FALSE)</f>
        <v>PTR</v>
      </c>
      <c r="H10" s="60">
        <v>17099423</v>
      </c>
      <c r="I10" s="13">
        <f t="shared" si="0"/>
        <v>43</v>
      </c>
      <c r="J10" s="13">
        <f t="shared" si="1"/>
        <v>17</v>
      </c>
      <c r="K10" s="14">
        <f t="shared" si="2"/>
        <v>1.1266</v>
      </c>
      <c r="L10" s="14">
        <f t="shared" si="3"/>
        <v>2.0059999999999998</v>
      </c>
      <c r="M10" s="15">
        <f t="shared" si="4"/>
        <v>3.1326000000000001</v>
      </c>
      <c r="N10" s="10" t="s">
        <v>326</v>
      </c>
      <c r="O10" s="10" t="s">
        <v>327</v>
      </c>
      <c r="P10" s="16">
        <f>IF(G10="MFP",Tables!B$2,Tables!B$5)</f>
        <v>2.6200000000000001E-2</v>
      </c>
      <c r="Q10" s="17">
        <f>IF(G10="MFP",Tables!B$3,Tables!B$6)</f>
        <v>0.11799999999999999</v>
      </c>
      <c r="R10" s="18">
        <v>47</v>
      </c>
      <c r="S10" s="18">
        <v>90</v>
      </c>
      <c r="T10" s="18">
        <v>197</v>
      </c>
      <c r="U10" s="18">
        <v>214</v>
      </c>
    </row>
    <row r="11" spans="1:55" ht="15.75" outlineLevel="2" x14ac:dyDescent="0.25">
      <c r="A11" s="9" t="s">
        <v>315</v>
      </c>
      <c r="B11" s="9" t="s">
        <v>316</v>
      </c>
      <c r="C11" s="9" t="s">
        <v>315</v>
      </c>
      <c r="D11" s="10" t="s">
        <v>686</v>
      </c>
      <c r="E11" s="11">
        <v>306</v>
      </c>
      <c r="F11" s="10" t="s">
        <v>92</v>
      </c>
      <c r="G11" s="12" t="str">
        <f>VLOOKUP(F11,Tables!D$9:E$17,2,FALSE)</f>
        <v>PTR</v>
      </c>
      <c r="H11" s="60">
        <v>17099511</v>
      </c>
      <c r="I11" s="13">
        <f t="shared" si="0"/>
        <v>65</v>
      </c>
      <c r="J11" s="13">
        <f t="shared" si="1"/>
        <v>120</v>
      </c>
      <c r="K11" s="14">
        <f t="shared" si="2"/>
        <v>1.7030000000000001</v>
      </c>
      <c r="L11" s="14">
        <f t="shared" si="3"/>
        <v>14.16</v>
      </c>
      <c r="M11" s="15">
        <f t="shared" si="4"/>
        <v>15.863</v>
      </c>
      <c r="N11" s="10" t="s">
        <v>328</v>
      </c>
      <c r="O11" s="10" t="s">
        <v>329</v>
      </c>
      <c r="P11" s="16">
        <f>IF(G11="MFP",Tables!B$2,Tables!B$5)</f>
        <v>2.6200000000000001E-2</v>
      </c>
      <c r="Q11" s="17">
        <f>IF(G11="MFP",Tables!B$3,Tables!B$6)</f>
        <v>0.11799999999999999</v>
      </c>
      <c r="R11" s="18">
        <v>215</v>
      </c>
      <c r="S11" s="18">
        <v>280</v>
      </c>
      <c r="T11" s="18">
        <v>154</v>
      </c>
      <c r="U11" s="18">
        <v>274</v>
      </c>
    </row>
    <row r="12" spans="1:55" ht="15.75" outlineLevel="2" x14ac:dyDescent="0.25">
      <c r="A12" s="9" t="s">
        <v>315</v>
      </c>
      <c r="B12" s="9" t="s">
        <v>316</v>
      </c>
      <c r="C12" s="9" t="s">
        <v>315</v>
      </c>
      <c r="D12" s="10" t="s">
        <v>686</v>
      </c>
      <c r="E12" s="11">
        <v>306</v>
      </c>
      <c r="F12" s="10" t="s">
        <v>92</v>
      </c>
      <c r="G12" s="12" t="str">
        <f>VLOOKUP(F12,Tables!D$9:E$17,2,FALSE)</f>
        <v>PTR</v>
      </c>
      <c r="H12" s="60">
        <v>17099731</v>
      </c>
      <c r="I12" s="13">
        <f t="shared" si="0"/>
        <v>413</v>
      </c>
      <c r="J12" s="13">
        <f t="shared" si="1"/>
        <v>100</v>
      </c>
      <c r="K12" s="14">
        <f t="shared" si="2"/>
        <v>10.820600000000001</v>
      </c>
      <c r="L12" s="14">
        <f t="shared" si="3"/>
        <v>11.799999999999999</v>
      </c>
      <c r="M12" s="15">
        <f t="shared" si="4"/>
        <v>22.6206</v>
      </c>
      <c r="N12" s="10" t="s">
        <v>332</v>
      </c>
      <c r="O12" s="10" t="s">
        <v>325</v>
      </c>
      <c r="P12" s="16">
        <f>IF(G12="MFP",Tables!B$2,Tables!B$5)</f>
        <v>2.6200000000000001E-2</v>
      </c>
      <c r="Q12" s="17">
        <f>IF(G12="MFP",Tables!B$3,Tables!B$6)</f>
        <v>0.11799999999999999</v>
      </c>
      <c r="R12" s="18">
        <v>561</v>
      </c>
      <c r="S12" s="18">
        <v>974</v>
      </c>
      <c r="T12" s="18">
        <v>125</v>
      </c>
      <c r="U12" s="18">
        <v>225</v>
      </c>
    </row>
    <row r="13" spans="1:55" outlineLevel="1" x14ac:dyDescent="0.3">
      <c r="A13" s="19" t="s">
        <v>773</v>
      </c>
      <c r="B13" s="110"/>
      <c r="C13" s="110"/>
      <c r="D13" s="10"/>
      <c r="E13" s="11"/>
      <c r="F13" s="10"/>
      <c r="G13" s="12"/>
      <c r="H13" s="60"/>
      <c r="I13" s="13"/>
      <c r="J13" s="13"/>
      <c r="K13" s="106"/>
      <c r="L13" s="106"/>
      <c r="M13" s="15">
        <f>SUBTOTAL(9,M5:M12)</f>
        <v>303.93190000000004</v>
      </c>
      <c r="N13" s="10"/>
      <c r="O13" s="10"/>
      <c r="P13" s="16"/>
      <c r="Q13" s="17"/>
      <c r="R13" s="18"/>
      <c r="S13" s="18"/>
      <c r="T13" s="18"/>
      <c r="U13" s="18"/>
      <c r="BC13" s="65">
        <f>SUBTOTAL(9,BC5:BC12)</f>
        <v>0</v>
      </c>
    </row>
    <row r="14" spans="1:55" ht="15.75" outlineLevel="2" x14ac:dyDescent="0.25">
      <c r="A14" s="9" t="s">
        <v>450</v>
      </c>
      <c r="B14" s="9" t="s">
        <v>440</v>
      </c>
      <c r="C14" s="9" t="s">
        <v>441</v>
      </c>
      <c r="D14" s="10" t="s">
        <v>230</v>
      </c>
      <c r="E14" s="11" t="s">
        <v>451</v>
      </c>
      <c r="F14" s="10" t="s">
        <v>15</v>
      </c>
      <c r="G14" s="12" t="str">
        <f>VLOOKUP(F14,Tables!D$9:E$17,2,FALSE)</f>
        <v>PTR</v>
      </c>
      <c r="H14" s="60">
        <v>17099562</v>
      </c>
      <c r="I14" s="13">
        <f>SUM(S14-R14)</f>
        <v>1887</v>
      </c>
      <c r="J14" s="13">
        <f>SUM(U14-T14)</f>
        <v>0</v>
      </c>
      <c r="K14" s="14">
        <f>SUM(I14*$P14)</f>
        <v>49.439399999999999</v>
      </c>
      <c r="L14" s="14">
        <f>SUM(J14*$Q14)</f>
        <v>0</v>
      </c>
      <c r="M14" s="15">
        <f>K14+L14</f>
        <v>49.439399999999999</v>
      </c>
      <c r="N14" s="10" t="s">
        <v>452</v>
      </c>
      <c r="O14" s="10" t="s">
        <v>453</v>
      </c>
      <c r="P14" s="16">
        <f>IF(G14="MFP",Tables!B$2,Tables!B$5)</f>
        <v>2.6200000000000001E-2</v>
      </c>
      <c r="Q14" s="17">
        <f>IF(G14="MFP",Tables!B$3,Tables!B$6)</f>
        <v>0.11799999999999999</v>
      </c>
      <c r="R14" s="18">
        <v>1410</v>
      </c>
      <c r="S14" s="18">
        <v>3297</v>
      </c>
      <c r="T14" s="18">
        <v>0</v>
      </c>
      <c r="U14" s="18">
        <v>0</v>
      </c>
    </row>
    <row r="15" spans="1:55" outlineLevel="1" x14ac:dyDescent="0.3">
      <c r="A15" s="19" t="s">
        <v>774</v>
      </c>
      <c r="B15" s="110"/>
      <c r="C15" s="110"/>
      <c r="D15" s="10"/>
      <c r="E15" s="11"/>
      <c r="F15" s="10"/>
      <c r="G15" s="12"/>
      <c r="H15" s="60"/>
      <c r="I15" s="13"/>
      <c r="J15" s="13"/>
      <c r="K15" s="106"/>
      <c r="L15" s="106"/>
      <c r="M15" s="15">
        <f>SUBTOTAL(9,M14:M14)</f>
        <v>49.439399999999999</v>
      </c>
      <c r="N15" s="10"/>
      <c r="O15" s="10"/>
      <c r="P15" s="16"/>
      <c r="Q15" s="17"/>
      <c r="R15" s="18"/>
      <c r="S15" s="18"/>
      <c r="T15" s="18"/>
      <c r="U15" s="18"/>
      <c r="BC15" s="65">
        <f>SUBTOTAL(9,BC14:BC14)</f>
        <v>0</v>
      </c>
    </row>
    <row r="16" spans="1:55" ht="15.75" outlineLevel="2" x14ac:dyDescent="0.25">
      <c r="A16" s="9" t="s">
        <v>11</v>
      </c>
      <c r="B16" s="9" t="s">
        <v>12</v>
      </c>
      <c r="C16" s="9" t="s">
        <v>13</v>
      </c>
      <c r="D16" s="10" t="s">
        <v>14</v>
      </c>
      <c r="E16" s="11">
        <v>2012</v>
      </c>
      <c r="F16" s="10" t="s">
        <v>15</v>
      </c>
      <c r="G16" s="12" t="str">
        <f>VLOOKUP(F16,Tables!D$9:E$17,2,FALSE)</f>
        <v>PTR</v>
      </c>
      <c r="H16" s="60">
        <v>17099443</v>
      </c>
      <c r="I16" s="13">
        <f>SUM(S16-R16)</f>
        <v>0</v>
      </c>
      <c r="J16" s="13">
        <f>SUM(U16-T16)</f>
        <v>0</v>
      </c>
      <c r="K16" s="14">
        <f>SUM(I16*$P16)</f>
        <v>0</v>
      </c>
      <c r="L16" s="14">
        <f>SUM(J16*$Q16)</f>
        <v>0</v>
      </c>
      <c r="M16" s="15">
        <f>K16+L16</f>
        <v>0</v>
      </c>
      <c r="N16" s="10" t="s">
        <v>16</v>
      </c>
      <c r="O16" s="10" t="s">
        <v>17</v>
      </c>
      <c r="P16" s="16">
        <f>IF(G16="MFP",Tables!B$2,Tables!B$5)</f>
        <v>2.6200000000000001E-2</v>
      </c>
      <c r="Q16" s="17">
        <f>IF(G16="MFP",Tables!B$3,Tables!B$6)</f>
        <v>0.11799999999999999</v>
      </c>
      <c r="R16" s="18">
        <v>319</v>
      </c>
      <c r="S16" s="18">
        <v>319</v>
      </c>
      <c r="T16" s="18">
        <v>0</v>
      </c>
      <c r="U16" s="18">
        <v>0</v>
      </c>
    </row>
    <row r="17" spans="1:55" ht="15.75" outlineLevel="2" x14ac:dyDescent="0.25">
      <c r="A17" s="9" t="s">
        <v>11</v>
      </c>
      <c r="B17" s="9" t="s">
        <v>12</v>
      </c>
      <c r="C17" s="9" t="s">
        <v>13</v>
      </c>
      <c r="D17" s="10" t="s">
        <v>14</v>
      </c>
      <c r="E17" s="11">
        <v>2018</v>
      </c>
      <c r="F17" s="10" t="s">
        <v>15</v>
      </c>
      <c r="G17" s="12" t="str">
        <f>VLOOKUP(F17,Tables!D$9:E$17,2,FALSE)</f>
        <v>PTR</v>
      </c>
      <c r="H17" s="60">
        <v>17099438</v>
      </c>
      <c r="I17" s="13">
        <f>SUM(S17-R17)</f>
        <v>0</v>
      </c>
      <c r="J17" s="13">
        <f>SUM(U17-T17)</f>
        <v>0</v>
      </c>
      <c r="K17" s="14">
        <f>SUM(I17*$P17)</f>
        <v>0</v>
      </c>
      <c r="L17" s="14">
        <f>SUM(J17*$Q17)</f>
        <v>0</v>
      </c>
      <c r="M17" s="15">
        <f>K17+L17</f>
        <v>0</v>
      </c>
      <c r="N17" s="10" t="s">
        <v>19</v>
      </c>
      <c r="O17" s="10" t="s">
        <v>20</v>
      </c>
      <c r="P17" s="16">
        <f>IF(G17="MFP",Tables!B$2,Tables!B$5)</f>
        <v>2.6200000000000001E-2</v>
      </c>
      <c r="Q17" s="17">
        <f>IF(G17="MFP",Tables!B$3,Tables!B$6)</f>
        <v>0.11799999999999999</v>
      </c>
      <c r="R17" s="18">
        <v>834</v>
      </c>
      <c r="S17" s="18">
        <v>834</v>
      </c>
      <c r="T17" s="18">
        <v>0</v>
      </c>
      <c r="U17" s="18">
        <v>0</v>
      </c>
    </row>
    <row r="18" spans="1:55" outlineLevel="1" x14ac:dyDescent="0.3">
      <c r="A18" s="19" t="s">
        <v>775</v>
      </c>
      <c r="B18" s="110"/>
      <c r="C18" s="110"/>
      <c r="D18" s="10"/>
      <c r="E18" s="11"/>
      <c r="F18" s="10"/>
      <c r="G18" s="12"/>
      <c r="H18" s="60"/>
      <c r="I18" s="13"/>
      <c r="J18" s="13"/>
      <c r="K18" s="106"/>
      <c r="L18" s="106"/>
      <c r="M18" s="15">
        <f>SUBTOTAL(9,M16:M17)</f>
        <v>0</v>
      </c>
      <c r="N18" s="10"/>
      <c r="O18" s="10"/>
      <c r="P18" s="16"/>
      <c r="Q18" s="17"/>
      <c r="R18" s="18"/>
      <c r="S18" s="18"/>
      <c r="T18" s="18"/>
      <c r="U18" s="18"/>
      <c r="BC18" s="65">
        <f>SUBTOTAL(9,BC16:BC17)</f>
        <v>0</v>
      </c>
    </row>
    <row r="19" spans="1:55" ht="15.75" outlineLevel="2" x14ac:dyDescent="0.25">
      <c r="A19" s="9" t="s">
        <v>21</v>
      </c>
      <c r="B19" s="9" t="s">
        <v>22</v>
      </c>
      <c r="C19" s="9" t="s">
        <v>23</v>
      </c>
      <c r="D19" s="10" t="s">
        <v>14</v>
      </c>
      <c r="E19" s="11">
        <v>2022</v>
      </c>
      <c r="F19" s="10" t="s">
        <v>24</v>
      </c>
      <c r="G19" s="12" t="str">
        <f>VLOOKUP(F19,Tables!D$9:E$17,2,FALSE)</f>
        <v>MFP</v>
      </c>
      <c r="H19" s="60">
        <v>17099434</v>
      </c>
      <c r="I19" s="13">
        <f t="shared" ref="I19:I31" si="5">SUM(S19-R19)</f>
        <v>11367</v>
      </c>
      <c r="J19" s="13">
        <f t="shared" ref="J19:J31" si="6">SUM(U19-T19)</f>
        <v>1929</v>
      </c>
      <c r="K19" s="14">
        <f t="shared" ref="K19:K31" si="7">SUM(I19*$P19)</f>
        <v>235.29689999999999</v>
      </c>
      <c r="L19" s="14">
        <f t="shared" ref="L19:L31" si="8">SUM(J19*$Q19)</f>
        <v>167.82299999999998</v>
      </c>
      <c r="M19" s="15">
        <f t="shared" ref="M19:M31" si="9">K19+L19</f>
        <v>403.11989999999997</v>
      </c>
      <c r="N19" s="10" t="s">
        <v>25</v>
      </c>
      <c r="O19" s="10" t="s">
        <v>26</v>
      </c>
      <c r="P19" s="16">
        <f>IF(G19="MFP",Tables!B$2,Tables!B$5)</f>
        <v>2.07E-2</v>
      </c>
      <c r="Q19" s="17">
        <f>IF(G19="MFP",Tables!B$3,Tables!B$6)</f>
        <v>8.6999999999999994E-2</v>
      </c>
      <c r="R19" s="18">
        <v>53336</v>
      </c>
      <c r="S19" s="18">
        <v>64703</v>
      </c>
      <c r="T19" s="18">
        <v>3726</v>
      </c>
      <c r="U19" s="18">
        <v>5655</v>
      </c>
    </row>
    <row r="20" spans="1:55" ht="15.75" outlineLevel="2" x14ac:dyDescent="0.25">
      <c r="A20" s="9" t="s">
        <v>21</v>
      </c>
      <c r="B20" s="9" t="s">
        <v>22</v>
      </c>
      <c r="C20" s="9" t="s">
        <v>23</v>
      </c>
      <c r="D20" s="10" t="s">
        <v>14</v>
      </c>
      <c r="E20" s="11">
        <v>2023</v>
      </c>
      <c r="F20" s="10" t="s">
        <v>15</v>
      </c>
      <c r="G20" s="12" t="str">
        <f>VLOOKUP(F20,Tables!D$9:E$17,2,FALSE)</f>
        <v>PTR</v>
      </c>
      <c r="H20" s="60">
        <v>17099435</v>
      </c>
      <c r="I20" s="13">
        <f t="shared" si="5"/>
        <v>88</v>
      </c>
      <c r="J20" s="13">
        <f t="shared" si="6"/>
        <v>0</v>
      </c>
      <c r="K20" s="14">
        <f t="shared" si="7"/>
        <v>2.3056000000000001</v>
      </c>
      <c r="L20" s="14">
        <f t="shared" si="8"/>
        <v>0</v>
      </c>
      <c r="M20" s="15">
        <f t="shared" si="9"/>
        <v>2.3056000000000001</v>
      </c>
      <c r="N20" s="10" t="s">
        <v>46</v>
      </c>
      <c r="O20" s="10" t="s">
        <v>47</v>
      </c>
      <c r="P20" s="16">
        <f>IF(G20="MFP",Tables!B$2,Tables!B$5)</f>
        <v>2.6200000000000001E-2</v>
      </c>
      <c r="Q20" s="17">
        <f>IF(G20="MFP",Tables!B$3,Tables!B$6)</f>
        <v>0.11799999999999999</v>
      </c>
      <c r="R20" s="18">
        <v>280</v>
      </c>
      <c r="S20" s="18">
        <v>368</v>
      </c>
      <c r="T20" s="18">
        <v>0</v>
      </c>
      <c r="U20" s="18">
        <v>0</v>
      </c>
    </row>
    <row r="21" spans="1:55" ht="15.75" outlineLevel="2" x14ac:dyDescent="0.25">
      <c r="A21" s="9" t="s">
        <v>21</v>
      </c>
      <c r="B21" s="9" t="s">
        <v>22</v>
      </c>
      <c r="C21" s="9" t="s">
        <v>23</v>
      </c>
      <c r="D21" s="10" t="s">
        <v>14</v>
      </c>
      <c r="E21" s="11">
        <v>2029</v>
      </c>
      <c r="F21" s="10" t="s">
        <v>15</v>
      </c>
      <c r="G21" s="12" t="str">
        <f>VLOOKUP(F21,Tables!D$9:E$17,2,FALSE)</f>
        <v>PTR</v>
      </c>
      <c r="H21" s="60">
        <v>17099446</v>
      </c>
      <c r="I21" s="13">
        <f t="shared" si="5"/>
        <v>20</v>
      </c>
      <c r="J21" s="13">
        <f t="shared" si="6"/>
        <v>0</v>
      </c>
      <c r="K21" s="14">
        <f t="shared" si="7"/>
        <v>0.52400000000000002</v>
      </c>
      <c r="L21" s="14">
        <f t="shared" si="8"/>
        <v>0</v>
      </c>
      <c r="M21" s="15">
        <f t="shared" si="9"/>
        <v>0.52400000000000002</v>
      </c>
      <c r="N21" s="10" t="s">
        <v>30</v>
      </c>
      <c r="O21" s="10" t="s">
        <v>31</v>
      </c>
      <c r="P21" s="16">
        <f>IF(G21="MFP",Tables!B$2,Tables!B$5)</f>
        <v>2.6200000000000001E-2</v>
      </c>
      <c r="Q21" s="17">
        <f>IF(G21="MFP",Tables!B$3,Tables!B$6)</f>
        <v>0.11799999999999999</v>
      </c>
      <c r="R21" s="18">
        <v>256</v>
      </c>
      <c r="S21" s="18">
        <v>276</v>
      </c>
      <c r="T21" s="18">
        <v>0</v>
      </c>
      <c r="U21" s="18">
        <v>0</v>
      </c>
    </row>
    <row r="22" spans="1:55" ht="15.75" outlineLevel="2" x14ac:dyDescent="0.25">
      <c r="A22" s="9" t="s">
        <v>21</v>
      </c>
      <c r="B22" s="9" t="s">
        <v>22</v>
      </c>
      <c r="C22" s="9" t="s">
        <v>23</v>
      </c>
      <c r="D22" s="10" t="s">
        <v>14</v>
      </c>
      <c r="E22" s="11">
        <v>2053</v>
      </c>
      <c r="F22" s="10" t="s">
        <v>15</v>
      </c>
      <c r="G22" s="12" t="str">
        <f>VLOOKUP(F22,Tables!D$9:E$17,2,FALSE)</f>
        <v>PTR</v>
      </c>
      <c r="H22" s="60">
        <v>17099437</v>
      </c>
      <c r="I22" s="13">
        <f t="shared" si="5"/>
        <v>566</v>
      </c>
      <c r="J22" s="13">
        <f t="shared" si="6"/>
        <v>0</v>
      </c>
      <c r="K22" s="14">
        <f t="shared" si="7"/>
        <v>14.8292</v>
      </c>
      <c r="L22" s="14">
        <f t="shared" si="8"/>
        <v>0</v>
      </c>
      <c r="M22" s="15">
        <f t="shared" si="9"/>
        <v>14.8292</v>
      </c>
      <c r="N22" s="10" t="s">
        <v>44</v>
      </c>
      <c r="O22" s="10" t="s">
        <v>45</v>
      </c>
      <c r="P22" s="16">
        <f>IF(G22="MFP",Tables!B$2,Tables!B$5)</f>
        <v>2.6200000000000001E-2</v>
      </c>
      <c r="Q22" s="17">
        <f>IF(G22="MFP",Tables!B$3,Tables!B$6)</f>
        <v>0.11799999999999999</v>
      </c>
      <c r="R22" s="18">
        <v>520</v>
      </c>
      <c r="S22" s="18">
        <v>1086</v>
      </c>
      <c r="T22" s="18">
        <v>0</v>
      </c>
      <c r="U22" s="18">
        <v>0</v>
      </c>
    </row>
    <row r="23" spans="1:55" ht="15.75" outlineLevel="2" x14ac:dyDescent="0.25">
      <c r="A23" s="9" t="s">
        <v>21</v>
      </c>
      <c r="B23" s="9" t="s">
        <v>22</v>
      </c>
      <c r="C23" s="9" t="s">
        <v>23</v>
      </c>
      <c r="D23" s="10" t="s">
        <v>14</v>
      </c>
      <c r="E23" s="11">
        <v>2056</v>
      </c>
      <c r="F23" s="10" t="s">
        <v>15</v>
      </c>
      <c r="G23" s="12" t="str">
        <f>VLOOKUP(F23,Tables!D$9:E$17,2,FALSE)</f>
        <v>PTR</v>
      </c>
      <c r="H23" s="60">
        <v>17099436</v>
      </c>
      <c r="I23" s="13">
        <f t="shared" si="5"/>
        <v>446</v>
      </c>
      <c r="J23" s="13">
        <f t="shared" si="6"/>
        <v>0</v>
      </c>
      <c r="K23" s="14">
        <f t="shared" si="7"/>
        <v>11.6852</v>
      </c>
      <c r="L23" s="14">
        <f t="shared" si="8"/>
        <v>0</v>
      </c>
      <c r="M23" s="15">
        <f t="shared" si="9"/>
        <v>11.6852</v>
      </c>
      <c r="N23" s="10" t="s">
        <v>36</v>
      </c>
      <c r="O23" s="10" t="s">
        <v>37</v>
      </c>
      <c r="P23" s="16">
        <f>IF(G23="MFP",Tables!B$2,Tables!B$5)</f>
        <v>2.6200000000000001E-2</v>
      </c>
      <c r="Q23" s="17">
        <f>IF(G23="MFP",Tables!B$3,Tables!B$6)</f>
        <v>0.11799999999999999</v>
      </c>
      <c r="R23" s="18">
        <v>1170</v>
      </c>
      <c r="S23" s="18">
        <v>1616</v>
      </c>
      <c r="T23" s="18">
        <v>0</v>
      </c>
      <c r="U23" s="18">
        <v>0</v>
      </c>
    </row>
    <row r="24" spans="1:55" ht="15.75" outlineLevel="2" x14ac:dyDescent="0.25">
      <c r="A24" s="9" t="s">
        <v>21</v>
      </c>
      <c r="B24" s="9" t="s">
        <v>22</v>
      </c>
      <c r="C24" s="9" t="s">
        <v>23</v>
      </c>
      <c r="D24" s="10" t="s">
        <v>14</v>
      </c>
      <c r="E24" s="11">
        <v>2057</v>
      </c>
      <c r="F24" s="10" t="s">
        <v>15</v>
      </c>
      <c r="G24" s="12" t="str">
        <f>VLOOKUP(F24,Tables!D$9:E$17,2,FALSE)</f>
        <v>PTR</v>
      </c>
      <c r="H24" s="60">
        <v>17099444</v>
      </c>
      <c r="I24" s="13">
        <f t="shared" si="5"/>
        <v>818</v>
      </c>
      <c r="J24" s="13">
        <f t="shared" si="6"/>
        <v>0</v>
      </c>
      <c r="K24" s="14">
        <f t="shared" si="7"/>
        <v>21.4316</v>
      </c>
      <c r="L24" s="14">
        <f t="shared" si="8"/>
        <v>0</v>
      </c>
      <c r="M24" s="15">
        <f t="shared" si="9"/>
        <v>21.4316</v>
      </c>
      <c r="N24" s="10" t="s">
        <v>28</v>
      </c>
      <c r="O24" s="10" t="s">
        <v>29</v>
      </c>
      <c r="P24" s="16">
        <f>IF(G24="MFP",Tables!B$2,Tables!B$5)</f>
        <v>2.6200000000000001E-2</v>
      </c>
      <c r="Q24" s="17">
        <f>IF(G24="MFP",Tables!B$3,Tables!B$6)</f>
        <v>0.11799999999999999</v>
      </c>
      <c r="R24" s="18">
        <v>1743</v>
      </c>
      <c r="S24" s="18">
        <v>2561</v>
      </c>
      <c r="T24" s="18">
        <v>0</v>
      </c>
      <c r="U24" s="18">
        <v>0</v>
      </c>
    </row>
    <row r="25" spans="1:55" ht="15.75" outlineLevel="2" x14ac:dyDescent="0.25">
      <c r="A25" s="9" t="s">
        <v>21</v>
      </c>
      <c r="B25" s="9" t="s">
        <v>22</v>
      </c>
      <c r="C25" s="9" t="s">
        <v>23</v>
      </c>
      <c r="D25" s="10" t="s">
        <v>14</v>
      </c>
      <c r="E25" s="11">
        <v>2060</v>
      </c>
      <c r="F25" s="10" t="s">
        <v>15</v>
      </c>
      <c r="G25" s="12" t="str">
        <f>VLOOKUP(F25,Tables!D$9:E$17,2,FALSE)</f>
        <v>PTR</v>
      </c>
      <c r="H25" s="60">
        <v>17099430</v>
      </c>
      <c r="I25" s="13">
        <f t="shared" si="5"/>
        <v>68</v>
      </c>
      <c r="J25" s="13">
        <f t="shared" si="6"/>
        <v>0</v>
      </c>
      <c r="K25" s="14">
        <f t="shared" si="7"/>
        <v>1.7816000000000001</v>
      </c>
      <c r="L25" s="14">
        <f t="shared" si="8"/>
        <v>0</v>
      </c>
      <c r="M25" s="15">
        <f t="shared" si="9"/>
        <v>1.7816000000000001</v>
      </c>
      <c r="N25" s="10" t="s">
        <v>40</v>
      </c>
      <c r="O25" s="10" t="s">
        <v>41</v>
      </c>
      <c r="P25" s="16">
        <f>IF(G25="MFP",Tables!B$2,Tables!B$5)</f>
        <v>2.6200000000000001E-2</v>
      </c>
      <c r="Q25" s="17">
        <f>IF(G25="MFP",Tables!B$3,Tables!B$6)</f>
        <v>0.11799999999999999</v>
      </c>
      <c r="R25" s="18">
        <v>219</v>
      </c>
      <c r="S25" s="18">
        <v>287</v>
      </c>
      <c r="T25" s="18">
        <v>0</v>
      </c>
      <c r="U25" s="18">
        <v>0</v>
      </c>
    </row>
    <row r="26" spans="1:55" ht="15.75" outlineLevel="2" x14ac:dyDescent="0.25">
      <c r="A26" s="9" t="s">
        <v>21</v>
      </c>
      <c r="B26" s="9" t="s">
        <v>22</v>
      </c>
      <c r="C26" s="9" t="s">
        <v>23</v>
      </c>
      <c r="D26" s="10" t="s">
        <v>14</v>
      </c>
      <c r="E26" s="11">
        <v>2061</v>
      </c>
      <c r="F26" s="10" t="s">
        <v>15</v>
      </c>
      <c r="G26" s="12" t="str">
        <f>VLOOKUP(F26,Tables!D$9:E$17,2,FALSE)</f>
        <v>PTR</v>
      </c>
      <c r="H26" s="60">
        <v>17099442</v>
      </c>
      <c r="I26" s="13">
        <f t="shared" si="5"/>
        <v>157</v>
      </c>
      <c r="J26" s="13">
        <f t="shared" si="6"/>
        <v>0</v>
      </c>
      <c r="K26" s="14">
        <f t="shared" si="7"/>
        <v>4.1134000000000004</v>
      </c>
      <c r="L26" s="14">
        <f t="shared" si="8"/>
        <v>0</v>
      </c>
      <c r="M26" s="15">
        <f t="shared" si="9"/>
        <v>4.1134000000000004</v>
      </c>
      <c r="N26" s="10" t="s">
        <v>34</v>
      </c>
      <c r="O26" s="10" t="s">
        <v>35</v>
      </c>
      <c r="P26" s="16">
        <f>IF(G26="MFP",Tables!B$2,Tables!B$5)</f>
        <v>2.6200000000000001E-2</v>
      </c>
      <c r="Q26" s="17">
        <f>IF(G26="MFP",Tables!B$3,Tables!B$6)</f>
        <v>0.11799999999999999</v>
      </c>
      <c r="R26" s="18">
        <v>346</v>
      </c>
      <c r="S26" s="18">
        <v>503</v>
      </c>
      <c r="T26" s="18">
        <v>0</v>
      </c>
      <c r="U26" s="18">
        <v>0</v>
      </c>
    </row>
    <row r="27" spans="1:55" ht="15.75" outlineLevel="2" x14ac:dyDescent="0.25">
      <c r="A27" s="9" t="s">
        <v>21</v>
      </c>
      <c r="B27" s="9" t="s">
        <v>22</v>
      </c>
      <c r="C27" s="9" t="s">
        <v>23</v>
      </c>
      <c r="D27" s="10" t="s">
        <v>14</v>
      </c>
      <c r="E27" s="11">
        <v>2063</v>
      </c>
      <c r="F27" s="10" t="s">
        <v>15</v>
      </c>
      <c r="G27" s="12" t="str">
        <f>VLOOKUP(F27,Tables!D$9:E$17,2,FALSE)</f>
        <v>PTR</v>
      </c>
      <c r="H27" s="60">
        <v>17099427</v>
      </c>
      <c r="I27" s="13">
        <f t="shared" si="5"/>
        <v>309</v>
      </c>
      <c r="J27" s="13">
        <f t="shared" si="6"/>
        <v>0</v>
      </c>
      <c r="K27" s="14">
        <f t="shared" si="7"/>
        <v>8.0958000000000006</v>
      </c>
      <c r="L27" s="14">
        <f t="shared" si="8"/>
        <v>0</v>
      </c>
      <c r="M27" s="15">
        <f t="shared" si="9"/>
        <v>8.0958000000000006</v>
      </c>
      <c r="N27" s="10" t="s">
        <v>48</v>
      </c>
      <c r="O27" s="10" t="s">
        <v>49</v>
      </c>
      <c r="P27" s="16">
        <f>IF(G27="MFP",Tables!B$2,Tables!B$5)</f>
        <v>2.6200000000000001E-2</v>
      </c>
      <c r="Q27" s="17">
        <f>IF(G27="MFP",Tables!B$3,Tables!B$6)</f>
        <v>0.11799999999999999</v>
      </c>
      <c r="R27" s="18">
        <v>750</v>
      </c>
      <c r="S27" s="18">
        <v>1059</v>
      </c>
      <c r="T27" s="18">
        <v>0</v>
      </c>
      <c r="U27" s="18">
        <v>0</v>
      </c>
    </row>
    <row r="28" spans="1:55" ht="15.75" outlineLevel="2" x14ac:dyDescent="0.25">
      <c r="A28" s="9" t="s">
        <v>21</v>
      </c>
      <c r="B28" s="9" t="s">
        <v>22</v>
      </c>
      <c r="C28" s="9" t="s">
        <v>23</v>
      </c>
      <c r="D28" s="10" t="s">
        <v>14</v>
      </c>
      <c r="E28" s="11">
        <v>2064</v>
      </c>
      <c r="F28" s="10" t="s">
        <v>15</v>
      </c>
      <c r="G28" s="12" t="str">
        <f>VLOOKUP(F28,Tables!D$9:E$17,2,FALSE)</f>
        <v>PTR</v>
      </c>
      <c r="H28" s="60">
        <v>17099439</v>
      </c>
      <c r="I28" s="13">
        <f t="shared" si="5"/>
        <v>96</v>
      </c>
      <c r="J28" s="13">
        <f t="shared" si="6"/>
        <v>0</v>
      </c>
      <c r="K28" s="14">
        <f t="shared" si="7"/>
        <v>2.5152000000000001</v>
      </c>
      <c r="L28" s="14">
        <f t="shared" si="8"/>
        <v>0</v>
      </c>
      <c r="M28" s="15">
        <f t="shared" si="9"/>
        <v>2.5152000000000001</v>
      </c>
      <c r="N28" s="10" t="s">
        <v>50</v>
      </c>
      <c r="O28" s="10" t="s">
        <v>51</v>
      </c>
      <c r="P28" s="16">
        <f>IF(G28="MFP",Tables!B$2,Tables!B$5)</f>
        <v>2.6200000000000001E-2</v>
      </c>
      <c r="Q28" s="17">
        <f>IF(G28="MFP",Tables!B$3,Tables!B$6)</f>
        <v>0.11799999999999999</v>
      </c>
      <c r="R28" s="18">
        <v>651</v>
      </c>
      <c r="S28" s="18">
        <v>747</v>
      </c>
      <c r="T28" s="18">
        <v>0</v>
      </c>
      <c r="U28" s="18">
        <v>0</v>
      </c>
    </row>
    <row r="29" spans="1:55" ht="15.75" outlineLevel="2" x14ac:dyDescent="0.25">
      <c r="A29" s="9" t="s">
        <v>21</v>
      </c>
      <c r="B29" s="9" t="s">
        <v>22</v>
      </c>
      <c r="C29" s="9" t="s">
        <v>23</v>
      </c>
      <c r="D29" s="10" t="s">
        <v>14</v>
      </c>
      <c r="E29" s="11">
        <v>2066</v>
      </c>
      <c r="F29" s="10" t="s">
        <v>15</v>
      </c>
      <c r="G29" s="12" t="str">
        <f>VLOOKUP(F29,Tables!D$9:E$17,2,FALSE)</f>
        <v>PTR</v>
      </c>
      <c r="H29" s="60">
        <v>17099426</v>
      </c>
      <c r="I29" s="13">
        <f t="shared" si="5"/>
        <v>109</v>
      </c>
      <c r="J29" s="13">
        <f t="shared" si="6"/>
        <v>0</v>
      </c>
      <c r="K29" s="14">
        <f t="shared" si="7"/>
        <v>2.8558000000000003</v>
      </c>
      <c r="L29" s="14">
        <f t="shared" si="8"/>
        <v>0</v>
      </c>
      <c r="M29" s="15">
        <f t="shared" si="9"/>
        <v>2.8558000000000003</v>
      </c>
      <c r="N29" s="10" t="s">
        <v>38</v>
      </c>
      <c r="O29" s="10" t="s">
        <v>39</v>
      </c>
      <c r="P29" s="16">
        <f>IF(G29="MFP",Tables!B$2,Tables!B$5)</f>
        <v>2.6200000000000001E-2</v>
      </c>
      <c r="Q29" s="17">
        <f>IF(G29="MFP",Tables!B$3,Tables!B$6)</f>
        <v>0.11799999999999999</v>
      </c>
      <c r="R29" s="18">
        <v>220</v>
      </c>
      <c r="S29" s="18">
        <v>329</v>
      </c>
      <c r="T29" s="18">
        <v>0</v>
      </c>
      <c r="U29" s="18">
        <v>0</v>
      </c>
    </row>
    <row r="30" spans="1:55" ht="15.75" outlineLevel="2" x14ac:dyDescent="0.25">
      <c r="A30" s="9" t="s">
        <v>21</v>
      </c>
      <c r="B30" s="9" t="s">
        <v>22</v>
      </c>
      <c r="C30" s="9" t="s">
        <v>23</v>
      </c>
      <c r="D30" s="10" t="s">
        <v>14</v>
      </c>
      <c r="E30" s="11">
        <v>2067</v>
      </c>
      <c r="F30" s="10" t="s">
        <v>15</v>
      </c>
      <c r="G30" s="12" t="str">
        <f>VLOOKUP(F30,Tables!D$9:E$17,2,FALSE)</f>
        <v>PTR</v>
      </c>
      <c r="H30" s="60">
        <v>17099425</v>
      </c>
      <c r="I30" s="13">
        <f t="shared" si="5"/>
        <v>116</v>
      </c>
      <c r="J30" s="13">
        <f t="shared" si="6"/>
        <v>0</v>
      </c>
      <c r="K30" s="14">
        <f t="shared" si="7"/>
        <v>3.0392000000000001</v>
      </c>
      <c r="L30" s="14">
        <f t="shared" si="8"/>
        <v>0</v>
      </c>
      <c r="M30" s="15">
        <f t="shared" si="9"/>
        <v>3.0392000000000001</v>
      </c>
      <c r="N30" s="10" t="s">
        <v>32</v>
      </c>
      <c r="O30" s="10" t="s">
        <v>33</v>
      </c>
      <c r="P30" s="16">
        <f>IF(G30="MFP",Tables!B$2,Tables!B$5)</f>
        <v>2.6200000000000001E-2</v>
      </c>
      <c r="Q30" s="17">
        <f>IF(G30="MFP",Tables!B$3,Tables!B$6)</f>
        <v>0.11799999999999999</v>
      </c>
      <c r="R30" s="18">
        <v>645</v>
      </c>
      <c r="S30" s="18">
        <v>761</v>
      </c>
      <c r="T30" s="18">
        <v>0</v>
      </c>
      <c r="U30" s="18">
        <v>0</v>
      </c>
    </row>
    <row r="31" spans="1:55" ht="15.75" outlineLevel="2" x14ac:dyDescent="0.25">
      <c r="A31" s="9" t="s">
        <v>21</v>
      </c>
      <c r="B31" s="9" t="s">
        <v>22</v>
      </c>
      <c r="C31" s="9" t="s">
        <v>23</v>
      </c>
      <c r="D31" s="10" t="s">
        <v>14</v>
      </c>
      <c r="E31" s="11">
        <v>2070</v>
      </c>
      <c r="F31" s="10" t="s">
        <v>15</v>
      </c>
      <c r="G31" s="12" t="str">
        <f>VLOOKUP(F31,Tables!D$9:E$17,2,FALSE)</f>
        <v>PTR</v>
      </c>
      <c r="H31" s="60">
        <v>17099428</v>
      </c>
      <c r="I31" s="13">
        <f t="shared" si="5"/>
        <v>196</v>
      </c>
      <c r="J31" s="13">
        <f t="shared" si="6"/>
        <v>0</v>
      </c>
      <c r="K31" s="14">
        <f t="shared" si="7"/>
        <v>5.1352000000000002</v>
      </c>
      <c r="L31" s="14">
        <f t="shared" si="8"/>
        <v>0</v>
      </c>
      <c r="M31" s="15">
        <f t="shared" si="9"/>
        <v>5.1352000000000002</v>
      </c>
      <c r="N31" s="10" t="s">
        <v>42</v>
      </c>
      <c r="O31" s="10" t="s">
        <v>43</v>
      </c>
      <c r="P31" s="16">
        <f>IF(G31="MFP",Tables!B$2,Tables!B$5)</f>
        <v>2.6200000000000001E-2</v>
      </c>
      <c r="Q31" s="17">
        <f>IF(G31="MFP",Tables!B$3,Tables!B$6)</f>
        <v>0.11799999999999999</v>
      </c>
      <c r="R31" s="18">
        <v>846</v>
      </c>
      <c r="S31" s="18">
        <v>1042</v>
      </c>
      <c r="T31" s="18">
        <v>0</v>
      </c>
      <c r="U31" s="18">
        <v>0</v>
      </c>
    </row>
    <row r="32" spans="1:55" outlineLevel="1" x14ac:dyDescent="0.3">
      <c r="A32" s="19" t="s">
        <v>776</v>
      </c>
      <c r="B32" s="110"/>
      <c r="C32" s="110"/>
      <c r="D32" s="10"/>
      <c r="E32" s="11"/>
      <c r="F32" s="10"/>
      <c r="G32" s="12"/>
      <c r="H32" s="60"/>
      <c r="I32" s="13"/>
      <c r="J32" s="13"/>
      <c r="K32" s="106"/>
      <c r="L32" s="106"/>
      <c r="M32" s="15">
        <f>SUBTOTAL(9,M19:M31)</f>
        <v>481.43170000000003</v>
      </c>
      <c r="N32" s="10"/>
      <c r="O32" s="10"/>
      <c r="P32" s="16"/>
      <c r="Q32" s="17"/>
      <c r="R32" s="18"/>
      <c r="S32" s="18"/>
      <c r="T32" s="18"/>
      <c r="U32" s="18"/>
      <c r="BC32" s="65">
        <f>SUBTOTAL(9,BC19:BC31)</f>
        <v>0</v>
      </c>
    </row>
    <row r="33" spans="1:55" ht="15.75" outlineLevel="2" x14ac:dyDescent="0.25">
      <c r="A33" s="9" t="s">
        <v>677</v>
      </c>
      <c r="B33" s="9" t="s">
        <v>637</v>
      </c>
      <c r="C33" s="9" t="s">
        <v>638</v>
      </c>
      <c r="D33" s="10" t="s">
        <v>603</v>
      </c>
      <c r="E33" s="11">
        <v>241</v>
      </c>
      <c r="F33" s="10" t="s">
        <v>15</v>
      </c>
      <c r="G33" s="12" t="str">
        <f>VLOOKUP(F33,Tables!D$9:E$17,2,FALSE)</f>
        <v>PTR</v>
      </c>
      <c r="H33" s="60">
        <v>17099552</v>
      </c>
      <c r="I33" s="13">
        <f>SUM(S33-R33)</f>
        <v>1148</v>
      </c>
      <c r="J33" s="13">
        <f>SUM(U33-T33)</f>
        <v>0</v>
      </c>
      <c r="K33" s="14">
        <f>SUM(I33*$P33)</f>
        <v>30.0776</v>
      </c>
      <c r="L33" s="14">
        <f>SUM(J33*$Q33)</f>
        <v>0</v>
      </c>
      <c r="M33" s="15">
        <f>K33+L33</f>
        <v>30.0776</v>
      </c>
      <c r="N33" s="10" t="s">
        <v>645</v>
      </c>
      <c r="O33" s="10" t="s">
        <v>646</v>
      </c>
      <c r="P33" s="16">
        <f>IF(G33="MFP",Tables!B$2,Tables!B$5)</f>
        <v>2.6200000000000001E-2</v>
      </c>
      <c r="Q33" s="17">
        <f>IF(G33="MFP",Tables!B$3,Tables!B$6)</f>
        <v>0.11799999999999999</v>
      </c>
      <c r="R33" s="18">
        <v>1961</v>
      </c>
      <c r="S33" s="18">
        <v>3109</v>
      </c>
      <c r="T33" s="18">
        <v>0</v>
      </c>
      <c r="U33" s="18">
        <v>0</v>
      </c>
    </row>
    <row r="34" spans="1:55" outlineLevel="1" x14ac:dyDescent="0.3">
      <c r="A34" s="19" t="s">
        <v>777</v>
      </c>
      <c r="B34" s="110"/>
      <c r="C34" s="110"/>
      <c r="D34" s="10"/>
      <c r="E34" s="11"/>
      <c r="F34" s="10"/>
      <c r="G34" s="12"/>
      <c r="H34" s="60"/>
      <c r="I34" s="13"/>
      <c r="J34" s="13"/>
      <c r="K34" s="106"/>
      <c r="L34" s="106"/>
      <c r="M34" s="15">
        <f>SUBTOTAL(9,M33:M33)</f>
        <v>30.0776</v>
      </c>
      <c r="N34" s="10"/>
      <c r="O34" s="10"/>
      <c r="P34" s="16"/>
      <c r="Q34" s="17"/>
      <c r="R34" s="18"/>
      <c r="S34" s="18"/>
      <c r="T34" s="18"/>
      <c r="U34" s="18"/>
      <c r="BC34" s="65">
        <f>SUBTOTAL(9,BC33:BC33)</f>
        <v>0</v>
      </c>
    </row>
    <row r="35" spans="1:55" ht="15.75" outlineLevel="2" x14ac:dyDescent="0.25">
      <c r="A35" s="9" t="s">
        <v>684</v>
      </c>
      <c r="B35" s="9" t="s">
        <v>707</v>
      </c>
      <c r="C35" s="9" t="s">
        <v>685</v>
      </c>
      <c r="D35" s="10" t="s">
        <v>230</v>
      </c>
      <c r="E35" s="11">
        <v>210</v>
      </c>
      <c r="F35" s="10" t="s">
        <v>54</v>
      </c>
      <c r="G35" s="12" t="str">
        <f>VLOOKUP(F35,Tables!D$9:E$17,2,FALSE)</f>
        <v>MFP</v>
      </c>
      <c r="H35" s="60">
        <v>17099459</v>
      </c>
      <c r="I35" s="13">
        <f>SUM(S35-R35)</f>
        <v>4476</v>
      </c>
      <c r="J35" s="13">
        <f>SUM(U35-T35)</f>
        <v>207</v>
      </c>
      <c r="K35" s="14">
        <f>SUM(I35*$P35)</f>
        <v>92.653199999999998</v>
      </c>
      <c r="L35" s="14">
        <f>SUM(J35*$Q35)</f>
        <v>18.009</v>
      </c>
      <c r="M35" s="15">
        <f>K35+L35</f>
        <v>110.6622</v>
      </c>
      <c r="N35" s="10" t="s">
        <v>564</v>
      </c>
      <c r="O35" s="10" t="s">
        <v>565</v>
      </c>
      <c r="P35" s="16">
        <f>IF(G35="MFP",Tables!B$2,Tables!B$5)</f>
        <v>2.07E-2</v>
      </c>
      <c r="Q35" s="17">
        <f>IF(G35="MFP",Tables!B$3,Tables!B$6)</f>
        <v>8.6999999999999994E-2</v>
      </c>
      <c r="R35" s="18">
        <v>19611</v>
      </c>
      <c r="S35" s="18">
        <v>24087</v>
      </c>
      <c r="T35" s="18">
        <v>2882</v>
      </c>
      <c r="U35" s="18">
        <v>3089</v>
      </c>
    </row>
    <row r="36" spans="1:55" outlineLevel="1" x14ac:dyDescent="0.3">
      <c r="A36" s="19" t="s">
        <v>778</v>
      </c>
      <c r="B36" s="110"/>
      <c r="C36" s="110"/>
      <c r="D36" s="10"/>
      <c r="E36" s="11"/>
      <c r="F36" s="10"/>
      <c r="G36" s="12"/>
      <c r="H36" s="60"/>
      <c r="I36" s="13"/>
      <c r="J36" s="13"/>
      <c r="K36" s="106"/>
      <c r="L36" s="106"/>
      <c r="M36" s="15">
        <f>SUBTOTAL(9,M35:M35)</f>
        <v>110.6622</v>
      </c>
      <c r="N36" s="10"/>
      <c r="O36" s="10"/>
      <c r="P36" s="16"/>
      <c r="Q36" s="17"/>
      <c r="R36" s="18"/>
      <c r="S36" s="18"/>
      <c r="T36" s="18"/>
      <c r="U36" s="18"/>
      <c r="BC36" s="65">
        <f>SUBTOTAL(9,BC35:BC35)</f>
        <v>0</v>
      </c>
    </row>
    <row r="37" spans="1:55" ht="15.75" outlineLevel="2" x14ac:dyDescent="0.25">
      <c r="A37" s="9" t="s">
        <v>692</v>
      </c>
      <c r="B37" s="9" t="s">
        <v>512</v>
      </c>
      <c r="C37" s="9" t="s">
        <v>692</v>
      </c>
      <c r="D37" s="10" t="s">
        <v>287</v>
      </c>
      <c r="E37" s="11">
        <v>116</v>
      </c>
      <c r="F37" s="10" t="s">
        <v>161</v>
      </c>
      <c r="G37" s="12" t="str">
        <f>VLOOKUP(F37,Tables!D$9:E$17,2,FALSE)</f>
        <v>MFP</v>
      </c>
      <c r="H37" s="60">
        <v>17099531</v>
      </c>
      <c r="I37" s="13">
        <f>SUM(S37-R37)</f>
        <v>1173</v>
      </c>
      <c r="J37" s="13">
        <f>SUM(U37-T37)</f>
        <v>0</v>
      </c>
      <c r="K37" s="14">
        <f>SUM(I37*$P37)</f>
        <v>24.281099999999999</v>
      </c>
      <c r="L37" s="14">
        <f>SUM(J37*$Q37)</f>
        <v>0</v>
      </c>
      <c r="M37" s="15">
        <f>K37+L37</f>
        <v>24.281099999999999</v>
      </c>
      <c r="N37" s="10" t="s">
        <v>513</v>
      </c>
      <c r="O37" s="10" t="s">
        <v>514</v>
      </c>
      <c r="P37" s="16">
        <f>IF(G37="MFP",Tables!B$2,Tables!B$5)</f>
        <v>2.07E-2</v>
      </c>
      <c r="Q37" s="17">
        <f>IF(G37="MFP",Tables!B$3,Tables!B$6)</f>
        <v>8.6999999999999994E-2</v>
      </c>
      <c r="R37" s="18">
        <v>2520</v>
      </c>
      <c r="S37" s="18">
        <v>3693</v>
      </c>
      <c r="T37" s="18">
        <v>0</v>
      </c>
      <c r="U37" s="18">
        <v>0</v>
      </c>
    </row>
    <row r="38" spans="1:55" outlineLevel="1" x14ac:dyDescent="0.3">
      <c r="A38" s="19" t="s">
        <v>779</v>
      </c>
      <c r="B38" s="110"/>
      <c r="C38" s="110"/>
      <c r="D38" s="10"/>
      <c r="E38" s="11"/>
      <c r="F38" s="10"/>
      <c r="G38" s="12"/>
      <c r="H38" s="60"/>
      <c r="I38" s="13"/>
      <c r="J38" s="13"/>
      <c r="K38" s="106"/>
      <c r="L38" s="106"/>
      <c r="M38" s="15">
        <f>SUBTOTAL(9,M37:M37)</f>
        <v>24.281099999999999</v>
      </c>
      <c r="N38" s="10"/>
      <c r="O38" s="10"/>
      <c r="P38" s="16"/>
      <c r="Q38" s="17"/>
      <c r="R38" s="18"/>
      <c r="S38" s="18"/>
      <c r="T38" s="18"/>
      <c r="U38" s="18"/>
      <c r="BC38" s="65">
        <f>SUBTOTAL(9,BC37:BC37)</f>
        <v>0</v>
      </c>
    </row>
    <row r="39" spans="1:55" ht="15.75" outlineLevel="2" x14ac:dyDescent="0.25">
      <c r="A39" s="9" t="s">
        <v>602</v>
      </c>
      <c r="B39" s="9" t="s">
        <v>629</v>
      </c>
      <c r="C39" s="9" t="s">
        <v>630</v>
      </c>
      <c r="D39" s="10" t="s">
        <v>603</v>
      </c>
      <c r="E39" s="11">
        <v>231</v>
      </c>
      <c r="F39" s="10" t="s">
        <v>15</v>
      </c>
      <c r="G39" s="12" t="str">
        <f>VLOOKUP(F39,Tables!D$9:E$17,2,FALSE)</f>
        <v>PTR</v>
      </c>
      <c r="H39" s="60">
        <v>17099560</v>
      </c>
      <c r="I39" s="13">
        <f>SUM(S39-R39)</f>
        <v>709</v>
      </c>
      <c r="J39" s="13">
        <f>SUM(U39-T39)</f>
        <v>0</v>
      </c>
      <c r="K39" s="14">
        <f>SUM(I39*$P39)</f>
        <v>18.575800000000001</v>
      </c>
      <c r="L39" s="14">
        <f>SUM(J39*$Q39)</f>
        <v>0</v>
      </c>
      <c r="M39" s="15">
        <f>K39+L39</f>
        <v>18.575800000000001</v>
      </c>
      <c r="N39" s="10" t="s">
        <v>631</v>
      </c>
      <c r="O39" s="10" t="s">
        <v>632</v>
      </c>
      <c r="P39" s="16">
        <f>IF(G39="MFP",Tables!B$2,Tables!B$5)</f>
        <v>2.6200000000000001E-2</v>
      </c>
      <c r="Q39" s="17">
        <f>IF(G39="MFP",Tables!B$3,Tables!B$6)</f>
        <v>0.11799999999999999</v>
      </c>
      <c r="R39" s="18">
        <v>1543</v>
      </c>
      <c r="S39" s="18">
        <v>2252</v>
      </c>
      <c r="T39" s="18">
        <v>0</v>
      </c>
      <c r="U39" s="18">
        <v>0</v>
      </c>
    </row>
    <row r="40" spans="1:55" ht="15.75" outlineLevel="2" x14ac:dyDescent="0.25">
      <c r="A40" s="9" t="s">
        <v>602</v>
      </c>
      <c r="B40" s="9" t="s">
        <v>609</v>
      </c>
      <c r="C40" s="9" t="s">
        <v>602</v>
      </c>
      <c r="D40" s="10" t="s">
        <v>603</v>
      </c>
      <c r="E40" s="20">
        <v>245</v>
      </c>
      <c r="F40" s="10" t="s">
        <v>15</v>
      </c>
      <c r="G40" s="12" t="str">
        <f>VLOOKUP(F40,Tables!D$9:E$17,2,FALSE)</f>
        <v>PTR</v>
      </c>
      <c r="H40" s="60">
        <v>17099557</v>
      </c>
      <c r="I40" s="13">
        <f>SUM(S40-R40)</f>
        <v>296</v>
      </c>
      <c r="J40" s="13">
        <f>SUM(U40-T40)</f>
        <v>0</v>
      </c>
      <c r="K40" s="14">
        <f>SUM(I40*$P40)</f>
        <v>7.7552000000000003</v>
      </c>
      <c r="L40" s="14">
        <f>SUM(J40*$Q40)</f>
        <v>0</v>
      </c>
      <c r="M40" s="15">
        <f>K40+L40</f>
        <v>7.7552000000000003</v>
      </c>
      <c r="N40" s="10" t="s">
        <v>610</v>
      </c>
      <c r="O40" s="10" t="s">
        <v>611</v>
      </c>
      <c r="P40" s="16">
        <f>IF(G40="MFP",Tables!B$2,Tables!B$5)</f>
        <v>2.6200000000000001E-2</v>
      </c>
      <c r="Q40" s="17">
        <f>IF(G40="MFP",Tables!B$3,Tables!B$6)</f>
        <v>0.11799999999999999</v>
      </c>
      <c r="R40" s="18">
        <v>396</v>
      </c>
      <c r="S40" s="18">
        <v>692</v>
      </c>
      <c r="T40" s="18">
        <v>0</v>
      </c>
      <c r="U40" s="18">
        <v>0</v>
      </c>
    </row>
    <row r="41" spans="1:55" ht="15.75" outlineLevel="2" x14ac:dyDescent="0.25">
      <c r="A41" s="9" t="s">
        <v>602</v>
      </c>
      <c r="B41" s="9" t="s">
        <v>633</v>
      </c>
      <c r="C41" s="9" t="s">
        <v>634</v>
      </c>
      <c r="D41" s="10" t="s">
        <v>603</v>
      </c>
      <c r="E41" s="11">
        <v>239</v>
      </c>
      <c r="F41" s="10" t="s">
        <v>15</v>
      </c>
      <c r="G41" s="12" t="str">
        <f>VLOOKUP(F41,Tables!D$9:E$17,2,FALSE)</f>
        <v>PTR</v>
      </c>
      <c r="H41" s="60">
        <v>17099565</v>
      </c>
      <c r="I41" s="13">
        <f>SUM(S41-R41)</f>
        <v>132</v>
      </c>
      <c r="J41" s="13">
        <f>SUM(U41-T41)</f>
        <v>0</v>
      </c>
      <c r="K41" s="14">
        <f>SUM(I41*$P41)</f>
        <v>3.4584000000000001</v>
      </c>
      <c r="L41" s="14">
        <f>SUM(J41*$Q41)</f>
        <v>0</v>
      </c>
      <c r="M41" s="15">
        <f>K41+L41</f>
        <v>3.4584000000000001</v>
      </c>
      <c r="N41" s="10" t="s">
        <v>635</v>
      </c>
      <c r="O41" s="10" t="s">
        <v>636</v>
      </c>
      <c r="P41" s="16">
        <f>IF(G41="MFP",Tables!B$2,Tables!B$5)</f>
        <v>2.6200000000000001E-2</v>
      </c>
      <c r="Q41" s="17">
        <f>IF(G41="MFP",Tables!B$3,Tables!B$6)</f>
        <v>0.11799999999999999</v>
      </c>
      <c r="R41" s="18">
        <v>330</v>
      </c>
      <c r="S41" s="18">
        <v>462</v>
      </c>
      <c r="T41" s="18">
        <v>0</v>
      </c>
      <c r="U41" s="18">
        <v>0</v>
      </c>
    </row>
    <row r="42" spans="1:55" ht="15.75" outlineLevel="2" x14ac:dyDescent="0.25">
      <c r="A42" s="9" t="s">
        <v>602</v>
      </c>
      <c r="B42" s="9" t="s">
        <v>637</v>
      </c>
      <c r="C42" s="9" t="s">
        <v>638</v>
      </c>
      <c r="D42" s="10" t="s">
        <v>603</v>
      </c>
      <c r="E42" s="11">
        <v>204</v>
      </c>
      <c r="F42" s="10" t="s">
        <v>161</v>
      </c>
      <c r="G42" s="12" t="str">
        <f>VLOOKUP(F42,Tables!D$9:E$17,2,FALSE)</f>
        <v>MFP</v>
      </c>
      <c r="H42" s="60">
        <v>17099507</v>
      </c>
      <c r="I42" s="13">
        <f t="shared" ref="I42:I48" si="10">SUM(S42-R42)</f>
        <v>2422</v>
      </c>
      <c r="J42" s="13">
        <f t="shared" ref="J42:J48" si="11">SUM(U42-T42)</f>
        <v>0</v>
      </c>
      <c r="K42" s="14">
        <f t="shared" ref="K42:K48" si="12">SUM(I42*$P42)</f>
        <v>50.135399999999997</v>
      </c>
      <c r="L42" s="14">
        <f t="shared" ref="L42:L48" si="13">SUM(J42*$Q42)</f>
        <v>0</v>
      </c>
      <c r="M42" s="15">
        <f t="shared" ref="M42:M48" si="14">K42+L42</f>
        <v>50.135399999999997</v>
      </c>
      <c r="N42" s="10" t="s">
        <v>643</v>
      </c>
      <c r="O42" s="10" t="s">
        <v>644</v>
      </c>
      <c r="P42" s="16">
        <f>IF(G42="MFP",Tables!B$2,Tables!B$5)</f>
        <v>2.07E-2</v>
      </c>
      <c r="Q42" s="17">
        <f>IF(G42="MFP",Tables!B$3,Tables!B$6)</f>
        <v>8.6999999999999994E-2</v>
      </c>
      <c r="R42" s="18">
        <v>7253</v>
      </c>
      <c r="S42" s="18">
        <v>9675</v>
      </c>
      <c r="T42" s="18">
        <v>0</v>
      </c>
      <c r="U42" s="18">
        <v>0</v>
      </c>
    </row>
    <row r="43" spans="1:55" ht="15.75" outlineLevel="2" x14ac:dyDescent="0.25">
      <c r="A43" s="9" t="s">
        <v>602</v>
      </c>
      <c r="B43" s="9" t="s">
        <v>637</v>
      </c>
      <c r="C43" s="9" t="s">
        <v>638</v>
      </c>
      <c r="D43" s="10" t="s">
        <v>603</v>
      </c>
      <c r="E43" s="11">
        <v>235</v>
      </c>
      <c r="F43" s="10" t="s">
        <v>432</v>
      </c>
      <c r="G43" s="12" t="str">
        <f>VLOOKUP(F43,Tables!D$9:E$17,2,FALSE)</f>
        <v>MFP</v>
      </c>
      <c r="H43" s="60">
        <v>17099490</v>
      </c>
      <c r="I43" s="13">
        <f t="shared" si="10"/>
        <v>7115</v>
      </c>
      <c r="J43" s="13">
        <f t="shared" si="11"/>
        <v>3623.1000000000004</v>
      </c>
      <c r="K43" s="14">
        <f t="shared" si="12"/>
        <v>147.28049999999999</v>
      </c>
      <c r="L43" s="14">
        <f t="shared" si="13"/>
        <v>315.2097</v>
      </c>
      <c r="M43" s="15">
        <f t="shared" si="14"/>
        <v>462.49019999999996</v>
      </c>
      <c r="N43" s="10" t="s">
        <v>641</v>
      </c>
      <c r="O43" s="10" t="s">
        <v>642</v>
      </c>
      <c r="P43" s="16">
        <f>IF(G43="MFP",Tables!B$2,Tables!B$5)</f>
        <v>2.07E-2</v>
      </c>
      <c r="Q43" s="17">
        <f>IF(G43="MFP",Tables!B$3,Tables!B$6)</f>
        <v>8.6999999999999994E-2</v>
      </c>
      <c r="R43" s="18">
        <v>19872</v>
      </c>
      <c r="S43" s="18">
        <v>26987</v>
      </c>
      <c r="T43" s="18">
        <v>4564</v>
      </c>
      <c r="U43" s="18">
        <v>8187.1</v>
      </c>
    </row>
    <row r="44" spans="1:55" ht="15.75" outlineLevel="2" x14ac:dyDescent="0.25">
      <c r="A44" s="9" t="s">
        <v>602</v>
      </c>
      <c r="B44" s="9" t="s">
        <v>637</v>
      </c>
      <c r="C44" s="9" t="s">
        <v>638</v>
      </c>
      <c r="D44" s="10" t="s">
        <v>603</v>
      </c>
      <c r="E44" s="11">
        <v>242</v>
      </c>
      <c r="F44" s="10" t="s">
        <v>15</v>
      </c>
      <c r="G44" s="12" t="str">
        <f>VLOOKUP(F44,Tables!D$9:E$17,2,FALSE)</f>
        <v>PTR</v>
      </c>
      <c r="H44" s="60">
        <v>17099553</v>
      </c>
      <c r="I44" s="13">
        <f t="shared" si="10"/>
        <v>193</v>
      </c>
      <c r="J44" s="13">
        <f t="shared" si="11"/>
        <v>0</v>
      </c>
      <c r="K44" s="14">
        <f t="shared" si="12"/>
        <v>5.0566000000000004</v>
      </c>
      <c r="L44" s="14">
        <f t="shared" si="13"/>
        <v>0</v>
      </c>
      <c r="M44" s="15">
        <f t="shared" si="14"/>
        <v>5.0566000000000004</v>
      </c>
      <c r="N44" s="10" t="s">
        <v>647</v>
      </c>
      <c r="O44" s="10" t="s">
        <v>648</v>
      </c>
      <c r="P44" s="16">
        <f>IF(G44="MFP",Tables!B$2,Tables!B$5)</f>
        <v>2.6200000000000001E-2</v>
      </c>
      <c r="Q44" s="17">
        <f>IF(G44="MFP",Tables!B$3,Tables!B$6)</f>
        <v>0.11799999999999999</v>
      </c>
      <c r="R44" s="18">
        <v>654</v>
      </c>
      <c r="S44" s="18">
        <v>847</v>
      </c>
      <c r="T44" s="18">
        <v>0</v>
      </c>
      <c r="U44" s="18">
        <v>0</v>
      </c>
    </row>
    <row r="45" spans="1:55" ht="15.75" outlineLevel="2" x14ac:dyDescent="0.25">
      <c r="A45" s="9" t="s">
        <v>602</v>
      </c>
      <c r="B45" s="9" t="s">
        <v>637</v>
      </c>
      <c r="C45" s="9" t="s">
        <v>638</v>
      </c>
      <c r="D45" s="10" t="s">
        <v>603</v>
      </c>
      <c r="E45" s="11">
        <v>302</v>
      </c>
      <c r="F45" s="10" t="s">
        <v>54</v>
      </c>
      <c r="G45" s="12" t="str">
        <f>VLOOKUP(F45,Tables!D$9:E$17,2,FALSE)</f>
        <v>MFP</v>
      </c>
      <c r="H45" s="60">
        <v>17099722</v>
      </c>
      <c r="I45" s="13">
        <f t="shared" si="10"/>
        <v>708</v>
      </c>
      <c r="J45" s="13">
        <f t="shared" si="11"/>
        <v>3585</v>
      </c>
      <c r="K45" s="14">
        <f t="shared" si="12"/>
        <v>14.6556</v>
      </c>
      <c r="L45" s="14">
        <f t="shared" si="13"/>
        <v>311.89499999999998</v>
      </c>
      <c r="M45" s="15">
        <f t="shared" si="14"/>
        <v>326.55059999999997</v>
      </c>
      <c r="N45" s="10" t="s">
        <v>639</v>
      </c>
      <c r="O45" s="10" t="s">
        <v>640</v>
      </c>
      <c r="P45" s="16">
        <f>IF(G45="MFP",Tables!B$2,Tables!B$5)</f>
        <v>2.07E-2</v>
      </c>
      <c r="Q45" s="17">
        <f>IF(G45="MFP",Tables!B$3,Tables!B$6)</f>
        <v>8.6999999999999994E-2</v>
      </c>
      <c r="R45" s="18">
        <v>4808</v>
      </c>
      <c r="S45" s="18">
        <v>5516</v>
      </c>
      <c r="T45" s="18">
        <v>8839</v>
      </c>
      <c r="U45" s="18">
        <v>12424</v>
      </c>
    </row>
    <row r="46" spans="1:55" ht="15.75" outlineLevel="2" x14ac:dyDescent="0.25">
      <c r="A46" s="9" t="s">
        <v>602</v>
      </c>
      <c r="B46" s="9" t="s">
        <v>637</v>
      </c>
      <c r="C46" s="9" t="s">
        <v>638</v>
      </c>
      <c r="D46" s="10" t="s">
        <v>603</v>
      </c>
      <c r="E46" s="11">
        <v>312</v>
      </c>
      <c r="F46" s="10" t="s">
        <v>15</v>
      </c>
      <c r="G46" s="12" t="str">
        <f>VLOOKUP(F46,Tables!D$9:E$17,2,FALSE)</f>
        <v>PTR</v>
      </c>
      <c r="H46" s="60">
        <v>17099555</v>
      </c>
      <c r="I46" s="13">
        <f t="shared" si="10"/>
        <v>304</v>
      </c>
      <c r="J46" s="13">
        <f t="shared" si="11"/>
        <v>0</v>
      </c>
      <c r="K46" s="14">
        <f t="shared" si="12"/>
        <v>7.9648000000000003</v>
      </c>
      <c r="L46" s="14">
        <f t="shared" si="13"/>
        <v>0</v>
      </c>
      <c r="M46" s="15">
        <f t="shared" si="14"/>
        <v>7.9648000000000003</v>
      </c>
      <c r="N46" s="10" t="s">
        <v>649</v>
      </c>
      <c r="O46" s="10" t="s">
        <v>650</v>
      </c>
      <c r="P46" s="16">
        <f>IF(G46="MFP",Tables!B$2,Tables!B$5)</f>
        <v>2.6200000000000001E-2</v>
      </c>
      <c r="Q46" s="17">
        <f>IF(G46="MFP",Tables!B$3,Tables!B$6)</f>
        <v>0.11799999999999999</v>
      </c>
      <c r="R46" s="18">
        <v>952</v>
      </c>
      <c r="S46" s="18">
        <v>1256</v>
      </c>
      <c r="T46" s="18">
        <v>0</v>
      </c>
      <c r="U46" s="18">
        <v>0</v>
      </c>
    </row>
    <row r="47" spans="1:55" ht="15.75" outlineLevel="2" x14ac:dyDescent="0.25">
      <c r="A47" s="9" t="s">
        <v>602</v>
      </c>
      <c r="B47" s="9" t="s">
        <v>637</v>
      </c>
      <c r="C47" s="9" t="s">
        <v>638</v>
      </c>
      <c r="D47" s="10" t="s">
        <v>603</v>
      </c>
      <c r="E47" s="11">
        <v>314</v>
      </c>
      <c r="F47" s="10" t="s">
        <v>15</v>
      </c>
      <c r="G47" s="12" t="str">
        <f>VLOOKUP(F47,Tables!D$9:E$17,2,FALSE)</f>
        <v>PTR</v>
      </c>
      <c r="H47" s="60">
        <v>17099558</v>
      </c>
      <c r="I47" s="13">
        <f t="shared" si="10"/>
        <v>421</v>
      </c>
      <c r="J47" s="13">
        <f t="shared" si="11"/>
        <v>0</v>
      </c>
      <c r="K47" s="14">
        <f t="shared" si="12"/>
        <v>11.030200000000001</v>
      </c>
      <c r="L47" s="14">
        <f t="shared" si="13"/>
        <v>0</v>
      </c>
      <c r="M47" s="15">
        <f t="shared" si="14"/>
        <v>11.030200000000001</v>
      </c>
      <c r="N47" s="10" t="s">
        <v>651</v>
      </c>
      <c r="O47" s="10" t="s">
        <v>652</v>
      </c>
      <c r="P47" s="16">
        <f>IF(G47="MFP",Tables!B$2,Tables!B$5)</f>
        <v>2.6200000000000001E-2</v>
      </c>
      <c r="Q47" s="17">
        <f>IF(G47="MFP",Tables!B$3,Tables!B$6)</f>
        <v>0.11799999999999999</v>
      </c>
      <c r="R47" s="18">
        <v>896</v>
      </c>
      <c r="S47" s="18">
        <v>1317</v>
      </c>
      <c r="T47" s="18">
        <v>0</v>
      </c>
      <c r="U47" s="18">
        <v>0</v>
      </c>
    </row>
    <row r="48" spans="1:55" ht="15.75" outlineLevel="2" x14ac:dyDescent="0.25">
      <c r="A48" s="9" t="s">
        <v>602</v>
      </c>
      <c r="B48" s="9" t="s">
        <v>637</v>
      </c>
      <c r="C48" s="9" t="s">
        <v>638</v>
      </c>
      <c r="D48" s="10" t="s">
        <v>603</v>
      </c>
      <c r="E48" s="11">
        <v>317</v>
      </c>
      <c r="F48" s="10" t="s">
        <v>15</v>
      </c>
      <c r="G48" s="12" t="str">
        <f>VLOOKUP(F48,Tables!D$9:E$17,2,FALSE)</f>
        <v>PTR</v>
      </c>
      <c r="H48" s="60">
        <v>17099554</v>
      </c>
      <c r="I48" s="13">
        <f t="shared" si="10"/>
        <v>110</v>
      </c>
      <c r="J48" s="13">
        <f t="shared" si="11"/>
        <v>0</v>
      </c>
      <c r="K48" s="14">
        <f t="shared" si="12"/>
        <v>2.8820000000000001</v>
      </c>
      <c r="L48" s="14">
        <f t="shared" si="13"/>
        <v>0</v>
      </c>
      <c r="M48" s="15">
        <f t="shared" si="14"/>
        <v>2.8820000000000001</v>
      </c>
      <c r="N48" s="10" t="s">
        <v>604</v>
      </c>
      <c r="O48" s="10" t="s">
        <v>605</v>
      </c>
      <c r="P48" s="16">
        <f>IF(G48="MFP",Tables!B$2,Tables!B$5)</f>
        <v>2.6200000000000001E-2</v>
      </c>
      <c r="Q48" s="17">
        <f>IF(G48="MFP",Tables!B$3,Tables!B$6)</f>
        <v>0.11799999999999999</v>
      </c>
      <c r="R48" s="18">
        <v>359</v>
      </c>
      <c r="S48" s="18">
        <v>469</v>
      </c>
      <c r="T48" s="18">
        <v>0</v>
      </c>
      <c r="U48" s="18">
        <v>0</v>
      </c>
    </row>
    <row r="49" spans="1:55" outlineLevel="1" x14ac:dyDescent="0.3">
      <c r="A49" s="19" t="s">
        <v>780</v>
      </c>
      <c r="B49" s="110"/>
      <c r="C49" s="110"/>
      <c r="D49" s="10"/>
      <c r="E49" s="11"/>
      <c r="F49" s="10"/>
      <c r="G49" s="12"/>
      <c r="H49" s="60"/>
      <c r="I49" s="13"/>
      <c r="J49" s="13"/>
      <c r="K49" s="106"/>
      <c r="L49" s="106"/>
      <c r="M49" s="15">
        <f>SUBTOTAL(9,M39:M48)</f>
        <v>895.89919999999984</v>
      </c>
      <c r="N49" s="10"/>
      <c r="O49" s="10"/>
      <c r="P49" s="16"/>
      <c r="Q49" s="17"/>
      <c r="R49" s="18"/>
      <c r="S49" s="18"/>
      <c r="T49" s="18"/>
      <c r="U49" s="18"/>
      <c r="BC49" s="65">
        <f>SUBTOTAL(9,BC39:BC48)</f>
        <v>0</v>
      </c>
    </row>
    <row r="50" spans="1:55" ht="15.75" outlineLevel="2" x14ac:dyDescent="0.25">
      <c r="A50" s="9" t="s">
        <v>597</v>
      </c>
      <c r="B50" s="9" t="s">
        <v>598</v>
      </c>
      <c r="C50" s="9" t="s">
        <v>599</v>
      </c>
      <c r="D50" s="10" t="s">
        <v>212</v>
      </c>
      <c r="E50" s="11">
        <v>502</v>
      </c>
      <c r="F50" s="10" t="s">
        <v>54</v>
      </c>
      <c r="G50" s="12" t="str">
        <f>VLOOKUP(F50,Tables!D$9:E$17,2,FALSE)</f>
        <v>MFP</v>
      </c>
      <c r="H50" s="60">
        <v>17099424</v>
      </c>
      <c r="I50" s="13">
        <f>SUM(S50-R50)</f>
        <v>1097</v>
      </c>
      <c r="J50" s="13">
        <f>SUM(U50-T50)</f>
        <v>99</v>
      </c>
      <c r="K50" s="14">
        <f>SUM(I50*$P50)</f>
        <v>22.707899999999999</v>
      </c>
      <c r="L50" s="14">
        <f>SUM(J50*$Q50)</f>
        <v>8.6129999999999995</v>
      </c>
      <c r="M50" s="15">
        <f>K50+L50</f>
        <v>31.320899999999998</v>
      </c>
      <c r="N50" s="10" t="s">
        <v>600</v>
      </c>
      <c r="O50" s="10" t="s">
        <v>601</v>
      </c>
      <c r="P50" s="16">
        <f>IF(G50="MFP",Tables!B$2,Tables!B$5)</f>
        <v>2.07E-2</v>
      </c>
      <c r="Q50" s="17">
        <f>IF(G50="MFP",Tables!B$3,Tables!B$6)</f>
        <v>8.6999999999999994E-2</v>
      </c>
      <c r="R50" s="18">
        <v>2954</v>
      </c>
      <c r="S50" s="18">
        <v>4051</v>
      </c>
      <c r="T50" s="18">
        <v>405</v>
      </c>
      <c r="U50" s="18">
        <v>504</v>
      </c>
    </row>
    <row r="51" spans="1:55" outlineLevel="1" x14ac:dyDescent="0.3">
      <c r="A51" s="19" t="s">
        <v>781</v>
      </c>
      <c r="B51" s="110"/>
      <c r="C51" s="110"/>
      <c r="D51" s="10"/>
      <c r="E51" s="11"/>
      <c r="F51" s="10"/>
      <c r="G51" s="12"/>
      <c r="H51" s="60"/>
      <c r="I51" s="13"/>
      <c r="J51" s="13"/>
      <c r="K51" s="106"/>
      <c r="L51" s="106"/>
      <c r="M51" s="15">
        <f>SUBTOTAL(9,M50:M50)</f>
        <v>31.320899999999998</v>
      </c>
      <c r="N51" s="10"/>
      <c r="O51" s="10"/>
      <c r="P51" s="16"/>
      <c r="Q51" s="17"/>
      <c r="R51" s="18"/>
      <c r="S51" s="18"/>
      <c r="T51" s="18"/>
      <c r="U51" s="18"/>
      <c r="BC51" s="65">
        <f>SUBTOTAL(9,BC50:BC50)</f>
        <v>0</v>
      </c>
    </row>
    <row r="52" spans="1:55" ht="15.75" outlineLevel="2" x14ac:dyDescent="0.25">
      <c r="A52" s="9" t="s">
        <v>558</v>
      </c>
      <c r="B52" s="9" t="s">
        <v>559</v>
      </c>
      <c r="C52" s="9" t="s">
        <v>560</v>
      </c>
      <c r="D52" s="10" t="s">
        <v>347</v>
      </c>
      <c r="E52" s="11">
        <v>207</v>
      </c>
      <c r="F52" s="10" t="s">
        <v>161</v>
      </c>
      <c r="G52" s="12" t="str">
        <f>VLOOKUP(F52,Tables!D$9:E$17,2,FALSE)</f>
        <v>MFP</v>
      </c>
      <c r="H52" s="60">
        <v>17099460</v>
      </c>
      <c r="I52" s="13">
        <f>SUM(S52-R52)</f>
        <v>540</v>
      </c>
      <c r="J52" s="13">
        <f>SUM(U52-T52)</f>
        <v>0</v>
      </c>
      <c r="K52" s="14">
        <f>SUM(I52*$P52)</f>
        <v>11.177999999999999</v>
      </c>
      <c r="L52" s="14">
        <f>SUM(J52*$Q52)</f>
        <v>0</v>
      </c>
      <c r="M52" s="15">
        <f>K52+L52</f>
        <v>11.177999999999999</v>
      </c>
      <c r="N52" s="10" t="s">
        <v>561</v>
      </c>
      <c r="O52" s="10" t="s">
        <v>562</v>
      </c>
      <c r="P52" s="16">
        <f>IF(G52="MFP",Tables!B$2,Tables!B$5)</f>
        <v>2.07E-2</v>
      </c>
      <c r="Q52" s="17">
        <f>IF(G52="MFP",Tables!B$3,Tables!B$6)</f>
        <v>8.6999999999999994E-2</v>
      </c>
      <c r="R52" s="18">
        <v>4189</v>
      </c>
      <c r="S52" s="18">
        <v>4729</v>
      </c>
      <c r="T52" s="18">
        <v>0</v>
      </c>
      <c r="U52" s="18">
        <v>0</v>
      </c>
    </row>
    <row r="53" spans="1:55" outlineLevel="1" x14ac:dyDescent="0.3">
      <c r="A53" s="19" t="s">
        <v>782</v>
      </c>
      <c r="B53" s="110"/>
      <c r="C53" s="110"/>
      <c r="D53" s="10"/>
      <c r="E53" s="11"/>
      <c r="F53" s="10"/>
      <c r="G53" s="12"/>
      <c r="H53" s="60"/>
      <c r="I53" s="13"/>
      <c r="J53" s="13"/>
      <c r="K53" s="106"/>
      <c r="L53" s="106"/>
      <c r="M53" s="15">
        <f>SUBTOTAL(9,M52:M52)</f>
        <v>11.177999999999999</v>
      </c>
      <c r="N53" s="10"/>
      <c r="O53" s="10"/>
      <c r="P53" s="16"/>
      <c r="Q53" s="17"/>
      <c r="R53" s="18"/>
      <c r="S53" s="18"/>
      <c r="T53" s="18"/>
      <c r="U53" s="18"/>
      <c r="BC53" s="65">
        <f>SUBTOTAL(9,BC52:BC52)</f>
        <v>0</v>
      </c>
    </row>
    <row r="54" spans="1:55" ht="15.75" outlineLevel="2" x14ac:dyDescent="0.25">
      <c r="A54" s="9" t="s">
        <v>439</v>
      </c>
      <c r="B54" s="9" t="s">
        <v>440</v>
      </c>
      <c r="C54" s="9" t="s">
        <v>441</v>
      </c>
      <c r="D54" s="10" t="s">
        <v>442</v>
      </c>
      <c r="E54" s="11" t="s">
        <v>443</v>
      </c>
      <c r="F54" s="10" t="s">
        <v>424</v>
      </c>
      <c r="G54" s="12" t="str">
        <f>VLOOKUP(F54,Tables!D$9:E$17,2,FALSE)</f>
        <v>MFP</v>
      </c>
      <c r="H54" s="60">
        <v>17099483</v>
      </c>
      <c r="I54" s="13">
        <f>SUM(S54-R54)</f>
        <v>35186</v>
      </c>
      <c r="J54" s="13">
        <f>SUM(U54-T54)</f>
        <v>0</v>
      </c>
      <c r="K54" s="14">
        <f>SUM(I54*$P54)</f>
        <v>728.35019999999997</v>
      </c>
      <c r="L54" s="14">
        <f>SUM(J54*$Q54)</f>
        <v>0</v>
      </c>
      <c r="M54" s="15">
        <f>K54+L54</f>
        <v>728.35019999999997</v>
      </c>
      <c r="N54" s="10" t="s">
        <v>444</v>
      </c>
      <c r="O54" s="10" t="s">
        <v>445</v>
      </c>
      <c r="P54" s="16">
        <f>IF(G54="MFP",Tables!B$2,Tables!B$5)</f>
        <v>2.07E-2</v>
      </c>
      <c r="Q54" s="17">
        <f>IF(G54="MFP",Tables!B$3,Tables!B$6)</f>
        <v>8.6999999999999994E-2</v>
      </c>
      <c r="R54" s="18">
        <v>128400</v>
      </c>
      <c r="S54" s="18">
        <v>163586</v>
      </c>
      <c r="T54" s="18">
        <v>0</v>
      </c>
      <c r="U54" s="18">
        <v>0</v>
      </c>
    </row>
    <row r="55" spans="1:55" ht="15.75" outlineLevel="2" x14ac:dyDescent="0.25">
      <c r="A55" s="9" t="s">
        <v>439</v>
      </c>
      <c r="B55" s="9" t="s">
        <v>440</v>
      </c>
      <c r="C55" s="9" t="s">
        <v>441</v>
      </c>
      <c r="D55" s="10" t="s">
        <v>442</v>
      </c>
      <c r="E55" s="11" t="s">
        <v>443</v>
      </c>
      <c r="F55" s="10" t="s">
        <v>424</v>
      </c>
      <c r="G55" s="12" t="str">
        <f>VLOOKUP(F55,Tables!D$9:E$17,2,FALSE)</f>
        <v>MFP</v>
      </c>
      <c r="H55" s="60">
        <v>17099482</v>
      </c>
      <c r="I55" s="13">
        <f>SUM(S55-R55)</f>
        <v>12857</v>
      </c>
      <c r="J55" s="13">
        <f>SUM(U55-T55)</f>
        <v>0</v>
      </c>
      <c r="K55" s="14">
        <f>SUM(I55*$P55)</f>
        <v>266.13990000000001</v>
      </c>
      <c r="L55" s="14">
        <f>SUM(J55*$Q55)</f>
        <v>0</v>
      </c>
      <c r="M55" s="15">
        <f>K55+L55</f>
        <v>266.13990000000001</v>
      </c>
      <c r="N55" s="10" t="s">
        <v>446</v>
      </c>
      <c r="O55" s="10" t="s">
        <v>447</v>
      </c>
      <c r="P55" s="16">
        <f>IF(G55="MFP",Tables!B$2,Tables!B$5)</f>
        <v>2.07E-2</v>
      </c>
      <c r="Q55" s="17">
        <f>IF(G55="MFP",Tables!B$3,Tables!B$6)</f>
        <v>8.6999999999999994E-2</v>
      </c>
      <c r="R55" s="18">
        <v>163463</v>
      </c>
      <c r="S55" s="18">
        <v>176320</v>
      </c>
      <c r="T55" s="18">
        <v>0</v>
      </c>
      <c r="U55" s="18">
        <v>0</v>
      </c>
    </row>
    <row r="56" spans="1:55" outlineLevel="1" x14ac:dyDescent="0.3">
      <c r="A56" s="19" t="s">
        <v>783</v>
      </c>
      <c r="B56" s="110"/>
      <c r="C56" s="110"/>
      <c r="D56" s="10"/>
      <c r="E56" s="11"/>
      <c r="F56" s="10"/>
      <c r="G56" s="12"/>
      <c r="H56" s="60"/>
      <c r="I56" s="13"/>
      <c r="J56" s="13"/>
      <c r="K56" s="106"/>
      <c r="L56" s="106"/>
      <c r="M56" s="15">
        <f>SUBTOTAL(9,M54:M55)</f>
        <v>994.49009999999998</v>
      </c>
      <c r="N56" s="10"/>
      <c r="O56" s="10"/>
      <c r="P56" s="16"/>
      <c r="Q56" s="17"/>
      <c r="R56" s="18"/>
      <c r="S56" s="18"/>
      <c r="T56" s="18"/>
      <c r="U56" s="18"/>
      <c r="BC56" s="65">
        <f>SUBTOTAL(9,BC54:BC55)</f>
        <v>0</v>
      </c>
    </row>
    <row r="57" spans="1:55" ht="15.75" outlineLevel="2" x14ac:dyDescent="0.25">
      <c r="A57" s="9" t="s">
        <v>52</v>
      </c>
      <c r="B57" s="9" t="s">
        <v>440</v>
      </c>
      <c r="C57" s="9" t="s">
        <v>441</v>
      </c>
      <c r="D57" s="10" t="s">
        <v>171</v>
      </c>
      <c r="E57" s="11">
        <v>214</v>
      </c>
      <c r="F57" s="10" t="s">
        <v>15</v>
      </c>
      <c r="G57" s="12" t="str">
        <f>VLOOKUP(F57,Tables!D$9:E$17,2,FALSE)</f>
        <v>PTR</v>
      </c>
      <c r="H57" s="60">
        <v>17099580</v>
      </c>
      <c r="I57" s="13">
        <f>SUM(S57-R57)</f>
        <v>2</v>
      </c>
      <c r="J57" s="13">
        <f>SUM(U57-T57)</f>
        <v>0</v>
      </c>
      <c r="K57" s="14">
        <f>SUM(I57*$P57)</f>
        <v>5.2400000000000002E-2</v>
      </c>
      <c r="L57" s="14">
        <f>SUM(J57*$Q57)</f>
        <v>0</v>
      </c>
      <c r="M57" s="15">
        <f>K57+L57</f>
        <v>5.2400000000000002E-2</v>
      </c>
      <c r="N57" s="10" t="s">
        <v>454</v>
      </c>
      <c r="O57" s="10" t="s">
        <v>455</v>
      </c>
      <c r="P57" s="16">
        <f>IF(G57="MFP",Tables!B$2,Tables!B$5)</f>
        <v>2.6200000000000001E-2</v>
      </c>
      <c r="Q57" s="17">
        <f>IF(G57="MFP",Tables!B$3,Tables!B$6)</f>
        <v>0.11799999999999999</v>
      </c>
      <c r="R57" s="18">
        <v>2808</v>
      </c>
      <c r="S57" s="18">
        <v>2810</v>
      </c>
      <c r="T57" s="18">
        <v>0</v>
      </c>
      <c r="U57" s="18">
        <v>0</v>
      </c>
    </row>
    <row r="58" spans="1:55" ht="15.75" outlineLevel="2" x14ac:dyDescent="0.25">
      <c r="A58" s="9" t="s">
        <v>52</v>
      </c>
      <c r="B58" s="9" t="s">
        <v>440</v>
      </c>
      <c r="C58" s="9" t="s">
        <v>441</v>
      </c>
      <c r="D58" s="10" t="s">
        <v>53</v>
      </c>
      <c r="E58" s="11" t="s">
        <v>456</v>
      </c>
      <c r="F58" s="10" t="s">
        <v>15</v>
      </c>
      <c r="G58" s="12" t="str">
        <f>VLOOKUP(F58,Tables!D$9:E$17,2,FALSE)</f>
        <v>PTR</v>
      </c>
      <c r="H58" s="60">
        <v>17099708</v>
      </c>
      <c r="I58" s="13">
        <f>SUM(S58-R58)</f>
        <v>52</v>
      </c>
      <c r="J58" s="13">
        <f>SUM(U58-T58)</f>
        <v>0</v>
      </c>
      <c r="K58" s="14">
        <f>SUM(I58*$P58)</f>
        <v>1.3624000000000001</v>
      </c>
      <c r="L58" s="14">
        <f>SUM(J58*$Q58)</f>
        <v>0</v>
      </c>
      <c r="M58" s="15">
        <f>K58+L58</f>
        <v>1.3624000000000001</v>
      </c>
      <c r="N58" s="10" t="s">
        <v>457</v>
      </c>
      <c r="O58" s="10" t="s">
        <v>458</v>
      </c>
      <c r="P58" s="16">
        <f>IF(G58="MFP",Tables!B$2,Tables!B$5)</f>
        <v>2.6200000000000001E-2</v>
      </c>
      <c r="Q58" s="17">
        <f>IF(G58="MFP",Tables!B$3,Tables!B$6)</f>
        <v>0.11799999999999999</v>
      </c>
      <c r="R58" s="18">
        <v>180</v>
      </c>
      <c r="S58" s="18">
        <v>232</v>
      </c>
      <c r="T58" s="18">
        <v>0</v>
      </c>
      <c r="U58" s="18">
        <v>0</v>
      </c>
    </row>
    <row r="59" spans="1:55" ht="15.75" outlineLevel="2" x14ac:dyDescent="0.25">
      <c r="A59" s="9" t="s">
        <v>52</v>
      </c>
      <c r="B59" s="9" t="s">
        <v>759</v>
      </c>
      <c r="C59" s="9" t="s">
        <v>52</v>
      </c>
      <c r="D59" s="10" t="s">
        <v>53</v>
      </c>
      <c r="E59" s="11">
        <v>203</v>
      </c>
      <c r="F59" s="10" t="s">
        <v>54</v>
      </c>
      <c r="G59" s="12" t="str">
        <f>VLOOKUP(F59,Tables!D$9:E$17,2,FALSE)</f>
        <v>MFP</v>
      </c>
      <c r="H59" s="60">
        <v>17099484</v>
      </c>
      <c r="I59" s="13">
        <f t="shared" ref="I59:I64" si="15">SUM(S59-R59)</f>
        <v>3265</v>
      </c>
      <c r="J59" s="13">
        <f t="shared" ref="J59:J64" si="16">SUM(U59-T59)</f>
        <v>143</v>
      </c>
      <c r="K59" s="14">
        <f t="shared" ref="K59:K64" si="17">SUM(I59*$P59)</f>
        <v>67.585499999999996</v>
      </c>
      <c r="L59" s="14">
        <f t="shared" ref="L59:L64" si="18">SUM(J59*$Q59)</f>
        <v>12.440999999999999</v>
      </c>
      <c r="M59" s="15">
        <f t="shared" ref="M59:M64" si="19">K59+L59</f>
        <v>80.026499999999999</v>
      </c>
      <c r="N59" s="10" t="s">
        <v>55</v>
      </c>
      <c r="O59" s="10" t="s">
        <v>56</v>
      </c>
      <c r="P59" s="16">
        <f>IF(G59="MFP",Tables!B$2,Tables!B$5)</f>
        <v>2.07E-2</v>
      </c>
      <c r="Q59" s="17">
        <f>IF(G59="MFP",Tables!B$3,Tables!B$6)</f>
        <v>8.6999999999999994E-2</v>
      </c>
      <c r="R59" s="18">
        <v>6692</v>
      </c>
      <c r="S59" s="18">
        <v>9957</v>
      </c>
      <c r="T59" s="18">
        <v>1031</v>
      </c>
      <c r="U59" s="18">
        <v>1174</v>
      </c>
    </row>
    <row r="60" spans="1:55" ht="15.75" outlineLevel="2" x14ac:dyDescent="0.25">
      <c r="A60" s="9" t="s">
        <v>52</v>
      </c>
      <c r="B60" s="9" t="s">
        <v>759</v>
      </c>
      <c r="C60" s="9" t="s">
        <v>52</v>
      </c>
      <c r="D60" s="10" t="s">
        <v>53</v>
      </c>
      <c r="E60" s="11">
        <v>203</v>
      </c>
      <c r="F60" s="10" t="s">
        <v>15</v>
      </c>
      <c r="G60" s="12" t="str">
        <f>VLOOKUP(F60,Tables!D$9:E$17,2,FALSE)</f>
        <v>PTR</v>
      </c>
      <c r="H60" s="60">
        <v>17099613</v>
      </c>
      <c r="I60" s="13">
        <f t="shared" si="15"/>
        <v>1948</v>
      </c>
      <c r="J60" s="13">
        <f t="shared" si="16"/>
        <v>0</v>
      </c>
      <c r="K60" s="14">
        <f t="shared" si="17"/>
        <v>51.037600000000005</v>
      </c>
      <c r="L60" s="14">
        <f t="shared" si="18"/>
        <v>0</v>
      </c>
      <c r="M60" s="15">
        <f t="shared" si="19"/>
        <v>51.037600000000005</v>
      </c>
      <c r="N60" s="10" t="s">
        <v>57</v>
      </c>
      <c r="O60" s="10" t="s">
        <v>58</v>
      </c>
      <c r="P60" s="16">
        <f>IF(G60="MFP",Tables!B$2,Tables!B$5)</f>
        <v>2.6200000000000001E-2</v>
      </c>
      <c r="Q60" s="17">
        <f>IF(G60="MFP",Tables!B$3,Tables!B$6)</f>
        <v>0.11799999999999999</v>
      </c>
      <c r="R60" s="18">
        <v>3006</v>
      </c>
      <c r="S60" s="18">
        <v>4954</v>
      </c>
      <c r="T60" s="18">
        <v>0</v>
      </c>
      <c r="U60" s="18">
        <v>0</v>
      </c>
    </row>
    <row r="61" spans="1:55" ht="15.75" outlineLevel="2" x14ac:dyDescent="0.25">
      <c r="A61" s="9" t="s">
        <v>52</v>
      </c>
      <c r="B61" s="9" t="s">
        <v>759</v>
      </c>
      <c r="C61" s="9" t="s">
        <v>52</v>
      </c>
      <c r="D61" s="10" t="s">
        <v>53</v>
      </c>
      <c r="E61" s="11" t="s">
        <v>59</v>
      </c>
      <c r="F61" s="10" t="s">
        <v>15</v>
      </c>
      <c r="G61" s="12" t="str">
        <f>VLOOKUP(F61,Tables!D$9:E$17,2,FALSE)</f>
        <v>PTR</v>
      </c>
      <c r="H61" s="60">
        <v>17099611</v>
      </c>
      <c r="I61" s="13">
        <f t="shared" si="15"/>
        <v>658</v>
      </c>
      <c r="J61" s="13">
        <f t="shared" si="16"/>
        <v>0</v>
      </c>
      <c r="K61" s="14">
        <f t="shared" si="17"/>
        <v>17.239599999999999</v>
      </c>
      <c r="L61" s="14">
        <f t="shared" si="18"/>
        <v>0</v>
      </c>
      <c r="M61" s="15">
        <f t="shared" si="19"/>
        <v>17.239599999999999</v>
      </c>
      <c r="N61" s="10" t="s">
        <v>60</v>
      </c>
      <c r="O61" s="10" t="s">
        <v>61</v>
      </c>
      <c r="P61" s="16">
        <f>IF(G61="MFP",Tables!B$2,Tables!B$5)</f>
        <v>2.6200000000000001E-2</v>
      </c>
      <c r="Q61" s="17">
        <f>IF(G61="MFP",Tables!B$3,Tables!B$6)</f>
        <v>0.11799999999999999</v>
      </c>
      <c r="R61" s="18">
        <v>1873</v>
      </c>
      <c r="S61" s="18">
        <v>2531</v>
      </c>
      <c r="T61" s="18">
        <v>0</v>
      </c>
      <c r="U61" s="18">
        <v>0</v>
      </c>
    </row>
    <row r="62" spans="1:55" ht="15.75" outlineLevel="2" x14ac:dyDescent="0.25">
      <c r="A62" s="9" t="s">
        <v>52</v>
      </c>
      <c r="B62" s="9" t="s">
        <v>759</v>
      </c>
      <c r="C62" s="9" t="s">
        <v>52</v>
      </c>
      <c r="D62" s="10" t="s">
        <v>53</v>
      </c>
      <c r="E62" s="11" t="s">
        <v>64</v>
      </c>
      <c r="F62" s="10" t="s">
        <v>15</v>
      </c>
      <c r="G62" s="12" t="str">
        <f>VLOOKUP(F62,Tables!D$9:E$17,2,FALSE)</f>
        <v>PTR</v>
      </c>
      <c r="H62" s="60">
        <v>17099569</v>
      </c>
      <c r="I62" s="13">
        <f t="shared" si="15"/>
        <v>125</v>
      </c>
      <c r="J62" s="13">
        <f t="shared" si="16"/>
        <v>0</v>
      </c>
      <c r="K62" s="14">
        <f t="shared" si="17"/>
        <v>3.2750000000000004</v>
      </c>
      <c r="L62" s="14">
        <f t="shared" si="18"/>
        <v>0</v>
      </c>
      <c r="M62" s="15">
        <f t="shared" si="19"/>
        <v>3.2750000000000004</v>
      </c>
      <c r="N62" s="10" t="s">
        <v>65</v>
      </c>
      <c r="O62" s="10" t="s">
        <v>66</v>
      </c>
      <c r="P62" s="16">
        <f>IF(G62="MFP",Tables!B$2,Tables!B$5)</f>
        <v>2.6200000000000001E-2</v>
      </c>
      <c r="Q62" s="17">
        <f>IF(G62="MFP",Tables!B$3,Tables!B$6)</f>
        <v>0.11799999999999999</v>
      </c>
      <c r="R62" s="18">
        <v>236</v>
      </c>
      <c r="S62" s="18">
        <v>361</v>
      </c>
      <c r="T62" s="18">
        <v>0</v>
      </c>
      <c r="U62" s="18">
        <v>0</v>
      </c>
    </row>
    <row r="63" spans="1:55" ht="15.75" outlineLevel="2" x14ac:dyDescent="0.25">
      <c r="A63" s="9" t="s">
        <v>52</v>
      </c>
      <c r="B63" s="9" t="s">
        <v>759</v>
      </c>
      <c r="C63" s="9" t="s">
        <v>52</v>
      </c>
      <c r="D63" s="10" t="s">
        <v>53</v>
      </c>
      <c r="E63" s="11" t="s">
        <v>67</v>
      </c>
      <c r="F63" s="10" t="s">
        <v>15</v>
      </c>
      <c r="G63" s="12" t="str">
        <f>VLOOKUP(F63,Tables!D$9:E$17,2,FALSE)</f>
        <v>PTR</v>
      </c>
      <c r="H63" s="60">
        <v>17099612</v>
      </c>
      <c r="I63" s="13">
        <f t="shared" si="15"/>
        <v>178</v>
      </c>
      <c r="J63" s="13">
        <f t="shared" si="16"/>
        <v>0</v>
      </c>
      <c r="K63" s="14">
        <f t="shared" si="17"/>
        <v>4.6636000000000006</v>
      </c>
      <c r="L63" s="14">
        <f t="shared" si="18"/>
        <v>0</v>
      </c>
      <c r="M63" s="15">
        <f t="shared" si="19"/>
        <v>4.6636000000000006</v>
      </c>
      <c r="N63" s="10" t="s">
        <v>68</v>
      </c>
      <c r="O63" s="10" t="s">
        <v>69</v>
      </c>
      <c r="P63" s="16">
        <f>IF(G63="MFP",Tables!B$2,Tables!B$5)</f>
        <v>2.6200000000000001E-2</v>
      </c>
      <c r="Q63" s="17">
        <f>IF(G63="MFP",Tables!B$3,Tables!B$6)</f>
        <v>0.11799999999999999</v>
      </c>
      <c r="R63" s="18">
        <v>352</v>
      </c>
      <c r="S63" s="18">
        <v>530</v>
      </c>
      <c r="T63" s="18">
        <v>0</v>
      </c>
      <c r="U63" s="18">
        <v>0</v>
      </c>
    </row>
    <row r="64" spans="1:55" ht="15.75" outlineLevel="2" x14ac:dyDescent="0.25">
      <c r="A64" s="9" t="s">
        <v>52</v>
      </c>
      <c r="B64" s="9" t="s">
        <v>759</v>
      </c>
      <c r="C64" s="9" t="s">
        <v>52</v>
      </c>
      <c r="D64" s="10" t="s">
        <v>53</v>
      </c>
      <c r="E64" s="11" t="s">
        <v>682</v>
      </c>
      <c r="F64" s="10" t="s">
        <v>15</v>
      </c>
      <c r="G64" s="12" t="str">
        <f>VLOOKUP(F64,Tables!D$9:E$17,2,FALSE)</f>
        <v>PTR</v>
      </c>
      <c r="H64" s="60">
        <v>17099568</v>
      </c>
      <c r="I64" s="13">
        <f t="shared" si="15"/>
        <v>0</v>
      </c>
      <c r="J64" s="13">
        <f t="shared" si="16"/>
        <v>0</v>
      </c>
      <c r="K64" s="14">
        <f t="shared" si="17"/>
        <v>0</v>
      </c>
      <c r="L64" s="14">
        <f t="shared" si="18"/>
        <v>0</v>
      </c>
      <c r="M64" s="15">
        <f t="shared" si="19"/>
        <v>0</v>
      </c>
      <c r="N64" s="10" t="s">
        <v>62</v>
      </c>
      <c r="O64" s="10" t="s">
        <v>63</v>
      </c>
      <c r="P64" s="16">
        <f>IF(G64="MFP",Tables!B$2,Tables!B$5)</f>
        <v>2.6200000000000001E-2</v>
      </c>
      <c r="Q64" s="17">
        <f>IF(G64="MFP",Tables!B$3,Tables!B$6)</f>
        <v>0.11799999999999999</v>
      </c>
      <c r="R64" s="18">
        <v>0</v>
      </c>
      <c r="S64" s="18">
        <v>0</v>
      </c>
      <c r="T64" s="18">
        <v>0</v>
      </c>
      <c r="U64" s="18">
        <v>0</v>
      </c>
    </row>
    <row r="65" spans="1:55" outlineLevel="1" x14ac:dyDescent="0.3">
      <c r="A65" s="19" t="s">
        <v>784</v>
      </c>
      <c r="B65" s="110"/>
      <c r="C65" s="110"/>
      <c r="D65" s="10"/>
      <c r="E65" s="11"/>
      <c r="F65" s="10"/>
      <c r="G65" s="12"/>
      <c r="H65" s="60"/>
      <c r="I65" s="13"/>
      <c r="J65" s="13"/>
      <c r="K65" s="106"/>
      <c r="L65" s="106"/>
      <c r="M65" s="15">
        <f>SUBTOTAL(9,M57:M64)</f>
        <v>157.65710000000001</v>
      </c>
      <c r="N65" s="10"/>
      <c r="O65" s="10"/>
      <c r="P65" s="16"/>
      <c r="Q65" s="17"/>
      <c r="R65" s="18"/>
      <c r="S65" s="18"/>
      <c r="T65" s="18"/>
      <c r="U65" s="18"/>
      <c r="BC65" s="65">
        <f>SUBTOTAL(9,BC57:BC64)</f>
        <v>0</v>
      </c>
    </row>
    <row r="66" spans="1:55" ht="15.75" outlineLevel="2" x14ac:dyDescent="0.25">
      <c r="A66" s="9" t="s">
        <v>392</v>
      </c>
      <c r="B66" s="109" t="s">
        <v>388</v>
      </c>
      <c r="C66" s="109" t="s">
        <v>389</v>
      </c>
      <c r="D66" s="108" t="s">
        <v>287</v>
      </c>
      <c r="E66" s="107">
        <v>303</v>
      </c>
      <c r="F66" s="10" t="s">
        <v>92</v>
      </c>
      <c r="G66" s="12" t="str">
        <f>VLOOKUP(F66,Tables!D$9:E$17,2,FALSE)</f>
        <v>PTR</v>
      </c>
      <c r="H66" s="60">
        <v>17099513</v>
      </c>
      <c r="I66" s="13">
        <f>SUM(S66-R66)</f>
        <v>0</v>
      </c>
      <c r="J66" s="13">
        <f>SUM(U66-T66)</f>
        <v>0</v>
      </c>
      <c r="K66" s="14">
        <f>SUM(I66*$P66)</f>
        <v>0</v>
      </c>
      <c r="L66" s="14">
        <f>SUM(J66*$Q66)</f>
        <v>0</v>
      </c>
      <c r="M66" s="15">
        <f>K66+L66</f>
        <v>0</v>
      </c>
      <c r="N66" s="10" t="s">
        <v>320</v>
      </c>
      <c r="O66" s="10" t="s">
        <v>321</v>
      </c>
      <c r="P66" s="16">
        <f>IF(G66="MFP",Tables!B$2,Tables!B$5)</f>
        <v>2.6200000000000001E-2</v>
      </c>
      <c r="Q66" s="17">
        <f>IF(G66="MFP",Tables!B$3,Tables!B$6)</f>
        <v>0.11799999999999999</v>
      </c>
      <c r="R66" s="18">
        <v>795</v>
      </c>
      <c r="S66" s="18">
        <v>795</v>
      </c>
      <c r="T66" s="18">
        <v>418</v>
      </c>
      <c r="U66" s="18">
        <v>418</v>
      </c>
    </row>
    <row r="67" spans="1:55" ht="15.75" outlineLevel="2" x14ac:dyDescent="0.25">
      <c r="A67" s="9" t="s">
        <v>392</v>
      </c>
      <c r="B67" s="9" t="s">
        <v>768</v>
      </c>
      <c r="C67" s="9" t="s">
        <v>769</v>
      </c>
      <c r="D67" s="10" t="s">
        <v>287</v>
      </c>
      <c r="E67" s="11">
        <v>303</v>
      </c>
      <c r="F67" s="10" t="s">
        <v>15</v>
      </c>
      <c r="G67" s="12" t="str">
        <f>VLOOKUP(F67,Tables!D$9:E$17,2,FALSE)</f>
        <v>PTR</v>
      </c>
      <c r="H67" s="60">
        <v>17099709</v>
      </c>
      <c r="I67" s="13">
        <f>SUM(S67-R67)</f>
        <v>294</v>
      </c>
      <c r="J67" s="13">
        <f>SUM(U67-T67)</f>
        <v>0</v>
      </c>
      <c r="K67" s="14">
        <f>SUM(I67*$P67)</f>
        <v>7.7027999999999999</v>
      </c>
      <c r="L67" s="14">
        <f>SUM(J67*$Q67)</f>
        <v>0</v>
      </c>
      <c r="M67" s="15">
        <f>K67+L67</f>
        <v>7.7027999999999999</v>
      </c>
      <c r="N67" s="10" t="s">
        <v>393</v>
      </c>
      <c r="O67" s="10" t="s">
        <v>394</v>
      </c>
      <c r="P67" s="16">
        <f>IF(G67="MFP",Tables!B$2,Tables!B$5)</f>
        <v>2.6200000000000001E-2</v>
      </c>
      <c r="Q67" s="17">
        <f>IF(G67="MFP",Tables!B$3,Tables!B$6)</f>
        <v>0.11799999999999999</v>
      </c>
      <c r="R67" s="18">
        <v>870</v>
      </c>
      <c r="S67" s="18">
        <v>1164</v>
      </c>
      <c r="T67" s="18">
        <v>0</v>
      </c>
      <c r="U67" s="18">
        <v>0</v>
      </c>
    </row>
    <row r="68" spans="1:55" ht="15.75" outlineLevel="2" x14ac:dyDescent="0.25">
      <c r="A68" s="9" t="s">
        <v>392</v>
      </c>
      <c r="B68" s="9" t="s">
        <v>767</v>
      </c>
      <c r="C68" s="9" t="s">
        <v>770</v>
      </c>
      <c r="D68" s="10" t="s">
        <v>287</v>
      </c>
      <c r="E68" s="11">
        <v>303</v>
      </c>
      <c r="F68" s="10" t="s">
        <v>15</v>
      </c>
      <c r="G68" s="12" t="str">
        <f>VLOOKUP(F68,Tables!D$9:E$17,2,FALSE)</f>
        <v>PTR</v>
      </c>
      <c r="H68" s="60">
        <v>17099711</v>
      </c>
      <c r="I68" s="13">
        <f>SUM(S68-R68)</f>
        <v>1977</v>
      </c>
      <c r="J68" s="13">
        <f>SUM(U68-T68)</f>
        <v>0</v>
      </c>
      <c r="K68" s="14">
        <f>SUM(I68*$P68)</f>
        <v>51.797400000000003</v>
      </c>
      <c r="L68" s="14">
        <f>SUM(J68*$Q68)</f>
        <v>0</v>
      </c>
      <c r="M68" s="15">
        <f>K68+L68</f>
        <v>51.797400000000003</v>
      </c>
      <c r="N68" s="10" t="s">
        <v>395</v>
      </c>
      <c r="O68" s="10" t="s">
        <v>396</v>
      </c>
      <c r="P68" s="16">
        <f>IF(G68="MFP",Tables!B$2,Tables!B$5)</f>
        <v>2.6200000000000001E-2</v>
      </c>
      <c r="Q68" s="17">
        <f>IF(G68="MFP",Tables!B$3,Tables!B$6)</f>
        <v>0.11799999999999999</v>
      </c>
      <c r="R68" s="18">
        <v>4952</v>
      </c>
      <c r="S68" s="18">
        <v>6929</v>
      </c>
      <c r="T68" s="18">
        <v>0</v>
      </c>
      <c r="U68" s="18">
        <v>0</v>
      </c>
    </row>
    <row r="69" spans="1:55" outlineLevel="1" x14ac:dyDescent="0.3">
      <c r="A69" s="19" t="s">
        <v>785</v>
      </c>
      <c r="B69" s="110"/>
      <c r="C69" s="110"/>
      <c r="D69" s="10"/>
      <c r="E69" s="11"/>
      <c r="F69" s="10"/>
      <c r="G69" s="12"/>
      <c r="H69" s="60"/>
      <c r="I69" s="13"/>
      <c r="J69" s="13"/>
      <c r="K69" s="106"/>
      <c r="L69" s="106"/>
      <c r="M69" s="15">
        <f>SUBTOTAL(9,M66:M68)</f>
        <v>59.500200000000007</v>
      </c>
      <c r="N69" s="10"/>
      <c r="O69" s="10"/>
      <c r="P69" s="16"/>
      <c r="Q69" s="17"/>
      <c r="R69" s="18"/>
      <c r="S69" s="18"/>
      <c r="T69" s="18"/>
      <c r="U69" s="18"/>
      <c r="BC69" s="65">
        <f>SUBTOTAL(9,BC66:BC68)</f>
        <v>0</v>
      </c>
    </row>
    <row r="70" spans="1:55" ht="30" outlineLevel="2" x14ac:dyDescent="0.25">
      <c r="A70" s="9" t="s">
        <v>304</v>
      </c>
      <c r="B70" s="9" t="s">
        <v>305</v>
      </c>
      <c r="C70" s="9" t="s">
        <v>306</v>
      </c>
      <c r="D70" s="10" t="s">
        <v>230</v>
      </c>
      <c r="E70" s="11">
        <v>311</v>
      </c>
      <c r="F70" s="10" t="s">
        <v>15</v>
      </c>
      <c r="G70" s="12" t="str">
        <f>VLOOKUP(F70,Tables!D$9:E$17,2,FALSE)</f>
        <v>PTR</v>
      </c>
      <c r="H70" s="60">
        <v>17099570</v>
      </c>
      <c r="I70" s="13">
        <f>SUM(S70-R70)</f>
        <v>178</v>
      </c>
      <c r="J70" s="13">
        <f>SUM(U70-T70)</f>
        <v>0</v>
      </c>
      <c r="K70" s="14">
        <f>SUM(I70*$P70)</f>
        <v>4.6636000000000006</v>
      </c>
      <c r="L70" s="14">
        <f>SUM(J70*$Q70)</f>
        <v>0</v>
      </c>
      <c r="M70" s="15">
        <f>K70+L70</f>
        <v>4.6636000000000006</v>
      </c>
      <c r="N70" s="10" t="s">
        <v>309</v>
      </c>
      <c r="O70" s="10" t="s">
        <v>310</v>
      </c>
      <c r="P70" s="16">
        <f>IF(G70="MFP",Tables!B$2,Tables!B$5)</f>
        <v>2.6200000000000001E-2</v>
      </c>
      <c r="Q70" s="17">
        <f>IF(G70="MFP",Tables!B$3,Tables!B$6)</f>
        <v>0.11799999999999999</v>
      </c>
      <c r="R70" s="18">
        <v>1388</v>
      </c>
      <c r="S70" s="18">
        <v>1566</v>
      </c>
      <c r="T70" s="18">
        <v>0</v>
      </c>
      <c r="U70" s="18">
        <v>0</v>
      </c>
    </row>
    <row r="71" spans="1:55" ht="30" outlineLevel="2" x14ac:dyDescent="0.25">
      <c r="A71" s="9" t="s">
        <v>304</v>
      </c>
      <c r="B71" s="9" t="s">
        <v>305</v>
      </c>
      <c r="C71" s="9" t="s">
        <v>306</v>
      </c>
      <c r="D71" s="10" t="s">
        <v>230</v>
      </c>
      <c r="E71" s="11">
        <v>312</v>
      </c>
      <c r="F71" s="10" t="s">
        <v>15</v>
      </c>
      <c r="G71" s="12" t="str">
        <f>VLOOKUP(F71,Tables!D$9:E$17,2,FALSE)</f>
        <v>PTR</v>
      </c>
      <c r="H71" s="60">
        <v>17099618</v>
      </c>
      <c r="I71" s="13">
        <f>SUM(S71-R71)</f>
        <v>1464</v>
      </c>
      <c r="J71" s="13">
        <f>SUM(U71-T71)</f>
        <v>0</v>
      </c>
      <c r="K71" s="14">
        <f>SUM(I71*$P71)</f>
        <v>38.3568</v>
      </c>
      <c r="L71" s="14">
        <f>SUM(J71*$Q71)</f>
        <v>0</v>
      </c>
      <c r="M71" s="15">
        <f>K71+L71</f>
        <v>38.3568</v>
      </c>
      <c r="N71" s="10" t="s">
        <v>311</v>
      </c>
      <c r="O71" s="10" t="s">
        <v>312</v>
      </c>
      <c r="P71" s="16">
        <f>IF(G71="MFP",Tables!B$2,Tables!B$5)</f>
        <v>2.6200000000000001E-2</v>
      </c>
      <c r="Q71" s="17">
        <f>IF(G71="MFP",Tables!B$3,Tables!B$6)</f>
        <v>0.11799999999999999</v>
      </c>
      <c r="R71" s="18">
        <v>3051</v>
      </c>
      <c r="S71" s="18">
        <v>4515</v>
      </c>
      <c r="T71" s="18">
        <v>0</v>
      </c>
      <c r="U71" s="18">
        <v>0</v>
      </c>
    </row>
    <row r="72" spans="1:55" ht="30" outlineLevel="2" x14ac:dyDescent="0.25">
      <c r="A72" s="9" t="s">
        <v>304</v>
      </c>
      <c r="B72" s="9" t="s">
        <v>305</v>
      </c>
      <c r="C72" s="9" t="s">
        <v>306</v>
      </c>
      <c r="D72" s="10" t="s">
        <v>230</v>
      </c>
      <c r="E72" s="11">
        <v>313</v>
      </c>
      <c r="F72" s="10" t="s">
        <v>15</v>
      </c>
      <c r="G72" s="12" t="str">
        <f>VLOOKUP(F72,Tables!D$9:E$17,2,FALSE)</f>
        <v>PTR</v>
      </c>
      <c r="H72" s="60">
        <v>17099617</v>
      </c>
      <c r="I72" s="13">
        <f>SUM(S72-R72)</f>
        <v>172</v>
      </c>
      <c r="J72" s="13">
        <f>SUM(U72-T72)</f>
        <v>0</v>
      </c>
      <c r="K72" s="14">
        <f>SUM(I72*$P72)</f>
        <v>4.5064000000000002</v>
      </c>
      <c r="L72" s="14">
        <f>SUM(J72*$Q72)</f>
        <v>0</v>
      </c>
      <c r="M72" s="15">
        <f>K72+L72</f>
        <v>4.5064000000000002</v>
      </c>
      <c r="N72" s="10" t="s">
        <v>307</v>
      </c>
      <c r="O72" s="10" t="s">
        <v>308</v>
      </c>
      <c r="P72" s="16">
        <f>IF(G72="MFP",Tables!B$2,Tables!B$5)</f>
        <v>2.6200000000000001E-2</v>
      </c>
      <c r="Q72" s="17">
        <f>IF(G72="MFP",Tables!B$3,Tables!B$6)</f>
        <v>0.11799999999999999</v>
      </c>
      <c r="R72" s="18">
        <v>311</v>
      </c>
      <c r="S72" s="18">
        <v>483</v>
      </c>
      <c r="T72" s="18">
        <v>0</v>
      </c>
      <c r="U72" s="18">
        <v>0</v>
      </c>
    </row>
    <row r="73" spans="1:55" ht="30" outlineLevel="2" x14ac:dyDescent="0.25">
      <c r="A73" s="9" t="s">
        <v>304</v>
      </c>
      <c r="B73" s="9" t="s">
        <v>427</v>
      </c>
      <c r="C73" s="9" t="s">
        <v>441</v>
      </c>
      <c r="D73" s="10" t="s">
        <v>230</v>
      </c>
      <c r="E73" s="11">
        <v>307</v>
      </c>
      <c r="F73" s="10" t="s">
        <v>432</v>
      </c>
      <c r="G73" s="12" t="str">
        <f>VLOOKUP(F73,Tables!D$9:E$17,2,FALSE)</f>
        <v>MFP</v>
      </c>
      <c r="H73" s="60">
        <v>17099454</v>
      </c>
      <c r="I73" s="13">
        <f>SUM(S73-R73)</f>
        <v>111860</v>
      </c>
      <c r="J73" s="13">
        <f>SUM(U73-T73)</f>
        <v>5115</v>
      </c>
      <c r="K73" s="14">
        <f>SUM(I73*$P73)</f>
        <v>2315.502</v>
      </c>
      <c r="L73" s="14">
        <f>SUM(J73*$Q73)</f>
        <v>445.005</v>
      </c>
      <c r="M73" s="15">
        <f>K73+L73</f>
        <v>2760.5070000000001</v>
      </c>
      <c r="N73" s="10" t="s">
        <v>448</v>
      </c>
      <c r="O73" s="10" t="s">
        <v>449</v>
      </c>
      <c r="P73" s="16">
        <f>IF(G73="MFP",Tables!B$2,Tables!B$5)</f>
        <v>2.07E-2</v>
      </c>
      <c r="Q73" s="17">
        <f>IF(G73="MFP",Tables!B$3,Tables!B$6)</f>
        <v>8.6999999999999994E-2</v>
      </c>
      <c r="R73" s="18">
        <v>42457</v>
      </c>
      <c r="S73" s="18">
        <v>154317</v>
      </c>
      <c r="T73" s="18">
        <v>4808</v>
      </c>
      <c r="U73" s="18">
        <v>9923</v>
      </c>
    </row>
    <row r="74" spans="1:55" outlineLevel="1" x14ac:dyDescent="0.3">
      <c r="A74" s="19" t="s">
        <v>786</v>
      </c>
      <c r="B74" s="110"/>
      <c r="C74" s="110"/>
      <c r="D74" s="10"/>
      <c r="E74" s="11"/>
      <c r="F74" s="10"/>
      <c r="G74" s="12"/>
      <c r="H74" s="60"/>
      <c r="I74" s="13"/>
      <c r="J74" s="13"/>
      <c r="K74" s="106"/>
      <c r="L74" s="106"/>
      <c r="M74" s="15">
        <f>SUBTOTAL(9,M70:M73)</f>
        <v>2808.0338000000002</v>
      </c>
      <c r="N74" s="10"/>
      <c r="O74" s="10"/>
      <c r="P74" s="16"/>
      <c r="Q74" s="17"/>
      <c r="R74" s="18"/>
      <c r="S74" s="18"/>
      <c r="T74" s="18"/>
      <c r="U74" s="18"/>
      <c r="BC74" s="65">
        <f>SUBTOTAL(9,BC70:BC73)</f>
        <v>0</v>
      </c>
    </row>
    <row r="75" spans="1:55" ht="30" outlineLevel="2" x14ac:dyDescent="0.25">
      <c r="A75" s="9" t="s">
        <v>612</v>
      </c>
      <c r="B75" s="9" t="s">
        <v>613</v>
      </c>
      <c r="C75" s="9" t="s">
        <v>612</v>
      </c>
      <c r="D75" s="10" t="s">
        <v>612</v>
      </c>
      <c r="E75" s="11">
        <v>201</v>
      </c>
      <c r="F75" s="10" t="s">
        <v>54</v>
      </c>
      <c r="G75" s="12" t="str">
        <f>VLOOKUP(F75,Tables!D$9:E$17,2,FALSE)</f>
        <v>MFP</v>
      </c>
      <c r="H75" s="60">
        <v>17099534</v>
      </c>
      <c r="I75" s="13">
        <f>SUM(S75-R75)</f>
        <v>1936</v>
      </c>
      <c r="J75" s="13">
        <f>SUM(U75-T75)</f>
        <v>1217</v>
      </c>
      <c r="K75" s="14">
        <f>SUM(I75*$P75)</f>
        <v>40.075200000000002</v>
      </c>
      <c r="L75" s="14">
        <f>SUM(J75*$Q75)</f>
        <v>105.87899999999999</v>
      </c>
      <c r="M75" s="15">
        <f>K75+L75</f>
        <v>145.95419999999999</v>
      </c>
      <c r="N75" s="10" t="s">
        <v>614</v>
      </c>
      <c r="O75" s="10" t="s">
        <v>615</v>
      </c>
      <c r="P75" s="16">
        <f>IF(G75="MFP",Tables!B$2,Tables!B$5)</f>
        <v>2.07E-2</v>
      </c>
      <c r="Q75" s="17">
        <f>IF(G75="MFP",Tables!B$3,Tables!B$6)</f>
        <v>8.6999999999999994E-2</v>
      </c>
      <c r="R75" s="18">
        <v>7497</v>
      </c>
      <c r="S75" s="18">
        <v>9433</v>
      </c>
      <c r="T75" s="18">
        <v>5029</v>
      </c>
      <c r="U75" s="18">
        <v>6246</v>
      </c>
    </row>
    <row r="76" spans="1:55" ht="30" outlineLevel="2" x14ac:dyDescent="0.25">
      <c r="A76" s="9" t="s">
        <v>612</v>
      </c>
      <c r="B76" s="9" t="s">
        <v>613</v>
      </c>
      <c r="C76" s="9" t="s">
        <v>612</v>
      </c>
      <c r="D76" s="10" t="s">
        <v>612</v>
      </c>
      <c r="E76" s="11">
        <v>201</v>
      </c>
      <c r="F76" s="10" t="s">
        <v>15</v>
      </c>
      <c r="G76" s="12" t="str">
        <f>VLOOKUP(F76,Tables!D$9:E$17,2,FALSE)</f>
        <v>PTR</v>
      </c>
      <c r="H76" s="60">
        <v>17099602</v>
      </c>
      <c r="I76" s="13">
        <f>SUM(S76-R76)</f>
        <v>597</v>
      </c>
      <c r="J76" s="13">
        <f>SUM(U76-T76)</f>
        <v>0</v>
      </c>
      <c r="K76" s="14">
        <f>SUM(I76*$P76)</f>
        <v>15.641400000000001</v>
      </c>
      <c r="L76" s="14">
        <f>SUM(J76*$Q76)</f>
        <v>0</v>
      </c>
      <c r="M76" s="15">
        <f>K76+L76</f>
        <v>15.641400000000001</v>
      </c>
      <c r="N76" s="10" t="s">
        <v>616</v>
      </c>
      <c r="O76" s="10" t="s">
        <v>617</v>
      </c>
      <c r="P76" s="16">
        <f>IF(G76="MFP",Tables!B$2,Tables!B$5)</f>
        <v>2.6200000000000001E-2</v>
      </c>
      <c r="Q76" s="17">
        <f>IF(G76="MFP",Tables!B$3,Tables!B$6)</f>
        <v>0.11799999999999999</v>
      </c>
      <c r="R76" s="18">
        <v>3026</v>
      </c>
      <c r="S76" s="18">
        <v>3623</v>
      </c>
      <c r="T76" s="18">
        <v>0</v>
      </c>
      <c r="U76" s="18">
        <v>0</v>
      </c>
    </row>
    <row r="77" spans="1:55" ht="30" outlineLevel="2" x14ac:dyDescent="0.25">
      <c r="A77" s="9" t="s">
        <v>612</v>
      </c>
      <c r="B77" s="9" t="s">
        <v>613</v>
      </c>
      <c r="C77" s="9" t="s">
        <v>612</v>
      </c>
      <c r="D77" s="10" t="s">
        <v>612</v>
      </c>
      <c r="E77" s="11">
        <v>201</v>
      </c>
      <c r="F77" s="10" t="s">
        <v>15</v>
      </c>
      <c r="G77" s="12" t="str">
        <f>VLOOKUP(F77,Tables!D$9:E$17,2,FALSE)</f>
        <v>PTR</v>
      </c>
      <c r="H77" s="60">
        <v>17099694</v>
      </c>
      <c r="I77" s="13">
        <f>SUM(S77-R77)</f>
        <v>22</v>
      </c>
      <c r="J77" s="13">
        <f>SUM(U77-T77)</f>
        <v>0</v>
      </c>
      <c r="K77" s="14">
        <f>SUM(I77*$P77)</f>
        <v>0.57640000000000002</v>
      </c>
      <c r="L77" s="14">
        <f>SUM(J77*$Q77)</f>
        <v>0</v>
      </c>
      <c r="M77" s="15">
        <f>K77+L77</f>
        <v>0.57640000000000002</v>
      </c>
      <c r="N77" s="10" t="s">
        <v>618</v>
      </c>
      <c r="O77" s="10" t="s">
        <v>619</v>
      </c>
      <c r="P77" s="16">
        <f>IF(G77="MFP",Tables!B$2,Tables!B$5)</f>
        <v>2.6200000000000001E-2</v>
      </c>
      <c r="Q77" s="17">
        <f>IF(G77="MFP",Tables!B$3,Tables!B$6)</f>
        <v>0.11799999999999999</v>
      </c>
      <c r="R77" s="18">
        <v>74</v>
      </c>
      <c r="S77" s="18">
        <v>96</v>
      </c>
      <c r="T77" s="18">
        <v>0</v>
      </c>
      <c r="U77" s="18">
        <v>0</v>
      </c>
    </row>
    <row r="78" spans="1:55" outlineLevel="1" x14ac:dyDescent="0.3">
      <c r="A78" s="19" t="s">
        <v>787</v>
      </c>
      <c r="B78" s="110"/>
      <c r="C78" s="110"/>
      <c r="D78" s="10"/>
      <c r="E78" s="11"/>
      <c r="F78" s="10"/>
      <c r="G78" s="12"/>
      <c r="H78" s="60"/>
      <c r="I78" s="13"/>
      <c r="J78" s="13"/>
      <c r="K78" s="106"/>
      <c r="L78" s="106"/>
      <c r="M78" s="15">
        <f>SUBTOTAL(9,M75:M77)</f>
        <v>162.172</v>
      </c>
      <c r="N78" s="10"/>
      <c r="O78" s="10"/>
      <c r="P78" s="16"/>
      <c r="Q78" s="17"/>
      <c r="R78" s="18"/>
      <c r="S78" s="18"/>
      <c r="T78" s="18"/>
      <c r="U78" s="18"/>
      <c r="BC78" s="65">
        <f>SUBTOTAL(9,BC75:BC77)</f>
        <v>0</v>
      </c>
    </row>
    <row r="79" spans="1:55" ht="15.75" outlineLevel="2" x14ac:dyDescent="0.25">
      <c r="A79" s="9" t="s">
        <v>536</v>
      </c>
      <c r="B79" s="9" t="s">
        <v>537</v>
      </c>
      <c r="C79" s="9" t="s">
        <v>538</v>
      </c>
      <c r="D79" s="10" t="s">
        <v>160</v>
      </c>
      <c r="E79" s="11">
        <v>202</v>
      </c>
      <c r="F79" s="10" t="s">
        <v>161</v>
      </c>
      <c r="G79" s="12" t="str">
        <f>VLOOKUP(F79,Tables!D$9:E$17,2,FALSE)</f>
        <v>MFP</v>
      </c>
      <c r="H79" s="60">
        <v>17099532</v>
      </c>
      <c r="I79" s="13">
        <f>SUM(S79-R79)</f>
        <v>538</v>
      </c>
      <c r="J79" s="13">
        <f>SUM(U79-T79)</f>
        <v>0</v>
      </c>
      <c r="K79" s="14">
        <f>SUM(I79*$P79)</f>
        <v>11.1366</v>
      </c>
      <c r="L79" s="14">
        <f>SUM(J79*$Q79)</f>
        <v>0</v>
      </c>
      <c r="M79" s="15">
        <f>K79+L79</f>
        <v>11.1366</v>
      </c>
      <c r="N79" s="10" t="s">
        <v>539</v>
      </c>
      <c r="O79" s="10" t="s">
        <v>540</v>
      </c>
      <c r="P79" s="16">
        <f>IF(G79="MFP",Tables!B$2,Tables!B$5)</f>
        <v>2.07E-2</v>
      </c>
      <c r="Q79" s="17">
        <f>IF(G79="MFP",Tables!B$3,Tables!B$6)</f>
        <v>8.6999999999999994E-2</v>
      </c>
      <c r="R79" s="18">
        <v>3342</v>
      </c>
      <c r="S79" s="18">
        <v>3880</v>
      </c>
      <c r="T79" s="18">
        <v>0</v>
      </c>
      <c r="U79" s="18">
        <v>0</v>
      </c>
    </row>
    <row r="80" spans="1:55" outlineLevel="1" x14ac:dyDescent="0.3">
      <c r="A80" s="19" t="s">
        <v>788</v>
      </c>
      <c r="B80" s="110"/>
      <c r="C80" s="110"/>
      <c r="D80" s="10"/>
      <c r="E80" s="11"/>
      <c r="F80" s="10"/>
      <c r="G80" s="12"/>
      <c r="H80" s="60"/>
      <c r="I80" s="13"/>
      <c r="J80" s="13"/>
      <c r="K80" s="106"/>
      <c r="L80" s="106"/>
      <c r="M80" s="15">
        <f>SUBTOTAL(9,M79:M79)</f>
        <v>11.1366</v>
      </c>
      <c r="N80" s="10"/>
      <c r="O80" s="10"/>
      <c r="P80" s="16"/>
      <c r="Q80" s="17"/>
      <c r="R80" s="18"/>
      <c r="S80" s="18"/>
      <c r="T80" s="18"/>
      <c r="U80" s="18"/>
      <c r="BC80" s="65">
        <f>SUBTOTAL(9,BC79:BC79)</f>
        <v>0</v>
      </c>
    </row>
    <row r="81" spans="1:55" ht="15.75" outlineLevel="2" x14ac:dyDescent="0.25">
      <c r="A81" s="9" t="s">
        <v>70</v>
      </c>
      <c r="B81" s="9" t="s">
        <v>71</v>
      </c>
      <c r="C81" s="9" t="s">
        <v>70</v>
      </c>
      <c r="D81" s="10" t="s">
        <v>53</v>
      </c>
      <c r="E81" s="11">
        <v>303</v>
      </c>
      <c r="F81" s="10" t="s">
        <v>15</v>
      </c>
      <c r="G81" s="12" t="str">
        <f>VLOOKUP(F81,Tables!D$9:E$17,2,FALSE)</f>
        <v>PTR</v>
      </c>
      <c r="H81" s="60">
        <v>17099615</v>
      </c>
      <c r="I81" s="13">
        <f>SUM(S81-R81)</f>
        <v>2309</v>
      </c>
      <c r="J81" s="13">
        <f>SUM(U81-T81)</f>
        <v>0</v>
      </c>
      <c r="K81" s="14">
        <f>SUM(I81*$P81)</f>
        <v>60.495800000000003</v>
      </c>
      <c r="L81" s="14">
        <f>SUM(J81*$Q81)</f>
        <v>0</v>
      </c>
      <c r="M81" s="15">
        <f>K81+L81</f>
        <v>60.495800000000003</v>
      </c>
      <c r="N81" s="10" t="s">
        <v>78</v>
      </c>
      <c r="O81" s="10" t="s">
        <v>79</v>
      </c>
      <c r="P81" s="16">
        <f>IF(G81="MFP",Tables!B$2,Tables!B$5)</f>
        <v>2.6200000000000001E-2</v>
      </c>
      <c r="Q81" s="17">
        <f>IF(G81="MFP",Tables!B$3,Tables!B$6)</f>
        <v>0.11799999999999999</v>
      </c>
      <c r="R81" s="18">
        <v>4670</v>
      </c>
      <c r="S81" s="18">
        <v>6979</v>
      </c>
      <c r="T81" s="18">
        <v>0</v>
      </c>
      <c r="U81" s="18">
        <v>0</v>
      </c>
    </row>
    <row r="82" spans="1:55" ht="15.75" outlineLevel="2" x14ac:dyDescent="0.25">
      <c r="A82" s="9" t="s">
        <v>70</v>
      </c>
      <c r="B82" s="9" t="s">
        <v>71</v>
      </c>
      <c r="C82" s="9" t="s">
        <v>70</v>
      </c>
      <c r="D82" s="10" t="s">
        <v>53</v>
      </c>
      <c r="E82" s="11" t="s">
        <v>72</v>
      </c>
      <c r="F82" s="10" t="s">
        <v>24</v>
      </c>
      <c r="G82" s="12" t="str">
        <f>VLOOKUP(F82,Tables!D$9:E$17,2,FALSE)</f>
        <v>MFP</v>
      </c>
      <c r="H82" s="60">
        <v>17099462</v>
      </c>
      <c r="I82" s="13">
        <f>SUM(S82-R82)</f>
        <v>7934</v>
      </c>
      <c r="J82" s="13">
        <f>SUM(U82-T82)</f>
        <v>511</v>
      </c>
      <c r="K82" s="14">
        <f>SUM(I82*$P82)</f>
        <v>164.2338</v>
      </c>
      <c r="L82" s="14">
        <f>SUM(J82*$Q82)</f>
        <v>44.456999999999994</v>
      </c>
      <c r="M82" s="15">
        <f>K82+L82</f>
        <v>208.6908</v>
      </c>
      <c r="N82" s="10" t="s">
        <v>73</v>
      </c>
      <c r="O82" s="10" t="s">
        <v>74</v>
      </c>
      <c r="P82" s="16">
        <f>IF(G82="MFP",Tables!B$2,Tables!B$5)</f>
        <v>2.07E-2</v>
      </c>
      <c r="Q82" s="17">
        <f>IF(G82="MFP",Tables!B$3,Tables!B$6)</f>
        <v>8.6999999999999994E-2</v>
      </c>
      <c r="R82" s="18">
        <v>26432</v>
      </c>
      <c r="S82" s="18">
        <v>34366</v>
      </c>
      <c r="T82" s="18">
        <v>522</v>
      </c>
      <c r="U82" s="18">
        <v>1033</v>
      </c>
    </row>
    <row r="83" spans="1:55" ht="15.75" outlineLevel="2" x14ac:dyDescent="0.25">
      <c r="A83" s="9" t="s">
        <v>70</v>
      </c>
      <c r="B83" s="9" t="s">
        <v>71</v>
      </c>
      <c r="C83" s="9" t="s">
        <v>70</v>
      </c>
      <c r="D83" s="10" t="s">
        <v>53</v>
      </c>
      <c r="E83" s="11" t="s">
        <v>75</v>
      </c>
      <c r="F83" s="10" t="s">
        <v>15</v>
      </c>
      <c r="G83" s="12" t="str">
        <f>VLOOKUP(F83,Tables!D$9:E$17,2,FALSE)</f>
        <v>PTR</v>
      </c>
      <c r="H83" s="60">
        <v>17099616</v>
      </c>
      <c r="I83" s="13">
        <f>SUM(S83-R83)</f>
        <v>1619</v>
      </c>
      <c r="J83" s="13">
        <f>SUM(U83-T83)</f>
        <v>0</v>
      </c>
      <c r="K83" s="14">
        <f>SUM(I83*$P83)</f>
        <v>42.4178</v>
      </c>
      <c r="L83" s="14">
        <f>SUM(J83*$Q83)</f>
        <v>0</v>
      </c>
      <c r="M83" s="15">
        <f>K83+L83</f>
        <v>42.4178</v>
      </c>
      <c r="N83" s="10" t="s">
        <v>76</v>
      </c>
      <c r="O83" s="10" t="s">
        <v>77</v>
      </c>
      <c r="P83" s="16">
        <f>IF(G83="MFP",Tables!B$2,Tables!B$5)</f>
        <v>2.6200000000000001E-2</v>
      </c>
      <c r="Q83" s="17">
        <f>IF(G83="MFP",Tables!B$3,Tables!B$6)</f>
        <v>0.11799999999999999</v>
      </c>
      <c r="R83" s="18">
        <v>3483</v>
      </c>
      <c r="S83" s="18">
        <v>5102</v>
      </c>
      <c r="T83" s="18">
        <v>0</v>
      </c>
      <c r="U83" s="18">
        <v>0</v>
      </c>
    </row>
    <row r="84" spans="1:55" outlineLevel="1" x14ac:dyDescent="0.3">
      <c r="A84" s="19" t="s">
        <v>789</v>
      </c>
      <c r="B84" s="110"/>
      <c r="C84" s="110"/>
      <c r="D84" s="10"/>
      <c r="E84" s="11"/>
      <c r="F84" s="10"/>
      <c r="G84" s="12"/>
      <c r="H84" s="60"/>
      <c r="I84" s="13"/>
      <c r="J84" s="13"/>
      <c r="K84" s="106"/>
      <c r="L84" s="106"/>
      <c r="M84" s="15">
        <f>SUBTOTAL(9,M81:M83)</f>
        <v>311.6044</v>
      </c>
      <c r="N84" s="10"/>
      <c r="O84" s="10"/>
      <c r="P84" s="16"/>
      <c r="Q84" s="17"/>
      <c r="R84" s="18"/>
      <c r="S84" s="18"/>
      <c r="T84" s="18"/>
      <c r="U84" s="18"/>
      <c r="BC84" s="65">
        <f>SUBTOTAL(9,BC81:BC83)</f>
        <v>0</v>
      </c>
    </row>
    <row r="85" spans="1:55" ht="15.75" outlineLevel="2" x14ac:dyDescent="0.25">
      <c r="A85" s="9" t="s">
        <v>80</v>
      </c>
      <c r="B85" s="9" t="s">
        <v>81</v>
      </c>
      <c r="C85" s="9" t="s">
        <v>82</v>
      </c>
      <c r="D85" s="10" t="s">
        <v>83</v>
      </c>
      <c r="E85" s="11">
        <v>410</v>
      </c>
      <c r="F85" s="10" t="s">
        <v>15</v>
      </c>
      <c r="G85" s="12" t="str">
        <f>VLOOKUP(F85,Tables!D$9:E$17,2,FALSE)</f>
        <v>PTR</v>
      </c>
      <c r="H85" s="60">
        <v>17099752</v>
      </c>
      <c r="I85" s="13">
        <f>SUM(S85-R85)</f>
        <v>124</v>
      </c>
      <c r="J85" s="13">
        <f>SUM(U85-T85)</f>
        <v>0</v>
      </c>
      <c r="K85" s="14">
        <f>SUM(I85*$P85)</f>
        <v>3.2488000000000001</v>
      </c>
      <c r="L85" s="14">
        <f>SUM(J85*$Q85)</f>
        <v>0</v>
      </c>
      <c r="M85" s="15">
        <f>K85+L85</f>
        <v>3.2488000000000001</v>
      </c>
      <c r="N85" s="10" t="s">
        <v>89</v>
      </c>
      <c r="O85" s="10" t="s">
        <v>90</v>
      </c>
      <c r="P85" s="16">
        <f>IF(G85="MFP",Tables!B$2,Tables!B$5)</f>
        <v>2.6200000000000001E-2</v>
      </c>
      <c r="Q85" s="17">
        <f>IF(G85="MFP",Tables!B$3,Tables!B$6)</f>
        <v>0.11799999999999999</v>
      </c>
      <c r="R85" s="18">
        <v>346</v>
      </c>
      <c r="S85" s="18">
        <v>470</v>
      </c>
      <c r="T85" s="18">
        <v>0</v>
      </c>
      <c r="U85" s="18">
        <v>0</v>
      </c>
    </row>
    <row r="86" spans="1:55" ht="15.75" outlineLevel="2" x14ac:dyDescent="0.25">
      <c r="A86" s="9" t="s">
        <v>80</v>
      </c>
      <c r="B86" s="9" t="s">
        <v>81</v>
      </c>
      <c r="C86" s="9" t="s">
        <v>82</v>
      </c>
      <c r="D86" s="10" t="s">
        <v>83</v>
      </c>
      <c r="E86" s="11">
        <v>609</v>
      </c>
      <c r="F86" s="10" t="s">
        <v>84</v>
      </c>
      <c r="G86" s="12" t="str">
        <f>VLOOKUP(F86,Tables!D$9:E$17,2,FALSE)</f>
        <v>MFP</v>
      </c>
      <c r="H86" s="60">
        <v>17099782</v>
      </c>
      <c r="I86" s="13">
        <f>SUM(S86-R86)</f>
        <v>11476</v>
      </c>
      <c r="J86" s="13">
        <f>SUM(U86-T86)</f>
        <v>2029</v>
      </c>
      <c r="K86" s="14">
        <f>SUM(I86*$P86)</f>
        <v>237.5532</v>
      </c>
      <c r="L86" s="14">
        <f>SUM(J86*$Q86)</f>
        <v>176.523</v>
      </c>
      <c r="M86" s="15">
        <f>K86+L86</f>
        <v>414.07619999999997</v>
      </c>
      <c r="N86" s="10" t="s">
        <v>85</v>
      </c>
      <c r="O86" s="10" t="s">
        <v>86</v>
      </c>
      <c r="P86" s="16">
        <f>IF(G86="MFP",Tables!B$2,Tables!B$5)</f>
        <v>2.07E-2</v>
      </c>
      <c r="Q86" s="17">
        <f>IF(G86="MFP",Tables!B$3,Tables!B$6)</f>
        <v>8.6999999999999994E-2</v>
      </c>
      <c r="R86" s="18">
        <v>74539</v>
      </c>
      <c r="S86" s="18">
        <v>86015</v>
      </c>
      <c r="T86" s="18">
        <v>21940</v>
      </c>
      <c r="U86" s="18">
        <v>23969</v>
      </c>
    </row>
    <row r="87" spans="1:55" ht="15.75" outlineLevel="2" x14ac:dyDescent="0.25">
      <c r="A87" s="9" t="s">
        <v>80</v>
      </c>
      <c r="B87" s="9" t="s">
        <v>81</v>
      </c>
      <c r="C87" s="9" t="s">
        <v>82</v>
      </c>
      <c r="D87" s="10" t="s">
        <v>83</v>
      </c>
      <c r="E87" s="11">
        <v>609</v>
      </c>
      <c r="F87" s="10" t="s">
        <v>15</v>
      </c>
      <c r="G87" s="12" t="str">
        <f>VLOOKUP(F87,Tables!D$9:E$17,2,FALSE)</f>
        <v>PTR</v>
      </c>
      <c r="H87" s="60">
        <v>17099621</v>
      </c>
      <c r="I87" s="13">
        <f>SUM(S87-R87)</f>
        <v>449</v>
      </c>
      <c r="J87" s="13">
        <f>SUM(U87-T87)</f>
        <v>0</v>
      </c>
      <c r="K87" s="14">
        <f>SUM(I87*$P87)</f>
        <v>11.7638</v>
      </c>
      <c r="L87" s="14">
        <f>SUM(J87*$Q87)</f>
        <v>0</v>
      </c>
      <c r="M87" s="15">
        <f>K87+L87</f>
        <v>11.7638</v>
      </c>
      <c r="N87" s="10" t="s">
        <v>87</v>
      </c>
      <c r="O87" s="10" t="s">
        <v>88</v>
      </c>
      <c r="P87" s="16">
        <f>IF(G87="MFP",Tables!B$2,Tables!B$5)</f>
        <v>2.6200000000000001E-2</v>
      </c>
      <c r="Q87" s="17">
        <f>IF(G87="MFP",Tables!B$3,Tables!B$6)</f>
        <v>0.11799999999999999</v>
      </c>
      <c r="R87" s="18">
        <v>330</v>
      </c>
      <c r="S87" s="18">
        <v>779</v>
      </c>
      <c r="T87" s="18">
        <v>0</v>
      </c>
      <c r="U87" s="18">
        <v>0</v>
      </c>
    </row>
    <row r="88" spans="1:55" ht="15.75" outlineLevel="2" x14ac:dyDescent="0.25">
      <c r="A88" s="9" t="s">
        <v>80</v>
      </c>
      <c r="B88" s="9" t="s">
        <v>81</v>
      </c>
      <c r="C88" s="9" t="s">
        <v>82</v>
      </c>
      <c r="D88" s="10" t="s">
        <v>83</v>
      </c>
      <c r="E88" s="11" t="s">
        <v>91</v>
      </c>
      <c r="F88" s="10" t="s">
        <v>92</v>
      </c>
      <c r="G88" s="12" t="str">
        <f>VLOOKUP(F88,Tables!D$9:E$17,2,FALSE)</f>
        <v>PTR</v>
      </c>
      <c r="H88" s="60">
        <v>17099740</v>
      </c>
      <c r="I88" s="13">
        <f>SUM(S88-R88)</f>
        <v>436</v>
      </c>
      <c r="J88" s="13">
        <f>SUM(U88-T88)</f>
        <v>3</v>
      </c>
      <c r="K88" s="14">
        <f>SUM(I88*$P88)</f>
        <v>11.423200000000001</v>
      </c>
      <c r="L88" s="14">
        <f>SUM(J88*$Q88)</f>
        <v>0.35399999999999998</v>
      </c>
      <c r="M88" s="15">
        <f>K88+L88</f>
        <v>11.777200000000001</v>
      </c>
      <c r="N88" s="10" t="s">
        <v>93</v>
      </c>
      <c r="O88" s="10" t="s">
        <v>94</v>
      </c>
      <c r="P88" s="16">
        <f>IF(G88="MFP",Tables!B$2,Tables!B$5)</f>
        <v>2.6200000000000001E-2</v>
      </c>
      <c r="Q88" s="17">
        <f>IF(G88="MFP",Tables!B$3,Tables!B$6)</f>
        <v>0.11799999999999999</v>
      </c>
      <c r="R88" s="18">
        <v>595</v>
      </c>
      <c r="S88" s="18">
        <v>1031</v>
      </c>
      <c r="T88" s="18">
        <v>56</v>
      </c>
      <c r="U88" s="18">
        <v>59</v>
      </c>
    </row>
    <row r="89" spans="1:55" ht="15.75" outlineLevel="2" x14ac:dyDescent="0.25">
      <c r="A89" s="9" t="s">
        <v>80</v>
      </c>
      <c r="B89" s="9" t="s">
        <v>440</v>
      </c>
      <c r="C89" s="9" t="s">
        <v>441</v>
      </c>
      <c r="D89" s="10" t="s">
        <v>83</v>
      </c>
      <c r="E89" s="11">
        <v>601</v>
      </c>
      <c r="F89" s="10" t="s">
        <v>15</v>
      </c>
      <c r="G89" s="12" t="str">
        <f>VLOOKUP(F89,Tables!D$9:E$17,2,FALSE)</f>
        <v>PTR</v>
      </c>
      <c r="H89" s="60">
        <v>17099768</v>
      </c>
      <c r="I89" s="13">
        <f>SUM(S89-R89)</f>
        <v>5691</v>
      </c>
      <c r="J89" s="13">
        <f>SUM(U89-T89)</f>
        <v>0</v>
      </c>
      <c r="K89" s="14">
        <f>SUM(I89*$P89)</f>
        <v>149.10420000000002</v>
      </c>
      <c r="L89" s="14">
        <f>SUM(J89*$Q89)</f>
        <v>0</v>
      </c>
      <c r="M89" s="15">
        <f>K89+L89</f>
        <v>149.10420000000002</v>
      </c>
      <c r="N89" s="10" t="s">
        <v>459</v>
      </c>
      <c r="O89" s="10" t="s">
        <v>460</v>
      </c>
      <c r="P89" s="16">
        <f>IF(G89="MFP",Tables!B$2,Tables!B$5)</f>
        <v>2.6200000000000001E-2</v>
      </c>
      <c r="Q89" s="17">
        <f>IF(G89="MFP",Tables!B$3,Tables!B$6)</f>
        <v>0.11799999999999999</v>
      </c>
      <c r="R89" s="18">
        <v>44335</v>
      </c>
      <c r="S89" s="18">
        <v>50026</v>
      </c>
      <c r="T89" s="18">
        <v>0</v>
      </c>
      <c r="U89" s="18">
        <v>0</v>
      </c>
    </row>
    <row r="90" spans="1:55" outlineLevel="1" x14ac:dyDescent="0.3">
      <c r="A90" s="19" t="s">
        <v>790</v>
      </c>
      <c r="B90" s="110"/>
      <c r="C90" s="110"/>
      <c r="D90" s="10"/>
      <c r="E90" s="11"/>
      <c r="F90" s="10"/>
      <c r="G90" s="12"/>
      <c r="H90" s="60"/>
      <c r="I90" s="13"/>
      <c r="J90" s="13"/>
      <c r="K90" s="106"/>
      <c r="L90" s="106"/>
      <c r="M90" s="15">
        <f>SUBTOTAL(9,M85:M89)</f>
        <v>589.97019999999998</v>
      </c>
      <c r="N90" s="10"/>
      <c r="O90" s="10"/>
      <c r="P90" s="16"/>
      <c r="Q90" s="17"/>
      <c r="R90" s="18"/>
      <c r="S90" s="18"/>
      <c r="T90" s="18"/>
      <c r="U90" s="18"/>
      <c r="BC90" s="65">
        <f>SUBTOTAL(9,BC85:BC89)</f>
        <v>0</v>
      </c>
    </row>
    <row r="91" spans="1:55" ht="30" outlineLevel="2" x14ac:dyDescent="0.25">
      <c r="A91" s="9" t="s">
        <v>541</v>
      </c>
      <c r="B91" s="9" t="s">
        <v>542</v>
      </c>
      <c r="C91" s="9" t="s">
        <v>543</v>
      </c>
      <c r="D91" s="10" t="s">
        <v>435</v>
      </c>
      <c r="E91" s="11">
        <v>1</v>
      </c>
      <c r="F91" s="10" t="s">
        <v>84</v>
      </c>
      <c r="G91" s="12" t="str">
        <f>VLOOKUP(F91,Tables!D$9:E$17,2,FALSE)</f>
        <v>MFP</v>
      </c>
      <c r="H91" s="60">
        <v>17099497</v>
      </c>
      <c r="I91" s="13">
        <f>SUM(S91-R91)</f>
        <v>8686</v>
      </c>
      <c r="J91" s="13">
        <f>SUM(U91-T91)</f>
        <v>2159</v>
      </c>
      <c r="K91" s="14">
        <f>SUM(I91*$P91)</f>
        <v>179.80019999999999</v>
      </c>
      <c r="L91" s="14">
        <f>SUM(J91*$Q91)</f>
        <v>187.833</v>
      </c>
      <c r="M91" s="15">
        <f>K91+L91</f>
        <v>367.63319999999999</v>
      </c>
      <c r="N91" s="10" t="s">
        <v>544</v>
      </c>
      <c r="O91" s="10" t="s">
        <v>545</v>
      </c>
      <c r="P91" s="16">
        <f>IF(G91="MFP",Tables!B$2,Tables!B$5)</f>
        <v>2.07E-2</v>
      </c>
      <c r="Q91" s="17">
        <f>IF(G91="MFP",Tables!B$3,Tables!B$6)</f>
        <v>8.6999999999999994E-2</v>
      </c>
      <c r="R91" s="18">
        <v>14399</v>
      </c>
      <c r="S91" s="18">
        <v>23085</v>
      </c>
      <c r="T91" s="18">
        <v>2258</v>
      </c>
      <c r="U91" s="18">
        <v>4417</v>
      </c>
    </row>
    <row r="92" spans="1:55" ht="30" outlineLevel="2" x14ac:dyDescent="0.25">
      <c r="A92" s="9" t="s">
        <v>541</v>
      </c>
      <c r="B92" s="9" t="s">
        <v>542</v>
      </c>
      <c r="C92" s="9" t="s">
        <v>543</v>
      </c>
      <c r="D92" s="10" t="s">
        <v>435</v>
      </c>
      <c r="E92" s="11">
        <v>131</v>
      </c>
      <c r="F92" s="10" t="s">
        <v>15</v>
      </c>
      <c r="G92" s="12" t="str">
        <f>VLOOKUP(F92,Tables!D$9:E$17,2,FALSE)</f>
        <v>PTR</v>
      </c>
      <c r="H92" s="60">
        <v>17099704</v>
      </c>
      <c r="I92" s="13">
        <f>SUM(S92-R92)</f>
        <v>0</v>
      </c>
      <c r="J92" s="13">
        <f>SUM(U92-T92)</f>
        <v>0</v>
      </c>
      <c r="K92" s="14">
        <f>SUM(I92*$P92)</f>
        <v>0</v>
      </c>
      <c r="L92" s="14">
        <f>SUM(J92*$Q92)</f>
        <v>0</v>
      </c>
      <c r="M92" s="15">
        <f>K92+L92</f>
        <v>0</v>
      </c>
      <c r="N92" s="10" t="s">
        <v>546</v>
      </c>
      <c r="O92" s="10" t="s">
        <v>547</v>
      </c>
      <c r="P92" s="16">
        <f>IF(G92="MFP",Tables!B$2,Tables!B$5)</f>
        <v>2.6200000000000001E-2</v>
      </c>
      <c r="Q92" s="17">
        <f>IF(G92="MFP",Tables!B$3,Tables!B$6)</f>
        <v>0.11799999999999999</v>
      </c>
      <c r="R92" s="18">
        <v>0</v>
      </c>
      <c r="S92" s="18">
        <v>0</v>
      </c>
      <c r="T92" s="18">
        <v>0</v>
      </c>
      <c r="U92" s="18">
        <v>0</v>
      </c>
    </row>
    <row r="93" spans="1:55" ht="30" outlineLevel="2" x14ac:dyDescent="0.25">
      <c r="A93" s="9" t="s">
        <v>541</v>
      </c>
      <c r="B93" s="9" t="s">
        <v>542</v>
      </c>
      <c r="C93" s="9" t="s">
        <v>543</v>
      </c>
      <c r="D93" s="10" t="s">
        <v>435</v>
      </c>
      <c r="E93" s="11" t="s">
        <v>548</v>
      </c>
      <c r="F93" s="10" t="s">
        <v>15</v>
      </c>
      <c r="G93" s="12" t="str">
        <f>VLOOKUP(F93,Tables!D$9:E$17,2,FALSE)</f>
        <v>PTR</v>
      </c>
      <c r="H93" s="60">
        <v>17099703</v>
      </c>
      <c r="I93" s="13">
        <f>SUM(S93-R93)</f>
        <v>1577</v>
      </c>
      <c r="J93" s="13">
        <f>SUM(U93-T93)</f>
        <v>0</v>
      </c>
      <c r="K93" s="14">
        <f>SUM(I93*$P93)</f>
        <v>41.317399999999999</v>
      </c>
      <c r="L93" s="14">
        <f>SUM(J93*$Q93)</f>
        <v>0</v>
      </c>
      <c r="M93" s="15">
        <f>K93+L93</f>
        <v>41.317399999999999</v>
      </c>
      <c r="N93" s="10" t="s">
        <v>549</v>
      </c>
      <c r="O93" s="10" t="s">
        <v>550</v>
      </c>
      <c r="P93" s="16">
        <f>IF(G93="MFP",Tables!B$2,Tables!B$5)</f>
        <v>2.6200000000000001E-2</v>
      </c>
      <c r="Q93" s="17">
        <f>IF(G93="MFP",Tables!B$3,Tables!B$6)</f>
        <v>0.11799999999999999</v>
      </c>
      <c r="R93" s="18">
        <v>5464</v>
      </c>
      <c r="S93" s="18">
        <v>7041</v>
      </c>
      <c r="T93" s="18">
        <v>0</v>
      </c>
      <c r="U93" s="18">
        <v>0</v>
      </c>
    </row>
    <row r="94" spans="1:55" outlineLevel="1" x14ac:dyDescent="0.3">
      <c r="A94" s="19" t="s">
        <v>791</v>
      </c>
      <c r="B94" s="110"/>
      <c r="C94" s="110"/>
      <c r="D94" s="10"/>
      <c r="E94" s="11"/>
      <c r="F94" s="10"/>
      <c r="G94" s="12"/>
      <c r="H94" s="60"/>
      <c r="I94" s="13"/>
      <c r="J94" s="13"/>
      <c r="K94" s="106"/>
      <c r="L94" s="106"/>
      <c r="M94" s="15">
        <f>SUBTOTAL(9,M91:M93)</f>
        <v>408.95060000000001</v>
      </c>
      <c r="N94" s="10"/>
      <c r="O94" s="10"/>
      <c r="P94" s="16"/>
      <c r="Q94" s="17"/>
      <c r="R94" s="18"/>
      <c r="S94" s="18"/>
      <c r="T94" s="18"/>
      <c r="U94" s="18"/>
      <c r="BC94" s="65">
        <f>SUBTOTAL(9,BC91:BC93)</f>
        <v>0</v>
      </c>
    </row>
    <row r="95" spans="1:55" ht="30" outlineLevel="2" x14ac:dyDescent="0.25">
      <c r="A95" s="9" t="s">
        <v>502</v>
      </c>
      <c r="B95" s="9" t="s">
        <v>506</v>
      </c>
      <c r="C95" s="9" t="s">
        <v>502</v>
      </c>
      <c r="D95" s="10" t="s">
        <v>287</v>
      </c>
      <c r="E95" s="11">
        <v>111</v>
      </c>
      <c r="F95" s="10" t="s">
        <v>161</v>
      </c>
      <c r="G95" s="12" t="str">
        <f>VLOOKUP(F95,Tables!D$9:E$17,2,FALSE)</f>
        <v>MFP</v>
      </c>
      <c r="H95" s="60">
        <v>17099530</v>
      </c>
      <c r="I95" s="13">
        <f>SUM(S95-R95)</f>
        <v>569</v>
      </c>
      <c r="J95" s="13">
        <f>SUM(U95-T95)</f>
        <v>0</v>
      </c>
      <c r="K95" s="14">
        <f>SUM(I95*$P95)</f>
        <v>11.7783</v>
      </c>
      <c r="L95" s="14">
        <f>SUM(J95*$Q95)</f>
        <v>0</v>
      </c>
      <c r="M95" s="15">
        <f>K95+L95</f>
        <v>11.7783</v>
      </c>
      <c r="N95" s="10" t="s">
        <v>510</v>
      </c>
      <c r="O95" s="10" t="s">
        <v>511</v>
      </c>
      <c r="P95" s="16">
        <f>IF(G95="MFP",Tables!B$2,Tables!B$5)</f>
        <v>2.07E-2</v>
      </c>
      <c r="Q95" s="17">
        <f>IF(G95="MFP",Tables!B$3,Tables!B$6)</f>
        <v>8.6999999999999994E-2</v>
      </c>
      <c r="R95" s="18">
        <v>3234</v>
      </c>
      <c r="S95" s="18">
        <v>3803</v>
      </c>
      <c r="T95" s="18">
        <v>0</v>
      </c>
      <c r="U95" s="18">
        <v>0</v>
      </c>
    </row>
    <row r="96" spans="1:55" outlineLevel="1" x14ac:dyDescent="0.3">
      <c r="A96" s="19" t="s">
        <v>792</v>
      </c>
      <c r="B96" s="110"/>
      <c r="C96" s="110"/>
      <c r="D96" s="10"/>
      <c r="E96" s="11"/>
      <c r="F96" s="10"/>
      <c r="G96" s="12"/>
      <c r="H96" s="60"/>
      <c r="I96" s="13"/>
      <c r="J96" s="13"/>
      <c r="K96" s="106"/>
      <c r="L96" s="106"/>
      <c r="M96" s="15">
        <f>SUBTOTAL(9,M95:M95)</f>
        <v>11.7783</v>
      </c>
      <c r="N96" s="10"/>
      <c r="O96" s="10"/>
      <c r="P96" s="16"/>
      <c r="Q96" s="17"/>
      <c r="R96" s="18"/>
      <c r="S96" s="18"/>
      <c r="T96" s="18"/>
      <c r="U96" s="18"/>
      <c r="BC96" s="65">
        <f>SUBTOTAL(9,BC95:BC95)</f>
        <v>0</v>
      </c>
    </row>
    <row r="97" spans="1:55" ht="30" outlineLevel="2" x14ac:dyDescent="0.25">
      <c r="A97" s="9" t="s">
        <v>505</v>
      </c>
      <c r="B97" s="9" t="s">
        <v>506</v>
      </c>
      <c r="C97" s="9" t="s">
        <v>502</v>
      </c>
      <c r="D97" s="10" t="s">
        <v>287</v>
      </c>
      <c r="E97" s="11" t="s">
        <v>507</v>
      </c>
      <c r="F97" s="10" t="s">
        <v>15</v>
      </c>
      <c r="G97" s="12" t="str">
        <f>VLOOKUP(F97,Tables!D$9:E$17,2,FALSE)</f>
        <v>PTR</v>
      </c>
      <c r="H97" s="60">
        <v>17099697</v>
      </c>
      <c r="I97" s="13">
        <f>SUM(S97-R97)</f>
        <v>226</v>
      </c>
      <c r="J97" s="13">
        <f>SUM(U97-T97)</f>
        <v>0</v>
      </c>
      <c r="K97" s="14">
        <f>SUM(I97*$P97)</f>
        <v>5.9212000000000007</v>
      </c>
      <c r="L97" s="14">
        <f>SUM(J97*$Q97)</f>
        <v>0</v>
      </c>
      <c r="M97" s="15">
        <f>K97+L97</f>
        <v>5.9212000000000007</v>
      </c>
      <c r="N97" s="10" t="s">
        <v>508</v>
      </c>
      <c r="O97" s="10" t="s">
        <v>509</v>
      </c>
      <c r="P97" s="16">
        <f>IF(G97="MFP",Tables!B$2,Tables!B$5)</f>
        <v>2.6200000000000001E-2</v>
      </c>
      <c r="Q97" s="17">
        <f>IF(G97="MFP",Tables!B$3,Tables!B$6)</f>
        <v>0.11799999999999999</v>
      </c>
      <c r="R97" s="18">
        <v>355</v>
      </c>
      <c r="S97" s="18">
        <v>581</v>
      </c>
      <c r="T97" s="18">
        <v>0</v>
      </c>
      <c r="U97" s="18">
        <v>0</v>
      </c>
    </row>
    <row r="98" spans="1:55" outlineLevel="1" x14ac:dyDescent="0.3">
      <c r="A98" s="19" t="s">
        <v>793</v>
      </c>
      <c r="B98" s="110"/>
      <c r="C98" s="110"/>
      <c r="D98" s="10"/>
      <c r="E98" s="11"/>
      <c r="F98" s="10"/>
      <c r="G98" s="12"/>
      <c r="H98" s="60"/>
      <c r="I98" s="13"/>
      <c r="J98" s="13"/>
      <c r="K98" s="106"/>
      <c r="L98" s="106"/>
      <c r="M98" s="15">
        <f>SUBTOTAL(9,M97:M97)</f>
        <v>5.9212000000000007</v>
      </c>
      <c r="N98" s="10"/>
      <c r="O98" s="10"/>
      <c r="P98" s="16"/>
      <c r="Q98" s="17"/>
      <c r="R98" s="18"/>
      <c r="S98" s="18"/>
      <c r="T98" s="18"/>
      <c r="U98" s="18"/>
      <c r="BC98" s="65">
        <f>SUBTOTAL(9,BC97:BC97)</f>
        <v>0</v>
      </c>
    </row>
    <row r="99" spans="1:55" ht="15.75" outlineLevel="2" x14ac:dyDescent="0.25">
      <c r="A99" s="9" t="s">
        <v>401</v>
      </c>
      <c r="B99" s="9" t="s">
        <v>402</v>
      </c>
      <c r="C99" s="9" t="s">
        <v>403</v>
      </c>
      <c r="D99" s="10" t="s">
        <v>287</v>
      </c>
      <c r="E99" s="11">
        <v>311</v>
      </c>
      <c r="F99" s="10" t="s">
        <v>54</v>
      </c>
      <c r="G99" s="12" t="str">
        <f>VLOOKUP(F99,Tables!D$9:E$17,2,FALSE)</f>
        <v>MFP</v>
      </c>
      <c r="H99" s="60">
        <v>17099528</v>
      </c>
      <c r="I99" s="13">
        <f>SUM(S99-R99)</f>
        <v>8277</v>
      </c>
      <c r="J99" s="13">
        <f>SUM(U99-T99)</f>
        <v>111</v>
      </c>
      <c r="K99" s="14">
        <f>SUM(I99*$P99)</f>
        <v>171.3339</v>
      </c>
      <c r="L99" s="14">
        <f>SUM(J99*$Q99)</f>
        <v>9.657</v>
      </c>
      <c r="M99" s="15">
        <f>K99+L99</f>
        <v>180.99090000000001</v>
      </c>
      <c r="N99" s="10" t="s">
        <v>404</v>
      </c>
      <c r="O99" s="10" t="s">
        <v>405</v>
      </c>
      <c r="P99" s="16">
        <f>IF(G99="MFP",Tables!B$2,Tables!B$5)</f>
        <v>2.07E-2</v>
      </c>
      <c r="Q99" s="17">
        <f>IF(G99="MFP",Tables!B$3,Tables!B$6)</f>
        <v>8.6999999999999994E-2</v>
      </c>
      <c r="R99" s="18">
        <v>16913</v>
      </c>
      <c r="S99" s="18">
        <v>25190</v>
      </c>
      <c r="T99" s="18">
        <v>101</v>
      </c>
      <c r="U99" s="18">
        <v>212</v>
      </c>
    </row>
    <row r="100" spans="1:55" ht="15.75" outlineLevel="2" x14ac:dyDescent="0.25">
      <c r="A100" s="9" t="s">
        <v>401</v>
      </c>
      <c r="B100" s="9" t="s">
        <v>402</v>
      </c>
      <c r="C100" s="9" t="s">
        <v>403</v>
      </c>
      <c r="D100" s="10" t="s">
        <v>287</v>
      </c>
      <c r="E100" s="11">
        <v>320</v>
      </c>
      <c r="F100" s="10" t="s">
        <v>15</v>
      </c>
      <c r="G100" s="12" t="str">
        <f>VLOOKUP(F100,Tables!D$9:E$17,2,FALSE)</f>
        <v>PTR</v>
      </c>
      <c r="H100" s="60">
        <v>17099695</v>
      </c>
      <c r="I100" s="13">
        <f>SUM(S100-R100)</f>
        <v>1734</v>
      </c>
      <c r="J100" s="13">
        <f>SUM(U100-T100)</f>
        <v>0</v>
      </c>
      <c r="K100" s="14">
        <f>SUM(I100*$P100)</f>
        <v>45.430800000000005</v>
      </c>
      <c r="L100" s="14">
        <f>SUM(J100*$Q100)</f>
        <v>0</v>
      </c>
      <c r="M100" s="15">
        <f>K100+L100</f>
        <v>45.430800000000005</v>
      </c>
      <c r="N100" s="10" t="s">
        <v>406</v>
      </c>
      <c r="O100" s="10" t="s">
        <v>407</v>
      </c>
      <c r="P100" s="16">
        <f>IF(G100="MFP",Tables!B$2,Tables!B$5)</f>
        <v>2.6200000000000001E-2</v>
      </c>
      <c r="Q100" s="17">
        <f>IF(G100="MFP",Tables!B$3,Tables!B$6)</f>
        <v>0.11799999999999999</v>
      </c>
      <c r="R100" s="18">
        <v>4357</v>
      </c>
      <c r="S100" s="18">
        <v>6091</v>
      </c>
      <c r="T100" s="18">
        <v>0</v>
      </c>
      <c r="U100" s="18">
        <v>0</v>
      </c>
    </row>
    <row r="101" spans="1:55" outlineLevel="1" x14ac:dyDescent="0.3">
      <c r="A101" s="19" t="s">
        <v>794</v>
      </c>
      <c r="B101" s="110"/>
      <c r="C101" s="110"/>
      <c r="D101" s="10"/>
      <c r="E101" s="11"/>
      <c r="F101" s="10"/>
      <c r="G101" s="12"/>
      <c r="H101" s="60"/>
      <c r="I101" s="13"/>
      <c r="J101" s="13"/>
      <c r="K101" s="106"/>
      <c r="L101" s="106"/>
      <c r="M101" s="15">
        <f>SUBTOTAL(9,M99:M100)</f>
        <v>226.42170000000002</v>
      </c>
      <c r="N101" s="10"/>
      <c r="O101" s="10"/>
      <c r="P101" s="16"/>
      <c r="Q101" s="17"/>
      <c r="R101" s="18"/>
      <c r="S101" s="18"/>
      <c r="T101" s="18"/>
      <c r="U101" s="18"/>
      <c r="BC101" s="65">
        <f>SUBTOTAL(9,BC99:BC100)</f>
        <v>0</v>
      </c>
    </row>
    <row r="102" spans="1:55" ht="15.75" outlineLevel="2" x14ac:dyDescent="0.25">
      <c r="A102" s="9" t="s">
        <v>286</v>
      </c>
      <c r="B102" s="9" t="s">
        <v>285</v>
      </c>
      <c r="C102" s="9" t="s">
        <v>286</v>
      </c>
      <c r="D102" s="10" t="s">
        <v>287</v>
      </c>
      <c r="E102" s="11">
        <v>212</v>
      </c>
      <c r="F102" s="10" t="s">
        <v>15</v>
      </c>
      <c r="G102" s="12" t="str">
        <f>VLOOKUP(F102,Tables!D$9:E$17,2,FALSE)</f>
        <v>PTR</v>
      </c>
      <c r="H102" s="60">
        <v>17099699</v>
      </c>
      <c r="I102" s="13">
        <f>SUM(S102-R102)</f>
        <v>124</v>
      </c>
      <c r="J102" s="13">
        <f>SUM(U102-T102)</f>
        <v>0</v>
      </c>
      <c r="K102" s="14">
        <f>SUM(I102*$P102)</f>
        <v>3.2488000000000001</v>
      </c>
      <c r="L102" s="14">
        <f>SUM(J102*$Q102)</f>
        <v>0</v>
      </c>
      <c r="M102" s="15">
        <f>K102+L102</f>
        <v>3.2488000000000001</v>
      </c>
      <c r="N102" s="10" t="s">
        <v>292</v>
      </c>
      <c r="O102" s="10" t="s">
        <v>293</v>
      </c>
      <c r="P102" s="16">
        <f>IF(G102="MFP",Tables!B$2,Tables!B$5)</f>
        <v>2.6200000000000001E-2</v>
      </c>
      <c r="Q102" s="17">
        <f>IF(G102="MFP",Tables!B$3,Tables!B$6)</f>
        <v>0.11799999999999999</v>
      </c>
      <c r="R102" s="18">
        <v>216</v>
      </c>
      <c r="S102" s="18">
        <v>340</v>
      </c>
      <c r="T102" s="18">
        <v>0</v>
      </c>
      <c r="U102" s="18">
        <v>0</v>
      </c>
    </row>
    <row r="103" spans="1:55" ht="15.75" outlineLevel="2" x14ac:dyDescent="0.25">
      <c r="A103" s="9" t="s">
        <v>286</v>
      </c>
      <c r="B103" s="9" t="s">
        <v>285</v>
      </c>
      <c r="C103" s="9" t="s">
        <v>286</v>
      </c>
      <c r="D103" s="10" t="s">
        <v>287</v>
      </c>
      <c r="E103" s="11">
        <v>213</v>
      </c>
      <c r="F103" s="10" t="s">
        <v>15</v>
      </c>
      <c r="G103" s="12" t="str">
        <f>VLOOKUP(F103,Tables!D$9:E$17,2,FALSE)</f>
        <v>PTR</v>
      </c>
      <c r="H103" s="60">
        <v>17099686</v>
      </c>
      <c r="I103" s="13">
        <f>SUM(S103-R103)</f>
        <v>418</v>
      </c>
      <c r="J103" s="13">
        <f>SUM(U103-T103)</f>
        <v>0</v>
      </c>
      <c r="K103" s="14">
        <f>SUM(I103*$P103)</f>
        <v>10.951600000000001</v>
      </c>
      <c r="L103" s="14">
        <f>SUM(J103*$Q103)</f>
        <v>0</v>
      </c>
      <c r="M103" s="15">
        <f>K103+L103</f>
        <v>10.951600000000001</v>
      </c>
      <c r="N103" s="10" t="s">
        <v>290</v>
      </c>
      <c r="O103" s="10" t="s">
        <v>291</v>
      </c>
      <c r="P103" s="16">
        <f>IF(G103="MFP",Tables!B$2,Tables!B$5)</f>
        <v>2.6200000000000001E-2</v>
      </c>
      <c r="Q103" s="17">
        <f>IF(G103="MFP",Tables!B$3,Tables!B$6)</f>
        <v>0.11799999999999999</v>
      </c>
      <c r="R103" s="18">
        <v>836</v>
      </c>
      <c r="S103" s="18">
        <v>1254</v>
      </c>
      <c r="T103" s="18">
        <v>0</v>
      </c>
      <c r="U103" s="18">
        <v>0</v>
      </c>
    </row>
    <row r="104" spans="1:55" ht="15.75" outlineLevel="2" x14ac:dyDescent="0.25">
      <c r="A104" s="9" t="s">
        <v>286</v>
      </c>
      <c r="B104" s="9" t="s">
        <v>285</v>
      </c>
      <c r="C104" s="9" t="s">
        <v>286</v>
      </c>
      <c r="D104" s="10" t="s">
        <v>287</v>
      </c>
      <c r="E104" s="11">
        <v>217</v>
      </c>
      <c r="F104" s="10" t="s">
        <v>92</v>
      </c>
      <c r="G104" s="12" t="str">
        <f>VLOOKUP(F104,Tables!D$9:E$17,2,FALSE)</f>
        <v>PTR</v>
      </c>
      <c r="H104" s="60">
        <v>17099451</v>
      </c>
      <c r="I104" s="13">
        <f>SUM(S104-R104)</f>
        <v>147</v>
      </c>
      <c r="J104" s="13">
        <f>SUM(U104-T104)</f>
        <v>195</v>
      </c>
      <c r="K104" s="14">
        <f>SUM(I104*$P104)</f>
        <v>3.8513999999999999</v>
      </c>
      <c r="L104" s="14">
        <f>SUM(J104*$Q104)</f>
        <v>23.009999999999998</v>
      </c>
      <c r="M104" s="15">
        <f>K104+L104</f>
        <v>26.861399999999996</v>
      </c>
      <c r="N104" s="10" t="s">
        <v>294</v>
      </c>
      <c r="O104" s="10" t="s">
        <v>295</v>
      </c>
      <c r="P104" s="16">
        <f>IF(G104="MFP",Tables!B$2,Tables!B$5)</f>
        <v>2.6200000000000001E-2</v>
      </c>
      <c r="Q104" s="17">
        <f>IF(G104="MFP",Tables!B$3,Tables!B$6)</f>
        <v>0.11799999999999999</v>
      </c>
      <c r="R104" s="18">
        <v>1338</v>
      </c>
      <c r="S104" s="18">
        <v>1485</v>
      </c>
      <c r="T104" s="18">
        <v>273</v>
      </c>
      <c r="U104" s="18">
        <v>468</v>
      </c>
    </row>
    <row r="105" spans="1:55" outlineLevel="1" x14ac:dyDescent="0.3">
      <c r="A105" s="19" t="s">
        <v>795</v>
      </c>
      <c r="B105" s="110"/>
      <c r="C105" s="110"/>
      <c r="D105" s="10"/>
      <c r="E105" s="11"/>
      <c r="F105" s="10"/>
      <c r="G105" s="12"/>
      <c r="H105" s="60"/>
      <c r="I105" s="13"/>
      <c r="J105" s="13"/>
      <c r="K105" s="106"/>
      <c r="L105" s="106"/>
      <c r="M105" s="15">
        <f>SUBTOTAL(9,M102:M104)</f>
        <v>41.061799999999998</v>
      </c>
      <c r="N105" s="10"/>
      <c r="O105" s="10"/>
      <c r="P105" s="16"/>
      <c r="Q105" s="17"/>
      <c r="R105" s="18"/>
      <c r="S105" s="18"/>
      <c r="T105" s="18"/>
      <c r="U105" s="18"/>
      <c r="BC105" s="65">
        <f>SUBTOTAL(9,BC102:BC104)</f>
        <v>0</v>
      </c>
    </row>
    <row r="106" spans="1:55" ht="15.75" outlineLevel="2" x14ac:dyDescent="0.25">
      <c r="A106" s="9" t="s">
        <v>284</v>
      </c>
      <c r="B106" s="9" t="s">
        <v>285</v>
      </c>
      <c r="C106" s="9" t="s">
        <v>286</v>
      </c>
      <c r="D106" s="10" t="s">
        <v>287</v>
      </c>
      <c r="E106" s="11">
        <v>201</v>
      </c>
      <c r="F106" s="10" t="s">
        <v>15</v>
      </c>
      <c r="G106" s="12" t="str">
        <f>VLOOKUP(F106,Tables!D$9:E$17,2,FALSE)</f>
        <v>PTR</v>
      </c>
      <c r="H106" s="60">
        <v>17099687</v>
      </c>
      <c r="I106" s="13">
        <f>SUM(S106-R106)</f>
        <v>0</v>
      </c>
      <c r="J106" s="13">
        <f>SUM(U106-T106)</f>
        <v>0</v>
      </c>
      <c r="K106" s="14">
        <f>SUM(I106*$P106)</f>
        <v>0</v>
      </c>
      <c r="L106" s="14">
        <f>SUM(J106*$Q106)</f>
        <v>0</v>
      </c>
      <c r="M106" s="15">
        <f>K106+L106</f>
        <v>0</v>
      </c>
      <c r="N106" s="10" t="s">
        <v>378</v>
      </c>
      <c r="P106" s="16">
        <f>IF(G106="MFP",Tables!B$2,Tables!B$5)</f>
        <v>2.6200000000000001E-2</v>
      </c>
      <c r="Q106" s="17">
        <f>IF(G106="MFP",Tables!B$3,Tables!B$6)</f>
        <v>0.11799999999999999</v>
      </c>
      <c r="R106" s="18">
        <v>0</v>
      </c>
      <c r="S106" s="18">
        <v>0</v>
      </c>
      <c r="T106" s="18">
        <v>0</v>
      </c>
      <c r="U106" s="18">
        <v>0</v>
      </c>
    </row>
    <row r="107" spans="1:55" ht="15.75" outlineLevel="2" x14ac:dyDescent="0.25">
      <c r="A107" s="9" t="s">
        <v>284</v>
      </c>
      <c r="B107" s="9" t="s">
        <v>285</v>
      </c>
      <c r="C107" s="9" t="s">
        <v>286</v>
      </c>
      <c r="D107" s="10" t="s">
        <v>287</v>
      </c>
      <c r="E107" s="11">
        <v>216</v>
      </c>
      <c r="F107" s="10" t="s">
        <v>54</v>
      </c>
      <c r="G107" s="12" t="str">
        <f>VLOOKUP(F107,Tables!D$9:E$17,2,FALSE)</f>
        <v>MFP</v>
      </c>
      <c r="H107" s="60">
        <v>17099499</v>
      </c>
      <c r="I107" s="13">
        <f>SUM(S107-R107)</f>
        <v>1313</v>
      </c>
      <c r="J107" s="13">
        <f>SUM(U107-T107)</f>
        <v>92</v>
      </c>
      <c r="K107" s="14">
        <f>SUM(I107*$P107)</f>
        <v>27.179099999999998</v>
      </c>
      <c r="L107" s="14">
        <f>SUM(J107*$Q107)</f>
        <v>8.0039999999999996</v>
      </c>
      <c r="M107" s="15">
        <f>K107+L107</f>
        <v>35.183099999999996</v>
      </c>
      <c r="N107" s="10" t="s">
        <v>288</v>
      </c>
      <c r="O107" s="10" t="s">
        <v>289</v>
      </c>
      <c r="P107" s="16">
        <f>IF(G107="MFP",Tables!B$2,Tables!B$5)</f>
        <v>2.07E-2</v>
      </c>
      <c r="Q107" s="17">
        <f>IF(G107="MFP",Tables!B$3,Tables!B$6)</f>
        <v>8.6999999999999994E-2</v>
      </c>
      <c r="R107" s="18">
        <v>5588</v>
      </c>
      <c r="S107" s="18">
        <v>6901</v>
      </c>
      <c r="T107" s="18">
        <v>447</v>
      </c>
      <c r="U107" s="18">
        <v>539</v>
      </c>
    </row>
    <row r="108" spans="1:55" outlineLevel="1" x14ac:dyDescent="0.3">
      <c r="A108" s="19" t="s">
        <v>796</v>
      </c>
      <c r="B108" s="110"/>
      <c r="C108" s="110"/>
      <c r="D108" s="10"/>
      <c r="E108" s="11"/>
      <c r="F108" s="10"/>
      <c r="G108" s="12"/>
      <c r="H108" s="60"/>
      <c r="I108" s="13"/>
      <c r="J108" s="13"/>
      <c r="K108" s="106"/>
      <c r="L108" s="106"/>
      <c r="M108" s="15">
        <f>SUBTOTAL(9,M106:M107)</f>
        <v>35.183099999999996</v>
      </c>
      <c r="N108" s="10"/>
      <c r="O108" s="10"/>
      <c r="P108" s="16"/>
      <c r="Q108" s="17"/>
      <c r="R108" s="18"/>
      <c r="S108" s="18"/>
      <c r="T108" s="18"/>
      <c r="U108" s="18"/>
      <c r="BC108" s="65">
        <f>SUBTOTAL(9,BC106:BC107)</f>
        <v>0</v>
      </c>
    </row>
    <row r="109" spans="1:55" ht="15.75" outlineLevel="2" x14ac:dyDescent="0.25">
      <c r="A109" s="9" t="s">
        <v>95</v>
      </c>
      <c r="B109" s="9" t="s">
        <v>96</v>
      </c>
      <c r="C109" s="9" t="s">
        <v>97</v>
      </c>
      <c r="D109" s="10" t="s">
        <v>98</v>
      </c>
      <c r="E109" s="11">
        <v>320</v>
      </c>
      <c r="F109" s="10" t="s">
        <v>15</v>
      </c>
      <c r="G109" s="12" t="str">
        <f>VLOOKUP(F109,Tables!D$9:E$17,2,FALSE)</f>
        <v>PTR</v>
      </c>
      <c r="H109" s="60">
        <v>17099771</v>
      </c>
      <c r="I109" s="13">
        <f>SUM(S109-R109)</f>
        <v>3877</v>
      </c>
      <c r="J109" s="13">
        <f>SUM(U109-T109)</f>
        <v>0</v>
      </c>
      <c r="K109" s="14">
        <f>SUM(I109*$P109)</f>
        <v>101.5774</v>
      </c>
      <c r="L109" s="14">
        <f>SUM(J109*$Q109)</f>
        <v>0</v>
      </c>
      <c r="M109" s="15">
        <f>K109+L109</f>
        <v>101.5774</v>
      </c>
      <c r="N109" s="10" t="s">
        <v>104</v>
      </c>
      <c r="O109" s="10" t="s">
        <v>105</v>
      </c>
      <c r="P109" s="16">
        <f>IF(G109="MFP",Tables!B$2,Tables!B$5)</f>
        <v>2.6200000000000001E-2</v>
      </c>
      <c r="Q109" s="17">
        <f>IF(G109="MFP",Tables!B$3,Tables!B$6)</f>
        <v>0.11799999999999999</v>
      </c>
      <c r="R109" s="18">
        <v>38684</v>
      </c>
      <c r="S109" s="18">
        <v>42561</v>
      </c>
      <c r="T109" s="18">
        <v>0</v>
      </c>
      <c r="U109" s="18">
        <v>0</v>
      </c>
    </row>
    <row r="110" spans="1:55" ht="15.75" outlineLevel="2" x14ac:dyDescent="0.25">
      <c r="A110" s="9" t="s">
        <v>95</v>
      </c>
      <c r="B110" s="9" t="s">
        <v>96</v>
      </c>
      <c r="C110" s="9" t="s">
        <v>97</v>
      </c>
      <c r="D110" s="10" t="s">
        <v>98</v>
      </c>
      <c r="E110" s="11">
        <v>337</v>
      </c>
      <c r="F110" s="10" t="s">
        <v>84</v>
      </c>
      <c r="G110" s="12" t="str">
        <f>VLOOKUP(F110,Tables!D$9:E$17,2,FALSE)</f>
        <v>MFP</v>
      </c>
      <c r="H110" s="60">
        <v>17099456</v>
      </c>
      <c r="I110" s="13">
        <f>SUM(S110-R110)</f>
        <v>20090</v>
      </c>
      <c r="J110" s="13">
        <f>SUM(U110-T110)</f>
        <v>783</v>
      </c>
      <c r="K110" s="14">
        <f>SUM(I110*$P110)</f>
        <v>415.863</v>
      </c>
      <c r="L110" s="14">
        <f>SUM(J110*$Q110)</f>
        <v>68.120999999999995</v>
      </c>
      <c r="M110" s="15">
        <f>K110+L110</f>
        <v>483.98399999999998</v>
      </c>
      <c r="N110" s="10" t="s">
        <v>99</v>
      </c>
      <c r="O110" s="10" t="s">
        <v>100</v>
      </c>
      <c r="P110" s="16">
        <f>IF(G110="MFP",Tables!B$2,Tables!B$5)</f>
        <v>2.07E-2</v>
      </c>
      <c r="Q110" s="17">
        <f>IF(G110="MFP",Tables!B$3,Tables!B$6)</f>
        <v>8.6999999999999994E-2</v>
      </c>
      <c r="R110" s="18">
        <v>71201</v>
      </c>
      <c r="S110" s="18">
        <v>91291</v>
      </c>
      <c r="T110" s="18">
        <v>5986</v>
      </c>
      <c r="U110" s="18">
        <v>6769</v>
      </c>
    </row>
    <row r="111" spans="1:55" outlineLevel="1" x14ac:dyDescent="0.3">
      <c r="A111" s="19" t="s">
        <v>797</v>
      </c>
      <c r="B111" s="110"/>
      <c r="C111" s="110"/>
      <c r="D111" s="10"/>
      <c r="E111" s="11"/>
      <c r="F111" s="10"/>
      <c r="G111" s="12"/>
      <c r="H111" s="60"/>
      <c r="I111" s="13"/>
      <c r="J111" s="13"/>
      <c r="K111" s="106"/>
      <c r="L111" s="106"/>
      <c r="M111" s="15">
        <f>SUBTOTAL(9,M109:M110)</f>
        <v>585.56139999999994</v>
      </c>
      <c r="N111" s="10"/>
      <c r="O111" s="10"/>
      <c r="P111" s="16"/>
      <c r="Q111" s="17"/>
      <c r="R111" s="18"/>
      <c r="S111" s="18"/>
      <c r="T111" s="18"/>
      <c r="U111" s="18"/>
      <c r="BC111" s="65">
        <f>SUBTOTAL(9,BC109:BC110)</f>
        <v>0</v>
      </c>
    </row>
    <row r="112" spans="1:55" ht="15.75" outlineLevel="2" x14ac:dyDescent="0.25">
      <c r="A112" s="9" t="s">
        <v>106</v>
      </c>
      <c r="B112" s="9" t="s">
        <v>107</v>
      </c>
      <c r="C112" s="9" t="s">
        <v>108</v>
      </c>
      <c r="D112" s="10" t="s">
        <v>83</v>
      </c>
      <c r="E112" s="11">
        <v>502</v>
      </c>
      <c r="F112" s="10" t="s">
        <v>15</v>
      </c>
      <c r="G112" s="12" t="str">
        <f>VLOOKUP(F112,Tables!D$9:E$17,2,FALSE)</f>
        <v>PTR</v>
      </c>
      <c r="H112" s="60">
        <v>17099626</v>
      </c>
      <c r="I112" s="13">
        <f t="shared" ref="I112:I117" si="20">SUM(S112-R112)</f>
        <v>50</v>
      </c>
      <c r="J112" s="13">
        <f t="shared" ref="J112:J117" si="21">SUM(U112-T112)</f>
        <v>0</v>
      </c>
      <c r="K112" s="14">
        <f t="shared" ref="K112:K117" si="22">SUM(I112*$P112)</f>
        <v>1.31</v>
      </c>
      <c r="L112" s="14">
        <f t="shared" ref="L112:L117" si="23">SUM(J112*$Q112)</f>
        <v>0</v>
      </c>
      <c r="M112" s="15">
        <f t="shared" ref="M112:M117" si="24">K112+L112</f>
        <v>1.31</v>
      </c>
      <c r="N112" s="10" t="s">
        <v>117</v>
      </c>
      <c r="O112" s="10" t="s">
        <v>118</v>
      </c>
      <c r="P112" s="16">
        <f>IF(G112="MFP",Tables!B$2,Tables!B$5)</f>
        <v>2.6200000000000001E-2</v>
      </c>
      <c r="Q112" s="17">
        <f>IF(G112="MFP",Tables!B$3,Tables!B$6)</f>
        <v>0.11799999999999999</v>
      </c>
      <c r="R112" s="18">
        <v>114</v>
      </c>
      <c r="S112" s="18">
        <v>164</v>
      </c>
      <c r="T112" s="18">
        <v>0</v>
      </c>
      <c r="U112" s="18">
        <v>0</v>
      </c>
    </row>
    <row r="113" spans="1:55" ht="15.75" outlineLevel="2" x14ac:dyDescent="0.25">
      <c r="A113" s="9" t="s">
        <v>106</v>
      </c>
      <c r="B113" s="9" t="s">
        <v>107</v>
      </c>
      <c r="C113" s="9" t="s">
        <v>108</v>
      </c>
      <c r="D113" s="10" t="s">
        <v>83</v>
      </c>
      <c r="E113" s="11">
        <v>507</v>
      </c>
      <c r="F113" s="10" t="s">
        <v>15</v>
      </c>
      <c r="G113" s="12" t="str">
        <f>VLOOKUP(F113,Tables!D$9:E$17,2,FALSE)</f>
        <v>PTR</v>
      </c>
      <c r="H113" s="60">
        <v>17099587</v>
      </c>
      <c r="I113" s="13">
        <f t="shared" si="20"/>
        <v>37</v>
      </c>
      <c r="J113" s="13">
        <f t="shared" si="21"/>
        <v>0</v>
      </c>
      <c r="K113" s="14">
        <f t="shared" si="22"/>
        <v>0.96940000000000004</v>
      </c>
      <c r="L113" s="14">
        <f t="shared" si="23"/>
        <v>0</v>
      </c>
      <c r="M113" s="15">
        <f t="shared" si="24"/>
        <v>0.96940000000000004</v>
      </c>
      <c r="N113" s="10" t="s">
        <v>119</v>
      </c>
      <c r="O113" s="10" t="s">
        <v>120</v>
      </c>
      <c r="P113" s="16">
        <f>IF(G113="MFP",Tables!B$2,Tables!B$5)</f>
        <v>2.6200000000000001E-2</v>
      </c>
      <c r="Q113" s="17">
        <f>IF(G113="MFP",Tables!B$3,Tables!B$6)</f>
        <v>0.11799999999999999</v>
      </c>
      <c r="R113" s="18">
        <v>105</v>
      </c>
      <c r="S113" s="18">
        <v>142</v>
      </c>
      <c r="T113" s="18">
        <v>0</v>
      </c>
      <c r="U113" s="18">
        <v>0</v>
      </c>
    </row>
    <row r="114" spans="1:55" ht="15.75" outlineLevel="2" x14ac:dyDescent="0.25">
      <c r="A114" s="9" t="s">
        <v>106</v>
      </c>
      <c r="B114" s="9" t="s">
        <v>107</v>
      </c>
      <c r="C114" s="9" t="s">
        <v>108</v>
      </c>
      <c r="D114" s="10" t="s">
        <v>83</v>
      </c>
      <c r="E114" s="11">
        <v>508</v>
      </c>
      <c r="F114" s="10" t="s">
        <v>24</v>
      </c>
      <c r="G114" s="12" t="str">
        <f>VLOOKUP(F114,Tables!D$9:E$17,2,FALSE)</f>
        <v>MFP</v>
      </c>
      <c r="H114" s="60">
        <v>17099466</v>
      </c>
      <c r="I114" s="13">
        <f t="shared" si="20"/>
        <v>892</v>
      </c>
      <c r="J114" s="13">
        <f t="shared" si="21"/>
        <v>61</v>
      </c>
      <c r="K114" s="14">
        <f t="shared" si="22"/>
        <v>18.464400000000001</v>
      </c>
      <c r="L114" s="14">
        <f t="shared" si="23"/>
        <v>5.3069999999999995</v>
      </c>
      <c r="M114" s="15">
        <f t="shared" si="24"/>
        <v>23.7714</v>
      </c>
      <c r="N114" s="10" t="s">
        <v>109</v>
      </c>
      <c r="O114" s="10" t="s">
        <v>110</v>
      </c>
      <c r="P114" s="16">
        <f>IF(G114="MFP",Tables!B$2,Tables!B$5)</f>
        <v>2.07E-2</v>
      </c>
      <c r="Q114" s="17">
        <f>IF(G114="MFP",Tables!B$3,Tables!B$6)</f>
        <v>8.6999999999999994E-2</v>
      </c>
      <c r="R114" s="18">
        <v>4092</v>
      </c>
      <c r="S114" s="18">
        <v>4984</v>
      </c>
      <c r="T114" s="18">
        <v>295</v>
      </c>
      <c r="U114" s="18">
        <v>356</v>
      </c>
    </row>
    <row r="115" spans="1:55" ht="15.75" outlineLevel="2" x14ac:dyDescent="0.25">
      <c r="A115" s="9" t="s">
        <v>106</v>
      </c>
      <c r="B115" s="9" t="s">
        <v>107</v>
      </c>
      <c r="C115" s="9" t="s">
        <v>108</v>
      </c>
      <c r="D115" s="10" t="s">
        <v>83</v>
      </c>
      <c r="E115" s="11">
        <v>509</v>
      </c>
      <c r="F115" s="10" t="s">
        <v>15</v>
      </c>
      <c r="G115" s="12" t="str">
        <f>VLOOKUP(F115,Tables!D$9:E$17,2,FALSE)</f>
        <v>PTR</v>
      </c>
      <c r="H115" s="60">
        <v>17099614</v>
      </c>
      <c r="I115" s="13">
        <f t="shared" si="20"/>
        <v>45</v>
      </c>
      <c r="J115" s="13">
        <f t="shared" si="21"/>
        <v>0</v>
      </c>
      <c r="K115" s="14">
        <f t="shared" si="22"/>
        <v>1.179</v>
      </c>
      <c r="L115" s="14">
        <f t="shared" si="23"/>
        <v>0</v>
      </c>
      <c r="M115" s="15">
        <f t="shared" si="24"/>
        <v>1.179</v>
      </c>
      <c r="N115" s="10" t="s">
        <v>111</v>
      </c>
      <c r="O115" s="10" t="s">
        <v>112</v>
      </c>
      <c r="P115" s="16">
        <f>IF(G115="MFP",Tables!B$2,Tables!B$5)</f>
        <v>2.6200000000000001E-2</v>
      </c>
      <c r="Q115" s="17">
        <f>IF(G115="MFP",Tables!B$3,Tables!B$6)</f>
        <v>0.11799999999999999</v>
      </c>
      <c r="R115" s="18">
        <v>74</v>
      </c>
      <c r="S115" s="18">
        <v>119</v>
      </c>
      <c r="T115" s="18">
        <v>0</v>
      </c>
      <c r="U115" s="18">
        <v>0</v>
      </c>
    </row>
    <row r="116" spans="1:55" ht="15.75" outlineLevel="2" x14ac:dyDescent="0.25">
      <c r="A116" s="9" t="s">
        <v>106</v>
      </c>
      <c r="B116" s="9" t="s">
        <v>107</v>
      </c>
      <c r="C116" s="9" t="s">
        <v>108</v>
      </c>
      <c r="D116" s="10" t="s">
        <v>83</v>
      </c>
      <c r="E116" s="11">
        <v>605</v>
      </c>
      <c r="F116" s="10" t="s">
        <v>15</v>
      </c>
      <c r="G116" s="12" t="str">
        <f>VLOOKUP(F116,Tables!D$9:E$17,2,FALSE)</f>
        <v>PTR</v>
      </c>
      <c r="H116" s="60">
        <v>17099625</v>
      </c>
      <c r="I116" s="13">
        <f t="shared" si="20"/>
        <v>35</v>
      </c>
      <c r="J116" s="13">
        <f t="shared" si="21"/>
        <v>0</v>
      </c>
      <c r="K116" s="14">
        <f t="shared" si="22"/>
        <v>0.91700000000000004</v>
      </c>
      <c r="L116" s="14">
        <f t="shared" si="23"/>
        <v>0</v>
      </c>
      <c r="M116" s="15">
        <f t="shared" si="24"/>
        <v>0.91700000000000004</v>
      </c>
      <c r="N116" s="10" t="s">
        <v>113</v>
      </c>
      <c r="O116" s="10" t="s">
        <v>114</v>
      </c>
      <c r="P116" s="16">
        <f>IF(G116="MFP",Tables!B$2,Tables!B$5)</f>
        <v>2.6200000000000001E-2</v>
      </c>
      <c r="Q116" s="17">
        <f>IF(G116="MFP",Tables!B$3,Tables!B$6)</f>
        <v>0.11799999999999999</v>
      </c>
      <c r="R116" s="18">
        <v>213</v>
      </c>
      <c r="S116" s="18">
        <v>248</v>
      </c>
      <c r="T116" s="18">
        <v>0</v>
      </c>
      <c r="U116" s="18">
        <v>0</v>
      </c>
    </row>
    <row r="117" spans="1:55" ht="15.75" outlineLevel="2" x14ac:dyDescent="0.25">
      <c r="A117" s="9" t="s">
        <v>106</v>
      </c>
      <c r="B117" s="9" t="s">
        <v>107</v>
      </c>
      <c r="C117" s="9" t="s">
        <v>108</v>
      </c>
      <c r="D117" s="10" t="s">
        <v>83</v>
      </c>
      <c r="E117" s="11">
        <v>620</v>
      </c>
      <c r="F117" s="10" t="s">
        <v>15</v>
      </c>
      <c r="G117" s="12" t="str">
        <f>VLOOKUP(F117,Tables!D$9:E$17,2,FALSE)</f>
        <v>PTR</v>
      </c>
      <c r="H117" s="60">
        <v>17099619</v>
      </c>
      <c r="I117" s="13">
        <f t="shared" si="20"/>
        <v>157</v>
      </c>
      <c r="J117" s="13">
        <f t="shared" si="21"/>
        <v>0</v>
      </c>
      <c r="K117" s="14">
        <f t="shared" si="22"/>
        <v>4.1134000000000004</v>
      </c>
      <c r="L117" s="14">
        <f t="shared" si="23"/>
        <v>0</v>
      </c>
      <c r="M117" s="15">
        <f t="shared" si="24"/>
        <v>4.1134000000000004</v>
      </c>
      <c r="N117" s="10" t="s">
        <v>115</v>
      </c>
      <c r="O117" s="10" t="s">
        <v>116</v>
      </c>
      <c r="P117" s="16">
        <f>IF(G117="MFP",Tables!B$2,Tables!B$5)</f>
        <v>2.6200000000000001E-2</v>
      </c>
      <c r="Q117" s="17">
        <f>IF(G117="MFP",Tables!B$3,Tables!B$6)</f>
        <v>0.11799999999999999</v>
      </c>
      <c r="R117" s="18">
        <v>467</v>
      </c>
      <c r="S117" s="18">
        <v>624</v>
      </c>
      <c r="T117" s="18">
        <v>0</v>
      </c>
      <c r="U117" s="18">
        <v>0</v>
      </c>
    </row>
    <row r="118" spans="1:55" ht="15.75" outlineLevel="2" x14ac:dyDescent="0.25">
      <c r="A118" s="9" t="s">
        <v>106</v>
      </c>
      <c r="B118" s="9" t="s">
        <v>440</v>
      </c>
      <c r="C118" s="9" t="s">
        <v>441</v>
      </c>
      <c r="D118" s="10" t="s">
        <v>83</v>
      </c>
      <c r="E118" s="11">
        <v>404</v>
      </c>
      <c r="F118" s="10" t="s">
        <v>15</v>
      </c>
      <c r="G118" s="12" t="str">
        <f>VLOOKUP(F118,Tables!D$9:E$17,2,FALSE)</f>
        <v>PTR</v>
      </c>
      <c r="H118" s="60">
        <v>17099764</v>
      </c>
      <c r="I118" s="13">
        <f t="shared" ref="I118:I123" si="25">SUM(S118-R118)</f>
        <v>323</v>
      </c>
      <c r="J118" s="13">
        <f t="shared" ref="J118:J123" si="26">SUM(U118-T118)</f>
        <v>0</v>
      </c>
      <c r="K118" s="14">
        <f t="shared" ref="K118:K123" si="27">SUM(I118*$P118)</f>
        <v>8.4626000000000001</v>
      </c>
      <c r="L118" s="14">
        <f t="shared" ref="L118:L123" si="28">SUM(J118*$Q118)</f>
        <v>0</v>
      </c>
      <c r="M118" s="15">
        <f t="shared" ref="M118:M123" si="29">K118+L118</f>
        <v>8.4626000000000001</v>
      </c>
      <c r="N118" s="10" t="s">
        <v>471</v>
      </c>
      <c r="O118" s="10" t="s">
        <v>472</v>
      </c>
      <c r="P118" s="16">
        <f>IF(G118="MFP",Tables!B$2,Tables!B$5)</f>
        <v>2.6200000000000001E-2</v>
      </c>
      <c r="Q118" s="17">
        <f>IF(G118="MFP",Tables!B$3,Tables!B$6)</f>
        <v>0.11799999999999999</v>
      </c>
      <c r="R118" s="18">
        <v>7528</v>
      </c>
      <c r="S118" s="18">
        <v>7851</v>
      </c>
      <c r="T118" s="18">
        <v>0</v>
      </c>
      <c r="U118" s="18">
        <v>0</v>
      </c>
    </row>
    <row r="119" spans="1:55" ht="15.75" outlineLevel="2" x14ac:dyDescent="0.25">
      <c r="A119" s="9" t="s">
        <v>106</v>
      </c>
      <c r="B119" s="9" t="s">
        <v>440</v>
      </c>
      <c r="C119" s="9" t="s">
        <v>441</v>
      </c>
      <c r="D119" s="10" t="s">
        <v>83</v>
      </c>
      <c r="E119" s="11">
        <v>407</v>
      </c>
      <c r="F119" s="10" t="s">
        <v>15</v>
      </c>
      <c r="G119" s="12" t="str">
        <f>VLOOKUP(F119,Tables!D$9:E$17,2,FALSE)</f>
        <v>PTR</v>
      </c>
      <c r="H119" s="60">
        <v>17099788</v>
      </c>
      <c r="I119" s="13">
        <f t="shared" si="25"/>
        <v>146</v>
      </c>
      <c r="J119" s="13">
        <f t="shared" si="26"/>
        <v>0</v>
      </c>
      <c r="K119" s="14">
        <f t="shared" si="27"/>
        <v>3.8252000000000002</v>
      </c>
      <c r="L119" s="14">
        <f t="shared" si="28"/>
        <v>0</v>
      </c>
      <c r="M119" s="15">
        <f t="shared" si="29"/>
        <v>3.8252000000000002</v>
      </c>
      <c r="N119" s="10" t="s">
        <v>461</v>
      </c>
      <c r="O119" s="10" t="s">
        <v>462</v>
      </c>
      <c r="P119" s="16">
        <f>IF(G119="MFP",Tables!B$2,Tables!B$5)</f>
        <v>2.6200000000000001E-2</v>
      </c>
      <c r="Q119" s="17">
        <f>IF(G119="MFP",Tables!B$3,Tables!B$6)</f>
        <v>0.11799999999999999</v>
      </c>
      <c r="R119" s="18">
        <v>1260</v>
      </c>
      <c r="S119" s="18">
        <v>1406</v>
      </c>
      <c r="T119" s="18">
        <v>0</v>
      </c>
      <c r="U119" s="18">
        <v>0</v>
      </c>
    </row>
    <row r="120" spans="1:55" ht="15.75" outlineLevel="2" x14ac:dyDescent="0.25">
      <c r="A120" s="9" t="s">
        <v>106</v>
      </c>
      <c r="B120" s="9" t="s">
        <v>440</v>
      </c>
      <c r="C120" s="9" t="s">
        <v>441</v>
      </c>
      <c r="D120" s="10" t="s">
        <v>83</v>
      </c>
      <c r="E120" s="11">
        <v>426</v>
      </c>
      <c r="F120" s="10" t="s">
        <v>15</v>
      </c>
      <c r="G120" s="12" t="str">
        <f>VLOOKUP(F120,Tables!D$9:E$17,2,FALSE)</f>
        <v>PTR</v>
      </c>
      <c r="H120" s="60">
        <v>17099766</v>
      </c>
      <c r="I120" s="13">
        <f t="shared" si="25"/>
        <v>439</v>
      </c>
      <c r="J120" s="13">
        <f t="shared" si="26"/>
        <v>0</v>
      </c>
      <c r="K120" s="14">
        <f t="shared" si="27"/>
        <v>11.501800000000001</v>
      </c>
      <c r="L120" s="14">
        <f t="shared" si="28"/>
        <v>0</v>
      </c>
      <c r="M120" s="15">
        <f t="shared" si="29"/>
        <v>11.501800000000001</v>
      </c>
      <c r="N120" s="10" t="s">
        <v>469</v>
      </c>
      <c r="O120" s="10" t="s">
        <v>470</v>
      </c>
      <c r="P120" s="16">
        <f>IF(G120="MFP",Tables!B$2,Tables!B$5)</f>
        <v>2.6200000000000001E-2</v>
      </c>
      <c r="Q120" s="17">
        <f>IF(G120="MFP",Tables!B$3,Tables!B$6)</f>
        <v>0.11799999999999999</v>
      </c>
      <c r="R120" s="18">
        <v>1844</v>
      </c>
      <c r="S120" s="18">
        <v>2283</v>
      </c>
      <c r="T120" s="18">
        <v>0</v>
      </c>
      <c r="U120" s="18">
        <v>0</v>
      </c>
    </row>
    <row r="121" spans="1:55" ht="15.75" outlineLevel="2" x14ac:dyDescent="0.25">
      <c r="A121" s="9" t="s">
        <v>106</v>
      </c>
      <c r="B121" s="9" t="s">
        <v>440</v>
      </c>
      <c r="C121" s="9" t="s">
        <v>441</v>
      </c>
      <c r="D121" s="10" t="s">
        <v>83</v>
      </c>
      <c r="E121" s="11">
        <v>427</v>
      </c>
      <c r="F121" s="10" t="s">
        <v>15</v>
      </c>
      <c r="G121" s="12" t="str">
        <f>VLOOKUP(F121,Tables!D$9:E$17,2,FALSE)</f>
        <v>PTR</v>
      </c>
      <c r="H121" s="60">
        <v>17099767</v>
      </c>
      <c r="I121" s="13">
        <f t="shared" si="25"/>
        <v>120</v>
      </c>
      <c r="J121" s="13">
        <f t="shared" si="26"/>
        <v>0</v>
      </c>
      <c r="K121" s="14">
        <f t="shared" si="27"/>
        <v>3.1440000000000001</v>
      </c>
      <c r="L121" s="14">
        <f t="shared" si="28"/>
        <v>0</v>
      </c>
      <c r="M121" s="15">
        <f t="shared" si="29"/>
        <v>3.1440000000000001</v>
      </c>
      <c r="N121" s="10" t="s">
        <v>467</v>
      </c>
      <c r="O121" s="10" t="s">
        <v>468</v>
      </c>
      <c r="P121" s="16">
        <f>IF(G121="MFP",Tables!B$2,Tables!B$5)</f>
        <v>2.6200000000000001E-2</v>
      </c>
      <c r="Q121" s="17">
        <f>IF(G121="MFP",Tables!B$3,Tables!B$6)</f>
        <v>0.11799999999999999</v>
      </c>
      <c r="R121" s="18">
        <v>959</v>
      </c>
      <c r="S121" s="18">
        <v>1079</v>
      </c>
      <c r="T121" s="18">
        <v>0</v>
      </c>
      <c r="U121" s="18">
        <v>0</v>
      </c>
    </row>
    <row r="122" spans="1:55" ht="15.75" outlineLevel="2" x14ac:dyDescent="0.25">
      <c r="A122" s="9" t="s">
        <v>106</v>
      </c>
      <c r="B122" s="9" t="s">
        <v>440</v>
      </c>
      <c r="C122" s="9" t="s">
        <v>441</v>
      </c>
      <c r="D122" s="10" t="s">
        <v>83</v>
      </c>
      <c r="E122" s="11">
        <v>428</v>
      </c>
      <c r="F122" s="10" t="s">
        <v>15</v>
      </c>
      <c r="G122" s="12" t="str">
        <f>VLOOKUP(F122,Tables!D$9:E$17,2,FALSE)</f>
        <v>PTR</v>
      </c>
      <c r="H122" s="60">
        <v>17099765</v>
      </c>
      <c r="I122" s="13">
        <f t="shared" si="25"/>
        <v>6</v>
      </c>
      <c r="J122" s="13">
        <f t="shared" si="26"/>
        <v>0</v>
      </c>
      <c r="K122" s="14">
        <f t="shared" si="27"/>
        <v>0.15720000000000001</v>
      </c>
      <c r="L122" s="14">
        <f t="shared" si="28"/>
        <v>0</v>
      </c>
      <c r="M122" s="15">
        <f t="shared" si="29"/>
        <v>0.15720000000000001</v>
      </c>
      <c r="N122" s="10" t="s">
        <v>463</v>
      </c>
      <c r="O122" s="10" t="s">
        <v>464</v>
      </c>
      <c r="P122" s="16">
        <f>IF(G122="MFP",Tables!B$2,Tables!B$5)</f>
        <v>2.6200000000000001E-2</v>
      </c>
      <c r="Q122" s="17">
        <f>IF(G122="MFP",Tables!B$3,Tables!B$6)</f>
        <v>0.11799999999999999</v>
      </c>
      <c r="R122" s="18">
        <v>1628</v>
      </c>
      <c r="S122" s="18">
        <v>1634</v>
      </c>
      <c r="T122" s="18">
        <v>0</v>
      </c>
      <c r="U122" s="18">
        <v>0</v>
      </c>
    </row>
    <row r="123" spans="1:55" ht="15.75" outlineLevel="2" x14ac:dyDescent="0.25">
      <c r="A123" s="9" t="s">
        <v>106</v>
      </c>
      <c r="B123" s="9" t="s">
        <v>440</v>
      </c>
      <c r="C123" s="9" t="s">
        <v>441</v>
      </c>
      <c r="D123" s="10" t="s">
        <v>83</v>
      </c>
      <c r="E123" s="11">
        <v>506</v>
      </c>
      <c r="F123" s="10" t="s">
        <v>15</v>
      </c>
      <c r="G123" s="12" t="str">
        <f>VLOOKUP(F123,Tables!D$9:E$17,2,FALSE)</f>
        <v>PTR</v>
      </c>
      <c r="H123" s="60">
        <v>17099627</v>
      </c>
      <c r="I123" s="13">
        <f t="shared" si="25"/>
        <v>142</v>
      </c>
      <c r="J123" s="13">
        <f t="shared" si="26"/>
        <v>0</v>
      </c>
      <c r="K123" s="14">
        <f t="shared" si="27"/>
        <v>3.7204000000000002</v>
      </c>
      <c r="L123" s="14">
        <f t="shared" si="28"/>
        <v>0</v>
      </c>
      <c r="M123" s="15">
        <f t="shared" si="29"/>
        <v>3.7204000000000002</v>
      </c>
      <c r="N123" s="10" t="s">
        <v>465</v>
      </c>
      <c r="O123" s="10" t="s">
        <v>466</v>
      </c>
      <c r="P123" s="16">
        <f>IF(G123="MFP",Tables!B$2,Tables!B$5)</f>
        <v>2.6200000000000001E-2</v>
      </c>
      <c r="Q123" s="17">
        <f>IF(G123="MFP",Tables!B$3,Tables!B$6)</f>
        <v>0.11799999999999999</v>
      </c>
      <c r="R123" s="18">
        <v>550</v>
      </c>
      <c r="S123" s="18">
        <v>692</v>
      </c>
      <c r="T123" s="18">
        <v>0</v>
      </c>
      <c r="U123" s="18">
        <v>0</v>
      </c>
    </row>
    <row r="124" spans="1:55" outlineLevel="1" x14ac:dyDescent="0.3">
      <c r="A124" s="19" t="s">
        <v>798</v>
      </c>
      <c r="B124" s="110"/>
      <c r="C124" s="110"/>
      <c r="D124" s="10"/>
      <c r="E124" s="11"/>
      <c r="F124" s="10"/>
      <c r="G124" s="12"/>
      <c r="H124" s="60"/>
      <c r="I124" s="13"/>
      <c r="J124" s="13"/>
      <c r="K124" s="106"/>
      <c r="L124" s="106"/>
      <c r="M124" s="15">
        <f>SUBTOTAL(9,M112:M123)</f>
        <v>63.071400000000004</v>
      </c>
      <c r="N124" s="10"/>
      <c r="O124" s="10"/>
      <c r="P124" s="16"/>
      <c r="Q124" s="17"/>
      <c r="R124" s="18"/>
      <c r="S124" s="18"/>
      <c r="T124" s="18"/>
      <c r="U124" s="18"/>
      <c r="BC124" s="65">
        <f>SUBTOTAL(9,BC112:BC123)</f>
        <v>0</v>
      </c>
    </row>
    <row r="125" spans="1:55" ht="15.75" outlineLevel="2" x14ac:dyDescent="0.25">
      <c r="A125" s="9" t="s">
        <v>121</v>
      </c>
      <c r="B125" s="9" t="s">
        <v>101</v>
      </c>
      <c r="C125" s="9" t="s">
        <v>688</v>
      </c>
      <c r="D125" s="10" t="s">
        <v>98</v>
      </c>
      <c r="E125" s="11">
        <v>323</v>
      </c>
      <c r="F125" s="10" t="s">
        <v>15</v>
      </c>
      <c r="G125" s="12" t="str">
        <f>VLOOKUP(F125,Tables!D$9:E$17,2,FALSE)</f>
        <v>PTR</v>
      </c>
      <c r="H125" s="60">
        <v>17099559</v>
      </c>
      <c r="I125" s="13">
        <f t="shared" ref="I125:I136" si="30">SUM(S125-R125)</f>
        <v>792</v>
      </c>
      <c r="J125" s="13">
        <f t="shared" ref="J125:J136" si="31">SUM(U125-T125)</f>
        <v>0</v>
      </c>
      <c r="K125" s="14">
        <f t="shared" ref="K125:K136" si="32">SUM(I125*$P125)</f>
        <v>20.750399999999999</v>
      </c>
      <c r="L125" s="14">
        <f t="shared" ref="L125:L136" si="33">SUM(J125*$Q125)</f>
        <v>0</v>
      </c>
      <c r="M125" s="15">
        <f t="shared" ref="M125:M136" si="34">K125+L125</f>
        <v>20.750399999999999</v>
      </c>
      <c r="N125" s="10" t="s">
        <v>102</v>
      </c>
      <c r="O125" s="10" t="s">
        <v>103</v>
      </c>
      <c r="P125" s="16">
        <f>IF(G125="MFP",Tables!B$2,Tables!B$5)</f>
        <v>2.6200000000000001E-2</v>
      </c>
      <c r="Q125" s="17">
        <f>IF(G125="MFP",Tables!B$3,Tables!B$6)</f>
        <v>0.11799999999999999</v>
      </c>
      <c r="R125" s="18">
        <v>2110</v>
      </c>
      <c r="S125" s="18">
        <v>2902</v>
      </c>
      <c r="T125" s="18">
        <v>0</v>
      </c>
      <c r="U125" s="18">
        <v>0</v>
      </c>
    </row>
    <row r="126" spans="1:55" ht="15.75" outlineLevel="2" x14ac:dyDescent="0.25">
      <c r="A126" s="9" t="s">
        <v>121</v>
      </c>
      <c r="B126" s="9" t="s">
        <v>101</v>
      </c>
      <c r="C126" s="9" t="s">
        <v>121</v>
      </c>
      <c r="D126" s="10" t="s">
        <v>98</v>
      </c>
      <c r="E126" s="11">
        <v>206</v>
      </c>
      <c r="F126" s="10" t="s">
        <v>15</v>
      </c>
      <c r="G126" s="12" t="str">
        <f>VLOOKUP(F126,Tables!D$9:E$17,2,FALSE)</f>
        <v>PTR</v>
      </c>
      <c r="H126" s="60">
        <v>17099540</v>
      </c>
      <c r="I126" s="13">
        <f t="shared" si="30"/>
        <v>333</v>
      </c>
      <c r="J126" s="13">
        <f t="shared" si="31"/>
        <v>0</v>
      </c>
      <c r="K126" s="14">
        <f t="shared" si="32"/>
        <v>8.7246000000000006</v>
      </c>
      <c r="L126" s="14">
        <f t="shared" si="33"/>
        <v>0</v>
      </c>
      <c r="M126" s="15">
        <f t="shared" si="34"/>
        <v>8.7246000000000006</v>
      </c>
      <c r="N126" s="10" t="s">
        <v>136</v>
      </c>
      <c r="O126" s="10" t="s">
        <v>137</v>
      </c>
      <c r="P126" s="16">
        <f>IF(G126="MFP",Tables!B$2,Tables!B$5)</f>
        <v>2.6200000000000001E-2</v>
      </c>
      <c r="Q126" s="17">
        <f>IF(G126="MFP",Tables!B$3,Tables!B$6)</f>
        <v>0.11799999999999999</v>
      </c>
      <c r="R126" s="18">
        <v>988</v>
      </c>
      <c r="S126" s="18">
        <v>1321</v>
      </c>
      <c r="T126" s="18">
        <v>0</v>
      </c>
      <c r="U126" s="18">
        <v>0</v>
      </c>
    </row>
    <row r="127" spans="1:55" ht="15.75" outlineLevel="2" x14ac:dyDescent="0.25">
      <c r="A127" s="9" t="s">
        <v>121</v>
      </c>
      <c r="B127" s="9" t="s">
        <v>101</v>
      </c>
      <c r="C127" s="9" t="s">
        <v>121</v>
      </c>
      <c r="D127" s="10" t="s">
        <v>98</v>
      </c>
      <c r="E127" s="11">
        <v>220</v>
      </c>
      <c r="F127" s="10" t="s">
        <v>15</v>
      </c>
      <c r="G127" s="12" t="str">
        <f>VLOOKUP(F127,Tables!D$9:E$17,2,FALSE)</f>
        <v>PTR</v>
      </c>
      <c r="H127" s="60">
        <v>17099539</v>
      </c>
      <c r="I127" s="13">
        <f t="shared" si="30"/>
        <v>446</v>
      </c>
      <c r="J127" s="13">
        <f t="shared" si="31"/>
        <v>0</v>
      </c>
      <c r="K127" s="14">
        <f t="shared" si="32"/>
        <v>11.6852</v>
      </c>
      <c r="L127" s="14">
        <f t="shared" si="33"/>
        <v>0</v>
      </c>
      <c r="M127" s="15">
        <f t="shared" si="34"/>
        <v>11.6852</v>
      </c>
      <c r="N127" s="10" t="s">
        <v>140</v>
      </c>
      <c r="O127" s="10" t="s">
        <v>141</v>
      </c>
      <c r="P127" s="16">
        <f>IF(G127="MFP",Tables!B$2,Tables!B$5)</f>
        <v>2.6200000000000001E-2</v>
      </c>
      <c r="Q127" s="17">
        <f>IF(G127="MFP",Tables!B$3,Tables!B$6)</f>
        <v>0.11799999999999999</v>
      </c>
      <c r="R127" s="18">
        <v>1402</v>
      </c>
      <c r="S127" s="18">
        <v>1848</v>
      </c>
      <c r="T127" s="18">
        <v>0</v>
      </c>
      <c r="U127" s="18">
        <v>0</v>
      </c>
    </row>
    <row r="128" spans="1:55" ht="15.75" outlineLevel="2" x14ac:dyDescent="0.25">
      <c r="A128" s="9" t="s">
        <v>121</v>
      </c>
      <c r="B128" s="9" t="s">
        <v>101</v>
      </c>
      <c r="C128" s="9" t="s">
        <v>121</v>
      </c>
      <c r="D128" s="10" t="s">
        <v>98</v>
      </c>
      <c r="E128" s="11">
        <v>221</v>
      </c>
      <c r="F128" s="10" t="s">
        <v>92</v>
      </c>
      <c r="G128" s="12" t="str">
        <f>VLOOKUP(F128,Tables!D$9:E$17,2,FALSE)</f>
        <v>PTR</v>
      </c>
      <c r="H128" s="60">
        <v>17099516</v>
      </c>
      <c r="I128" s="13">
        <f t="shared" si="30"/>
        <v>279</v>
      </c>
      <c r="J128" s="13">
        <f t="shared" si="31"/>
        <v>240</v>
      </c>
      <c r="K128" s="14">
        <f t="shared" si="32"/>
        <v>7.3098000000000001</v>
      </c>
      <c r="L128" s="14">
        <f t="shared" si="33"/>
        <v>28.32</v>
      </c>
      <c r="M128" s="15">
        <f t="shared" si="34"/>
        <v>35.629800000000003</v>
      </c>
      <c r="N128" s="10" t="s">
        <v>138</v>
      </c>
      <c r="O128" s="10" t="s">
        <v>139</v>
      </c>
      <c r="P128" s="16">
        <f>IF(G128="MFP",Tables!B$2,Tables!B$5)</f>
        <v>2.6200000000000001E-2</v>
      </c>
      <c r="Q128" s="17">
        <f>IF(G128="MFP",Tables!B$3,Tables!B$6)</f>
        <v>0.11799999999999999</v>
      </c>
      <c r="R128" s="18">
        <v>662</v>
      </c>
      <c r="S128" s="18">
        <v>941</v>
      </c>
      <c r="T128" s="18">
        <v>443</v>
      </c>
      <c r="U128" s="18">
        <v>683</v>
      </c>
    </row>
    <row r="129" spans="1:55" ht="15.75" outlineLevel="2" x14ac:dyDescent="0.25">
      <c r="A129" s="9" t="s">
        <v>121</v>
      </c>
      <c r="B129" s="9" t="s">
        <v>101</v>
      </c>
      <c r="C129" s="9" t="s">
        <v>121</v>
      </c>
      <c r="D129" s="10" t="s">
        <v>98</v>
      </c>
      <c r="E129" s="11">
        <v>222</v>
      </c>
      <c r="F129" s="10" t="s">
        <v>15</v>
      </c>
      <c r="G129" s="12" t="str">
        <f>VLOOKUP(F129,Tables!D$9:E$17,2,FALSE)</f>
        <v>PTR</v>
      </c>
      <c r="H129" s="60">
        <v>17099538</v>
      </c>
      <c r="I129" s="13">
        <f t="shared" si="30"/>
        <v>683</v>
      </c>
      <c r="J129" s="13">
        <f t="shared" si="31"/>
        <v>0</v>
      </c>
      <c r="K129" s="14">
        <f t="shared" si="32"/>
        <v>17.894600000000001</v>
      </c>
      <c r="L129" s="14">
        <f t="shared" si="33"/>
        <v>0</v>
      </c>
      <c r="M129" s="15">
        <f t="shared" si="34"/>
        <v>17.894600000000001</v>
      </c>
      <c r="N129" s="10" t="s">
        <v>128</v>
      </c>
      <c r="O129" s="10" t="s">
        <v>129</v>
      </c>
      <c r="P129" s="16">
        <f>IF(G129="MFP",Tables!B$2,Tables!B$5)</f>
        <v>2.6200000000000001E-2</v>
      </c>
      <c r="Q129" s="17">
        <f>IF(G129="MFP",Tables!B$3,Tables!B$6)</f>
        <v>0.11799999999999999</v>
      </c>
      <c r="R129" s="18">
        <v>1127</v>
      </c>
      <c r="S129" s="18">
        <v>1810</v>
      </c>
      <c r="T129" s="18">
        <v>0</v>
      </c>
      <c r="U129" s="18">
        <v>0</v>
      </c>
    </row>
    <row r="130" spans="1:55" ht="15.75" outlineLevel="2" x14ac:dyDescent="0.25">
      <c r="A130" s="9" t="s">
        <v>121</v>
      </c>
      <c r="B130" s="9" t="s">
        <v>101</v>
      </c>
      <c r="C130" s="9" t="s">
        <v>121</v>
      </c>
      <c r="D130" s="10" t="s">
        <v>98</v>
      </c>
      <c r="E130" s="11">
        <v>223</v>
      </c>
      <c r="F130" s="10" t="s">
        <v>15</v>
      </c>
      <c r="G130" s="12" t="str">
        <f>VLOOKUP(F130,Tables!D$9:E$17,2,FALSE)</f>
        <v>PTR</v>
      </c>
      <c r="H130" s="60">
        <v>17099514</v>
      </c>
      <c r="I130" s="13">
        <f t="shared" si="30"/>
        <v>548</v>
      </c>
      <c r="J130" s="13">
        <f t="shared" si="31"/>
        <v>0</v>
      </c>
      <c r="K130" s="14">
        <f t="shared" si="32"/>
        <v>14.357600000000001</v>
      </c>
      <c r="L130" s="14">
        <f t="shared" si="33"/>
        <v>0</v>
      </c>
      <c r="M130" s="15">
        <f t="shared" si="34"/>
        <v>14.357600000000001</v>
      </c>
      <c r="N130" s="10" t="s">
        <v>134</v>
      </c>
      <c r="O130" s="10" t="s">
        <v>135</v>
      </c>
      <c r="P130" s="16">
        <f>IF(G130="MFP",Tables!B$2,Tables!B$5)</f>
        <v>2.6200000000000001E-2</v>
      </c>
      <c r="Q130" s="17">
        <f>IF(G130="MFP",Tables!B$3,Tables!B$6)</f>
        <v>0.11799999999999999</v>
      </c>
      <c r="R130" s="18">
        <v>2907</v>
      </c>
      <c r="S130" s="18">
        <v>3455</v>
      </c>
      <c r="T130" s="18">
        <v>0</v>
      </c>
      <c r="U130" s="18">
        <v>0</v>
      </c>
    </row>
    <row r="131" spans="1:55" ht="15.75" outlineLevel="2" x14ac:dyDescent="0.25">
      <c r="A131" s="9" t="s">
        <v>121</v>
      </c>
      <c r="B131" s="9" t="s">
        <v>101</v>
      </c>
      <c r="C131" s="9" t="s">
        <v>121</v>
      </c>
      <c r="D131" s="10" t="s">
        <v>98</v>
      </c>
      <c r="E131" s="11">
        <v>224</v>
      </c>
      <c r="F131" s="10" t="s">
        <v>15</v>
      </c>
      <c r="G131" s="12" t="str">
        <f>VLOOKUP(F131,Tables!D$9:E$17,2,FALSE)</f>
        <v>PTR</v>
      </c>
      <c r="H131" s="60">
        <v>17099517</v>
      </c>
      <c r="I131" s="13">
        <f t="shared" si="30"/>
        <v>0</v>
      </c>
      <c r="J131" s="13">
        <f t="shared" si="31"/>
        <v>0</v>
      </c>
      <c r="K131" s="14">
        <f t="shared" si="32"/>
        <v>0</v>
      </c>
      <c r="L131" s="14">
        <f t="shared" si="33"/>
        <v>0</v>
      </c>
      <c r="M131" s="15">
        <f t="shared" si="34"/>
        <v>0</v>
      </c>
      <c r="N131" s="10" t="s">
        <v>142</v>
      </c>
      <c r="O131" s="10" t="s">
        <v>143</v>
      </c>
      <c r="P131" s="16">
        <f>IF(G131="MFP",Tables!B$2,Tables!B$5)</f>
        <v>2.6200000000000001E-2</v>
      </c>
      <c r="Q131" s="17">
        <f>IF(G131="MFP",Tables!B$3,Tables!B$6)</f>
        <v>0.11799999999999999</v>
      </c>
      <c r="R131" s="18">
        <v>0</v>
      </c>
      <c r="S131" s="18">
        <v>0</v>
      </c>
      <c r="T131" s="18">
        <v>0</v>
      </c>
      <c r="U131" s="18">
        <v>0</v>
      </c>
    </row>
    <row r="132" spans="1:55" ht="15.75" outlineLevel="2" x14ac:dyDescent="0.25">
      <c r="A132" s="9" t="s">
        <v>121</v>
      </c>
      <c r="B132" s="9" t="s">
        <v>101</v>
      </c>
      <c r="C132" s="9" t="s">
        <v>121</v>
      </c>
      <c r="D132" s="10" t="s">
        <v>98</v>
      </c>
      <c r="E132" s="11">
        <v>226</v>
      </c>
      <c r="F132" s="10" t="s">
        <v>15</v>
      </c>
      <c r="G132" s="12" t="str">
        <f>VLOOKUP(F132,Tables!D$9:E$17,2,FALSE)</f>
        <v>PTR</v>
      </c>
      <c r="H132" s="60">
        <v>17099521</v>
      </c>
      <c r="I132" s="13">
        <f t="shared" si="30"/>
        <v>270</v>
      </c>
      <c r="J132" s="13">
        <f t="shared" si="31"/>
        <v>0</v>
      </c>
      <c r="K132" s="14">
        <f t="shared" si="32"/>
        <v>7.0739999999999998</v>
      </c>
      <c r="L132" s="14">
        <f t="shared" si="33"/>
        <v>0</v>
      </c>
      <c r="M132" s="15">
        <f t="shared" si="34"/>
        <v>7.0739999999999998</v>
      </c>
      <c r="N132" s="10" t="s">
        <v>126</v>
      </c>
      <c r="O132" s="10" t="s">
        <v>127</v>
      </c>
      <c r="P132" s="16">
        <f>IF(G132="MFP",Tables!B$2,Tables!B$5)</f>
        <v>2.6200000000000001E-2</v>
      </c>
      <c r="Q132" s="17">
        <f>IF(G132="MFP",Tables!B$3,Tables!B$6)</f>
        <v>0.11799999999999999</v>
      </c>
      <c r="R132" s="18">
        <v>1593</v>
      </c>
      <c r="S132" s="18">
        <v>1863</v>
      </c>
      <c r="T132" s="18">
        <v>0</v>
      </c>
      <c r="U132" s="18">
        <v>0</v>
      </c>
    </row>
    <row r="133" spans="1:55" ht="15.75" outlineLevel="2" x14ac:dyDescent="0.25">
      <c r="A133" s="9" t="s">
        <v>121</v>
      </c>
      <c r="B133" s="9" t="s">
        <v>101</v>
      </c>
      <c r="C133" s="9" t="s">
        <v>121</v>
      </c>
      <c r="D133" s="10" t="s">
        <v>98</v>
      </c>
      <c r="E133" s="11">
        <v>227</v>
      </c>
      <c r="F133" s="10" t="s">
        <v>54</v>
      </c>
      <c r="G133" s="12" t="str">
        <f>VLOOKUP(F133,Tables!D$9:E$17,2,FALSE)</f>
        <v>MFP</v>
      </c>
      <c r="H133" s="60">
        <v>17099458</v>
      </c>
      <c r="I133" s="13">
        <f t="shared" si="30"/>
        <v>26324</v>
      </c>
      <c r="J133" s="13">
        <f t="shared" si="31"/>
        <v>1042</v>
      </c>
      <c r="K133" s="14">
        <f t="shared" si="32"/>
        <v>544.90679999999998</v>
      </c>
      <c r="L133" s="14">
        <f t="shared" si="33"/>
        <v>90.653999999999996</v>
      </c>
      <c r="M133" s="15">
        <f t="shared" si="34"/>
        <v>635.56079999999997</v>
      </c>
      <c r="N133" s="10" t="s">
        <v>122</v>
      </c>
      <c r="O133" s="10" t="s">
        <v>123</v>
      </c>
      <c r="P133" s="16">
        <f>IF(G133="MFP",Tables!B$2,Tables!B$5)</f>
        <v>2.07E-2</v>
      </c>
      <c r="Q133" s="17">
        <f>IF(G133="MFP",Tables!B$3,Tables!B$6)</f>
        <v>8.6999999999999994E-2</v>
      </c>
      <c r="R133" s="18">
        <v>48854</v>
      </c>
      <c r="S133" s="18">
        <v>75178</v>
      </c>
      <c r="T133" s="18">
        <v>3531</v>
      </c>
      <c r="U133" s="18">
        <v>4573</v>
      </c>
    </row>
    <row r="134" spans="1:55" ht="15.75" outlineLevel="2" x14ac:dyDescent="0.25">
      <c r="A134" s="9" t="s">
        <v>121</v>
      </c>
      <c r="B134" s="9" t="s">
        <v>101</v>
      </c>
      <c r="C134" s="9" t="s">
        <v>121</v>
      </c>
      <c r="D134" s="10" t="s">
        <v>98</v>
      </c>
      <c r="E134" s="11">
        <v>231</v>
      </c>
      <c r="F134" s="10" t="s">
        <v>15</v>
      </c>
      <c r="G134" s="12" t="str">
        <f>VLOOKUP(F134,Tables!D$9:E$17,2,FALSE)</f>
        <v>PTR</v>
      </c>
      <c r="H134" s="60">
        <v>17099537</v>
      </c>
      <c r="I134" s="13">
        <f t="shared" si="30"/>
        <v>585</v>
      </c>
      <c r="J134" s="13">
        <f t="shared" si="31"/>
        <v>0</v>
      </c>
      <c r="K134" s="14">
        <f t="shared" si="32"/>
        <v>15.327</v>
      </c>
      <c r="L134" s="14">
        <f t="shared" si="33"/>
        <v>0</v>
      </c>
      <c r="M134" s="15">
        <f t="shared" si="34"/>
        <v>15.327</v>
      </c>
      <c r="N134" s="10" t="s">
        <v>130</v>
      </c>
      <c r="O134" s="10" t="s">
        <v>131</v>
      </c>
      <c r="P134" s="16">
        <f>IF(G134="MFP",Tables!B$2,Tables!B$5)</f>
        <v>2.6200000000000001E-2</v>
      </c>
      <c r="Q134" s="17">
        <f>IF(G134="MFP",Tables!B$3,Tables!B$6)</f>
        <v>0.11799999999999999</v>
      </c>
      <c r="R134" s="18">
        <v>2118</v>
      </c>
      <c r="S134" s="18">
        <v>2703</v>
      </c>
      <c r="T134" s="18">
        <v>0</v>
      </c>
      <c r="U134" s="18">
        <v>0</v>
      </c>
    </row>
    <row r="135" spans="1:55" ht="15.75" outlineLevel="2" x14ac:dyDescent="0.25">
      <c r="A135" s="9" t="s">
        <v>121</v>
      </c>
      <c r="B135" s="9" t="s">
        <v>101</v>
      </c>
      <c r="C135" s="9" t="s">
        <v>121</v>
      </c>
      <c r="D135" s="10" t="s">
        <v>98</v>
      </c>
      <c r="E135" s="11">
        <v>232</v>
      </c>
      <c r="F135" s="10" t="s">
        <v>15</v>
      </c>
      <c r="G135" s="12" t="str">
        <f>VLOOKUP(F135,Tables!D$9:E$17,2,FALSE)</f>
        <v>PTR</v>
      </c>
      <c r="H135" s="60">
        <v>17099519</v>
      </c>
      <c r="I135" s="13">
        <f t="shared" si="30"/>
        <v>447</v>
      </c>
      <c r="J135" s="13">
        <f t="shared" si="31"/>
        <v>0</v>
      </c>
      <c r="K135" s="14">
        <f t="shared" si="32"/>
        <v>11.711400000000001</v>
      </c>
      <c r="L135" s="14">
        <f t="shared" si="33"/>
        <v>0</v>
      </c>
      <c r="M135" s="15">
        <f t="shared" si="34"/>
        <v>11.711400000000001</v>
      </c>
      <c r="N135" s="10" t="s">
        <v>124</v>
      </c>
      <c r="O135" s="10" t="s">
        <v>125</v>
      </c>
      <c r="P135" s="16">
        <f>IF(G135="MFP",Tables!B$2,Tables!B$5)</f>
        <v>2.6200000000000001E-2</v>
      </c>
      <c r="Q135" s="17">
        <f>IF(G135="MFP",Tables!B$3,Tables!B$6)</f>
        <v>0.11799999999999999</v>
      </c>
      <c r="R135" s="18">
        <v>918</v>
      </c>
      <c r="S135" s="18">
        <v>1365</v>
      </c>
      <c r="T135" s="18">
        <v>0</v>
      </c>
      <c r="U135" s="18">
        <v>0</v>
      </c>
    </row>
    <row r="136" spans="1:55" ht="15.75" outlineLevel="2" x14ac:dyDescent="0.25">
      <c r="A136" s="9" t="s">
        <v>121</v>
      </c>
      <c r="B136" s="9" t="s">
        <v>101</v>
      </c>
      <c r="C136" s="9" t="s">
        <v>121</v>
      </c>
      <c r="D136" s="10" t="s">
        <v>98</v>
      </c>
      <c r="E136" s="11">
        <v>236</v>
      </c>
      <c r="F136" s="10" t="s">
        <v>15</v>
      </c>
      <c r="G136" s="12" t="str">
        <f>VLOOKUP(F136,Tables!D$9:E$17,2,FALSE)</f>
        <v>PTR</v>
      </c>
      <c r="H136" s="60">
        <v>17099518</v>
      </c>
      <c r="I136" s="13">
        <f t="shared" si="30"/>
        <v>140</v>
      </c>
      <c r="J136" s="13">
        <f t="shared" si="31"/>
        <v>0</v>
      </c>
      <c r="K136" s="14">
        <f t="shared" si="32"/>
        <v>3.6680000000000001</v>
      </c>
      <c r="L136" s="14">
        <f t="shared" si="33"/>
        <v>0</v>
      </c>
      <c r="M136" s="15">
        <f t="shared" si="34"/>
        <v>3.6680000000000001</v>
      </c>
      <c r="N136" s="10" t="s">
        <v>132</v>
      </c>
      <c r="O136" s="10" t="s">
        <v>133</v>
      </c>
      <c r="P136" s="16">
        <f>IF(G136="MFP",Tables!B$2,Tables!B$5)</f>
        <v>2.6200000000000001E-2</v>
      </c>
      <c r="Q136" s="17">
        <f>IF(G136="MFP",Tables!B$3,Tables!B$6)</f>
        <v>0.11799999999999999</v>
      </c>
      <c r="R136" s="18">
        <v>1269</v>
      </c>
      <c r="S136" s="18">
        <v>1409</v>
      </c>
      <c r="T136" s="18">
        <v>0</v>
      </c>
      <c r="U136" s="18">
        <v>0</v>
      </c>
    </row>
    <row r="137" spans="1:55" outlineLevel="1" x14ac:dyDescent="0.3">
      <c r="A137" s="19" t="s">
        <v>799</v>
      </c>
      <c r="B137" s="110"/>
      <c r="C137" s="110"/>
      <c r="D137" s="10"/>
      <c r="E137" s="11"/>
      <c r="F137" s="10"/>
      <c r="G137" s="12"/>
      <c r="H137" s="60"/>
      <c r="I137" s="13"/>
      <c r="J137" s="13"/>
      <c r="K137" s="106"/>
      <c r="L137" s="106"/>
      <c r="M137" s="15">
        <f>SUBTOTAL(9,M125:M136)</f>
        <v>782.38340000000005</v>
      </c>
      <c r="N137" s="10"/>
      <c r="O137" s="10"/>
      <c r="P137" s="16"/>
      <c r="Q137" s="17"/>
      <c r="R137" s="18"/>
      <c r="S137" s="18"/>
      <c r="T137" s="18"/>
      <c r="U137" s="18"/>
      <c r="BC137" s="65">
        <f>SUBTOTAL(9,BC125:BC136)</f>
        <v>0</v>
      </c>
    </row>
    <row r="138" spans="1:55" ht="30" outlineLevel="2" x14ac:dyDescent="0.25">
      <c r="A138" s="9" t="s">
        <v>359</v>
      </c>
      <c r="B138" s="9" t="s">
        <v>228</v>
      </c>
      <c r="C138" s="9" t="s">
        <v>306</v>
      </c>
      <c r="D138" s="10" t="s">
        <v>230</v>
      </c>
      <c r="E138" s="11">
        <v>302</v>
      </c>
      <c r="F138" s="10" t="s">
        <v>15</v>
      </c>
      <c r="G138" s="12" t="str">
        <f>VLOOKUP(F138,Tables!D$9:E$17,2,FALSE)</f>
        <v>PTR</v>
      </c>
      <c r="H138" s="60">
        <v>17099574</v>
      </c>
      <c r="I138" s="13">
        <f>SUM(S138-R138)</f>
        <v>0</v>
      </c>
      <c r="J138" s="13">
        <f>SUM(U138-T138)</f>
        <v>0</v>
      </c>
      <c r="K138" s="14">
        <f>SUM(I138*$P138)</f>
        <v>0</v>
      </c>
      <c r="L138" s="14">
        <f>SUM(J138*$Q138)</f>
        <v>0</v>
      </c>
      <c r="M138" s="15">
        <f>K138+L138</f>
        <v>0</v>
      </c>
      <c r="N138" s="10" t="s">
        <v>371</v>
      </c>
      <c r="O138" s="10" t="s">
        <v>372</v>
      </c>
      <c r="P138" s="16">
        <f>IF(G138="MFP",Tables!B$2,Tables!B$5)</f>
        <v>2.6200000000000001E-2</v>
      </c>
      <c r="Q138" s="17">
        <f>IF(G138="MFP",Tables!B$3,Tables!B$6)</f>
        <v>0.11799999999999999</v>
      </c>
      <c r="R138" s="18">
        <v>4</v>
      </c>
      <c r="S138" s="18">
        <v>4</v>
      </c>
      <c r="T138" s="18">
        <v>0</v>
      </c>
      <c r="U138" s="18">
        <v>0</v>
      </c>
    </row>
    <row r="139" spans="1:55" ht="30" outlineLevel="2" x14ac:dyDescent="0.25">
      <c r="A139" s="9" t="s">
        <v>359</v>
      </c>
      <c r="B139" s="9" t="s">
        <v>228</v>
      </c>
      <c r="C139" s="9" t="s">
        <v>306</v>
      </c>
      <c r="D139" s="10" t="s">
        <v>230</v>
      </c>
      <c r="E139" s="11">
        <v>305</v>
      </c>
      <c r="F139" s="10" t="s">
        <v>15</v>
      </c>
      <c r="G139" s="12" t="str">
        <f>VLOOKUP(F139,Tables!D$9:E$17,2,FALSE)</f>
        <v>PTR</v>
      </c>
      <c r="H139" s="60">
        <v>17099578</v>
      </c>
      <c r="I139" s="13">
        <f>SUM(S139-R139)</f>
        <v>1215</v>
      </c>
      <c r="J139" s="13">
        <f>SUM(U139-T139)</f>
        <v>0</v>
      </c>
      <c r="K139" s="14">
        <f>SUM(I139*$P139)</f>
        <v>31.833000000000002</v>
      </c>
      <c r="L139" s="14">
        <f>SUM(J139*$Q139)</f>
        <v>0</v>
      </c>
      <c r="M139" s="15">
        <f>K139+L139</f>
        <v>31.833000000000002</v>
      </c>
      <c r="N139" s="10" t="s">
        <v>360</v>
      </c>
      <c r="O139" s="10" t="s">
        <v>361</v>
      </c>
      <c r="P139" s="16">
        <f>IF(G139="MFP",Tables!B$2,Tables!B$5)</f>
        <v>2.6200000000000001E-2</v>
      </c>
      <c r="Q139" s="17">
        <f>IF(G139="MFP",Tables!B$3,Tables!B$6)</f>
        <v>0.11799999999999999</v>
      </c>
      <c r="R139" s="18">
        <v>2197</v>
      </c>
      <c r="S139" s="18">
        <v>3412</v>
      </c>
      <c r="T139" s="18">
        <v>0</v>
      </c>
      <c r="U139" s="18">
        <v>0</v>
      </c>
    </row>
    <row r="140" spans="1:55" ht="30" outlineLevel="2" x14ac:dyDescent="0.25">
      <c r="A140" s="9" t="s">
        <v>359</v>
      </c>
      <c r="B140" s="9" t="s">
        <v>228</v>
      </c>
      <c r="C140" s="9" t="s">
        <v>306</v>
      </c>
      <c r="D140" s="10" t="s">
        <v>230</v>
      </c>
      <c r="E140" s="11" t="s">
        <v>365</v>
      </c>
      <c r="F140" s="10" t="s">
        <v>15</v>
      </c>
      <c r="G140" s="12" t="str">
        <f>VLOOKUP(F140,Tables!D$9:E$17,2,FALSE)</f>
        <v>PTR</v>
      </c>
      <c r="H140" s="60">
        <v>17099575</v>
      </c>
      <c r="I140" s="13">
        <f>SUM(S140-R140)</f>
        <v>196</v>
      </c>
      <c r="J140" s="13">
        <f>SUM(U140-T140)</f>
        <v>0</v>
      </c>
      <c r="K140" s="14">
        <f>SUM(I140*$P140)</f>
        <v>5.1352000000000002</v>
      </c>
      <c r="L140" s="14">
        <f>SUM(J140*$Q140)</f>
        <v>0</v>
      </c>
      <c r="M140" s="15">
        <f>K140+L140</f>
        <v>5.1352000000000002</v>
      </c>
      <c r="N140" s="10" t="s">
        <v>366</v>
      </c>
      <c r="O140" s="10" t="s">
        <v>367</v>
      </c>
      <c r="P140" s="16">
        <f>IF(G140="MFP",Tables!B$2,Tables!B$5)</f>
        <v>2.6200000000000001E-2</v>
      </c>
      <c r="Q140" s="17">
        <f>IF(G140="MFP",Tables!B$3,Tables!B$6)</f>
        <v>0.11799999999999999</v>
      </c>
      <c r="R140" s="18">
        <v>4</v>
      </c>
      <c r="S140" s="18">
        <v>200</v>
      </c>
      <c r="T140" s="18">
        <v>0</v>
      </c>
      <c r="U140" s="18">
        <v>0</v>
      </c>
    </row>
    <row r="141" spans="1:55" ht="30" outlineLevel="2" x14ac:dyDescent="0.25">
      <c r="A141" s="9" t="s">
        <v>359</v>
      </c>
      <c r="B141" s="9" t="s">
        <v>228</v>
      </c>
      <c r="C141" s="9" t="s">
        <v>306</v>
      </c>
      <c r="D141" s="10" t="s">
        <v>230</v>
      </c>
      <c r="E141" s="11" t="s">
        <v>368</v>
      </c>
      <c r="F141" s="10" t="s">
        <v>15</v>
      </c>
      <c r="G141" s="12" t="str">
        <f>VLOOKUP(F141,Tables!D$9:E$17,2,FALSE)</f>
        <v>PTR</v>
      </c>
      <c r="H141" s="60">
        <v>17099572</v>
      </c>
      <c r="I141" s="13">
        <f>SUM(S141-R141)</f>
        <v>653</v>
      </c>
      <c r="J141" s="13">
        <f>SUM(U141-T141)</f>
        <v>0</v>
      </c>
      <c r="K141" s="14">
        <f>SUM(I141*$P141)</f>
        <v>17.108599999999999</v>
      </c>
      <c r="L141" s="14">
        <f>SUM(J141*$Q141)</f>
        <v>0</v>
      </c>
      <c r="M141" s="15">
        <f>K141+L141</f>
        <v>17.108599999999999</v>
      </c>
      <c r="N141" s="10" t="s">
        <v>369</v>
      </c>
      <c r="O141" s="10" t="s">
        <v>370</v>
      </c>
      <c r="P141" s="16">
        <f>IF(G141="MFP",Tables!B$2,Tables!B$5)</f>
        <v>2.6200000000000001E-2</v>
      </c>
      <c r="Q141" s="17">
        <f>IF(G141="MFP",Tables!B$3,Tables!B$6)</f>
        <v>0.11799999999999999</v>
      </c>
      <c r="R141" s="18">
        <v>4405</v>
      </c>
      <c r="S141" s="18">
        <v>5058</v>
      </c>
      <c r="T141" s="18">
        <v>0</v>
      </c>
      <c r="U141" s="18">
        <v>0</v>
      </c>
    </row>
    <row r="142" spans="1:55" ht="30" outlineLevel="2" x14ac:dyDescent="0.25">
      <c r="A142" s="9" t="s">
        <v>359</v>
      </c>
      <c r="B142" s="9" t="s">
        <v>228</v>
      </c>
      <c r="C142" s="9" t="s">
        <v>306</v>
      </c>
      <c r="D142" s="10" t="s">
        <v>230</v>
      </c>
      <c r="E142" s="11" t="s">
        <v>362</v>
      </c>
      <c r="F142" s="10" t="s">
        <v>15</v>
      </c>
      <c r="G142" s="12" t="str">
        <f>VLOOKUP(F142,Tables!D$9:E$17,2,FALSE)</f>
        <v>PTR</v>
      </c>
      <c r="H142" s="60">
        <v>17099573</v>
      </c>
      <c r="I142" s="13">
        <f>SUM(S142-R142)</f>
        <v>723</v>
      </c>
      <c r="J142" s="13">
        <f>SUM(U142-T142)</f>
        <v>0</v>
      </c>
      <c r="K142" s="14">
        <f>SUM(I142*$P142)</f>
        <v>18.942600000000002</v>
      </c>
      <c r="L142" s="14">
        <f>SUM(J142*$Q142)</f>
        <v>0</v>
      </c>
      <c r="M142" s="15">
        <f>K142+L142</f>
        <v>18.942600000000002</v>
      </c>
      <c r="N142" s="10" t="s">
        <v>363</v>
      </c>
      <c r="O142" s="10" t="s">
        <v>364</v>
      </c>
      <c r="P142" s="16">
        <f>IF(G142="MFP",Tables!B$2,Tables!B$5)</f>
        <v>2.6200000000000001E-2</v>
      </c>
      <c r="Q142" s="17">
        <f>IF(G142="MFP",Tables!B$3,Tables!B$6)</f>
        <v>0.11799999999999999</v>
      </c>
      <c r="R142" s="18">
        <v>1393</v>
      </c>
      <c r="S142" s="18">
        <v>2116</v>
      </c>
      <c r="T142" s="18">
        <v>0</v>
      </c>
      <c r="U142" s="18">
        <v>0</v>
      </c>
    </row>
    <row r="143" spans="1:55" outlineLevel="1" x14ac:dyDescent="0.3">
      <c r="A143" s="19" t="s">
        <v>800</v>
      </c>
      <c r="B143" s="110"/>
      <c r="C143" s="110"/>
      <c r="D143" s="10"/>
      <c r="E143" s="11"/>
      <c r="F143" s="10"/>
      <c r="G143" s="12"/>
      <c r="H143" s="60"/>
      <c r="I143" s="13"/>
      <c r="J143" s="13"/>
      <c r="K143" s="106"/>
      <c r="L143" s="106"/>
      <c r="M143" s="15">
        <f>SUBTOTAL(9,M138:M142)</f>
        <v>73.019400000000005</v>
      </c>
      <c r="N143" s="10"/>
      <c r="O143" s="10"/>
      <c r="P143" s="16"/>
      <c r="Q143" s="17"/>
      <c r="R143" s="18"/>
      <c r="S143" s="18"/>
      <c r="T143" s="18"/>
      <c r="U143" s="18"/>
      <c r="BC143" s="65">
        <f>SUBTOTAL(9,BC138:BC142)</f>
        <v>0</v>
      </c>
    </row>
    <row r="144" spans="1:55" ht="15.75" outlineLevel="2" x14ac:dyDescent="0.25">
      <c r="A144" s="9" t="s">
        <v>626</v>
      </c>
      <c r="B144" s="9" t="s">
        <v>621</v>
      </c>
      <c r="C144" s="9" t="s">
        <v>622</v>
      </c>
      <c r="D144" s="10" t="s">
        <v>623</v>
      </c>
      <c r="E144" s="11">
        <v>307</v>
      </c>
      <c r="F144" s="10" t="s">
        <v>15</v>
      </c>
      <c r="G144" s="12" t="str">
        <f>VLOOKUP(F144,Tables!D$9:E$17,2,FALSE)</f>
        <v>PTR</v>
      </c>
      <c r="H144" s="60">
        <v>17099623</v>
      </c>
      <c r="I144" s="13">
        <f>SUM(S144-R144)</f>
        <v>86</v>
      </c>
      <c r="J144" s="13">
        <f>SUM(U144-T144)</f>
        <v>0</v>
      </c>
      <c r="K144" s="14">
        <f>SUM(I144*$P144)</f>
        <v>2.2532000000000001</v>
      </c>
      <c r="L144" s="14">
        <f>SUM(J144*$Q144)</f>
        <v>0</v>
      </c>
      <c r="M144" s="15">
        <f>K144+L144</f>
        <v>2.2532000000000001</v>
      </c>
      <c r="N144" s="10" t="s">
        <v>627</v>
      </c>
      <c r="O144" s="10" t="s">
        <v>628</v>
      </c>
      <c r="P144" s="16">
        <f>IF(G144="MFP",Tables!B$2,Tables!B$5)</f>
        <v>2.6200000000000001E-2</v>
      </c>
      <c r="Q144" s="17">
        <f>IF(G144="MFP",Tables!B$3,Tables!B$6)</f>
        <v>0.11799999999999999</v>
      </c>
      <c r="R144" s="18">
        <v>180</v>
      </c>
      <c r="S144" s="18">
        <v>266</v>
      </c>
      <c r="T144" s="18">
        <v>0</v>
      </c>
      <c r="U144" s="18">
        <v>0</v>
      </c>
    </row>
    <row r="145" spans="1:55" outlineLevel="1" x14ac:dyDescent="0.3">
      <c r="A145" s="19" t="s">
        <v>801</v>
      </c>
      <c r="B145" s="110"/>
      <c r="C145" s="110"/>
      <c r="D145" s="10"/>
      <c r="E145" s="11"/>
      <c r="F145" s="10"/>
      <c r="G145" s="12"/>
      <c r="H145" s="60"/>
      <c r="I145" s="13"/>
      <c r="J145" s="13"/>
      <c r="K145" s="106"/>
      <c r="L145" s="106"/>
      <c r="M145" s="15">
        <f>SUBTOTAL(9,M144:M144)</f>
        <v>2.2532000000000001</v>
      </c>
      <c r="N145" s="10"/>
      <c r="O145" s="10"/>
      <c r="P145" s="16"/>
      <c r="Q145" s="17"/>
      <c r="R145" s="18"/>
      <c r="S145" s="18"/>
      <c r="T145" s="18"/>
      <c r="U145" s="18"/>
      <c r="BC145" s="65">
        <f>SUBTOTAL(9,BC144:BC144)</f>
        <v>0</v>
      </c>
    </row>
    <row r="146" spans="1:55" ht="15.75" outlineLevel="2" x14ac:dyDescent="0.25">
      <c r="A146" s="9" t="s">
        <v>620</v>
      </c>
      <c r="B146" s="9" t="s">
        <v>621</v>
      </c>
      <c r="C146" s="9" t="s">
        <v>622</v>
      </c>
      <c r="D146" s="10" t="s">
        <v>623</v>
      </c>
      <c r="E146" s="11">
        <v>312</v>
      </c>
      <c r="F146" s="10" t="s">
        <v>24</v>
      </c>
      <c r="G146" s="12" t="str">
        <f>VLOOKUP(F146,Tables!D$9:E$17,2,FALSE)</f>
        <v>MFP</v>
      </c>
      <c r="H146" s="60">
        <v>17099481</v>
      </c>
      <c r="I146" s="13">
        <f>SUM(S146-R146)</f>
        <v>3203</v>
      </c>
      <c r="J146" s="13">
        <f>SUM(U146-T146)</f>
        <v>1008</v>
      </c>
      <c r="K146" s="14">
        <f>SUM(I146*$P146)</f>
        <v>66.302099999999996</v>
      </c>
      <c r="L146" s="14">
        <f>SUM(J146*$Q146)</f>
        <v>87.695999999999998</v>
      </c>
      <c r="M146" s="15">
        <f>K146+L146</f>
        <v>153.99809999999999</v>
      </c>
      <c r="N146" s="10" t="s">
        <v>624</v>
      </c>
      <c r="O146" s="10" t="s">
        <v>625</v>
      </c>
      <c r="P146" s="16">
        <f>IF(G146="MFP",Tables!B$2,Tables!B$5)</f>
        <v>2.07E-2</v>
      </c>
      <c r="Q146" s="17">
        <f>IF(G146="MFP",Tables!B$3,Tables!B$6)</f>
        <v>8.6999999999999994E-2</v>
      </c>
      <c r="R146" s="18">
        <v>33718</v>
      </c>
      <c r="S146" s="18">
        <v>36921</v>
      </c>
      <c r="T146" s="18">
        <v>6982</v>
      </c>
      <c r="U146" s="18">
        <v>7990</v>
      </c>
    </row>
    <row r="147" spans="1:55" outlineLevel="1" x14ac:dyDescent="0.3">
      <c r="A147" s="19" t="s">
        <v>802</v>
      </c>
      <c r="B147" s="110"/>
      <c r="C147" s="110"/>
      <c r="D147" s="10"/>
      <c r="E147" s="11"/>
      <c r="F147" s="10"/>
      <c r="G147" s="12"/>
      <c r="H147" s="60"/>
      <c r="I147" s="13"/>
      <c r="J147" s="13"/>
      <c r="K147" s="106"/>
      <c r="L147" s="106"/>
      <c r="M147" s="15">
        <f>SUBTOTAL(9,M146:M146)</f>
        <v>153.99809999999999</v>
      </c>
      <c r="N147" s="10"/>
      <c r="O147" s="10"/>
      <c r="P147" s="16"/>
      <c r="Q147" s="17"/>
      <c r="R147" s="18"/>
      <c r="S147" s="18"/>
      <c r="T147" s="18"/>
      <c r="U147" s="18"/>
      <c r="BC147" s="65">
        <f>SUBTOTAL(9,BC146:BC146)</f>
        <v>0</v>
      </c>
    </row>
    <row r="148" spans="1:55" ht="30" outlineLevel="2" x14ac:dyDescent="0.25">
      <c r="A148" s="9" t="s">
        <v>551</v>
      </c>
      <c r="B148" s="9" t="s">
        <v>542</v>
      </c>
      <c r="C148" s="9" t="s">
        <v>543</v>
      </c>
      <c r="D148" s="10" t="s">
        <v>435</v>
      </c>
      <c r="E148" s="11">
        <v>123</v>
      </c>
      <c r="F148" s="10" t="s">
        <v>15</v>
      </c>
      <c r="G148" s="12" t="str">
        <f>VLOOKUP(F148,Tables!D$9:E$17,2,FALSE)</f>
        <v>PTR</v>
      </c>
      <c r="H148" s="60">
        <v>17099783</v>
      </c>
      <c r="I148" s="13">
        <f>SUM(S148-R148)</f>
        <v>557</v>
      </c>
      <c r="J148" s="13">
        <f>SUM(U148-T148)</f>
        <v>0</v>
      </c>
      <c r="K148" s="14">
        <f>SUM(I148*$P148)</f>
        <v>14.593400000000001</v>
      </c>
      <c r="L148" s="14">
        <f>SUM(J148*$Q148)</f>
        <v>0</v>
      </c>
      <c r="M148" s="15">
        <f>K148+L148</f>
        <v>14.593400000000001</v>
      </c>
      <c r="N148" s="10" t="s">
        <v>552</v>
      </c>
      <c r="O148" s="10" t="s">
        <v>553</v>
      </c>
      <c r="P148" s="16">
        <f>IF(G148="MFP",Tables!B$2,Tables!B$5)</f>
        <v>2.6200000000000001E-2</v>
      </c>
      <c r="Q148" s="17">
        <f>IF(G148="MFP",Tables!B$3,Tables!B$6)</f>
        <v>0.11799999999999999</v>
      </c>
      <c r="R148" s="18">
        <v>4472</v>
      </c>
      <c r="S148" s="18">
        <v>5029</v>
      </c>
      <c r="T148" s="18">
        <v>0</v>
      </c>
      <c r="U148" s="18">
        <v>0</v>
      </c>
    </row>
    <row r="149" spans="1:55" outlineLevel="1" x14ac:dyDescent="0.3">
      <c r="A149" s="19" t="s">
        <v>803</v>
      </c>
      <c r="B149" s="110"/>
      <c r="C149" s="110"/>
      <c r="D149" s="10"/>
      <c r="E149" s="11"/>
      <c r="F149" s="10"/>
      <c r="G149" s="12"/>
      <c r="H149" s="60"/>
      <c r="I149" s="13"/>
      <c r="J149" s="13"/>
      <c r="K149" s="106"/>
      <c r="L149" s="106"/>
      <c r="M149" s="15">
        <f>SUBTOTAL(9,M148:M148)</f>
        <v>14.593400000000001</v>
      </c>
      <c r="N149" s="10"/>
      <c r="O149" s="10"/>
      <c r="P149" s="16"/>
      <c r="Q149" s="17"/>
      <c r="R149" s="18"/>
      <c r="S149" s="18"/>
      <c r="T149" s="18"/>
      <c r="U149" s="18"/>
      <c r="BC149" s="65">
        <f>SUBTOTAL(9,BC148:BC148)</f>
        <v>0</v>
      </c>
    </row>
    <row r="150" spans="1:55" ht="15.75" outlineLevel="2" x14ac:dyDescent="0.25">
      <c r="A150" s="9" t="s">
        <v>144</v>
      </c>
      <c r="B150" s="9" t="s">
        <v>145</v>
      </c>
      <c r="C150" s="9" t="s">
        <v>144</v>
      </c>
      <c r="D150" s="10" t="s">
        <v>98</v>
      </c>
      <c r="E150" s="11">
        <v>521</v>
      </c>
      <c r="F150" s="10" t="s">
        <v>15</v>
      </c>
      <c r="G150" s="12" t="str">
        <f>VLOOKUP(F150,Tables!D$9:E$17,2,FALSE)</f>
        <v>PTR</v>
      </c>
      <c r="H150" s="60">
        <v>17099544</v>
      </c>
      <c r="I150" s="13">
        <f>SUM(S150-R150)</f>
        <v>55</v>
      </c>
      <c r="J150" s="13">
        <f>SUM(U150-T150)</f>
        <v>0</v>
      </c>
      <c r="K150" s="14">
        <f>SUM(I150*$P150)</f>
        <v>1.4410000000000001</v>
      </c>
      <c r="L150" s="14">
        <f>SUM(J150*$Q150)</f>
        <v>0</v>
      </c>
      <c r="M150" s="15">
        <f>K150+L150</f>
        <v>1.4410000000000001</v>
      </c>
      <c r="N150" s="10" t="s">
        <v>148</v>
      </c>
      <c r="O150" s="10" t="s">
        <v>149</v>
      </c>
      <c r="P150" s="16">
        <f>IF(G150="MFP",Tables!B$2,Tables!B$5)</f>
        <v>2.6200000000000001E-2</v>
      </c>
      <c r="Q150" s="17">
        <f>IF(G150="MFP",Tables!B$3,Tables!B$6)</f>
        <v>0.11799999999999999</v>
      </c>
      <c r="R150" s="18">
        <v>501</v>
      </c>
      <c r="S150" s="18">
        <v>556</v>
      </c>
      <c r="T150" s="18">
        <v>0</v>
      </c>
      <c r="U150" s="18">
        <v>0</v>
      </c>
    </row>
    <row r="151" spans="1:55" ht="15.75" outlineLevel="2" x14ac:dyDescent="0.25">
      <c r="A151" s="9" t="s">
        <v>144</v>
      </c>
      <c r="B151" s="9" t="s">
        <v>145</v>
      </c>
      <c r="C151" s="9" t="s">
        <v>144</v>
      </c>
      <c r="D151" s="10" t="s">
        <v>98</v>
      </c>
      <c r="E151" s="11">
        <v>523</v>
      </c>
      <c r="F151" s="10" t="s">
        <v>15</v>
      </c>
      <c r="G151" s="12" t="str">
        <f>VLOOKUP(F151,Tables!D$9:E$17,2,FALSE)</f>
        <v>PTR</v>
      </c>
      <c r="H151" s="60">
        <v>17099543</v>
      </c>
      <c r="I151" s="13">
        <f>SUM(S151-R151)</f>
        <v>363</v>
      </c>
      <c r="J151" s="13">
        <f>SUM(U151-T151)</f>
        <v>0</v>
      </c>
      <c r="K151" s="14">
        <f>SUM(I151*$P151)</f>
        <v>9.5106000000000002</v>
      </c>
      <c r="L151" s="14">
        <f>SUM(J151*$Q151)</f>
        <v>0</v>
      </c>
      <c r="M151" s="15">
        <f>K151+L151</f>
        <v>9.5106000000000002</v>
      </c>
      <c r="N151" s="10" t="s">
        <v>150</v>
      </c>
      <c r="O151" s="10" t="s">
        <v>151</v>
      </c>
      <c r="P151" s="16">
        <f>IF(G151="MFP",Tables!B$2,Tables!B$5)</f>
        <v>2.6200000000000001E-2</v>
      </c>
      <c r="Q151" s="17">
        <f>IF(G151="MFP",Tables!B$3,Tables!B$6)</f>
        <v>0.11799999999999999</v>
      </c>
      <c r="R151" s="18">
        <v>1083</v>
      </c>
      <c r="S151" s="18">
        <v>1446</v>
      </c>
      <c r="T151" s="18">
        <v>0</v>
      </c>
      <c r="U151" s="18">
        <v>0</v>
      </c>
    </row>
    <row r="152" spans="1:55" ht="15.75" outlineLevel="2" x14ac:dyDescent="0.25">
      <c r="A152" s="9" t="s">
        <v>144</v>
      </c>
      <c r="B152" s="9" t="s">
        <v>145</v>
      </c>
      <c r="C152" s="9" t="s">
        <v>144</v>
      </c>
      <c r="D152" s="10" t="s">
        <v>98</v>
      </c>
      <c r="E152" s="11">
        <v>528</v>
      </c>
      <c r="F152" s="10" t="s">
        <v>54</v>
      </c>
      <c r="G152" s="12" t="str">
        <f>VLOOKUP(F152,Tables!D$9:E$17,2,FALSE)</f>
        <v>MFP</v>
      </c>
      <c r="H152" s="60">
        <v>17099485</v>
      </c>
      <c r="I152" s="13">
        <f>SUM(S152-R152)</f>
        <v>2644</v>
      </c>
      <c r="J152" s="13">
        <f>SUM(U152-T152)</f>
        <v>14</v>
      </c>
      <c r="K152" s="14">
        <f>SUM(I152*$P152)</f>
        <v>54.730800000000002</v>
      </c>
      <c r="L152" s="14">
        <f>SUM(J152*$Q152)</f>
        <v>1.218</v>
      </c>
      <c r="M152" s="15">
        <f>K152+L152</f>
        <v>55.948800000000006</v>
      </c>
      <c r="N152" s="10" t="s">
        <v>146</v>
      </c>
      <c r="O152" s="10" t="s">
        <v>147</v>
      </c>
      <c r="P152" s="16">
        <f>IF(G152="MFP",Tables!B$2,Tables!B$5)</f>
        <v>2.07E-2</v>
      </c>
      <c r="Q152" s="17">
        <f>IF(G152="MFP",Tables!B$3,Tables!B$6)</f>
        <v>8.6999999999999994E-2</v>
      </c>
      <c r="R152" s="18">
        <v>15761</v>
      </c>
      <c r="S152" s="18">
        <v>18405</v>
      </c>
      <c r="T152" s="18">
        <v>612</v>
      </c>
      <c r="U152" s="18">
        <v>626</v>
      </c>
    </row>
    <row r="153" spans="1:55" ht="15.75" outlineLevel="2" x14ac:dyDescent="0.25">
      <c r="A153" s="9" t="s">
        <v>144</v>
      </c>
      <c r="B153" s="9" t="s">
        <v>145</v>
      </c>
      <c r="C153" s="9" t="s">
        <v>144</v>
      </c>
      <c r="D153" s="10" t="s">
        <v>98</v>
      </c>
      <c r="E153" s="11">
        <v>532</v>
      </c>
      <c r="F153" s="10" t="s">
        <v>15</v>
      </c>
      <c r="G153" s="12" t="str">
        <f>VLOOKUP(F153,Tables!D$9:E$17,2,FALSE)</f>
        <v>PTR</v>
      </c>
      <c r="H153" s="60">
        <v>17099545</v>
      </c>
      <c r="I153" s="13">
        <f>SUM(S153-R153)</f>
        <v>39</v>
      </c>
      <c r="J153" s="13">
        <f>SUM(U153-T153)</f>
        <v>0</v>
      </c>
      <c r="K153" s="14">
        <f>SUM(I153*$P153)</f>
        <v>1.0218</v>
      </c>
      <c r="L153" s="14">
        <f>SUM(J153*$Q153)</f>
        <v>0</v>
      </c>
      <c r="M153" s="15">
        <f>K153+L153</f>
        <v>1.0218</v>
      </c>
      <c r="N153" s="10" t="s">
        <v>154</v>
      </c>
      <c r="O153" s="10" t="s">
        <v>155</v>
      </c>
      <c r="P153" s="16">
        <f>IF(G153="MFP",Tables!B$2,Tables!B$5)</f>
        <v>2.6200000000000001E-2</v>
      </c>
      <c r="Q153" s="17">
        <f>IF(G153="MFP",Tables!B$3,Tables!B$6)</f>
        <v>0.11799999999999999</v>
      </c>
      <c r="R153" s="18">
        <v>99</v>
      </c>
      <c r="S153" s="18">
        <v>138</v>
      </c>
      <c r="T153" s="18">
        <v>0</v>
      </c>
      <c r="U153" s="18">
        <v>0</v>
      </c>
    </row>
    <row r="154" spans="1:55" ht="15.75" outlineLevel="2" x14ac:dyDescent="0.25">
      <c r="A154" s="9" t="s">
        <v>144</v>
      </c>
      <c r="B154" s="9" t="s">
        <v>145</v>
      </c>
      <c r="C154" s="9" t="s">
        <v>144</v>
      </c>
      <c r="D154" s="10" t="s">
        <v>98</v>
      </c>
      <c r="E154" s="11">
        <v>536</v>
      </c>
      <c r="F154" s="10" t="s">
        <v>15</v>
      </c>
      <c r="G154" s="12" t="str">
        <f>VLOOKUP(F154,Tables!D$9:E$17,2,FALSE)</f>
        <v>PTR</v>
      </c>
      <c r="H154" s="60">
        <v>17099546</v>
      </c>
      <c r="I154" s="13">
        <f>SUM(S154-R154)</f>
        <v>568</v>
      </c>
      <c r="J154" s="13">
        <f>SUM(U154-T154)</f>
        <v>0</v>
      </c>
      <c r="K154" s="14">
        <f>SUM(I154*$P154)</f>
        <v>14.881600000000001</v>
      </c>
      <c r="L154" s="14">
        <f>SUM(J154*$Q154)</f>
        <v>0</v>
      </c>
      <c r="M154" s="15">
        <f>K154+L154</f>
        <v>14.881600000000001</v>
      </c>
      <c r="N154" s="10" t="s">
        <v>152</v>
      </c>
      <c r="O154" s="10" t="s">
        <v>153</v>
      </c>
      <c r="P154" s="16">
        <f>IF(G154="MFP",Tables!B$2,Tables!B$5)</f>
        <v>2.6200000000000001E-2</v>
      </c>
      <c r="Q154" s="17">
        <f>IF(G154="MFP",Tables!B$3,Tables!B$6)</f>
        <v>0.11799999999999999</v>
      </c>
      <c r="R154" s="18">
        <v>3773</v>
      </c>
      <c r="S154" s="18">
        <v>4341</v>
      </c>
      <c r="T154" s="18">
        <v>0</v>
      </c>
      <c r="U154" s="18">
        <v>0</v>
      </c>
    </row>
    <row r="155" spans="1:55" outlineLevel="1" x14ac:dyDescent="0.3">
      <c r="A155" s="19" t="s">
        <v>804</v>
      </c>
      <c r="B155" s="110"/>
      <c r="C155" s="110"/>
      <c r="D155" s="10"/>
      <c r="E155" s="11"/>
      <c r="F155" s="10"/>
      <c r="G155" s="12"/>
      <c r="H155" s="60"/>
      <c r="I155" s="13"/>
      <c r="J155" s="13"/>
      <c r="K155" s="106"/>
      <c r="L155" s="106"/>
      <c r="M155" s="15">
        <f>SUBTOTAL(9,M150:M154)</f>
        <v>82.80380000000001</v>
      </c>
      <c r="N155" s="10"/>
      <c r="O155" s="10"/>
      <c r="P155" s="16"/>
      <c r="Q155" s="17"/>
      <c r="R155" s="18"/>
      <c r="S155" s="18"/>
      <c r="T155" s="18"/>
      <c r="U155" s="18"/>
      <c r="BC155" s="65">
        <f>SUBTOTAL(9,BC150:BC154)</f>
        <v>0</v>
      </c>
    </row>
    <row r="156" spans="1:55" ht="15.75" outlineLevel="2" x14ac:dyDescent="0.25">
      <c r="A156" s="9" t="s">
        <v>408</v>
      </c>
      <c r="B156" s="9" t="s">
        <v>409</v>
      </c>
      <c r="C156" s="9" t="s">
        <v>410</v>
      </c>
      <c r="D156" s="10" t="s">
        <v>689</v>
      </c>
      <c r="E156" s="11">
        <v>301</v>
      </c>
      <c r="F156" s="10" t="s">
        <v>15</v>
      </c>
      <c r="G156" s="12" t="str">
        <f>VLOOKUP(F156,Tables!D$9:E$17,2,FALSE)</f>
        <v>PTR</v>
      </c>
      <c r="H156" s="60">
        <v>17099508</v>
      </c>
      <c r="I156" s="13">
        <f>SUM(S156-R156)</f>
        <v>381</v>
      </c>
      <c r="J156" s="13">
        <f>SUM(U156-T156)</f>
        <v>0</v>
      </c>
      <c r="K156" s="14">
        <f>SUM(I156*$P156)</f>
        <v>9.9822000000000006</v>
      </c>
      <c r="L156" s="14">
        <f>SUM(J156*$Q156)</f>
        <v>0</v>
      </c>
      <c r="M156" s="15">
        <f>K156+L156</f>
        <v>9.9822000000000006</v>
      </c>
      <c r="N156" s="10" t="s">
        <v>417</v>
      </c>
      <c r="O156" s="10" t="s">
        <v>418</v>
      </c>
      <c r="P156" s="16">
        <f>IF(G156="MFP",Tables!B$2,Tables!B$5)</f>
        <v>2.6200000000000001E-2</v>
      </c>
      <c r="Q156" s="17">
        <f>IF(G156="MFP",Tables!B$3,Tables!B$6)</f>
        <v>0.11799999999999999</v>
      </c>
      <c r="R156" s="18">
        <v>1226</v>
      </c>
      <c r="S156" s="18">
        <v>1607</v>
      </c>
      <c r="T156" s="18">
        <v>0</v>
      </c>
      <c r="U156" s="18">
        <v>0</v>
      </c>
    </row>
    <row r="157" spans="1:55" ht="15.75" outlineLevel="2" x14ac:dyDescent="0.25">
      <c r="A157" s="9" t="s">
        <v>408</v>
      </c>
      <c r="B157" s="9" t="s">
        <v>409</v>
      </c>
      <c r="C157" s="9" t="s">
        <v>410</v>
      </c>
      <c r="D157" s="10" t="s">
        <v>689</v>
      </c>
      <c r="E157" s="11">
        <v>303</v>
      </c>
      <c r="F157" s="10" t="s">
        <v>15</v>
      </c>
      <c r="G157" s="12" t="str">
        <f>VLOOKUP(F157,Tables!D$9:E$17,2,FALSE)</f>
        <v>PTR</v>
      </c>
      <c r="H157" s="60">
        <v>17099441</v>
      </c>
      <c r="I157" s="13">
        <f>SUM(S157-R157)</f>
        <v>122</v>
      </c>
      <c r="J157" s="13">
        <f>SUM(U157-T157)</f>
        <v>0</v>
      </c>
      <c r="K157" s="14">
        <f>SUM(I157*$P157)</f>
        <v>3.1964000000000001</v>
      </c>
      <c r="L157" s="14">
        <f>SUM(J157*$Q157)</f>
        <v>0</v>
      </c>
      <c r="M157" s="15">
        <f>K157+L157</f>
        <v>3.1964000000000001</v>
      </c>
      <c r="N157" s="10" t="s">
        <v>413</v>
      </c>
      <c r="O157" s="10" t="s">
        <v>414</v>
      </c>
      <c r="P157" s="16">
        <f>IF(G157="MFP",Tables!B$2,Tables!B$5)</f>
        <v>2.6200000000000001E-2</v>
      </c>
      <c r="Q157" s="17">
        <f>IF(G157="MFP",Tables!B$3,Tables!B$6)</f>
        <v>0.11799999999999999</v>
      </c>
      <c r="R157" s="18">
        <v>869</v>
      </c>
      <c r="S157" s="18">
        <v>991</v>
      </c>
      <c r="T157" s="18">
        <v>0</v>
      </c>
      <c r="U157" s="18">
        <v>0</v>
      </c>
    </row>
    <row r="158" spans="1:55" ht="15.75" outlineLevel="2" x14ac:dyDescent="0.25">
      <c r="A158" s="9" t="s">
        <v>408</v>
      </c>
      <c r="B158" s="9" t="s">
        <v>409</v>
      </c>
      <c r="C158" s="9" t="s">
        <v>410</v>
      </c>
      <c r="D158" s="10" t="s">
        <v>689</v>
      </c>
      <c r="E158" s="11">
        <v>303</v>
      </c>
      <c r="F158" s="10" t="s">
        <v>15</v>
      </c>
      <c r="G158" s="12" t="str">
        <f>VLOOKUP(F158,Tables!D$9:E$17,2,FALSE)</f>
        <v>PTR</v>
      </c>
      <c r="H158" s="60">
        <v>17099509</v>
      </c>
      <c r="I158" s="13">
        <f>SUM(S158-R158)</f>
        <v>2057</v>
      </c>
      <c r="J158" s="13">
        <f>SUM(U158-T158)</f>
        <v>0</v>
      </c>
      <c r="K158" s="14">
        <f>SUM(I158*$P158)</f>
        <v>53.8934</v>
      </c>
      <c r="L158" s="14">
        <f>SUM(J158*$Q158)</f>
        <v>0</v>
      </c>
      <c r="M158" s="15">
        <f>K158+L158</f>
        <v>53.8934</v>
      </c>
      <c r="N158" s="10" t="s">
        <v>415</v>
      </c>
      <c r="O158" s="10" t="s">
        <v>416</v>
      </c>
      <c r="P158" s="16">
        <f>IF(G158="MFP",Tables!B$2,Tables!B$5)</f>
        <v>2.6200000000000001E-2</v>
      </c>
      <c r="Q158" s="17">
        <f>IF(G158="MFP",Tables!B$3,Tables!B$6)</f>
        <v>0.11799999999999999</v>
      </c>
      <c r="R158" s="18">
        <v>2516</v>
      </c>
      <c r="S158" s="18">
        <v>4573</v>
      </c>
      <c r="T158" s="18">
        <v>0</v>
      </c>
      <c r="U158" s="18">
        <v>0</v>
      </c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</row>
    <row r="159" spans="1:55" ht="15.75" outlineLevel="2" x14ac:dyDescent="0.25">
      <c r="A159" s="9" t="s">
        <v>408</v>
      </c>
      <c r="B159" s="9" t="s">
        <v>409</v>
      </c>
      <c r="C159" s="9" t="s">
        <v>410</v>
      </c>
      <c r="D159" s="10" t="s">
        <v>689</v>
      </c>
      <c r="E159" s="11">
        <v>303</v>
      </c>
      <c r="F159" s="10" t="s">
        <v>15</v>
      </c>
      <c r="G159" s="12" t="str">
        <f>VLOOKUP(F159,Tables!D$9:E$17,2,FALSE)</f>
        <v>PTR</v>
      </c>
      <c r="H159" s="60">
        <v>17099510</v>
      </c>
      <c r="I159" s="13">
        <f>SUM(S159-R159)</f>
        <v>409</v>
      </c>
      <c r="J159" s="13">
        <f>SUM(U159-T159)</f>
        <v>0</v>
      </c>
      <c r="K159" s="14">
        <f>SUM(I159*$P159)</f>
        <v>10.7158</v>
      </c>
      <c r="L159" s="14">
        <f>SUM(J159*$Q159)</f>
        <v>0</v>
      </c>
      <c r="M159" s="15">
        <f>K159+L159</f>
        <v>10.7158</v>
      </c>
      <c r="N159" s="10" t="s">
        <v>419</v>
      </c>
      <c r="O159" s="10" t="s">
        <v>420</v>
      </c>
      <c r="P159" s="16">
        <f>IF(G159="MFP",Tables!B$2,Tables!B$5)</f>
        <v>2.6200000000000001E-2</v>
      </c>
      <c r="Q159" s="17">
        <f>IF(G159="MFP",Tables!B$3,Tables!B$6)</f>
        <v>0.11799999999999999</v>
      </c>
      <c r="R159" s="18">
        <v>738</v>
      </c>
      <c r="S159" s="18">
        <v>1147</v>
      </c>
      <c r="T159" s="18">
        <v>0</v>
      </c>
      <c r="U159" s="18">
        <v>0</v>
      </c>
    </row>
    <row r="160" spans="1:55" ht="15.75" outlineLevel="2" x14ac:dyDescent="0.25">
      <c r="A160" s="9" t="s">
        <v>408</v>
      </c>
      <c r="B160" s="9" t="s">
        <v>409</v>
      </c>
      <c r="C160" s="9" t="s">
        <v>410</v>
      </c>
      <c r="D160" s="10" t="s">
        <v>689</v>
      </c>
      <c r="E160" s="11">
        <v>305</v>
      </c>
      <c r="F160" s="10" t="s">
        <v>54</v>
      </c>
      <c r="G160" s="12" t="str">
        <f>VLOOKUP(F160,Tables!D$9:E$17,2,FALSE)</f>
        <v>MFP</v>
      </c>
      <c r="H160" s="60">
        <v>17099494</v>
      </c>
      <c r="I160" s="13">
        <f>SUM(S160-R160)</f>
        <v>2392</v>
      </c>
      <c r="J160" s="13">
        <f>SUM(U160-T160)</f>
        <v>493</v>
      </c>
      <c r="K160" s="14">
        <f>SUM(I160*$P160)</f>
        <v>49.514400000000002</v>
      </c>
      <c r="L160" s="14">
        <f>SUM(J160*$Q160)</f>
        <v>42.890999999999998</v>
      </c>
      <c r="M160" s="15">
        <f>K160+L160</f>
        <v>92.4054</v>
      </c>
      <c r="N160" s="10" t="s">
        <v>411</v>
      </c>
      <c r="O160" s="10" t="s">
        <v>412</v>
      </c>
      <c r="P160" s="16">
        <f>IF(G160="MFP",Tables!B$2,Tables!B$5)</f>
        <v>2.07E-2</v>
      </c>
      <c r="Q160" s="17">
        <f>IF(G160="MFP",Tables!B$3,Tables!B$6)</f>
        <v>8.6999999999999994E-2</v>
      </c>
      <c r="R160" s="18">
        <v>5769</v>
      </c>
      <c r="S160" s="18">
        <v>8161</v>
      </c>
      <c r="T160" s="18">
        <v>965</v>
      </c>
      <c r="U160" s="18">
        <v>1458</v>
      </c>
    </row>
    <row r="161" spans="1:55" outlineLevel="1" x14ac:dyDescent="0.3">
      <c r="A161" s="19" t="s">
        <v>805</v>
      </c>
      <c r="B161" s="110"/>
      <c r="C161" s="110"/>
      <c r="D161" s="10"/>
      <c r="E161" s="11"/>
      <c r="F161" s="10"/>
      <c r="G161" s="12"/>
      <c r="H161" s="60"/>
      <c r="I161" s="13"/>
      <c r="J161" s="13"/>
      <c r="K161" s="106"/>
      <c r="L161" s="106"/>
      <c r="M161" s="15">
        <f>SUBTOTAL(9,M156:M160)</f>
        <v>170.19319999999999</v>
      </c>
      <c r="N161" s="10"/>
      <c r="O161" s="10"/>
      <c r="P161" s="16"/>
      <c r="Q161" s="17"/>
      <c r="R161" s="18"/>
      <c r="S161" s="18"/>
      <c r="T161" s="18"/>
      <c r="U161" s="18"/>
      <c r="BC161" s="65">
        <f>SUBTOTAL(9,BC156:BC160)</f>
        <v>0</v>
      </c>
    </row>
    <row r="162" spans="1:55" ht="15.75" outlineLevel="2" x14ac:dyDescent="0.25">
      <c r="A162" s="9" t="s">
        <v>583</v>
      </c>
      <c r="B162" s="9" t="s">
        <v>584</v>
      </c>
      <c r="C162" s="9" t="s">
        <v>585</v>
      </c>
      <c r="D162" s="10" t="s">
        <v>583</v>
      </c>
      <c r="E162" s="11">
        <v>113</v>
      </c>
      <c r="F162" s="10" t="s">
        <v>15</v>
      </c>
      <c r="G162" s="12" t="str">
        <f>VLOOKUP(F162,Tables!D$9:E$17,2,FALSE)</f>
        <v>PTR</v>
      </c>
      <c r="H162" s="60">
        <v>17099635</v>
      </c>
      <c r="I162" s="13">
        <f>SUM(S162-R162)</f>
        <v>706</v>
      </c>
      <c r="J162" s="13">
        <f>SUM(U162-T162)</f>
        <v>0</v>
      </c>
      <c r="K162" s="14">
        <f>SUM(I162*$P162)</f>
        <v>18.497199999999999</v>
      </c>
      <c r="L162" s="14">
        <f>SUM(J162*$Q162)</f>
        <v>0</v>
      </c>
      <c r="M162" s="15">
        <f>K162+L162</f>
        <v>18.497199999999999</v>
      </c>
      <c r="N162" s="10" t="s">
        <v>590</v>
      </c>
      <c r="O162" s="10" t="s">
        <v>591</v>
      </c>
      <c r="P162" s="16">
        <f>IF(G162="MFP",Tables!B$2,Tables!B$5)</f>
        <v>2.6200000000000001E-2</v>
      </c>
      <c r="Q162" s="17">
        <f>IF(G162="MFP",Tables!B$3,Tables!B$6)</f>
        <v>0.11799999999999999</v>
      </c>
      <c r="R162" s="18">
        <v>3127</v>
      </c>
      <c r="S162" s="18">
        <v>3833</v>
      </c>
      <c r="T162" s="18">
        <v>0</v>
      </c>
      <c r="U162" s="18">
        <v>0</v>
      </c>
    </row>
    <row r="163" spans="1:55" ht="15.75" outlineLevel="2" x14ac:dyDescent="0.25">
      <c r="A163" s="9" t="s">
        <v>583</v>
      </c>
      <c r="B163" s="9" t="s">
        <v>584</v>
      </c>
      <c r="C163" s="9" t="s">
        <v>585</v>
      </c>
      <c r="D163" s="10" t="s">
        <v>583</v>
      </c>
      <c r="E163" s="11">
        <v>121</v>
      </c>
      <c r="F163" s="10" t="s">
        <v>54</v>
      </c>
      <c r="G163" s="12" t="str">
        <f>VLOOKUP(F163,Tables!D$9:E$17,2,FALSE)</f>
        <v>MFP</v>
      </c>
      <c r="H163" s="60">
        <v>17099496</v>
      </c>
      <c r="I163" s="13">
        <f>SUM(S163-R163)</f>
        <v>1656</v>
      </c>
      <c r="J163" s="13">
        <f>SUM(U163-T163)</f>
        <v>299</v>
      </c>
      <c r="K163" s="14">
        <f>SUM(I163*$P163)</f>
        <v>34.279199999999996</v>
      </c>
      <c r="L163" s="14">
        <f>SUM(J163*$Q163)</f>
        <v>26.012999999999998</v>
      </c>
      <c r="M163" s="15">
        <f>K163+L163</f>
        <v>60.292199999999994</v>
      </c>
      <c r="N163" s="10" t="s">
        <v>588</v>
      </c>
      <c r="O163" s="10" t="s">
        <v>589</v>
      </c>
      <c r="P163" s="16">
        <f>IF(G163="MFP",Tables!B$2,Tables!B$5)</f>
        <v>2.07E-2</v>
      </c>
      <c r="Q163" s="17">
        <f>IF(G163="MFP",Tables!B$3,Tables!B$6)</f>
        <v>8.6999999999999994E-2</v>
      </c>
      <c r="R163" s="18">
        <v>9051</v>
      </c>
      <c r="S163" s="18">
        <v>10707</v>
      </c>
      <c r="T163" s="18">
        <v>405</v>
      </c>
      <c r="U163" s="18">
        <v>704</v>
      </c>
    </row>
    <row r="164" spans="1:55" ht="15.75" outlineLevel="2" x14ac:dyDescent="0.25">
      <c r="A164" s="9" t="s">
        <v>583</v>
      </c>
      <c r="B164" s="9" t="s">
        <v>584</v>
      </c>
      <c r="C164" s="9" t="s">
        <v>585</v>
      </c>
      <c r="D164" s="10" t="s">
        <v>583</v>
      </c>
      <c r="E164" s="11">
        <v>219</v>
      </c>
      <c r="F164" s="10" t="s">
        <v>54</v>
      </c>
      <c r="G164" s="12" t="str">
        <f>VLOOKUP(F164,Tables!D$9:E$17,2,FALSE)</f>
        <v>MFP</v>
      </c>
      <c r="H164" s="60">
        <v>17099495</v>
      </c>
      <c r="I164" s="13">
        <f>SUM(S164-R164)</f>
        <v>714</v>
      </c>
      <c r="J164" s="13">
        <f>SUM(U164-T164)</f>
        <v>3</v>
      </c>
      <c r="K164" s="14">
        <f>SUM(I164*$P164)</f>
        <v>14.7798</v>
      </c>
      <c r="L164" s="14">
        <f>SUM(J164*$Q164)</f>
        <v>0.26100000000000001</v>
      </c>
      <c r="M164" s="15">
        <f>K164+L164</f>
        <v>15.040799999999999</v>
      </c>
      <c r="N164" s="10" t="s">
        <v>586</v>
      </c>
      <c r="O164" s="10" t="s">
        <v>587</v>
      </c>
      <c r="P164" s="16">
        <f>IF(G164="MFP",Tables!B$2,Tables!B$5)</f>
        <v>2.07E-2</v>
      </c>
      <c r="Q164" s="17">
        <f>IF(G164="MFP",Tables!B$3,Tables!B$6)</f>
        <v>8.6999999999999994E-2</v>
      </c>
      <c r="R164" s="18">
        <v>2035</v>
      </c>
      <c r="S164" s="18">
        <v>2749</v>
      </c>
      <c r="T164" s="18">
        <v>102</v>
      </c>
      <c r="U164" s="18">
        <v>105</v>
      </c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</row>
    <row r="165" spans="1:55" outlineLevel="1" x14ac:dyDescent="0.3">
      <c r="A165" s="19" t="s">
        <v>806</v>
      </c>
      <c r="B165" s="110"/>
      <c r="C165" s="110"/>
      <c r="D165" s="10"/>
      <c r="E165" s="11"/>
      <c r="F165" s="10"/>
      <c r="G165" s="12"/>
      <c r="H165" s="60"/>
      <c r="I165" s="13"/>
      <c r="J165" s="13"/>
      <c r="K165" s="106"/>
      <c r="L165" s="106"/>
      <c r="M165" s="15">
        <f>SUBTOTAL(9,M162:M164)</f>
        <v>93.830200000000005</v>
      </c>
      <c r="N165" s="10"/>
      <c r="O165" s="10"/>
      <c r="P165" s="16"/>
      <c r="Q165" s="17"/>
      <c r="R165" s="18"/>
      <c r="S165" s="18"/>
      <c r="T165" s="18"/>
      <c r="U165" s="18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5">
        <f>SUBTOTAL(9,BC162:BC164)</f>
        <v>0</v>
      </c>
    </row>
    <row r="166" spans="1:55" ht="15.75" outlineLevel="2" x14ac:dyDescent="0.25">
      <c r="A166" s="9" t="s">
        <v>277</v>
      </c>
      <c r="B166" s="9" t="s">
        <v>278</v>
      </c>
      <c r="C166" s="9" t="s">
        <v>279</v>
      </c>
      <c r="D166" s="10" t="s">
        <v>83</v>
      </c>
      <c r="E166" s="11">
        <v>315</v>
      </c>
      <c r="F166" s="10" t="s">
        <v>15</v>
      </c>
      <c r="G166" s="12" t="str">
        <f>VLOOKUP(F166,Tables!D$9:E$17,2,FALSE)</f>
        <v>PTR</v>
      </c>
      <c r="H166" s="60">
        <v>17099640</v>
      </c>
      <c r="I166" s="13">
        <f>SUM(S166-R166)</f>
        <v>207</v>
      </c>
      <c r="J166" s="13">
        <f>SUM(U166-T166)</f>
        <v>0</v>
      </c>
      <c r="K166" s="14">
        <f>SUM(I166*$P166)</f>
        <v>5.4234</v>
      </c>
      <c r="L166" s="14">
        <f>SUM(J166*$Q166)</f>
        <v>0</v>
      </c>
      <c r="M166" s="15">
        <f>K166+L166</f>
        <v>5.4234</v>
      </c>
      <c r="N166" s="10" t="s">
        <v>282</v>
      </c>
      <c r="O166" s="10" t="s">
        <v>283</v>
      </c>
      <c r="P166" s="16">
        <f>IF(G166="MFP",Tables!B$2,Tables!B$5)</f>
        <v>2.6200000000000001E-2</v>
      </c>
      <c r="Q166" s="17">
        <f>IF(G166="MFP",Tables!B$3,Tables!B$6)</f>
        <v>0.11799999999999999</v>
      </c>
      <c r="R166" s="18">
        <v>670</v>
      </c>
      <c r="S166" s="18">
        <v>877</v>
      </c>
      <c r="T166" s="18">
        <v>0</v>
      </c>
      <c r="U166" s="18">
        <v>0</v>
      </c>
    </row>
    <row r="167" spans="1:55" ht="15.75" outlineLevel="2" x14ac:dyDescent="0.25">
      <c r="A167" s="9" t="s">
        <v>277</v>
      </c>
      <c r="B167" s="9" t="s">
        <v>278</v>
      </c>
      <c r="C167" s="9" t="s">
        <v>279</v>
      </c>
      <c r="D167" s="10" t="s">
        <v>83</v>
      </c>
      <c r="E167" s="11">
        <v>343</v>
      </c>
      <c r="F167" s="10" t="s">
        <v>84</v>
      </c>
      <c r="G167" s="12" t="str">
        <f>VLOOKUP(F167,Tables!D$9:E$17,2,FALSE)</f>
        <v>MFP</v>
      </c>
      <c r="H167" s="60">
        <v>17099400</v>
      </c>
      <c r="I167" s="13">
        <f>SUM(S167-R167)</f>
        <v>4325</v>
      </c>
      <c r="J167" s="13">
        <f>SUM(U167-T167)</f>
        <v>203</v>
      </c>
      <c r="K167" s="14">
        <f>SUM(I167*$P167)</f>
        <v>89.527500000000003</v>
      </c>
      <c r="L167" s="14">
        <f>SUM(J167*$Q167)</f>
        <v>17.660999999999998</v>
      </c>
      <c r="M167" s="15">
        <f>K167+L167</f>
        <v>107.1885</v>
      </c>
      <c r="N167" s="10" t="s">
        <v>280</v>
      </c>
      <c r="O167" s="10" t="s">
        <v>281</v>
      </c>
      <c r="P167" s="16">
        <f>IF(G167="MFP",Tables!B$2,Tables!B$5)</f>
        <v>2.07E-2</v>
      </c>
      <c r="Q167" s="17">
        <f>IF(G167="MFP",Tables!B$3,Tables!B$6)</f>
        <v>8.6999999999999994E-2</v>
      </c>
      <c r="R167" s="18">
        <v>18856</v>
      </c>
      <c r="S167" s="18">
        <v>23181</v>
      </c>
      <c r="T167" s="18">
        <v>2181</v>
      </c>
      <c r="U167" s="18">
        <v>2384</v>
      </c>
    </row>
    <row r="168" spans="1:55" ht="15.75" outlineLevel="2" x14ac:dyDescent="0.25">
      <c r="A168" s="9" t="s">
        <v>277</v>
      </c>
      <c r="B168" s="9" t="s">
        <v>440</v>
      </c>
      <c r="C168" s="9" t="s">
        <v>441</v>
      </c>
      <c r="D168" s="10" t="s">
        <v>83</v>
      </c>
      <c r="E168" s="11">
        <v>304</v>
      </c>
      <c r="F168" s="10" t="s">
        <v>15</v>
      </c>
      <c r="G168" s="12" t="str">
        <f>VLOOKUP(F168,Tables!D$9:E$17,2,FALSE)</f>
        <v>PTR</v>
      </c>
      <c r="H168" s="60">
        <v>17099645</v>
      </c>
      <c r="I168" s="13">
        <f>SUM(S168-R168)</f>
        <v>55</v>
      </c>
      <c r="J168" s="13">
        <f>SUM(U168-T168)</f>
        <v>0</v>
      </c>
      <c r="K168" s="14">
        <f>SUM(I168*$P168)</f>
        <v>1.4410000000000001</v>
      </c>
      <c r="L168" s="14">
        <f>SUM(J168*$Q168)</f>
        <v>0</v>
      </c>
      <c r="M168" s="15">
        <f>K168+L168</f>
        <v>1.4410000000000001</v>
      </c>
      <c r="N168" s="10" t="s">
        <v>473</v>
      </c>
      <c r="O168" s="10" t="s">
        <v>474</v>
      </c>
      <c r="P168" s="16">
        <f>IF(G168="MFP",Tables!B$2,Tables!B$5)</f>
        <v>2.6200000000000001E-2</v>
      </c>
      <c r="Q168" s="17">
        <f>IF(G168="MFP",Tables!B$3,Tables!B$6)</f>
        <v>0.11799999999999999</v>
      </c>
      <c r="R168" s="18">
        <v>154</v>
      </c>
      <c r="S168" s="18">
        <v>209</v>
      </c>
      <c r="T168" s="18">
        <v>0</v>
      </c>
      <c r="U168" s="18">
        <v>0</v>
      </c>
    </row>
    <row r="169" spans="1:55" outlineLevel="1" x14ac:dyDescent="0.3">
      <c r="A169" s="19" t="s">
        <v>807</v>
      </c>
      <c r="B169" s="110"/>
      <c r="C169" s="110"/>
      <c r="D169" s="10"/>
      <c r="E169" s="11"/>
      <c r="F169" s="10"/>
      <c r="G169" s="12"/>
      <c r="H169" s="60"/>
      <c r="I169" s="13"/>
      <c r="J169" s="13"/>
      <c r="K169" s="106"/>
      <c r="L169" s="106"/>
      <c r="M169" s="15">
        <f>SUBTOTAL(9,M166:M168)</f>
        <v>114.05290000000001</v>
      </c>
      <c r="N169" s="10"/>
      <c r="O169" s="10"/>
      <c r="P169" s="16"/>
      <c r="Q169" s="17"/>
      <c r="R169" s="18"/>
      <c r="S169" s="18"/>
      <c r="T169" s="18"/>
      <c r="U169" s="18"/>
      <c r="BC169" s="65">
        <f>SUBTOTAL(9,BC166:BC168)</f>
        <v>0</v>
      </c>
    </row>
    <row r="170" spans="1:55" ht="15.75" outlineLevel="2" x14ac:dyDescent="0.25">
      <c r="A170" s="9" t="s">
        <v>769</v>
      </c>
      <c r="B170" s="9" t="s">
        <v>768</v>
      </c>
      <c r="C170" s="9" t="s">
        <v>769</v>
      </c>
      <c r="D170" s="10" t="s">
        <v>690</v>
      </c>
      <c r="E170" s="11">
        <v>301</v>
      </c>
      <c r="F170" s="10" t="s">
        <v>15</v>
      </c>
      <c r="G170" s="12" t="str">
        <f>VLOOKUP(F170,Tables!D$9:E$17,2,FALSE)</f>
        <v>PTR</v>
      </c>
      <c r="H170" s="60">
        <v>17099561</v>
      </c>
      <c r="I170" s="13">
        <f>SUM(S170-R170)</f>
        <v>222</v>
      </c>
      <c r="J170" s="13">
        <f>SUM(U170-T170)</f>
        <v>0</v>
      </c>
      <c r="K170" s="14">
        <f>SUM(I170*$P170)</f>
        <v>5.8163999999999998</v>
      </c>
      <c r="L170" s="14">
        <f>SUM(J170*$Q170)</f>
        <v>0</v>
      </c>
      <c r="M170" s="15">
        <f>K170+L170</f>
        <v>5.8163999999999998</v>
      </c>
      <c r="N170" s="10" t="s">
        <v>532</v>
      </c>
      <c r="O170" s="10" t="s">
        <v>533</v>
      </c>
      <c r="P170" s="16">
        <f>IF(G170="MFP",Tables!B$2,Tables!B$5)</f>
        <v>2.6200000000000001E-2</v>
      </c>
      <c r="Q170" s="17">
        <f>IF(G170="MFP",Tables!B$3,Tables!B$6)</f>
        <v>0.11799999999999999</v>
      </c>
      <c r="R170" s="18">
        <v>1063</v>
      </c>
      <c r="S170" s="18">
        <v>1285</v>
      </c>
      <c r="T170" s="18">
        <v>0</v>
      </c>
      <c r="U170" s="18">
        <v>0</v>
      </c>
    </row>
    <row r="171" spans="1:55" outlineLevel="1" x14ac:dyDescent="0.3">
      <c r="A171" s="19" t="s">
        <v>808</v>
      </c>
      <c r="B171" s="110"/>
      <c r="C171" s="110"/>
      <c r="D171" s="10"/>
      <c r="E171" s="11"/>
      <c r="F171" s="10"/>
      <c r="G171" s="12"/>
      <c r="H171" s="60"/>
      <c r="I171" s="13"/>
      <c r="J171" s="13"/>
      <c r="K171" s="106"/>
      <c r="L171" s="106"/>
      <c r="M171" s="15">
        <f>SUBTOTAL(9,M170:M170)</f>
        <v>5.8163999999999998</v>
      </c>
      <c r="N171" s="10"/>
      <c r="O171" s="10"/>
      <c r="P171" s="16"/>
      <c r="Q171" s="17"/>
      <c r="R171" s="18"/>
      <c r="S171" s="18"/>
      <c r="T171" s="18"/>
      <c r="U171" s="18"/>
      <c r="BC171" s="65">
        <f>SUBTOTAL(9,BC170:BC170)</f>
        <v>0</v>
      </c>
    </row>
    <row r="172" spans="1:55" ht="15.75" outlineLevel="2" x14ac:dyDescent="0.25">
      <c r="A172" s="9" t="s">
        <v>771</v>
      </c>
      <c r="B172" s="9" t="s">
        <v>501</v>
      </c>
      <c r="C172" s="9" t="s">
        <v>771</v>
      </c>
      <c r="D172" s="10" t="s">
        <v>287</v>
      </c>
      <c r="E172" s="11">
        <v>101</v>
      </c>
      <c r="F172" s="10" t="s">
        <v>54</v>
      </c>
      <c r="G172" s="12" t="str">
        <f>VLOOKUP(F172,Tables!D$9:E$17,2,FALSE)</f>
        <v>MFP</v>
      </c>
      <c r="H172" s="60">
        <v>17099527</v>
      </c>
      <c r="I172" s="13">
        <f>SUM(S172-R172)</f>
        <v>208</v>
      </c>
      <c r="J172" s="13">
        <f>SUM(U172-T172)</f>
        <v>0</v>
      </c>
      <c r="K172" s="14">
        <f>SUM(I172*$P172)</f>
        <v>4.3056000000000001</v>
      </c>
      <c r="L172" s="14">
        <f>SUM(J172*$Q172)</f>
        <v>0</v>
      </c>
      <c r="M172" s="15">
        <f>K172+L172</f>
        <v>4.3056000000000001</v>
      </c>
      <c r="N172" s="10" t="s">
        <v>503</v>
      </c>
      <c r="O172" s="10" t="s">
        <v>504</v>
      </c>
      <c r="P172" s="16">
        <f>IF(G172="MFP",Tables!B$2,Tables!B$5)</f>
        <v>2.07E-2</v>
      </c>
      <c r="Q172" s="17">
        <f>IF(G172="MFP",Tables!B$3,Tables!B$6)</f>
        <v>8.6999999999999994E-2</v>
      </c>
      <c r="R172" s="18">
        <v>616</v>
      </c>
      <c r="S172" s="18">
        <v>824</v>
      </c>
      <c r="T172" s="18">
        <v>12</v>
      </c>
      <c r="U172" s="18">
        <v>12</v>
      </c>
    </row>
    <row r="173" spans="1:55" outlineLevel="1" x14ac:dyDescent="0.3">
      <c r="A173" s="19" t="s">
        <v>809</v>
      </c>
      <c r="B173" s="110"/>
      <c r="C173" s="110"/>
      <c r="D173" s="10"/>
      <c r="E173" s="11"/>
      <c r="F173" s="10"/>
      <c r="G173" s="12"/>
      <c r="H173" s="60"/>
      <c r="I173" s="13"/>
      <c r="J173" s="13"/>
      <c r="K173" s="106"/>
      <c r="L173" s="106"/>
      <c r="M173" s="15">
        <f>SUBTOTAL(9,M172:M172)</f>
        <v>4.3056000000000001</v>
      </c>
      <c r="N173" s="10"/>
      <c r="O173" s="10"/>
      <c r="P173" s="16"/>
      <c r="Q173" s="17"/>
      <c r="R173" s="18"/>
      <c r="S173" s="18"/>
      <c r="T173" s="18"/>
      <c r="U173" s="18"/>
      <c r="BC173" s="65">
        <f>SUBTOTAL(9,BC172:BC172)</f>
        <v>0</v>
      </c>
    </row>
    <row r="174" spans="1:55" ht="15.75" outlineLevel="2" x14ac:dyDescent="0.25">
      <c r="A174" s="9" t="s">
        <v>159</v>
      </c>
      <c r="B174" s="9" t="s">
        <v>761</v>
      </c>
      <c r="C174" s="9" t="s">
        <v>156</v>
      </c>
      <c r="D174" s="10" t="s">
        <v>160</v>
      </c>
      <c r="E174" s="11">
        <v>101</v>
      </c>
      <c r="F174" s="10" t="s">
        <v>161</v>
      </c>
      <c r="G174" s="12" t="str">
        <f>VLOOKUP(F174,Tables!D$9:E$17,2,FALSE)</f>
        <v>MFP</v>
      </c>
      <c r="H174" s="60">
        <v>17099533</v>
      </c>
      <c r="I174" s="13">
        <f>SUM(S174-R174)</f>
        <v>469</v>
      </c>
      <c r="J174" s="13">
        <f>SUM(U174-T174)</f>
        <v>0</v>
      </c>
      <c r="K174" s="14">
        <f>SUM(I174*$P174)</f>
        <v>9.7082999999999995</v>
      </c>
      <c r="L174" s="14">
        <f>SUM(J174*$Q174)</f>
        <v>0</v>
      </c>
      <c r="M174" s="15">
        <f>K174+L174</f>
        <v>9.7082999999999995</v>
      </c>
      <c r="N174" s="10" t="s">
        <v>162</v>
      </c>
      <c r="O174" s="10" t="s">
        <v>163</v>
      </c>
      <c r="P174" s="16">
        <f>IF(G174="MFP",Tables!B$2,Tables!B$5)</f>
        <v>2.07E-2</v>
      </c>
      <c r="Q174" s="17">
        <f>IF(G174="MFP",Tables!B$3,Tables!B$6)</f>
        <v>8.6999999999999994E-2</v>
      </c>
      <c r="R174" s="18">
        <v>1433</v>
      </c>
      <c r="S174" s="18">
        <v>1902</v>
      </c>
      <c r="T174" s="18">
        <v>0</v>
      </c>
      <c r="U174" s="18">
        <v>0</v>
      </c>
    </row>
    <row r="175" spans="1:55" outlineLevel="1" x14ac:dyDescent="0.3">
      <c r="A175" s="19" t="s">
        <v>810</v>
      </c>
      <c r="B175" s="110"/>
      <c r="C175" s="110"/>
      <c r="D175" s="10"/>
      <c r="E175" s="11"/>
      <c r="F175" s="10"/>
      <c r="G175" s="12"/>
      <c r="H175" s="60"/>
      <c r="I175" s="13"/>
      <c r="J175" s="13"/>
      <c r="K175" s="106"/>
      <c r="L175" s="106"/>
      <c r="M175" s="15">
        <f>SUBTOTAL(9,M174:M174)</f>
        <v>9.7082999999999995</v>
      </c>
      <c r="N175" s="10"/>
      <c r="O175" s="10"/>
      <c r="P175" s="16"/>
      <c r="Q175" s="17"/>
      <c r="R175" s="18"/>
      <c r="S175" s="18"/>
      <c r="T175" s="18"/>
      <c r="U175" s="18"/>
      <c r="BC175" s="65">
        <f>SUBTOTAL(9,BC174:BC174)</f>
        <v>0</v>
      </c>
    </row>
    <row r="176" spans="1:55" ht="15.75" outlineLevel="2" x14ac:dyDescent="0.25">
      <c r="A176" s="9" t="s">
        <v>156</v>
      </c>
      <c r="B176" s="9" t="s">
        <v>760</v>
      </c>
      <c r="C176" s="9" t="s">
        <v>156</v>
      </c>
      <c r="D176" s="10" t="s">
        <v>98</v>
      </c>
      <c r="E176" s="11">
        <v>429</v>
      </c>
      <c r="F176" s="10" t="s">
        <v>15</v>
      </c>
      <c r="G176" s="12" t="str">
        <f>VLOOKUP(F176,Tables!D$9:E$17,2,FALSE)</f>
        <v>PTR</v>
      </c>
      <c r="H176" s="60">
        <v>17099547</v>
      </c>
      <c r="I176" s="13">
        <f>SUM(S176-R176)</f>
        <v>433</v>
      </c>
      <c r="J176" s="13">
        <f>SUM(U176-T176)</f>
        <v>0</v>
      </c>
      <c r="K176" s="14">
        <f>SUM(I176*$P176)</f>
        <v>11.3446</v>
      </c>
      <c r="L176" s="14">
        <f>SUM(J176*$Q176)</f>
        <v>0</v>
      </c>
      <c r="M176" s="15">
        <f>K176+L176</f>
        <v>11.3446</v>
      </c>
      <c r="N176" s="10" t="s">
        <v>164</v>
      </c>
      <c r="O176" s="10" t="s">
        <v>165</v>
      </c>
      <c r="P176" s="16">
        <f>IF(G176="MFP",Tables!B$2,Tables!B$5)</f>
        <v>2.6200000000000001E-2</v>
      </c>
      <c r="Q176" s="17">
        <f>IF(G176="MFP",Tables!B$3,Tables!B$6)</f>
        <v>0.11799999999999999</v>
      </c>
      <c r="R176" s="18">
        <v>2722</v>
      </c>
      <c r="S176" s="18">
        <v>3155</v>
      </c>
      <c r="T176" s="18">
        <v>0</v>
      </c>
      <c r="U176" s="18">
        <v>0</v>
      </c>
    </row>
    <row r="177" spans="1:55" ht="36.75" customHeight="1" outlineLevel="2" x14ac:dyDescent="0.25">
      <c r="A177" s="9" t="s">
        <v>156</v>
      </c>
      <c r="B177" s="9" t="s">
        <v>760</v>
      </c>
      <c r="C177" s="9" t="s">
        <v>156</v>
      </c>
      <c r="D177" s="10" t="s">
        <v>98</v>
      </c>
      <c r="E177" s="11">
        <v>434</v>
      </c>
      <c r="F177" s="10" t="s">
        <v>15</v>
      </c>
      <c r="G177" s="12" t="str">
        <f>VLOOKUP(F177,Tables!D$9:E$17,2,FALSE)</f>
        <v>PTR</v>
      </c>
      <c r="H177" s="60">
        <v>17099550</v>
      </c>
      <c r="I177" s="13">
        <f>SUM(S177-R177)</f>
        <v>161</v>
      </c>
      <c r="J177" s="13">
        <f>SUM(U177-T177)</f>
        <v>0</v>
      </c>
      <c r="K177" s="14">
        <f>SUM(I177*$P177)</f>
        <v>4.2182000000000004</v>
      </c>
      <c r="L177" s="14">
        <f>SUM(J177*$Q177)</f>
        <v>0</v>
      </c>
      <c r="M177" s="15">
        <f>K177+L177</f>
        <v>4.2182000000000004</v>
      </c>
      <c r="N177" s="10" t="s">
        <v>166</v>
      </c>
      <c r="O177" s="10" t="s">
        <v>167</v>
      </c>
      <c r="P177" s="16">
        <f>IF(G177="MFP",Tables!B$2,Tables!B$5)</f>
        <v>2.6200000000000001E-2</v>
      </c>
      <c r="Q177" s="17">
        <f>IF(G177="MFP",Tables!B$3,Tables!B$6)</f>
        <v>0.11799999999999999</v>
      </c>
      <c r="R177" s="18">
        <v>753</v>
      </c>
      <c r="S177" s="18">
        <v>914</v>
      </c>
      <c r="T177" s="18">
        <v>0</v>
      </c>
      <c r="U177" s="18">
        <v>0</v>
      </c>
    </row>
    <row r="178" spans="1:55" ht="32.25" customHeight="1" outlineLevel="2" x14ac:dyDescent="0.25">
      <c r="A178" s="9" t="s">
        <v>156</v>
      </c>
      <c r="B178" s="9" t="s">
        <v>760</v>
      </c>
      <c r="C178" s="9" t="s">
        <v>156</v>
      </c>
      <c r="D178" s="10" t="s">
        <v>98</v>
      </c>
      <c r="E178" s="11">
        <v>444</v>
      </c>
      <c r="F178" s="10" t="s">
        <v>54</v>
      </c>
      <c r="G178" s="12" t="str">
        <f>VLOOKUP(F178,Tables!D$9:E$17,2,FALSE)</f>
        <v>MFP</v>
      </c>
      <c r="H178" s="60">
        <v>17099486</v>
      </c>
      <c r="I178" s="13">
        <f>SUM(S178-R178)</f>
        <v>0</v>
      </c>
      <c r="J178" s="13">
        <f>SUM(U178-T178)</f>
        <v>0</v>
      </c>
      <c r="K178" s="14">
        <f>SUM(I178*$P178)</f>
        <v>0</v>
      </c>
      <c r="L178" s="14">
        <f>SUM(J178*$Q178)</f>
        <v>0</v>
      </c>
      <c r="M178" s="15">
        <f>K178+L178</f>
        <v>0</v>
      </c>
      <c r="N178" s="10" t="s">
        <v>157</v>
      </c>
      <c r="O178" s="10" t="s">
        <v>158</v>
      </c>
      <c r="P178" s="16">
        <f>IF(G178="MFP",Tables!B$2,Tables!B$5)</f>
        <v>2.07E-2</v>
      </c>
      <c r="Q178" s="17">
        <f>IF(G178="MFP",Tables!B$3,Tables!B$6)</f>
        <v>8.6999999999999994E-2</v>
      </c>
      <c r="R178" s="18">
        <v>0</v>
      </c>
      <c r="S178" s="18">
        <v>0</v>
      </c>
      <c r="T178" s="18">
        <v>0</v>
      </c>
      <c r="U178" s="18">
        <v>0</v>
      </c>
    </row>
    <row r="179" spans="1:55" ht="32.25" customHeight="1" outlineLevel="1" x14ac:dyDescent="0.3">
      <c r="A179" s="19" t="s">
        <v>811</v>
      </c>
      <c r="B179" s="110"/>
      <c r="C179" s="110"/>
      <c r="D179" s="10"/>
      <c r="E179" s="11"/>
      <c r="F179" s="10"/>
      <c r="G179" s="12"/>
      <c r="H179" s="60"/>
      <c r="I179" s="13"/>
      <c r="J179" s="13"/>
      <c r="K179" s="106"/>
      <c r="L179" s="106"/>
      <c r="M179" s="15">
        <f>SUBTOTAL(9,M176:M178)</f>
        <v>15.562799999999999</v>
      </c>
      <c r="N179" s="10"/>
      <c r="O179" s="10"/>
      <c r="P179" s="16"/>
      <c r="Q179" s="17"/>
      <c r="R179" s="18"/>
      <c r="S179" s="18"/>
      <c r="T179" s="18"/>
      <c r="U179" s="18"/>
      <c r="BC179" s="65">
        <f>SUBTOTAL(9,BC176:BC178)</f>
        <v>0</v>
      </c>
    </row>
    <row r="180" spans="1:55" ht="15.75" outlineLevel="2" x14ac:dyDescent="0.25">
      <c r="A180" s="9" t="s">
        <v>576</v>
      </c>
      <c r="B180" s="9" t="s">
        <v>577</v>
      </c>
      <c r="C180" s="9" t="s">
        <v>578</v>
      </c>
      <c r="D180" s="10" t="s">
        <v>569</v>
      </c>
      <c r="E180" s="11">
        <v>201</v>
      </c>
      <c r="F180" s="10" t="s">
        <v>161</v>
      </c>
      <c r="G180" s="12" t="str">
        <f>VLOOKUP(F180,Tables!D$9:E$17,2,FALSE)</f>
        <v>MFP</v>
      </c>
      <c r="H180" s="60">
        <v>17099401</v>
      </c>
      <c r="I180" s="13">
        <f>SUM(S180-R180)</f>
        <v>1664</v>
      </c>
      <c r="J180" s="13">
        <f>SUM(U180-T180)</f>
        <v>0</v>
      </c>
      <c r="K180" s="14">
        <f>SUM(I180*$P180)</f>
        <v>34.444800000000001</v>
      </c>
      <c r="L180" s="14">
        <f>SUM(J180*$Q180)</f>
        <v>0</v>
      </c>
      <c r="M180" s="15">
        <f>K180+L180</f>
        <v>34.444800000000001</v>
      </c>
      <c r="N180" s="10" t="s">
        <v>579</v>
      </c>
      <c r="O180" s="10" t="s">
        <v>580</v>
      </c>
      <c r="P180" s="16">
        <f>IF(G180="MFP",Tables!B$2,Tables!B$5)</f>
        <v>2.07E-2</v>
      </c>
      <c r="Q180" s="17">
        <f>IF(G180="MFP",Tables!B$3,Tables!B$6)</f>
        <v>8.6999999999999994E-2</v>
      </c>
      <c r="R180" s="18">
        <v>2902</v>
      </c>
      <c r="S180" s="18">
        <v>4566</v>
      </c>
      <c r="T180" s="18">
        <v>0</v>
      </c>
      <c r="U180" s="18">
        <v>0</v>
      </c>
    </row>
    <row r="181" spans="1:55" ht="15.75" outlineLevel="2" x14ac:dyDescent="0.25">
      <c r="A181" s="9" t="s">
        <v>576</v>
      </c>
      <c r="B181" s="9" t="s">
        <v>577</v>
      </c>
      <c r="C181" s="9" t="s">
        <v>578</v>
      </c>
      <c r="D181" s="10" t="s">
        <v>569</v>
      </c>
      <c r="E181" s="11">
        <v>201</v>
      </c>
      <c r="F181" s="10" t="s">
        <v>92</v>
      </c>
      <c r="G181" s="12" t="str">
        <f>VLOOKUP(F181,Tables!D$9:E$17,2,FALSE)</f>
        <v>PTR</v>
      </c>
      <c r="H181" s="60">
        <v>17099622</v>
      </c>
      <c r="I181" s="13">
        <f>SUM(S181-R181)</f>
        <v>0</v>
      </c>
      <c r="J181" s="13">
        <f>SUM(U181-T181)</f>
        <v>0</v>
      </c>
      <c r="K181" s="14">
        <f>SUM(I181*$P181)</f>
        <v>0</v>
      </c>
      <c r="L181" s="14">
        <f>SUM(J181*$Q181)</f>
        <v>0</v>
      </c>
      <c r="M181" s="15">
        <f>K181+L181</f>
        <v>0</v>
      </c>
      <c r="N181" s="10" t="s">
        <v>581</v>
      </c>
      <c r="O181" s="10" t="s">
        <v>582</v>
      </c>
      <c r="P181" s="16">
        <f>IF(G181="MFP",Tables!B$2,Tables!B$5)</f>
        <v>2.6200000000000001E-2</v>
      </c>
      <c r="Q181" s="17">
        <f>IF(G181="MFP",Tables!B$3,Tables!B$6)</f>
        <v>0.11799999999999999</v>
      </c>
      <c r="R181" s="18">
        <v>27</v>
      </c>
      <c r="S181" s="18">
        <v>27</v>
      </c>
      <c r="T181" s="18">
        <v>28</v>
      </c>
      <c r="U181" s="18">
        <v>28</v>
      </c>
    </row>
    <row r="182" spans="1:55" outlineLevel="1" x14ac:dyDescent="0.3">
      <c r="A182" s="19" t="s">
        <v>812</v>
      </c>
      <c r="B182" s="110"/>
      <c r="C182" s="110"/>
      <c r="D182" s="10"/>
      <c r="E182" s="11"/>
      <c r="F182" s="10"/>
      <c r="G182" s="12"/>
      <c r="H182" s="60"/>
      <c r="I182" s="13"/>
      <c r="J182" s="13"/>
      <c r="K182" s="106"/>
      <c r="L182" s="106"/>
      <c r="M182" s="15">
        <f>SUBTOTAL(9,M180:M181)</f>
        <v>34.444800000000001</v>
      </c>
      <c r="N182" s="10"/>
      <c r="O182" s="10"/>
      <c r="P182" s="16"/>
      <c r="Q182" s="17"/>
      <c r="R182" s="18"/>
      <c r="S182" s="18"/>
      <c r="T182" s="18"/>
      <c r="U182" s="18"/>
      <c r="BC182" s="65">
        <f>SUBTOTAL(9,BC180:BC181)</f>
        <v>0</v>
      </c>
    </row>
    <row r="183" spans="1:55" ht="15.75" outlineLevel="2" x14ac:dyDescent="0.25">
      <c r="A183" s="9" t="s">
        <v>335</v>
      </c>
      <c r="B183" s="9" t="s">
        <v>336</v>
      </c>
      <c r="C183" s="9" t="s">
        <v>337</v>
      </c>
      <c r="D183" s="10" t="s">
        <v>230</v>
      </c>
      <c r="E183" s="11">
        <v>209</v>
      </c>
      <c r="F183" s="10" t="s">
        <v>15</v>
      </c>
      <c r="G183" s="12" t="str">
        <f>VLOOKUP(F183,Tables!D$9:E$17,2,FALSE)</f>
        <v>PTR</v>
      </c>
      <c r="H183" s="60">
        <v>17099577</v>
      </c>
      <c r="I183" s="13">
        <f>SUM(S183-R183)</f>
        <v>8</v>
      </c>
      <c r="J183" s="13">
        <f>SUM(U183-T183)</f>
        <v>0</v>
      </c>
      <c r="K183" s="14">
        <f>SUM(I183*$P183)</f>
        <v>0.20960000000000001</v>
      </c>
      <c r="L183" s="14">
        <f>SUM(J183*$Q183)</f>
        <v>0</v>
      </c>
      <c r="M183" s="15">
        <f>K183+L183</f>
        <v>0.20960000000000001</v>
      </c>
      <c r="N183" s="10" t="s">
        <v>313</v>
      </c>
      <c r="O183" s="10" t="s">
        <v>314</v>
      </c>
      <c r="P183" s="16">
        <f>IF(G183="MFP",Tables!B$2,Tables!B$5)</f>
        <v>2.6200000000000001E-2</v>
      </c>
      <c r="Q183" s="17">
        <f>IF(G183="MFP",Tables!B$3,Tables!B$6)</f>
        <v>0.11799999999999999</v>
      </c>
      <c r="R183" s="18">
        <v>0</v>
      </c>
      <c r="S183" s="18">
        <v>8</v>
      </c>
      <c r="T183" s="18">
        <v>0</v>
      </c>
      <c r="U183" s="18">
        <v>0</v>
      </c>
    </row>
    <row r="184" spans="1:55" ht="15.75" outlineLevel="2" x14ac:dyDescent="0.25">
      <c r="A184" s="9" t="s">
        <v>335</v>
      </c>
      <c r="B184" s="9" t="s">
        <v>336</v>
      </c>
      <c r="C184" s="9" t="s">
        <v>337</v>
      </c>
      <c r="D184" s="10" t="s">
        <v>230</v>
      </c>
      <c r="E184" s="11" t="s">
        <v>338</v>
      </c>
      <c r="F184" s="10" t="s">
        <v>15</v>
      </c>
      <c r="G184" s="12" t="str">
        <f>VLOOKUP(F184,Tables!D$9:E$17,2,FALSE)</f>
        <v>PTR</v>
      </c>
      <c r="H184" s="60">
        <v>17099754</v>
      </c>
      <c r="I184" s="13">
        <f>SUM(S184-R184)</f>
        <v>800</v>
      </c>
      <c r="J184" s="13">
        <f>SUM(U184-T184)</f>
        <v>0</v>
      </c>
      <c r="K184" s="14">
        <f>SUM(I184*$P184)</f>
        <v>20.96</v>
      </c>
      <c r="L184" s="14">
        <f>SUM(J184*$Q184)</f>
        <v>0</v>
      </c>
      <c r="M184" s="15">
        <f>K184+L184</f>
        <v>20.96</v>
      </c>
      <c r="N184" s="10" t="s">
        <v>339</v>
      </c>
      <c r="O184" s="10" t="s">
        <v>340</v>
      </c>
      <c r="P184" s="16">
        <f>IF(G184="MFP",Tables!B$2,Tables!B$5)</f>
        <v>2.6200000000000001E-2</v>
      </c>
      <c r="Q184" s="17">
        <f>IF(G184="MFP",Tables!B$3,Tables!B$6)</f>
        <v>0.11799999999999999</v>
      </c>
      <c r="R184" s="18">
        <v>2499</v>
      </c>
      <c r="S184" s="18">
        <v>3299</v>
      </c>
      <c r="T184" s="18">
        <v>0</v>
      </c>
      <c r="U184" s="18">
        <v>0</v>
      </c>
    </row>
    <row r="185" spans="1:55" outlineLevel="1" x14ac:dyDescent="0.3">
      <c r="A185" s="19" t="s">
        <v>813</v>
      </c>
      <c r="B185" s="110"/>
      <c r="C185" s="110"/>
      <c r="D185" s="10"/>
      <c r="E185" s="11"/>
      <c r="F185" s="10"/>
      <c r="G185" s="12"/>
      <c r="H185" s="60"/>
      <c r="I185" s="13"/>
      <c r="J185" s="13"/>
      <c r="K185" s="106"/>
      <c r="L185" s="106"/>
      <c r="M185" s="15">
        <f>SUBTOTAL(9,M183:M184)</f>
        <v>21.169600000000003</v>
      </c>
      <c r="N185" s="10"/>
      <c r="O185" s="10"/>
      <c r="P185" s="16"/>
      <c r="Q185" s="17"/>
      <c r="R185" s="18"/>
      <c r="S185" s="18"/>
      <c r="T185" s="18"/>
      <c r="U185" s="18"/>
      <c r="BC185" s="65">
        <f>SUBTOTAL(9,BC183:BC184)</f>
        <v>0</v>
      </c>
    </row>
    <row r="186" spans="1:55" ht="15.75" outlineLevel="2" x14ac:dyDescent="0.25">
      <c r="A186" s="9" t="s">
        <v>491</v>
      </c>
      <c r="B186" s="9" t="s">
        <v>492</v>
      </c>
      <c r="C186" s="9" t="s">
        <v>493</v>
      </c>
      <c r="D186" s="10" t="s">
        <v>442</v>
      </c>
      <c r="E186" s="11" t="s">
        <v>494</v>
      </c>
      <c r="F186" s="10" t="s">
        <v>161</v>
      </c>
      <c r="G186" s="12" t="str">
        <f>VLOOKUP(F186,Tables!D$9:E$17,2,FALSE)</f>
        <v>MFP</v>
      </c>
      <c r="H186" s="60">
        <v>17099535</v>
      </c>
      <c r="I186" s="13">
        <f>SUM(S186-R186)</f>
        <v>5655</v>
      </c>
      <c r="J186" s="13">
        <f>SUM(U186-T186)</f>
        <v>0</v>
      </c>
      <c r="K186" s="14">
        <f>SUM(I186*$P186)</f>
        <v>117.0585</v>
      </c>
      <c r="L186" s="14">
        <f>SUM(J186*$Q186)</f>
        <v>0</v>
      </c>
      <c r="M186" s="15">
        <f>K186+L186</f>
        <v>117.0585</v>
      </c>
      <c r="N186" s="10" t="s">
        <v>495</v>
      </c>
      <c r="O186" s="10" t="s">
        <v>496</v>
      </c>
      <c r="P186" s="16">
        <f>IF(G186="MFP",Tables!B$2,Tables!B$5)</f>
        <v>2.07E-2</v>
      </c>
      <c r="Q186" s="17">
        <f>IF(G186="MFP",Tables!B$3,Tables!B$6)</f>
        <v>8.6999999999999994E-2</v>
      </c>
      <c r="R186" s="18">
        <v>0</v>
      </c>
      <c r="S186" s="18">
        <v>5655</v>
      </c>
      <c r="T186" s="18">
        <v>0</v>
      </c>
      <c r="U186" s="18">
        <v>0</v>
      </c>
    </row>
    <row r="187" spans="1:55" outlineLevel="1" x14ac:dyDescent="0.3">
      <c r="A187" s="19" t="s">
        <v>814</v>
      </c>
      <c r="B187" s="110"/>
      <c r="C187" s="110"/>
      <c r="D187" s="10"/>
      <c r="E187" s="11"/>
      <c r="F187" s="10"/>
      <c r="G187" s="12"/>
      <c r="H187" s="60"/>
      <c r="I187" s="13"/>
      <c r="J187" s="13"/>
      <c r="K187" s="106"/>
      <c r="L187" s="106"/>
      <c r="M187" s="15">
        <f>SUBTOTAL(9,M186:M186)</f>
        <v>117.0585</v>
      </c>
      <c r="N187" s="10"/>
      <c r="O187" s="10"/>
      <c r="P187" s="16"/>
      <c r="Q187" s="17"/>
      <c r="R187" s="18"/>
      <c r="S187" s="18"/>
      <c r="T187" s="18"/>
      <c r="U187" s="18"/>
      <c r="BC187" s="65">
        <f>SUBTOTAL(9,BC186:BC186)</f>
        <v>0</v>
      </c>
    </row>
    <row r="188" spans="1:55" ht="15.75" outlineLevel="2" x14ac:dyDescent="0.25">
      <c r="A188" s="9" t="s">
        <v>168</v>
      </c>
      <c r="B188" s="9" t="s">
        <v>169</v>
      </c>
      <c r="C188" s="9" t="s">
        <v>170</v>
      </c>
      <c r="D188" s="10" t="s">
        <v>171</v>
      </c>
      <c r="E188" s="11">
        <v>415</v>
      </c>
      <c r="F188" s="10" t="s">
        <v>15</v>
      </c>
      <c r="G188" s="12" t="str">
        <f>VLOOKUP(F188,Tables!D$9:E$17,2,FALSE)</f>
        <v>PTR</v>
      </c>
      <c r="H188" s="60">
        <v>17099579</v>
      </c>
      <c r="I188" s="13">
        <f>SUM(S188-R188)</f>
        <v>969</v>
      </c>
      <c r="J188" s="13">
        <f>SUM(U188-T188)</f>
        <v>0</v>
      </c>
      <c r="K188" s="14">
        <f>SUM(I188*$P188)</f>
        <v>25.387800000000002</v>
      </c>
      <c r="L188" s="14">
        <f>SUM(J188*$Q188)</f>
        <v>0</v>
      </c>
      <c r="M188" s="15">
        <f>K188+L188</f>
        <v>25.387800000000002</v>
      </c>
      <c r="N188" s="10" t="s">
        <v>174</v>
      </c>
      <c r="O188" s="10" t="s">
        <v>175</v>
      </c>
      <c r="P188" s="16">
        <f>IF(G188="MFP",Tables!B$2,Tables!B$5)</f>
        <v>2.6200000000000001E-2</v>
      </c>
      <c r="Q188" s="17">
        <f>IF(G188="MFP",Tables!B$3,Tables!B$6)</f>
        <v>0.11799999999999999</v>
      </c>
      <c r="R188" s="18">
        <v>956</v>
      </c>
      <c r="S188" s="18">
        <v>1925</v>
      </c>
      <c r="T188" s="18">
        <v>0</v>
      </c>
      <c r="U188" s="18">
        <v>0</v>
      </c>
    </row>
    <row r="189" spans="1:55" ht="15.75" outlineLevel="2" x14ac:dyDescent="0.25">
      <c r="A189" s="9" t="s">
        <v>168</v>
      </c>
      <c r="B189" s="9" t="s">
        <v>169</v>
      </c>
      <c r="C189" s="9" t="s">
        <v>170</v>
      </c>
      <c r="D189" s="10" t="s">
        <v>171</v>
      </c>
      <c r="E189" s="11">
        <v>416</v>
      </c>
      <c r="F189" s="10" t="s">
        <v>84</v>
      </c>
      <c r="G189" s="12" t="str">
        <f>VLOOKUP(F189,Tables!D$9:E$17,2,FALSE)</f>
        <v>MFP</v>
      </c>
      <c r="H189" s="60">
        <v>17099492</v>
      </c>
      <c r="I189" s="13">
        <f>SUM(S189-R189)</f>
        <v>24908</v>
      </c>
      <c r="J189" s="13">
        <f>SUM(U189-T189)</f>
        <v>1400</v>
      </c>
      <c r="K189" s="14">
        <f>SUM(I189*$P189)</f>
        <v>515.59559999999999</v>
      </c>
      <c r="L189" s="14">
        <f>SUM(J189*$Q189)</f>
        <v>121.8</v>
      </c>
      <c r="M189" s="15">
        <f>K189+L189</f>
        <v>637.39559999999994</v>
      </c>
      <c r="N189" s="10" t="s">
        <v>172</v>
      </c>
      <c r="O189" s="10" t="s">
        <v>173</v>
      </c>
      <c r="P189" s="16">
        <f>IF(G189="MFP",Tables!B$2,Tables!B$5)</f>
        <v>2.07E-2</v>
      </c>
      <c r="Q189" s="17">
        <f>IF(G189="MFP",Tables!B$3,Tables!B$6)</f>
        <v>8.6999999999999994E-2</v>
      </c>
      <c r="R189" s="18">
        <v>127004</v>
      </c>
      <c r="S189" s="18">
        <v>151912</v>
      </c>
      <c r="T189" s="18">
        <v>12964</v>
      </c>
      <c r="U189" s="18">
        <v>14364</v>
      </c>
    </row>
    <row r="190" spans="1:55" ht="15.75" outlineLevel="2" x14ac:dyDescent="0.25">
      <c r="A190" s="9" t="s">
        <v>168</v>
      </c>
      <c r="B190" s="9" t="s">
        <v>169</v>
      </c>
      <c r="C190" s="9" t="s">
        <v>170</v>
      </c>
      <c r="D190" s="10" t="s">
        <v>171</v>
      </c>
      <c r="E190" s="11">
        <v>425</v>
      </c>
      <c r="F190" s="10" t="s">
        <v>15</v>
      </c>
      <c r="G190" s="12" t="str">
        <f>VLOOKUP(F190,Tables!D$9:E$17,2,FALSE)</f>
        <v>PTR</v>
      </c>
      <c r="H190" s="60">
        <v>17099582</v>
      </c>
      <c r="I190" s="13">
        <f>SUM(S190-R190)</f>
        <v>493</v>
      </c>
      <c r="J190" s="13">
        <f>SUM(U190-T190)</f>
        <v>0</v>
      </c>
      <c r="K190" s="14">
        <f>SUM(I190*$P190)</f>
        <v>12.916600000000001</v>
      </c>
      <c r="L190" s="14">
        <f>SUM(J190*$Q190)</f>
        <v>0</v>
      </c>
      <c r="M190" s="15">
        <f>K190+L190</f>
        <v>12.916600000000001</v>
      </c>
      <c r="N190" s="10" t="s">
        <v>176</v>
      </c>
      <c r="O190" s="10" t="s">
        <v>177</v>
      </c>
      <c r="P190" s="16">
        <f>IF(G190="MFP",Tables!B$2,Tables!B$5)</f>
        <v>2.6200000000000001E-2</v>
      </c>
      <c r="Q190" s="17">
        <f>IF(G190="MFP",Tables!B$3,Tables!B$6)</f>
        <v>0.11799999999999999</v>
      </c>
      <c r="R190" s="18">
        <v>1015</v>
      </c>
      <c r="S190" s="18">
        <v>1508</v>
      </c>
      <c r="T190" s="18">
        <v>0</v>
      </c>
      <c r="U190" s="18">
        <v>0</v>
      </c>
    </row>
    <row r="191" spans="1:55" ht="15.75" outlineLevel="2" x14ac:dyDescent="0.25">
      <c r="A191" s="9" t="s">
        <v>168</v>
      </c>
      <c r="B191" s="9" t="s">
        <v>440</v>
      </c>
      <c r="C191" s="9" t="s">
        <v>441</v>
      </c>
      <c r="D191" s="10" t="s">
        <v>171</v>
      </c>
      <c r="E191" s="11">
        <v>315</v>
      </c>
      <c r="F191" s="10" t="s">
        <v>161</v>
      </c>
      <c r="G191" s="12" t="str">
        <f>VLOOKUP(F191,Tables!D$9:E$17,2,FALSE)</f>
        <v>MFP</v>
      </c>
      <c r="H191" s="60">
        <v>17099464</v>
      </c>
      <c r="I191" s="13">
        <f>SUM(S191-R191)</f>
        <v>0</v>
      </c>
      <c r="J191" s="13">
        <f>SUM(U191-T191)</f>
        <v>0</v>
      </c>
      <c r="K191" s="14">
        <f>SUM(I191*$P191)</f>
        <v>0</v>
      </c>
      <c r="L191" s="14">
        <f>SUM(J191*$Q191)</f>
        <v>0</v>
      </c>
      <c r="M191" s="15">
        <f>K191+L191</f>
        <v>0</v>
      </c>
      <c r="N191" s="10" t="s">
        <v>475</v>
      </c>
      <c r="O191" s="10" t="s">
        <v>476</v>
      </c>
      <c r="P191" s="16">
        <f>IF(G191="MFP",Tables!B$2,Tables!B$5)</f>
        <v>2.07E-2</v>
      </c>
      <c r="Q191" s="17">
        <f>IF(G191="MFP",Tables!B$3,Tables!B$6)</f>
        <v>8.6999999999999994E-2</v>
      </c>
      <c r="R191" s="18">
        <v>9</v>
      </c>
      <c r="S191" s="18">
        <v>9</v>
      </c>
      <c r="T191" s="18">
        <v>0</v>
      </c>
      <c r="U191" s="18">
        <v>0</v>
      </c>
    </row>
    <row r="192" spans="1:55" ht="15.75" outlineLevel="2" x14ac:dyDescent="0.25">
      <c r="A192" s="9" t="s">
        <v>168</v>
      </c>
      <c r="B192" s="9" t="s">
        <v>440</v>
      </c>
      <c r="C192" s="9" t="s">
        <v>441</v>
      </c>
      <c r="D192" s="10" t="s">
        <v>171</v>
      </c>
      <c r="E192" s="11">
        <v>414</v>
      </c>
      <c r="F192" s="10" t="s">
        <v>15</v>
      </c>
      <c r="G192" s="12" t="str">
        <f>VLOOKUP(F192,Tables!D$9:E$17,2,FALSE)</f>
        <v>PTR</v>
      </c>
      <c r="H192" s="60">
        <v>17099786</v>
      </c>
      <c r="I192" s="13">
        <f>SUM(S192-R192)</f>
        <v>1721</v>
      </c>
      <c r="J192" s="13">
        <f>SUM(U192-T192)</f>
        <v>0</v>
      </c>
      <c r="K192" s="14">
        <f>SUM(I192*$P192)</f>
        <v>45.090200000000003</v>
      </c>
      <c r="L192" s="14">
        <f>SUM(J192*$Q192)</f>
        <v>0</v>
      </c>
      <c r="M192" s="15">
        <f>K192+L192</f>
        <v>45.090200000000003</v>
      </c>
      <c r="N192" s="10" t="s">
        <v>477</v>
      </c>
      <c r="O192" s="10" t="s">
        <v>478</v>
      </c>
      <c r="P192" s="16">
        <f>IF(G192="MFP",Tables!B$2,Tables!B$5)</f>
        <v>2.6200000000000001E-2</v>
      </c>
      <c r="Q192" s="17">
        <f>IF(G192="MFP",Tables!B$3,Tables!B$6)</f>
        <v>0.11799999999999999</v>
      </c>
      <c r="R192" s="18">
        <v>14277</v>
      </c>
      <c r="S192" s="18">
        <v>15998</v>
      </c>
      <c r="T192" s="18">
        <v>0</v>
      </c>
      <c r="U192" s="18">
        <v>0</v>
      </c>
    </row>
    <row r="193" spans="1:55" outlineLevel="1" x14ac:dyDescent="0.3">
      <c r="A193" s="19" t="s">
        <v>815</v>
      </c>
      <c r="B193" s="110"/>
      <c r="C193" s="110"/>
      <c r="D193" s="10"/>
      <c r="E193" s="11"/>
      <c r="F193" s="10"/>
      <c r="G193" s="12"/>
      <c r="H193" s="60"/>
      <c r="I193" s="13"/>
      <c r="J193" s="13"/>
      <c r="K193" s="106"/>
      <c r="L193" s="106"/>
      <c r="M193" s="15">
        <f>SUBTOTAL(9,M188:M192)</f>
        <v>720.79019999999991</v>
      </c>
      <c r="N193" s="10"/>
      <c r="O193" s="10"/>
      <c r="P193" s="16"/>
      <c r="Q193" s="17"/>
      <c r="R193" s="18"/>
      <c r="S193" s="18"/>
      <c r="T193" s="18"/>
      <c r="U193" s="18"/>
      <c r="BC193" s="65">
        <f>SUBTOTAL(9,BC188:BC192)</f>
        <v>0</v>
      </c>
    </row>
    <row r="194" spans="1:55" ht="15.75" outlineLevel="2" x14ac:dyDescent="0.25">
      <c r="A194" s="9" t="s">
        <v>170</v>
      </c>
      <c r="B194" s="9" t="s">
        <v>178</v>
      </c>
      <c r="C194" s="9" t="s">
        <v>179</v>
      </c>
      <c r="D194" s="10" t="s">
        <v>180</v>
      </c>
      <c r="E194" s="11">
        <v>700</v>
      </c>
      <c r="F194" s="10" t="s">
        <v>54</v>
      </c>
      <c r="G194" s="12" t="str">
        <f>VLOOKUP(F194,Tables!D$9:E$17,2,FALSE)</f>
        <v>MFP</v>
      </c>
      <c r="H194" s="60">
        <v>17099505</v>
      </c>
      <c r="I194" s="13">
        <f>SUM(S194-R194)</f>
        <v>199</v>
      </c>
      <c r="J194" s="13">
        <f>SUM(U194-T194)</f>
        <v>125</v>
      </c>
      <c r="K194" s="14">
        <f>SUM(I194*$P194)</f>
        <v>4.1193</v>
      </c>
      <c r="L194" s="14">
        <f>SUM(J194*$Q194)</f>
        <v>10.875</v>
      </c>
      <c r="M194" s="15">
        <f>K194+L194</f>
        <v>14.994299999999999</v>
      </c>
      <c r="N194" s="10" t="s">
        <v>181</v>
      </c>
      <c r="O194" s="10" t="s">
        <v>182</v>
      </c>
      <c r="P194" s="16">
        <f>IF(G194="MFP",Tables!B$2,Tables!B$5)</f>
        <v>2.07E-2</v>
      </c>
      <c r="Q194" s="17">
        <f>IF(G194="MFP",Tables!B$3,Tables!B$6)</f>
        <v>8.6999999999999994E-2</v>
      </c>
      <c r="R194" s="18">
        <v>552</v>
      </c>
      <c r="S194" s="18">
        <v>751</v>
      </c>
      <c r="T194" s="18">
        <v>124</v>
      </c>
      <c r="U194" s="18">
        <v>249</v>
      </c>
    </row>
    <row r="195" spans="1:55" outlineLevel="1" x14ac:dyDescent="0.3">
      <c r="A195" s="19" t="s">
        <v>816</v>
      </c>
      <c r="B195" s="110"/>
      <c r="C195" s="110"/>
      <c r="D195" s="10"/>
      <c r="E195" s="11"/>
      <c r="F195" s="10"/>
      <c r="G195" s="12"/>
      <c r="H195" s="60"/>
      <c r="I195" s="13"/>
      <c r="J195" s="13"/>
      <c r="K195" s="106"/>
      <c r="L195" s="106"/>
      <c r="M195" s="15">
        <f>SUBTOTAL(9,M194:M194)</f>
        <v>14.994299999999999</v>
      </c>
      <c r="N195" s="10"/>
      <c r="O195" s="10"/>
      <c r="P195" s="16"/>
      <c r="Q195" s="17"/>
      <c r="R195" s="18"/>
      <c r="S195" s="18"/>
      <c r="T195" s="18"/>
      <c r="U195" s="18"/>
      <c r="BC195" s="65">
        <f>SUBTOTAL(9,BC194:BC194)</f>
        <v>0</v>
      </c>
    </row>
    <row r="196" spans="1:55" ht="15.75" outlineLevel="2" x14ac:dyDescent="0.25">
      <c r="A196" s="9" t="s">
        <v>183</v>
      </c>
      <c r="B196" s="9" t="s">
        <v>184</v>
      </c>
      <c r="C196" s="9" t="s">
        <v>183</v>
      </c>
      <c r="D196" s="10" t="s">
        <v>83</v>
      </c>
      <c r="E196" s="11">
        <v>709</v>
      </c>
      <c r="F196" s="10" t="s">
        <v>54</v>
      </c>
      <c r="G196" s="12" t="str">
        <f>VLOOKUP(F196,Tables!D$9:E$17,2,FALSE)</f>
        <v>MFP</v>
      </c>
      <c r="H196" s="60">
        <v>17099465</v>
      </c>
      <c r="I196" s="13">
        <f>SUM(S196-R196)</f>
        <v>9248</v>
      </c>
      <c r="J196" s="13">
        <f>SUM(U196-T196)</f>
        <v>534</v>
      </c>
      <c r="K196" s="14">
        <f>SUM(I196*$P196)</f>
        <v>191.43359999999998</v>
      </c>
      <c r="L196" s="14">
        <f>SUM(J196*$Q196)</f>
        <v>46.457999999999998</v>
      </c>
      <c r="M196" s="15">
        <f>K196+L196</f>
        <v>237.89159999999998</v>
      </c>
      <c r="N196" s="10" t="s">
        <v>185</v>
      </c>
      <c r="O196" s="10" t="s">
        <v>186</v>
      </c>
      <c r="P196" s="16">
        <f>IF(G196="MFP",Tables!B$2,Tables!B$5)</f>
        <v>2.07E-2</v>
      </c>
      <c r="Q196" s="17">
        <f>IF(G196="MFP",Tables!B$3,Tables!B$6)</f>
        <v>8.6999999999999994E-2</v>
      </c>
      <c r="R196" s="18">
        <v>30599</v>
      </c>
      <c r="S196" s="18">
        <v>39847</v>
      </c>
      <c r="T196" s="18">
        <v>1887</v>
      </c>
      <c r="U196" s="18">
        <v>2421</v>
      </c>
    </row>
    <row r="197" spans="1:55" ht="15.75" outlineLevel="2" x14ac:dyDescent="0.25">
      <c r="A197" s="9" t="s">
        <v>183</v>
      </c>
      <c r="B197" s="9" t="s">
        <v>184</v>
      </c>
      <c r="C197" s="9" t="s">
        <v>183</v>
      </c>
      <c r="D197" s="10" t="s">
        <v>83</v>
      </c>
      <c r="E197" s="11">
        <v>709</v>
      </c>
      <c r="F197" s="10" t="s">
        <v>92</v>
      </c>
      <c r="G197" s="12" t="str">
        <f>VLOOKUP(F197,Tables!D$9:E$17,2,FALSE)</f>
        <v>PTR</v>
      </c>
      <c r="H197" s="60">
        <v>17099632</v>
      </c>
      <c r="I197" s="13">
        <f>SUM(S197-R197)</f>
        <v>661</v>
      </c>
      <c r="J197" s="13">
        <f>SUM(U197-T197)</f>
        <v>74</v>
      </c>
      <c r="K197" s="14">
        <f>SUM(I197*$P197)</f>
        <v>17.318200000000001</v>
      </c>
      <c r="L197" s="14">
        <f>SUM(J197*$Q197)</f>
        <v>8.7319999999999993</v>
      </c>
      <c r="M197" s="15">
        <f>K197+L197</f>
        <v>26.0502</v>
      </c>
      <c r="N197" s="10" t="s">
        <v>189</v>
      </c>
      <c r="O197" s="10" t="s">
        <v>190</v>
      </c>
      <c r="P197" s="16">
        <f>IF(G197="MFP",Tables!B$2,Tables!B$5)</f>
        <v>2.6200000000000001E-2</v>
      </c>
      <c r="Q197" s="17">
        <f>IF(G197="MFP",Tables!B$3,Tables!B$6)</f>
        <v>0.11799999999999999</v>
      </c>
      <c r="R197" s="18">
        <v>1080</v>
      </c>
      <c r="S197" s="18">
        <v>1741</v>
      </c>
      <c r="T197" s="18">
        <v>262</v>
      </c>
      <c r="U197" s="18">
        <v>336</v>
      </c>
    </row>
    <row r="198" spans="1:55" ht="15.75" outlineLevel="2" x14ac:dyDescent="0.25">
      <c r="A198" s="9" t="s">
        <v>183</v>
      </c>
      <c r="B198" s="9" t="s">
        <v>184</v>
      </c>
      <c r="C198" s="9" t="s">
        <v>183</v>
      </c>
      <c r="D198" s="10" t="s">
        <v>83</v>
      </c>
      <c r="E198" s="11">
        <v>717</v>
      </c>
      <c r="F198" s="10" t="s">
        <v>15</v>
      </c>
      <c r="G198" s="12" t="str">
        <f>VLOOKUP(F198,Tables!D$9:E$17,2,FALSE)</f>
        <v>PTR</v>
      </c>
      <c r="H198" s="60">
        <v>17099586</v>
      </c>
      <c r="I198" s="13">
        <f>SUM(S198-R198)</f>
        <v>9</v>
      </c>
      <c r="J198" s="13">
        <f>SUM(U198-T198)</f>
        <v>0</v>
      </c>
      <c r="K198" s="14">
        <f>SUM(I198*$P198)</f>
        <v>0.23580000000000001</v>
      </c>
      <c r="L198" s="14">
        <f>SUM(J198*$Q198)</f>
        <v>0</v>
      </c>
      <c r="M198" s="15">
        <f>K198+L198</f>
        <v>0.23580000000000001</v>
      </c>
      <c r="N198" s="10" t="s">
        <v>187</v>
      </c>
      <c r="O198" s="10" t="s">
        <v>188</v>
      </c>
      <c r="P198" s="16">
        <f>IF(G198="MFP",Tables!B$2,Tables!B$5)</f>
        <v>2.6200000000000001E-2</v>
      </c>
      <c r="Q198" s="17">
        <f>IF(G198="MFP",Tables!B$3,Tables!B$6)</f>
        <v>0.11799999999999999</v>
      </c>
      <c r="R198" s="18">
        <v>69</v>
      </c>
      <c r="S198" s="18">
        <v>78</v>
      </c>
      <c r="T198" s="18">
        <v>0</v>
      </c>
      <c r="U198" s="18">
        <v>0</v>
      </c>
    </row>
    <row r="199" spans="1:55" ht="15.75" outlineLevel="2" x14ac:dyDescent="0.25">
      <c r="A199" s="9" t="s">
        <v>183</v>
      </c>
      <c r="B199" s="9" t="s">
        <v>440</v>
      </c>
      <c r="C199" s="9" t="s">
        <v>441</v>
      </c>
      <c r="D199" s="10" t="s">
        <v>83</v>
      </c>
      <c r="E199" s="11">
        <v>701</v>
      </c>
      <c r="F199" s="10" t="s">
        <v>15</v>
      </c>
      <c r="G199" s="12" t="str">
        <f>VLOOKUP(F199,Tables!D$9:E$17,2,FALSE)</f>
        <v>PTR</v>
      </c>
      <c r="H199" s="60">
        <v>17099633</v>
      </c>
      <c r="I199" s="13">
        <f>SUM(S199-R199)</f>
        <v>0</v>
      </c>
      <c r="J199" s="13">
        <f>SUM(U199-T199)</f>
        <v>0</v>
      </c>
      <c r="K199" s="14">
        <f>SUM(I199*$P199)</f>
        <v>0</v>
      </c>
      <c r="L199" s="14">
        <f>SUM(J199*$Q199)</f>
        <v>0</v>
      </c>
      <c r="M199" s="15">
        <f>K199+L199</f>
        <v>0</v>
      </c>
      <c r="N199" s="10" t="s">
        <v>481</v>
      </c>
      <c r="O199" s="10" t="s">
        <v>482</v>
      </c>
      <c r="P199" s="16">
        <f>IF(G199="MFP",Tables!B$2,Tables!B$5)</f>
        <v>2.6200000000000001E-2</v>
      </c>
      <c r="Q199" s="17">
        <f>IF(G199="MFP",Tables!B$3,Tables!B$6)</f>
        <v>0.11799999999999999</v>
      </c>
      <c r="R199" s="18">
        <v>5</v>
      </c>
      <c r="S199" s="18">
        <v>5</v>
      </c>
      <c r="T199" s="18">
        <v>0</v>
      </c>
      <c r="U199" s="18">
        <v>0</v>
      </c>
    </row>
    <row r="200" spans="1:55" ht="15.75" outlineLevel="2" x14ac:dyDescent="0.25">
      <c r="A200" s="9" t="s">
        <v>183</v>
      </c>
      <c r="B200" s="9" t="s">
        <v>440</v>
      </c>
      <c r="C200" s="9" t="s">
        <v>441</v>
      </c>
      <c r="D200" s="10" t="s">
        <v>83</v>
      </c>
      <c r="E200" s="11">
        <v>708</v>
      </c>
      <c r="F200" s="10" t="s">
        <v>15</v>
      </c>
      <c r="G200" s="12" t="str">
        <f>VLOOKUP(F200,Tables!D$9:E$17,2,FALSE)</f>
        <v>PTR</v>
      </c>
      <c r="H200" s="60">
        <v>17099624</v>
      </c>
      <c r="I200" s="13">
        <f>SUM(S200-R200)</f>
        <v>211</v>
      </c>
      <c r="J200" s="13">
        <f>SUM(U200-T200)</f>
        <v>0</v>
      </c>
      <c r="K200" s="14">
        <f>SUM(I200*$P200)</f>
        <v>5.5282</v>
      </c>
      <c r="L200" s="14">
        <f>SUM(J200*$Q200)</f>
        <v>0</v>
      </c>
      <c r="M200" s="15">
        <f>K200+L200</f>
        <v>5.5282</v>
      </c>
      <c r="N200" s="10" t="s">
        <v>479</v>
      </c>
      <c r="O200" s="10" t="s">
        <v>480</v>
      </c>
      <c r="P200" s="16">
        <f>IF(G200="MFP",Tables!B$2,Tables!B$5)</f>
        <v>2.6200000000000001E-2</v>
      </c>
      <c r="Q200" s="17">
        <f>IF(G200="MFP",Tables!B$3,Tables!B$6)</f>
        <v>0.11799999999999999</v>
      </c>
      <c r="R200" s="18">
        <v>557</v>
      </c>
      <c r="S200" s="18">
        <v>768</v>
      </c>
      <c r="T200" s="18">
        <v>0</v>
      </c>
      <c r="U200" s="18">
        <v>0</v>
      </c>
    </row>
    <row r="201" spans="1:55" outlineLevel="1" x14ac:dyDescent="0.3">
      <c r="A201" s="19" t="s">
        <v>817</v>
      </c>
      <c r="B201" s="110"/>
      <c r="C201" s="110"/>
      <c r="D201" s="10"/>
      <c r="E201" s="11"/>
      <c r="F201" s="10"/>
      <c r="G201" s="12"/>
      <c r="H201" s="60"/>
      <c r="I201" s="13"/>
      <c r="J201" s="13"/>
      <c r="K201" s="106"/>
      <c r="L201" s="106"/>
      <c r="M201" s="15">
        <f>SUBTOTAL(9,M196:M200)</f>
        <v>269.70580000000001</v>
      </c>
      <c r="N201" s="10"/>
      <c r="O201" s="10"/>
      <c r="P201" s="16"/>
      <c r="Q201" s="17"/>
      <c r="R201" s="18"/>
      <c r="S201" s="18"/>
      <c r="T201" s="18"/>
      <c r="U201" s="18"/>
      <c r="BC201" s="65">
        <f>SUBTOTAL(9,BC196:BC200)</f>
        <v>0</v>
      </c>
    </row>
    <row r="202" spans="1:55" ht="15.75" outlineLevel="2" x14ac:dyDescent="0.25">
      <c r="A202" s="9" t="s">
        <v>566</v>
      </c>
      <c r="B202" s="9" t="s">
        <v>567</v>
      </c>
      <c r="C202" s="9" t="s">
        <v>568</v>
      </c>
      <c r="D202" s="10" t="s">
        <v>569</v>
      </c>
      <c r="E202" s="11">
        <v>401</v>
      </c>
      <c r="F202" s="10" t="s">
        <v>54</v>
      </c>
      <c r="G202" s="12" t="str">
        <f>VLOOKUP(F202,Tables!D$9:E$17,2,FALSE)</f>
        <v>MFP</v>
      </c>
      <c r="H202" s="60">
        <v>17099491</v>
      </c>
      <c r="I202" s="13">
        <f>SUM(S202-R202)</f>
        <v>992</v>
      </c>
      <c r="J202" s="13">
        <f>SUM(U202-T202)</f>
        <v>455</v>
      </c>
      <c r="K202" s="14">
        <f>SUM(I202*$P202)</f>
        <v>20.534399999999998</v>
      </c>
      <c r="L202" s="14">
        <f>SUM(J202*$Q202)</f>
        <v>39.584999999999994</v>
      </c>
      <c r="M202" s="15">
        <f>K202+L202</f>
        <v>60.119399999999992</v>
      </c>
      <c r="N202" s="10" t="s">
        <v>570</v>
      </c>
      <c r="O202" s="10" t="s">
        <v>571</v>
      </c>
      <c r="P202" s="16">
        <f>IF(G202="MFP",Tables!B$2,Tables!B$5)</f>
        <v>2.07E-2</v>
      </c>
      <c r="Q202" s="17">
        <f>IF(G202="MFP",Tables!B$3,Tables!B$6)</f>
        <v>8.6999999999999994E-2</v>
      </c>
      <c r="R202" s="18">
        <v>3316</v>
      </c>
      <c r="S202" s="18">
        <v>4308</v>
      </c>
      <c r="T202" s="18">
        <v>1386</v>
      </c>
      <c r="U202" s="18">
        <v>1841</v>
      </c>
    </row>
    <row r="203" spans="1:55" ht="15.75" outlineLevel="2" x14ac:dyDescent="0.25">
      <c r="A203" s="9" t="s">
        <v>566</v>
      </c>
      <c r="B203" s="9" t="s">
        <v>567</v>
      </c>
      <c r="C203" s="9" t="s">
        <v>568</v>
      </c>
      <c r="D203" s="10" t="s">
        <v>569</v>
      </c>
      <c r="E203" s="11">
        <v>401</v>
      </c>
      <c r="F203" s="10" t="s">
        <v>15</v>
      </c>
      <c r="G203" s="12" t="str">
        <f>VLOOKUP(F203,Tables!D$9:E$17,2,FALSE)</f>
        <v>PTR</v>
      </c>
      <c r="H203" s="60">
        <v>17099589</v>
      </c>
      <c r="I203" s="13">
        <f>SUM(S203-R203)</f>
        <v>49</v>
      </c>
      <c r="J203" s="13">
        <f>SUM(U203-T203)</f>
        <v>0</v>
      </c>
      <c r="K203" s="14">
        <f>SUM(I203*$P203)</f>
        <v>1.2838000000000001</v>
      </c>
      <c r="L203" s="14">
        <f>SUM(J203*$Q203)</f>
        <v>0</v>
      </c>
      <c r="M203" s="15">
        <f>K203+L203</f>
        <v>1.2838000000000001</v>
      </c>
      <c r="N203" s="10" t="s">
        <v>572</v>
      </c>
      <c r="O203" s="10" t="s">
        <v>573</v>
      </c>
      <c r="P203" s="16">
        <f>IF(G203="MFP",Tables!B$2,Tables!B$5)</f>
        <v>2.6200000000000001E-2</v>
      </c>
      <c r="Q203" s="17">
        <f>IF(G203="MFP",Tables!B$3,Tables!B$6)</f>
        <v>0.11799999999999999</v>
      </c>
      <c r="R203" s="18">
        <v>90</v>
      </c>
      <c r="S203" s="18">
        <v>139</v>
      </c>
      <c r="T203" s="18">
        <v>0</v>
      </c>
      <c r="U203" s="18">
        <v>0</v>
      </c>
    </row>
    <row r="204" spans="1:55" ht="15.75" outlineLevel="2" x14ac:dyDescent="0.25">
      <c r="A204" s="9" t="s">
        <v>566</v>
      </c>
      <c r="B204" s="9" t="s">
        <v>567</v>
      </c>
      <c r="C204" s="9" t="s">
        <v>568</v>
      </c>
      <c r="D204" s="10" t="s">
        <v>569</v>
      </c>
      <c r="E204" s="11">
        <v>401</v>
      </c>
      <c r="F204" s="10" t="s">
        <v>15</v>
      </c>
      <c r="G204" s="12" t="str">
        <f>VLOOKUP(F204,Tables!D$9:E$17,2,FALSE)</f>
        <v>PTR</v>
      </c>
      <c r="H204" s="60">
        <v>17099610</v>
      </c>
      <c r="I204" s="13">
        <f>SUM(S204-R204)</f>
        <v>743</v>
      </c>
      <c r="J204" s="13">
        <f>SUM(U204-T204)</f>
        <v>0</v>
      </c>
      <c r="K204" s="14">
        <f>SUM(I204*$P204)</f>
        <v>19.4666</v>
      </c>
      <c r="L204" s="14">
        <f>SUM(J204*$Q204)</f>
        <v>0</v>
      </c>
      <c r="M204" s="15">
        <f>K204+L204</f>
        <v>19.4666</v>
      </c>
      <c r="N204" s="10" t="s">
        <v>574</v>
      </c>
      <c r="O204" s="10" t="s">
        <v>575</v>
      </c>
      <c r="P204" s="16">
        <f>IF(G204="MFP",Tables!B$2,Tables!B$5)</f>
        <v>2.6200000000000001E-2</v>
      </c>
      <c r="Q204" s="17">
        <f>IF(G204="MFP",Tables!B$3,Tables!B$6)</f>
        <v>0.11799999999999999</v>
      </c>
      <c r="R204" s="18">
        <v>973</v>
      </c>
      <c r="S204" s="18">
        <v>1716</v>
      </c>
      <c r="T204" s="18">
        <v>0</v>
      </c>
      <c r="U204" s="18">
        <v>0</v>
      </c>
    </row>
    <row r="205" spans="1:55" outlineLevel="1" x14ac:dyDescent="0.3">
      <c r="A205" s="19" t="s">
        <v>818</v>
      </c>
      <c r="B205" s="110"/>
      <c r="C205" s="110"/>
      <c r="D205" s="10"/>
      <c r="E205" s="11"/>
      <c r="F205" s="10"/>
      <c r="G205" s="12"/>
      <c r="H205" s="60"/>
      <c r="I205" s="13"/>
      <c r="J205" s="13"/>
      <c r="K205" s="106"/>
      <c r="L205" s="106"/>
      <c r="M205" s="15">
        <f>SUBTOTAL(9,M202:M204)</f>
        <v>80.869799999999998</v>
      </c>
      <c r="N205" s="10"/>
      <c r="O205" s="10"/>
      <c r="P205" s="16"/>
      <c r="Q205" s="17"/>
      <c r="R205" s="18"/>
      <c r="S205" s="18"/>
      <c r="T205" s="18"/>
      <c r="U205" s="18"/>
      <c r="BC205" s="65">
        <f>SUBTOTAL(9,BC202:BC204)</f>
        <v>0</v>
      </c>
    </row>
    <row r="206" spans="1:55" ht="15.75" outlineLevel="2" x14ac:dyDescent="0.25">
      <c r="A206" s="9" t="s">
        <v>341</v>
      </c>
      <c r="B206" s="9" t="s">
        <v>336</v>
      </c>
      <c r="C206" s="9" t="s">
        <v>337</v>
      </c>
      <c r="D206" s="10" t="s">
        <v>230</v>
      </c>
      <c r="E206" s="11">
        <v>203</v>
      </c>
      <c r="F206" s="10" t="s">
        <v>15</v>
      </c>
      <c r="G206" s="12" t="str">
        <f>VLOOKUP(F206,Tables!D$9:E$17,2,FALSE)</f>
        <v>PTR</v>
      </c>
      <c r="H206" s="60">
        <v>17099584</v>
      </c>
      <c r="I206" s="13">
        <f>SUM(S206-R206)</f>
        <v>246</v>
      </c>
      <c r="J206" s="13">
        <f>SUM(U206-T206)</f>
        <v>0</v>
      </c>
      <c r="K206" s="14">
        <f>SUM(I206*$P206)</f>
        <v>6.4451999999999998</v>
      </c>
      <c r="L206" s="14">
        <f>SUM(J206*$Q206)</f>
        <v>0</v>
      </c>
      <c r="M206" s="15">
        <f>K206+L206</f>
        <v>6.4451999999999998</v>
      </c>
      <c r="N206" s="10" t="s">
        <v>342</v>
      </c>
      <c r="O206" s="10" t="s">
        <v>343</v>
      </c>
      <c r="P206" s="16">
        <f>IF(G206="MFP",Tables!B$2,Tables!B$5)</f>
        <v>2.6200000000000001E-2</v>
      </c>
      <c r="Q206" s="17">
        <f>IF(G206="MFP",Tables!B$3,Tables!B$6)</f>
        <v>0.11799999999999999</v>
      </c>
      <c r="R206" s="18">
        <v>511</v>
      </c>
      <c r="S206" s="18">
        <v>757</v>
      </c>
      <c r="T206" s="18">
        <v>0</v>
      </c>
      <c r="U206" s="18">
        <v>0</v>
      </c>
    </row>
    <row r="207" spans="1:55" outlineLevel="1" x14ac:dyDescent="0.3">
      <c r="A207" s="19" t="s">
        <v>819</v>
      </c>
      <c r="B207" s="110"/>
      <c r="C207" s="110"/>
      <c r="D207" s="10"/>
      <c r="E207" s="11"/>
      <c r="F207" s="10"/>
      <c r="G207" s="12"/>
      <c r="H207" s="60"/>
      <c r="I207" s="13"/>
      <c r="J207" s="13"/>
      <c r="K207" s="106"/>
      <c r="L207" s="106"/>
      <c r="M207" s="15">
        <f>SUBTOTAL(9,M206:M206)</f>
        <v>6.4451999999999998</v>
      </c>
      <c r="N207" s="10"/>
      <c r="O207" s="10"/>
      <c r="P207" s="16"/>
      <c r="Q207" s="17"/>
      <c r="R207" s="18"/>
      <c r="S207" s="18"/>
      <c r="T207" s="18"/>
      <c r="U207" s="18"/>
      <c r="BC207" s="65">
        <f>SUBTOTAL(9,BC206:BC206)</f>
        <v>0</v>
      </c>
    </row>
    <row r="208" spans="1:55" ht="15.75" outlineLevel="2" x14ac:dyDescent="0.25">
      <c r="A208" s="9" t="s">
        <v>191</v>
      </c>
      <c r="B208" s="9" t="s">
        <v>192</v>
      </c>
      <c r="C208" s="9" t="s">
        <v>191</v>
      </c>
      <c r="D208" s="10" t="s">
        <v>98</v>
      </c>
      <c r="E208" s="11">
        <v>416</v>
      </c>
      <c r="F208" s="10" t="s">
        <v>15</v>
      </c>
      <c r="G208" s="12" t="str">
        <f>VLOOKUP(F208,Tables!D$9:E$17,2,FALSE)</f>
        <v>PTR</v>
      </c>
      <c r="H208" s="60">
        <v>17099542</v>
      </c>
      <c r="I208" s="13">
        <f>SUM(S208-R208)</f>
        <v>2044</v>
      </c>
      <c r="J208" s="13">
        <f>SUM(U208-T208)</f>
        <v>0</v>
      </c>
      <c r="K208" s="14">
        <f>SUM(I208*$P208)</f>
        <v>53.552800000000005</v>
      </c>
      <c r="L208" s="14">
        <f>SUM(J208*$Q208)</f>
        <v>0</v>
      </c>
      <c r="M208" s="15">
        <f>K208+L208</f>
        <v>53.552800000000005</v>
      </c>
      <c r="N208" s="10" t="s">
        <v>197</v>
      </c>
      <c r="O208" s="10" t="s">
        <v>198</v>
      </c>
      <c r="P208" s="16">
        <f>IF(G208="MFP",Tables!B$2,Tables!B$5)</f>
        <v>2.6200000000000001E-2</v>
      </c>
      <c r="Q208" s="17">
        <f>IF(G208="MFP",Tables!B$3,Tables!B$6)</f>
        <v>0.11799999999999999</v>
      </c>
      <c r="R208" s="18">
        <v>3266</v>
      </c>
      <c r="S208" s="18">
        <v>5310</v>
      </c>
      <c r="T208" s="18">
        <v>0</v>
      </c>
      <c r="U208" s="18">
        <v>0</v>
      </c>
    </row>
    <row r="209" spans="1:55" ht="15.75" outlineLevel="2" x14ac:dyDescent="0.25">
      <c r="A209" s="9" t="s">
        <v>191</v>
      </c>
      <c r="B209" s="9" t="s">
        <v>192</v>
      </c>
      <c r="C209" s="9" t="s">
        <v>191</v>
      </c>
      <c r="D209" s="10" t="s">
        <v>98</v>
      </c>
      <c r="E209" s="11">
        <v>424</v>
      </c>
      <c r="F209" s="10" t="s">
        <v>15</v>
      </c>
      <c r="G209" s="12" t="str">
        <f>VLOOKUP(F209,Tables!D$9:E$17,2,FALSE)</f>
        <v>PTR</v>
      </c>
      <c r="H209" s="60">
        <v>17099548</v>
      </c>
      <c r="I209" s="13">
        <f>SUM(S209-R209)</f>
        <v>0</v>
      </c>
      <c r="J209" s="13">
        <f>SUM(U209-T209)</f>
        <v>0</v>
      </c>
      <c r="K209" s="14">
        <f>SUM(I209*$P209)</f>
        <v>0</v>
      </c>
      <c r="L209" s="14">
        <f>SUM(J209*$Q209)</f>
        <v>0</v>
      </c>
      <c r="M209" s="15">
        <f>K209+L209</f>
        <v>0</v>
      </c>
      <c r="N209" s="10" t="s">
        <v>199</v>
      </c>
      <c r="O209" s="10" t="s">
        <v>200</v>
      </c>
      <c r="P209" s="16">
        <f>IF(G209="MFP",Tables!B$2,Tables!B$5)</f>
        <v>2.6200000000000001E-2</v>
      </c>
      <c r="Q209" s="17">
        <f>IF(G209="MFP",Tables!B$3,Tables!B$6)</f>
        <v>0.11799999999999999</v>
      </c>
      <c r="R209" s="18">
        <v>0</v>
      </c>
      <c r="S209" s="18">
        <v>0</v>
      </c>
      <c r="T209" s="18">
        <v>0</v>
      </c>
      <c r="U209" s="18">
        <v>0</v>
      </c>
    </row>
    <row r="210" spans="1:55" ht="15.75" outlineLevel="2" x14ac:dyDescent="0.25">
      <c r="A210" s="9" t="s">
        <v>191</v>
      </c>
      <c r="B210" s="9" t="s">
        <v>192</v>
      </c>
      <c r="C210" s="9" t="s">
        <v>191</v>
      </c>
      <c r="D210" s="10" t="s">
        <v>98</v>
      </c>
      <c r="E210" s="11">
        <v>425</v>
      </c>
      <c r="F210" s="10" t="s">
        <v>54</v>
      </c>
      <c r="G210" s="12" t="str">
        <f>VLOOKUP(F210,Tables!D$9:E$17,2,FALSE)</f>
        <v>MFP</v>
      </c>
      <c r="H210" s="60">
        <v>17099455</v>
      </c>
      <c r="I210" s="13">
        <f>SUM(S210-R210)</f>
        <v>928</v>
      </c>
      <c r="J210" s="13">
        <f>SUM(U210-T210)</f>
        <v>91</v>
      </c>
      <c r="K210" s="14">
        <f>SUM(I210*$P210)</f>
        <v>19.209599999999998</v>
      </c>
      <c r="L210" s="14">
        <f>SUM(J210*$Q210)</f>
        <v>7.9169999999999998</v>
      </c>
      <c r="M210" s="15">
        <f>K210+L210</f>
        <v>27.126599999999996</v>
      </c>
      <c r="N210" s="10" t="s">
        <v>193</v>
      </c>
      <c r="O210" s="10" t="s">
        <v>194</v>
      </c>
      <c r="P210" s="16">
        <f>IF(G210="MFP",Tables!B$2,Tables!B$5)</f>
        <v>2.07E-2</v>
      </c>
      <c r="Q210" s="17">
        <f>IF(G210="MFP",Tables!B$3,Tables!B$6)</f>
        <v>8.6999999999999994E-2</v>
      </c>
      <c r="R210" s="18">
        <v>11000</v>
      </c>
      <c r="S210" s="18">
        <v>11928</v>
      </c>
      <c r="T210" s="18">
        <v>109</v>
      </c>
      <c r="U210" s="18">
        <v>200</v>
      </c>
    </row>
    <row r="211" spans="1:55" ht="15.75" outlineLevel="2" x14ac:dyDescent="0.25">
      <c r="A211" s="9" t="s">
        <v>191</v>
      </c>
      <c r="B211" s="9" t="s">
        <v>192</v>
      </c>
      <c r="C211" s="9" t="s">
        <v>191</v>
      </c>
      <c r="D211" s="10" t="s">
        <v>98</v>
      </c>
      <c r="E211" s="11">
        <v>541</v>
      </c>
      <c r="F211" s="10" t="s">
        <v>15</v>
      </c>
      <c r="G211" s="12" t="str">
        <f>VLOOKUP(F211,Tables!D$9:E$17,2,FALSE)</f>
        <v>PTR</v>
      </c>
      <c r="H211" s="60">
        <v>17099551</v>
      </c>
      <c r="I211" s="13">
        <f>SUM(S211-R211)</f>
        <v>321</v>
      </c>
      <c r="J211" s="13">
        <f>SUM(U211-T211)</f>
        <v>0</v>
      </c>
      <c r="K211" s="14">
        <f>SUM(I211*$P211)</f>
        <v>8.4101999999999997</v>
      </c>
      <c r="L211" s="14">
        <f>SUM(J211*$Q211)</f>
        <v>0</v>
      </c>
      <c r="M211" s="15">
        <f>K211+L211</f>
        <v>8.4101999999999997</v>
      </c>
      <c r="N211" s="10" t="s">
        <v>195</v>
      </c>
      <c r="O211" s="10" t="s">
        <v>196</v>
      </c>
      <c r="P211" s="16">
        <f>IF(G211="MFP",Tables!B$2,Tables!B$5)</f>
        <v>2.6200000000000001E-2</v>
      </c>
      <c r="Q211" s="17">
        <f>IF(G211="MFP",Tables!B$3,Tables!B$6)</f>
        <v>0.11799999999999999</v>
      </c>
      <c r="R211" s="18">
        <v>2039</v>
      </c>
      <c r="S211" s="18">
        <v>2360</v>
      </c>
      <c r="T211" s="18">
        <v>0</v>
      </c>
      <c r="U211" s="18">
        <v>0</v>
      </c>
    </row>
    <row r="212" spans="1:55" ht="15.75" outlineLevel="2" x14ac:dyDescent="0.25">
      <c r="A212" s="9" t="s">
        <v>191</v>
      </c>
      <c r="B212" s="9" t="s">
        <v>440</v>
      </c>
      <c r="C212" s="9" t="s">
        <v>441</v>
      </c>
      <c r="D212" s="10" t="s">
        <v>98</v>
      </c>
      <c r="E212" s="11">
        <v>418</v>
      </c>
      <c r="F212" s="10" t="s">
        <v>15</v>
      </c>
      <c r="G212" s="12" t="str">
        <f>VLOOKUP(F212,Tables!D$9:E$17,2,FALSE)</f>
        <v>PTR</v>
      </c>
      <c r="H212" s="60">
        <v>17099520</v>
      </c>
      <c r="I212" s="13">
        <f>SUM(S212-R212)</f>
        <v>4208</v>
      </c>
      <c r="J212" s="13">
        <f>SUM(U212-T212)</f>
        <v>0</v>
      </c>
      <c r="K212" s="14">
        <f>SUM(I212*$P212)</f>
        <v>110.2496</v>
      </c>
      <c r="L212" s="14">
        <f>SUM(J212*$Q212)</f>
        <v>0</v>
      </c>
      <c r="M212" s="15">
        <f>K212+L212</f>
        <v>110.2496</v>
      </c>
      <c r="N212" s="10" t="s">
        <v>483</v>
      </c>
      <c r="O212" s="10" t="s">
        <v>484</v>
      </c>
      <c r="P212" s="16">
        <f>IF(G212="MFP",Tables!B$2,Tables!B$5)</f>
        <v>2.6200000000000001E-2</v>
      </c>
      <c r="Q212" s="17">
        <f>IF(G212="MFP",Tables!B$3,Tables!B$6)</f>
        <v>0.11799999999999999</v>
      </c>
      <c r="R212" s="18">
        <v>41751</v>
      </c>
      <c r="S212" s="18">
        <v>45959</v>
      </c>
      <c r="T212" s="18">
        <v>0</v>
      </c>
      <c r="U212" s="18">
        <v>0</v>
      </c>
    </row>
    <row r="213" spans="1:55" outlineLevel="1" x14ac:dyDescent="0.3">
      <c r="A213" s="19" t="s">
        <v>820</v>
      </c>
      <c r="B213" s="110"/>
      <c r="C213" s="110"/>
      <c r="D213" s="10"/>
      <c r="E213" s="11"/>
      <c r="F213" s="10"/>
      <c r="G213" s="12"/>
      <c r="H213" s="60"/>
      <c r="I213" s="13"/>
      <c r="J213" s="13"/>
      <c r="K213" s="106"/>
      <c r="L213" s="106"/>
      <c r="M213" s="15">
        <f>SUBTOTAL(9,M208:M212)</f>
        <v>199.33920000000001</v>
      </c>
      <c r="N213" s="10"/>
      <c r="O213" s="10"/>
      <c r="P213" s="16"/>
      <c r="Q213" s="17"/>
      <c r="R213" s="18"/>
      <c r="S213" s="18"/>
      <c r="T213" s="18"/>
      <c r="U213" s="18"/>
      <c r="BC213" s="65">
        <f>SUBTOTAL(9,BC208:BC212)</f>
        <v>0</v>
      </c>
    </row>
    <row r="214" spans="1:55" ht="15.75" outlineLevel="2" x14ac:dyDescent="0.25">
      <c r="A214" s="9" t="s">
        <v>239</v>
      </c>
      <c r="B214" s="9" t="s">
        <v>240</v>
      </c>
      <c r="C214" s="9" t="s">
        <v>241</v>
      </c>
      <c r="D214" s="10" t="s">
        <v>242</v>
      </c>
      <c r="E214" s="11">
        <v>105</v>
      </c>
      <c r="F214" s="10" t="s">
        <v>54</v>
      </c>
      <c r="G214" s="12" t="str">
        <f>VLOOKUP(F214,Tables!D$9:E$17,2,FALSE)</f>
        <v>MFP</v>
      </c>
      <c r="H214" s="60">
        <v>17099721</v>
      </c>
      <c r="I214" s="13">
        <f>SUM(S214-R214)</f>
        <v>1031</v>
      </c>
      <c r="J214" s="13">
        <f>SUM(U214-T214)</f>
        <v>653</v>
      </c>
      <c r="K214" s="14">
        <f>SUM(I214*$P214)</f>
        <v>21.341699999999999</v>
      </c>
      <c r="L214" s="14">
        <f>SUM(J214*$Q214)</f>
        <v>56.810999999999993</v>
      </c>
      <c r="M214" s="15">
        <f>K214+L214</f>
        <v>78.152699999999996</v>
      </c>
      <c r="N214" s="10" t="s">
        <v>243</v>
      </c>
      <c r="O214" s="10" t="s">
        <v>244</v>
      </c>
      <c r="P214" s="16">
        <f>IF(G214="MFP",Tables!B$2,Tables!B$5)</f>
        <v>2.07E-2</v>
      </c>
      <c r="Q214" s="17">
        <f>IF(G214="MFP",Tables!B$3,Tables!B$6)</f>
        <v>8.6999999999999994E-2</v>
      </c>
      <c r="R214" s="18">
        <v>8448</v>
      </c>
      <c r="S214" s="18">
        <v>9479</v>
      </c>
      <c r="T214" s="18">
        <v>3880</v>
      </c>
      <c r="U214" s="18">
        <v>4533</v>
      </c>
    </row>
    <row r="215" spans="1:55" outlineLevel="1" x14ac:dyDescent="0.3">
      <c r="A215" s="19" t="s">
        <v>821</v>
      </c>
      <c r="B215" s="110"/>
      <c r="C215" s="110"/>
      <c r="D215" s="10"/>
      <c r="E215" s="11"/>
      <c r="F215" s="10"/>
      <c r="G215" s="12"/>
      <c r="H215" s="60"/>
      <c r="I215" s="13"/>
      <c r="J215" s="13"/>
      <c r="K215" s="106"/>
      <c r="L215" s="106"/>
      <c r="M215" s="15">
        <f>SUBTOTAL(9,M214:M214)</f>
        <v>78.152699999999996</v>
      </c>
      <c r="N215" s="10"/>
      <c r="O215" s="10"/>
      <c r="P215" s="16"/>
      <c r="Q215" s="17"/>
      <c r="R215" s="18"/>
      <c r="S215" s="18"/>
      <c r="T215" s="18"/>
      <c r="U215" s="18"/>
      <c r="BC215" s="65">
        <f>SUBTOTAL(9,BC214:BC214)</f>
        <v>0</v>
      </c>
    </row>
    <row r="216" spans="1:55" ht="15.75" outlineLevel="2" x14ac:dyDescent="0.25">
      <c r="A216" s="9" t="s">
        <v>201</v>
      </c>
      <c r="B216" s="9" t="s">
        <v>202</v>
      </c>
      <c r="C216" s="9" t="s">
        <v>203</v>
      </c>
      <c r="D216" s="10" t="s">
        <v>14</v>
      </c>
      <c r="E216" s="11">
        <v>2080</v>
      </c>
      <c r="F216" s="10" t="s">
        <v>15</v>
      </c>
      <c r="G216" s="12" t="str">
        <f>VLOOKUP(F216,Tables!D$9:E$17,2,FALSE)</f>
        <v>PTR</v>
      </c>
      <c r="H216" s="60">
        <v>17099431</v>
      </c>
      <c r="I216" s="13">
        <f>SUM(S216-R216)</f>
        <v>0</v>
      </c>
      <c r="J216" s="13">
        <f>SUM(U216-T216)</f>
        <v>0</v>
      </c>
      <c r="K216" s="14">
        <f>SUM(I216*$P216)</f>
        <v>0</v>
      </c>
      <c r="L216" s="14">
        <f>SUM(J216*$Q216)</f>
        <v>0</v>
      </c>
      <c r="M216" s="15">
        <f>K216+L216</f>
        <v>0</v>
      </c>
      <c r="N216" s="10" t="s">
        <v>206</v>
      </c>
      <c r="O216" s="10" t="s">
        <v>207</v>
      </c>
      <c r="P216" s="16">
        <f>IF(G216="MFP",Tables!B$2,Tables!B$5)</f>
        <v>2.6200000000000001E-2</v>
      </c>
      <c r="Q216" s="17">
        <f>IF(G216="MFP",Tables!B$3,Tables!B$6)</f>
        <v>0.11799999999999999</v>
      </c>
      <c r="R216" s="18">
        <v>0</v>
      </c>
      <c r="S216" s="18">
        <v>0</v>
      </c>
      <c r="T216" s="18">
        <v>0</v>
      </c>
      <c r="U216" s="18">
        <v>0</v>
      </c>
    </row>
    <row r="217" spans="1:55" ht="15.75" outlineLevel="2" x14ac:dyDescent="0.25">
      <c r="A217" s="9" t="s">
        <v>201</v>
      </c>
      <c r="B217" s="9" t="s">
        <v>202</v>
      </c>
      <c r="C217" s="9" t="s">
        <v>203</v>
      </c>
      <c r="D217" s="10" t="s">
        <v>14</v>
      </c>
      <c r="E217" s="11">
        <v>2082</v>
      </c>
      <c r="F217" s="10" t="s">
        <v>15</v>
      </c>
      <c r="G217" s="12" t="str">
        <f>VLOOKUP(F217,Tables!D$9:E$17,2,FALSE)</f>
        <v>PTR</v>
      </c>
      <c r="H217" s="60">
        <v>17099506</v>
      </c>
      <c r="I217" s="13">
        <f>SUM(S217-R217)</f>
        <v>660</v>
      </c>
      <c r="J217" s="13">
        <f>SUM(U217-T217)</f>
        <v>0</v>
      </c>
      <c r="K217" s="14">
        <f>SUM(I217*$P217)</f>
        <v>17.292000000000002</v>
      </c>
      <c r="L217" s="14">
        <f>SUM(J217*$Q217)</f>
        <v>0</v>
      </c>
      <c r="M217" s="15">
        <f>K217+L217</f>
        <v>17.292000000000002</v>
      </c>
      <c r="N217" s="10" t="s">
        <v>204</v>
      </c>
      <c r="O217" s="10" t="s">
        <v>205</v>
      </c>
      <c r="P217" s="16">
        <f>IF(G217="MFP",Tables!B$2,Tables!B$5)</f>
        <v>2.6200000000000001E-2</v>
      </c>
      <c r="Q217" s="17">
        <f>IF(G217="MFP",Tables!B$3,Tables!B$6)</f>
        <v>0.11799999999999999</v>
      </c>
      <c r="R217" s="18">
        <v>300</v>
      </c>
      <c r="S217" s="18">
        <v>960</v>
      </c>
      <c r="T217" s="18">
        <v>0</v>
      </c>
      <c r="U217" s="18">
        <v>0</v>
      </c>
    </row>
    <row r="218" spans="1:55" ht="15.75" outlineLevel="2" x14ac:dyDescent="0.25">
      <c r="A218" s="9" t="s">
        <v>201</v>
      </c>
      <c r="B218" s="9" t="s">
        <v>202</v>
      </c>
      <c r="C218" s="9" t="s">
        <v>203</v>
      </c>
      <c r="D218" s="10" t="s">
        <v>14</v>
      </c>
      <c r="E218" s="11">
        <v>2090</v>
      </c>
      <c r="F218" s="10" t="s">
        <v>15</v>
      </c>
      <c r="G218" s="12" t="str">
        <f>VLOOKUP(F218,Tables!D$9:E$17,2,FALSE)</f>
        <v>PTR</v>
      </c>
      <c r="H218" s="60">
        <v>17099429</v>
      </c>
      <c r="I218" s="13">
        <f>SUM(S218-R218)</f>
        <v>88</v>
      </c>
      <c r="J218" s="13">
        <f>SUM(U218-T218)</f>
        <v>0</v>
      </c>
      <c r="K218" s="14">
        <f>SUM(I218*$P218)</f>
        <v>2.3056000000000001</v>
      </c>
      <c r="L218" s="14">
        <f>SUM(J218*$Q218)</f>
        <v>0</v>
      </c>
      <c r="M218" s="15">
        <f>K218+L218</f>
        <v>2.3056000000000001</v>
      </c>
      <c r="N218" s="10" t="s">
        <v>208</v>
      </c>
      <c r="O218" s="10" t="s">
        <v>209</v>
      </c>
      <c r="P218" s="16">
        <f>IF(G218="MFP",Tables!B$2,Tables!B$5)</f>
        <v>2.6200000000000001E-2</v>
      </c>
      <c r="Q218" s="17">
        <f>IF(G218="MFP",Tables!B$3,Tables!B$6)</f>
        <v>0.11799999999999999</v>
      </c>
      <c r="R218" s="18">
        <v>285</v>
      </c>
      <c r="S218" s="18">
        <v>373</v>
      </c>
      <c r="T218" s="18">
        <v>0</v>
      </c>
      <c r="U218" s="18">
        <v>0</v>
      </c>
    </row>
    <row r="219" spans="1:55" outlineLevel="1" x14ac:dyDescent="0.3">
      <c r="A219" s="19" t="s">
        <v>822</v>
      </c>
      <c r="B219" s="110"/>
      <c r="C219" s="110"/>
      <c r="D219" s="10"/>
      <c r="E219" s="11"/>
      <c r="F219" s="10"/>
      <c r="G219" s="12"/>
      <c r="H219" s="60"/>
      <c r="I219" s="13"/>
      <c r="J219" s="13"/>
      <c r="K219" s="106"/>
      <c r="L219" s="106"/>
      <c r="M219" s="15">
        <f>SUBTOTAL(9,M216:M218)</f>
        <v>19.5976</v>
      </c>
      <c r="N219" s="10"/>
      <c r="O219" s="10"/>
      <c r="P219" s="16"/>
      <c r="Q219" s="17"/>
      <c r="R219" s="18"/>
      <c r="S219" s="18"/>
      <c r="T219" s="18"/>
      <c r="U219" s="18"/>
      <c r="BC219" s="65">
        <f>SUBTOTAL(9,BC216:BC218)</f>
        <v>0</v>
      </c>
    </row>
    <row r="220" spans="1:55" ht="30" outlineLevel="2" x14ac:dyDescent="0.25">
      <c r="A220" s="9" t="s">
        <v>592</v>
      </c>
      <c r="B220" s="9" t="s">
        <v>593</v>
      </c>
      <c r="C220" s="110" t="s">
        <v>594</v>
      </c>
      <c r="D220" s="10" t="s">
        <v>442</v>
      </c>
      <c r="E220" s="11" t="s">
        <v>762</v>
      </c>
      <c r="F220" s="10" t="s">
        <v>161</v>
      </c>
      <c r="G220" s="12" t="str">
        <f>VLOOKUP(F220,Tables!D$9:E$17,2,FALSE)</f>
        <v>MFP</v>
      </c>
      <c r="H220" s="60">
        <v>17099701</v>
      </c>
      <c r="I220" s="13">
        <f>SUM(S220-R220)</f>
        <v>0</v>
      </c>
      <c r="J220" s="13">
        <f>SUM(U220-T220)</f>
        <v>0</v>
      </c>
      <c r="K220" s="14">
        <f>SUM(I220*$P220)</f>
        <v>0</v>
      </c>
      <c r="L220" s="14">
        <f>SUM(J220*$Q220)</f>
        <v>0</v>
      </c>
      <c r="M220" s="15">
        <f>K220+L220</f>
        <v>0</v>
      </c>
      <c r="N220" s="10" t="s">
        <v>595</v>
      </c>
      <c r="O220" s="10" t="s">
        <v>596</v>
      </c>
      <c r="P220" s="16">
        <f>IF(G220="MFP",Tables!B$2,Tables!B$5)</f>
        <v>2.07E-2</v>
      </c>
      <c r="Q220" s="17">
        <f>IF(G220="MFP",Tables!B$3,Tables!B$6)</f>
        <v>8.6999999999999994E-2</v>
      </c>
      <c r="R220" s="18">
        <v>0</v>
      </c>
      <c r="S220" s="18">
        <v>0</v>
      </c>
      <c r="T220" s="18">
        <v>0</v>
      </c>
      <c r="U220" s="18">
        <v>0</v>
      </c>
    </row>
    <row r="221" spans="1:55" outlineLevel="1" x14ac:dyDescent="0.3">
      <c r="A221" s="19" t="s">
        <v>823</v>
      </c>
      <c r="B221" s="110"/>
      <c r="C221" s="110"/>
      <c r="D221" s="10"/>
      <c r="E221" s="11"/>
      <c r="F221" s="10"/>
      <c r="G221" s="12"/>
      <c r="H221" s="60"/>
      <c r="I221" s="13"/>
      <c r="J221" s="13"/>
      <c r="K221" s="106"/>
      <c r="L221" s="106"/>
      <c r="M221" s="15">
        <f>SUBTOTAL(9,M220:M220)</f>
        <v>0</v>
      </c>
      <c r="N221" s="10"/>
      <c r="O221" s="10"/>
      <c r="P221" s="16"/>
      <c r="Q221" s="17"/>
      <c r="R221" s="18"/>
      <c r="S221" s="18"/>
      <c r="T221" s="18"/>
      <c r="U221" s="18"/>
      <c r="BC221" s="65">
        <f>SUBTOTAL(9,BC220:BC220)</f>
        <v>0</v>
      </c>
    </row>
    <row r="222" spans="1:55" ht="30" outlineLevel="2" x14ac:dyDescent="0.25">
      <c r="A222" s="9" t="s">
        <v>554</v>
      </c>
      <c r="B222" s="9" t="s">
        <v>542</v>
      </c>
      <c r="C222" s="9" t="s">
        <v>543</v>
      </c>
      <c r="D222" s="10" t="s">
        <v>442</v>
      </c>
      <c r="E222" s="11" t="s">
        <v>555</v>
      </c>
      <c r="F222" s="10" t="s">
        <v>161</v>
      </c>
      <c r="G222" s="12" t="str">
        <f>VLOOKUP(F222,Tables!D$9:E$17,2,FALSE)</f>
        <v>MFP</v>
      </c>
      <c r="H222" s="60">
        <v>17099536</v>
      </c>
      <c r="I222" s="13">
        <f>SUM(S222-R222)</f>
        <v>418</v>
      </c>
      <c r="J222" s="13">
        <f>SUM(U222-T222)</f>
        <v>0</v>
      </c>
      <c r="K222" s="14">
        <f>SUM(I222*$P222)</f>
        <v>8.6525999999999996</v>
      </c>
      <c r="L222" s="14">
        <f>SUM(J222*$Q222)</f>
        <v>0</v>
      </c>
      <c r="M222" s="15">
        <f>K222+L222</f>
        <v>8.6525999999999996</v>
      </c>
      <c r="N222" s="10" t="s">
        <v>556</v>
      </c>
      <c r="O222" s="10" t="s">
        <v>557</v>
      </c>
      <c r="P222" s="16">
        <f>IF(G222="MFP",Tables!B$2,Tables!B$5)</f>
        <v>2.07E-2</v>
      </c>
      <c r="Q222" s="17">
        <f>IF(G222="MFP",Tables!B$3,Tables!B$6)</f>
        <v>8.6999999999999994E-2</v>
      </c>
      <c r="R222" s="18">
        <v>0</v>
      </c>
      <c r="S222" s="18">
        <v>418</v>
      </c>
      <c r="T222" s="18">
        <v>0</v>
      </c>
      <c r="U222" s="18">
        <v>0</v>
      </c>
    </row>
    <row r="223" spans="1:55" outlineLevel="1" x14ac:dyDescent="0.3">
      <c r="A223" s="19" t="s">
        <v>824</v>
      </c>
      <c r="B223" s="110"/>
      <c r="C223" s="110"/>
      <c r="D223" s="10"/>
      <c r="E223" s="11"/>
      <c r="F223" s="10"/>
      <c r="G223" s="12"/>
      <c r="H223" s="60"/>
      <c r="I223" s="13"/>
      <c r="J223" s="13"/>
      <c r="K223" s="106"/>
      <c r="L223" s="106"/>
      <c r="M223" s="15">
        <f>SUBTOTAL(9,M222:M222)</f>
        <v>8.6525999999999996</v>
      </c>
      <c r="N223" s="10"/>
      <c r="O223" s="10"/>
      <c r="P223" s="16"/>
      <c r="Q223" s="17"/>
      <c r="R223" s="18"/>
      <c r="S223" s="18"/>
      <c r="T223" s="18"/>
      <c r="U223" s="18"/>
      <c r="BC223" s="65">
        <f>SUBTOTAL(9,BC222:BC222)</f>
        <v>0</v>
      </c>
    </row>
    <row r="224" spans="1:55" ht="15.75" outlineLevel="2" x14ac:dyDescent="0.25">
      <c r="A224" s="9" t="s">
        <v>528</v>
      </c>
      <c r="B224" s="9" t="s">
        <v>708</v>
      </c>
      <c r="C224" s="9" t="s">
        <v>528</v>
      </c>
      <c r="D224" s="10" t="s">
        <v>690</v>
      </c>
      <c r="E224" s="11">
        <v>306</v>
      </c>
      <c r="F224" s="10" t="s">
        <v>15</v>
      </c>
      <c r="G224" s="12" t="str">
        <f>VLOOKUP(F224,Tables!D$9:E$17,2,FALSE)</f>
        <v>PTR</v>
      </c>
      <c r="H224" s="60">
        <v>17099567</v>
      </c>
      <c r="I224" s="13">
        <f>SUM(S224-R224)</f>
        <v>93</v>
      </c>
      <c r="J224" s="13">
        <f>SUM(U224-T224)</f>
        <v>0</v>
      </c>
      <c r="K224" s="14">
        <f>SUM(I224*$P224)</f>
        <v>2.4366000000000003</v>
      </c>
      <c r="L224" s="14">
        <f>SUM(J224*$Q224)</f>
        <v>0</v>
      </c>
      <c r="M224" s="15">
        <f>K224+L224</f>
        <v>2.4366000000000003</v>
      </c>
      <c r="N224" s="10" t="s">
        <v>534</v>
      </c>
      <c r="O224" s="10" t="s">
        <v>535</v>
      </c>
      <c r="P224" s="16">
        <f>IF(G224="MFP",Tables!B$2,Tables!B$5)</f>
        <v>2.6200000000000001E-2</v>
      </c>
      <c r="Q224" s="17">
        <f>IF(G224="MFP",Tables!B$3,Tables!B$6)</f>
        <v>0.11799999999999999</v>
      </c>
      <c r="R224" s="18">
        <v>209</v>
      </c>
      <c r="S224" s="18">
        <v>302</v>
      </c>
      <c r="T224" s="18">
        <v>0</v>
      </c>
      <c r="U224" s="18">
        <v>0</v>
      </c>
    </row>
    <row r="225" spans="1:55" ht="15.75" outlineLevel="2" x14ac:dyDescent="0.25">
      <c r="A225" s="9" t="s">
        <v>528</v>
      </c>
      <c r="B225" s="9" t="s">
        <v>708</v>
      </c>
      <c r="C225" s="9" t="s">
        <v>528</v>
      </c>
      <c r="D225" s="10" t="s">
        <v>690</v>
      </c>
      <c r="E225" s="11" t="s">
        <v>529</v>
      </c>
      <c r="F225" s="10" t="s">
        <v>24</v>
      </c>
      <c r="G225" s="12" t="str">
        <f>VLOOKUP(F225,Tables!D$9:E$17,2,FALSE)</f>
        <v>MFP</v>
      </c>
      <c r="H225" s="60">
        <v>17099488</v>
      </c>
      <c r="I225" s="13">
        <f>SUM(S225-R225)</f>
        <v>3062</v>
      </c>
      <c r="J225" s="13">
        <f>SUM(U225-T225)</f>
        <v>2709</v>
      </c>
      <c r="K225" s="14">
        <f>SUM(I225*$P225)</f>
        <v>63.383400000000002</v>
      </c>
      <c r="L225" s="14">
        <f>SUM(J225*$Q225)</f>
        <v>235.68299999999999</v>
      </c>
      <c r="M225" s="15">
        <f>K225+L225</f>
        <v>299.06639999999999</v>
      </c>
      <c r="N225" s="10" t="s">
        <v>530</v>
      </c>
      <c r="O225" s="10" t="s">
        <v>531</v>
      </c>
      <c r="P225" s="16">
        <f>IF(G225="MFP",Tables!B$2,Tables!B$5)</f>
        <v>2.07E-2</v>
      </c>
      <c r="Q225" s="17">
        <f>IF(G225="MFP",Tables!B$3,Tables!B$6)</f>
        <v>8.6999999999999994E-2</v>
      </c>
      <c r="R225" s="18">
        <v>4515</v>
      </c>
      <c r="S225" s="18">
        <v>7577</v>
      </c>
      <c r="T225" s="18">
        <v>3891</v>
      </c>
      <c r="U225" s="18">
        <v>6600</v>
      </c>
    </row>
    <row r="226" spans="1:55" outlineLevel="1" x14ac:dyDescent="0.3">
      <c r="A226" s="19" t="s">
        <v>825</v>
      </c>
      <c r="B226" s="110"/>
      <c r="C226" s="110"/>
      <c r="D226" s="10"/>
      <c r="E226" s="11"/>
      <c r="F226" s="10"/>
      <c r="G226" s="12"/>
      <c r="H226" s="60"/>
      <c r="I226" s="13"/>
      <c r="J226" s="13"/>
      <c r="K226" s="106"/>
      <c r="L226" s="106"/>
      <c r="M226" s="15">
        <f>SUBTOTAL(9,M224:M225)</f>
        <v>301.50299999999999</v>
      </c>
      <c r="N226" s="10"/>
      <c r="O226" s="10"/>
      <c r="P226" s="16"/>
      <c r="Q226" s="17"/>
      <c r="R226" s="18"/>
      <c r="S226" s="18"/>
      <c r="T226" s="18"/>
      <c r="U226" s="18"/>
      <c r="BC226" s="65">
        <f>SUBTOTAL(9,BC224:BC225)</f>
        <v>0</v>
      </c>
    </row>
    <row r="227" spans="1:55" ht="15.75" outlineLevel="2" x14ac:dyDescent="0.25">
      <c r="A227" s="9" t="s">
        <v>435</v>
      </c>
      <c r="B227" s="9" t="s">
        <v>427</v>
      </c>
      <c r="C227" s="9" t="s">
        <v>431</v>
      </c>
      <c r="D227" s="10" t="s">
        <v>435</v>
      </c>
      <c r="E227" s="11" t="s">
        <v>436</v>
      </c>
      <c r="F227" s="10" t="s">
        <v>92</v>
      </c>
      <c r="G227" s="12" t="str">
        <f>VLOOKUP(F227,Tables!D$9:E$17,2,FALSE)</f>
        <v>PTR</v>
      </c>
      <c r="H227" s="60">
        <v>17099702</v>
      </c>
      <c r="I227" s="13">
        <f>SUM(S227-R227)</f>
        <v>25</v>
      </c>
      <c r="J227" s="13">
        <f>SUM(U227-T227)</f>
        <v>94</v>
      </c>
      <c r="K227" s="14">
        <f>SUM(I227*$P227)</f>
        <v>0.65500000000000003</v>
      </c>
      <c r="L227" s="14">
        <f>SUM(J227*$Q227)</f>
        <v>11.091999999999999</v>
      </c>
      <c r="M227" s="15">
        <f>K227+L227</f>
        <v>11.746999999999998</v>
      </c>
      <c r="N227" s="10" t="s">
        <v>437</v>
      </c>
      <c r="O227" s="10" t="s">
        <v>438</v>
      </c>
      <c r="P227" s="16">
        <f>IF(G227="MFP",Tables!B$2,Tables!B$5)</f>
        <v>2.6200000000000001E-2</v>
      </c>
      <c r="Q227" s="17">
        <f>IF(G227="MFP",Tables!B$3,Tables!B$6)</f>
        <v>0.11799999999999999</v>
      </c>
      <c r="R227" s="18">
        <v>173</v>
      </c>
      <c r="S227" s="18">
        <v>198</v>
      </c>
      <c r="T227" s="18">
        <v>244</v>
      </c>
      <c r="U227" s="18">
        <v>338</v>
      </c>
    </row>
    <row r="228" spans="1:55" outlineLevel="1" x14ac:dyDescent="0.3">
      <c r="A228" s="19" t="s">
        <v>826</v>
      </c>
      <c r="B228" s="110"/>
      <c r="C228" s="110"/>
      <c r="D228" s="10"/>
      <c r="E228" s="11"/>
      <c r="F228" s="10"/>
      <c r="G228" s="12"/>
      <c r="H228" s="60"/>
      <c r="I228" s="13"/>
      <c r="J228" s="13"/>
      <c r="K228" s="106"/>
      <c r="L228" s="106"/>
      <c r="M228" s="15">
        <f>SUBTOTAL(9,M227:M227)</f>
        <v>11.746999999999998</v>
      </c>
      <c r="N228" s="10"/>
      <c r="O228" s="10"/>
      <c r="P228" s="16"/>
      <c r="Q228" s="17"/>
      <c r="R228" s="18"/>
      <c r="S228" s="18"/>
      <c r="T228" s="18"/>
      <c r="U228" s="18"/>
      <c r="BC228" s="65">
        <f>SUBTOTAL(9,BC227:BC227)</f>
        <v>0</v>
      </c>
    </row>
    <row r="229" spans="1:55" ht="15.75" outlineLevel="2" x14ac:dyDescent="0.25">
      <c r="A229" s="9" t="s">
        <v>210</v>
      </c>
      <c r="B229" s="9" t="s">
        <v>211</v>
      </c>
      <c r="C229" s="9" t="s">
        <v>210</v>
      </c>
      <c r="D229" s="10" t="s">
        <v>212</v>
      </c>
      <c r="E229" s="11">
        <v>320</v>
      </c>
      <c r="F229" s="10" t="s">
        <v>15</v>
      </c>
      <c r="G229" s="12" t="str">
        <f>VLOOKUP(F229,Tables!D$9:E$17,2,FALSE)</f>
        <v>PTR</v>
      </c>
      <c r="H229" s="60">
        <v>17099598</v>
      </c>
      <c r="I229" s="13">
        <f>SUM(S229-R229)</f>
        <v>491</v>
      </c>
      <c r="J229" s="13">
        <f>SUM(U229-T229)</f>
        <v>0</v>
      </c>
      <c r="K229" s="14">
        <f>SUM(I229*$P229)</f>
        <v>12.8642</v>
      </c>
      <c r="L229" s="14">
        <f>SUM(J229*$Q229)</f>
        <v>0</v>
      </c>
      <c r="M229" s="15">
        <f>K229+L229</f>
        <v>12.8642</v>
      </c>
      <c r="N229" s="10" t="s">
        <v>215</v>
      </c>
      <c r="O229" s="10" t="s">
        <v>216</v>
      </c>
      <c r="P229" s="16">
        <f>IF(G229="MFP",Tables!B$2,Tables!B$5)</f>
        <v>2.6200000000000001E-2</v>
      </c>
      <c r="Q229" s="17">
        <f>IF(G229="MFP",Tables!B$3,Tables!B$6)</f>
        <v>0.11799999999999999</v>
      </c>
      <c r="R229" s="18">
        <v>2185</v>
      </c>
      <c r="S229" s="18">
        <v>2676</v>
      </c>
      <c r="T229" s="18">
        <v>0</v>
      </c>
      <c r="U229" s="18">
        <v>0</v>
      </c>
    </row>
    <row r="230" spans="1:55" ht="15.75" outlineLevel="2" x14ac:dyDescent="0.25">
      <c r="A230" s="9" t="s">
        <v>210</v>
      </c>
      <c r="B230" s="9" t="s">
        <v>211</v>
      </c>
      <c r="C230" s="9" t="s">
        <v>210</v>
      </c>
      <c r="D230" s="10" t="s">
        <v>212</v>
      </c>
      <c r="E230" s="11">
        <v>328</v>
      </c>
      <c r="F230" s="10" t="s">
        <v>24</v>
      </c>
      <c r="G230" s="12" t="str">
        <f>VLOOKUP(F230,Tables!D$9:E$17,2,FALSE)</f>
        <v>MFP</v>
      </c>
      <c r="H230" s="60">
        <v>17099461</v>
      </c>
      <c r="I230" s="13">
        <f>SUM(S230-R230)</f>
        <v>6933</v>
      </c>
      <c r="J230" s="13">
        <f>SUM(U230-T230)</f>
        <v>40</v>
      </c>
      <c r="K230" s="14">
        <f>SUM(I230*$P230)</f>
        <v>143.51310000000001</v>
      </c>
      <c r="L230" s="14">
        <f>SUM(J230*$Q230)</f>
        <v>3.4799999999999995</v>
      </c>
      <c r="M230" s="15">
        <f>K230+L230</f>
        <v>146.9931</v>
      </c>
      <c r="N230" s="10" t="s">
        <v>213</v>
      </c>
      <c r="O230" s="10" t="s">
        <v>214</v>
      </c>
      <c r="P230" s="16">
        <f>IF(G230="MFP",Tables!B$2,Tables!B$5)</f>
        <v>2.07E-2</v>
      </c>
      <c r="Q230" s="17">
        <f>IF(G230="MFP",Tables!B$3,Tables!B$6)</f>
        <v>8.6999999999999994E-2</v>
      </c>
      <c r="R230" s="18">
        <v>25258</v>
      </c>
      <c r="S230" s="18">
        <v>32191</v>
      </c>
      <c r="T230" s="18">
        <v>497</v>
      </c>
      <c r="U230" s="18">
        <v>537</v>
      </c>
    </row>
    <row r="231" spans="1:55" ht="15.75" outlineLevel="2" x14ac:dyDescent="0.25">
      <c r="A231" s="9" t="s">
        <v>210</v>
      </c>
      <c r="B231" s="9" t="s">
        <v>211</v>
      </c>
      <c r="C231" s="9" t="s">
        <v>210</v>
      </c>
      <c r="D231" s="10" t="s">
        <v>212</v>
      </c>
      <c r="E231" s="11" t="s">
        <v>217</v>
      </c>
      <c r="F231" s="10" t="s">
        <v>15</v>
      </c>
      <c r="G231" s="12" t="str">
        <f>VLOOKUP(F231,Tables!D$9:E$17,2,FALSE)</f>
        <v>PTR</v>
      </c>
      <c r="H231" s="60">
        <v>17099720</v>
      </c>
      <c r="I231" s="13">
        <f>SUM(S231-R231)</f>
        <v>456</v>
      </c>
      <c r="J231" s="13">
        <f>SUM(U231-T231)</f>
        <v>0</v>
      </c>
      <c r="K231" s="14">
        <f>SUM(I231*$P231)</f>
        <v>11.9472</v>
      </c>
      <c r="L231" s="14">
        <f>SUM(J231*$Q231)</f>
        <v>0</v>
      </c>
      <c r="M231" s="15">
        <f>K231+L231</f>
        <v>11.9472</v>
      </c>
      <c r="N231" s="10" t="s">
        <v>218</v>
      </c>
      <c r="O231" s="10" t="s">
        <v>219</v>
      </c>
      <c r="P231" s="16">
        <f>IF(G231="MFP",Tables!B$2,Tables!B$5)</f>
        <v>2.6200000000000001E-2</v>
      </c>
      <c r="Q231" s="17">
        <f>IF(G231="MFP",Tables!B$3,Tables!B$6)</f>
        <v>0.11799999999999999</v>
      </c>
      <c r="R231" s="18">
        <v>1055</v>
      </c>
      <c r="S231" s="18">
        <v>1511</v>
      </c>
      <c r="T231" s="18">
        <v>0</v>
      </c>
      <c r="U231" s="18">
        <v>0</v>
      </c>
    </row>
    <row r="232" spans="1:55" outlineLevel="1" x14ac:dyDescent="0.3">
      <c r="A232" s="19" t="s">
        <v>827</v>
      </c>
      <c r="B232" s="110"/>
      <c r="C232" s="110"/>
      <c r="D232" s="10"/>
      <c r="E232" s="11"/>
      <c r="F232" s="10"/>
      <c r="G232" s="12"/>
      <c r="H232" s="60"/>
      <c r="I232" s="13"/>
      <c r="J232" s="13"/>
      <c r="K232" s="106"/>
      <c r="L232" s="106"/>
      <c r="M232" s="15">
        <f>SUBTOTAL(9,M229:M231)</f>
        <v>171.80450000000002</v>
      </c>
      <c r="N232" s="10"/>
      <c r="O232" s="10"/>
      <c r="P232" s="16"/>
      <c r="Q232" s="17"/>
      <c r="R232" s="18"/>
      <c r="S232" s="18"/>
      <c r="T232" s="18"/>
      <c r="U232" s="18"/>
      <c r="BC232" s="65">
        <f>SUBTOTAL(9,BC229:BC231)</f>
        <v>0</v>
      </c>
    </row>
    <row r="233" spans="1:55" ht="30" outlineLevel="2" x14ac:dyDescent="0.25">
      <c r="A233" s="9" t="s">
        <v>515</v>
      </c>
      <c r="B233" s="9" t="s">
        <v>516</v>
      </c>
      <c r="C233" s="9" t="s">
        <v>517</v>
      </c>
      <c r="D233" s="10" t="s">
        <v>515</v>
      </c>
      <c r="E233" s="11">
        <v>110</v>
      </c>
      <c r="F233" s="10" t="s">
        <v>161</v>
      </c>
      <c r="G233" s="12" t="str">
        <f>VLOOKUP(F233,Tables!D$9:E$17,2,FALSE)</f>
        <v>MFP</v>
      </c>
      <c r="H233" s="60">
        <v>17099402</v>
      </c>
      <c r="I233" s="13">
        <f>SUM(S233-R233)</f>
        <v>1145</v>
      </c>
      <c r="J233" s="13">
        <f>SUM(U233-T233)</f>
        <v>0</v>
      </c>
      <c r="K233" s="14">
        <f>SUM(I233*$P233)</f>
        <v>23.701499999999999</v>
      </c>
      <c r="L233" s="14">
        <f>SUM(J233*$Q233)</f>
        <v>0</v>
      </c>
      <c r="M233" s="15">
        <f>K233+L233</f>
        <v>23.701499999999999</v>
      </c>
      <c r="N233" s="10" t="s">
        <v>520</v>
      </c>
      <c r="O233" s="10" t="s">
        <v>521</v>
      </c>
      <c r="P233" s="16">
        <f>IF(G233="MFP",Tables!B$2,Tables!B$5)</f>
        <v>2.07E-2</v>
      </c>
      <c r="Q233" s="17">
        <f>IF(G233="MFP",Tables!B$3,Tables!B$6)</f>
        <v>8.6999999999999994E-2</v>
      </c>
      <c r="R233" s="18">
        <v>3505</v>
      </c>
      <c r="S233" s="18">
        <v>4650</v>
      </c>
      <c r="T233" s="18">
        <v>0</v>
      </c>
      <c r="U233" s="18">
        <v>0</v>
      </c>
    </row>
    <row r="234" spans="1:55" ht="30" outlineLevel="2" x14ac:dyDescent="0.25">
      <c r="A234" s="9" t="s">
        <v>515</v>
      </c>
      <c r="B234" s="9" t="s">
        <v>516</v>
      </c>
      <c r="C234" s="9" t="s">
        <v>517</v>
      </c>
      <c r="D234" s="10" t="s">
        <v>515</v>
      </c>
      <c r="E234" s="11">
        <v>118</v>
      </c>
      <c r="F234" s="10" t="s">
        <v>54</v>
      </c>
      <c r="G234" s="12" t="str">
        <f>VLOOKUP(F234,Tables!D$9:E$17,2,FALSE)</f>
        <v>MFP</v>
      </c>
      <c r="H234" s="60">
        <v>17099787</v>
      </c>
      <c r="I234" s="13">
        <f>SUM(S234-R234)</f>
        <v>3367</v>
      </c>
      <c r="J234" s="13">
        <f>SUM(U234-T234)</f>
        <v>989</v>
      </c>
      <c r="K234" s="14">
        <f>SUM(I234*$P234)</f>
        <v>69.696899999999999</v>
      </c>
      <c r="L234" s="14">
        <f>SUM(J234*$Q234)</f>
        <v>86.042999999999992</v>
      </c>
      <c r="M234" s="15">
        <f>K234+L234</f>
        <v>155.73989999999998</v>
      </c>
      <c r="N234" s="10" t="s">
        <v>518</v>
      </c>
      <c r="O234" s="10" t="s">
        <v>519</v>
      </c>
      <c r="P234" s="16">
        <f>IF(G234="MFP",Tables!B$2,Tables!B$5)</f>
        <v>2.07E-2</v>
      </c>
      <c r="Q234" s="17">
        <f>IF(G234="MFP",Tables!B$3,Tables!B$6)</f>
        <v>8.6999999999999994E-2</v>
      </c>
      <c r="R234" s="18">
        <v>11356</v>
      </c>
      <c r="S234" s="18">
        <v>14723</v>
      </c>
      <c r="T234" s="18">
        <v>4143</v>
      </c>
      <c r="U234" s="18">
        <v>5132</v>
      </c>
    </row>
    <row r="235" spans="1:55" ht="30" outlineLevel="2" x14ac:dyDescent="0.25">
      <c r="A235" s="9" t="s">
        <v>515</v>
      </c>
      <c r="B235" s="9" t="s">
        <v>516</v>
      </c>
      <c r="C235" s="9" t="s">
        <v>517</v>
      </c>
      <c r="D235" s="10" t="s">
        <v>515</v>
      </c>
      <c r="E235" s="11">
        <v>126</v>
      </c>
      <c r="F235" s="10" t="s">
        <v>15</v>
      </c>
      <c r="G235" s="12" t="str">
        <f>VLOOKUP(F235,Tables!D$9:E$17,2,FALSE)</f>
        <v>PTR</v>
      </c>
      <c r="H235" s="60">
        <v>17099599</v>
      </c>
      <c r="I235" s="13">
        <f>SUM(S235-R235)</f>
        <v>561</v>
      </c>
      <c r="J235" s="13">
        <f>SUM(U235-T235)</f>
        <v>0</v>
      </c>
      <c r="K235" s="14">
        <f>SUM(I235*$P235)</f>
        <v>14.6982</v>
      </c>
      <c r="L235" s="14">
        <f>SUM(J235*$Q235)</f>
        <v>0</v>
      </c>
      <c r="M235" s="15">
        <f>K235+L235</f>
        <v>14.6982</v>
      </c>
      <c r="N235" s="10" t="s">
        <v>522</v>
      </c>
      <c r="O235" s="10" t="s">
        <v>523</v>
      </c>
      <c r="P235" s="16">
        <f>IF(G235="MFP",Tables!B$2,Tables!B$5)</f>
        <v>2.6200000000000001E-2</v>
      </c>
      <c r="Q235" s="17">
        <f>IF(G235="MFP",Tables!B$3,Tables!B$6)</f>
        <v>0.11799999999999999</v>
      </c>
      <c r="R235" s="18">
        <v>551</v>
      </c>
      <c r="S235" s="18">
        <v>1112</v>
      </c>
      <c r="T235" s="18">
        <v>0</v>
      </c>
      <c r="U235" s="18">
        <v>0</v>
      </c>
    </row>
    <row r="236" spans="1:55" ht="30" outlineLevel="2" x14ac:dyDescent="0.25">
      <c r="A236" s="9" t="s">
        <v>515</v>
      </c>
      <c r="B236" s="9" t="s">
        <v>516</v>
      </c>
      <c r="C236" s="9" t="s">
        <v>517</v>
      </c>
      <c r="D236" s="10" t="s">
        <v>515</v>
      </c>
      <c r="E236" s="11">
        <v>132</v>
      </c>
      <c r="F236" s="10" t="s">
        <v>15</v>
      </c>
      <c r="G236" s="12" t="str">
        <f>VLOOKUP(F236,Tables!D$9:E$17,2,FALSE)</f>
        <v>PTR</v>
      </c>
      <c r="H236" s="60">
        <v>17099600</v>
      </c>
      <c r="I236" s="13">
        <f>SUM(S236-R236)</f>
        <v>186</v>
      </c>
      <c r="J236" s="13">
        <f>SUM(U236-T236)</f>
        <v>0</v>
      </c>
      <c r="K236" s="14">
        <f>SUM(I236*$P236)</f>
        <v>4.8732000000000006</v>
      </c>
      <c r="L236" s="14">
        <f>SUM(J236*$Q236)</f>
        <v>0</v>
      </c>
      <c r="M236" s="15">
        <f>K236+L236</f>
        <v>4.8732000000000006</v>
      </c>
      <c r="N236" s="10" t="s">
        <v>524</v>
      </c>
      <c r="O236" s="10" t="s">
        <v>525</v>
      </c>
      <c r="P236" s="16">
        <f>IF(G236="MFP",Tables!B$2,Tables!B$5)</f>
        <v>2.6200000000000001E-2</v>
      </c>
      <c r="Q236" s="17">
        <f>IF(G236="MFP",Tables!B$3,Tables!B$6)</f>
        <v>0.11799999999999999</v>
      </c>
      <c r="R236" s="18">
        <v>444</v>
      </c>
      <c r="S236" s="18">
        <v>630</v>
      </c>
      <c r="T236" s="18">
        <v>0</v>
      </c>
      <c r="U236" s="18">
        <v>0</v>
      </c>
    </row>
    <row r="237" spans="1:55" ht="30" outlineLevel="2" x14ac:dyDescent="0.25">
      <c r="A237" s="9" t="s">
        <v>515</v>
      </c>
      <c r="B237" s="9" t="s">
        <v>516</v>
      </c>
      <c r="C237" s="9" t="s">
        <v>517</v>
      </c>
      <c r="D237" s="10" t="s">
        <v>515</v>
      </c>
      <c r="E237" s="11">
        <v>135</v>
      </c>
      <c r="F237" s="10" t="s">
        <v>15</v>
      </c>
      <c r="G237" s="12" t="str">
        <f>VLOOKUP(F237,Tables!D$9:E$17,2,FALSE)</f>
        <v>PTR</v>
      </c>
      <c r="H237" s="60">
        <v>17099601</v>
      </c>
      <c r="I237" s="13">
        <f>SUM(S237-R237)</f>
        <v>58</v>
      </c>
      <c r="J237" s="13">
        <f>SUM(U237-T237)</f>
        <v>0</v>
      </c>
      <c r="K237" s="14">
        <f>SUM(I237*$P237)</f>
        <v>1.5196000000000001</v>
      </c>
      <c r="L237" s="14">
        <f>SUM(J237*$Q237)</f>
        <v>0</v>
      </c>
      <c r="M237" s="15">
        <f>K237+L237</f>
        <v>1.5196000000000001</v>
      </c>
      <c r="N237" s="10" t="s">
        <v>526</v>
      </c>
      <c r="O237" s="10" t="s">
        <v>527</v>
      </c>
      <c r="P237" s="16">
        <f>IF(G237="MFP",Tables!B$2,Tables!B$5)</f>
        <v>2.6200000000000001E-2</v>
      </c>
      <c r="Q237" s="17">
        <f>IF(G237="MFP",Tables!B$3,Tables!B$6)</f>
        <v>0.11799999999999999</v>
      </c>
      <c r="R237" s="18">
        <v>119</v>
      </c>
      <c r="S237" s="18">
        <v>177</v>
      </c>
      <c r="T237" s="18">
        <v>0</v>
      </c>
      <c r="U237" s="18">
        <v>0</v>
      </c>
    </row>
    <row r="238" spans="1:55" outlineLevel="1" x14ac:dyDescent="0.3">
      <c r="A238" s="19" t="s">
        <v>828</v>
      </c>
      <c r="B238" s="110"/>
      <c r="C238" s="110"/>
      <c r="D238" s="10"/>
      <c r="E238" s="11"/>
      <c r="F238" s="10"/>
      <c r="G238" s="12"/>
      <c r="H238" s="60"/>
      <c r="I238" s="13"/>
      <c r="J238" s="13"/>
      <c r="K238" s="106"/>
      <c r="L238" s="106"/>
      <c r="M238" s="15">
        <f>SUBTOTAL(9,M233:M237)</f>
        <v>200.53239999999997</v>
      </c>
      <c r="N238" s="10"/>
      <c r="O238" s="10"/>
      <c r="P238" s="16"/>
      <c r="Q238" s="17"/>
      <c r="R238" s="18"/>
      <c r="S238" s="18"/>
      <c r="T238" s="18"/>
      <c r="U238" s="18"/>
      <c r="BC238" s="65">
        <f>SUBTOTAL(9,BC233:BC237)</f>
        <v>0</v>
      </c>
    </row>
    <row r="239" spans="1:55" ht="15.75" outlineLevel="2" x14ac:dyDescent="0.25">
      <c r="A239" s="9" t="s">
        <v>223</v>
      </c>
      <c r="B239" s="9" t="s">
        <v>440</v>
      </c>
      <c r="C239" s="9" t="s">
        <v>441</v>
      </c>
      <c r="D239" s="10" t="s">
        <v>171</v>
      </c>
      <c r="E239" s="11">
        <v>318</v>
      </c>
      <c r="F239" s="10" t="s">
        <v>15</v>
      </c>
      <c r="G239" s="12" t="str">
        <f>VLOOKUP(F239,Tables!D$9:E$17,2,FALSE)</f>
        <v>PTR</v>
      </c>
      <c r="H239" s="60">
        <v>17099583</v>
      </c>
      <c r="I239" s="13">
        <f>SUM(S239-R239)</f>
        <v>158</v>
      </c>
      <c r="J239" s="13">
        <f>SUM(U239-T239)</f>
        <v>0</v>
      </c>
      <c r="K239" s="14">
        <f>SUM(I239*$P239)</f>
        <v>4.1395999999999997</v>
      </c>
      <c r="L239" s="14">
        <f>SUM(J239*$Q239)</f>
        <v>0</v>
      </c>
      <c r="M239" s="15">
        <f>K239+L239</f>
        <v>4.1395999999999997</v>
      </c>
      <c r="N239" s="10" t="s">
        <v>485</v>
      </c>
      <c r="O239" s="10" t="s">
        <v>486</v>
      </c>
      <c r="P239" s="16">
        <f>IF(G239="MFP",Tables!B$2,Tables!B$5)</f>
        <v>2.6200000000000001E-2</v>
      </c>
      <c r="Q239" s="17">
        <f>IF(G239="MFP",Tables!B$3,Tables!B$6)</f>
        <v>0.11799999999999999</v>
      </c>
      <c r="R239" s="18">
        <v>132</v>
      </c>
      <c r="S239" s="18">
        <v>290</v>
      </c>
      <c r="T239" s="18">
        <v>0</v>
      </c>
      <c r="U239" s="18">
        <v>0</v>
      </c>
    </row>
    <row r="240" spans="1:55" ht="15.75" outlineLevel="2" x14ac:dyDescent="0.25">
      <c r="A240" s="9" t="s">
        <v>223</v>
      </c>
      <c r="B240" s="9" t="s">
        <v>758</v>
      </c>
      <c r="C240" s="9" t="s">
        <v>223</v>
      </c>
      <c r="D240" s="10" t="s">
        <v>171</v>
      </c>
      <c r="E240" s="11">
        <v>324</v>
      </c>
      <c r="F240" s="10" t="s">
        <v>24</v>
      </c>
      <c r="G240" s="12" t="str">
        <f>VLOOKUP(F240,Tables!D$9:E$17,2,FALSE)</f>
        <v>MFP</v>
      </c>
      <c r="H240" s="60">
        <v>17099463</v>
      </c>
      <c r="I240" s="13">
        <f>SUM(S240-R240)</f>
        <v>11840</v>
      </c>
      <c r="J240" s="13">
        <f>SUM(U240-T240)</f>
        <v>645</v>
      </c>
      <c r="K240" s="14">
        <f>SUM(I240*$P240)</f>
        <v>245.08799999999999</v>
      </c>
      <c r="L240" s="14">
        <f>SUM(J240*$Q240)</f>
        <v>56.114999999999995</v>
      </c>
      <c r="M240" s="15">
        <f>K240+L240</f>
        <v>301.20299999999997</v>
      </c>
      <c r="N240" s="10" t="s">
        <v>224</v>
      </c>
      <c r="O240" s="10" t="s">
        <v>225</v>
      </c>
      <c r="P240" s="16">
        <f>IF(G240="MFP",Tables!B$2,Tables!B$5)</f>
        <v>2.07E-2</v>
      </c>
      <c r="Q240" s="17">
        <f>IF(G240="MFP",Tables!B$3,Tables!B$6)</f>
        <v>8.6999999999999994E-2</v>
      </c>
      <c r="R240" s="18">
        <v>17467</v>
      </c>
      <c r="S240" s="18">
        <v>29307</v>
      </c>
      <c r="T240" s="18">
        <v>1664</v>
      </c>
      <c r="U240" s="18">
        <v>2309</v>
      </c>
    </row>
    <row r="241" spans="1:55" ht="15.75" outlineLevel="2" x14ac:dyDescent="0.25">
      <c r="A241" s="9" t="s">
        <v>223</v>
      </c>
      <c r="B241" s="9" t="s">
        <v>758</v>
      </c>
      <c r="C241" s="9" t="s">
        <v>223</v>
      </c>
      <c r="D241" s="10" t="s">
        <v>171</v>
      </c>
      <c r="E241" s="11">
        <v>328</v>
      </c>
      <c r="F241" s="10" t="s">
        <v>15</v>
      </c>
      <c r="G241" s="12" t="str">
        <f>VLOOKUP(F241,Tables!D$9:E$17,2,FALSE)</f>
        <v>PTR</v>
      </c>
      <c r="H241" s="60">
        <v>17099588</v>
      </c>
      <c r="I241" s="13">
        <f>SUM(S241-R241)</f>
        <v>184</v>
      </c>
      <c r="J241" s="13">
        <f>SUM(U241-T241)</f>
        <v>0</v>
      </c>
      <c r="K241" s="14">
        <f>SUM(I241*$P241)</f>
        <v>4.8208000000000002</v>
      </c>
      <c r="L241" s="14">
        <f>SUM(J241*$Q241)</f>
        <v>0</v>
      </c>
      <c r="M241" s="15">
        <f>K241+L241</f>
        <v>4.8208000000000002</v>
      </c>
      <c r="N241" s="10" t="s">
        <v>226</v>
      </c>
      <c r="O241" s="10" t="s">
        <v>227</v>
      </c>
      <c r="P241" s="16">
        <f>IF(G241="MFP",Tables!B$2,Tables!B$5)</f>
        <v>2.6200000000000001E-2</v>
      </c>
      <c r="Q241" s="17">
        <f>IF(G241="MFP",Tables!B$3,Tables!B$6)</f>
        <v>0.11799999999999999</v>
      </c>
      <c r="R241" s="18">
        <v>389</v>
      </c>
      <c r="S241" s="18">
        <v>573</v>
      </c>
      <c r="T241" s="18">
        <v>0</v>
      </c>
      <c r="U241" s="18">
        <v>0</v>
      </c>
    </row>
    <row r="242" spans="1:55" outlineLevel="1" x14ac:dyDescent="0.3">
      <c r="A242" s="19" t="s">
        <v>829</v>
      </c>
      <c r="B242" s="110"/>
      <c r="C242" s="110"/>
      <c r="D242" s="10"/>
      <c r="E242" s="11"/>
      <c r="F242" s="10"/>
      <c r="G242" s="12"/>
      <c r="H242" s="60"/>
      <c r="I242" s="13"/>
      <c r="J242" s="13"/>
      <c r="K242" s="106"/>
      <c r="L242" s="106"/>
      <c r="M242" s="15">
        <f>SUBTOTAL(9,M239:M241)</f>
        <v>310.16339999999997</v>
      </c>
      <c r="N242" s="10"/>
      <c r="O242" s="10"/>
      <c r="P242" s="16"/>
      <c r="Q242" s="17"/>
      <c r="R242" s="18"/>
      <c r="S242" s="18"/>
      <c r="T242" s="18"/>
      <c r="U242" s="18"/>
      <c r="BC242" s="65">
        <f>SUBTOTAL(9,BC239:BC241)</f>
        <v>0</v>
      </c>
    </row>
    <row r="243" spans="1:55" ht="15.75" outlineLevel="2" x14ac:dyDescent="0.25">
      <c r="A243" s="9" t="s">
        <v>180</v>
      </c>
      <c r="B243" s="9" t="s">
        <v>249</v>
      </c>
      <c r="C243" s="9" t="s">
        <v>246</v>
      </c>
      <c r="D243" s="10" t="s">
        <v>180</v>
      </c>
      <c r="E243" s="11">
        <v>302</v>
      </c>
      <c r="F243" s="10" t="s">
        <v>15</v>
      </c>
      <c r="G243" s="12" t="str">
        <f>VLOOKUP(F243,Tables!D$9:E$17,2,FALSE)</f>
        <v>PTR</v>
      </c>
      <c r="H243" s="60">
        <v>17099502</v>
      </c>
      <c r="I243" s="13">
        <f t="shared" ref="I243:I254" si="35">SUM(S243-R243)</f>
        <v>660</v>
      </c>
      <c r="J243" s="13">
        <f t="shared" ref="J243:J254" si="36">SUM(U243-T243)</f>
        <v>0</v>
      </c>
      <c r="K243" s="14">
        <f t="shared" ref="K243:K254" si="37">SUM(I243*$P243)</f>
        <v>17.292000000000002</v>
      </c>
      <c r="L243" s="14">
        <f t="shared" ref="L243:L254" si="38">SUM(J243*$Q243)</f>
        <v>0</v>
      </c>
      <c r="M243" s="15">
        <f t="shared" ref="M243:M254" si="39">K243+L243</f>
        <v>17.292000000000002</v>
      </c>
      <c r="N243" s="10" t="s">
        <v>275</v>
      </c>
      <c r="O243" s="10" t="s">
        <v>276</v>
      </c>
      <c r="P243" s="16">
        <f>IF(G243="MFP",Tables!B$2,Tables!B$5)</f>
        <v>2.6200000000000001E-2</v>
      </c>
      <c r="Q243" s="17">
        <f>IF(G243="MFP",Tables!B$3,Tables!B$6)</f>
        <v>0.11799999999999999</v>
      </c>
      <c r="R243" s="18">
        <v>3611</v>
      </c>
      <c r="S243" s="18">
        <v>4271</v>
      </c>
      <c r="T243" s="18">
        <v>0</v>
      </c>
      <c r="U243" s="18">
        <v>0</v>
      </c>
    </row>
    <row r="244" spans="1:55" ht="15.75" outlineLevel="2" x14ac:dyDescent="0.25">
      <c r="A244" s="110" t="s">
        <v>180</v>
      </c>
      <c r="B244" s="110" t="s">
        <v>249</v>
      </c>
      <c r="C244" s="110" t="s">
        <v>246</v>
      </c>
      <c r="D244" s="10" t="s">
        <v>180</v>
      </c>
      <c r="E244" s="11">
        <v>303</v>
      </c>
      <c r="F244" s="10" t="s">
        <v>15</v>
      </c>
      <c r="G244" s="12" t="str">
        <f>VLOOKUP(F244,Tables!D$9:E$17,2,FALSE)</f>
        <v>PTR</v>
      </c>
      <c r="H244" s="60">
        <v>17099504</v>
      </c>
      <c r="I244" s="13">
        <f t="shared" si="35"/>
        <v>783</v>
      </c>
      <c r="J244" s="13">
        <f t="shared" si="36"/>
        <v>0</v>
      </c>
      <c r="K244" s="14">
        <f t="shared" si="37"/>
        <v>20.514600000000002</v>
      </c>
      <c r="L244" s="14">
        <f t="shared" si="38"/>
        <v>0</v>
      </c>
      <c r="M244" s="15">
        <f t="shared" si="39"/>
        <v>20.514600000000002</v>
      </c>
      <c r="N244" s="10" t="s">
        <v>271</v>
      </c>
      <c r="O244" s="10" t="s">
        <v>272</v>
      </c>
      <c r="P244" s="16">
        <f>IF(G244="MFP",Tables!B$2,Tables!B$5)</f>
        <v>2.6200000000000001E-2</v>
      </c>
      <c r="Q244" s="17">
        <f>IF(G244="MFP",Tables!B$3,Tables!B$6)</f>
        <v>0.11799999999999999</v>
      </c>
      <c r="R244" s="18">
        <v>3905</v>
      </c>
      <c r="S244" s="18">
        <v>4688</v>
      </c>
      <c r="T244" s="18">
        <v>0</v>
      </c>
      <c r="U244" s="18">
        <v>0</v>
      </c>
    </row>
    <row r="245" spans="1:55" ht="15.75" outlineLevel="2" x14ac:dyDescent="0.25">
      <c r="A245" s="61" t="s">
        <v>180</v>
      </c>
      <c r="B245" s="61" t="s">
        <v>249</v>
      </c>
      <c r="C245" s="61" t="s">
        <v>246</v>
      </c>
      <c r="D245" s="10" t="s">
        <v>180</v>
      </c>
      <c r="E245" s="62">
        <v>401</v>
      </c>
      <c r="F245" s="61" t="s">
        <v>15</v>
      </c>
      <c r="G245" s="12" t="str">
        <f>VLOOKUP(F245,Tables!D$9:E$17,2,FALSE)</f>
        <v>PTR</v>
      </c>
      <c r="H245" s="63">
        <v>17099634</v>
      </c>
      <c r="I245" s="13">
        <f t="shared" si="35"/>
        <v>0</v>
      </c>
      <c r="J245" s="13">
        <f t="shared" si="36"/>
        <v>0</v>
      </c>
      <c r="K245" s="14">
        <f t="shared" si="37"/>
        <v>0</v>
      </c>
      <c r="L245" s="14">
        <f t="shared" si="38"/>
        <v>0</v>
      </c>
      <c r="M245" s="15">
        <f t="shared" si="39"/>
        <v>0</v>
      </c>
      <c r="N245" s="61" t="s">
        <v>258</v>
      </c>
      <c r="O245" s="61" t="s">
        <v>259</v>
      </c>
      <c r="P245" s="16">
        <f>IF(G245="MFP",Tables!B$2,Tables!B$5)</f>
        <v>2.6200000000000001E-2</v>
      </c>
      <c r="Q245" s="17">
        <f>IF(G245="MFP",Tables!B$3,Tables!B$6)</f>
        <v>0.11799999999999999</v>
      </c>
      <c r="R245" s="13">
        <v>0</v>
      </c>
      <c r="S245" s="18">
        <v>0</v>
      </c>
      <c r="T245" s="13">
        <v>0</v>
      </c>
      <c r="U245" s="18">
        <v>0</v>
      </c>
    </row>
    <row r="246" spans="1:55" ht="15.75" outlineLevel="2" x14ac:dyDescent="0.25">
      <c r="A246" s="9" t="s">
        <v>180</v>
      </c>
      <c r="B246" s="9" t="s">
        <v>249</v>
      </c>
      <c r="C246" s="9" t="s">
        <v>246</v>
      </c>
      <c r="D246" s="10" t="s">
        <v>180</v>
      </c>
      <c r="E246" s="11">
        <v>401</v>
      </c>
      <c r="F246" s="10" t="s">
        <v>15</v>
      </c>
      <c r="G246" s="12" t="str">
        <f>VLOOKUP(F246,Tables!D$9:E$17,2,FALSE)</f>
        <v>PTR</v>
      </c>
      <c r="H246" s="60">
        <v>17099526</v>
      </c>
      <c r="I246" s="13">
        <f t="shared" si="35"/>
        <v>639</v>
      </c>
      <c r="J246" s="13">
        <f t="shared" si="36"/>
        <v>0</v>
      </c>
      <c r="K246" s="14">
        <f t="shared" si="37"/>
        <v>16.741800000000001</v>
      </c>
      <c r="L246" s="14">
        <f t="shared" si="38"/>
        <v>0</v>
      </c>
      <c r="M246" s="15">
        <f t="shared" si="39"/>
        <v>16.741800000000001</v>
      </c>
      <c r="N246" s="10" t="s">
        <v>262</v>
      </c>
      <c r="O246" s="10" t="s">
        <v>263</v>
      </c>
      <c r="P246" s="16">
        <f>IF(G246="MFP",Tables!B$2,Tables!B$5)</f>
        <v>2.6200000000000001E-2</v>
      </c>
      <c r="Q246" s="17">
        <f>IF(G246="MFP",Tables!B$3,Tables!B$6)</f>
        <v>0.11799999999999999</v>
      </c>
      <c r="R246" s="18">
        <v>3162</v>
      </c>
      <c r="S246" s="18">
        <v>3801</v>
      </c>
      <c r="T246" s="18">
        <v>0</v>
      </c>
      <c r="U246" s="18">
        <v>0</v>
      </c>
    </row>
    <row r="247" spans="1:55" ht="15.75" outlineLevel="2" x14ac:dyDescent="0.25">
      <c r="A247" s="9" t="s">
        <v>180</v>
      </c>
      <c r="B247" s="9" t="s">
        <v>249</v>
      </c>
      <c r="C247" s="9" t="s">
        <v>246</v>
      </c>
      <c r="D247" s="10" t="s">
        <v>180</v>
      </c>
      <c r="E247" s="11">
        <v>401</v>
      </c>
      <c r="F247" s="10" t="s">
        <v>15</v>
      </c>
      <c r="G247" s="12" t="str">
        <f>VLOOKUP(F247,Tables!D$9:E$17,2,FALSE)</f>
        <v>PTR</v>
      </c>
      <c r="H247" s="60">
        <v>17099641</v>
      </c>
      <c r="I247" s="13">
        <f t="shared" si="35"/>
        <v>132</v>
      </c>
      <c r="J247" s="13">
        <f t="shared" si="36"/>
        <v>0</v>
      </c>
      <c r="K247" s="14">
        <f t="shared" si="37"/>
        <v>3.4584000000000001</v>
      </c>
      <c r="L247" s="14">
        <f t="shared" si="38"/>
        <v>0</v>
      </c>
      <c r="M247" s="15">
        <f t="shared" si="39"/>
        <v>3.4584000000000001</v>
      </c>
      <c r="N247" s="10" t="s">
        <v>273</v>
      </c>
      <c r="O247" s="10" t="s">
        <v>274</v>
      </c>
      <c r="P247" s="16">
        <f>IF(G247="MFP",Tables!B$2,Tables!B$5)</f>
        <v>2.6200000000000001E-2</v>
      </c>
      <c r="Q247" s="17">
        <f>IF(G247="MFP",Tables!B$3,Tables!B$6)</f>
        <v>0.11799999999999999</v>
      </c>
      <c r="R247" s="18">
        <v>299</v>
      </c>
      <c r="S247" s="18">
        <v>431</v>
      </c>
      <c r="T247" s="18">
        <v>0</v>
      </c>
      <c r="U247" s="18">
        <v>0</v>
      </c>
    </row>
    <row r="248" spans="1:55" ht="15.75" outlineLevel="2" x14ac:dyDescent="0.25">
      <c r="A248" s="9" t="s">
        <v>180</v>
      </c>
      <c r="B248" s="9" t="s">
        <v>249</v>
      </c>
      <c r="C248" s="9" t="s">
        <v>246</v>
      </c>
      <c r="D248" s="10" t="s">
        <v>180</v>
      </c>
      <c r="E248" s="11">
        <v>500</v>
      </c>
      <c r="F248" s="10" t="s">
        <v>15</v>
      </c>
      <c r="G248" s="12" t="str">
        <f>VLOOKUP(F248,Tables!D$9:E$17,2,FALSE)</f>
        <v>PTR</v>
      </c>
      <c r="H248" s="60">
        <v>17099525</v>
      </c>
      <c r="I248" s="13">
        <f t="shared" si="35"/>
        <v>0</v>
      </c>
      <c r="J248" s="13">
        <f t="shared" si="36"/>
        <v>0</v>
      </c>
      <c r="K248" s="14">
        <f t="shared" si="37"/>
        <v>0</v>
      </c>
      <c r="L248" s="14">
        <f t="shared" si="38"/>
        <v>0</v>
      </c>
      <c r="M248" s="15">
        <f t="shared" si="39"/>
        <v>0</v>
      </c>
      <c r="N248" s="10" t="s">
        <v>256</v>
      </c>
      <c r="O248" s="10" t="s">
        <v>257</v>
      </c>
      <c r="P248" s="16">
        <f>IF(G248="MFP",Tables!B$2,Tables!B$5)</f>
        <v>2.6200000000000001E-2</v>
      </c>
      <c r="Q248" s="17">
        <f>IF(G248="MFP",Tables!B$3,Tables!B$6)</f>
        <v>0.11799999999999999</v>
      </c>
      <c r="R248" s="18">
        <v>0</v>
      </c>
      <c r="S248" s="18">
        <v>0</v>
      </c>
      <c r="T248" s="18">
        <v>0</v>
      </c>
      <c r="U248" s="18">
        <v>0</v>
      </c>
    </row>
    <row r="249" spans="1:55" ht="15.75" outlineLevel="2" x14ac:dyDescent="0.25">
      <c r="A249" s="9" t="s">
        <v>180</v>
      </c>
      <c r="B249" s="9" t="s">
        <v>249</v>
      </c>
      <c r="C249" s="9" t="s">
        <v>246</v>
      </c>
      <c r="D249" s="10" t="s">
        <v>180</v>
      </c>
      <c r="E249" s="11">
        <v>501</v>
      </c>
      <c r="F249" s="10" t="s">
        <v>15</v>
      </c>
      <c r="G249" s="12" t="str">
        <f>VLOOKUP(F249,Tables!D$9:E$17,2,FALSE)</f>
        <v>PTR</v>
      </c>
      <c r="H249" s="60">
        <v>17099523</v>
      </c>
      <c r="I249" s="13">
        <f t="shared" si="35"/>
        <v>3640</v>
      </c>
      <c r="J249" s="13">
        <f t="shared" si="36"/>
        <v>0</v>
      </c>
      <c r="K249" s="14">
        <f t="shared" si="37"/>
        <v>95.368000000000009</v>
      </c>
      <c r="L249" s="14">
        <f t="shared" si="38"/>
        <v>0</v>
      </c>
      <c r="M249" s="15">
        <f t="shared" si="39"/>
        <v>95.368000000000009</v>
      </c>
      <c r="N249" s="10" t="s">
        <v>264</v>
      </c>
      <c r="O249" s="10" t="s">
        <v>265</v>
      </c>
      <c r="P249" s="16">
        <f>IF(G249="MFP",Tables!B$2,Tables!B$5)</f>
        <v>2.6200000000000001E-2</v>
      </c>
      <c r="Q249" s="17">
        <f>IF(G249="MFP",Tables!B$3,Tables!B$6)</f>
        <v>0.11799999999999999</v>
      </c>
      <c r="R249" s="18">
        <v>35009</v>
      </c>
      <c r="S249" s="18">
        <v>38649</v>
      </c>
      <c r="T249" s="18">
        <v>0</v>
      </c>
      <c r="U249" s="18">
        <v>0</v>
      </c>
    </row>
    <row r="250" spans="1:55" ht="15.75" outlineLevel="2" x14ac:dyDescent="0.25">
      <c r="A250" s="9" t="s">
        <v>180</v>
      </c>
      <c r="B250" s="9" t="s">
        <v>249</v>
      </c>
      <c r="C250" s="9" t="s">
        <v>246</v>
      </c>
      <c r="D250" s="10" t="s">
        <v>180</v>
      </c>
      <c r="E250" s="11">
        <v>502</v>
      </c>
      <c r="F250" s="10" t="s">
        <v>15</v>
      </c>
      <c r="G250" s="12" t="str">
        <f>VLOOKUP(F250,Tables!D$9:E$17,2,FALSE)</f>
        <v>PTR</v>
      </c>
      <c r="H250" s="60">
        <v>17099524</v>
      </c>
      <c r="I250" s="13">
        <f t="shared" si="35"/>
        <v>1287</v>
      </c>
      <c r="J250" s="13">
        <f t="shared" si="36"/>
        <v>0</v>
      </c>
      <c r="K250" s="14">
        <f t="shared" si="37"/>
        <v>33.7194</v>
      </c>
      <c r="L250" s="14">
        <f t="shared" si="38"/>
        <v>0</v>
      </c>
      <c r="M250" s="15">
        <f t="shared" si="39"/>
        <v>33.7194</v>
      </c>
      <c r="N250" s="10" t="s">
        <v>260</v>
      </c>
      <c r="O250" s="10" t="s">
        <v>261</v>
      </c>
      <c r="P250" s="16">
        <f>IF(G250="MFP",Tables!B$2,Tables!B$5)</f>
        <v>2.6200000000000001E-2</v>
      </c>
      <c r="Q250" s="17">
        <f>IF(G250="MFP",Tables!B$3,Tables!B$6)</f>
        <v>0.11799999999999999</v>
      </c>
      <c r="R250" s="18">
        <v>5526</v>
      </c>
      <c r="S250" s="18">
        <v>6813</v>
      </c>
      <c r="T250" s="18">
        <v>0</v>
      </c>
      <c r="U250" s="18">
        <v>0</v>
      </c>
    </row>
    <row r="251" spans="1:55" ht="15.75" outlineLevel="2" x14ac:dyDescent="0.25">
      <c r="A251" s="9" t="s">
        <v>180</v>
      </c>
      <c r="B251" s="9" t="s">
        <v>249</v>
      </c>
      <c r="C251" s="9" t="s">
        <v>246</v>
      </c>
      <c r="D251" s="10" t="s">
        <v>180</v>
      </c>
      <c r="E251" s="11">
        <v>650</v>
      </c>
      <c r="F251" s="10" t="s">
        <v>15</v>
      </c>
      <c r="G251" s="12" t="str">
        <f>VLOOKUP(F251,Tables!D$9:E$17,2,FALSE)</f>
        <v>PTR</v>
      </c>
      <c r="H251" s="60">
        <v>17099445</v>
      </c>
      <c r="I251" s="13">
        <f t="shared" si="35"/>
        <v>1034</v>
      </c>
      <c r="J251" s="13">
        <f t="shared" si="36"/>
        <v>0</v>
      </c>
      <c r="K251" s="14">
        <f t="shared" si="37"/>
        <v>27.090800000000002</v>
      </c>
      <c r="L251" s="14">
        <f t="shared" si="38"/>
        <v>0</v>
      </c>
      <c r="M251" s="15">
        <f t="shared" si="39"/>
        <v>27.090800000000002</v>
      </c>
      <c r="N251" s="10" t="s">
        <v>269</v>
      </c>
      <c r="O251" s="10" t="s">
        <v>270</v>
      </c>
      <c r="P251" s="16">
        <f>IF(G251="MFP",Tables!B$2,Tables!B$5)</f>
        <v>2.6200000000000001E-2</v>
      </c>
      <c r="Q251" s="17">
        <f>IF(G251="MFP",Tables!B$3,Tables!B$6)</f>
        <v>0.11799999999999999</v>
      </c>
      <c r="R251" s="18">
        <v>4044</v>
      </c>
      <c r="S251" s="18">
        <v>5078</v>
      </c>
      <c r="T251" s="18">
        <v>0</v>
      </c>
      <c r="U251" s="18">
        <v>0</v>
      </c>
    </row>
    <row r="252" spans="1:55" ht="15.75" outlineLevel="2" x14ac:dyDescent="0.25">
      <c r="A252" s="9" t="s">
        <v>180</v>
      </c>
      <c r="B252" s="9" t="s">
        <v>249</v>
      </c>
      <c r="C252" s="9" t="s">
        <v>246</v>
      </c>
      <c r="D252" s="10" t="s">
        <v>180</v>
      </c>
      <c r="E252" s="11" t="s">
        <v>266</v>
      </c>
      <c r="F252" s="10" t="s">
        <v>15</v>
      </c>
      <c r="G252" s="12" t="str">
        <f>VLOOKUP(F252,Tables!D$9:E$17,2,FALSE)</f>
        <v>PTR</v>
      </c>
      <c r="H252" s="60">
        <v>17099503</v>
      </c>
      <c r="I252" s="13">
        <f t="shared" si="35"/>
        <v>1930</v>
      </c>
      <c r="J252" s="13">
        <f t="shared" si="36"/>
        <v>0</v>
      </c>
      <c r="K252" s="14">
        <f t="shared" si="37"/>
        <v>50.566000000000003</v>
      </c>
      <c r="L252" s="14">
        <f t="shared" si="38"/>
        <v>0</v>
      </c>
      <c r="M252" s="15">
        <f t="shared" si="39"/>
        <v>50.566000000000003</v>
      </c>
      <c r="N252" s="10" t="s">
        <v>267</v>
      </c>
      <c r="O252" s="10" t="s">
        <v>268</v>
      </c>
      <c r="P252" s="16">
        <f>IF(G252="MFP",Tables!B$2,Tables!B$5)</f>
        <v>2.6200000000000001E-2</v>
      </c>
      <c r="Q252" s="17">
        <f>IF(G252="MFP",Tables!B$3,Tables!B$6)</f>
        <v>0.11799999999999999</v>
      </c>
      <c r="R252" s="18">
        <v>7407</v>
      </c>
      <c r="S252" s="18">
        <v>9337</v>
      </c>
      <c r="T252" s="18">
        <v>0</v>
      </c>
      <c r="U252" s="18">
        <v>0</v>
      </c>
    </row>
    <row r="253" spans="1:55" ht="15.75" outlineLevel="2" x14ac:dyDescent="0.25">
      <c r="A253" s="9" t="s">
        <v>180</v>
      </c>
      <c r="B253" s="9" t="s">
        <v>249</v>
      </c>
      <c r="C253" s="9" t="s">
        <v>246</v>
      </c>
      <c r="D253" s="10" t="s">
        <v>180</v>
      </c>
      <c r="E253" s="11" t="s">
        <v>250</v>
      </c>
      <c r="F253" s="10" t="s">
        <v>54</v>
      </c>
      <c r="G253" s="12" t="str">
        <f>VLOOKUP(F253,Tables!D$9:E$17,2,FALSE)</f>
        <v>MFP</v>
      </c>
      <c r="H253" s="60">
        <v>17099487</v>
      </c>
      <c r="I253" s="13">
        <f t="shared" si="35"/>
        <v>162</v>
      </c>
      <c r="J253" s="13">
        <f t="shared" si="36"/>
        <v>1</v>
      </c>
      <c r="K253" s="14">
        <f t="shared" si="37"/>
        <v>3.3534000000000002</v>
      </c>
      <c r="L253" s="14">
        <f t="shared" si="38"/>
        <v>8.6999999999999994E-2</v>
      </c>
      <c r="M253" s="15">
        <f t="shared" si="39"/>
        <v>3.4404000000000003</v>
      </c>
      <c r="N253" s="10" t="s">
        <v>251</v>
      </c>
      <c r="O253" s="10" t="s">
        <v>252</v>
      </c>
      <c r="P253" s="16">
        <f>IF(G253="MFP",Tables!B$2,Tables!B$5)</f>
        <v>2.07E-2</v>
      </c>
      <c r="Q253" s="17">
        <f>IF(G253="MFP",Tables!B$3,Tables!B$6)</f>
        <v>8.6999999999999994E-2</v>
      </c>
      <c r="R253" s="18">
        <v>928</v>
      </c>
      <c r="S253" s="18">
        <v>1090</v>
      </c>
      <c r="T253" s="18">
        <v>44</v>
      </c>
      <c r="U253" s="18">
        <v>45</v>
      </c>
    </row>
    <row r="254" spans="1:55" ht="15.75" outlineLevel="2" x14ac:dyDescent="0.25">
      <c r="A254" s="9" t="s">
        <v>180</v>
      </c>
      <c r="B254" s="9" t="s">
        <v>249</v>
      </c>
      <c r="C254" s="9" t="s">
        <v>246</v>
      </c>
      <c r="D254" s="10" t="s">
        <v>180</v>
      </c>
      <c r="E254" s="11" t="s">
        <v>253</v>
      </c>
      <c r="F254" s="10" t="s">
        <v>54</v>
      </c>
      <c r="G254" s="12" t="str">
        <f>VLOOKUP(F254,Tables!D$9:E$17,2,FALSE)</f>
        <v>MFP</v>
      </c>
      <c r="H254" s="60">
        <v>17099432</v>
      </c>
      <c r="I254" s="13">
        <f t="shared" si="35"/>
        <v>2428</v>
      </c>
      <c r="J254" s="13">
        <f t="shared" si="36"/>
        <v>531</v>
      </c>
      <c r="K254" s="14">
        <f t="shared" si="37"/>
        <v>50.259599999999999</v>
      </c>
      <c r="L254" s="14">
        <f t="shared" si="38"/>
        <v>46.196999999999996</v>
      </c>
      <c r="M254" s="15">
        <f t="shared" si="39"/>
        <v>96.456599999999995</v>
      </c>
      <c r="N254" s="10" t="s">
        <v>254</v>
      </c>
      <c r="O254" s="10" t="s">
        <v>255</v>
      </c>
      <c r="P254" s="16">
        <f>IF(G254="MFP",Tables!B$2,Tables!B$5)</f>
        <v>2.07E-2</v>
      </c>
      <c r="Q254" s="17">
        <f>IF(G254="MFP",Tables!B$3,Tables!B$6)</f>
        <v>8.6999999999999994E-2</v>
      </c>
      <c r="R254" s="18">
        <v>15256</v>
      </c>
      <c r="S254" s="18">
        <v>17684</v>
      </c>
      <c r="T254" s="18">
        <v>3229</v>
      </c>
      <c r="U254" s="18">
        <v>3760</v>
      </c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</row>
    <row r="255" spans="1:55" ht="15.75" outlineLevel="2" x14ac:dyDescent="0.25">
      <c r="A255" s="9" t="s">
        <v>180</v>
      </c>
      <c r="B255" s="9" t="s">
        <v>440</v>
      </c>
      <c r="C255" s="9" t="s">
        <v>441</v>
      </c>
      <c r="D255" s="10" t="s">
        <v>180</v>
      </c>
      <c r="E255" s="11">
        <v>503</v>
      </c>
      <c r="F255" s="10" t="s">
        <v>15</v>
      </c>
      <c r="G255" s="12" t="str">
        <f>VLOOKUP(F255,Tables!D$9:E$17,2,FALSE)</f>
        <v>PTR</v>
      </c>
      <c r="H255" s="60">
        <v>17099631</v>
      </c>
      <c r="I255" s="13">
        <f>SUM(S255-R255)</f>
        <v>7949</v>
      </c>
      <c r="J255" s="13">
        <f>SUM(U255-T255)</f>
        <v>0</v>
      </c>
      <c r="K255" s="14">
        <f>SUM(I255*$P255)</f>
        <v>208.2638</v>
      </c>
      <c r="L255" s="14">
        <f>SUM(J255*$Q255)</f>
        <v>0</v>
      </c>
      <c r="M255" s="15">
        <f>K255+L255</f>
        <v>208.2638</v>
      </c>
      <c r="N255" s="10" t="s">
        <v>489</v>
      </c>
      <c r="O255" s="10" t="s">
        <v>490</v>
      </c>
      <c r="P255" s="16">
        <f>IF(G255="MFP",Tables!B$2,Tables!B$5)</f>
        <v>2.6200000000000001E-2</v>
      </c>
      <c r="Q255" s="17">
        <f>IF(G255="MFP",Tables!B$3,Tables!B$6)</f>
        <v>0.11799999999999999</v>
      </c>
      <c r="R255" s="18">
        <v>31520</v>
      </c>
      <c r="S255" s="18">
        <v>39469</v>
      </c>
      <c r="T255" s="18">
        <v>0</v>
      </c>
      <c r="U255" s="18">
        <v>0</v>
      </c>
    </row>
    <row r="256" spans="1:55" ht="15.75" outlineLevel="2" x14ac:dyDescent="0.25">
      <c r="A256" s="9" t="s">
        <v>180</v>
      </c>
      <c r="B256" s="9" t="s">
        <v>440</v>
      </c>
      <c r="C256" s="9" t="s">
        <v>441</v>
      </c>
      <c r="D256" s="10" t="s">
        <v>180</v>
      </c>
      <c r="E256" s="11">
        <v>601</v>
      </c>
      <c r="F256" s="10" t="s">
        <v>15</v>
      </c>
      <c r="G256" s="12" t="str">
        <f>VLOOKUP(F256,Tables!D$9:E$17,2,FALSE)</f>
        <v>PTR</v>
      </c>
      <c r="H256" s="60">
        <v>17099706</v>
      </c>
      <c r="I256" s="13">
        <f>SUM(S256-R256)</f>
        <v>2843</v>
      </c>
      <c r="J256" s="13">
        <f>SUM(U256-T256)</f>
        <v>0</v>
      </c>
      <c r="K256" s="14">
        <f>SUM(I256*$P256)</f>
        <v>74.48660000000001</v>
      </c>
      <c r="L256" s="14">
        <f>SUM(J256*$Q256)</f>
        <v>0</v>
      </c>
      <c r="M256" s="15">
        <f>K256+L256</f>
        <v>74.48660000000001</v>
      </c>
      <c r="N256" s="10" t="s">
        <v>487</v>
      </c>
      <c r="O256" s="10" t="s">
        <v>488</v>
      </c>
      <c r="P256" s="16">
        <f>IF(G256="MFP",Tables!B$2,Tables!B$5)</f>
        <v>2.6200000000000001E-2</v>
      </c>
      <c r="Q256" s="17">
        <f>IF(G256="MFP",Tables!B$3,Tables!B$6)</f>
        <v>0.11799999999999999</v>
      </c>
      <c r="R256" s="18">
        <v>9040</v>
      </c>
      <c r="S256" s="18">
        <v>11883</v>
      </c>
      <c r="T256" s="18">
        <v>0</v>
      </c>
      <c r="U256" s="18">
        <v>0</v>
      </c>
    </row>
    <row r="257" spans="1:55" outlineLevel="1" x14ac:dyDescent="0.3">
      <c r="A257" s="19" t="s">
        <v>830</v>
      </c>
      <c r="B257" s="110"/>
      <c r="C257" s="110"/>
      <c r="D257" s="10"/>
      <c r="E257" s="11"/>
      <c r="F257" s="10"/>
      <c r="G257" s="12"/>
      <c r="H257" s="60"/>
      <c r="I257" s="13"/>
      <c r="J257" s="13"/>
      <c r="K257" s="106"/>
      <c r="L257" s="106"/>
      <c r="M257" s="15">
        <f>SUBTOTAL(9,M243:M256)</f>
        <v>647.39840000000004</v>
      </c>
      <c r="N257" s="10"/>
      <c r="O257" s="10"/>
      <c r="P257" s="16"/>
      <c r="Q257" s="17"/>
      <c r="R257" s="18"/>
      <c r="S257" s="18"/>
      <c r="T257" s="18"/>
      <c r="U257" s="18"/>
      <c r="BC257" s="65">
        <f>SUBTOTAL(9,BC243:BC256)</f>
        <v>0</v>
      </c>
    </row>
    <row r="258" spans="1:55" ht="15.75" outlineLevel="2" x14ac:dyDescent="0.25">
      <c r="A258" s="9" t="s">
        <v>497</v>
      </c>
      <c r="B258" s="9" t="s">
        <v>498</v>
      </c>
      <c r="C258" s="9" t="s">
        <v>497</v>
      </c>
      <c r="D258" s="10" t="s">
        <v>691</v>
      </c>
      <c r="E258" s="11">
        <v>301</v>
      </c>
      <c r="F258" s="10" t="s">
        <v>15</v>
      </c>
      <c r="G258" s="12" t="str">
        <f>VLOOKUP(F258,Tables!D$9:E$17,2,FALSE)</f>
        <v>PTR</v>
      </c>
      <c r="H258" s="60">
        <v>17099422</v>
      </c>
      <c r="I258" s="13">
        <f>SUM(S258-R258)</f>
        <v>563</v>
      </c>
      <c r="J258" s="13">
        <f>SUM(U258-T258)</f>
        <v>0</v>
      </c>
      <c r="K258" s="14">
        <f>SUM(I258*$P258)</f>
        <v>14.7506</v>
      </c>
      <c r="L258" s="14">
        <f>SUM(J258*$Q258)</f>
        <v>0</v>
      </c>
      <c r="M258" s="15">
        <f>K258+L258</f>
        <v>14.7506</v>
      </c>
      <c r="N258" s="10" t="s">
        <v>499</v>
      </c>
      <c r="O258" s="10" t="s">
        <v>500</v>
      </c>
      <c r="P258" s="16">
        <f>IF(G258="MFP",Tables!B$2,Tables!B$5)</f>
        <v>2.6200000000000001E-2</v>
      </c>
      <c r="Q258" s="17">
        <f>IF(G258="MFP",Tables!B$3,Tables!B$6)</f>
        <v>0.11799999999999999</v>
      </c>
      <c r="R258" s="18">
        <v>1746</v>
      </c>
      <c r="S258" s="18">
        <v>2309</v>
      </c>
      <c r="T258" s="18">
        <v>0</v>
      </c>
      <c r="U258" s="18">
        <v>0</v>
      </c>
    </row>
    <row r="259" spans="1:55" outlineLevel="1" x14ac:dyDescent="0.3">
      <c r="A259" s="19" t="s">
        <v>831</v>
      </c>
      <c r="B259" s="110"/>
      <c r="C259" s="110"/>
      <c r="D259" s="10"/>
      <c r="E259" s="11"/>
      <c r="F259" s="10"/>
      <c r="G259" s="12"/>
      <c r="H259" s="60"/>
      <c r="I259" s="13"/>
      <c r="J259" s="13"/>
      <c r="K259" s="106"/>
      <c r="L259" s="106"/>
      <c r="M259" s="15">
        <f>SUBTOTAL(9,M258:M258)</f>
        <v>14.7506</v>
      </c>
      <c r="N259" s="10"/>
      <c r="O259" s="10"/>
      <c r="P259" s="16"/>
      <c r="Q259" s="17"/>
      <c r="R259" s="18"/>
      <c r="S259" s="18"/>
      <c r="T259" s="18"/>
      <c r="U259" s="18"/>
      <c r="BC259" s="65">
        <f>SUBTOTAL(9,BC258:BC258)</f>
        <v>0</v>
      </c>
    </row>
    <row r="260" spans="1:55" ht="15.75" outlineLevel="2" x14ac:dyDescent="0.25">
      <c r="A260" s="9" t="s">
        <v>229</v>
      </c>
      <c r="B260" s="9" t="s">
        <v>228</v>
      </c>
      <c r="C260" s="9" t="s">
        <v>229</v>
      </c>
      <c r="D260" s="10" t="s">
        <v>230</v>
      </c>
      <c r="E260" s="11">
        <v>403</v>
      </c>
      <c r="F260" s="10" t="s">
        <v>84</v>
      </c>
      <c r="G260" s="12" t="str">
        <f>VLOOKUP(F260,Tables!D$9:E$17,2,FALSE)</f>
        <v>MFP</v>
      </c>
      <c r="H260" s="60">
        <v>17099452</v>
      </c>
      <c r="I260" s="13">
        <f>SUM(S260-R260)</f>
        <v>12764</v>
      </c>
      <c r="J260" s="13">
        <f>SUM(U260-T260)</f>
        <v>392</v>
      </c>
      <c r="K260" s="14">
        <f>SUM(I260*$P260)</f>
        <v>264.21479999999997</v>
      </c>
      <c r="L260" s="14">
        <f>SUM(J260*$Q260)</f>
        <v>34.103999999999999</v>
      </c>
      <c r="M260" s="15">
        <f>K260+L260</f>
        <v>298.31879999999995</v>
      </c>
      <c r="N260" s="10" t="s">
        <v>231</v>
      </c>
      <c r="O260" s="10" t="s">
        <v>232</v>
      </c>
      <c r="P260" s="16">
        <f>IF(G260="MFP",Tables!B$2,Tables!B$5)</f>
        <v>2.07E-2</v>
      </c>
      <c r="Q260" s="17">
        <f>IF(G260="MFP",Tables!B$3,Tables!B$6)</f>
        <v>8.6999999999999994E-2</v>
      </c>
      <c r="R260" s="18">
        <v>44785</v>
      </c>
      <c r="S260" s="18">
        <v>57549</v>
      </c>
      <c r="T260" s="18">
        <v>1824</v>
      </c>
      <c r="U260" s="18">
        <v>2216</v>
      </c>
    </row>
    <row r="261" spans="1:55" ht="15.75" outlineLevel="2" x14ac:dyDescent="0.25">
      <c r="A261" s="9" t="s">
        <v>229</v>
      </c>
      <c r="B261" s="9" t="s">
        <v>228</v>
      </c>
      <c r="C261" s="9" t="s">
        <v>229</v>
      </c>
      <c r="D261" s="10" t="s">
        <v>230</v>
      </c>
      <c r="E261" s="11">
        <v>406</v>
      </c>
      <c r="F261" s="10" t="s">
        <v>15</v>
      </c>
      <c r="G261" s="12" t="str">
        <f>VLOOKUP(F261,Tables!D$9:E$17,2,FALSE)</f>
        <v>PTR</v>
      </c>
      <c r="H261" s="60">
        <v>17099571</v>
      </c>
      <c r="I261" s="13">
        <f>SUM(S261-R261)</f>
        <v>0</v>
      </c>
      <c r="J261" s="13">
        <f>SUM(U261-T261)</f>
        <v>0</v>
      </c>
      <c r="K261" s="14">
        <f>SUM(I261*$P261)</f>
        <v>0</v>
      </c>
      <c r="L261" s="14">
        <f>SUM(J261*$Q261)</f>
        <v>0</v>
      </c>
      <c r="M261" s="15">
        <f>K261+L261</f>
        <v>0</v>
      </c>
      <c r="N261" s="10" t="s">
        <v>233</v>
      </c>
      <c r="O261" s="10" t="s">
        <v>234</v>
      </c>
      <c r="P261" s="16">
        <f>IF(G261="MFP",Tables!B$2,Tables!B$5)</f>
        <v>2.6200000000000001E-2</v>
      </c>
      <c r="Q261" s="17">
        <f>IF(G261="MFP",Tables!B$3,Tables!B$6)</f>
        <v>0.11799999999999999</v>
      </c>
      <c r="R261" s="18">
        <v>149</v>
      </c>
      <c r="S261" s="18">
        <v>149</v>
      </c>
      <c r="T261" s="18">
        <v>0</v>
      </c>
      <c r="U261" s="18">
        <v>0</v>
      </c>
    </row>
    <row r="262" spans="1:55" ht="15.75" outlineLevel="2" x14ac:dyDescent="0.25">
      <c r="A262" s="9" t="s">
        <v>229</v>
      </c>
      <c r="B262" s="9" t="s">
        <v>228</v>
      </c>
      <c r="C262" s="9" t="s">
        <v>229</v>
      </c>
      <c r="D262" s="10" t="s">
        <v>230</v>
      </c>
      <c r="E262" s="11">
        <v>411</v>
      </c>
      <c r="F262" s="10" t="s">
        <v>15</v>
      </c>
      <c r="G262" s="12" t="str">
        <f>VLOOKUP(F262,Tables!D$9:E$17,2,FALSE)</f>
        <v>PTR</v>
      </c>
      <c r="H262" s="60">
        <v>17099757</v>
      </c>
      <c r="I262" s="13">
        <f>SUM(S262-R262)</f>
        <v>177</v>
      </c>
      <c r="J262" s="13">
        <f>SUM(U262-T262)</f>
        <v>0</v>
      </c>
      <c r="K262" s="14">
        <f>SUM(I262*$P262)</f>
        <v>4.6374000000000004</v>
      </c>
      <c r="L262" s="14">
        <f>SUM(J262*$Q262)</f>
        <v>0</v>
      </c>
      <c r="M262" s="15">
        <f>K262+L262</f>
        <v>4.6374000000000004</v>
      </c>
      <c r="N262" s="10" t="s">
        <v>235</v>
      </c>
      <c r="O262" s="10" t="s">
        <v>236</v>
      </c>
      <c r="P262" s="16">
        <f>IF(G262="MFP",Tables!B$2,Tables!B$5)</f>
        <v>2.6200000000000001E-2</v>
      </c>
      <c r="Q262" s="17">
        <f>IF(G262="MFP",Tables!B$3,Tables!B$6)</f>
        <v>0.11799999999999999</v>
      </c>
      <c r="R262" s="18">
        <v>2058</v>
      </c>
      <c r="S262" s="18">
        <v>2235</v>
      </c>
      <c r="T262" s="18">
        <v>0</v>
      </c>
      <c r="U262" s="18">
        <v>0</v>
      </c>
    </row>
    <row r="263" spans="1:55" ht="15.75" outlineLevel="2" x14ac:dyDescent="0.25">
      <c r="A263" s="110" t="s">
        <v>229</v>
      </c>
      <c r="B263" s="9" t="s">
        <v>228</v>
      </c>
      <c r="C263" s="9" t="s">
        <v>229</v>
      </c>
      <c r="D263" s="10" t="s">
        <v>230</v>
      </c>
      <c r="E263" s="11">
        <v>414</v>
      </c>
      <c r="F263" s="10" t="s">
        <v>15</v>
      </c>
      <c r="G263" s="12" t="str">
        <f>VLOOKUP(F263,Tables!D$9:E$17,2,FALSE)</f>
        <v>PTR</v>
      </c>
      <c r="H263" s="60">
        <v>17099585</v>
      </c>
      <c r="I263" s="13">
        <f>SUM(S263-R263)</f>
        <v>752</v>
      </c>
      <c r="J263" s="13">
        <f>SUM(U263-T263)</f>
        <v>0</v>
      </c>
      <c r="K263" s="14">
        <f>SUM(I263*$P263)</f>
        <v>19.702400000000001</v>
      </c>
      <c r="L263" s="14">
        <f>SUM(J263*$Q263)</f>
        <v>0</v>
      </c>
      <c r="M263" s="15">
        <f>K263+L263</f>
        <v>19.702400000000001</v>
      </c>
      <c r="N263" s="10" t="s">
        <v>237</v>
      </c>
      <c r="O263" s="10" t="s">
        <v>238</v>
      </c>
      <c r="P263" s="16">
        <f>IF(G263="MFP",Tables!B$2,Tables!B$5)</f>
        <v>2.6200000000000001E-2</v>
      </c>
      <c r="Q263" s="17">
        <f>IF(G263="MFP",Tables!B$3,Tables!B$6)</f>
        <v>0.11799999999999999</v>
      </c>
      <c r="R263" s="18">
        <v>2264</v>
      </c>
      <c r="S263" s="18">
        <v>3016</v>
      </c>
      <c r="T263" s="18">
        <v>0</v>
      </c>
      <c r="U263" s="18">
        <v>0</v>
      </c>
    </row>
    <row r="264" spans="1:55" outlineLevel="1" x14ac:dyDescent="0.3">
      <c r="A264" s="19" t="s">
        <v>832</v>
      </c>
      <c r="B264" s="110"/>
      <c r="C264" s="110"/>
      <c r="D264" s="10"/>
      <c r="E264" s="11"/>
      <c r="F264" s="10"/>
      <c r="G264" s="12"/>
      <c r="H264" s="60"/>
      <c r="I264" s="13"/>
      <c r="J264" s="13"/>
      <c r="K264" s="106"/>
      <c r="L264" s="106"/>
      <c r="M264" s="15">
        <f>SUBTOTAL(9,M260:M263)</f>
        <v>322.65859999999998</v>
      </c>
      <c r="N264" s="10"/>
      <c r="O264" s="10"/>
      <c r="P264" s="16"/>
      <c r="Q264" s="17"/>
      <c r="R264" s="18"/>
      <c r="S264" s="18"/>
      <c r="T264" s="18"/>
      <c r="U264" s="18"/>
      <c r="BC264" s="65">
        <f>SUBTOTAL(9,BC260:BC263)</f>
        <v>0</v>
      </c>
    </row>
    <row r="265" spans="1:55" ht="15.75" outlineLevel="2" x14ac:dyDescent="0.25">
      <c r="A265" s="9" t="s">
        <v>421</v>
      </c>
      <c r="B265" s="9" t="s">
        <v>422</v>
      </c>
      <c r="C265" s="9" t="s">
        <v>423</v>
      </c>
      <c r="D265" s="10" t="s">
        <v>287</v>
      </c>
      <c r="E265" s="11">
        <v>314</v>
      </c>
      <c r="F265" s="10" t="s">
        <v>424</v>
      </c>
      <c r="G265" s="12" t="str">
        <f>VLOOKUP(F265,Tables!D$9:E$17,2,FALSE)</f>
        <v>MFP</v>
      </c>
      <c r="H265" s="60">
        <v>17099500</v>
      </c>
      <c r="I265" s="13">
        <f>SUM(S265-R265)</f>
        <v>1601</v>
      </c>
      <c r="J265" s="13">
        <f>SUM(U265-T265)</f>
        <v>0</v>
      </c>
      <c r="K265" s="14">
        <f>SUM(I265*$P265)</f>
        <v>33.140700000000002</v>
      </c>
      <c r="L265" s="14">
        <f>SUM(J265*$Q265)</f>
        <v>0</v>
      </c>
      <c r="M265" s="15">
        <f>K265+L265</f>
        <v>33.140700000000002</v>
      </c>
      <c r="N265" s="10" t="s">
        <v>425</v>
      </c>
      <c r="O265" s="10" t="s">
        <v>426</v>
      </c>
      <c r="P265" s="16">
        <f>IF(G265="MFP",Tables!B$2,Tables!B$5)</f>
        <v>2.07E-2</v>
      </c>
      <c r="Q265" s="17">
        <f>IF(G265="MFP",Tables!B$3,Tables!B$6)</f>
        <v>8.6999999999999994E-2</v>
      </c>
      <c r="R265" s="18">
        <v>5839</v>
      </c>
      <c r="S265" s="18">
        <v>7440</v>
      </c>
      <c r="T265" s="18">
        <v>0</v>
      </c>
      <c r="U265" s="18">
        <v>0</v>
      </c>
    </row>
    <row r="266" spans="1:55" outlineLevel="1" x14ac:dyDescent="0.3">
      <c r="A266" s="19" t="s">
        <v>833</v>
      </c>
      <c r="B266" s="110"/>
      <c r="C266" s="110"/>
      <c r="D266" s="10"/>
      <c r="E266" s="11"/>
      <c r="F266" s="10"/>
      <c r="G266" s="12"/>
      <c r="H266" s="60"/>
      <c r="I266" s="13"/>
      <c r="J266" s="13"/>
      <c r="K266" s="106"/>
      <c r="L266" s="106"/>
      <c r="M266" s="15">
        <f>SUBTOTAL(9,M265:M265)</f>
        <v>33.140700000000002</v>
      </c>
      <c r="N266" s="10"/>
      <c r="O266" s="10"/>
      <c r="P266" s="16"/>
      <c r="Q266" s="17"/>
      <c r="R266" s="18"/>
      <c r="S266" s="18"/>
      <c r="T266" s="18"/>
      <c r="U266" s="18"/>
      <c r="BC266" s="65">
        <f>SUBTOTAL(9,BC265:BC265)</f>
        <v>0</v>
      </c>
    </row>
    <row r="267" spans="1:55" ht="15.75" outlineLevel="2" x14ac:dyDescent="0.25">
      <c r="A267" s="9" t="s">
        <v>344</v>
      </c>
      <c r="B267" s="9" t="s">
        <v>345</v>
      </c>
      <c r="C267" s="9" t="s">
        <v>346</v>
      </c>
      <c r="D267" s="10" t="s">
        <v>347</v>
      </c>
      <c r="E267" s="11">
        <v>303</v>
      </c>
      <c r="F267" s="10" t="s">
        <v>15</v>
      </c>
      <c r="G267" s="12" t="str">
        <f>VLOOKUP(F267,Tables!D$9:E$17,2,FALSE)</f>
        <v>PTR</v>
      </c>
      <c r="H267" s="60">
        <v>17099685</v>
      </c>
      <c r="I267" s="13">
        <f>SUM(S267-R267)</f>
        <v>2323</v>
      </c>
      <c r="J267" s="13">
        <f>SUM(U267-T267)</f>
        <v>0</v>
      </c>
      <c r="K267" s="14">
        <f>SUM(I267*$P267)</f>
        <v>60.8626</v>
      </c>
      <c r="L267" s="14">
        <f>SUM(J267*$Q267)</f>
        <v>0</v>
      </c>
      <c r="M267" s="15">
        <f>K267+L267</f>
        <v>60.8626</v>
      </c>
      <c r="N267" s="10" t="s">
        <v>350</v>
      </c>
      <c r="O267" s="10" t="s">
        <v>351</v>
      </c>
      <c r="P267" s="16">
        <f>IF(G267="MFP",Tables!B$2,Tables!B$5)</f>
        <v>2.6200000000000001E-2</v>
      </c>
      <c r="Q267" s="17">
        <f>IF(G267="MFP",Tables!B$3,Tables!B$6)</f>
        <v>0.11799999999999999</v>
      </c>
      <c r="R267" s="18">
        <v>2165</v>
      </c>
      <c r="S267" s="18">
        <v>4488</v>
      </c>
      <c r="T267" s="18">
        <v>0</v>
      </c>
      <c r="U267" s="18">
        <v>0</v>
      </c>
    </row>
    <row r="268" spans="1:55" ht="15.75" outlineLevel="2" x14ac:dyDescent="0.25">
      <c r="A268" s="9" t="s">
        <v>344</v>
      </c>
      <c r="B268" s="9" t="s">
        <v>345</v>
      </c>
      <c r="C268" s="9" t="s">
        <v>346</v>
      </c>
      <c r="D268" s="10" t="s">
        <v>347</v>
      </c>
      <c r="E268" s="11">
        <v>303</v>
      </c>
      <c r="F268" s="10" t="s">
        <v>15</v>
      </c>
      <c r="G268" s="12" t="str">
        <f>VLOOKUP(F268,Tables!D$9:E$17,2,FALSE)</f>
        <v>PTR</v>
      </c>
      <c r="H268" s="60">
        <v>17099700</v>
      </c>
      <c r="I268" s="13">
        <f>SUM(S268-R268)</f>
        <v>3136</v>
      </c>
      <c r="J268" s="13">
        <f>SUM(U268-T268)</f>
        <v>0</v>
      </c>
      <c r="K268" s="14">
        <f>SUM(I268*$P268)</f>
        <v>82.163200000000003</v>
      </c>
      <c r="L268" s="14">
        <f>SUM(J268*$Q268)</f>
        <v>0</v>
      </c>
      <c r="M268" s="15">
        <f>K268+L268</f>
        <v>82.163200000000003</v>
      </c>
      <c r="N268" s="10" t="s">
        <v>352</v>
      </c>
      <c r="O268" s="10" t="s">
        <v>353</v>
      </c>
      <c r="P268" s="16">
        <f>IF(G268="MFP",Tables!B$2,Tables!B$5)</f>
        <v>2.6200000000000001E-2</v>
      </c>
      <c r="Q268" s="17">
        <f>IF(G268="MFP",Tables!B$3,Tables!B$6)</f>
        <v>0.11799999999999999</v>
      </c>
      <c r="R268" s="18">
        <v>5977</v>
      </c>
      <c r="S268" s="18">
        <v>9113</v>
      </c>
      <c r="T268" s="18">
        <v>0</v>
      </c>
      <c r="U268" s="18">
        <v>0</v>
      </c>
    </row>
    <row r="269" spans="1:55" ht="15.75" outlineLevel="2" x14ac:dyDescent="0.25">
      <c r="A269" s="9" t="s">
        <v>344</v>
      </c>
      <c r="B269" s="9" t="s">
        <v>345</v>
      </c>
      <c r="C269" s="9" t="s">
        <v>346</v>
      </c>
      <c r="D269" s="10" t="s">
        <v>347</v>
      </c>
      <c r="E269" s="11">
        <v>311</v>
      </c>
      <c r="F269" s="10" t="s">
        <v>15</v>
      </c>
      <c r="G269" s="12" t="str">
        <f>VLOOKUP(F269,Tables!D$9:E$17,2,FALSE)</f>
        <v>PTR</v>
      </c>
      <c r="H269" s="60">
        <v>17099656</v>
      </c>
      <c r="I269" s="13">
        <f>SUM(S269-R269)</f>
        <v>2466</v>
      </c>
      <c r="J269" s="13">
        <f>SUM(U269-T269)</f>
        <v>0</v>
      </c>
      <c r="K269" s="14">
        <f>SUM(I269*$P269)</f>
        <v>64.609200000000001</v>
      </c>
      <c r="L269" s="14">
        <f>SUM(J269*$Q269)</f>
        <v>0</v>
      </c>
      <c r="M269" s="15">
        <f>K269+L269</f>
        <v>64.609200000000001</v>
      </c>
      <c r="N269" s="10" t="s">
        <v>348</v>
      </c>
      <c r="O269" s="10" t="s">
        <v>349</v>
      </c>
      <c r="P269" s="16">
        <f>IF(G269="MFP",Tables!B$2,Tables!B$5)</f>
        <v>2.6200000000000001E-2</v>
      </c>
      <c r="Q269" s="17">
        <f>IF(G269="MFP",Tables!B$3,Tables!B$6)</f>
        <v>0.11799999999999999</v>
      </c>
      <c r="R269" s="18">
        <v>1549</v>
      </c>
      <c r="S269" s="18">
        <v>4015</v>
      </c>
      <c r="T269" s="18">
        <v>0</v>
      </c>
      <c r="U269" s="18">
        <v>0</v>
      </c>
    </row>
    <row r="270" spans="1:55" ht="15.75" outlineLevel="2" x14ac:dyDescent="0.25">
      <c r="A270" s="9" t="s">
        <v>344</v>
      </c>
      <c r="B270" s="9" t="s">
        <v>345</v>
      </c>
      <c r="C270" s="9" t="s">
        <v>346</v>
      </c>
      <c r="D270" s="10" t="s">
        <v>347</v>
      </c>
      <c r="E270" s="11">
        <v>312</v>
      </c>
      <c r="F270" s="10" t="s">
        <v>92</v>
      </c>
      <c r="G270" s="12" t="str">
        <f>VLOOKUP(F270,Tables!D$9:E$17,2,FALSE)</f>
        <v>PTR</v>
      </c>
      <c r="H270" s="60">
        <v>17099646</v>
      </c>
      <c r="I270" s="13">
        <f>SUM(S270-R270)</f>
        <v>973</v>
      </c>
      <c r="J270" s="13">
        <f>SUM(U270-T270)</f>
        <v>83</v>
      </c>
      <c r="K270" s="14">
        <f>SUM(I270*$P270)</f>
        <v>25.492599999999999</v>
      </c>
      <c r="L270" s="14">
        <f>SUM(J270*$Q270)</f>
        <v>9.7939999999999987</v>
      </c>
      <c r="M270" s="15">
        <f>K270+L270</f>
        <v>35.2866</v>
      </c>
      <c r="N270" s="10" t="s">
        <v>357</v>
      </c>
      <c r="O270" s="10" t="s">
        <v>358</v>
      </c>
      <c r="P270" s="16">
        <f>IF(G270="MFP",Tables!B$2,Tables!B$5)</f>
        <v>2.6200000000000001E-2</v>
      </c>
      <c r="Q270" s="17">
        <f>IF(G270="MFP",Tables!B$3,Tables!B$6)</f>
        <v>0.11799999999999999</v>
      </c>
      <c r="R270" s="18">
        <v>2176</v>
      </c>
      <c r="S270" s="18">
        <v>3149</v>
      </c>
      <c r="T270" s="18">
        <v>343</v>
      </c>
      <c r="U270" s="18">
        <v>426</v>
      </c>
    </row>
    <row r="271" spans="1:55" outlineLevel="1" x14ac:dyDescent="0.3">
      <c r="A271" s="19" t="s">
        <v>834</v>
      </c>
      <c r="B271" s="110"/>
      <c r="C271" s="110"/>
      <c r="D271" s="10"/>
      <c r="E271" s="11"/>
      <c r="F271" s="10"/>
      <c r="G271" s="12"/>
      <c r="H271" s="60"/>
      <c r="I271" s="13"/>
      <c r="J271" s="13"/>
      <c r="K271" s="106"/>
      <c r="L271" s="106"/>
      <c r="M271" s="15">
        <f>SUBTOTAL(9,M267:M270)</f>
        <v>242.92159999999998</v>
      </c>
      <c r="N271" s="10"/>
      <c r="O271" s="10"/>
      <c r="P271" s="16"/>
      <c r="Q271" s="17"/>
      <c r="R271" s="18"/>
      <c r="S271" s="18"/>
      <c r="T271" s="18"/>
      <c r="U271" s="18"/>
      <c r="BC271" s="65">
        <f>SUBTOTAL(9,BC267:BC270)</f>
        <v>0</v>
      </c>
    </row>
    <row r="272" spans="1:55" ht="15.75" outlineLevel="2" x14ac:dyDescent="0.25">
      <c r="A272" s="102" t="s">
        <v>680</v>
      </c>
      <c r="B272" s="102" t="s">
        <v>427</v>
      </c>
      <c r="C272" s="102" t="s">
        <v>431</v>
      </c>
      <c r="D272" s="10" t="s">
        <v>98</v>
      </c>
      <c r="E272" s="11">
        <v>512</v>
      </c>
      <c r="F272" s="10" t="s">
        <v>428</v>
      </c>
      <c r="G272" s="12" t="str">
        <f>VLOOKUP(F272,Tables!D$9:E$17,2,FALSE)</f>
        <v>MFP</v>
      </c>
      <c r="H272" s="60">
        <v>17099480</v>
      </c>
      <c r="I272" s="13">
        <f>SUM(S272-R272)</f>
        <v>4608</v>
      </c>
      <c r="J272" s="13">
        <f>SUM(U272-T272)</f>
        <v>0</v>
      </c>
      <c r="K272" s="14">
        <f>SUM(I272*$P272)</f>
        <v>95.385599999999997</v>
      </c>
      <c r="L272" s="14">
        <f>SUM(J272*$Q272)</f>
        <v>0</v>
      </c>
      <c r="M272" s="15">
        <f>K272+L272</f>
        <v>95.385599999999997</v>
      </c>
      <c r="N272" s="10" t="s">
        <v>429</v>
      </c>
      <c r="O272" s="10" t="s">
        <v>430</v>
      </c>
      <c r="P272" s="16">
        <f>IF(G272="MFP",Tables!B$2,Tables!B$5)</f>
        <v>2.07E-2</v>
      </c>
      <c r="Q272" s="17">
        <f>IF(G272="MFP",Tables!B$3,Tables!B$6)</f>
        <v>8.6999999999999994E-2</v>
      </c>
      <c r="R272" s="18">
        <v>13851</v>
      </c>
      <c r="S272" s="18">
        <v>18459</v>
      </c>
      <c r="T272" s="18">
        <v>0</v>
      </c>
      <c r="U272" s="18">
        <v>0</v>
      </c>
    </row>
    <row r="273" spans="1:55" outlineLevel="1" x14ac:dyDescent="0.3">
      <c r="A273" s="103" t="s">
        <v>835</v>
      </c>
      <c r="B273" s="102"/>
      <c r="C273" s="102"/>
      <c r="D273" s="10"/>
      <c r="E273" s="11"/>
      <c r="F273" s="10"/>
      <c r="G273" s="12"/>
      <c r="H273" s="60"/>
      <c r="I273" s="13"/>
      <c r="J273" s="13"/>
      <c r="K273" s="106"/>
      <c r="L273" s="106"/>
      <c r="M273" s="15">
        <f>SUBTOTAL(9,M272:M272)</f>
        <v>95.385599999999997</v>
      </c>
      <c r="N273" s="10"/>
      <c r="O273" s="10"/>
      <c r="P273" s="16"/>
      <c r="Q273" s="17"/>
      <c r="R273" s="18"/>
      <c r="S273" s="18"/>
      <c r="T273" s="18"/>
      <c r="U273" s="18"/>
      <c r="BC273" s="65">
        <f>SUBTOTAL(9,BC272:BC272)</f>
        <v>0</v>
      </c>
    </row>
    <row r="274" spans="1:55" ht="15.75" outlineLevel="2" x14ac:dyDescent="0.25">
      <c r="A274" s="102" t="s">
        <v>287</v>
      </c>
      <c r="B274" s="102" t="s">
        <v>427</v>
      </c>
      <c r="C274" s="102" t="s">
        <v>431</v>
      </c>
      <c r="D274" s="10" t="s">
        <v>287</v>
      </c>
      <c r="E274" s="11">
        <v>208</v>
      </c>
      <c r="F274" s="10" t="s">
        <v>432</v>
      </c>
      <c r="G274" s="12" t="str">
        <f>VLOOKUP(F274,Tables!D$9:E$17,2,FALSE)</f>
        <v>MFP</v>
      </c>
      <c r="H274" s="60">
        <v>17099421</v>
      </c>
      <c r="I274" s="13">
        <f>SUM(S274-R274)</f>
        <v>11651</v>
      </c>
      <c r="J274" s="13">
        <f>SUM(U274-T274)</f>
        <v>10537</v>
      </c>
      <c r="K274" s="14">
        <f>SUM(I274*$P274)</f>
        <v>241.17570000000001</v>
      </c>
      <c r="L274" s="14">
        <f>SUM(J274*$Q274)</f>
        <v>916.71899999999994</v>
      </c>
      <c r="M274" s="15">
        <f>K274+L274</f>
        <v>1157.8946999999998</v>
      </c>
      <c r="N274" s="10" t="s">
        <v>433</v>
      </c>
      <c r="O274" s="10" t="s">
        <v>434</v>
      </c>
      <c r="P274" s="16">
        <f>IF(G274="MFP",Tables!B$2,Tables!B$5)</f>
        <v>2.07E-2</v>
      </c>
      <c r="Q274" s="17">
        <f>IF(G274="MFP",Tables!B$3,Tables!B$6)</f>
        <v>8.6999999999999994E-2</v>
      </c>
      <c r="R274" s="18">
        <v>22350</v>
      </c>
      <c r="S274" s="18">
        <v>34001</v>
      </c>
      <c r="T274" s="18">
        <v>40845</v>
      </c>
      <c r="U274" s="18">
        <v>51382</v>
      </c>
    </row>
    <row r="275" spans="1:55" outlineLevel="1" x14ac:dyDescent="0.3">
      <c r="A275" s="103" t="s">
        <v>836</v>
      </c>
      <c r="B275" s="102"/>
      <c r="C275" s="102"/>
      <c r="D275" s="10"/>
      <c r="E275" s="11"/>
      <c r="F275" s="10"/>
      <c r="G275" s="12"/>
      <c r="H275" s="60"/>
      <c r="I275" s="13"/>
      <c r="J275" s="13"/>
      <c r="K275" s="106"/>
      <c r="L275" s="106"/>
      <c r="M275" s="15">
        <f>SUBTOTAL(9,M274:M274)</f>
        <v>1157.8946999999998</v>
      </c>
      <c r="N275" s="10"/>
      <c r="O275" s="10"/>
      <c r="P275" s="16"/>
      <c r="Q275" s="17"/>
      <c r="R275" s="18"/>
      <c r="S275" s="18"/>
      <c r="T275" s="18"/>
      <c r="U275" s="18"/>
      <c r="BC275" s="65">
        <f>SUBTOTAL(9,BC274:BC274)</f>
        <v>0</v>
      </c>
    </row>
    <row r="276" spans="1:55" ht="15.75" outlineLevel="2" x14ac:dyDescent="0.25">
      <c r="A276" s="9" t="s">
        <v>606</v>
      </c>
      <c r="B276" s="9" t="s">
        <v>637</v>
      </c>
      <c r="C276" s="9" t="s">
        <v>602</v>
      </c>
      <c r="D276" s="10" t="s">
        <v>603</v>
      </c>
      <c r="E276" s="11">
        <v>215</v>
      </c>
      <c r="F276" s="10" t="s">
        <v>15</v>
      </c>
      <c r="G276" s="12" t="str">
        <f>VLOOKUP(F276,Tables!D$9:E$17,2,FALSE)</f>
        <v>PTR</v>
      </c>
      <c r="H276" s="60">
        <v>17099566</v>
      </c>
      <c r="I276" s="13">
        <f>SUM(S276-R276)</f>
        <v>220</v>
      </c>
      <c r="J276" s="13">
        <f>SUM(U276-T276)</f>
        <v>0</v>
      </c>
      <c r="K276" s="14">
        <f>SUM(I276*$P276)</f>
        <v>5.7640000000000002</v>
      </c>
      <c r="L276" s="14">
        <f>SUM(J276*$Q276)</f>
        <v>0</v>
      </c>
      <c r="M276" s="15">
        <f>K276+L276</f>
        <v>5.7640000000000002</v>
      </c>
      <c r="N276" s="10" t="s">
        <v>607</v>
      </c>
      <c r="O276" s="10" t="s">
        <v>608</v>
      </c>
      <c r="P276" s="16">
        <f>IF(G276="MFP",Tables!B$2,Tables!B$5)</f>
        <v>2.6200000000000001E-2</v>
      </c>
      <c r="Q276" s="17">
        <f>IF(G276="MFP",Tables!B$3,Tables!B$6)</f>
        <v>0.11799999999999999</v>
      </c>
      <c r="R276" s="18">
        <v>540</v>
      </c>
      <c r="S276" s="18">
        <v>760</v>
      </c>
      <c r="T276" s="18">
        <v>0</v>
      </c>
      <c r="U276" s="18">
        <v>0</v>
      </c>
    </row>
    <row r="277" spans="1:55" outlineLevel="1" x14ac:dyDescent="0.3">
      <c r="A277" s="19" t="s">
        <v>837</v>
      </c>
      <c r="B277" s="110"/>
      <c r="C277" s="110"/>
      <c r="D277" s="10"/>
      <c r="E277" s="11"/>
      <c r="F277" s="10"/>
      <c r="G277" s="12"/>
      <c r="H277" s="60"/>
      <c r="I277" s="13"/>
      <c r="J277" s="13"/>
      <c r="K277" s="106"/>
      <c r="L277" s="106"/>
      <c r="M277" s="15">
        <f>SUBTOTAL(9,M276:M276)</f>
        <v>5.7640000000000002</v>
      </c>
      <c r="N277" s="10"/>
      <c r="O277" s="10"/>
      <c r="P277" s="16"/>
      <c r="Q277" s="17"/>
      <c r="R277" s="18"/>
      <c r="S277" s="18"/>
      <c r="T277" s="18"/>
      <c r="U277" s="18"/>
      <c r="BC277" s="65">
        <f>SUBTOTAL(9,BC276:BC276)</f>
        <v>0</v>
      </c>
    </row>
    <row r="278" spans="1:55" ht="15.75" outlineLevel="2" x14ac:dyDescent="0.25">
      <c r="A278" s="9" t="s">
        <v>373</v>
      </c>
      <c r="B278" s="9" t="s">
        <v>374</v>
      </c>
      <c r="C278" s="9" t="s">
        <v>373</v>
      </c>
      <c r="D278" s="10" t="s">
        <v>287</v>
      </c>
      <c r="E278" s="11">
        <v>201</v>
      </c>
      <c r="F278" s="10" t="s">
        <v>24</v>
      </c>
      <c r="G278" s="12" t="str">
        <f>VLOOKUP(F278,Tables!D$9:E$17,2,FALSE)</f>
        <v>MFP</v>
      </c>
      <c r="H278" s="60">
        <v>17099498</v>
      </c>
      <c r="I278" s="13">
        <f>SUM(S278-R278)</f>
        <v>2254</v>
      </c>
      <c r="J278" s="13">
        <f>SUM(U278-T278)</f>
        <v>2596</v>
      </c>
      <c r="K278" s="14">
        <f>SUM(I278*$P278)</f>
        <v>46.657800000000002</v>
      </c>
      <c r="L278" s="14">
        <f>SUM(J278*$Q278)</f>
        <v>225.85199999999998</v>
      </c>
      <c r="M278" s="15">
        <f>K278+L278</f>
        <v>272.50979999999998</v>
      </c>
      <c r="N278" s="10" t="s">
        <v>375</v>
      </c>
      <c r="O278" s="10" t="s">
        <v>376</v>
      </c>
      <c r="P278" s="16">
        <f>IF(G278="MFP",Tables!B$2,Tables!B$5)</f>
        <v>2.07E-2</v>
      </c>
      <c r="Q278" s="17">
        <f>IF(G278="MFP",Tables!B$3,Tables!B$6)</f>
        <v>8.6999999999999994E-2</v>
      </c>
      <c r="R278" s="18">
        <v>6833</v>
      </c>
      <c r="S278" s="18">
        <v>9087</v>
      </c>
      <c r="T278" s="18">
        <v>3682</v>
      </c>
      <c r="U278" s="18">
        <v>6278</v>
      </c>
    </row>
    <row r="279" spans="1:55" outlineLevel="1" x14ac:dyDescent="0.3">
      <c r="A279" s="19" t="s">
        <v>838</v>
      </c>
      <c r="B279" s="110"/>
      <c r="C279" s="110"/>
      <c r="D279" s="10"/>
      <c r="E279" s="11"/>
      <c r="F279" s="10"/>
      <c r="G279" s="12"/>
      <c r="H279" s="60"/>
      <c r="I279" s="13"/>
      <c r="J279" s="13"/>
      <c r="K279" s="106"/>
      <c r="L279" s="106"/>
      <c r="M279" s="15">
        <f>SUBTOTAL(9,M278:M278)</f>
        <v>272.50979999999998</v>
      </c>
      <c r="N279" s="10"/>
      <c r="O279" s="10"/>
      <c r="P279" s="16"/>
      <c r="Q279" s="17"/>
      <c r="R279" s="18"/>
      <c r="S279" s="18"/>
      <c r="T279" s="18"/>
      <c r="U279" s="18"/>
      <c r="BC279" s="65">
        <f>SUBTOTAL(9,BC278:BC278)</f>
        <v>0</v>
      </c>
    </row>
    <row r="280" spans="1:55" ht="15.75" outlineLevel="2" x14ac:dyDescent="0.25">
      <c r="A280" s="9" t="s">
        <v>377</v>
      </c>
      <c r="B280" s="9" t="s">
        <v>374</v>
      </c>
      <c r="C280" s="9" t="s">
        <v>373</v>
      </c>
      <c r="D280" s="10" t="s">
        <v>287</v>
      </c>
      <c r="E280" s="11">
        <v>201</v>
      </c>
      <c r="F280" s="10" t="s">
        <v>15</v>
      </c>
      <c r="G280" s="12" t="str">
        <f>VLOOKUP(F280,Tables!D$9:E$17,2,FALSE)</f>
        <v>PTR</v>
      </c>
      <c r="H280" s="60">
        <v>17099784</v>
      </c>
      <c r="I280" s="13">
        <f>SUM(S280-R280)</f>
        <v>261</v>
      </c>
      <c r="J280" s="13">
        <f>SUM(U280-T280)</f>
        <v>0</v>
      </c>
      <c r="K280" s="14">
        <f>SUM(I280*$P280)</f>
        <v>6.8382000000000005</v>
      </c>
      <c r="L280" s="14">
        <f>SUM(J280*$Q280)</f>
        <v>0</v>
      </c>
      <c r="M280" s="15">
        <f>K280+L280</f>
        <v>6.8382000000000005</v>
      </c>
      <c r="N280" s="10" t="s">
        <v>379</v>
      </c>
      <c r="O280" s="10" t="s">
        <v>380</v>
      </c>
      <c r="P280" s="16">
        <f>IF(G280="MFP",Tables!B$2,Tables!B$5)</f>
        <v>2.6200000000000001E-2</v>
      </c>
      <c r="Q280" s="17">
        <f>IF(G280="MFP",Tables!B$3,Tables!B$6)</f>
        <v>0.11799999999999999</v>
      </c>
      <c r="R280" s="18">
        <v>637</v>
      </c>
      <c r="S280" s="18">
        <v>898</v>
      </c>
      <c r="T280" s="18">
        <v>0</v>
      </c>
      <c r="U280" s="18">
        <v>0</v>
      </c>
    </row>
    <row r="281" spans="1:55" ht="15.75" outlineLevel="2" x14ac:dyDescent="0.25">
      <c r="A281" s="9" t="s">
        <v>377</v>
      </c>
      <c r="B281" s="9" t="s">
        <v>374</v>
      </c>
      <c r="C281" s="9" t="s">
        <v>373</v>
      </c>
      <c r="D281" s="10" t="s">
        <v>287</v>
      </c>
      <c r="E281" s="11">
        <v>201</v>
      </c>
      <c r="F281" s="10" t="s">
        <v>15</v>
      </c>
      <c r="G281" s="12" t="str">
        <f>VLOOKUP(F281,Tables!D$9:E$17,2,FALSE)</f>
        <v>PTR</v>
      </c>
      <c r="H281" s="60">
        <v>17099688</v>
      </c>
      <c r="I281" s="13">
        <f>SUM(S281-R281)</f>
        <v>442</v>
      </c>
      <c r="J281" s="13">
        <f>SUM(U281-T281)</f>
        <v>0</v>
      </c>
      <c r="K281" s="14">
        <f>SUM(I281*$P281)</f>
        <v>11.580400000000001</v>
      </c>
      <c r="L281" s="14">
        <f>SUM(J281*$Q281)</f>
        <v>0</v>
      </c>
      <c r="M281" s="15">
        <f>K281+L281</f>
        <v>11.580400000000001</v>
      </c>
      <c r="N281" s="10" t="s">
        <v>381</v>
      </c>
      <c r="O281" s="10" t="s">
        <v>382</v>
      </c>
      <c r="P281" s="16">
        <f>IF(G281="MFP",Tables!B$2,Tables!B$5)</f>
        <v>2.6200000000000001E-2</v>
      </c>
      <c r="Q281" s="17">
        <f>IF(G281="MFP",Tables!B$3,Tables!B$6)</f>
        <v>0.11799999999999999</v>
      </c>
      <c r="R281" s="18">
        <v>1565</v>
      </c>
      <c r="S281" s="18">
        <v>2007</v>
      </c>
      <c r="T281" s="18">
        <v>0</v>
      </c>
      <c r="U281" s="18">
        <v>0</v>
      </c>
    </row>
    <row r="282" spans="1:55" ht="15.75" outlineLevel="2" x14ac:dyDescent="0.25">
      <c r="A282" s="9" t="s">
        <v>377</v>
      </c>
      <c r="B282" s="9" t="s">
        <v>374</v>
      </c>
      <c r="C282" s="9" t="s">
        <v>373</v>
      </c>
      <c r="D282" s="10" t="s">
        <v>287</v>
      </c>
      <c r="E282" s="11">
        <v>201</v>
      </c>
      <c r="F282" s="10" t="s">
        <v>15</v>
      </c>
      <c r="G282" s="12" t="str">
        <f>VLOOKUP(F282,Tables!D$9:E$17,2,FALSE)</f>
        <v>PTR</v>
      </c>
      <c r="H282" s="60">
        <v>17099712</v>
      </c>
      <c r="I282" s="13">
        <f>SUM(S282-R282)</f>
        <v>1576</v>
      </c>
      <c r="J282" s="13">
        <f>SUM(U282-T282)</f>
        <v>0</v>
      </c>
      <c r="K282" s="14">
        <f>SUM(I282*$P282)</f>
        <v>41.291200000000003</v>
      </c>
      <c r="L282" s="14">
        <f>SUM(J282*$Q282)</f>
        <v>0</v>
      </c>
      <c r="M282" s="15">
        <f>K282+L282</f>
        <v>41.291200000000003</v>
      </c>
      <c r="N282" s="10" t="s">
        <v>383</v>
      </c>
      <c r="O282" s="10" t="s">
        <v>384</v>
      </c>
      <c r="P282" s="16">
        <f>IF(G282="MFP",Tables!B$2,Tables!B$5)</f>
        <v>2.6200000000000001E-2</v>
      </c>
      <c r="Q282" s="17">
        <f>IF(G282="MFP",Tables!B$3,Tables!B$6)</f>
        <v>0.11799999999999999</v>
      </c>
      <c r="R282" s="18">
        <v>3495</v>
      </c>
      <c r="S282" s="18">
        <v>5071</v>
      </c>
      <c r="T282" s="18">
        <v>0</v>
      </c>
      <c r="U282" s="18">
        <v>0</v>
      </c>
    </row>
    <row r="283" spans="1:55" ht="15.75" outlineLevel="2" x14ac:dyDescent="0.25">
      <c r="A283" s="9" t="s">
        <v>377</v>
      </c>
      <c r="B283" s="9" t="s">
        <v>374</v>
      </c>
      <c r="C283" s="9" t="s">
        <v>373</v>
      </c>
      <c r="D283" s="10" t="s">
        <v>287</v>
      </c>
      <c r="E283" s="11">
        <v>201</v>
      </c>
      <c r="F283" s="10" t="s">
        <v>15</v>
      </c>
      <c r="G283" s="12" t="str">
        <f>VLOOKUP(F283,Tables!D$9:E$17,2,FALSE)</f>
        <v>PTR</v>
      </c>
      <c r="H283" s="60">
        <v>17099698</v>
      </c>
      <c r="I283" s="13">
        <f>SUM(S283-R283)</f>
        <v>305</v>
      </c>
      <c r="J283" s="13">
        <f>SUM(U283-T283)</f>
        <v>0</v>
      </c>
      <c r="K283" s="14">
        <f>SUM(I283*$P283)</f>
        <v>7.9910000000000005</v>
      </c>
      <c r="L283" s="14">
        <f>SUM(J283*$Q283)</f>
        <v>0</v>
      </c>
      <c r="M283" s="15">
        <f>K283+L283</f>
        <v>7.9910000000000005</v>
      </c>
      <c r="N283" s="10" t="s">
        <v>385</v>
      </c>
      <c r="O283" s="10" t="s">
        <v>386</v>
      </c>
      <c r="P283" s="16">
        <f>IF(G283="MFP",Tables!B$2,Tables!B$5)</f>
        <v>2.6200000000000001E-2</v>
      </c>
      <c r="Q283" s="17">
        <f>IF(G283="MFP",Tables!B$3,Tables!B$6)</f>
        <v>0.11799999999999999</v>
      </c>
      <c r="R283" s="18">
        <v>316</v>
      </c>
      <c r="S283" s="18">
        <v>621</v>
      </c>
      <c r="T283" s="18">
        <v>0</v>
      </c>
      <c r="U283" s="18">
        <v>0</v>
      </c>
    </row>
    <row r="284" spans="1:55" outlineLevel="1" x14ac:dyDescent="0.3">
      <c r="A284" s="19" t="s">
        <v>839</v>
      </c>
      <c r="B284" s="110"/>
      <c r="C284" s="110"/>
      <c r="D284" s="10"/>
      <c r="E284" s="11"/>
      <c r="F284" s="10"/>
      <c r="G284" s="12"/>
      <c r="H284" s="60"/>
      <c r="I284" s="13"/>
      <c r="J284" s="13"/>
      <c r="K284" s="106"/>
      <c r="L284" s="106"/>
      <c r="M284" s="15">
        <f>SUBTOTAL(9,M280:M283)</f>
        <v>67.700800000000001</v>
      </c>
      <c r="N284" s="10"/>
      <c r="O284" s="10"/>
      <c r="P284" s="16"/>
      <c r="Q284" s="17"/>
      <c r="R284" s="18"/>
      <c r="S284" s="18"/>
      <c r="T284" s="18"/>
      <c r="U284" s="18"/>
      <c r="BC284" s="65">
        <f>SUBTOTAL(9,BC280:BC283)</f>
        <v>0</v>
      </c>
    </row>
    <row r="285" spans="1:55" ht="15.75" outlineLevel="2" x14ac:dyDescent="0.25">
      <c r="A285" s="9" t="s">
        <v>387</v>
      </c>
      <c r="B285" s="9" t="s">
        <v>767</v>
      </c>
      <c r="C285" s="110" t="s">
        <v>387</v>
      </c>
      <c r="D285" s="10" t="s">
        <v>287</v>
      </c>
      <c r="E285" s="11">
        <v>305</v>
      </c>
      <c r="F285" s="10" t="s">
        <v>15</v>
      </c>
      <c r="G285" s="12" t="str">
        <f>VLOOKUP(F285,Tables!D$9:E$17,2,FALSE)</f>
        <v>PTR</v>
      </c>
      <c r="H285" s="60">
        <v>17099710</v>
      </c>
      <c r="I285" s="13">
        <f>SUM(S285-R285)</f>
        <v>943</v>
      </c>
      <c r="J285" s="13">
        <f>SUM(U285-T285)</f>
        <v>0</v>
      </c>
      <c r="K285" s="14">
        <f>SUM(I285*$P285)</f>
        <v>24.706600000000002</v>
      </c>
      <c r="L285" s="14">
        <f>SUM(J285*$Q285)</f>
        <v>0</v>
      </c>
      <c r="M285" s="15">
        <f>K285+L285</f>
        <v>24.706600000000002</v>
      </c>
      <c r="N285" s="10" t="s">
        <v>399</v>
      </c>
      <c r="O285" s="10" t="s">
        <v>400</v>
      </c>
      <c r="P285" s="16">
        <f>IF(G285="MFP",Tables!B$2,Tables!B$5)</f>
        <v>2.6200000000000001E-2</v>
      </c>
      <c r="Q285" s="17">
        <f>IF(G285="MFP",Tables!B$3,Tables!B$6)</f>
        <v>0.11799999999999999</v>
      </c>
      <c r="R285" s="18">
        <v>1569</v>
      </c>
      <c r="S285" s="18">
        <v>2512</v>
      </c>
      <c r="T285" s="18">
        <v>0</v>
      </c>
      <c r="U285" s="18">
        <v>0</v>
      </c>
    </row>
    <row r="286" spans="1:55" ht="15.75" outlineLevel="2" x14ac:dyDescent="0.25">
      <c r="A286" s="9" t="s">
        <v>387</v>
      </c>
      <c r="B286" s="9" t="s">
        <v>388</v>
      </c>
      <c r="C286" s="9" t="s">
        <v>389</v>
      </c>
      <c r="D286" s="10" t="s">
        <v>287</v>
      </c>
      <c r="E286" s="11">
        <v>306</v>
      </c>
      <c r="F286" s="10" t="s">
        <v>24</v>
      </c>
      <c r="G286" s="12" t="str">
        <f>VLOOKUP(F286,Tables!D$9:E$17,2,FALSE)</f>
        <v>MFP</v>
      </c>
      <c r="H286" s="60">
        <v>17099529</v>
      </c>
      <c r="I286" s="13">
        <f>SUM(S286-R286)</f>
        <v>5168</v>
      </c>
      <c r="J286" s="13">
        <f>SUM(U286-T286)</f>
        <v>3853</v>
      </c>
      <c r="K286" s="14">
        <f>SUM(I286*$P286)</f>
        <v>106.9776</v>
      </c>
      <c r="L286" s="14">
        <f>SUM(J286*$Q286)</f>
        <v>335.21099999999996</v>
      </c>
      <c r="M286" s="15">
        <f>K286+L286</f>
        <v>442.18859999999995</v>
      </c>
      <c r="N286" s="10" t="s">
        <v>390</v>
      </c>
      <c r="O286" s="10" t="s">
        <v>391</v>
      </c>
      <c r="P286" s="16">
        <f>IF(G286="MFP",Tables!B$2,Tables!B$5)</f>
        <v>2.07E-2</v>
      </c>
      <c r="Q286" s="17">
        <f>IF(G286="MFP",Tables!B$3,Tables!B$6)</f>
        <v>8.6999999999999994E-2</v>
      </c>
      <c r="R286" s="18">
        <v>10583</v>
      </c>
      <c r="S286" s="18">
        <v>15751</v>
      </c>
      <c r="T286" s="18">
        <v>7910</v>
      </c>
      <c r="U286" s="18">
        <v>11763</v>
      </c>
    </row>
    <row r="287" spans="1:55" ht="15.75" outlineLevel="2" x14ac:dyDescent="0.25">
      <c r="A287" s="9" t="s">
        <v>387</v>
      </c>
      <c r="B287" s="9" t="s">
        <v>388</v>
      </c>
      <c r="C287" s="9" t="s">
        <v>387</v>
      </c>
      <c r="D287" s="10" t="s">
        <v>287</v>
      </c>
      <c r="E287" s="11">
        <v>301</v>
      </c>
      <c r="F287" s="10" t="s">
        <v>15</v>
      </c>
      <c r="G287" s="12" t="str">
        <f>VLOOKUP(F287,Tables!D$9:E$17,2,FALSE)</f>
        <v>PTR</v>
      </c>
      <c r="H287" s="60">
        <v>17099696</v>
      </c>
      <c r="I287" s="13">
        <f>SUM(S287-R287)</f>
        <v>533</v>
      </c>
      <c r="J287" s="13">
        <f>SUM(U287-T287)</f>
        <v>0</v>
      </c>
      <c r="K287" s="14">
        <f>SUM(I287*$P287)</f>
        <v>13.964600000000001</v>
      </c>
      <c r="L287" s="14">
        <f>SUM(J287*$Q287)</f>
        <v>0</v>
      </c>
      <c r="M287" s="15">
        <f>K287+L287</f>
        <v>13.964600000000001</v>
      </c>
      <c r="N287" s="10" t="s">
        <v>397</v>
      </c>
      <c r="O287" s="10" t="s">
        <v>398</v>
      </c>
      <c r="P287" s="16">
        <f>IF(G287="MFP",Tables!B$2,Tables!B$5)</f>
        <v>2.6200000000000001E-2</v>
      </c>
      <c r="Q287" s="17">
        <f>IF(G287="MFP",Tables!B$3,Tables!B$6)</f>
        <v>0.11799999999999999</v>
      </c>
      <c r="R287" s="18">
        <v>931</v>
      </c>
      <c r="S287" s="18">
        <v>1464</v>
      </c>
      <c r="T287" s="18">
        <v>0</v>
      </c>
      <c r="U287" s="18">
        <v>0</v>
      </c>
    </row>
    <row r="288" spans="1:55" outlineLevel="1" x14ac:dyDescent="0.3">
      <c r="A288" s="19" t="s">
        <v>840</v>
      </c>
      <c r="B288" s="110"/>
      <c r="C288" s="110"/>
      <c r="D288" s="10"/>
      <c r="E288" s="11"/>
      <c r="F288" s="10"/>
      <c r="G288" s="12"/>
      <c r="H288" s="60"/>
      <c r="I288" s="13"/>
      <c r="J288" s="13"/>
      <c r="K288" s="106"/>
      <c r="L288" s="106"/>
      <c r="M288" s="15">
        <f>SUBTOTAL(9,M285:M287)</f>
        <v>480.85979999999995</v>
      </c>
      <c r="N288" s="10"/>
      <c r="O288" s="10"/>
      <c r="P288" s="16"/>
      <c r="Q288" s="17"/>
      <c r="R288" s="18"/>
      <c r="S288" s="18"/>
      <c r="T288" s="18"/>
      <c r="U288" s="18"/>
      <c r="BC288" s="65">
        <f>SUBTOTAL(9,BC285:BC287)</f>
        <v>0</v>
      </c>
    </row>
    <row r="289" spans="1:55" ht="30" outlineLevel="2" x14ac:dyDescent="0.25">
      <c r="A289" s="9" t="s">
        <v>681</v>
      </c>
      <c r="B289" s="9" t="s">
        <v>245</v>
      </c>
      <c r="C289" s="9" t="s">
        <v>681</v>
      </c>
      <c r="D289" s="10" t="s">
        <v>180</v>
      </c>
      <c r="E289" s="11" t="s">
        <v>687</v>
      </c>
      <c r="F289" s="10" t="s">
        <v>24</v>
      </c>
      <c r="G289" s="12" t="str">
        <f>VLOOKUP(F289,Tables!D$9:E$17,2,FALSE)</f>
        <v>MFP</v>
      </c>
      <c r="H289" s="60">
        <v>17099489</v>
      </c>
      <c r="I289" s="13">
        <f>SUM(S289-R289)</f>
        <v>188</v>
      </c>
      <c r="J289" s="13">
        <f>SUM(U289-T289)</f>
        <v>3</v>
      </c>
      <c r="K289" s="14">
        <f>SUM(I289*$P289)</f>
        <v>3.8915999999999999</v>
      </c>
      <c r="L289" s="14">
        <f>SUM(J289*$Q289)</f>
        <v>0.26100000000000001</v>
      </c>
      <c r="M289" s="15">
        <f>K289+L289</f>
        <v>4.1525999999999996</v>
      </c>
      <c r="N289" s="10" t="s">
        <v>247</v>
      </c>
      <c r="O289" s="10" t="s">
        <v>248</v>
      </c>
      <c r="P289" s="16">
        <f>IF(G289="MFP",Tables!B$2,Tables!B$5)</f>
        <v>2.07E-2</v>
      </c>
      <c r="Q289" s="17">
        <f>IF(G289="MFP",Tables!B$3,Tables!B$6)</f>
        <v>8.6999999999999994E-2</v>
      </c>
      <c r="R289" s="18">
        <v>3417</v>
      </c>
      <c r="S289" s="18">
        <v>3605</v>
      </c>
      <c r="T289" s="18">
        <v>101</v>
      </c>
      <c r="U289" s="18">
        <v>104</v>
      </c>
    </row>
    <row r="290" spans="1:55" outlineLevel="1" x14ac:dyDescent="0.3">
      <c r="A290" s="19" t="s">
        <v>841</v>
      </c>
      <c r="B290" s="110"/>
      <c r="C290" s="110"/>
      <c r="D290" s="10"/>
      <c r="E290" s="11"/>
      <c r="F290" s="10"/>
      <c r="G290" s="12"/>
      <c r="H290" s="60"/>
      <c r="I290" s="13"/>
      <c r="J290" s="13"/>
      <c r="K290" s="106"/>
      <c r="L290" s="106"/>
      <c r="M290" s="15">
        <f>SUBTOTAL(9,M289:M289)</f>
        <v>4.1525999999999996</v>
      </c>
      <c r="N290" s="10"/>
      <c r="O290" s="10"/>
      <c r="P290" s="16"/>
      <c r="Q290" s="17"/>
      <c r="R290" s="18"/>
      <c r="S290" s="18"/>
      <c r="T290" s="18"/>
      <c r="U290" s="18"/>
      <c r="BC290" s="65">
        <f>SUBTOTAL(9,BC289:BC289)</f>
        <v>0</v>
      </c>
    </row>
    <row r="291" spans="1:55" ht="30" outlineLevel="2" x14ac:dyDescent="0.25">
      <c r="A291" s="9" t="s">
        <v>220</v>
      </c>
      <c r="B291" s="9" t="s">
        <v>211</v>
      </c>
      <c r="C291" s="9" t="s">
        <v>210</v>
      </c>
      <c r="D291" s="10" t="s">
        <v>212</v>
      </c>
      <c r="E291" s="11" t="s">
        <v>220</v>
      </c>
      <c r="F291" s="10" t="s">
        <v>92</v>
      </c>
      <c r="G291" s="12" t="str">
        <f>VLOOKUP(F291,Tables!D$9:E$17,2,FALSE)</f>
        <v>PTR</v>
      </c>
      <c r="H291" s="60">
        <v>17099541</v>
      </c>
      <c r="I291" s="13">
        <f>SUM(S291-R291)</f>
        <v>88</v>
      </c>
      <c r="J291" s="13">
        <f>SUM(U291-T291)</f>
        <v>0</v>
      </c>
      <c r="K291" s="14">
        <f>SUM(I291*$P291)</f>
        <v>2.3056000000000001</v>
      </c>
      <c r="L291" s="14">
        <f>SUM(J291*$Q291)</f>
        <v>0</v>
      </c>
      <c r="M291" s="15">
        <f>K291+L291</f>
        <v>2.3056000000000001</v>
      </c>
      <c r="N291" s="10" t="s">
        <v>221</v>
      </c>
      <c r="O291" s="10" t="s">
        <v>222</v>
      </c>
      <c r="P291" s="16">
        <f>IF(G291="MFP",Tables!B$2,Tables!B$5)</f>
        <v>2.6200000000000001E-2</v>
      </c>
      <c r="Q291" s="17">
        <f>IF(G291="MFP",Tables!B$3,Tables!B$6)</f>
        <v>0.11799999999999999</v>
      </c>
      <c r="R291" s="18">
        <v>340</v>
      </c>
      <c r="S291" s="18">
        <v>428</v>
      </c>
      <c r="T291" s="18">
        <v>1</v>
      </c>
      <c r="U291" s="18">
        <v>1</v>
      </c>
    </row>
    <row r="292" spans="1:55" outlineLevel="1" x14ac:dyDescent="0.3">
      <c r="A292" s="19" t="s">
        <v>842</v>
      </c>
      <c r="B292" s="110"/>
      <c r="C292" s="110"/>
      <c r="D292" s="10"/>
      <c r="E292" s="11"/>
      <c r="F292" s="10"/>
      <c r="G292" s="12"/>
      <c r="H292" s="60"/>
      <c r="I292" s="13"/>
      <c r="J292" s="13"/>
      <c r="K292" s="106"/>
      <c r="L292" s="106"/>
      <c r="M292" s="15">
        <f>SUBTOTAL(9,M291:M291)</f>
        <v>2.3056000000000001</v>
      </c>
      <c r="N292" s="10"/>
      <c r="O292" s="10"/>
      <c r="P292" s="16"/>
      <c r="Q292" s="17"/>
      <c r="R292" s="18"/>
      <c r="S292" s="18"/>
      <c r="T292" s="18"/>
      <c r="U292" s="18"/>
      <c r="BC292" s="65">
        <f>SUBTOTAL(9,BC291:BC291)</f>
        <v>0</v>
      </c>
    </row>
    <row r="293" spans="1:55" ht="15.75" outlineLevel="2" x14ac:dyDescent="0.25">
      <c r="A293" s="9" t="s">
        <v>296</v>
      </c>
      <c r="B293" s="9" t="s">
        <v>297</v>
      </c>
      <c r="C293" s="9" t="s">
        <v>296</v>
      </c>
      <c r="D293" s="10" t="s">
        <v>230</v>
      </c>
      <c r="E293" s="11">
        <v>215</v>
      </c>
      <c r="F293" s="10" t="s">
        <v>15</v>
      </c>
      <c r="G293" s="12" t="str">
        <f>VLOOKUP(F293,Tables!D$9:E$17,2,FALSE)</f>
        <v>PTR</v>
      </c>
      <c r="H293" s="60">
        <v>17099563</v>
      </c>
      <c r="I293" s="13">
        <f>SUM(S293-R293)</f>
        <v>304</v>
      </c>
      <c r="J293" s="13">
        <f>SUM(U293-T293)</f>
        <v>0</v>
      </c>
      <c r="K293" s="14">
        <f>SUM(I293*$P293)</f>
        <v>7.9648000000000003</v>
      </c>
      <c r="L293" s="14">
        <f>SUM(J293*$Q293)</f>
        <v>0</v>
      </c>
      <c r="M293" s="15">
        <f>K293+L293</f>
        <v>7.9648000000000003</v>
      </c>
      <c r="N293" s="10" t="s">
        <v>302</v>
      </c>
      <c r="O293" s="10" t="s">
        <v>303</v>
      </c>
      <c r="P293" s="16">
        <f>IF(G293="MFP",Tables!B$2,Tables!B$5)</f>
        <v>2.6200000000000001E-2</v>
      </c>
      <c r="Q293" s="17">
        <f>IF(G293="MFP",Tables!B$3,Tables!B$6)</f>
        <v>0.11799999999999999</v>
      </c>
      <c r="R293" s="18">
        <v>4002</v>
      </c>
      <c r="S293" s="18">
        <v>4306</v>
      </c>
      <c r="T293" s="18">
        <v>0</v>
      </c>
      <c r="U293" s="18">
        <v>0</v>
      </c>
    </row>
    <row r="294" spans="1:55" ht="15.75" outlineLevel="2" x14ac:dyDescent="0.25">
      <c r="A294" s="9" t="s">
        <v>296</v>
      </c>
      <c r="B294" s="9" t="s">
        <v>297</v>
      </c>
      <c r="C294" s="9" t="s">
        <v>296</v>
      </c>
      <c r="D294" s="10" t="s">
        <v>230</v>
      </c>
      <c r="E294" s="11">
        <v>217</v>
      </c>
      <c r="F294" s="10" t="s">
        <v>24</v>
      </c>
      <c r="G294" s="12" t="str">
        <f>VLOOKUP(F294,Tables!D$9:E$17,2,FALSE)</f>
        <v>MFP</v>
      </c>
      <c r="H294" s="60">
        <v>17099756</v>
      </c>
      <c r="I294" s="13">
        <f>SUM(S294-R294)</f>
        <v>0</v>
      </c>
      <c r="J294" s="13">
        <f>SUM(U294-T294)</f>
        <v>0</v>
      </c>
      <c r="K294" s="14">
        <f>SUM(I294*$P294)</f>
        <v>0</v>
      </c>
      <c r="L294" s="14">
        <f>SUM(J294*$Q294)</f>
        <v>0</v>
      </c>
      <c r="M294" s="15">
        <f>K294+L294</f>
        <v>0</v>
      </c>
      <c r="N294" s="10" t="s">
        <v>298</v>
      </c>
      <c r="O294" s="10" t="s">
        <v>299</v>
      </c>
      <c r="P294" s="16">
        <f>IF(G294="MFP",Tables!B$2,Tables!B$5)</f>
        <v>2.07E-2</v>
      </c>
      <c r="Q294" s="17">
        <f>IF(G294="MFP",Tables!B$3,Tables!B$6)</f>
        <v>8.6999999999999994E-2</v>
      </c>
      <c r="R294" s="18">
        <v>2551</v>
      </c>
      <c r="S294" s="18">
        <v>2551</v>
      </c>
      <c r="T294" s="18">
        <v>328</v>
      </c>
      <c r="U294" s="18">
        <v>328</v>
      </c>
    </row>
    <row r="295" spans="1:55" ht="15.75" outlineLevel="2" x14ac:dyDescent="0.25">
      <c r="A295" s="9" t="s">
        <v>296</v>
      </c>
      <c r="B295" s="9" t="s">
        <v>297</v>
      </c>
      <c r="C295" s="9" t="s">
        <v>296</v>
      </c>
      <c r="D295" s="10" t="s">
        <v>230</v>
      </c>
      <c r="E295" s="11">
        <v>219</v>
      </c>
      <c r="F295" s="10" t="s">
        <v>15</v>
      </c>
      <c r="G295" s="12" t="str">
        <f>VLOOKUP(F295,Tables!D$9:E$17,2,FALSE)</f>
        <v>PTR</v>
      </c>
      <c r="H295" s="60">
        <v>17099576</v>
      </c>
      <c r="I295" s="13">
        <f>SUM(S295-R295)</f>
        <v>0</v>
      </c>
      <c r="J295" s="13">
        <f>SUM(U295-T295)</f>
        <v>0</v>
      </c>
      <c r="K295" s="14">
        <f>SUM(I295*$P295)</f>
        <v>0</v>
      </c>
      <c r="L295" s="14">
        <f>SUM(J295*$Q295)</f>
        <v>0</v>
      </c>
      <c r="M295" s="15">
        <f>K295+L295</f>
        <v>0</v>
      </c>
      <c r="N295" s="10" t="s">
        <v>300</v>
      </c>
      <c r="O295" s="10" t="s">
        <v>301</v>
      </c>
      <c r="P295" s="16">
        <f>IF(G295="MFP",Tables!B$2,Tables!B$5)</f>
        <v>2.6200000000000001E-2</v>
      </c>
      <c r="Q295" s="17">
        <f>IF(G295="MFP",Tables!B$3,Tables!B$6)</f>
        <v>0.11799999999999999</v>
      </c>
      <c r="R295" s="18">
        <v>23</v>
      </c>
      <c r="S295" s="18">
        <v>23</v>
      </c>
      <c r="T295" s="18">
        <v>0</v>
      </c>
      <c r="U295" s="18">
        <v>0</v>
      </c>
    </row>
    <row r="296" spans="1:55" outlineLevel="1" x14ac:dyDescent="0.3">
      <c r="A296" s="19" t="s">
        <v>843</v>
      </c>
      <c r="B296" s="110"/>
      <c r="C296" s="110"/>
      <c r="D296" s="10"/>
      <c r="E296" s="11"/>
      <c r="F296" s="10"/>
      <c r="G296" s="12"/>
      <c r="H296" s="60"/>
      <c r="I296" s="13"/>
      <c r="J296" s="13"/>
      <c r="K296" s="106"/>
      <c r="L296" s="106"/>
      <c r="M296" s="15">
        <f>SUBTOTAL(9,M293:M295)</f>
        <v>7.9648000000000003</v>
      </c>
      <c r="N296" s="10"/>
      <c r="O296" s="10"/>
      <c r="P296" s="16"/>
      <c r="Q296" s="17"/>
      <c r="R296" s="18"/>
      <c r="S296" s="18"/>
      <c r="T296" s="18"/>
      <c r="U296" s="18"/>
      <c r="BC296" s="65">
        <f>SUBTOTAL(9,BC293:BC295)</f>
        <v>0</v>
      </c>
    </row>
    <row r="297" spans="1:55" outlineLevel="1" x14ac:dyDescent="0.3"/>
    <row r="298" spans="1:55" outlineLevel="1" x14ac:dyDescent="0.3"/>
    <row r="299" spans="1:55" outlineLevel="1" x14ac:dyDescent="0.3"/>
    <row r="300" spans="1:55" outlineLevel="1" x14ac:dyDescent="0.3"/>
    <row r="301" spans="1:55" outlineLevel="1" x14ac:dyDescent="0.3"/>
    <row r="302" spans="1:55" outlineLevel="1" x14ac:dyDescent="0.3"/>
    <row r="303" spans="1:55" outlineLevel="1" x14ac:dyDescent="0.3"/>
    <row r="304" spans="1:55" outlineLevel="1" x14ac:dyDescent="0.3"/>
    <row r="305" outlineLevel="1" x14ac:dyDescent="0.3"/>
    <row r="306" outlineLevel="1" x14ac:dyDescent="0.3"/>
    <row r="307" outlineLevel="1" x14ac:dyDescent="0.3"/>
    <row r="308" outlineLevel="1" x14ac:dyDescent="0.3"/>
    <row r="309" outlineLevel="1" x14ac:dyDescent="0.3"/>
    <row r="310" outlineLevel="1" x14ac:dyDescent="0.3"/>
    <row r="311" outlineLevel="1" x14ac:dyDescent="0.3"/>
    <row r="312" outlineLevel="1" x14ac:dyDescent="0.3"/>
    <row r="313" outlineLevel="1" x14ac:dyDescent="0.3"/>
    <row r="314" outlineLevel="1" x14ac:dyDescent="0.3"/>
    <row r="315" outlineLevel="1" x14ac:dyDescent="0.3"/>
    <row r="316" outlineLevel="1" x14ac:dyDescent="0.3"/>
    <row r="317" outlineLevel="1" x14ac:dyDescent="0.3"/>
    <row r="318" outlineLevel="1" x14ac:dyDescent="0.3"/>
    <row r="319" outlineLevel="1" x14ac:dyDescent="0.3"/>
    <row r="320" outlineLevel="1" x14ac:dyDescent="0.3"/>
    <row r="321" outlineLevel="1" x14ac:dyDescent="0.3"/>
    <row r="322" outlineLevel="1" x14ac:dyDescent="0.3"/>
    <row r="323" outlineLevel="1" x14ac:dyDescent="0.3"/>
    <row r="324" outlineLevel="1" x14ac:dyDescent="0.3"/>
    <row r="325" outlineLevel="1" x14ac:dyDescent="0.3"/>
    <row r="326" outlineLevel="1" x14ac:dyDescent="0.3"/>
    <row r="327" outlineLevel="1" x14ac:dyDescent="0.3"/>
    <row r="328" outlineLevel="1" x14ac:dyDescent="0.3"/>
    <row r="329" outlineLevel="1" x14ac:dyDescent="0.3"/>
    <row r="330" outlineLevel="1" x14ac:dyDescent="0.3"/>
    <row r="331" outlineLevel="1" x14ac:dyDescent="0.3"/>
    <row r="332" outlineLevel="1" x14ac:dyDescent="0.3"/>
    <row r="333" outlineLevel="1" x14ac:dyDescent="0.3"/>
    <row r="334" outlineLevel="1" x14ac:dyDescent="0.3"/>
    <row r="335" outlineLevel="1" x14ac:dyDescent="0.3"/>
    <row r="336" outlineLevel="1" x14ac:dyDescent="0.3"/>
    <row r="337" outlineLevel="1" x14ac:dyDescent="0.3"/>
    <row r="338" outlineLevel="1" x14ac:dyDescent="0.3"/>
    <row r="339" outlineLevel="1" x14ac:dyDescent="0.3"/>
    <row r="340" outlineLevel="1" x14ac:dyDescent="0.3"/>
    <row r="341" outlineLevel="1" x14ac:dyDescent="0.3"/>
    <row r="342" outlineLevel="1" x14ac:dyDescent="0.3"/>
    <row r="343" outlineLevel="1" x14ac:dyDescent="0.3"/>
    <row r="344" outlineLevel="1" x14ac:dyDescent="0.3"/>
    <row r="345" outlineLevel="1" x14ac:dyDescent="0.3"/>
    <row r="346" outlineLevel="1" x14ac:dyDescent="0.3"/>
    <row r="347" outlineLevel="1" x14ac:dyDescent="0.3"/>
    <row r="348" outlineLevel="1" x14ac:dyDescent="0.3"/>
    <row r="349" outlineLevel="1" x14ac:dyDescent="0.3"/>
    <row r="350" outlineLevel="1" x14ac:dyDescent="0.3"/>
    <row r="351" outlineLevel="1" x14ac:dyDescent="0.3"/>
    <row r="352" outlineLevel="1" x14ac:dyDescent="0.3"/>
    <row r="353" outlineLevel="1" x14ac:dyDescent="0.3"/>
    <row r="354" outlineLevel="1" x14ac:dyDescent="0.3"/>
    <row r="355" outlineLevel="1" x14ac:dyDescent="0.3"/>
    <row r="356" outlineLevel="1" x14ac:dyDescent="0.3"/>
    <row r="357" outlineLevel="1" x14ac:dyDescent="0.3"/>
    <row r="358" outlineLevel="1" x14ac:dyDescent="0.3"/>
    <row r="359" outlineLevel="1" x14ac:dyDescent="0.3"/>
    <row r="360" outlineLevel="1" x14ac:dyDescent="0.3"/>
    <row r="361" outlineLevel="1" x14ac:dyDescent="0.3"/>
    <row r="362" outlineLevel="1" x14ac:dyDescent="0.3"/>
    <row r="363" outlineLevel="1" x14ac:dyDescent="0.3"/>
    <row r="364" outlineLevel="1" x14ac:dyDescent="0.3"/>
    <row r="365" outlineLevel="1" x14ac:dyDescent="0.3"/>
    <row r="366" outlineLevel="1" x14ac:dyDescent="0.3"/>
    <row r="367" outlineLevel="1" x14ac:dyDescent="0.3"/>
    <row r="368" outlineLevel="1" x14ac:dyDescent="0.3"/>
    <row r="369" spans="1:55" outlineLevel="1" x14ac:dyDescent="0.3"/>
    <row r="370" spans="1:55" outlineLevel="1" x14ac:dyDescent="0.3"/>
    <row r="371" spans="1:55" outlineLevel="1" x14ac:dyDescent="0.3"/>
    <row r="372" spans="1:55" outlineLevel="1" x14ac:dyDescent="0.3"/>
    <row r="373" spans="1:55" outlineLevel="1" x14ac:dyDescent="0.3"/>
    <row r="374" spans="1:55" outlineLevel="1" x14ac:dyDescent="0.3"/>
    <row r="375" spans="1:55" outlineLevel="1" x14ac:dyDescent="0.3"/>
    <row r="376" spans="1:55" outlineLevel="1" x14ac:dyDescent="0.3"/>
    <row r="377" spans="1:55" outlineLevel="1" x14ac:dyDescent="0.3"/>
    <row r="378" spans="1:55" outlineLevel="1" x14ac:dyDescent="0.3"/>
    <row r="379" spans="1:55" outlineLevel="1" x14ac:dyDescent="0.3">
      <c r="A379" s="119" t="s">
        <v>678</v>
      </c>
      <c r="M379" s="77">
        <f>SUBTOTAL(9,M3:M378)</f>
        <v>15873.451399999996</v>
      </c>
      <c r="BC379" s="65">
        <f>SUBTOTAL(9,BC3:BC378)</f>
        <v>0</v>
      </c>
    </row>
  </sheetData>
  <sortState ref="A3:U224">
    <sortCondition ref="A3:A224"/>
    <sortCondition ref="B3:B224"/>
    <sortCondition ref="C3:C224"/>
    <sortCondition ref="D3:D224"/>
    <sortCondition ref="E3:E224"/>
  </sortState>
  <pageMargins left="0.7" right="0.7" top="0.75" bottom="0.75" header="0.3" footer="0.3"/>
  <pageSetup paperSize="5" scale="29" orientation="landscape" r:id="rId1"/>
  <colBreaks count="1" manualBreakCount="1">
    <brk id="21" min="1" max="30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zoomScale="69" zoomScaleNormal="69" workbookViewId="0">
      <pane ySplit="1" topLeftCell="A11" activePane="bottomLeft" state="frozenSplit"/>
      <selection pane="bottomLeft" activeCell="N28" sqref="N28"/>
    </sheetView>
  </sheetViews>
  <sheetFormatPr defaultColWidth="9.109375" defaultRowHeight="15.6" outlineLevelRow="2" x14ac:dyDescent="0.3"/>
  <cols>
    <col min="1" max="1" width="31.6640625" style="100" bestFit="1" customWidth="1"/>
    <col min="2" max="2" width="29" style="100" bestFit="1" customWidth="1"/>
    <col min="3" max="3" width="16.88671875" style="100" customWidth="1"/>
    <col min="4" max="4" width="18.44140625" style="100" customWidth="1"/>
    <col min="5" max="5" width="9.109375" style="100"/>
    <col min="6" max="6" width="11.88671875" style="100" bestFit="1" customWidth="1"/>
    <col min="7" max="7" width="10.44140625" style="100" bestFit="1" customWidth="1"/>
    <col min="8" max="8" width="14.88671875" style="100" bestFit="1" customWidth="1"/>
    <col min="9" max="9" width="10.44140625" style="100" customWidth="1"/>
    <col min="10" max="10" width="10.6640625" style="100" customWidth="1"/>
    <col min="11" max="11" width="11.33203125" style="100" bestFit="1" customWidth="1"/>
    <col min="12" max="12" width="10.6640625" style="100" bestFit="1" customWidth="1"/>
    <col min="13" max="13" width="20.109375" style="100" bestFit="1" customWidth="1"/>
    <col min="14" max="14" width="19.44140625" style="100" bestFit="1" customWidth="1"/>
    <col min="15" max="16384" width="9.109375" style="100"/>
  </cols>
  <sheetData>
    <row r="1" spans="1:14" s="85" customFormat="1" ht="87" outlineLevel="2" x14ac:dyDescent="0.3">
      <c r="A1" s="80" t="s">
        <v>705</v>
      </c>
      <c r="B1" s="80" t="s">
        <v>693</v>
      </c>
      <c r="C1" s="80" t="s">
        <v>0</v>
      </c>
      <c r="D1" s="81" t="s">
        <v>1</v>
      </c>
      <c r="E1" s="82" t="s">
        <v>2</v>
      </c>
      <c r="F1" s="81" t="s">
        <v>3</v>
      </c>
      <c r="G1" s="81" t="s">
        <v>6</v>
      </c>
      <c r="H1" s="83" t="s">
        <v>694</v>
      </c>
      <c r="I1" s="81" t="s">
        <v>709</v>
      </c>
      <c r="J1" s="81" t="s">
        <v>710</v>
      </c>
      <c r="K1" s="84" t="s">
        <v>711</v>
      </c>
      <c r="L1" s="84" t="s">
        <v>712</v>
      </c>
      <c r="M1" s="81" t="s">
        <v>4</v>
      </c>
      <c r="N1" s="81" t="s">
        <v>5</v>
      </c>
    </row>
    <row r="2" spans="1:14" s="92" customFormat="1" ht="30" outlineLevel="2" x14ac:dyDescent="0.25">
      <c r="A2" s="86" t="s">
        <v>713</v>
      </c>
      <c r="B2" s="87" t="s">
        <v>374</v>
      </c>
      <c r="C2" s="87"/>
      <c r="D2" s="74" t="s">
        <v>713</v>
      </c>
      <c r="E2" s="88"/>
      <c r="F2" s="74" t="s">
        <v>714</v>
      </c>
      <c r="G2" s="89" t="s">
        <v>756</v>
      </c>
      <c r="H2" s="90">
        <v>17099735</v>
      </c>
      <c r="I2" s="91" t="s">
        <v>715</v>
      </c>
      <c r="J2" s="91"/>
      <c r="K2" s="14">
        <v>25.32</v>
      </c>
      <c r="L2" s="14">
        <f>SUM(J2*K2)</f>
        <v>0</v>
      </c>
      <c r="M2" s="74" t="s">
        <v>716</v>
      </c>
      <c r="N2" s="74" t="s">
        <v>717</v>
      </c>
    </row>
    <row r="3" spans="1:14" s="92" customFormat="1" ht="15" outlineLevel="1" x14ac:dyDescent="0.25">
      <c r="A3" s="87" t="s">
        <v>718</v>
      </c>
      <c r="B3" s="87" t="s">
        <v>498</v>
      </c>
      <c r="C3" s="87" t="s">
        <v>718</v>
      </c>
      <c r="D3" s="74" t="s">
        <v>719</v>
      </c>
      <c r="E3" s="88"/>
      <c r="F3" s="74">
        <v>4650</v>
      </c>
      <c r="G3" s="89" t="s">
        <v>757</v>
      </c>
      <c r="H3" s="93" t="s">
        <v>720</v>
      </c>
      <c r="I3" s="91" t="s">
        <v>715</v>
      </c>
      <c r="J3" s="91">
        <v>2</v>
      </c>
      <c r="K3" s="14">
        <v>58.48</v>
      </c>
      <c r="L3" s="14">
        <f>SUM(J3*K3)</f>
        <v>116.96</v>
      </c>
      <c r="M3" s="74" t="s">
        <v>721</v>
      </c>
      <c r="N3" s="74" t="s">
        <v>722</v>
      </c>
    </row>
    <row r="4" spans="1:14" s="94" customFormat="1" ht="15.75" x14ac:dyDescent="0.25">
      <c r="A4" s="87" t="s">
        <v>718</v>
      </c>
      <c r="B4" s="87" t="s">
        <v>498</v>
      </c>
      <c r="C4" s="87" t="s">
        <v>718</v>
      </c>
      <c r="D4" s="74" t="s">
        <v>719</v>
      </c>
      <c r="F4" s="74">
        <v>4650</v>
      </c>
      <c r="G4" s="89" t="s">
        <v>757</v>
      </c>
      <c r="H4" s="93" t="s">
        <v>720</v>
      </c>
      <c r="I4" s="91" t="s">
        <v>723</v>
      </c>
      <c r="J4" s="91">
        <v>2</v>
      </c>
      <c r="K4" s="14">
        <v>58.48</v>
      </c>
      <c r="L4" s="14">
        <f t="shared" ref="L4:L24" si="0">SUM(J4*K4)</f>
        <v>116.96</v>
      </c>
      <c r="M4" s="74" t="s">
        <v>721</v>
      </c>
      <c r="N4" s="74" t="s">
        <v>722</v>
      </c>
    </row>
    <row r="5" spans="1:14" s="94" customFormat="1" ht="15.75" x14ac:dyDescent="0.25">
      <c r="A5" s="87" t="s">
        <v>718</v>
      </c>
      <c r="B5" s="87" t="s">
        <v>498</v>
      </c>
      <c r="C5" s="87" t="s">
        <v>718</v>
      </c>
      <c r="D5" s="74" t="s">
        <v>719</v>
      </c>
      <c r="F5" s="74">
        <v>4650</v>
      </c>
      <c r="G5" s="89" t="s">
        <v>757</v>
      </c>
      <c r="H5" s="93" t="s">
        <v>720</v>
      </c>
      <c r="I5" s="91" t="s">
        <v>724</v>
      </c>
      <c r="J5" s="91">
        <v>2</v>
      </c>
      <c r="K5" s="14">
        <v>58.48</v>
      </c>
      <c r="L5" s="14">
        <f t="shared" si="0"/>
        <v>116.96</v>
      </c>
      <c r="M5" s="74" t="s">
        <v>721</v>
      </c>
      <c r="N5" s="74" t="s">
        <v>722</v>
      </c>
    </row>
    <row r="6" spans="1:14" s="94" customFormat="1" ht="15.75" x14ac:dyDescent="0.25">
      <c r="A6" s="87" t="s">
        <v>718</v>
      </c>
      <c r="B6" s="87" t="s">
        <v>498</v>
      </c>
      <c r="C6" s="87" t="s">
        <v>718</v>
      </c>
      <c r="D6" s="74" t="s">
        <v>719</v>
      </c>
      <c r="F6" s="74">
        <v>4650</v>
      </c>
      <c r="G6" s="89" t="s">
        <v>757</v>
      </c>
      <c r="H6" s="93" t="s">
        <v>720</v>
      </c>
      <c r="I6" s="91" t="s">
        <v>725</v>
      </c>
      <c r="J6" s="91">
        <v>2</v>
      </c>
      <c r="K6" s="14">
        <v>58.48</v>
      </c>
      <c r="L6" s="14">
        <f t="shared" si="0"/>
        <v>116.96</v>
      </c>
      <c r="M6" s="74" t="s">
        <v>721</v>
      </c>
      <c r="N6" s="74" t="s">
        <v>722</v>
      </c>
    </row>
    <row r="7" spans="1:14" s="92" customFormat="1" ht="15" outlineLevel="2" x14ac:dyDescent="0.3">
      <c r="A7" s="87" t="s">
        <v>726</v>
      </c>
      <c r="B7" s="87" t="s">
        <v>727</v>
      </c>
      <c r="C7" s="87" t="s">
        <v>315</v>
      </c>
      <c r="D7" s="74" t="s">
        <v>728</v>
      </c>
      <c r="E7" s="88"/>
      <c r="F7" s="74" t="s">
        <v>729</v>
      </c>
      <c r="G7" s="89" t="s">
        <v>757</v>
      </c>
      <c r="H7" s="95">
        <v>17099781</v>
      </c>
      <c r="I7" s="91" t="s">
        <v>715</v>
      </c>
      <c r="J7" s="91"/>
      <c r="K7" s="14">
        <v>89.75</v>
      </c>
      <c r="L7" s="14">
        <f t="shared" si="0"/>
        <v>0</v>
      </c>
      <c r="M7" s="93" t="s">
        <v>730</v>
      </c>
      <c r="N7" s="74" t="s">
        <v>731</v>
      </c>
    </row>
    <row r="8" spans="1:14" s="92" customFormat="1" ht="15" outlineLevel="2" x14ac:dyDescent="0.3">
      <c r="A8" s="87" t="s">
        <v>726</v>
      </c>
      <c r="B8" s="87" t="s">
        <v>727</v>
      </c>
      <c r="C8" s="87" t="s">
        <v>315</v>
      </c>
      <c r="D8" s="74" t="s">
        <v>728</v>
      </c>
      <c r="E8" s="88"/>
      <c r="F8" s="74" t="s">
        <v>729</v>
      </c>
      <c r="G8" s="89" t="s">
        <v>757</v>
      </c>
      <c r="H8" s="95">
        <v>17099781</v>
      </c>
      <c r="I8" s="91" t="s">
        <v>723</v>
      </c>
      <c r="J8" s="91"/>
      <c r="K8" s="14">
        <v>91.49</v>
      </c>
      <c r="L8" s="14">
        <f t="shared" si="0"/>
        <v>0</v>
      </c>
      <c r="M8" s="93" t="s">
        <v>730</v>
      </c>
      <c r="N8" s="74" t="s">
        <v>731</v>
      </c>
    </row>
    <row r="9" spans="1:14" s="92" customFormat="1" ht="15" outlineLevel="2" x14ac:dyDescent="0.3">
      <c r="A9" s="87" t="s">
        <v>726</v>
      </c>
      <c r="B9" s="87" t="s">
        <v>727</v>
      </c>
      <c r="C9" s="87" t="s">
        <v>315</v>
      </c>
      <c r="D9" s="74" t="s">
        <v>728</v>
      </c>
      <c r="E9" s="88"/>
      <c r="F9" s="74" t="s">
        <v>729</v>
      </c>
      <c r="G9" s="89" t="s">
        <v>757</v>
      </c>
      <c r="H9" s="95">
        <v>17099781</v>
      </c>
      <c r="I9" s="91" t="s">
        <v>724</v>
      </c>
      <c r="J9" s="91"/>
      <c r="K9" s="14">
        <v>91.49</v>
      </c>
      <c r="L9" s="14">
        <f t="shared" si="0"/>
        <v>0</v>
      </c>
      <c r="M9" s="93" t="s">
        <v>730</v>
      </c>
      <c r="N9" s="74" t="s">
        <v>731</v>
      </c>
    </row>
    <row r="10" spans="1:14" s="92" customFormat="1" ht="15" outlineLevel="2" x14ac:dyDescent="0.3">
      <c r="A10" s="87" t="s">
        <v>726</v>
      </c>
      <c r="B10" s="87" t="s">
        <v>727</v>
      </c>
      <c r="C10" s="87" t="s">
        <v>315</v>
      </c>
      <c r="D10" s="74" t="s">
        <v>728</v>
      </c>
      <c r="E10" s="88"/>
      <c r="F10" s="74" t="s">
        <v>729</v>
      </c>
      <c r="G10" s="89" t="s">
        <v>757</v>
      </c>
      <c r="H10" s="95">
        <v>17099781</v>
      </c>
      <c r="I10" s="91" t="s">
        <v>725</v>
      </c>
      <c r="J10" s="91"/>
      <c r="K10" s="14">
        <v>91.49</v>
      </c>
      <c r="L10" s="14">
        <f t="shared" si="0"/>
        <v>0</v>
      </c>
      <c r="M10" s="93" t="s">
        <v>730</v>
      </c>
      <c r="N10" s="74" t="s">
        <v>731</v>
      </c>
    </row>
    <row r="11" spans="1:14" s="92" customFormat="1" ht="30" outlineLevel="2" x14ac:dyDescent="0.25">
      <c r="A11" s="87" t="s">
        <v>732</v>
      </c>
      <c r="B11" s="87" t="s">
        <v>733</v>
      </c>
      <c r="C11" s="87" t="s">
        <v>732</v>
      </c>
      <c r="D11" s="74" t="s">
        <v>180</v>
      </c>
      <c r="E11" s="88">
        <v>406</v>
      </c>
      <c r="F11" s="74" t="s">
        <v>734</v>
      </c>
      <c r="G11" s="89" t="s">
        <v>757</v>
      </c>
      <c r="H11" s="95">
        <v>17099815</v>
      </c>
      <c r="I11" s="91" t="s">
        <v>715</v>
      </c>
      <c r="J11" s="91"/>
      <c r="K11" s="14">
        <v>53.82</v>
      </c>
      <c r="L11" s="14">
        <f t="shared" si="0"/>
        <v>0</v>
      </c>
      <c r="M11" s="74" t="s">
        <v>735</v>
      </c>
      <c r="N11" s="74" t="s">
        <v>736</v>
      </c>
    </row>
    <row r="12" spans="1:14" s="92" customFormat="1" ht="30" outlineLevel="2" x14ac:dyDescent="0.25">
      <c r="A12" s="87" t="s">
        <v>732</v>
      </c>
      <c r="B12" s="87" t="s">
        <v>733</v>
      </c>
      <c r="C12" s="87" t="s">
        <v>732</v>
      </c>
      <c r="D12" s="74" t="s">
        <v>180</v>
      </c>
      <c r="E12" s="88">
        <v>406</v>
      </c>
      <c r="F12" s="74" t="s">
        <v>734</v>
      </c>
      <c r="G12" s="89" t="s">
        <v>757</v>
      </c>
      <c r="H12" s="95">
        <v>17099815</v>
      </c>
      <c r="I12" s="91" t="s">
        <v>723</v>
      </c>
      <c r="J12" s="91"/>
      <c r="K12" s="14">
        <v>61.89</v>
      </c>
      <c r="L12" s="14">
        <f t="shared" si="0"/>
        <v>0</v>
      </c>
      <c r="M12" s="74" t="s">
        <v>737</v>
      </c>
      <c r="N12" s="74" t="s">
        <v>736</v>
      </c>
    </row>
    <row r="13" spans="1:14" s="92" customFormat="1" ht="30" outlineLevel="2" x14ac:dyDescent="0.25">
      <c r="A13" s="87" t="s">
        <v>732</v>
      </c>
      <c r="B13" s="87" t="s">
        <v>733</v>
      </c>
      <c r="C13" s="87" t="s">
        <v>732</v>
      </c>
      <c r="D13" s="74" t="s">
        <v>180</v>
      </c>
      <c r="E13" s="88">
        <v>406</v>
      </c>
      <c r="F13" s="74" t="s">
        <v>734</v>
      </c>
      <c r="G13" s="89" t="s">
        <v>757</v>
      </c>
      <c r="H13" s="95">
        <v>17099815</v>
      </c>
      <c r="I13" s="91" t="s">
        <v>724</v>
      </c>
      <c r="J13" s="91"/>
      <c r="K13" s="14">
        <v>61.89</v>
      </c>
      <c r="L13" s="14">
        <f t="shared" si="0"/>
        <v>0</v>
      </c>
      <c r="M13" s="74" t="s">
        <v>738</v>
      </c>
      <c r="N13" s="74" t="s">
        <v>736</v>
      </c>
    </row>
    <row r="14" spans="1:14" s="92" customFormat="1" ht="30" outlineLevel="2" x14ac:dyDescent="0.25">
      <c r="A14" s="87" t="s">
        <v>732</v>
      </c>
      <c r="B14" s="87" t="s">
        <v>733</v>
      </c>
      <c r="C14" s="87" t="s">
        <v>732</v>
      </c>
      <c r="D14" s="74" t="s">
        <v>180</v>
      </c>
      <c r="E14" s="88">
        <v>406</v>
      </c>
      <c r="F14" s="74" t="s">
        <v>734</v>
      </c>
      <c r="G14" s="89" t="s">
        <v>757</v>
      </c>
      <c r="H14" s="95">
        <v>17099815</v>
      </c>
      <c r="I14" s="91" t="s">
        <v>725</v>
      </c>
      <c r="J14" s="91"/>
      <c r="K14" s="14">
        <v>61.89</v>
      </c>
      <c r="L14" s="14">
        <f t="shared" si="0"/>
        <v>0</v>
      </c>
      <c r="M14" s="74" t="s">
        <v>739</v>
      </c>
      <c r="N14" s="74" t="s">
        <v>736</v>
      </c>
    </row>
    <row r="15" spans="1:14" s="92" customFormat="1" ht="30" outlineLevel="2" x14ac:dyDescent="0.25">
      <c r="A15" s="87" t="s">
        <v>229</v>
      </c>
      <c r="B15" s="96" t="s">
        <v>740</v>
      </c>
      <c r="C15" s="87" t="s">
        <v>229</v>
      </c>
      <c r="D15" s="74" t="s">
        <v>230</v>
      </c>
      <c r="E15" s="88">
        <v>403</v>
      </c>
      <c r="F15" s="97" t="s">
        <v>741</v>
      </c>
      <c r="G15" s="89" t="s">
        <v>757</v>
      </c>
      <c r="H15" s="95">
        <v>17099728</v>
      </c>
      <c r="I15" s="91" t="s">
        <v>715</v>
      </c>
      <c r="J15" s="91"/>
      <c r="K15" s="14">
        <v>74.180000000000007</v>
      </c>
      <c r="L15" s="14">
        <f t="shared" si="0"/>
        <v>0</v>
      </c>
      <c r="M15" s="74" t="s">
        <v>742</v>
      </c>
      <c r="N15" s="74" t="s">
        <v>743</v>
      </c>
    </row>
    <row r="16" spans="1:14" s="92" customFormat="1" ht="30" outlineLevel="2" x14ac:dyDescent="0.25">
      <c r="A16" s="87" t="s">
        <v>229</v>
      </c>
      <c r="B16" s="96" t="s">
        <v>740</v>
      </c>
      <c r="C16" s="87" t="s">
        <v>229</v>
      </c>
      <c r="D16" s="74" t="s">
        <v>230</v>
      </c>
      <c r="E16" s="88">
        <v>403</v>
      </c>
      <c r="F16" s="97" t="s">
        <v>741</v>
      </c>
      <c r="G16" s="89" t="s">
        <v>757</v>
      </c>
      <c r="H16" s="95">
        <v>17099728</v>
      </c>
      <c r="I16" s="91" t="s">
        <v>723</v>
      </c>
      <c r="J16" s="91"/>
      <c r="K16" s="14">
        <v>76.19</v>
      </c>
      <c r="L16" s="14">
        <f t="shared" si="0"/>
        <v>0</v>
      </c>
      <c r="M16" s="74" t="s">
        <v>744</v>
      </c>
      <c r="N16" s="74" t="s">
        <v>743</v>
      </c>
    </row>
    <row r="17" spans="1:14" s="92" customFormat="1" ht="30" outlineLevel="2" x14ac:dyDescent="0.25">
      <c r="A17" s="87" t="s">
        <v>229</v>
      </c>
      <c r="B17" s="96" t="s">
        <v>740</v>
      </c>
      <c r="C17" s="87" t="s">
        <v>229</v>
      </c>
      <c r="D17" s="74" t="s">
        <v>230</v>
      </c>
      <c r="E17" s="88">
        <v>403</v>
      </c>
      <c r="F17" s="97" t="s">
        <v>741</v>
      </c>
      <c r="G17" s="89" t="s">
        <v>757</v>
      </c>
      <c r="H17" s="95">
        <v>17099728</v>
      </c>
      <c r="I17" s="91" t="s">
        <v>724</v>
      </c>
      <c r="J17" s="91"/>
      <c r="K17" s="14">
        <v>76.19</v>
      </c>
      <c r="L17" s="14">
        <f t="shared" si="0"/>
        <v>0</v>
      </c>
      <c r="M17" s="74" t="s">
        <v>745</v>
      </c>
      <c r="N17" s="74" t="s">
        <v>743</v>
      </c>
    </row>
    <row r="18" spans="1:14" s="92" customFormat="1" ht="30" outlineLevel="2" x14ac:dyDescent="0.25">
      <c r="A18" s="87" t="s">
        <v>229</v>
      </c>
      <c r="B18" s="96" t="s">
        <v>740</v>
      </c>
      <c r="C18" s="87" t="s">
        <v>229</v>
      </c>
      <c r="D18" s="74" t="s">
        <v>230</v>
      </c>
      <c r="E18" s="88">
        <v>403</v>
      </c>
      <c r="F18" s="97" t="s">
        <v>741</v>
      </c>
      <c r="G18" s="89" t="s">
        <v>757</v>
      </c>
      <c r="H18" s="95">
        <v>17099728</v>
      </c>
      <c r="I18" s="91" t="s">
        <v>725</v>
      </c>
      <c r="J18" s="91"/>
      <c r="K18" s="14">
        <v>76.19</v>
      </c>
      <c r="L18" s="14">
        <f t="shared" si="0"/>
        <v>0</v>
      </c>
      <c r="M18" s="74" t="s">
        <v>746</v>
      </c>
      <c r="N18" s="74" t="s">
        <v>743</v>
      </c>
    </row>
    <row r="19" spans="1:14" s="92" customFormat="1" ht="15" outlineLevel="2" x14ac:dyDescent="0.3">
      <c r="A19" s="87" t="s">
        <v>747</v>
      </c>
      <c r="B19" s="87" t="s">
        <v>609</v>
      </c>
      <c r="C19" s="87" t="s">
        <v>638</v>
      </c>
      <c r="D19" s="74" t="s">
        <v>603</v>
      </c>
      <c r="E19" s="88">
        <v>345</v>
      </c>
      <c r="F19" s="97" t="s">
        <v>741</v>
      </c>
      <c r="G19" s="89" t="s">
        <v>757</v>
      </c>
      <c r="H19" s="97" t="s">
        <v>748</v>
      </c>
      <c r="I19" s="91" t="s">
        <v>715</v>
      </c>
      <c r="J19" s="91"/>
      <c r="K19" s="14">
        <v>74.180000000000007</v>
      </c>
      <c r="L19" s="14">
        <f t="shared" si="0"/>
        <v>0</v>
      </c>
      <c r="M19" s="74" t="s">
        <v>763</v>
      </c>
      <c r="N19" s="74" t="s">
        <v>764</v>
      </c>
    </row>
    <row r="20" spans="1:14" s="98" customFormat="1" ht="15" outlineLevel="2" x14ac:dyDescent="0.25">
      <c r="A20" s="87" t="s">
        <v>747</v>
      </c>
      <c r="B20" s="87" t="s">
        <v>609</v>
      </c>
      <c r="C20" s="87" t="s">
        <v>638</v>
      </c>
      <c r="D20" s="74" t="s">
        <v>603</v>
      </c>
      <c r="E20" s="88">
        <v>345</v>
      </c>
      <c r="F20" s="97" t="s">
        <v>741</v>
      </c>
      <c r="G20" s="89" t="s">
        <v>757</v>
      </c>
      <c r="H20" s="97" t="s">
        <v>748</v>
      </c>
      <c r="I20" s="91" t="s">
        <v>723</v>
      </c>
      <c r="J20" s="91"/>
      <c r="K20" s="14">
        <v>76.19</v>
      </c>
      <c r="L20" s="14">
        <f t="shared" si="0"/>
        <v>0</v>
      </c>
      <c r="M20" s="74" t="s">
        <v>763</v>
      </c>
      <c r="N20" s="74" t="s">
        <v>764</v>
      </c>
    </row>
    <row r="21" spans="1:14" s="98" customFormat="1" ht="15" outlineLevel="1" x14ac:dyDescent="0.25">
      <c r="A21" s="87" t="s">
        <v>747</v>
      </c>
      <c r="B21" s="87" t="s">
        <v>609</v>
      </c>
      <c r="C21" s="87" t="s">
        <v>638</v>
      </c>
      <c r="D21" s="74" t="s">
        <v>603</v>
      </c>
      <c r="E21" s="88">
        <v>345</v>
      </c>
      <c r="F21" s="97" t="s">
        <v>741</v>
      </c>
      <c r="G21" s="89" t="s">
        <v>757</v>
      </c>
      <c r="H21" s="97" t="s">
        <v>748</v>
      </c>
      <c r="I21" s="91" t="s">
        <v>724</v>
      </c>
      <c r="J21" s="91"/>
      <c r="K21" s="14">
        <v>76.19</v>
      </c>
      <c r="L21" s="14">
        <f t="shared" si="0"/>
        <v>0</v>
      </c>
      <c r="M21" s="74" t="s">
        <v>763</v>
      </c>
      <c r="N21" s="74" t="s">
        <v>764</v>
      </c>
    </row>
    <row r="22" spans="1:14" s="98" customFormat="1" ht="15" outlineLevel="2" x14ac:dyDescent="0.25">
      <c r="A22" s="87" t="s">
        <v>747</v>
      </c>
      <c r="B22" s="87" t="s">
        <v>609</v>
      </c>
      <c r="C22" s="87" t="s">
        <v>638</v>
      </c>
      <c r="D22" s="74" t="s">
        <v>603</v>
      </c>
      <c r="E22" s="88">
        <v>345</v>
      </c>
      <c r="F22" s="97" t="s">
        <v>741</v>
      </c>
      <c r="G22" s="89" t="s">
        <v>757</v>
      </c>
      <c r="H22" s="97" t="s">
        <v>748</v>
      </c>
      <c r="I22" s="91" t="s">
        <v>725</v>
      </c>
      <c r="J22" s="91"/>
      <c r="K22" s="14">
        <v>76.19</v>
      </c>
      <c r="L22" s="14">
        <f t="shared" si="0"/>
        <v>0</v>
      </c>
      <c r="M22" s="74" t="s">
        <v>763</v>
      </c>
      <c r="N22" s="74" t="s">
        <v>764</v>
      </c>
    </row>
    <row r="23" spans="1:14" s="92" customFormat="1" ht="30" outlineLevel="2" x14ac:dyDescent="0.25">
      <c r="A23" s="87" t="s">
        <v>401</v>
      </c>
      <c r="B23" s="87" t="s">
        <v>402</v>
      </c>
      <c r="C23" s="87" t="s">
        <v>403</v>
      </c>
      <c r="D23" s="74" t="s">
        <v>287</v>
      </c>
      <c r="E23" s="88">
        <v>311</v>
      </c>
      <c r="F23" s="74" t="s">
        <v>749</v>
      </c>
      <c r="G23" s="89" t="s">
        <v>757</v>
      </c>
      <c r="H23" s="90"/>
      <c r="I23" s="91" t="s">
        <v>715</v>
      </c>
      <c r="J23" s="91">
        <v>3</v>
      </c>
      <c r="K23" s="14">
        <v>32.03</v>
      </c>
      <c r="L23" s="14">
        <f t="shared" si="0"/>
        <v>96.09</v>
      </c>
      <c r="M23" s="74" t="s">
        <v>750</v>
      </c>
      <c r="N23" s="74" t="s">
        <v>751</v>
      </c>
    </row>
    <row r="24" spans="1:14" s="92" customFormat="1" ht="30" outlineLevel="1" x14ac:dyDescent="0.25">
      <c r="A24" s="87" t="s">
        <v>401</v>
      </c>
      <c r="B24" s="87" t="s">
        <v>402</v>
      </c>
      <c r="C24" s="87" t="s">
        <v>403</v>
      </c>
      <c r="D24" s="74" t="s">
        <v>287</v>
      </c>
      <c r="E24" s="88">
        <v>320</v>
      </c>
      <c r="F24" s="74" t="s">
        <v>749</v>
      </c>
      <c r="G24" s="89" t="s">
        <v>757</v>
      </c>
      <c r="H24" s="90"/>
      <c r="I24" s="91" t="s">
        <v>715</v>
      </c>
      <c r="J24" s="91">
        <v>3</v>
      </c>
      <c r="K24" s="14">
        <v>32.03</v>
      </c>
      <c r="L24" s="14">
        <f t="shared" si="0"/>
        <v>96.09</v>
      </c>
      <c r="M24" s="74" t="s">
        <v>752</v>
      </c>
      <c r="N24" s="74" t="s">
        <v>753</v>
      </c>
    </row>
    <row r="25" spans="1:14" s="98" customFormat="1" ht="29.25" customHeight="1" outlineLevel="2" x14ac:dyDescent="0.2">
      <c r="A25" s="87"/>
      <c r="B25" s="87"/>
      <c r="C25" s="87"/>
      <c r="D25" s="74"/>
      <c r="E25" s="88"/>
      <c r="F25" s="74"/>
      <c r="G25" s="89"/>
      <c r="H25" s="90"/>
      <c r="I25" s="91"/>
      <c r="J25" s="91"/>
      <c r="K25" s="14"/>
      <c r="L25" s="101">
        <f>SUM(L2:L24)</f>
        <v>660.02</v>
      </c>
      <c r="M25" s="74"/>
      <c r="N25" s="74"/>
    </row>
    <row r="26" spans="1:14" s="98" customFormat="1" ht="29.25" customHeight="1" outlineLevel="2" x14ac:dyDescent="0.2">
      <c r="A26" s="87"/>
      <c r="B26" s="87"/>
      <c r="C26" s="87"/>
      <c r="D26" s="74"/>
      <c r="E26" s="88"/>
      <c r="F26" s="74"/>
      <c r="G26" s="89"/>
      <c r="H26" s="90"/>
      <c r="I26" s="91"/>
      <c r="J26" s="91"/>
      <c r="K26" s="14" t="s">
        <v>754</v>
      </c>
      <c r="L26" s="101">
        <v>155.72999999999999</v>
      </c>
      <c r="M26" s="74"/>
      <c r="N26" s="74"/>
    </row>
    <row r="27" spans="1:14" s="98" customFormat="1" ht="29.25" customHeight="1" outlineLevel="2" x14ac:dyDescent="0.2">
      <c r="A27" s="87"/>
      <c r="B27" s="87"/>
      <c r="C27" s="87"/>
      <c r="D27" s="74"/>
      <c r="E27" s="88"/>
      <c r="F27" s="74"/>
      <c r="G27" s="89"/>
      <c r="H27" s="90"/>
      <c r="I27" s="91"/>
      <c r="J27" s="91"/>
      <c r="K27" s="14" t="s">
        <v>755</v>
      </c>
      <c r="L27" s="101">
        <f>660.02-155.73</f>
        <v>504.28999999999996</v>
      </c>
      <c r="M27" s="74"/>
      <c r="N27" s="74"/>
    </row>
    <row r="28" spans="1:14" s="98" customFormat="1" ht="29.25" customHeight="1" outlineLevel="2" x14ac:dyDescent="0.2">
      <c r="A28" s="87"/>
      <c r="B28" s="87"/>
      <c r="C28" s="87"/>
      <c r="D28" s="74"/>
      <c r="E28" s="88"/>
      <c r="F28" s="74"/>
      <c r="G28" s="89"/>
      <c r="H28" s="90"/>
      <c r="I28" s="91"/>
      <c r="J28" s="91"/>
      <c r="K28" s="14"/>
      <c r="L28" s="14"/>
      <c r="M28" s="74"/>
      <c r="N28" s="74"/>
    </row>
    <row r="29" spans="1:14" s="98" customFormat="1" ht="29.25" customHeight="1" outlineLevel="2" x14ac:dyDescent="0.2">
      <c r="A29" s="87"/>
      <c r="B29" s="87"/>
      <c r="C29" s="87"/>
      <c r="D29" s="74"/>
      <c r="E29" s="88"/>
      <c r="F29" s="74"/>
      <c r="G29" s="89"/>
      <c r="H29" s="90"/>
      <c r="I29" s="91"/>
      <c r="J29" s="91"/>
      <c r="K29" s="14"/>
      <c r="L29" s="14"/>
      <c r="M29" s="74"/>
      <c r="N29" s="74"/>
    </row>
    <row r="30" spans="1:14" s="98" customFormat="1" ht="29.25" customHeight="1" outlineLevel="2" x14ac:dyDescent="0.2">
      <c r="A30" s="87"/>
      <c r="B30" s="87"/>
      <c r="C30" s="87"/>
      <c r="D30" s="74"/>
      <c r="E30" s="88"/>
      <c r="F30" s="74"/>
      <c r="G30" s="89"/>
      <c r="H30" s="90"/>
      <c r="I30" s="91"/>
      <c r="J30" s="91"/>
      <c r="K30" s="14"/>
      <c r="L30" s="14"/>
      <c r="M30" s="74"/>
      <c r="N30" s="74"/>
    </row>
    <row r="31" spans="1:14" s="98" customFormat="1" ht="29.25" customHeight="1" outlineLevel="2" x14ac:dyDescent="0.2">
      <c r="A31" s="87"/>
      <c r="B31" s="87"/>
      <c r="C31" s="87"/>
      <c r="D31" s="74"/>
      <c r="E31" s="88"/>
      <c r="F31" s="74"/>
      <c r="G31" s="89"/>
      <c r="H31" s="90"/>
      <c r="I31" s="91"/>
      <c r="J31" s="91"/>
      <c r="K31" s="14"/>
      <c r="L31" s="14"/>
      <c r="M31" s="74"/>
      <c r="N31" s="74"/>
    </row>
    <row r="32" spans="1:14" s="98" customFormat="1" ht="29.25" customHeight="1" outlineLevel="2" x14ac:dyDescent="0.2">
      <c r="A32" s="87"/>
      <c r="B32" s="87"/>
      <c r="C32" s="87"/>
      <c r="D32" s="74"/>
      <c r="E32" s="88"/>
      <c r="F32" s="74"/>
      <c r="G32" s="89"/>
      <c r="H32" s="90"/>
      <c r="I32" s="91"/>
      <c r="J32" s="91"/>
      <c r="K32" s="14"/>
      <c r="L32" s="14"/>
      <c r="M32" s="74"/>
      <c r="N32" s="74"/>
    </row>
    <row r="33" spans="1:14" s="98" customFormat="1" ht="29.25" customHeight="1" outlineLevel="2" x14ac:dyDescent="0.2">
      <c r="A33" s="87"/>
      <c r="B33" s="87"/>
      <c r="C33" s="87"/>
      <c r="D33" s="74"/>
      <c r="E33" s="88"/>
      <c r="F33" s="74"/>
      <c r="G33" s="89"/>
      <c r="H33" s="90"/>
      <c r="I33" s="91"/>
      <c r="J33" s="91"/>
      <c r="K33" s="14"/>
      <c r="L33" s="14"/>
      <c r="M33" s="74"/>
      <c r="N33" s="74"/>
    </row>
    <row r="34" spans="1:14" s="98" customFormat="1" ht="29.25" customHeight="1" outlineLevel="2" x14ac:dyDescent="0.2">
      <c r="A34" s="87"/>
      <c r="B34" s="87"/>
      <c r="C34" s="87"/>
      <c r="D34" s="74"/>
      <c r="E34" s="88"/>
      <c r="F34" s="74"/>
      <c r="G34" s="89"/>
      <c r="H34" s="90"/>
      <c r="I34" s="91"/>
      <c r="J34" s="91"/>
      <c r="K34" s="14"/>
      <c r="L34" s="14"/>
      <c r="M34" s="74"/>
      <c r="N34" s="74"/>
    </row>
    <row r="35" spans="1:14" s="98" customFormat="1" ht="29.25" customHeight="1" outlineLevel="2" x14ac:dyDescent="0.2">
      <c r="A35" s="87"/>
      <c r="B35" s="87"/>
      <c r="C35" s="87"/>
      <c r="D35" s="74"/>
      <c r="E35" s="88"/>
      <c r="F35" s="74"/>
      <c r="G35" s="89"/>
      <c r="H35" s="90"/>
      <c r="I35" s="91"/>
      <c r="J35" s="91"/>
      <c r="K35" s="14"/>
      <c r="L35" s="14"/>
      <c r="M35" s="74"/>
      <c r="N35" s="74"/>
    </row>
    <row r="36" spans="1:14" s="98" customFormat="1" ht="29.25" customHeight="1" outlineLevel="2" x14ac:dyDescent="0.2">
      <c r="A36" s="87"/>
      <c r="B36" s="87"/>
      <c r="C36" s="87"/>
      <c r="D36" s="74"/>
      <c r="E36" s="88"/>
      <c r="F36" s="74"/>
      <c r="G36" s="89"/>
      <c r="H36" s="90"/>
      <c r="I36" s="91"/>
      <c r="J36" s="91"/>
      <c r="K36" s="14"/>
      <c r="L36" s="14"/>
      <c r="M36" s="74"/>
      <c r="N36" s="74"/>
    </row>
    <row r="37" spans="1:14" s="98" customFormat="1" ht="29.25" customHeight="1" outlineLevel="2" x14ac:dyDescent="0.2">
      <c r="A37" s="87"/>
      <c r="B37" s="87"/>
      <c r="C37" s="87"/>
      <c r="D37" s="74"/>
      <c r="E37" s="88"/>
      <c r="F37" s="74"/>
      <c r="G37" s="89"/>
      <c r="H37" s="90"/>
      <c r="I37" s="91"/>
      <c r="J37" s="91"/>
      <c r="K37" s="14"/>
      <c r="L37" s="14"/>
      <c r="M37" s="74"/>
      <c r="N37" s="74"/>
    </row>
    <row r="38" spans="1:14" s="98" customFormat="1" ht="29.25" customHeight="1" outlineLevel="1" x14ac:dyDescent="0.2">
      <c r="A38" s="87"/>
      <c r="B38" s="87"/>
      <c r="C38" s="87"/>
      <c r="D38" s="74"/>
      <c r="E38" s="88"/>
      <c r="F38" s="74"/>
      <c r="G38" s="89"/>
      <c r="H38" s="90"/>
      <c r="I38" s="91"/>
      <c r="J38" s="91"/>
      <c r="K38" s="14"/>
      <c r="L38" s="14"/>
      <c r="M38" s="74"/>
      <c r="N38" s="74"/>
    </row>
    <row r="39" spans="1:14" s="98" customFormat="1" ht="29.25" customHeight="1" outlineLevel="2" x14ac:dyDescent="0.2">
      <c r="A39" s="87"/>
      <c r="B39" s="87"/>
      <c r="C39" s="87"/>
      <c r="D39" s="74"/>
      <c r="E39" s="88"/>
      <c r="F39" s="74"/>
      <c r="G39" s="89"/>
      <c r="H39" s="90"/>
      <c r="I39" s="91"/>
      <c r="J39" s="91"/>
      <c r="K39" s="14"/>
      <c r="L39" s="14"/>
      <c r="M39" s="74"/>
      <c r="N39" s="74"/>
    </row>
    <row r="40" spans="1:14" s="98" customFormat="1" ht="29.25" customHeight="1" outlineLevel="1" x14ac:dyDescent="0.25">
      <c r="A40" s="87"/>
      <c r="B40" s="87"/>
      <c r="C40" s="87"/>
      <c r="D40" s="74"/>
      <c r="E40" s="88"/>
      <c r="F40" s="74"/>
      <c r="G40" s="89"/>
      <c r="H40" s="90"/>
      <c r="I40" s="91"/>
      <c r="J40" s="91"/>
      <c r="K40" s="14"/>
      <c r="L40" s="14"/>
      <c r="M40" s="74"/>
      <c r="N40" s="74"/>
    </row>
    <row r="41" spans="1:14" s="98" customFormat="1" ht="29.25" customHeight="1" outlineLevel="2" x14ac:dyDescent="0.25">
      <c r="A41" s="87"/>
      <c r="B41" s="87"/>
      <c r="C41" s="87"/>
      <c r="D41" s="74"/>
      <c r="E41" s="88"/>
      <c r="F41" s="74"/>
      <c r="G41" s="89"/>
      <c r="H41" s="90"/>
      <c r="I41" s="91"/>
      <c r="J41" s="91"/>
      <c r="K41" s="14"/>
      <c r="L41" s="14"/>
      <c r="M41" s="74"/>
      <c r="N41" s="74"/>
    </row>
    <row r="42" spans="1:14" s="98" customFormat="1" ht="29.25" customHeight="1" outlineLevel="1" x14ac:dyDescent="0.25">
      <c r="A42" s="87"/>
      <c r="B42" s="87"/>
      <c r="C42" s="87"/>
      <c r="D42" s="74"/>
      <c r="E42" s="88"/>
      <c r="F42" s="74"/>
      <c r="G42" s="89"/>
      <c r="H42" s="90"/>
      <c r="I42" s="91"/>
      <c r="J42" s="91"/>
      <c r="K42" s="14"/>
      <c r="L42" s="14"/>
      <c r="M42" s="74"/>
      <c r="N42" s="74"/>
    </row>
    <row r="43" spans="1:14" s="98" customFormat="1" ht="29.25" customHeight="1" outlineLevel="2" x14ac:dyDescent="0.25">
      <c r="A43" s="87"/>
      <c r="B43" s="87"/>
      <c r="C43" s="87"/>
      <c r="D43" s="74"/>
      <c r="E43" s="88"/>
      <c r="F43" s="74"/>
      <c r="G43" s="89"/>
      <c r="H43" s="90"/>
      <c r="I43" s="91"/>
      <c r="J43" s="91"/>
      <c r="K43" s="14"/>
      <c r="L43" s="14"/>
      <c r="M43" s="74"/>
      <c r="N43" s="74"/>
    </row>
    <row r="44" spans="1:14" s="98" customFormat="1" ht="29.25" customHeight="1" outlineLevel="1" x14ac:dyDescent="0.25">
      <c r="A44" s="87"/>
      <c r="B44" s="87"/>
      <c r="C44" s="87"/>
      <c r="D44" s="74"/>
      <c r="E44" s="88"/>
      <c r="F44" s="74"/>
      <c r="G44" s="89"/>
      <c r="H44" s="90"/>
      <c r="I44" s="91"/>
      <c r="J44" s="91"/>
      <c r="K44" s="14"/>
      <c r="L44" s="14"/>
      <c r="M44" s="74"/>
      <c r="N44" s="74"/>
    </row>
    <row r="45" spans="1:14" s="98" customFormat="1" ht="29.25" customHeight="1" outlineLevel="2" x14ac:dyDescent="0.25">
      <c r="A45" s="87"/>
      <c r="B45" s="87"/>
      <c r="C45" s="87"/>
      <c r="D45" s="74"/>
      <c r="E45" s="88"/>
      <c r="F45" s="74"/>
      <c r="G45" s="89"/>
      <c r="H45" s="90"/>
      <c r="I45" s="91"/>
      <c r="J45" s="91"/>
      <c r="K45" s="14"/>
      <c r="L45" s="14"/>
      <c r="M45" s="74"/>
      <c r="N45" s="74"/>
    </row>
    <row r="46" spans="1:14" s="98" customFormat="1" ht="29.25" customHeight="1" outlineLevel="1" x14ac:dyDescent="0.25">
      <c r="A46" s="87"/>
      <c r="B46" s="87"/>
      <c r="C46" s="87"/>
      <c r="D46" s="74"/>
      <c r="E46" s="88"/>
      <c r="F46" s="74"/>
      <c r="G46" s="89"/>
      <c r="H46" s="90"/>
      <c r="I46" s="91"/>
      <c r="J46" s="91"/>
      <c r="K46" s="14"/>
      <c r="L46" s="14"/>
      <c r="M46" s="74"/>
      <c r="N46" s="74"/>
    </row>
    <row r="47" spans="1:14" s="98" customFormat="1" ht="29.25" customHeight="1" outlineLevel="2" x14ac:dyDescent="0.25">
      <c r="A47" s="87"/>
      <c r="B47" s="87"/>
      <c r="C47" s="87"/>
      <c r="D47" s="74"/>
      <c r="E47" s="99"/>
      <c r="F47" s="74"/>
      <c r="G47" s="89"/>
      <c r="H47" s="90"/>
      <c r="I47" s="91"/>
      <c r="J47" s="91"/>
      <c r="K47" s="14"/>
      <c r="L47" s="14"/>
      <c r="M47" s="74"/>
      <c r="N47" s="74"/>
    </row>
    <row r="48" spans="1:14" s="98" customFormat="1" ht="29.25" customHeight="1" outlineLevel="1" x14ac:dyDescent="0.25">
      <c r="A48" s="87"/>
      <c r="B48" s="87"/>
      <c r="C48" s="87"/>
      <c r="D48" s="74"/>
      <c r="E48" s="99"/>
      <c r="F48" s="74"/>
      <c r="G48" s="89"/>
      <c r="H48" s="90"/>
      <c r="I48" s="91"/>
      <c r="J48" s="91"/>
      <c r="K48" s="14"/>
      <c r="L48" s="14"/>
      <c r="M48" s="74"/>
      <c r="N48" s="74"/>
    </row>
    <row r="49" spans="1:14" s="98" customFormat="1" ht="29.25" customHeight="1" outlineLevel="2" x14ac:dyDescent="0.25">
      <c r="A49" s="87"/>
      <c r="B49" s="87"/>
      <c r="C49" s="87"/>
      <c r="D49" s="74"/>
      <c r="E49" s="88"/>
      <c r="F49" s="74"/>
      <c r="G49" s="89"/>
      <c r="H49" s="90"/>
      <c r="I49" s="91"/>
      <c r="J49" s="91"/>
      <c r="K49" s="14"/>
      <c r="L49" s="14"/>
      <c r="M49" s="74"/>
      <c r="N49" s="74"/>
    </row>
    <row r="50" spans="1:14" s="98" customFormat="1" ht="29.25" customHeight="1" outlineLevel="1" x14ac:dyDescent="0.25">
      <c r="A50" s="87"/>
      <c r="B50" s="87"/>
      <c r="C50" s="87"/>
      <c r="D50" s="74"/>
      <c r="E50" s="88"/>
      <c r="F50" s="74"/>
      <c r="G50" s="89"/>
      <c r="H50" s="90"/>
      <c r="I50" s="91"/>
      <c r="J50" s="91"/>
      <c r="K50" s="14"/>
      <c r="L50" s="14"/>
      <c r="M50" s="74"/>
      <c r="N50" s="74"/>
    </row>
    <row r="51" spans="1:14" s="98" customFormat="1" ht="29.25" customHeight="1" outlineLevel="2" x14ac:dyDescent="0.25">
      <c r="A51" s="87"/>
      <c r="B51" s="87"/>
      <c r="C51" s="87"/>
      <c r="D51" s="74"/>
      <c r="E51" s="88"/>
      <c r="F51" s="74"/>
      <c r="G51" s="89"/>
      <c r="H51" s="90"/>
      <c r="I51" s="91"/>
      <c r="J51" s="91"/>
      <c r="K51" s="14"/>
      <c r="L51" s="14"/>
      <c r="M51" s="74"/>
      <c r="N51" s="74"/>
    </row>
    <row r="52" spans="1:14" s="98" customFormat="1" ht="29.25" customHeight="1" outlineLevel="2" x14ac:dyDescent="0.25">
      <c r="A52" s="87"/>
      <c r="B52" s="87"/>
      <c r="C52" s="87"/>
      <c r="D52" s="74"/>
      <c r="E52" s="88"/>
      <c r="F52" s="74"/>
      <c r="G52" s="89"/>
      <c r="H52" s="90"/>
      <c r="I52" s="91"/>
      <c r="J52" s="91"/>
      <c r="K52" s="14"/>
      <c r="L52" s="14"/>
      <c r="M52" s="74"/>
      <c r="N52" s="74"/>
    </row>
    <row r="53" spans="1:14" s="98" customFormat="1" ht="29.25" customHeight="1" outlineLevel="2" x14ac:dyDescent="0.25">
      <c r="A53" s="87"/>
      <c r="B53" s="87"/>
      <c r="C53" s="87"/>
      <c r="D53" s="74"/>
      <c r="E53" s="88"/>
      <c r="F53" s="74"/>
      <c r="G53" s="89"/>
      <c r="H53" s="90"/>
      <c r="I53" s="91"/>
      <c r="J53" s="91"/>
      <c r="K53" s="14"/>
      <c r="L53" s="14"/>
      <c r="M53" s="74"/>
      <c r="N53" s="74"/>
    </row>
    <row r="54" spans="1:14" s="98" customFormat="1" ht="29.25" customHeight="1" outlineLevel="2" x14ac:dyDescent="0.25">
      <c r="A54" s="87"/>
      <c r="B54" s="87"/>
      <c r="C54" s="87"/>
      <c r="D54" s="74"/>
      <c r="E54" s="88"/>
      <c r="F54" s="74"/>
      <c r="G54" s="89"/>
      <c r="H54" s="90"/>
      <c r="I54" s="91"/>
      <c r="J54" s="91"/>
      <c r="K54" s="14"/>
      <c r="L54" s="14"/>
      <c r="M54" s="74"/>
      <c r="N54" s="74"/>
    </row>
    <row r="55" spans="1:14" s="98" customFormat="1" ht="29.25" customHeight="1" outlineLevel="2" x14ac:dyDescent="0.25">
      <c r="A55" s="87"/>
      <c r="B55" s="87"/>
      <c r="C55" s="87"/>
      <c r="D55" s="74"/>
      <c r="E55" s="88"/>
      <c r="F55" s="74"/>
      <c r="G55" s="89"/>
      <c r="H55" s="90"/>
      <c r="I55" s="91"/>
      <c r="J55" s="91"/>
      <c r="K55" s="14"/>
      <c r="L55" s="14"/>
      <c r="M55" s="74"/>
      <c r="N55" s="74"/>
    </row>
    <row r="56" spans="1:14" s="98" customFormat="1" ht="29.25" customHeight="1" outlineLevel="2" x14ac:dyDescent="0.25">
      <c r="A56" s="87"/>
      <c r="B56" s="87"/>
      <c r="C56" s="87"/>
      <c r="D56" s="74"/>
      <c r="E56" s="88"/>
      <c r="F56" s="74"/>
      <c r="G56" s="89"/>
      <c r="H56" s="90"/>
      <c r="I56" s="91"/>
      <c r="J56" s="91"/>
      <c r="K56" s="14"/>
      <c r="L56" s="14"/>
      <c r="M56" s="74"/>
      <c r="N56" s="74"/>
    </row>
    <row r="57" spans="1:14" s="98" customFormat="1" ht="29.25" customHeight="1" outlineLevel="2" x14ac:dyDescent="0.25">
      <c r="A57" s="87"/>
      <c r="B57" s="87"/>
      <c r="C57" s="87"/>
      <c r="D57" s="74"/>
      <c r="E57" s="88"/>
      <c r="F57" s="74"/>
      <c r="G57" s="89"/>
      <c r="H57" s="90"/>
      <c r="I57" s="91"/>
      <c r="J57" s="91"/>
      <c r="K57" s="14"/>
      <c r="L57" s="14"/>
      <c r="M57" s="74"/>
      <c r="N57" s="74"/>
    </row>
    <row r="58" spans="1:14" s="98" customFormat="1" ht="29.25" customHeight="1" outlineLevel="1" x14ac:dyDescent="0.25">
      <c r="A58" s="87"/>
      <c r="B58" s="87"/>
      <c r="C58" s="87"/>
      <c r="D58" s="74"/>
      <c r="E58" s="88"/>
      <c r="F58" s="74"/>
      <c r="G58" s="89"/>
      <c r="H58" s="90"/>
      <c r="I58" s="91"/>
      <c r="J58" s="91"/>
      <c r="K58" s="14"/>
      <c r="L58" s="14"/>
      <c r="M58" s="74"/>
      <c r="N58" s="74"/>
    </row>
    <row r="59" spans="1:14" s="98" customFormat="1" ht="29.25" customHeight="1" outlineLevel="2" x14ac:dyDescent="0.25">
      <c r="A59" s="87"/>
      <c r="B59" s="87"/>
      <c r="C59" s="87"/>
      <c r="D59" s="74"/>
      <c r="E59" s="88"/>
      <c r="F59" s="74"/>
      <c r="G59" s="89"/>
      <c r="H59" s="90"/>
      <c r="I59" s="91"/>
      <c r="J59" s="91"/>
      <c r="K59" s="14"/>
      <c r="L59" s="14"/>
      <c r="M59" s="74"/>
      <c r="N59" s="74"/>
    </row>
    <row r="60" spans="1:14" s="98" customFormat="1" ht="29.25" customHeight="1" outlineLevel="1" x14ac:dyDescent="0.25">
      <c r="A60" s="87"/>
      <c r="B60" s="87"/>
      <c r="C60" s="87"/>
      <c r="D60" s="74"/>
      <c r="E60" s="88"/>
      <c r="F60" s="74"/>
      <c r="G60" s="89"/>
      <c r="H60" s="90"/>
      <c r="I60" s="91"/>
      <c r="J60" s="91"/>
      <c r="K60" s="14"/>
      <c r="L60" s="14"/>
      <c r="M60" s="74"/>
      <c r="N60" s="74"/>
    </row>
    <row r="61" spans="1:14" s="98" customFormat="1" ht="29.25" customHeight="1" outlineLevel="2" x14ac:dyDescent="0.25">
      <c r="A61" s="87"/>
      <c r="B61" s="87"/>
      <c r="C61" s="87"/>
      <c r="D61" s="74"/>
      <c r="E61" s="88"/>
      <c r="F61" s="74"/>
      <c r="G61" s="89"/>
      <c r="H61" s="90"/>
      <c r="I61" s="91"/>
      <c r="J61" s="91"/>
      <c r="K61" s="14"/>
      <c r="L61" s="14"/>
      <c r="M61" s="74"/>
      <c r="N61" s="7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A23" sqref="A23:XFD23"/>
    </sheetView>
  </sheetViews>
  <sheetFormatPr defaultRowHeight="14.4" x14ac:dyDescent="0.3"/>
  <cols>
    <col min="1" max="1" width="11.5546875" bestFit="1" customWidth="1"/>
    <col min="2" max="2" width="7" bestFit="1" customWidth="1"/>
    <col min="4" max="4" width="15.88671875" customWidth="1"/>
  </cols>
  <sheetData>
    <row r="1" spans="1:5" ht="15" x14ac:dyDescent="0.25">
      <c r="A1" s="112" t="s">
        <v>669</v>
      </c>
      <c r="B1" s="112"/>
    </row>
    <row r="2" spans="1:5" ht="15" x14ac:dyDescent="0.25">
      <c r="A2" s="2" t="s">
        <v>670</v>
      </c>
      <c r="B2" s="3">
        <v>2.07E-2</v>
      </c>
    </row>
    <row r="3" spans="1:5" ht="15" x14ac:dyDescent="0.25">
      <c r="A3" s="2" t="s">
        <v>671</v>
      </c>
      <c r="B3" s="3">
        <v>8.6999999999999994E-2</v>
      </c>
    </row>
    <row r="4" spans="1:5" ht="15" x14ac:dyDescent="0.25">
      <c r="A4" s="4"/>
      <c r="B4" s="4"/>
    </row>
    <row r="5" spans="1:5" ht="15" x14ac:dyDescent="0.25">
      <c r="A5" s="2" t="s">
        <v>672</v>
      </c>
      <c r="B5" s="5">
        <v>2.6200000000000001E-2</v>
      </c>
    </row>
    <row r="6" spans="1:5" ht="15" x14ac:dyDescent="0.25">
      <c r="A6" s="2" t="s">
        <v>673</v>
      </c>
      <c r="B6" s="3">
        <v>0.11799999999999999</v>
      </c>
    </row>
    <row r="8" spans="1:5" ht="15" x14ac:dyDescent="0.25">
      <c r="D8" s="6" t="s">
        <v>674</v>
      </c>
      <c r="E8" s="6" t="s">
        <v>675</v>
      </c>
    </row>
    <row r="9" spans="1:5" ht="15" x14ac:dyDescent="0.25">
      <c r="D9" s="1" t="s">
        <v>161</v>
      </c>
      <c r="E9" s="6" t="s">
        <v>27</v>
      </c>
    </row>
    <row r="10" spans="1:5" ht="15" x14ac:dyDescent="0.25">
      <c r="D10" s="1" t="s">
        <v>424</v>
      </c>
      <c r="E10" s="6" t="s">
        <v>27</v>
      </c>
    </row>
    <row r="11" spans="1:5" ht="15" x14ac:dyDescent="0.25">
      <c r="D11" s="1" t="s">
        <v>428</v>
      </c>
      <c r="E11" s="6" t="s">
        <v>27</v>
      </c>
    </row>
    <row r="12" spans="1:5" ht="15" x14ac:dyDescent="0.25">
      <c r="D12" s="1" t="s">
        <v>54</v>
      </c>
      <c r="E12" s="6" t="s">
        <v>27</v>
      </c>
    </row>
    <row r="13" spans="1:5" ht="15" x14ac:dyDescent="0.25">
      <c r="D13" s="1" t="s">
        <v>24</v>
      </c>
      <c r="E13" s="6" t="s">
        <v>27</v>
      </c>
    </row>
    <row r="14" spans="1:5" ht="15" x14ac:dyDescent="0.25">
      <c r="D14" s="1" t="s">
        <v>84</v>
      </c>
      <c r="E14" s="6" t="s">
        <v>27</v>
      </c>
    </row>
    <row r="15" spans="1:5" ht="15" x14ac:dyDescent="0.25">
      <c r="D15" s="1" t="s">
        <v>432</v>
      </c>
      <c r="E15" s="6" t="s">
        <v>27</v>
      </c>
    </row>
    <row r="16" spans="1:5" ht="15" x14ac:dyDescent="0.25">
      <c r="D16" s="1" t="s">
        <v>15</v>
      </c>
      <c r="E16" s="6" t="s">
        <v>676</v>
      </c>
    </row>
    <row r="17" spans="1:17" ht="15" x14ac:dyDescent="0.25">
      <c r="D17" s="1" t="s">
        <v>92</v>
      </c>
      <c r="E17" s="6" t="s">
        <v>676</v>
      </c>
    </row>
    <row r="18" spans="1:17" ht="15" x14ac:dyDescent="0.25">
      <c r="D18" s="7"/>
      <c r="E18" s="8"/>
    </row>
    <row r="23" spans="1:17" s="65" customFormat="1" ht="15.75" x14ac:dyDescent="0.25">
      <c r="A23" s="79" t="s">
        <v>706</v>
      </c>
      <c r="B23" s="78">
        <v>41274</v>
      </c>
      <c r="C23" s="21"/>
      <c r="D23" s="21"/>
      <c r="E23" s="76"/>
      <c r="F23" s="21"/>
      <c r="G23" s="76"/>
      <c r="H23" s="21"/>
      <c r="M23" s="77"/>
      <c r="N23" s="21"/>
      <c r="O23" s="21"/>
      <c r="P23" s="76"/>
      <c r="Q23" s="76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D14" sqref="D14"/>
    </sheetView>
  </sheetViews>
  <sheetFormatPr defaultColWidth="9.109375" defaultRowHeight="13.2" x14ac:dyDescent="0.25"/>
  <cols>
    <col min="1" max="2" width="9.109375" style="25"/>
    <col min="3" max="3" width="7.109375" style="25" bestFit="1" customWidth="1"/>
    <col min="4" max="4" width="7.5546875" style="25" bestFit="1" customWidth="1"/>
    <col min="5" max="5" width="7.109375" style="25" bestFit="1" customWidth="1"/>
    <col min="6" max="6" width="12.6640625" style="25" bestFit="1" customWidth="1"/>
    <col min="7" max="7" width="11.33203125" style="25" bestFit="1" customWidth="1"/>
    <col min="8" max="9" width="9.109375" style="25"/>
    <col min="10" max="10" width="11.88671875" style="25" customWidth="1"/>
    <col min="11" max="11" width="11.33203125" style="25" bestFit="1" customWidth="1"/>
    <col min="12" max="16384" width="9.109375" style="25"/>
  </cols>
  <sheetData>
    <row r="1" spans="1:11" ht="13.5" thickBot="1" x14ac:dyDescent="0.25">
      <c r="A1" s="22"/>
      <c r="B1" s="22"/>
      <c r="C1" s="22"/>
      <c r="D1" s="23"/>
      <c r="E1" s="23"/>
      <c r="F1" s="23"/>
      <c r="G1" s="23"/>
      <c r="H1" s="23"/>
      <c r="I1" s="23"/>
      <c r="J1" s="24"/>
      <c r="K1" s="24"/>
    </row>
    <row r="2" spans="1:11" ht="25.5" x14ac:dyDescent="0.2">
      <c r="A2" s="26"/>
      <c r="B2" s="27"/>
      <c r="C2" s="27"/>
      <c r="D2" s="28" t="s">
        <v>653</v>
      </c>
      <c r="E2" s="29" t="s">
        <v>654</v>
      </c>
      <c r="F2" s="30" t="s">
        <v>655</v>
      </c>
      <c r="G2" s="31" t="s">
        <v>656</v>
      </c>
      <c r="H2" s="23"/>
      <c r="I2" s="23"/>
      <c r="J2" s="32" t="s">
        <v>657</v>
      </c>
      <c r="K2" s="33" t="s">
        <v>658</v>
      </c>
    </row>
    <row r="3" spans="1:11" ht="13.5" thickBot="1" x14ac:dyDescent="0.25">
      <c r="A3" s="27"/>
      <c r="B3" s="27"/>
      <c r="C3" s="34" t="s">
        <v>659</v>
      </c>
      <c r="D3" s="35">
        <f>SUMIF('January 2012 - Data'!G$3:$G$295,"MFP",'January 2012 - Data'!I$3:I$295)</f>
        <v>413231</v>
      </c>
      <c r="E3" s="36">
        <f>SUMIF('January 2012 - Data'!G$3:$G$295,"MFP",'January 2012 - Data'!J$3:J$295)</f>
        <v>52007.1</v>
      </c>
      <c r="F3" s="37">
        <f>SUM(D3)*D14</f>
        <v>8553.8816999999999</v>
      </c>
      <c r="G3" s="38">
        <f>SUM(E3)*E14</f>
        <v>4524.6176999999998</v>
      </c>
      <c r="H3" s="23"/>
      <c r="I3" s="23"/>
      <c r="J3" s="39">
        <f>SUMIF('January 2012 - Data'!$G$3:G$295,"MFP",'January 2012 - Data'!K$3:K$295)</f>
        <v>8553.8817000000017</v>
      </c>
      <c r="K3" s="40">
        <f>SUMIF('January 2012 - Data'!$G$3:$G$295,"MFP",'January 2012 - Data'!L$3:L$295)</f>
        <v>4524.6177000000007</v>
      </c>
    </row>
    <row r="4" spans="1:11" ht="13.5" thickBot="1" x14ac:dyDescent="0.25">
      <c r="A4" s="27"/>
      <c r="B4" s="27"/>
      <c r="C4" s="41"/>
      <c r="D4" s="41"/>
      <c r="E4" s="42"/>
      <c r="F4" s="22"/>
      <c r="G4" s="22"/>
      <c r="H4" s="23"/>
      <c r="I4" s="23"/>
      <c r="J4" s="23"/>
      <c r="K4" s="23"/>
    </row>
    <row r="5" spans="1:11" ht="25.5" x14ac:dyDescent="0.2">
      <c r="A5" s="27"/>
      <c r="B5" s="27"/>
      <c r="C5" s="43"/>
      <c r="D5" s="28" t="s">
        <v>660</v>
      </c>
      <c r="E5" s="29" t="s">
        <v>661</v>
      </c>
      <c r="F5" s="30" t="s">
        <v>662</v>
      </c>
      <c r="G5" s="31" t="s">
        <v>663</v>
      </c>
      <c r="H5" s="23"/>
      <c r="I5" s="23"/>
      <c r="J5" s="32" t="s">
        <v>660</v>
      </c>
      <c r="K5" s="33" t="s">
        <v>661</v>
      </c>
    </row>
    <row r="6" spans="1:11" ht="13.5" thickBot="1" x14ac:dyDescent="0.25">
      <c r="A6" s="27"/>
      <c r="B6" s="27"/>
      <c r="C6" s="34" t="s">
        <v>664</v>
      </c>
      <c r="D6" s="35">
        <f>SUMIF('January 2012 - Data'!G$3:$G$295,"PTR",'January 2012 - Data'!I$3:I$295)</f>
        <v>102480</v>
      </c>
      <c r="E6" s="36">
        <f>SUMIF('January 2012 - Data'!G$3:$G$295,"PTR",'January 2012 - Data'!J$3:J$295)</f>
        <v>932</v>
      </c>
      <c r="F6" s="37">
        <f>SUM(D6)*D15</f>
        <v>2684.9760000000001</v>
      </c>
      <c r="G6" s="38">
        <f>SUM(E6)*E15</f>
        <v>109.976</v>
      </c>
      <c r="H6" s="23"/>
      <c r="I6" s="23"/>
      <c r="J6" s="39">
        <f>SUMIF('January 2012 - Data'!$G$3:$G$295,"Ptr",'January 2012 - Data'!K$3:K$295)</f>
        <v>2684.9759999999997</v>
      </c>
      <c r="K6" s="40">
        <f>SUMIF('January 2012 - Data'!$G$3:$G$295,"PTR",'January 2012 - Data'!L$3:L$295)</f>
        <v>109.976</v>
      </c>
    </row>
    <row r="7" spans="1:11" ht="13.5" thickBot="1" x14ac:dyDescent="0.25">
      <c r="A7" s="27"/>
      <c r="B7" s="27"/>
      <c r="C7" s="41"/>
      <c r="D7" s="41"/>
      <c r="E7" s="44"/>
      <c r="F7" s="45"/>
      <c r="G7" s="22"/>
      <c r="H7" s="23"/>
      <c r="I7" s="23"/>
      <c r="J7" s="23"/>
      <c r="K7" s="23"/>
    </row>
    <row r="8" spans="1:11" ht="25.5" x14ac:dyDescent="0.2">
      <c r="A8" s="27"/>
      <c r="B8" s="27"/>
      <c r="C8" s="43"/>
      <c r="D8" s="32" t="s">
        <v>665</v>
      </c>
      <c r="E8" s="46" t="s">
        <v>666</v>
      </c>
      <c r="F8" s="30" t="s">
        <v>665</v>
      </c>
      <c r="G8" s="31" t="s">
        <v>666</v>
      </c>
      <c r="H8" s="23"/>
      <c r="I8" s="23"/>
      <c r="J8" s="32" t="s">
        <v>665</v>
      </c>
      <c r="K8" s="33" t="s">
        <v>666</v>
      </c>
    </row>
    <row r="9" spans="1:11" ht="13.5" thickBot="1" x14ac:dyDescent="0.25">
      <c r="A9" s="27"/>
      <c r="B9" s="27"/>
      <c r="C9" s="34" t="s">
        <v>667</v>
      </c>
      <c r="D9" s="35">
        <f>SUM(D3,D6)</f>
        <v>515711</v>
      </c>
      <c r="E9" s="36">
        <f>SUM(E3,E6)</f>
        <v>52939.1</v>
      </c>
      <c r="F9" s="37">
        <f>SUM(F3,F6)</f>
        <v>11238.8577</v>
      </c>
      <c r="G9" s="38">
        <f>SUM(G3,G6)</f>
        <v>4634.5936999999994</v>
      </c>
      <c r="H9" s="23"/>
      <c r="I9" s="23"/>
      <c r="J9" s="39">
        <f>SUM(J3,J6)</f>
        <v>11238.8577</v>
      </c>
      <c r="K9" s="40">
        <f>SUM(K3,K6)</f>
        <v>4634.5937000000004</v>
      </c>
    </row>
    <row r="10" spans="1:11" ht="13.5" thickBot="1" x14ac:dyDescent="0.25">
      <c r="A10" s="27"/>
      <c r="B10" s="27"/>
      <c r="C10" s="27"/>
      <c r="D10" s="41"/>
      <c r="E10" s="41"/>
      <c r="F10" s="41"/>
      <c r="G10" s="41"/>
      <c r="H10" s="23"/>
      <c r="I10" s="23"/>
      <c r="J10" s="23"/>
      <c r="K10" s="23"/>
    </row>
    <row r="11" spans="1:11" ht="26.25" thickBot="1" x14ac:dyDescent="0.25">
      <c r="A11" s="27"/>
      <c r="B11" s="27"/>
      <c r="C11" s="27"/>
      <c r="D11" s="41"/>
      <c r="E11" s="41"/>
      <c r="F11" s="32" t="s">
        <v>668</v>
      </c>
      <c r="G11" s="47">
        <f>SUM(F9:G9)</f>
        <v>15873.4514</v>
      </c>
      <c r="H11" s="23"/>
      <c r="I11" s="23"/>
      <c r="J11" s="58" t="s">
        <v>668</v>
      </c>
      <c r="K11" s="59">
        <f>SUM(J9+K9)</f>
        <v>15873.451400000002</v>
      </c>
    </row>
    <row r="12" spans="1:11" ht="12.75" customHeight="1" x14ac:dyDescent="0.25">
      <c r="A12" s="27"/>
      <c r="B12" s="27"/>
      <c r="C12" s="27"/>
      <c r="D12" s="48"/>
      <c r="E12" s="48"/>
      <c r="F12" s="104" t="s">
        <v>765</v>
      </c>
      <c r="G12" s="49">
        <f>+'January 2013 - HP Toner'!L27</f>
        <v>504.28999999999996</v>
      </c>
      <c r="H12" s="48"/>
      <c r="I12" s="48"/>
      <c r="J12" s="113" t="s">
        <v>683</v>
      </c>
      <c r="K12" s="116">
        <f>G13</f>
        <v>16377.741399999999</v>
      </c>
    </row>
    <row r="13" spans="1:11" ht="15.75" customHeight="1" thickBot="1" x14ac:dyDescent="0.3">
      <c r="A13" s="27"/>
      <c r="B13" s="27"/>
      <c r="C13" s="27"/>
      <c r="D13" s="48"/>
      <c r="E13" s="48"/>
      <c r="F13" s="50" t="s">
        <v>679</v>
      </c>
      <c r="G13" s="51">
        <f>SUM(G11+G12)</f>
        <v>16377.741399999999</v>
      </c>
      <c r="H13" s="48"/>
      <c r="I13" s="48"/>
      <c r="J13" s="114"/>
      <c r="K13" s="117"/>
    </row>
    <row r="14" spans="1:11" ht="15" customHeight="1" thickBot="1" x14ac:dyDescent="0.3">
      <c r="A14" s="27"/>
      <c r="B14" s="27"/>
      <c r="C14" s="52" t="s">
        <v>27</v>
      </c>
      <c r="D14" s="53">
        <f>Tables!B2</f>
        <v>2.07E-2</v>
      </c>
      <c r="E14" s="54">
        <f>Tables!B3</f>
        <v>8.6999999999999994E-2</v>
      </c>
      <c r="F14" s="48"/>
      <c r="G14" s="48"/>
      <c r="H14" s="48"/>
      <c r="I14" s="48"/>
      <c r="J14" s="115"/>
      <c r="K14" s="118"/>
    </row>
    <row r="15" spans="1:11" ht="13.5" thickBot="1" x14ac:dyDescent="0.25">
      <c r="A15" s="27"/>
      <c r="B15" s="27"/>
      <c r="C15" s="55" t="s">
        <v>18</v>
      </c>
      <c r="D15" s="56">
        <f>Tables!B5</f>
        <v>2.6200000000000001E-2</v>
      </c>
      <c r="E15" s="57">
        <f>Tables!B6</f>
        <v>0.11799999999999999</v>
      </c>
      <c r="F15" s="48"/>
      <c r="G15" s="48"/>
      <c r="H15" s="48"/>
      <c r="I15" s="48"/>
      <c r="J15" s="48"/>
      <c r="K15" s="48"/>
    </row>
    <row r="18" spans="6:7" ht="12.75" x14ac:dyDescent="0.2">
      <c r="F18" s="72" t="s">
        <v>702</v>
      </c>
      <c r="G18" s="25">
        <f>COUNTIF('January 2012 - Data'!G3:G295,"MFP")</f>
        <v>59</v>
      </c>
    </row>
    <row r="19" spans="6:7" ht="12.75" x14ac:dyDescent="0.2">
      <c r="F19" s="72" t="s">
        <v>703</v>
      </c>
      <c r="G19" s="25">
        <f>COUNTIF('January 2012 - Data'!G3:G295,"PTR")</f>
        <v>163</v>
      </c>
    </row>
    <row r="20" spans="6:7" ht="13.5" thickBot="1" x14ac:dyDescent="0.25">
      <c r="F20" s="73" t="s">
        <v>704</v>
      </c>
      <c r="G20" s="25">
        <f>SUM(G18:G19)</f>
        <v>222</v>
      </c>
    </row>
  </sheetData>
  <mergeCells count="2">
    <mergeCell ref="J12:J14"/>
    <mergeCell ref="K12:K14"/>
  </mergeCells>
  <conditionalFormatting sqref="G11">
    <cfRule type="cellIs" dxfId="9" priority="42" operator="equal">
      <formula>$K$11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" operator="equal" id="{EBF384B6-41A0-47D0-B782-E878837656B6}">
            <xm:f>'January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10" operator="equal" id="{7343C23D-9CCD-426F-BB96-53F19DBA29B9}">
            <xm:f>'January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43" operator="equal" id="{822F40CB-8DD6-45CC-AF4D-8F8CBA9479C9}">
            <xm:f>'January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J9:K9</xm:sqref>
        </x14:conditionalFormatting>
        <x14:conditionalFormatting xmlns:xm="http://schemas.microsoft.com/office/excel/2006/main">
          <x14:cfRule type="cellIs" priority="50" operator="equal" id="{314766D2-E8F7-4E9E-88F7-2AEB8291A8A2}">
            <xm:f>'January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K11</xm:sqref>
        </x14:conditionalFormatting>
        <x14:conditionalFormatting xmlns:xm="http://schemas.microsoft.com/office/excel/2006/main">
          <x14:cfRule type="cellIs" priority="51" operator="equal" id="{9AA01DD0-BCC8-40DF-BD94-775BC278F280}">
            <xm:f>'January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D9:E9</xm:sqref>
        </x14:conditionalFormatting>
        <x14:conditionalFormatting xmlns:xm="http://schemas.microsoft.com/office/excel/2006/main">
          <x14:cfRule type="cellIs" priority="56" operator="equal" id="{7E49F3A8-220B-45F4-B85A-B40A548ECA6C}">
            <xm:f>'January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7" operator="equal" id="{FB61B81E-6FDE-4302-B5BB-42F476FFD6AA}">
            <xm:f>'January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ellIs" priority="58" operator="equal" id="{C59D27DF-EE26-46ED-AC6F-91F300135E75}">
            <xm:f>'January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9" operator="equal" id="{792F373A-3030-4912-B960-C41134F6FCF5}">
            <xm:f>'January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 2012 - Data</vt:lpstr>
      <vt:lpstr>January 2013 - HP Toner</vt:lpstr>
      <vt:lpstr>Tables</vt:lpstr>
      <vt:lpstr>Totals</vt:lpstr>
    </vt:vector>
  </TitlesOfParts>
  <Company>MWV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REESE</dc:creator>
  <cp:lastModifiedBy>Windows User</cp:lastModifiedBy>
  <cp:lastPrinted>2013-02-13T17:07:15Z</cp:lastPrinted>
  <dcterms:created xsi:type="dcterms:W3CDTF">2013-02-07T14:46:16Z</dcterms:created>
  <dcterms:modified xsi:type="dcterms:W3CDTF">2013-03-19T17:37:03Z</dcterms:modified>
</cp:coreProperties>
</file>