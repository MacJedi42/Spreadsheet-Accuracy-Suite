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276" yWindow="852" windowWidth="16764" windowHeight="9048" tabRatio="797"/>
  </bookViews>
  <sheets>
    <sheet name="S1 McNemar2" sheetId="9" r:id="rId1"/>
  </sheets>
  <definedNames>
    <definedName name="_xlnm.Print_Area">#REF!</definedName>
    <definedName name="Print_Area_1">#REF!</definedName>
    <definedName name="Print_Area_2">#REF!</definedName>
    <definedName name="Print_Area_3">#REF!</definedName>
    <definedName name="Print_Area_4">#REF!</definedName>
    <definedName name="Print_Area_5">#REF!</definedName>
  </definedNames>
  <calcPr calcId="125725"/>
</workbook>
</file>

<file path=xl/calcChain.xml><?xml version="1.0" encoding="utf-8"?>
<calcChain xmlns="http://schemas.openxmlformats.org/spreadsheetml/2006/main">
  <c r="R39" i="9"/>
  <c r="L39"/>
  <c r="Q39" l="1"/>
  <c r="K39"/>
  <c r="X38"/>
  <c r="W38"/>
  <c r="X35"/>
  <c r="W35"/>
  <c r="X33"/>
  <c r="W33"/>
  <c r="X31"/>
  <c r="W31"/>
  <c r="X27"/>
  <c r="W27"/>
  <c r="X21"/>
  <c r="W21"/>
  <c r="X16"/>
  <c r="W16"/>
  <c r="X14"/>
  <c r="W14"/>
  <c r="X39" l="1"/>
  <c r="W39"/>
</calcChain>
</file>

<file path=xl/sharedStrings.xml><?xml version="1.0" encoding="utf-8"?>
<sst xmlns="http://schemas.openxmlformats.org/spreadsheetml/2006/main" count="131" uniqueCount="35">
  <si>
    <t>na</t>
  </si>
  <si>
    <r>
      <t xml:space="preserve">Copy number of </t>
    </r>
    <r>
      <rPr>
        <i/>
        <sz val="11"/>
        <color rgb="FF000000"/>
        <rFont val="Times New Roman"/>
        <family val="1"/>
        <charset val="1"/>
      </rPr>
      <t>TMEM154</t>
    </r>
    <r>
      <rPr>
        <sz val="11"/>
        <color rgb="FF000000"/>
        <rFont val="Times New Roman"/>
        <family val="1"/>
        <charset val="1"/>
      </rPr>
      <t xml:space="preserve"> risk factors in animal</t>
    </r>
    <r>
      <rPr>
        <vertAlign val="superscript"/>
        <sz val="14"/>
        <color rgb="FF000000"/>
        <rFont val="Times New Roman"/>
        <family val="1"/>
        <charset val="1"/>
      </rPr>
      <t>a</t>
    </r>
  </si>
  <si>
    <t>case</t>
  </si>
  <si>
    <t>control</t>
  </si>
  <si>
    <t>1,2</t>
  </si>
  <si>
    <t>1,1</t>
  </si>
  <si>
    <t>1,3</t>
  </si>
  <si>
    <t>2,4</t>
  </si>
  <si>
    <t>2,5</t>
  </si>
  <si>
    <t>1,4</t>
  </si>
  <si>
    <t>1,6</t>
  </si>
  <si>
    <t>3,5</t>
  </si>
  <si>
    <t>3,3</t>
  </si>
  <si>
    <t>2,2</t>
  </si>
  <si>
    <t>2,3</t>
  </si>
  <si>
    <r>
      <t>a</t>
    </r>
    <r>
      <rPr>
        <sz val="11"/>
        <rFont val="Times New Roman"/>
        <family val="1"/>
        <charset val="1"/>
      </rPr>
      <t xml:space="preserve">The </t>
    </r>
    <r>
      <rPr>
        <i/>
        <sz val="11"/>
        <rFont val="Times New Roman"/>
        <family val="1"/>
        <charset val="1"/>
      </rPr>
      <t>TMEM154</t>
    </r>
    <r>
      <rPr>
        <sz val="11"/>
        <rFont val="Times New Roman"/>
        <family val="1"/>
        <charset val="1"/>
      </rPr>
      <t xml:space="preserve"> haplotypes "2" and "3" were analyzed as equivalent risk factors.  Animals without haplotypes "2" or "3" were counted as not having the genetic risk factor.</t>
    </r>
  </si>
  <si>
    <t>5- to 9-year-olds</t>
  </si>
  <si>
    <t>4-year-olds</t>
  </si>
  <si>
    <t>Number of pairs</t>
  </si>
  <si>
    <t>Total:</t>
  </si>
  <si>
    <t>Subtotal:</t>
  </si>
  <si>
    <t>Type of pair</t>
  </si>
  <si>
    <t>E,K</t>
  </si>
  <si>
    <t>K,K</t>
  </si>
  <si>
    <t>E,E</t>
  </si>
  <si>
    <t>OAR17_5388531</t>
  </si>
  <si>
    <t>C,T</t>
  </si>
  <si>
    <t>T,T</t>
  </si>
  <si>
    <t>C,C</t>
  </si>
  <si>
    <t>Diplotype</t>
  </si>
  <si>
    <r>
      <rPr>
        <i/>
        <sz val="11"/>
        <color rgb="FF000000"/>
        <rFont val="Times New Roman"/>
        <family val="1"/>
      </rPr>
      <t>TMEM154</t>
    </r>
    <r>
      <rPr>
        <sz val="11"/>
        <color rgb="FF000000"/>
        <rFont val="Times New Roman"/>
        <family val="1"/>
        <charset val="1"/>
      </rPr>
      <t xml:space="preserve"> E35K</t>
    </r>
  </si>
  <si>
    <r>
      <rPr>
        <i/>
        <sz val="11"/>
        <color rgb="FF000000"/>
        <rFont val="Times New Roman"/>
        <family val="1"/>
      </rPr>
      <t>TMEM154</t>
    </r>
    <r>
      <rPr>
        <sz val="11"/>
        <color rgb="FF000000"/>
        <rFont val="Times New Roman"/>
        <family val="1"/>
        <charset val="1"/>
      </rPr>
      <t xml:space="preserve"> coding sequence</t>
    </r>
  </si>
  <si>
    <r>
      <rPr>
        <sz val="14"/>
        <color rgb="FF000000"/>
        <rFont val="Times New Roman"/>
        <family val="1"/>
      </rPr>
      <t xml:space="preserve">Table S1  Distribution of </t>
    </r>
    <r>
      <rPr>
        <i/>
        <sz val="14"/>
        <color rgb="FF000000"/>
        <rFont val="Times New Roman"/>
        <family val="1"/>
      </rPr>
      <t>TMEM154</t>
    </r>
    <r>
      <rPr>
        <sz val="14"/>
        <color rgb="FF000000"/>
        <rFont val="Times New Roman"/>
        <family val="1"/>
      </rPr>
      <t xml:space="preserve"> risk factors and diplotypes in matched cases-control pairs of ewes.</t>
    </r>
  </si>
  <si>
    <t>Discordant</t>
  </si>
  <si>
    <t>Concordant</t>
  </si>
</sst>
</file>

<file path=xl/styles.xml><?xml version="1.0" encoding="utf-8"?>
<styleSheet xmlns="http://schemas.openxmlformats.org/spreadsheetml/2006/main">
  <fonts count="13">
    <font>
      <sz val="9"/>
      <name val="Arial"/>
      <family val="2"/>
      <charset val="1"/>
    </font>
    <font>
      <sz val="11"/>
      <color rgb="FF000000"/>
      <name val="Calibri"/>
      <family val="2"/>
      <charset val="1"/>
    </font>
    <font>
      <vertAlign val="superscript"/>
      <sz val="14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000000"/>
      <name val="Times New Roman"/>
      <family val="1"/>
      <charset val="1"/>
    </font>
    <font>
      <i/>
      <sz val="11"/>
      <color rgb="FF000000"/>
      <name val="Times New Roman"/>
      <family val="1"/>
      <charset val="1"/>
    </font>
    <font>
      <vertAlign val="superscript"/>
      <sz val="14"/>
      <color rgb="FF000000"/>
      <name val="Times New Roman"/>
      <family val="1"/>
      <charset val="1"/>
    </font>
    <font>
      <i/>
      <sz val="11"/>
      <name val="Times New Roman"/>
      <family val="1"/>
      <charset val="1"/>
    </font>
    <font>
      <sz val="11"/>
      <color rgb="FF000000"/>
      <name val="Times New Roman"/>
      <family val="1"/>
    </font>
    <font>
      <sz val="10"/>
      <name val="Arial"/>
      <family val="2"/>
    </font>
    <font>
      <i/>
      <sz val="11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35">
    <xf numFmtId="0" fontId="0" fillId="0" borderId="0" xfId="0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0" xfId="1" applyFont="1" applyBorder="1" applyAlignment="1">
      <alignment horizontal="center" wrapText="1"/>
    </xf>
    <xf numFmtId="0" fontId="4" fillId="0" borderId="0" xfId="1" applyFont="1"/>
    <xf numFmtId="0" fontId="4" fillId="0" borderId="0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 wrapText="1"/>
    </xf>
    <xf numFmtId="0" fontId="4" fillId="0" borderId="0" xfId="1" applyFont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0" xfId="1" applyBorder="1"/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wrapText="1"/>
    </xf>
    <xf numFmtId="0" fontId="4" fillId="0" borderId="0" xfId="1" applyFont="1" applyBorder="1"/>
    <xf numFmtId="0" fontId="4" fillId="0" borderId="3" xfId="1" applyFont="1" applyBorder="1" applyAlignment="1">
      <alignment vertical="center" wrapText="1"/>
    </xf>
    <xf numFmtId="0" fontId="4" fillId="0" borderId="5" xfId="1" applyFont="1" applyBorder="1" applyAlignment="1">
      <alignment vertical="center" wrapText="1"/>
    </xf>
    <xf numFmtId="0" fontId="4" fillId="0" borderId="1" xfId="1" applyFont="1" applyBorder="1" applyAlignment="1">
      <alignment vertical="center" wrapText="1"/>
    </xf>
    <xf numFmtId="0" fontId="2" fillId="0" borderId="0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 wrapText="1"/>
    </xf>
    <xf numFmtId="0" fontId="11" fillId="0" borderId="0" xfId="1" applyFont="1" applyBorder="1" applyAlignment="1">
      <alignment horizontal="left" wrapText="1"/>
    </xf>
    <xf numFmtId="0" fontId="4" fillId="0" borderId="0" xfId="1" applyFont="1" applyBorder="1" applyAlignment="1">
      <alignment horizontal="left" wrapText="1"/>
    </xf>
    <xf numFmtId="0" fontId="4" fillId="0" borderId="2" xfId="1" applyFont="1" applyBorder="1" applyAlignment="1">
      <alignment horizontal="center" wrapText="1"/>
    </xf>
    <xf numFmtId="0" fontId="8" fillId="0" borderId="2" xfId="1" applyFont="1" applyBorder="1" applyAlignment="1">
      <alignment horizontal="center" wrapText="1"/>
    </xf>
    <xf numFmtId="0" fontId="4" fillId="0" borderId="6" xfId="1" applyFont="1" applyBorder="1" applyAlignment="1">
      <alignment horizontal="center" wrapText="1"/>
    </xf>
    <xf numFmtId="0" fontId="4" fillId="0" borderId="6" xfId="1" applyFont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4" fillId="0" borderId="4" xfId="1" applyFont="1" applyBorder="1" applyAlignment="1">
      <alignment horizontal="center" wrapText="1"/>
    </xf>
  </cellXfs>
  <cellStyles count="3">
    <cellStyle name="Normal" xfId="0" builtinId="0"/>
    <cellStyle name="Normal 5" xfId="2"/>
    <cellStyle name="TableStyleLigh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J48"/>
  <sheetViews>
    <sheetView tabSelected="1" topLeftCell="D1" zoomScale="75" zoomScaleNormal="75" workbookViewId="0">
      <selection activeCell="AD17" sqref="AD17"/>
    </sheetView>
  </sheetViews>
  <sheetFormatPr defaultRowHeight="14.4"/>
  <cols>
    <col min="1" max="2" width="0" style="11" hidden="1" customWidth="1"/>
    <col min="3" max="3" width="6.375" style="11" hidden="1" customWidth="1"/>
    <col min="4" max="4" width="11.75" style="11" customWidth="1"/>
    <col min="5" max="5" width="9" style="11"/>
    <col min="6" max="6" width="8.375" style="11" customWidth="1"/>
    <col min="7" max="7" width="1.5" style="11" customWidth="1"/>
    <col min="8" max="8" width="6.375" style="11" customWidth="1"/>
    <col min="9" max="9" width="7.875" style="11" customWidth="1"/>
    <col min="10" max="10" width="0.875" style="11" customWidth="1"/>
    <col min="11" max="11" width="10.125" style="11" customWidth="1"/>
    <col min="12" max="12" width="8" style="11" bestFit="1" customWidth="1"/>
    <col min="13" max="13" width="0.875" style="11" customWidth="1"/>
    <col min="14" max="15" width="7.25" style="11" customWidth="1"/>
    <col min="16" max="16" width="0.875" style="11" customWidth="1"/>
    <col min="17" max="17" width="9.625" style="11" customWidth="1"/>
    <col min="18" max="18" width="8.25" style="11" customWidth="1"/>
    <col min="19" max="19" width="0.75" style="11" customWidth="1"/>
    <col min="20" max="21" width="9.375" style="12" customWidth="1"/>
    <col min="22" max="22" width="0.75" style="12" customWidth="1"/>
    <col min="23" max="23" width="9.875" style="12" customWidth="1"/>
    <col min="24" max="24" width="9" style="12" customWidth="1"/>
    <col min="25" max="270" width="9" style="11"/>
  </cols>
  <sheetData>
    <row r="2" spans="4:24" ht="31.5" customHeight="1">
      <c r="D2" s="27" t="s">
        <v>32</v>
      </c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4:24" s="11" customFormat="1" ht="10.199999999999999" customHeight="1" thickBot="1"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2"/>
      <c r="U3" s="2"/>
      <c r="V3" s="2"/>
      <c r="W3" s="2"/>
      <c r="X3" s="2"/>
    </row>
    <row r="4" spans="4:24" s="11" customFormat="1" ht="36.6" customHeight="1" thickTop="1">
      <c r="D4" s="21"/>
      <c r="E4" s="34" t="s">
        <v>1</v>
      </c>
      <c r="F4" s="34"/>
      <c r="G4" s="21"/>
      <c r="H4" s="31" t="s">
        <v>25</v>
      </c>
      <c r="I4" s="32"/>
      <c r="J4" s="32"/>
      <c r="K4" s="32"/>
      <c r="L4" s="32"/>
      <c r="M4" s="21"/>
      <c r="N4" s="33" t="s">
        <v>30</v>
      </c>
      <c r="O4" s="32"/>
      <c r="P4" s="32"/>
      <c r="Q4" s="32"/>
      <c r="R4" s="32"/>
      <c r="S4" s="21"/>
      <c r="T4" s="33" t="s">
        <v>31</v>
      </c>
      <c r="U4" s="32"/>
      <c r="V4" s="32"/>
      <c r="W4" s="32"/>
      <c r="X4" s="32"/>
    </row>
    <row r="5" spans="4:24" s="11" customFormat="1" ht="21.6" customHeight="1">
      <c r="D5" s="29" t="s">
        <v>21</v>
      </c>
      <c r="E5" s="29"/>
      <c r="F5" s="29"/>
      <c r="G5" s="3"/>
      <c r="H5" s="29" t="s">
        <v>29</v>
      </c>
      <c r="I5" s="26"/>
      <c r="J5" s="20"/>
      <c r="K5" s="30" t="s">
        <v>18</v>
      </c>
      <c r="L5" s="30"/>
      <c r="M5" s="20"/>
      <c r="N5" s="29" t="s">
        <v>29</v>
      </c>
      <c r="O5" s="26"/>
      <c r="P5" s="20"/>
      <c r="Q5" s="30" t="s">
        <v>18</v>
      </c>
      <c r="R5" s="30"/>
      <c r="S5" s="3"/>
      <c r="T5" s="29" t="s">
        <v>29</v>
      </c>
      <c r="U5" s="26"/>
      <c r="V5" s="3"/>
      <c r="W5" s="30" t="s">
        <v>18</v>
      </c>
      <c r="X5" s="30"/>
    </row>
    <row r="6" spans="4:24" s="11" customFormat="1" ht="29.4" customHeight="1">
      <c r="D6" s="29"/>
      <c r="E6" s="18" t="s">
        <v>2</v>
      </c>
      <c r="F6" s="18" t="s">
        <v>3</v>
      </c>
      <c r="G6" s="18"/>
      <c r="H6" s="15" t="s">
        <v>2</v>
      </c>
      <c r="I6" s="15" t="s">
        <v>3</v>
      </c>
      <c r="J6" s="15"/>
      <c r="K6" s="18" t="s">
        <v>16</v>
      </c>
      <c r="L6" s="18" t="s">
        <v>17</v>
      </c>
      <c r="M6" s="15"/>
      <c r="N6" s="15" t="s">
        <v>2</v>
      </c>
      <c r="O6" s="15" t="s">
        <v>3</v>
      </c>
      <c r="P6" s="15"/>
      <c r="Q6" s="18" t="s">
        <v>16</v>
      </c>
      <c r="R6" s="18" t="s">
        <v>17</v>
      </c>
      <c r="S6" s="18"/>
      <c r="T6" s="15" t="s">
        <v>2</v>
      </c>
      <c r="U6" s="15" t="s">
        <v>3</v>
      </c>
      <c r="V6" s="15"/>
      <c r="W6" s="18" t="s">
        <v>16</v>
      </c>
      <c r="X6" s="18" t="s">
        <v>17</v>
      </c>
    </row>
    <row r="7" spans="4:24" s="11" customFormat="1" ht="14.4" customHeight="1">
      <c r="D7" s="22" t="s">
        <v>33</v>
      </c>
      <c r="E7" s="5">
        <v>1</v>
      </c>
      <c r="F7" s="5">
        <v>0</v>
      </c>
      <c r="G7" s="5"/>
      <c r="H7" s="5" t="s">
        <v>26</v>
      </c>
      <c r="I7" s="5" t="s">
        <v>26</v>
      </c>
      <c r="J7" s="5"/>
      <c r="K7" s="5">
        <v>36</v>
      </c>
      <c r="L7" s="5">
        <v>30</v>
      </c>
      <c r="M7" s="5"/>
      <c r="N7" s="5" t="s">
        <v>22</v>
      </c>
      <c r="O7" s="5" t="s">
        <v>23</v>
      </c>
      <c r="P7" s="5"/>
      <c r="Q7" s="5">
        <v>36</v>
      </c>
      <c r="R7" s="5">
        <v>30</v>
      </c>
      <c r="S7" s="5"/>
      <c r="T7" s="6" t="s">
        <v>4</v>
      </c>
      <c r="U7" s="6" t="s">
        <v>5</v>
      </c>
      <c r="V7" s="6"/>
      <c r="W7" s="6">
        <v>21</v>
      </c>
      <c r="X7" s="6">
        <v>15</v>
      </c>
    </row>
    <row r="8" spans="4:24" s="11" customFormat="1">
      <c r="D8" s="9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 t="s">
        <v>6</v>
      </c>
      <c r="U8" s="6" t="s">
        <v>5</v>
      </c>
      <c r="V8" s="6"/>
      <c r="W8" s="6">
        <v>15</v>
      </c>
      <c r="X8" s="6">
        <v>13</v>
      </c>
    </row>
    <row r="9" spans="4:24" s="11" customFormat="1">
      <c r="D9" s="9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6" t="s">
        <v>7</v>
      </c>
      <c r="U9" s="6" t="s">
        <v>5</v>
      </c>
      <c r="V9" s="6"/>
      <c r="W9" s="6">
        <v>1</v>
      </c>
      <c r="X9" s="6">
        <v>0</v>
      </c>
    </row>
    <row r="10" spans="4:24" s="11" customFormat="1">
      <c r="D10" s="9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 t="s">
        <v>8</v>
      </c>
      <c r="U10" s="6" t="s">
        <v>5</v>
      </c>
      <c r="V10" s="6"/>
      <c r="W10" s="6">
        <v>1</v>
      </c>
      <c r="X10" s="6">
        <v>0</v>
      </c>
    </row>
    <row r="11" spans="4:24" s="11" customFormat="1">
      <c r="D11" s="9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 t="s">
        <v>4</v>
      </c>
      <c r="U11" s="6" t="s">
        <v>9</v>
      </c>
      <c r="V11" s="6"/>
      <c r="W11" s="6">
        <v>1</v>
      </c>
      <c r="X11" s="6">
        <v>0</v>
      </c>
    </row>
    <row r="12" spans="4:24" s="11" customFormat="1">
      <c r="D12" s="9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6" t="s">
        <v>7</v>
      </c>
      <c r="U12" s="6" t="s">
        <v>9</v>
      </c>
      <c r="V12" s="6"/>
      <c r="W12" s="6">
        <v>1</v>
      </c>
      <c r="X12" s="6">
        <v>0</v>
      </c>
    </row>
    <row r="13" spans="4:24" s="11" customFormat="1">
      <c r="D13" s="9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8" t="s">
        <v>4</v>
      </c>
      <c r="U13" s="8" t="s">
        <v>10</v>
      </c>
      <c r="V13" s="8"/>
      <c r="W13" s="8">
        <v>1</v>
      </c>
      <c r="X13" s="8">
        <v>0</v>
      </c>
    </row>
    <row r="14" spans="4:24" s="11" customFormat="1"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7"/>
      <c r="U14" s="7" t="s">
        <v>20</v>
      </c>
      <c r="V14" s="7"/>
      <c r="W14" s="7">
        <f>SUM(W7:W13)</f>
        <v>41</v>
      </c>
      <c r="X14" s="7">
        <f>SUM(X7:X13)</f>
        <v>28</v>
      </c>
    </row>
    <row r="15" spans="4:24" s="11" customFormat="1" ht="16.5" customHeight="1">
      <c r="D15" s="22" t="s">
        <v>33</v>
      </c>
      <c r="E15" s="5">
        <v>0</v>
      </c>
      <c r="F15" s="5">
        <v>1</v>
      </c>
      <c r="G15" s="5"/>
      <c r="H15" s="5" t="s">
        <v>27</v>
      </c>
      <c r="I15" s="5" t="s">
        <v>26</v>
      </c>
      <c r="J15" s="5"/>
      <c r="K15" s="5">
        <v>2</v>
      </c>
      <c r="L15" s="5">
        <v>2</v>
      </c>
      <c r="M15" s="5"/>
      <c r="N15" s="5" t="s">
        <v>23</v>
      </c>
      <c r="O15" s="5" t="s">
        <v>22</v>
      </c>
      <c r="P15" s="5"/>
      <c r="Q15" s="5">
        <v>2</v>
      </c>
      <c r="R15" s="5">
        <v>2</v>
      </c>
      <c r="S15" s="5"/>
      <c r="T15" s="8" t="s">
        <v>9</v>
      </c>
      <c r="U15" s="8" t="s">
        <v>11</v>
      </c>
      <c r="V15" s="8"/>
      <c r="W15" s="8">
        <v>0</v>
      </c>
      <c r="X15" s="8">
        <v>1</v>
      </c>
    </row>
    <row r="16" spans="4:24" s="11" customFormat="1" ht="16.5" customHeight="1"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7"/>
      <c r="U16" s="7" t="s">
        <v>20</v>
      </c>
      <c r="V16" s="7"/>
      <c r="W16" s="7">
        <f>SUM(W15)</f>
        <v>0</v>
      </c>
      <c r="X16" s="7">
        <f>SUM(X15)</f>
        <v>1</v>
      </c>
    </row>
    <row r="17" spans="4:25" s="11" customFormat="1" ht="17.25" customHeight="1">
      <c r="D17" s="22" t="s">
        <v>34</v>
      </c>
      <c r="E17" s="5">
        <v>0</v>
      </c>
      <c r="F17" s="5">
        <v>0</v>
      </c>
      <c r="G17" s="5"/>
      <c r="H17" s="5" t="s">
        <v>27</v>
      </c>
      <c r="I17" s="5" t="s">
        <v>27</v>
      </c>
      <c r="J17" s="5"/>
      <c r="K17" s="5">
        <v>17</v>
      </c>
      <c r="L17" s="5">
        <v>16</v>
      </c>
      <c r="M17" s="5"/>
      <c r="N17" s="5" t="s">
        <v>23</v>
      </c>
      <c r="O17" s="5" t="s">
        <v>23</v>
      </c>
      <c r="P17" s="5"/>
      <c r="Q17" s="5">
        <v>16</v>
      </c>
      <c r="R17" s="5">
        <v>16</v>
      </c>
      <c r="S17" s="5"/>
      <c r="T17" s="6" t="s">
        <v>5</v>
      </c>
      <c r="U17" s="6" t="s">
        <v>5</v>
      </c>
      <c r="V17" s="6"/>
      <c r="W17" s="6">
        <v>16</v>
      </c>
      <c r="X17" s="6">
        <v>16</v>
      </c>
    </row>
    <row r="18" spans="4:25" s="11" customFormat="1" ht="12.75" customHeight="1">
      <c r="D18" s="9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6" t="s">
        <v>5</v>
      </c>
      <c r="U18" s="6" t="s">
        <v>9</v>
      </c>
      <c r="V18" s="6"/>
      <c r="W18" s="6">
        <v>2</v>
      </c>
      <c r="X18" s="6">
        <v>2</v>
      </c>
    </row>
    <row r="19" spans="4:25" s="11" customFormat="1" ht="12.75" customHeight="1">
      <c r="D19" s="9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6" t="s">
        <v>9</v>
      </c>
      <c r="U19" s="6" t="s">
        <v>5</v>
      </c>
      <c r="V19" s="6"/>
      <c r="W19" s="6">
        <v>0</v>
      </c>
      <c r="X19" s="6">
        <v>2</v>
      </c>
    </row>
    <row r="20" spans="4:25" s="11" customFormat="1" ht="12.75" customHeight="1">
      <c r="D20" s="9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6" t="s">
        <v>9</v>
      </c>
      <c r="U20" s="6" t="s">
        <v>9</v>
      </c>
      <c r="V20" s="6"/>
      <c r="W20" s="6">
        <v>1</v>
      </c>
      <c r="X20" s="6">
        <v>0</v>
      </c>
    </row>
    <row r="21" spans="4:25" s="11" customFormat="1" ht="12.75" customHeight="1"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7"/>
      <c r="U21" s="7" t="s">
        <v>20</v>
      </c>
      <c r="V21" s="7"/>
      <c r="W21" s="7">
        <f>SUM(W17:W20)</f>
        <v>19</v>
      </c>
      <c r="X21" s="7">
        <f>SUM(X17:X20)</f>
        <v>20</v>
      </c>
    </row>
    <row r="22" spans="4:25" s="11" customFormat="1" ht="12.75" customHeight="1">
      <c r="D22" s="22" t="s">
        <v>34</v>
      </c>
      <c r="E22" s="5">
        <v>1</v>
      </c>
      <c r="F22" s="5">
        <v>1</v>
      </c>
      <c r="G22" s="5"/>
      <c r="H22" s="5" t="s">
        <v>26</v>
      </c>
      <c r="I22" s="5" t="s">
        <v>26</v>
      </c>
      <c r="J22" s="5"/>
      <c r="K22" s="5">
        <v>5</v>
      </c>
      <c r="L22" s="5">
        <v>6</v>
      </c>
      <c r="M22" s="5"/>
      <c r="N22" s="5" t="s">
        <v>22</v>
      </c>
      <c r="O22" s="5" t="s">
        <v>22</v>
      </c>
      <c r="P22" s="5"/>
      <c r="Q22" s="5">
        <v>5</v>
      </c>
      <c r="R22" s="5">
        <v>6</v>
      </c>
      <c r="S22" s="5"/>
      <c r="T22" s="6" t="s">
        <v>4</v>
      </c>
      <c r="U22" s="6" t="s">
        <v>4</v>
      </c>
      <c r="V22" s="6"/>
      <c r="W22" s="6">
        <v>0</v>
      </c>
      <c r="X22" s="6">
        <v>1</v>
      </c>
    </row>
    <row r="23" spans="4:25" s="11" customFormat="1" ht="12.75" customHeight="1">
      <c r="D23" s="9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6" t="s">
        <v>4</v>
      </c>
      <c r="U23" s="6" t="s">
        <v>7</v>
      </c>
      <c r="V23" s="6"/>
      <c r="W23" s="6">
        <v>1</v>
      </c>
      <c r="X23" s="6">
        <v>0</v>
      </c>
    </row>
    <row r="24" spans="4:25" s="11" customFormat="1" ht="12.75" customHeight="1">
      <c r="D24" s="9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6" t="s">
        <v>6</v>
      </c>
      <c r="U24" s="6" t="s">
        <v>4</v>
      </c>
      <c r="V24" s="6"/>
      <c r="W24" s="6">
        <v>1</v>
      </c>
      <c r="X24" s="6">
        <v>0</v>
      </c>
    </row>
    <row r="25" spans="4:25" s="11" customFormat="1" ht="12.75" customHeight="1">
      <c r="D25" s="9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6" t="s">
        <v>6</v>
      </c>
      <c r="U25" s="6" t="s">
        <v>6</v>
      </c>
      <c r="V25" s="6"/>
      <c r="W25" s="6">
        <v>1</v>
      </c>
      <c r="X25" s="6">
        <v>4</v>
      </c>
    </row>
    <row r="26" spans="4:25" s="11" customFormat="1" ht="12.75" customHeight="1">
      <c r="D26" s="9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8" t="s">
        <v>6</v>
      </c>
      <c r="U26" s="8" t="s">
        <v>12</v>
      </c>
      <c r="V26" s="8"/>
      <c r="W26" s="8">
        <v>1</v>
      </c>
      <c r="X26" s="8">
        <v>3</v>
      </c>
    </row>
    <row r="27" spans="4:25" s="11" customFormat="1" ht="12.75" customHeight="1"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7"/>
      <c r="U27" s="7" t="s">
        <v>20</v>
      </c>
      <c r="V27" s="7"/>
      <c r="W27" s="7">
        <f>SUM(W22:W26)</f>
        <v>4</v>
      </c>
      <c r="X27" s="7">
        <f>SUM(X22:X26)</f>
        <v>8</v>
      </c>
      <c r="Y27" s="13"/>
    </row>
    <row r="28" spans="4:25" s="11" customFormat="1" ht="14.4" customHeight="1">
      <c r="D28" s="22" t="s">
        <v>33</v>
      </c>
      <c r="E28" s="5">
        <v>2</v>
      </c>
      <c r="F28" s="5">
        <v>0</v>
      </c>
      <c r="G28" s="5"/>
      <c r="H28" s="5" t="s">
        <v>28</v>
      </c>
      <c r="I28" s="5" t="s">
        <v>27</v>
      </c>
      <c r="J28" s="5"/>
      <c r="K28" s="5">
        <v>4</v>
      </c>
      <c r="L28" s="5">
        <v>1</v>
      </c>
      <c r="M28" s="5"/>
      <c r="N28" s="5" t="s">
        <v>24</v>
      </c>
      <c r="O28" s="5" t="s">
        <v>23</v>
      </c>
      <c r="P28" s="5"/>
      <c r="Q28" s="5">
        <v>5</v>
      </c>
      <c r="R28" s="5">
        <v>1</v>
      </c>
      <c r="S28" s="5"/>
      <c r="T28" s="8" t="s">
        <v>13</v>
      </c>
      <c r="U28" s="8" t="s">
        <v>5</v>
      </c>
      <c r="V28" s="8"/>
      <c r="W28" s="8">
        <v>2</v>
      </c>
      <c r="X28" s="8">
        <v>0</v>
      </c>
    </row>
    <row r="29" spans="4:25" s="11" customFormat="1">
      <c r="D29" s="9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8" t="s">
        <v>13</v>
      </c>
      <c r="U29" s="8" t="s">
        <v>9</v>
      </c>
      <c r="V29" s="8"/>
      <c r="W29" s="8">
        <v>1</v>
      </c>
      <c r="X29" s="8">
        <v>0</v>
      </c>
    </row>
    <row r="30" spans="4:25" s="11" customFormat="1" ht="14.4" customHeight="1">
      <c r="D30" s="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8" t="s">
        <v>12</v>
      </c>
      <c r="U30" s="8" t="s">
        <v>5</v>
      </c>
      <c r="V30" s="8"/>
      <c r="W30" s="8">
        <v>1</v>
      </c>
      <c r="X30" s="8">
        <v>1</v>
      </c>
    </row>
    <row r="31" spans="4:25" s="11" customFormat="1" ht="14.4" customHeight="1"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7"/>
      <c r="U31" s="7" t="s">
        <v>20</v>
      </c>
      <c r="V31" s="7"/>
      <c r="W31" s="7">
        <f>SUM(W28:W30)</f>
        <v>4</v>
      </c>
      <c r="X31" s="7">
        <f>SUM(X28:X30)</f>
        <v>1</v>
      </c>
    </row>
    <row r="32" spans="4:25" s="11" customFormat="1" ht="14.4" customHeight="1">
      <c r="D32" s="22" t="s">
        <v>33</v>
      </c>
      <c r="E32" s="5">
        <v>0</v>
      </c>
      <c r="F32" s="5">
        <v>2</v>
      </c>
      <c r="G32" s="5"/>
      <c r="H32" s="5" t="s">
        <v>27</v>
      </c>
      <c r="I32" s="5" t="s">
        <v>28</v>
      </c>
      <c r="J32" s="5"/>
      <c r="K32" s="5">
        <v>0</v>
      </c>
      <c r="L32" s="5">
        <v>1</v>
      </c>
      <c r="M32" s="5"/>
      <c r="N32" s="5" t="s">
        <v>23</v>
      </c>
      <c r="O32" s="5" t="s">
        <v>24</v>
      </c>
      <c r="P32" s="5"/>
      <c r="Q32" s="5">
        <v>0</v>
      </c>
      <c r="R32" s="5">
        <v>1</v>
      </c>
      <c r="S32" s="5"/>
      <c r="T32" s="8" t="s">
        <v>5</v>
      </c>
      <c r="U32" s="8" t="s">
        <v>13</v>
      </c>
      <c r="V32" s="8"/>
      <c r="W32" s="8">
        <v>0</v>
      </c>
      <c r="X32" s="8">
        <v>1</v>
      </c>
    </row>
    <row r="33" spans="4:25" s="11" customFormat="1" ht="14.4" customHeight="1"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7"/>
      <c r="U33" s="7" t="s">
        <v>20</v>
      </c>
      <c r="V33" s="7"/>
      <c r="W33" s="7">
        <f>SUM(W32)</f>
        <v>0</v>
      </c>
      <c r="X33" s="7">
        <f>SUM(X32)</f>
        <v>1</v>
      </c>
      <c r="Y33" s="13"/>
    </row>
    <row r="34" spans="4:25" s="11" customFormat="1" ht="14.4" customHeight="1">
      <c r="D34" s="22" t="s">
        <v>33</v>
      </c>
      <c r="E34" s="5">
        <v>2</v>
      </c>
      <c r="F34" s="5">
        <v>1</v>
      </c>
      <c r="G34" s="5"/>
      <c r="H34" s="5" t="s">
        <v>28</v>
      </c>
      <c r="I34" s="5" t="s">
        <v>26</v>
      </c>
      <c r="J34" s="5"/>
      <c r="K34" s="5">
        <v>3</v>
      </c>
      <c r="L34" s="5">
        <v>1</v>
      </c>
      <c r="M34" s="5"/>
      <c r="N34" s="5" t="s">
        <v>24</v>
      </c>
      <c r="O34" s="5" t="s">
        <v>22</v>
      </c>
      <c r="P34" s="5"/>
      <c r="Q34" s="5">
        <v>3</v>
      </c>
      <c r="R34" s="5">
        <v>1</v>
      </c>
      <c r="S34" s="5"/>
      <c r="T34" s="8" t="s">
        <v>12</v>
      </c>
      <c r="U34" s="8" t="s">
        <v>6</v>
      </c>
      <c r="V34" s="8"/>
      <c r="W34" s="8">
        <v>1</v>
      </c>
      <c r="X34" s="8">
        <v>1</v>
      </c>
      <c r="Y34" s="13"/>
    </row>
    <row r="35" spans="4:25" s="11" customFormat="1" ht="14.4" customHeight="1"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7"/>
      <c r="U35" s="7" t="s">
        <v>20</v>
      </c>
      <c r="V35" s="7"/>
      <c r="W35" s="7">
        <f>SUM(W34)</f>
        <v>1</v>
      </c>
      <c r="X35" s="7">
        <f>SUM(X34)</f>
        <v>1</v>
      </c>
    </row>
    <row r="36" spans="4:25" s="11" customFormat="1" ht="14.4" customHeight="1">
      <c r="D36" s="23" t="s">
        <v>33</v>
      </c>
      <c r="E36" s="16">
        <v>1</v>
      </c>
      <c r="F36" s="16">
        <v>2</v>
      </c>
      <c r="G36" s="16"/>
      <c r="H36" s="16" t="s">
        <v>26</v>
      </c>
      <c r="I36" s="16" t="s">
        <v>28</v>
      </c>
      <c r="J36" s="16"/>
      <c r="K36" s="16">
        <v>2</v>
      </c>
      <c r="L36" s="16">
        <v>4</v>
      </c>
      <c r="M36" s="16"/>
      <c r="N36" s="16" t="s">
        <v>22</v>
      </c>
      <c r="O36" s="16" t="s">
        <v>24</v>
      </c>
      <c r="P36" s="16"/>
      <c r="Q36" s="16">
        <v>2</v>
      </c>
      <c r="R36" s="16">
        <v>3</v>
      </c>
      <c r="S36" s="16"/>
      <c r="T36" s="17" t="s">
        <v>0</v>
      </c>
      <c r="U36" s="17" t="s">
        <v>0</v>
      </c>
      <c r="V36" s="17"/>
      <c r="W36" s="17">
        <v>0</v>
      </c>
      <c r="X36" s="17">
        <v>0</v>
      </c>
    </row>
    <row r="37" spans="4:25" s="11" customFormat="1" ht="14.4" customHeight="1">
      <c r="D37" s="9" t="s">
        <v>34</v>
      </c>
      <c r="E37" s="5">
        <v>2</v>
      </c>
      <c r="F37" s="5">
        <v>2</v>
      </c>
      <c r="G37" s="5"/>
      <c r="H37" s="5" t="s">
        <v>28</v>
      </c>
      <c r="I37" s="5" t="s">
        <v>28</v>
      </c>
      <c r="J37" s="5"/>
      <c r="K37" s="5">
        <v>0</v>
      </c>
      <c r="L37" s="5">
        <v>0</v>
      </c>
      <c r="M37" s="5"/>
      <c r="N37" s="5" t="s">
        <v>24</v>
      </c>
      <c r="O37" s="5" t="s">
        <v>24</v>
      </c>
      <c r="P37" s="5"/>
      <c r="Q37" s="5">
        <v>0</v>
      </c>
      <c r="R37" s="5">
        <v>1</v>
      </c>
      <c r="S37" s="5"/>
      <c r="T37" s="8" t="s">
        <v>14</v>
      </c>
      <c r="U37" s="8" t="s">
        <v>14</v>
      </c>
      <c r="V37" s="8"/>
      <c r="W37" s="8">
        <v>0</v>
      </c>
      <c r="X37" s="8">
        <v>1</v>
      </c>
    </row>
    <row r="38" spans="4:25" s="11" customFormat="1" ht="14.4" customHeight="1"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7"/>
      <c r="U38" s="7" t="s">
        <v>20</v>
      </c>
      <c r="V38" s="15"/>
      <c r="W38" s="7">
        <f>SUM(W37)</f>
        <v>0</v>
      </c>
      <c r="X38" s="7">
        <f>SUM(X37)</f>
        <v>1</v>
      </c>
    </row>
    <row r="39" spans="4:25" s="11" customFormat="1" ht="21.6" customHeight="1">
      <c r="D39" s="9"/>
      <c r="E39" s="9"/>
      <c r="F39" s="9"/>
      <c r="G39" s="9"/>
      <c r="H39" s="9"/>
      <c r="I39" s="8" t="s">
        <v>19</v>
      </c>
      <c r="J39" s="8"/>
      <c r="K39" s="8">
        <f>SUM(K7:K37)</f>
        <v>69</v>
      </c>
      <c r="L39" s="8">
        <f>SUM(L7:L37)</f>
        <v>61</v>
      </c>
      <c r="M39" s="9"/>
      <c r="N39" s="9"/>
      <c r="O39" s="8" t="s">
        <v>19</v>
      </c>
      <c r="P39" s="8"/>
      <c r="Q39" s="8">
        <f>SUM(Q7:Q37)</f>
        <v>69</v>
      </c>
      <c r="R39" s="8">
        <f>SUM(R7:R37)</f>
        <v>61</v>
      </c>
      <c r="S39" s="9"/>
      <c r="T39" s="6"/>
      <c r="U39" s="8" t="s">
        <v>19</v>
      </c>
      <c r="V39" s="8"/>
      <c r="W39" s="8">
        <f>SUM(W14,W16,W21,W27,W31,W33,W35,W38,)</f>
        <v>69</v>
      </c>
      <c r="X39" s="8">
        <f>SUM(X14,X16,X21,X27,X31,X33,X35,X38,)</f>
        <v>61</v>
      </c>
    </row>
    <row r="40" spans="4:25" s="11" customFormat="1" ht="4.2" customHeight="1" thickBot="1">
      <c r="D40" s="24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2"/>
      <c r="U40" s="2"/>
      <c r="V40" s="2"/>
      <c r="W40" s="2"/>
      <c r="X40" s="2"/>
    </row>
    <row r="41" spans="4:25" s="11" customFormat="1" ht="9" customHeight="1" thickTop="1">
      <c r="D41" s="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10"/>
      <c r="U41" s="10"/>
      <c r="V41" s="10"/>
      <c r="W41" s="10"/>
      <c r="X41" s="10"/>
    </row>
    <row r="42" spans="4:25" s="11" customFormat="1" ht="53.25" customHeight="1">
      <c r="D42" s="25" t="s">
        <v>15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</row>
    <row r="48" spans="4:25" s="11" customFormat="1" ht="15" customHeight="1">
      <c r="T48" s="12"/>
      <c r="U48" s="12"/>
      <c r="V48" s="12"/>
      <c r="W48" s="12"/>
      <c r="X48" s="12"/>
    </row>
  </sheetData>
  <mergeCells count="13">
    <mergeCell ref="D42:X42"/>
    <mergeCell ref="N5:O5"/>
    <mergeCell ref="Q5:R5"/>
    <mergeCell ref="H5:I5"/>
    <mergeCell ref="K5:L5"/>
    <mergeCell ref="E4:F5"/>
    <mergeCell ref="N4:R4"/>
    <mergeCell ref="D2:X2"/>
    <mergeCell ref="D5:D6"/>
    <mergeCell ref="T5:U5"/>
    <mergeCell ref="W5:X5"/>
    <mergeCell ref="H4:L4"/>
    <mergeCell ref="T4:X4"/>
  </mergeCells>
  <pageMargins left="0.45972222222222198" right="0.17013888888888901" top="0.75" bottom="0.75" header="0.51180555555555496" footer="0.51180555555555496"/>
  <pageSetup scale="80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LibreOffice/3.3$Win32 LibreOffice_project/330m19$Build-301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 McNemar2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P. Heaton</dc:creator>
  <cp:lastModifiedBy>heaton</cp:lastModifiedBy>
  <cp:revision>0</cp:revision>
  <cp:lastPrinted>2011-11-03T14:59:06Z</cp:lastPrinted>
  <dcterms:created xsi:type="dcterms:W3CDTF">2010-07-13T18:18:09Z</dcterms:created>
  <dcterms:modified xsi:type="dcterms:W3CDTF">2011-12-05T18:04:47Z</dcterms:modified>
</cp:coreProperties>
</file>