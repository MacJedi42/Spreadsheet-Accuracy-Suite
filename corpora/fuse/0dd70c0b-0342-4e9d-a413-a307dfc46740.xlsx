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840" yWindow="780" windowWidth="18312" windowHeight="11256" activeTab="3"/>
  </bookViews>
  <sheets>
    <sheet name="Menu" sheetId="16" r:id="rId1"/>
    <sheet name="Arts" sheetId="17" r:id="rId2"/>
    <sheet name="Science" sheetId="19" r:id="rId3"/>
    <sheet name="Example" sheetId="21" r:id="rId4"/>
    <sheet name="GPA" sheetId="22" r:id="rId5"/>
    <sheet name="Courses" sheetId="11" r:id="rId6"/>
    <sheet name="Focus" sheetId="14" r:id="rId7"/>
    <sheet name="Help" sheetId="18" r:id="rId8"/>
    <sheet name="M1" sheetId="10" state="hidden" r:id="rId9"/>
    <sheet name="M2" sheetId="20" state="hidden" r:id="rId10"/>
  </sheets>
  <definedNames>
    <definedName name="AAFOCUS">'M2'!$E$24:$E$42</definedName>
    <definedName name="AALink">Arts!$C$4</definedName>
    <definedName name="ASFOCUS">'M2'!$A$24:$A$32</definedName>
    <definedName name="ASLink">Science!$C$4</definedName>
    <definedName name="AUDITINFO">Help!$B$242</definedName>
    <definedName name="CATA">'M1'!$A$4:$A$9</definedName>
    <definedName name="CATB">'M1'!$B$4:$B$10</definedName>
    <definedName name="CATC">'M1'!$C$4:$C$40</definedName>
    <definedName name="CATD">'M1'!$D$4:$D$92</definedName>
    <definedName name="CATE">'M1'!$E$4:$E$65</definedName>
    <definedName name="CATEGORYI">Help!$B$181</definedName>
    <definedName name="CATEGORYII">Help!$B$190</definedName>
    <definedName name="CATEGORYIII">Help!$B$196</definedName>
    <definedName name="CATF">'M1'!$F$4:$F$32</definedName>
    <definedName name="CATG">'M1'!$G$4:$G$80</definedName>
    <definedName name="CATH">'M1'!$H$4:$H$31</definedName>
    <definedName name="CATI">'M1'!$I$4:$I$90</definedName>
    <definedName name="CATJ">'M1'!$J$4:$J$312</definedName>
    <definedName name="CATK">'M1'!$K$4:$K$126</definedName>
    <definedName name="CATL">'M1'!$L$4:$L$184</definedName>
    <definedName name="CATM">'M1'!$M$4:$M$41</definedName>
    <definedName name="COLORCODE">Help!$B$111</definedName>
    <definedName name="COMPONENTS">Help!$B$59</definedName>
    <definedName name="CourseList">Courses!$B$1</definedName>
    <definedName name="CREDIT">'M2'!$K$5:$K$9</definedName>
    <definedName name="CROSSLISTING">Help!$B$164</definedName>
    <definedName name="CROSSWALK">Help!$B$154</definedName>
    <definedName name="ExampleLink">Example!$C$5</definedName>
    <definedName name="FocusAreas">Focus!$B$1</definedName>
    <definedName name="FocusMenu">Focus!$F$5</definedName>
    <definedName name="GPACalc">GPA!$B$1</definedName>
    <definedName name="GPACredit">'M2'!$K$25:$K$29</definedName>
    <definedName name="GPAGrade">'M2'!$J$26:$J$30</definedName>
    <definedName name="GRADE">'M2'!$J$5:$J$12</definedName>
    <definedName name="GRADEKEY">Help!$B$121</definedName>
    <definedName name="HelpSec">Help!$E$11</definedName>
    <definedName name="HOWTO">Help!$B$79</definedName>
    <definedName name="_xlnm.Print_Area" localSheetId="1">Arts!$B$2:$K$48</definedName>
    <definedName name="_xlnm.Print_Area" localSheetId="3">Example!$C$5:$L$50</definedName>
    <definedName name="_xlnm.Print_Area" localSheetId="2">Science!$B$2:$K$46</definedName>
    <definedName name="QUICKLINK">Help!$B$101</definedName>
    <definedName name="REQHELP">Help!$B$207</definedName>
    <definedName name="RESTRICTIONS">Help!$B$173</definedName>
    <definedName name="STATUS">'M2'!$L$5:$L$8</definedName>
    <definedName name="TRNIPS">Help!$B$130</definedName>
  </definedNames>
  <calcPr calcId="145621"/>
</workbook>
</file>

<file path=xl/calcChain.xml><?xml version="1.0" encoding="utf-8"?>
<calcChain xmlns="http://schemas.openxmlformats.org/spreadsheetml/2006/main">
  <c r="K24" i="22" l="1"/>
  <c r="D5" i="22"/>
  <c r="F5" i="22" s="1"/>
  <c r="D6" i="22"/>
  <c r="F6" i="22" s="1"/>
  <c r="D7" i="22"/>
  <c r="F7" i="22" s="1"/>
  <c r="D8" i="22"/>
  <c r="F8" i="22" s="1"/>
  <c r="D9" i="22"/>
  <c r="F9" i="22" s="1"/>
  <c r="D10" i="22"/>
  <c r="F10" i="22" s="1"/>
  <c r="D11" i="22"/>
  <c r="F11" i="22" s="1"/>
  <c r="D12" i="22"/>
  <c r="F12" i="22" s="1"/>
  <c r="D13" i="22"/>
  <c r="F13" i="22" s="1"/>
  <c r="D14" i="22"/>
  <c r="F14" i="22" s="1"/>
  <c r="D15" i="22"/>
  <c r="F15" i="22" s="1"/>
  <c r="D16" i="22"/>
  <c r="F16" i="22" s="1"/>
  <c r="D17" i="22"/>
  <c r="F17" i="22" s="1"/>
  <c r="D18" i="22"/>
  <c r="F18" i="22" s="1"/>
  <c r="D19" i="22"/>
  <c r="F19" i="22" s="1"/>
  <c r="D20" i="22"/>
  <c r="F20" i="22" s="1"/>
  <c r="D21" i="22"/>
  <c r="F21" i="22" s="1"/>
  <c r="D22" i="22"/>
  <c r="F22" i="22" s="1"/>
  <c r="D23" i="22"/>
  <c r="F23" i="22" s="1"/>
  <c r="D24" i="22"/>
  <c r="F24" i="22" s="1"/>
  <c r="D25" i="22"/>
  <c r="F25" i="22" s="1"/>
  <c r="D26" i="22"/>
  <c r="F26" i="22" s="1"/>
  <c r="D27" i="22"/>
  <c r="F27" i="22" s="1"/>
  <c r="D28" i="22"/>
  <c r="F28" i="22" s="1"/>
  <c r="D29" i="22"/>
  <c r="F29" i="22" s="1"/>
  <c r="D30" i="22"/>
  <c r="F30" i="22" s="1"/>
  <c r="D31" i="22"/>
  <c r="F31" i="22" s="1"/>
  <c r="D32" i="22"/>
  <c r="F32" i="22" s="1"/>
  <c r="D33" i="22"/>
  <c r="F33" i="22" s="1"/>
  <c r="D34" i="22"/>
  <c r="F34" i="22" s="1"/>
  <c r="D35" i="22"/>
  <c r="F35" i="22" s="1"/>
  <c r="D36" i="22"/>
  <c r="F36" i="22" s="1"/>
  <c r="D37" i="22"/>
  <c r="F37" i="22" s="1"/>
  <c r="D38" i="22"/>
  <c r="F38" i="22" s="1"/>
  <c r="D39" i="22"/>
  <c r="F39" i="22" s="1"/>
  <c r="D40" i="22"/>
  <c r="F40" i="22" s="1"/>
  <c r="D41" i="22"/>
  <c r="F41" i="22" s="1"/>
  <c r="D42" i="22"/>
  <c r="F42" i="22" s="1"/>
  <c r="D43" i="22"/>
  <c r="F43" i="22" s="1"/>
  <c r="D44" i="22"/>
  <c r="F44" i="22" s="1"/>
  <c r="D45" i="22"/>
  <c r="F45" i="22" s="1"/>
  <c r="D46" i="22"/>
  <c r="F46" i="22" s="1"/>
  <c r="D47" i="22"/>
  <c r="F47" i="22" s="1"/>
  <c r="D48" i="22"/>
  <c r="F48" i="22" s="1"/>
  <c r="D49" i="22"/>
  <c r="F49" i="22" s="1"/>
  <c r="D50" i="22"/>
  <c r="F50" i="22" s="1"/>
  <c r="D51" i="22"/>
  <c r="F51" i="22" s="1"/>
  <c r="D52" i="22"/>
  <c r="F52" i="22" s="1"/>
  <c r="D53" i="22"/>
  <c r="F53" i="22" s="1"/>
  <c r="D4" i="22"/>
  <c r="F4" i="22" l="1"/>
  <c r="K23" i="22" s="1"/>
  <c r="K27" i="21"/>
  <c r="K26" i="22" l="1"/>
  <c r="K20" i="21"/>
  <c r="K10" i="21"/>
  <c r="H34" i="21" l="1"/>
  <c r="J24" i="19"/>
  <c r="J17" i="19"/>
  <c r="J7" i="19"/>
  <c r="J26" i="17"/>
  <c r="J19" i="17"/>
  <c r="J7" i="17"/>
  <c r="G31" i="19" l="1"/>
  <c r="G33" i="17"/>
</calcChain>
</file>

<file path=xl/comments1.xml><?xml version="1.0" encoding="utf-8"?>
<comments xmlns="http://schemas.openxmlformats.org/spreadsheetml/2006/main">
  <authors>
    <author>user</author>
    <author>Smith, Nathan S (Bluegrass)</author>
  </authors>
  <commentList>
    <comment ref="C5" authorId="0">
      <text>
        <r>
          <rPr>
            <b/>
            <u/>
            <sz val="8"/>
            <color indexed="81"/>
            <rFont val="Tahoma"/>
            <family val="2"/>
          </rPr>
          <t>ID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Enter the student's PeopleSoft ID number.</t>
        </r>
      </text>
    </comment>
    <comment ref="I5" authorId="1">
      <text>
        <r>
          <rPr>
            <b/>
            <u/>
            <sz val="9"/>
            <color indexed="81"/>
            <rFont val="Tahoma"/>
            <family val="2"/>
          </rPr>
          <t>Focus</t>
        </r>
        <r>
          <rPr>
            <sz val="9"/>
            <color indexed="81"/>
            <rFont val="Tahoma"/>
            <family val="2"/>
          </rPr>
          <t xml:space="preserve">
Select the student's Focus Area, or select "None" if the student has no Focus. Click the "Focus Areas" link for more information</t>
        </r>
      </text>
    </comment>
    <comment ref="E9" authorId="1">
      <text>
        <r>
          <rPr>
            <b/>
            <u/>
            <sz val="9"/>
            <color indexed="81"/>
            <rFont val="Tahoma"/>
            <family val="2"/>
          </rPr>
          <t>Course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Click the down arrow to open the dropdown list and for each "Course" box select the appropriate course from the list, or type in a course manually.
Courses marked with an asterisk (*) have special rules or are Crosslisted.  Click the Course Restrictions link to the far right for a list of a Crosslisted and Restricted courses.</t>
        </r>
      </text>
    </comment>
    <comment ref="F9" authorId="1">
      <text>
        <r>
          <rPr>
            <b/>
            <u/>
            <sz val="9"/>
            <color indexed="81"/>
            <rFont val="Tahoma"/>
            <family val="2"/>
          </rPr>
          <t>Credit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Select the appropriate amount of credits from the dropdown list or type a number in manually.</t>
        </r>
      </text>
    </comment>
    <comment ref="G9" authorId="1">
      <text>
        <r>
          <rPr>
            <b/>
            <u/>
            <sz val="9"/>
            <color indexed="81"/>
            <rFont val="Tahoma"/>
            <family val="2"/>
          </rPr>
          <t>Grade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Select a grade from the dropdown list or type in a grade manually.  Click the "Grade Key" link to the right for more information.</t>
        </r>
      </text>
    </comment>
    <comment ref="G33" authorId="0">
      <text>
        <r>
          <rPr>
            <b/>
            <u/>
            <sz val="8"/>
            <color indexed="81"/>
            <rFont val="Tahoma"/>
            <family val="2"/>
          </rPr>
          <t xml:space="preserve">Total Credits
</t>
        </r>
        <r>
          <rPr>
            <sz val="8"/>
            <color indexed="81"/>
            <rFont val="Tahoma"/>
            <family val="2"/>
          </rPr>
          <t>These are the total number of credits that have been entered in Category I, Category II, and Category III on this audit.</t>
        </r>
      </text>
    </comment>
    <comment ref="J33" authorId="0">
      <text>
        <r>
          <rPr>
            <b/>
            <u/>
            <sz val="8"/>
            <color indexed="81"/>
            <rFont val="Tahoma"/>
            <family val="2"/>
          </rPr>
          <t xml:space="preserve">Earned Credits
</t>
        </r>
        <r>
          <rPr>
            <sz val="8"/>
            <color indexed="81"/>
            <rFont val="Tahoma"/>
            <family val="2"/>
          </rPr>
          <t>Input in this cell the total credits that have actually been completed, do not include IPS (In Progress or Scheduled) courses in this total.</t>
        </r>
      </text>
    </comment>
    <comment ref="G34" authorId="0">
      <text>
        <r>
          <rPr>
            <b/>
            <u/>
            <sz val="8"/>
            <color indexed="81"/>
            <rFont val="Tahoma"/>
            <family val="2"/>
          </rPr>
          <t xml:space="preserve">Additional Credits
</t>
        </r>
        <r>
          <rPr>
            <sz val="8"/>
            <color indexed="81"/>
            <rFont val="Tahoma"/>
            <family val="2"/>
          </rPr>
          <t>Input in this cell additional credits that have been earned but that have not been recorded on the audit.</t>
        </r>
      </text>
    </comment>
    <comment ref="J34" authorId="0">
      <text>
        <r>
          <rPr>
            <b/>
            <u/>
            <sz val="8"/>
            <color indexed="81"/>
            <rFont val="Tahoma"/>
            <family val="2"/>
          </rPr>
          <t xml:space="preserve">Credits IPS
</t>
        </r>
        <r>
          <rPr>
            <sz val="8"/>
            <color indexed="81"/>
            <rFont val="Tahoma"/>
            <family val="2"/>
          </rPr>
          <t xml:space="preserve">Input in this cell the number of credits currently enrolled in or scheduled for an upcoming semester.  </t>
        </r>
      </text>
    </comment>
    <comment ref="J37" authorId="0">
      <text>
        <r>
          <rPr>
            <b/>
            <u/>
            <sz val="8"/>
            <color indexed="81"/>
            <rFont val="Tahoma"/>
            <family val="2"/>
          </rPr>
          <t xml:space="preserve">Cultural Studies
</t>
        </r>
        <r>
          <rPr>
            <sz val="8"/>
            <color indexed="81"/>
            <rFont val="Tahoma"/>
            <family val="2"/>
          </rPr>
          <t>A course that was used in Category I, II, or III may also be used here as long as it appears on the Cultural Studies Approved Course List.</t>
        </r>
      </text>
    </comment>
  </commentList>
</comments>
</file>

<file path=xl/comments2.xml><?xml version="1.0" encoding="utf-8"?>
<comments xmlns="http://schemas.openxmlformats.org/spreadsheetml/2006/main">
  <authors>
    <author>user</author>
    <author>Smith, Nathan S (Bluegrass)</author>
  </authors>
  <commentList>
    <comment ref="C5" authorId="0">
      <text>
        <r>
          <rPr>
            <b/>
            <u/>
            <sz val="8"/>
            <color indexed="81"/>
            <rFont val="Tahoma"/>
            <family val="2"/>
          </rPr>
          <t>ID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Enter the student's PeopleSoft ID number.</t>
        </r>
      </text>
    </comment>
    <comment ref="E9" authorId="1">
      <text>
        <r>
          <rPr>
            <b/>
            <u/>
            <sz val="9"/>
            <color indexed="81"/>
            <rFont val="Tahoma"/>
            <family val="2"/>
          </rPr>
          <t>Course</t>
        </r>
        <r>
          <rPr>
            <sz val="9"/>
            <color indexed="81"/>
            <rFont val="Tahoma"/>
            <family val="2"/>
          </rPr>
          <t xml:space="preserve">
Click the down arrow to open the dropdown list and for each "Course" box select the appropriate course from the list, or type in a course manually.
Courses marked with an asterisk (*) have special rules or are Crosslisted.  Click the Course Restrictions link to the far right for a list of a Crosslisted and Restricted courses.</t>
        </r>
      </text>
    </comment>
    <comment ref="F9" authorId="1">
      <text>
        <r>
          <rPr>
            <b/>
            <u/>
            <sz val="9"/>
            <color indexed="81"/>
            <rFont val="Tahoma"/>
            <family val="2"/>
          </rPr>
          <t>Credit</t>
        </r>
        <r>
          <rPr>
            <sz val="9"/>
            <color indexed="81"/>
            <rFont val="Tahoma"/>
            <family val="2"/>
          </rPr>
          <t xml:space="preserve">
Select the appropriate amount of credits from the dropdown list or type a number in manually.</t>
        </r>
      </text>
    </comment>
    <comment ref="G9" authorId="1">
      <text>
        <r>
          <rPr>
            <b/>
            <u/>
            <sz val="9"/>
            <color indexed="81"/>
            <rFont val="Tahoma"/>
            <family val="2"/>
          </rPr>
          <t>Grade</t>
        </r>
        <r>
          <rPr>
            <sz val="9"/>
            <color indexed="81"/>
            <rFont val="Tahoma"/>
            <family val="2"/>
          </rPr>
          <t xml:space="preserve">
Select a grade from the dropdown list or type in a grade manually.  Click the "Grade Key" link to the right for more information.</t>
        </r>
      </text>
    </comment>
    <comment ref="G31" authorId="0">
      <text>
        <r>
          <rPr>
            <b/>
            <u/>
            <sz val="8"/>
            <color indexed="81"/>
            <rFont val="Tahoma"/>
            <family val="2"/>
          </rPr>
          <t xml:space="preserve">Total Credits
</t>
        </r>
        <r>
          <rPr>
            <sz val="8"/>
            <color indexed="81"/>
            <rFont val="Tahoma"/>
            <family val="2"/>
          </rPr>
          <t>These are the total number of credits that have been entered in Category I, Category II, and Category III on this audit.</t>
        </r>
      </text>
    </comment>
    <comment ref="J31" authorId="0">
      <text>
        <r>
          <rPr>
            <b/>
            <u/>
            <sz val="8"/>
            <color indexed="81"/>
            <rFont val="Tahoma"/>
            <family val="2"/>
          </rPr>
          <t xml:space="preserve">Earned Credits
</t>
        </r>
        <r>
          <rPr>
            <sz val="8"/>
            <color indexed="81"/>
            <rFont val="Tahoma"/>
            <family val="2"/>
          </rPr>
          <t>Input in this cell the total credits that have actually been completed, do not include IPS (In Progress or Scheduled) courses in this total.</t>
        </r>
      </text>
    </comment>
    <comment ref="G32" authorId="0">
      <text>
        <r>
          <rPr>
            <b/>
            <u/>
            <sz val="8"/>
            <color indexed="81"/>
            <rFont val="Tahoma"/>
            <family val="2"/>
          </rPr>
          <t xml:space="preserve">Additional Credits
</t>
        </r>
        <r>
          <rPr>
            <sz val="8"/>
            <color indexed="81"/>
            <rFont val="Tahoma"/>
            <family val="2"/>
          </rPr>
          <t>Input in this cell additional credits that have been earned but that have not been recorded on the audit.</t>
        </r>
      </text>
    </comment>
    <comment ref="J32" authorId="0">
      <text>
        <r>
          <rPr>
            <b/>
            <u/>
            <sz val="8"/>
            <color indexed="81"/>
            <rFont val="Tahoma"/>
            <family val="2"/>
          </rPr>
          <t xml:space="preserve">Credits IPS
</t>
        </r>
        <r>
          <rPr>
            <sz val="8"/>
            <color indexed="81"/>
            <rFont val="Tahoma"/>
            <family val="2"/>
          </rPr>
          <t xml:space="preserve">Input in this cell the number of credits currently enrolled in or scheduled for an upcoming semester.  </t>
        </r>
      </text>
    </comment>
    <comment ref="J35" authorId="0">
      <text>
        <r>
          <rPr>
            <b/>
            <u/>
            <sz val="8"/>
            <color indexed="81"/>
            <rFont val="Tahoma"/>
            <family val="2"/>
          </rPr>
          <t xml:space="preserve">Cultural Studies
</t>
        </r>
        <r>
          <rPr>
            <sz val="8"/>
            <color indexed="81"/>
            <rFont val="Tahoma"/>
            <family val="2"/>
          </rPr>
          <t>A course that was used in Category I, II, or III may also be used here as long as it appears on the Cultural Studies Approved Course List.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D8" authorId="0">
      <text>
        <r>
          <rPr>
            <b/>
            <u/>
            <sz val="8"/>
            <color indexed="81"/>
            <rFont val="Tahoma"/>
            <family val="2"/>
          </rPr>
          <t>ID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Enter the student's PeopleSoft ID number.</t>
        </r>
      </text>
    </comment>
    <comment ref="H34" authorId="0">
      <text>
        <r>
          <rPr>
            <b/>
            <u/>
            <sz val="8"/>
            <color indexed="81"/>
            <rFont val="Tahoma"/>
            <family val="2"/>
          </rPr>
          <t xml:space="preserve">Total Credits
</t>
        </r>
        <r>
          <rPr>
            <sz val="8"/>
            <color indexed="81"/>
            <rFont val="Tahoma"/>
            <family val="2"/>
          </rPr>
          <t>These are the total number of credits that have been entered in Category I, Category II, and Category III on this audit.</t>
        </r>
      </text>
    </comment>
    <comment ref="K34" authorId="0">
      <text>
        <r>
          <rPr>
            <b/>
            <u/>
            <sz val="8"/>
            <color indexed="81"/>
            <rFont val="Tahoma"/>
            <family val="2"/>
          </rPr>
          <t xml:space="preserve">Earned Credits
</t>
        </r>
        <r>
          <rPr>
            <sz val="8"/>
            <color indexed="81"/>
            <rFont val="Tahoma"/>
            <family val="2"/>
          </rPr>
          <t>Input in this cell the total credits that have actually been completed, do not include IPS (In Progress or Scheduled) courses in this total.</t>
        </r>
      </text>
    </comment>
    <comment ref="H35" authorId="0">
      <text>
        <r>
          <rPr>
            <b/>
            <u/>
            <sz val="8"/>
            <color indexed="81"/>
            <rFont val="Tahoma"/>
            <family val="2"/>
          </rPr>
          <t xml:space="preserve">Additional Credits
</t>
        </r>
        <r>
          <rPr>
            <sz val="8"/>
            <color indexed="81"/>
            <rFont val="Tahoma"/>
            <family val="2"/>
          </rPr>
          <t>Input in this cell additional credits that have been earned but that have not been recorded on the audit.</t>
        </r>
      </text>
    </comment>
    <comment ref="K35" authorId="0">
      <text>
        <r>
          <rPr>
            <b/>
            <u/>
            <sz val="8"/>
            <color indexed="81"/>
            <rFont val="Tahoma"/>
            <family val="2"/>
          </rPr>
          <t xml:space="preserve">Credits IPS
</t>
        </r>
        <r>
          <rPr>
            <sz val="8"/>
            <color indexed="81"/>
            <rFont val="Tahoma"/>
            <family val="2"/>
          </rPr>
          <t xml:space="preserve">Input in this cell the number of credits currently enrolled in or scheduled for an upcoming semester.  </t>
        </r>
      </text>
    </comment>
    <comment ref="K38" authorId="0">
      <text>
        <r>
          <rPr>
            <b/>
            <u/>
            <sz val="8"/>
            <color indexed="81"/>
            <rFont val="Tahoma"/>
            <family val="2"/>
          </rPr>
          <t xml:space="preserve">Cultural Studies
</t>
        </r>
        <r>
          <rPr>
            <sz val="8"/>
            <color indexed="81"/>
            <rFont val="Tahoma"/>
            <family val="2"/>
          </rPr>
          <t>A course that was used in Category I, II, or III may also be used here as long as it appears on the Cultural Studies Approved Course List.</t>
        </r>
      </text>
    </comment>
  </commentList>
</comments>
</file>

<file path=xl/comments4.xml><?xml version="1.0" encoding="utf-8"?>
<comments xmlns="http://schemas.openxmlformats.org/spreadsheetml/2006/main">
  <authors>
    <author>Nathan Smith</author>
  </authors>
  <commentList>
    <comment ref="C6" authorId="0">
      <text>
        <r>
          <rPr>
            <b/>
            <u/>
            <sz val="8"/>
            <color indexed="81"/>
            <rFont val="Tahoma"/>
            <family val="2"/>
          </rPr>
          <t xml:space="preserve">Crosswalk
</t>
        </r>
        <r>
          <rPr>
            <sz val="8"/>
            <color indexed="81"/>
            <rFont val="Tahoma"/>
            <family val="2"/>
          </rPr>
          <t>Courses change titles over
time.  The Crosswalk shows you what course numbers a course was previously listed as.
Example:  BIO 112 was previously BIO 103.</t>
        </r>
      </text>
    </comment>
  </commentList>
</comments>
</file>

<file path=xl/comments5.xml><?xml version="1.0" encoding="utf-8"?>
<comments xmlns="http://schemas.openxmlformats.org/spreadsheetml/2006/main">
  <authors>
    <author>Nathan Smith</author>
  </authors>
  <commentList>
    <comment ref="C98" authorId="0">
      <text>
        <r>
          <rPr>
            <sz val="8"/>
            <color indexed="81"/>
            <rFont val="Tahoma"/>
            <family val="2"/>
          </rPr>
          <t xml:space="preserve">This is an example of a
tooltip.
</t>
        </r>
      </text>
    </comment>
  </commentList>
</comments>
</file>

<file path=xl/sharedStrings.xml><?xml version="1.0" encoding="utf-8"?>
<sst xmlns="http://schemas.openxmlformats.org/spreadsheetml/2006/main" count="2831" uniqueCount="1191">
  <si>
    <t>NAME:</t>
  </si>
  <si>
    <t>DATE:</t>
  </si>
  <si>
    <t>ID:</t>
  </si>
  <si>
    <t>FOCUS:</t>
  </si>
  <si>
    <t>Hours:</t>
  </si>
  <si>
    <t>/33</t>
  </si>
  <si>
    <t>Course</t>
  </si>
  <si>
    <t>Credit</t>
  </si>
  <si>
    <t>Grade</t>
  </si>
  <si>
    <t>/15</t>
  </si>
  <si>
    <t>CATEGORY III:  Electives</t>
  </si>
  <si>
    <t>/12</t>
  </si>
  <si>
    <t>Total Credits:</t>
  </si>
  <si>
    <t>Earned Credits:</t>
  </si>
  <si>
    <t>Additional Credits:</t>
  </si>
  <si>
    <t>Credits IPS:</t>
  </si>
  <si>
    <t>1.  Student must take one approved Cultural Studies course.</t>
  </si>
  <si>
    <t>3.  Student must take at least one Science Lab.</t>
  </si>
  <si>
    <t>5.  Student must earn a minimum of sixty (60) credit hours for a degree.</t>
  </si>
  <si>
    <t>/60</t>
  </si>
  <si>
    <t>/4.0</t>
  </si>
  <si>
    <t>Notes</t>
  </si>
  <si>
    <t>Auditor:</t>
  </si>
  <si>
    <t>E-mail:</t>
  </si>
  <si>
    <t>General Help</t>
  </si>
  <si>
    <t>Example:</t>
  </si>
  <si>
    <t>The Audit sheet uses a color code to help the auditor quickly see what is incomplete.</t>
  </si>
  <si>
    <t>Example</t>
  </si>
  <si>
    <t>NOTE:</t>
  </si>
  <si>
    <t>Grade Key</t>
  </si>
  <si>
    <t>A guide to the abbreviations used for grades.</t>
  </si>
  <si>
    <t>Key:</t>
  </si>
  <si>
    <t>A = A</t>
  </si>
  <si>
    <t>D = D</t>
  </si>
  <si>
    <t>IPS = In Progress Or Scheduled</t>
  </si>
  <si>
    <t>B = B</t>
  </si>
  <si>
    <t>P = Pass</t>
  </si>
  <si>
    <t>C = C</t>
  </si>
  <si>
    <t>TRN = Transfer</t>
  </si>
  <si>
    <t>RULE 1:</t>
  </si>
  <si>
    <t>RULE 2:</t>
  </si>
  <si>
    <t>Transfer &amp; IPS Courses</t>
  </si>
  <si>
    <t>There are special rules concerning Transfer &amp; IPS courses.</t>
  </si>
  <si>
    <t>TRN</t>
  </si>
  <si>
    <t>A Transfer (TRN) course is any course taken outside of the KCTC System.</t>
  </si>
  <si>
    <t>For Transfer courses always select a grade of "TRN" from the "Grades" dropdown box.</t>
  </si>
  <si>
    <t>If a course does not transfer in as something specific, it can be used as an elective.</t>
  </si>
  <si>
    <t>IPS</t>
  </si>
  <si>
    <t>Course Listing</t>
  </si>
  <si>
    <t>Crosswalk</t>
  </si>
  <si>
    <t xml:space="preserve">Category I </t>
  </si>
  <si>
    <t>If the student completes an accelerated English class such as ENG 105, the student does not</t>
  </si>
  <si>
    <t>need to take two English classes, however, the student must pick up another elective to earn</t>
  </si>
  <si>
    <t>the requisite sixty hours of credit to graduate.</t>
  </si>
  <si>
    <t>Category II</t>
  </si>
  <si>
    <t>Category III</t>
  </si>
  <si>
    <t>Classes the student transferred in from another college but that did not transfer in as specific course</t>
  </si>
  <si>
    <t>(i.e. ENG 113 transferred in as TRN 185) can be used in this section.</t>
  </si>
  <si>
    <t>RULE 3:</t>
  </si>
  <si>
    <t>RULE 4:</t>
  </si>
  <si>
    <t>RULE 5:</t>
  </si>
  <si>
    <t>Students must earn at least 60 credit hours to attain an associate degree.</t>
  </si>
  <si>
    <t>RULE 6:</t>
  </si>
  <si>
    <t>RULE 7:</t>
  </si>
  <si>
    <t>Students must complete at least 15 credit hours at BCTC to earn a degree from BCTC.</t>
  </si>
  <si>
    <t>RULE 8:</t>
  </si>
  <si>
    <t>A student must have a cumulative GPA of 2.0 in order to graduate.</t>
  </si>
  <si>
    <t>RULE 9:</t>
  </si>
  <si>
    <t>Sociology 101 could not be used as both a Social Interaction and an Elective.</t>
  </si>
  <si>
    <t>RULE 10:</t>
  </si>
  <si>
    <t>Audit Information</t>
  </si>
  <si>
    <t>To prevent accidental deletion or modification of the program, the sheets are password protected.</t>
  </si>
  <si>
    <t>Help</t>
  </si>
  <si>
    <t>nathan.smith@kctcs.edu</t>
  </si>
  <si>
    <t>CATA</t>
  </si>
  <si>
    <t>CATC</t>
  </si>
  <si>
    <t>CATD</t>
  </si>
  <si>
    <t>CATE</t>
  </si>
  <si>
    <t>CATF</t>
  </si>
  <si>
    <t>CATG</t>
  </si>
  <si>
    <t>CATH</t>
  </si>
  <si>
    <t>CATI</t>
  </si>
  <si>
    <t>CATJ</t>
  </si>
  <si>
    <t>CATK</t>
  </si>
  <si>
    <t>CATL</t>
  </si>
  <si>
    <t>CATM</t>
  </si>
  <si>
    <t>CATN</t>
  </si>
  <si>
    <t>CATEGORIES</t>
  </si>
  <si>
    <t>ENG 101</t>
  </si>
  <si>
    <t>COM 181</t>
  </si>
  <si>
    <t>ANA 209</t>
  </si>
  <si>
    <t>AGR 101</t>
  </si>
  <si>
    <t>FLK 276</t>
  </si>
  <si>
    <t>ANT 130*</t>
  </si>
  <si>
    <t xml:space="preserve">CATA </t>
  </si>
  <si>
    <t>ENG 102</t>
  </si>
  <si>
    <t>COM 252</t>
  </si>
  <si>
    <t>MA 110</t>
  </si>
  <si>
    <t>AST 101</t>
  </si>
  <si>
    <t>ANT 101</t>
  </si>
  <si>
    <t>HIS 101</t>
  </si>
  <si>
    <t>ART 100</t>
  </si>
  <si>
    <t>CATB</t>
  </si>
  <si>
    <t>ENG 105</t>
  </si>
  <si>
    <t>COM 281</t>
  </si>
  <si>
    <t>MA 111</t>
  </si>
  <si>
    <t>AST 155*</t>
  </si>
  <si>
    <t>HIS 102</t>
  </si>
  <si>
    <t>ART 104</t>
  </si>
  <si>
    <t>ANT 160</t>
  </si>
  <si>
    <t>COM 287</t>
  </si>
  <si>
    <t>MA 112</t>
  </si>
  <si>
    <t>AST 191</t>
  </si>
  <si>
    <t>HIS 104</t>
  </si>
  <si>
    <t>ART 105</t>
  </si>
  <si>
    <t>ANT 220</t>
  </si>
  <si>
    <t>Mathematics</t>
  </si>
  <si>
    <t>MA 113</t>
  </si>
  <si>
    <t>AST 192</t>
  </si>
  <si>
    <t>HIS 105</t>
  </si>
  <si>
    <t>ART 106</t>
  </si>
  <si>
    <t>ANT 221</t>
  </si>
  <si>
    <t>MA 114</t>
  </si>
  <si>
    <t>HIS 106</t>
  </si>
  <si>
    <t>ART 201</t>
  </si>
  <si>
    <t>ANT 235</t>
  </si>
  <si>
    <t>Social Interaction</t>
  </si>
  <si>
    <t>MA 123</t>
  </si>
  <si>
    <t>BIO 112</t>
  </si>
  <si>
    <t>HIS 107</t>
  </si>
  <si>
    <t>ART 203</t>
  </si>
  <si>
    <t>ANT 241</t>
  </si>
  <si>
    <t>Heritage</t>
  </si>
  <si>
    <t>MA 162</t>
  </si>
  <si>
    <t>HIS 108</t>
  </si>
  <si>
    <t>ART 204</t>
  </si>
  <si>
    <t>ANT 242</t>
  </si>
  <si>
    <t>Humanities</t>
  </si>
  <si>
    <t>MA 201</t>
  </si>
  <si>
    <t>BIO 114</t>
  </si>
  <si>
    <t>HIS 109</t>
  </si>
  <si>
    <t>ENG 135</t>
  </si>
  <si>
    <t>FRE 101</t>
  </si>
  <si>
    <t>Foreign Language</t>
  </si>
  <si>
    <t>MA 202</t>
  </si>
  <si>
    <t>HIS 120</t>
  </si>
  <si>
    <t>ENG 161</t>
  </si>
  <si>
    <t>FRE 102</t>
  </si>
  <si>
    <t>Cultural Studies</t>
  </si>
  <si>
    <t>MA 213</t>
  </si>
  <si>
    <t>BIO 116</t>
  </si>
  <si>
    <t>COM 101</t>
  </si>
  <si>
    <t>HIS 202</t>
  </si>
  <si>
    <t>ENG 221</t>
  </si>
  <si>
    <t>FRE 201</t>
  </si>
  <si>
    <t>General Education</t>
  </si>
  <si>
    <t>MA 214</t>
  </si>
  <si>
    <t>HIS 203</t>
  </si>
  <si>
    <t>ENG 222</t>
  </si>
  <si>
    <t>FRE 202</t>
  </si>
  <si>
    <t>MA 241</t>
  </si>
  <si>
    <t>BIO 118</t>
  </si>
  <si>
    <t>COM 254</t>
  </si>
  <si>
    <t>HIS 206</t>
  </si>
  <si>
    <t>ENG 230</t>
  </si>
  <si>
    <t>GER 101</t>
  </si>
  <si>
    <t>MAT 146*</t>
  </si>
  <si>
    <t>BIO 120</t>
  </si>
  <si>
    <t>ECO 101</t>
  </si>
  <si>
    <t>HIS 207</t>
  </si>
  <si>
    <t>ENG 231</t>
  </si>
  <si>
    <t>GER 102</t>
  </si>
  <si>
    <t>MAT 150</t>
  </si>
  <si>
    <t>ECO 201</t>
  </si>
  <si>
    <t>HIS 240</t>
  </si>
  <si>
    <t>ENG 232</t>
  </si>
  <si>
    <t>GER 201</t>
  </si>
  <si>
    <t>Science Lab</t>
  </si>
  <si>
    <t>MAT 155</t>
  </si>
  <si>
    <t>BIO 122</t>
  </si>
  <si>
    <t>ECO 202</t>
  </si>
  <si>
    <t>HIS 247</t>
  </si>
  <si>
    <t>ENG 233</t>
  </si>
  <si>
    <t>GER 202</t>
  </si>
  <si>
    <t>CHE 130</t>
  </si>
  <si>
    <t>Do not edit this section.</t>
  </si>
  <si>
    <t>MAT 160</t>
  </si>
  <si>
    <t>BIO 124</t>
  </si>
  <si>
    <t>FAM 252</t>
  </si>
  <si>
    <t>HIS 248</t>
  </si>
  <si>
    <t>ENG 234</t>
  </si>
  <si>
    <t>JPN 101</t>
  </si>
  <si>
    <t>MAT 165</t>
  </si>
  <si>
    <t>BIO 130</t>
  </si>
  <si>
    <t>FAM 253</t>
  </si>
  <si>
    <t>HIS 254</t>
  </si>
  <si>
    <t>ENG 251</t>
  </si>
  <si>
    <t>JPN 102</t>
  </si>
  <si>
    <t>MISC MASTER DATA</t>
  </si>
  <si>
    <t>MAT 170</t>
  </si>
  <si>
    <t>FLK 280</t>
  </si>
  <si>
    <t>HIS 260</t>
  </si>
  <si>
    <t>ENG 252</t>
  </si>
  <si>
    <t>RAE 150</t>
  </si>
  <si>
    <t>MAT 175</t>
  </si>
  <si>
    <t>GEN 140</t>
  </si>
  <si>
    <t>HIS 261</t>
  </si>
  <si>
    <t>ENG 261</t>
  </si>
  <si>
    <t>RAE 151</t>
  </si>
  <si>
    <t>Credits</t>
  </si>
  <si>
    <t>Completion</t>
  </si>
  <si>
    <t>MAT 185</t>
  </si>
  <si>
    <t>GEN 225</t>
  </si>
  <si>
    <t>HIS 265</t>
  </si>
  <si>
    <t>ENG 262</t>
  </si>
  <si>
    <t>ENG 264</t>
  </si>
  <si>
    <t>CHE 220</t>
  </si>
  <si>
    <t>MAT 275</t>
  </si>
  <si>
    <t>BIO 140</t>
  </si>
  <si>
    <t>GEO 152</t>
  </si>
  <si>
    <t>HIS 270</t>
  </si>
  <si>
    <t>ENG 282</t>
  </si>
  <si>
    <t>A</t>
  </si>
  <si>
    <t>Complete</t>
  </si>
  <si>
    <t>MAT 285</t>
  </si>
  <si>
    <t>GEO 160</t>
  </si>
  <si>
    <t>HIS 271</t>
  </si>
  <si>
    <t>ENG 270</t>
  </si>
  <si>
    <t>B</t>
  </si>
  <si>
    <t>Incomplete</t>
  </si>
  <si>
    <t>BIO 142</t>
  </si>
  <si>
    <t>GEO 172</t>
  </si>
  <si>
    <t>HIS 295</t>
  </si>
  <si>
    <t>ENG 271</t>
  </si>
  <si>
    <t>C</t>
  </si>
  <si>
    <t>GEO 210</t>
  </si>
  <si>
    <t>HIS 296</t>
  </si>
  <si>
    <t>ENG 281*</t>
  </si>
  <si>
    <t>SPA 101</t>
  </si>
  <si>
    <t>D</t>
  </si>
  <si>
    <t>BIO 144</t>
  </si>
  <si>
    <t>GEO 222</t>
  </si>
  <si>
    <t>SPA 102</t>
  </si>
  <si>
    <t>P</t>
  </si>
  <si>
    <t>BIO 150</t>
  </si>
  <si>
    <t>GEO 240</t>
  </si>
  <si>
    <t>SPA 201</t>
  </si>
  <si>
    <t>GEN 125</t>
  </si>
  <si>
    <t>SPA 202</t>
  </si>
  <si>
    <t>BIO 152</t>
  </si>
  <si>
    <t>HUM 135</t>
  </si>
  <si>
    <t>HON 101</t>
  </si>
  <si>
    <t>HUM 202</t>
  </si>
  <si>
    <t>HON 102</t>
  </si>
  <si>
    <t>BIO 155*</t>
  </si>
  <si>
    <t>HUM 203</t>
  </si>
  <si>
    <t>HON 201</t>
  </si>
  <si>
    <t>BIO 220</t>
  </si>
  <si>
    <t>HUM 204</t>
  </si>
  <si>
    <t>HON 202</t>
  </si>
  <si>
    <t>TRN = Transfer Class</t>
  </si>
  <si>
    <t>HUM 221</t>
  </si>
  <si>
    <t>HRS 101</t>
  </si>
  <si>
    <t>PHY 231</t>
  </si>
  <si>
    <t>IPS = Class In Progress Or Scheduled</t>
  </si>
  <si>
    <t>BIO 226</t>
  </si>
  <si>
    <t>POL 101</t>
  </si>
  <si>
    <t>HRS 102</t>
  </si>
  <si>
    <t>PHY 232</t>
  </si>
  <si>
    <t>POL 210</t>
  </si>
  <si>
    <t>HRS 201</t>
  </si>
  <si>
    <t>POL 212</t>
  </si>
  <si>
    <t>HRS 202</t>
  </si>
  <si>
    <t>POL 235</t>
  </si>
  <si>
    <t>HUM 120</t>
  </si>
  <si>
    <t>SCI 295</t>
  </si>
  <si>
    <t>CHE 120</t>
  </si>
  <si>
    <t>POL 255</t>
  </si>
  <si>
    <t>HUM 121</t>
  </si>
  <si>
    <t>Focus</t>
  </si>
  <si>
    <t>PSY 100</t>
  </si>
  <si>
    <t>HUM 150</t>
  </si>
  <si>
    <t>CHE 140</t>
  </si>
  <si>
    <t>PSY 110</t>
  </si>
  <si>
    <t>None</t>
  </si>
  <si>
    <t>PSY 180</t>
  </si>
  <si>
    <t>CHE 150</t>
  </si>
  <si>
    <t>PSY 185</t>
  </si>
  <si>
    <t>PSY 223</t>
  </si>
  <si>
    <t>HUM 220</t>
  </si>
  <si>
    <t>CHE 170</t>
  </si>
  <si>
    <t>PSY 230</t>
  </si>
  <si>
    <t>HUM 230</t>
  </si>
  <si>
    <t>PSY 297</t>
  </si>
  <si>
    <t>HUM 250</t>
  </si>
  <si>
    <t>CHE 180</t>
  </si>
  <si>
    <t>RAE 120</t>
  </si>
  <si>
    <t>HUM 251</t>
  </si>
  <si>
    <t>REL 101</t>
  </si>
  <si>
    <t>HUM 281*</t>
  </si>
  <si>
    <t>REL 130*</t>
  </si>
  <si>
    <t>HUM 282*</t>
  </si>
  <si>
    <t>CHE 270</t>
  </si>
  <si>
    <t>SOC 101</t>
  </si>
  <si>
    <t>MU 101</t>
  </si>
  <si>
    <t>SOC 151</t>
  </si>
  <si>
    <t>MUS 100</t>
  </si>
  <si>
    <t>CHE 280</t>
  </si>
  <si>
    <t>SOC 152</t>
  </si>
  <si>
    <t>MUS 104</t>
  </si>
  <si>
    <t>SOC 220</t>
  </si>
  <si>
    <t>MUS 206</t>
  </si>
  <si>
    <t>SOC 235</t>
  </si>
  <si>
    <t>MUS 207</t>
  </si>
  <si>
    <t>EST 160</t>
  </si>
  <si>
    <t>MUS 208</t>
  </si>
  <si>
    <t>HUM 282</t>
  </si>
  <si>
    <t>GEO 130</t>
  </si>
  <si>
    <t>SOC 260</t>
  </si>
  <si>
    <t>GEO 251</t>
  </si>
  <si>
    <t>SPA 115</t>
  </si>
  <si>
    <t>MUS 222</t>
  </si>
  <si>
    <t>GLY 101</t>
  </si>
  <si>
    <t>SWK 275</t>
  </si>
  <si>
    <t>PHI 100</t>
  </si>
  <si>
    <t>GLY 102</t>
  </si>
  <si>
    <t>WGS 200</t>
  </si>
  <si>
    <t>PHI 110</t>
  </si>
  <si>
    <t>GLY 110</t>
  </si>
  <si>
    <t>PHI 120</t>
  </si>
  <si>
    <t>PHI 130</t>
  </si>
  <si>
    <t>PHI 140</t>
  </si>
  <si>
    <t>GLY 130</t>
  </si>
  <si>
    <t>PHI 150</t>
  </si>
  <si>
    <t>PHI 260</t>
  </si>
  <si>
    <t>PGY 206</t>
  </si>
  <si>
    <t>PHI 270</t>
  </si>
  <si>
    <t>PHY 151</t>
  </si>
  <si>
    <t>REL 120</t>
  </si>
  <si>
    <t>PHY 152</t>
  </si>
  <si>
    <t>REL 121</t>
  </si>
  <si>
    <t>THA 101</t>
  </si>
  <si>
    <t>THA 200</t>
  </si>
  <si>
    <t>PHY 171</t>
  </si>
  <si>
    <t>THA 283</t>
  </si>
  <si>
    <t>PHY 172</t>
  </si>
  <si>
    <t>WGS 201</t>
  </si>
  <si>
    <t>PHY 201</t>
  </si>
  <si>
    <t>PHY 203</t>
  </si>
  <si>
    <t>SCI 100</t>
  </si>
  <si>
    <t>STA 200</t>
  </si>
  <si>
    <t>STA 210</t>
  </si>
  <si>
    <t>STA 220</t>
  </si>
  <si>
    <t>STA 291</t>
  </si>
  <si>
    <t>Description</t>
  </si>
  <si>
    <t>Writing I</t>
  </si>
  <si>
    <t>Writing II</t>
  </si>
  <si>
    <t>Writing:  An Accelerated Course</t>
  </si>
  <si>
    <t>Basic Public Speaking</t>
  </si>
  <si>
    <t>Communication In Small Groups</t>
  </si>
  <si>
    <t>Persuasive Speaking</t>
  </si>
  <si>
    <t>Analytical Geometry &amp; Trigonometry</t>
  </si>
  <si>
    <t>Contemporary Mathematics</t>
  </si>
  <si>
    <t>Trigonometry</t>
  </si>
  <si>
    <t>Calculus I</t>
  </si>
  <si>
    <t>Calculus II</t>
  </si>
  <si>
    <t>Elementary Calculus &amp; Its Applications</t>
  </si>
  <si>
    <t>Finite Mathematics &amp; Its Applications</t>
  </si>
  <si>
    <t>Mathematics For Elementary Teachers</t>
  </si>
  <si>
    <t>Mathematical Problem Solving For Elementary Teachers</t>
  </si>
  <si>
    <t>Calculus III</t>
  </si>
  <si>
    <t>Calculus IV</t>
  </si>
  <si>
    <t>Geometry For Middle School Teachers</t>
  </si>
  <si>
    <t>MT 145</t>
  </si>
  <si>
    <t>Contemporary College Mathematics</t>
  </si>
  <si>
    <t>MT 150</t>
  </si>
  <si>
    <t>MT 155</t>
  </si>
  <si>
    <t>MT 160</t>
  </si>
  <si>
    <t>Precalculus</t>
  </si>
  <si>
    <t>MT 165</t>
  </si>
  <si>
    <t>MT 170</t>
  </si>
  <si>
    <t>Brief Calculus With Applications</t>
  </si>
  <si>
    <t>MT 175</t>
  </si>
  <si>
    <t>MT 185</t>
  </si>
  <si>
    <t>MT 275</t>
  </si>
  <si>
    <t>MT 285</t>
  </si>
  <si>
    <t>Differential Equations</t>
  </si>
  <si>
    <t>ST 290</t>
  </si>
  <si>
    <t>ST 291</t>
  </si>
  <si>
    <t>Statistics</t>
  </si>
  <si>
    <t>Statistical Method</t>
  </si>
  <si>
    <t>Principles Of Human Anatomy</t>
  </si>
  <si>
    <t>Frontiers Of Astronomy</t>
  </si>
  <si>
    <t>AST 155</t>
  </si>
  <si>
    <t>Astrobiology</t>
  </si>
  <si>
    <t>The Solar System</t>
  </si>
  <si>
    <t>Stars, Galaxies, &amp; The Universe</t>
  </si>
  <si>
    <t>Introductory Astronomy Laboratory</t>
  </si>
  <si>
    <t>BIO 103</t>
  </si>
  <si>
    <t>Introduction To Biology</t>
  </si>
  <si>
    <t>BIO 111</t>
  </si>
  <si>
    <t>Introduction To Biology Lab</t>
  </si>
  <si>
    <t>BSL 102</t>
  </si>
  <si>
    <t>Major Discoveries In Biology</t>
  </si>
  <si>
    <t>BSL 100</t>
  </si>
  <si>
    <t>Biology Laboratory I</t>
  </si>
  <si>
    <t>BSL 103</t>
  </si>
  <si>
    <t>Biology II</t>
  </si>
  <si>
    <t>BSL 101</t>
  </si>
  <si>
    <t>Biology Laboratory II</t>
  </si>
  <si>
    <t>Microbes &amp; Society</t>
  </si>
  <si>
    <t>BIO 102</t>
  </si>
  <si>
    <t>Human Ecology</t>
  </si>
  <si>
    <t>Introduction To Ecology Laboratory</t>
  </si>
  <si>
    <t>BSL 116</t>
  </si>
  <si>
    <t>Introduction To Conservation Biology</t>
  </si>
  <si>
    <t>BSL 120</t>
  </si>
  <si>
    <t>Principles Of Ecology</t>
  </si>
  <si>
    <t>BSL 109</t>
  </si>
  <si>
    <t>Aspects Of Human Biology</t>
  </si>
  <si>
    <t>BSL 107</t>
  </si>
  <si>
    <t>Basic Anatomy &amp; Physiology With Laboratory</t>
  </si>
  <si>
    <t>BSL 110</t>
  </si>
  <si>
    <t>Human Anatomy &amp; Physiology I</t>
  </si>
  <si>
    <t>BSL 111</t>
  </si>
  <si>
    <t>Human Anatomy &amp; Physiology II</t>
  </si>
  <si>
    <t>Botany</t>
  </si>
  <si>
    <t>Botany With Laboratory</t>
  </si>
  <si>
    <t>Zoology</t>
  </si>
  <si>
    <t>Zoology With Laboratory</t>
  </si>
  <si>
    <t>Insect Biology</t>
  </si>
  <si>
    <t>Principles Of Biology I</t>
  </si>
  <si>
    <t>Principles Of Biology Laboratory I</t>
  </si>
  <si>
    <t>Principles Of Biology II</t>
  </si>
  <si>
    <t>Principles Of Biology Laboratory II</t>
  </si>
  <si>
    <t>BIO 155</t>
  </si>
  <si>
    <t>BIO 204</t>
  </si>
  <si>
    <t>The Genetic Perspective</t>
  </si>
  <si>
    <t>BSL 212</t>
  </si>
  <si>
    <t>Medical Microbiology</t>
  </si>
  <si>
    <t>BIO 208</t>
  </si>
  <si>
    <t>Principles Of Microbiology</t>
  </si>
  <si>
    <t>Principles Of Microbiology With Laboratory</t>
  </si>
  <si>
    <t>CHM 101</t>
  </si>
  <si>
    <t>The Joy Of Chemistry</t>
  </si>
  <si>
    <t>The Joy Of Chemistry Laboratory</t>
  </si>
  <si>
    <t>CHM 100</t>
  </si>
  <si>
    <t>Introductory General &amp; Biological Chemistry</t>
  </si>
  <si>
    <t>CHE 104</t>
  </si>
  <si>
    <t>Introductory General Chemistry</t>
  </si>
  <si>
    <t>CHM 104</t>
  </si>
  <si>
    <t>Introductory General Chemistry Laboratory</t>
  </si>
  <si>
    <t>CHE 106</t>
  </si>
  <si>
    <t>Introduction To Organic &amp; Biological Chemistry</t>
  </si>
  <si>
    <t>Introduction To Organic &amp; Biological Chemistry Laboratory</t>
  </si>
  <si>
    <t>CHE 105</t>
  </si>
  <si>
    <t>General College Chemistry I</t>
  </si>
  <si>
    <t>CHM 105</t>
  </si>
  <si>
    <t>General College Chemistry Laboratory I</t>
  </si>
  <si>
    <t>CHE 107</t>
  </si>
  <si>
    <t>General College Chemistry II</t>
  </si>
  <si>
    <t>CHM 107</t>
  </si>
  <si>
    <t>General College Chemistry Laboratory II</t>
  </si>
  <si>
    <t>CHE 226</t>
  </si>
  <si>
    <t>Analytical Chemistry</t>
  </si>
  <si>
    <t>CHE 230</t>
  </si>
  <si>
    <t>Organic Chemistry I</t>
  </si>
  <si>
    <t>CHE 231</t>
  </si>
  <si>
    <t>Organic Chemistry Laboratory I</t>
  </si>
  <si>
    <t>CHE 232</t>
  </si>
  <si>
    <t>Organic Chemistry II</t>
  </si>
  <si>
    <t>CHE 233</t>
  </si>
  <si>
    <t>Organic Chemistry Laboratory II</t>
  </si>
  <si>
    <t>Introductory Ecology</t>
  </si>
  <si>
    <t>Hydrological Geology</t>
  </si>
  <si>
    <t>Earth's Physical Environment</t>
  </si>
  <si>
    <t>Weather &amp; Climate</t>
  </si>
  <si>
    <t>Physical Geology</t>
  </si>
  <si>
    <t>Historical Geology</t>
  </si>
  <si>
    <t>Environmental Geology</t>
  </si>
  <si>
    <t>Laboratory For Physical Geology</t>
  </si>
  <si>
    <t>Laboratory For Historical Geology</t>
  </si>
  <si>
    <t>Dinosaurs &amp; Disasters:  A Brief History Of Vertebrates</t>
  </si>
  <si>
    <t>Principles Of Physical Geology</t>
  </si>
  <si>
    <t>Elementary Physiology</t>
  </si>
  <si>
    <t>Introductory Physics I</t>
  </si>
  <si>
    <t>Introductory Physics II</t>
  </si>
  <si>
    <t>Physics &amp; Astronomy For Elementary Teachers</t>
  </si>
  <si>
    <t>PH 161</t>
  </si>
  <si>
    <t>Introductory Physics Laboratory I</t>
  </si>
  <si>
    <t>PH 162</t>
  </si>
  <si>
    <t>Introductory Physics Laboratory II</t>
  </si>
  <si>
    <t>PH 171</t>
  </si>
  <si>
    <t>Applied Physics</t>
  </si>
  <si>
    <t>PH 172</t>
  </si>
  <si>
    <t>Physics For Health Science</t>
  </si>
  <si>
    <t>College Physics I</t>
  </si>
  <si>
    <t>College Physics II</t>
  </si>
  <si>
    <t>General Physics</t>
  </si>
  <si>
    <t>General University Physics I</t>
  </si>
  <si>
    <t>General University Physics II</t>
  </si>
  <si>
    <t>General University Physics I Laboratory</t>
  </si>
  <si>
    <t>General University Physics II Laboratory</t>
  </si>
  <si>
    <t>Environmental Science:  An Inquiry-Based Interdisciplinary Approach</t>
  </si>
  <si>
    <t>Scientific Investigations</t>
  </si>
  <si>
    <t>GEN 101</t>
  </si>
  <si>
    <t>The Economics Of Food &amp; Agriculture</t>
  </si>
  <si>
    <t>Introduction To Anthropology</t>
  </si>
  <si>
    <t>Introduction To Cultural Anthropology</t>
  </si>
  <si>
    <t>ANT 130</t>
  </si>
  <si>
    <t>Introduction To Comparative Religion</t>
  </si>
  <si>
    <t>Cultural Diversity In The Modern World</t>
  </si>
  <si>
    <t>Native People Of North America</t>
  </si>
  <si>
    <t>Food &amp; Culture</t>
  </si>
  <si>
    <t>Origins Of Old World Civilizations</t>
  </si>
  <si>
    <t>Origins Of New World Civilizations</t>
  </si>
  <si>
    <t>Introduction To Communications</t>
  </si>
  <si>
    <t>COM 249</t>
  </si>
  <si>
    <t>Mass Media &amp; Mass Culture</t>
  </si>
  <si>
    <t>Contemporary Economic Issues</t>
  </si>
  <si>
    <t>Principles Of Microeconomics</t>
  </si>
  <si>
    <t>Principles Of Macroeconomics</t>
  </si>
  <si>
    <t>Introduction To Family Science</t>
  </si>
  <si>
    <t>Human Sexuality:  Development, Behavior, &amp; Attitudes</t>
  </si>
  <si>
    <t>Cultural Diversity In The U.S.</t>
  </si>
  <si>
    <t>GE 140</t>
  </si>
  <si>
    <t>Development Of Leadership</t>
  </si>
  <si>
    <t>Lifelong Learning Applications</t>
  </si>
  <si>
    <t>Regional Geography Of The World</t>
  </si>
  <si>
    <t>Lands &amp; Peoples Of The Non-Western World</t>
  </si>
  <si>
    <t>Human Geography</t>
  </si>
  <si>
    <t>Pollution, Hazards, &amp; Environmental Management</t>
  </si>
  <si>
    <t>Cities Of The World</t>
  </si>
  <si>
    <t>Geography &amp; Gender</t>
  </si>
  <si>
    <t>Introduction To Native American Literature</t>
  </si>
  <si>
    <t>Survey Of Appalachian Studies I</t>
  </si>
  <si>
    <t>Survey Of Appalachian Studies II</t>
  </si>
  <si>
    <t>Contemporary Perspectives On Peace &amp; War</t>
  </si>
  <si>
    <t>PS 101</t>
  </si>
  <si>
    <t>American Government</t>
  </si>
  <si>
    <t>PS 210</t>
  </si>
  <si>
    <t>Introduction To European Politics:  East &amp; West</t>
  </si>
  <si>
    <t>PS 212</t>
  </si>
  <si>
    <t>Culture &amp; Politics In The Third World</t>
  </si>
  <si>
    <t>PS 235</t>
  </si>
  <si>
    <t>World Politics</t>
  </si>
  <si>
    <t>PS 255</t>
  </si>
  <si>
    <t>State Government</t>
  </si>
  <si>
    <t>Introduction To Psychology</t>
  </si>
  <si>
    <t>PY 110</t>
  </si>
  <si>
    <t>General Psychology</t>
  </si>
  <si>
    <t>PY 180</t>
  </si>
  <si>
    <t>Human Relations</t>
  </si>
  <si>
    <t>PY 185</t>
  </si>
  <si>
    <t>Human Potential</t>
  </si>
  <si>
    <t>Developmental Psychology</t>
  </si>
  <si>
    <t>PY 230</t>
  </si>
  <si>
    <t>Psychosocial Aspects Of Death &amp; Dying</t>
  </si>
  <si>
    <t>PY 297</t>
  </si>
  <si>
    <t>Psychology Of Aging</t>
  </si>
  <si>
    <t>Introduction To Chinese Culture</t>
  </si>
  <si>
    <t>RS 101</t>
  </si>
  <si>
    <t>Introduction To Religious Studies</t>
  </si>
  <si>
    <t>REL 130</t>
  </si>
  <si>
    <t>RS 130</t>
  </si>
  <si>
    <t>Introduction To Sociology</t>
  </si>
  <si>
    <t>Modern Social Problems</t>
  </si>
  <si>
    <t>The Community</t>
  </si>
  <si>
    <t>Inequality In Society</t>
  </si>
  <si>
    <t>SOC 249</t>
  </si>
  <si>
    <t>Population, Resources, &amp; Change</t>
  </si>
  <si>
    <t>Culture Of Mexico For Non-Spanish Speakers</t>
  </si>
  <si>
    <t>The Family</t>
  </si>
  <si>
    <t>WS 200</t>
  </si>
  <si>
    <t>Introduction To Women's &amp; Gender Studies In The Social Sciences</t>
  </si>
  <si>
    <t>Introduction To Folk Studies</t>
  </si>
  <si>
    <t>World Civilization I</t>
  </si>
  <si>
    <t>World Civilization II</t>
  </si>
  <si>
    <t>Western Culture:  Science &amp; Technology I</t>
  </si>
  <si>
    <t>Western Culture:  Science &amp; Technology II</t>
  </si>
  <si>
    <t>History Of The U.S. Through 1865</t>
  </si>
  <si>
    <t>History Of The U.S. Since 1865</t>
  </si>
  <si>
    <t>The World At War:  1939 - 1945</t>
  </si>
  <si>
    <t>History Of British People To The Restoration</t>
  </si>
  <si>
    <t>History Of British People Since The Restoration</t>
  </si>
  <si>
    <t>History Of Colonial Latin America</t>
  </si>
  <si>
    <t>History Of Modern Latin America, 1810 To The Present</t>
  </si>
  <si>
    <t>History Of Kentucky</t>
  </si>
  <si>
    <t>History Of Islam &amp; Middle East Peoples, 500 - 1250 A.D.</t>
  </si>
  <si>
    <t>History Of Islam &amp; Middle East Peoples, 1250 To The Present</t>
  </si>
  <si>
    <t>History Of Sub-Saharan Africa</t>
  </si>
  <si>
    <t>African American History To 1865</t>
  </si>
  <si>
    <t>African American History 1865 To The Present</t>
  </si>
  <si>
    <t>History Of Women In America</t>
  </si>
  <si>
    <t>Ancient Europe</t>
  </si>
  <si>
    <t>Medieval Europe</t>
  </si>
  <si>
    <t>East Asia To 1800</t>
  </si>
  <si>
    <t>History Of Asia II</t>
  </si>
  <si>
    <t>Introduction To Art</t>
  </si>
  <si>
    <t>AH 104</t>
  </si>
  <si>
    <t>Introduction To African Art</t>
  </si>
  <si>
    <t>AH 105</t>
  </si>
  <si>
    <t>AH 106</t>
  </si>
  <si>
    <t>AH 210</t>
  </si>
  <si>
    <t>Ancient Art History</t>
  </si>
  <si>
    <t>AH 212</t>
  </si>
  <si>
    <t>Renaissance Art History</t>
  </si>
  <si>
    <t>AH 213</t>
  </si>
  <si>
    <t>Modern Art History</t>
  </si>
  <si>
    <t>Greek &amp; Roman Mythology In Translation</t>
  </si>
  <si>
    <t>Introduction To Literature</t>
  </si>
  <si>
    <t>Survey Of English Literature I</t>
  </si>
  <si>
    <t>Survey Of English Literature II</t>
  </si>
  <si>
    <t>Introduction To Literature (Subtitle)</t>
  </si>
  <si>
    <t>Literature &amp; Genre (Subtitle)</t>
  </si>
  <si>
    <t>Literature &amp; Place (Subtitle)</t>
  </si>
  <si>
    <t>Literature &amp; Identities (Subtitle)</t>
  </si>
  <si>
    <t>Introduction To Women's Literature</t>
  </si>
  <si>
    <t>Survey Of American Literature I</t>
  </si>
  <si>
    <t>Survey Of American Literature II</t>
  </si>
  <si>
    <t>Survey Of Western Literature From The Greeks Through The Renaissance</t>
  </si>
  <si>
    <t>Survey Of Western Literature From 1660 To The Present</t>
  </si>
  <si>
    <t>Major Black Writers</t>
  </si>
  <si>
    <t>The Old Testament As Literature</t>
  </si>
  <si>
    <t>The New Testament As Literature</t>
  </si>
  <si>
    <t>ENG 281</t>
  </si>
  <si>
    <t>Introduction To Film</t>
  </si>
  <si>
    <t>International Film Studies</t>
  </si>
  <si>
    <t>Applied Meta-Thinking</t>
  </si>
  <si>
    <t>The Ancient World</t>
  </si>
  <si>
    <t>The Medieval &amp; Renaissance World</t>
  </si>
  <si>
    <t>The Early &amp; Modern World</t>
  </si>
  <si>
    <t>The Contemporary World</t>
  </si>
  <si>
    <t>An Integrated Survey Of Western Civilization I</t>
  </si>
  <si>
    <t>An Integrated Survey Of Western Civilization II</t>
  </si>
  <si>
    <t>An Integrated Survey Of Western Civilization III</t>
  </si>
  <si>
    <t>An Integrated Survey Of Western Civilization IV</t>
  </si>
  <si>
    <t>Peace Studies</t>
  </si>
  <si>
    <t>Introduction To African Literature</t>
  </si>
  <si>
    <t>Appalachian Seminar</t>
  </si>
  <si>
    <t>Historical Perspectives On Peace &amp; War</t>
  </si>
  <si>
    <t>Contemporary Japanese Literature &amp; Culture In Translation</t>
  </si>
  <si>
    <t>Appalachian Literature Survey</t>
  </si>
  <si>
    <t>Contemporary Appalachian Literature</t>
  </si>
  <si>
    <t>HUM 281</t>
  </si>
  <si>
    <t>Introduction To Music</t>
  </si>
  <si>
    <t>Introduction To Jazz History</t>
  </si>
  <si>
    <t>American Music</t>
  </si>
  <si>
    <t>African American Music History</t>
  </si>
  <si>
    <t>World Music</t>
  </si>
  <si>
    <t>History &amp; Sociology Of Rock Music</t>
  </si>
  <si>
    <t>Introduction To Philosophy:  Knowledge &amp; Reality</t>
  </si>
  <si>
    <t>PHL 110</t>
  </si>
  <si>
    <t>Medical Ethics</t>
  </si>
  <si>
    <t>Introductory Logic</t>
  </si>
  <si>
    <t>Ethics</t>
  </si>
  <si>
    <t>The Ethics Of War &amp; Peace</t>
  </si>
  <si>
    <t>PHL 120</t>
  </si>
  <si>
    <t>Business Ethics</t>
  </si>
  <si>
    <t>History Of Philosophy I:  From Greek Beginnings To The Middle Ages</t>
  </si>
  <si>
    <t>History Of Philosophy II:  From The Renaissance To The Present Era</t>
  </si>
  <si>
    <t>RS 120</t>
  </si>
  <si>
    <t>Introduction To The Old Testament</t>
  </si>
  <si>
    <t>RS 121</t>
  </si>
  <si>
    <t>Introduction To The New Testament</t>
  </si>
  <si>
    <t>TA 101</t>
  </si>
  <si>
    <t>Introduction To Theater:  Principles &amp; Practices</t>
  </si>
  <si>
    <t>TA 200</t>
  </si>
  <si>
    <t>Introduction To Dramatic Literature</t>
  </si>
  <si>
    <t>TA 283</t>
  </si>
  <si>
    <t>American Theater</t>
  </si>
  <si>
    <t>WS 201</t>
  </si>
  <si>
    <t>ASL 101</t>
  </si>
  <si>
    <t>American Sign Language I</t>
  </si>
  <si>
    <t>ASL 102</t>
  </si>
  <si>
    <t>American Sign Language II</t>
  </si>
  <si>
    <t>ASL 201</t>
  </si>
  <si>
    <t>American Sign Language III</t>
  </si>
  <si>
    <t>ASL 202</t>
  </si>
  <si>
    <t>American Sign Language IV</t>
  </si>
  <si>
    <t>FR 101</t>
  </si>
  <si>
    <t>Elementary French I</t>
  </si>
  <si>
    <t>FR 102</t>
  </si>
  <si>
    <t>Elementary French II</t>
  </si>
  <si>
    <t>FR 201</t>
  </si>
  <si>
    <t>Intermediate French I</t>
  </si>
  <si>
    <t>FR 202</t>
  </si>
  <si>
    <t>Intermediate French II</t>
  </si>
  <si>
    <t>Elementary German I</t>
  </si>
  <si>
    <t>Elementary German II</t>
  </si>
  <si>
    <t>Intermediate German I</t>
  </si>
  <si>
    <t>Intermediate German II</t>
  </si>
  <si>
    <t>Beginning Japanese I</t>
  </si>
  <si>
    <t>Beginning Japanese II</t>
  </si>
  <si>
    <t>Elementary Chinese I</t>
  </si>
  <si>
    <t>Elementary Chinese II</t>
  </si>
  <si>
    <t>SED 101</t>
  </si>
  <si>
    <t>Sign Language I</t>
  </si>
  <si>
    <t>SED 102</t>
  </si>
  <si>
    <t>Sign Language II</t>
  </si>
  <si>
    <t>SED 203</t>
  </si>
  <si>
    <t>Sign Language III</t>
  </si>
  <si>
    <t>SED 204</t>
  </si>
  <si>
    <t>Sign Language IV</t>
  </si>
  <si>
    <t>Elementary Spanish II</t>
  </si>
  <si>
    <t>Intermediate Spanish I</t>
  </si>
  <si>
    <t>Intermediate Spanish II</t>
  </si>
  <si>
    <t>Introduction To Intercultural Communication</t>
  </si>
  <si>
    <t>Literature &amp; Identity</t>
  </si>
  <si>
    <t>Folk &amp; Traditional Music Of The Western Continents</t>
  </si>
  <si>
    <t>Required Courses:</t>
  </si>
  <si>
    <t>Choose One Of The Following:</t>
  </si>
  <si>
    <t>Focus Areas For The Associate In Science Degree</t>
  </si>
  <si>
    <t>Allied Health - 21 Credits</t>
  </si>
  <si>
    <t>Chemistry - 15 Credits</t>
  </si>
  <si>
    <t>CHE 170, CHE 175, CHE 180, CHE 185, CHE 270</t>
  </si>
  <si>
    <t>Computer Science - 18 Credits</t>
  </si>
  <si>
    <t>Mathematics - 18 Credits</t>
  </si>
  <si>
    <t>Natural Sciences - 21 Credits</t>
  </si>
  <si>
    <t>EDP 202, PSY 100/PSY 110, MA 123/STA 200, MA 201, PHY 160</t>
  </si>
  <si>
    <t>Pre-Engineering - 20 Credits</t>
  </si>
  <si>
    <t>MA 113, MA 114, MA 213, PHY 231, PHY 241, CHE 170, PHY 232</t>
  </si>
  <si>
    <t>Statistics:  A Force In Human Judgment</t>
  </si>
  <si>
    <t>Intermediate Applied Physics</t>
  </si>
  <si>
    <t>Introduction To Women's &amp; Gender Studies In The Arts &amp; Humanities</t>
  </si>
  <si>
    <t>Elementary Spanish I</t>
  </si>
  <si>
    <t>Pre-Education - 15 Credits</t>
  </si>
  <si>
    <t>If you find a problem with the audit or have questions or suggestions, please send an e-mail.</t>
  </si>
  <si>
    <t>MA 113, MA 114, MA 213, MA 214, CS 115</t>
  </si>
  <si>
    <t>Allied Health</t>
  </si>
  <si>
    <t>Chemistry</t>
  </si>
  <si>
    <t>Computer Science</t>
  </si>
  <si>
    <t>Natural Sciences</t>
  </si>
  <si>
    <t>Pre-Education</t>
  </si>
  <si>
    <t>Pre-Engineering</t>
  </si>
  <si>
    <t>6.  Student must earn at least fifteen (15) credit hours at BCTC.</t>
  </si>
  <si>
    <t>7.  Student must have a cumulative GPA of 2.0 to earn a degree.</t>
  </si>
  <si>
    <t>TRN ENG</t>
  </si>
  <si>
    <t>Quick Links</t>
  </si>
  <si>
    <t xml:space="preserve">CHE 275, CHE 280, CHE 285, CHE 220, MA 113, MA 114, PHY 211, PHY 213, </t>
  </si>
  <si>
    <t>PHY 231 &amp; PHY 241, PHY 232 &amp; PHY 242</t>
  </si>
  <si>
    <t>CS 115, CS 215, CS 216, MA 113, MA 114 OR PHY 231 &amp; PHY 241</t>
  </si>
  <si>
    <t>Choose Nine Hours From These Courses:</t>
  </si>
  <si>
    <t>Choose Twenty-One Hours From These Courses:</t>
  </si>
  <si>
    <t>BIO 150, BIO 151, BIO 152, BIO 153, CHE 170, CHE 175, CHE 180, CHE 185, MA 113,</t>
  </si>
  <si>
    <t xml:space="preserve"> MA 123, PHY 211, PHY 213, CHE 270, CHE 280</t>
  </si>
  <si>
    <t>Category I Help</t>
  </si>
  <si>
    <t>Category II Help</t>
  </si>
  <si>
    <t>Category III Help</t>
  </si>
  <si>
    <t>Focus Areas</t>
  </si>
  <si>
    <t>Requirements Help</t>
  </si>
  <si>
    <t>Bluegrass Community &amp; Technical College</t>
  </si>
  <si>
    <t>Associate In Arts &amp; Associate In Science</t>
  </si>
  <si>
    <t>Course Restrictions</t>
  </si>
  <si>
    <t>Focus Areas For The Associate In Arts Degree</t>
  </si>
  <si>
    <t>African American Studies - 12 Credits</t>
  </si>
  <si>
    <t>ENG 264, HIS 260, HIS 261</t>
  </si>
  <si>
    <t>ANT 160, ENG 231 - Subtitled:  African American Literature, HIS 254</t>
  </si>
  <si>
    <t>Anthropology - 12 Credits</t>
  </si>
  <si>
    <t>ANT 220, ANT 230, ANT 240</t>
  </si>
  <si>
    <t>Additional Required Courses:</t>
  </si>
  <si>
    <t>One additional 200-level Anthropology course</t>
  </si>
  <si>
    <t>Communication - 15 Credits</t>
  </si>
  <si>
    <t>COM 101, STA 200</t>
  </si>
  <si>
    <t>COM 181, COM 252, COM 281, COM 287</t>
  </si>
  <si>
    <t>Choose Two Of The Following:</t>
  </si>
  <si>
    <t>Criminal Justice - 21 Credits</t>
  </si>
  <si>
    <t>CJ 101</t>
  </si>
  <si>
    <t>One Each Of The Following:</t>
  </si>
  <si>
    <t>Political Science (POL), Psychology (PSY), &amp; Sociology (SOC)</t>
  </si>
  <si>
    <t>English - 15 Credits</t>
  </si>
  <si>
    <t>ENG 231, ENG 232, ENG 233, ENG 234</t>
  </si>
  <si>
    <t>HUM 135, ENG 264</t>
  </si>
  <si>
    <t>One additional literature course and one additional writing course</t>
  </si>
  <si>
    <t>Family Studies - 12 Credits</t>
  </si>
  <si>
    <t>Choose Three Of The Following:</t>
  </si>
  <si>
    <t>EDP 202, EDP 203, FAM 253, FAM 254/PSY 223, FAM 255</t>
  </si>
  <si>
    <t>Film Studies - 12 Credits</t>
  </si>
  <si>
    <t>ENG 281, ENG 282</t>
  </si>
  <si>
    <t>Geography - 12 Credits</t>
  </si>
  <si>
    <t>GEO 130, GEO 172, GEO 152, GEO 160</t>
  </si>
  <si>
    <t>One additional 200-level Geography course</t>
  </si>
  <si>
    <t>History - 15 Credits</t>
  </si>
  <si>
    <t>HIS 108, HIS 109, HIS 104, HIS 105</t>
  </si>
  <si>
    <t>One additional 200-level History course</t>
  </si>
  <si>
    <t>Journalism - 12 Credits</t>
  </si>
  <si>
    <t>JOU 101, JOU 204</t>
  </si>
  <si>
    <t>COM 249, POL 101, POL 235</t>
  </si>
  <si>
    <t>Peace &amp; Justice Studies - 16 Credits</t>
  </si>
  <si>
    <t>HUM 121, PHI 130, EX 196</t>
  </si>
  <si>
    <t>ANT 160, GEO 160</t>
  </si>
  <si>
    <t>Philosophy - 12 Credits</t>
  </si>
  <si>
    <t>Choose Four Of The Following:</t>
  </si>
  <si>
    <t>PHI 100, PHI 120, PHI 130, ANT 130</t>
  </si>
  <si>
    <t>Political Science - 12 Credits</t>
  </si>
  <si>
    <t>POL 101, POL 235, POL 271</t>
  </si>
  <si>
    <t>One additional Political Science course.</t>
  </si>
  <si>
    <t>Pre-Business - 21 Credits</t>
  </si>
  <si>
    <t>ACC 201, ACC 202, CIT 105/IMD 100, ECO 201, ECO 202, ENG 203</t>
  </si>
  <si>
    <t>MA 123, MA 162, STA 291</t>
  </si>
  <si>
    <t>Psychology - 17 Credits</t>
  </si>
  <si>
    <t>PSY 100/PSY 110, PSY 215, PSY 216, PSY 223</t>
  </si>
  <si>
    <t>PSY 230, PSY 297, PSY 298</t>
  </si>
  <si>
    <t>Social Work - 21 Credits</t>
  </si>
  <si>
    <t>SW 124, SW 222</t>
  </si>
  <si>
    <t>Sociology - 12 Credits</t>
  </si>
  <si>
    <t>Women's Studies - 15 Credits</t>
  </si>
  <si>
    <t>WGS 200, WGS 201</t>
  </si>
  <si>
    <t>ENG 234, HIS 265, GEO 240, FAM 253</t>
  </si>
  <si>
    <t xml:space="preserve">CIT 105, COM 181, COM 252, COM 281, COM 287, ENG 203, JOU 101, JOU 204, </t>
  </si>
  <si>
    <t>POL 101, POL 235, POL 271, PSY 100, PSY 110</t>
  </si>
  <si>
    <t>ART 100, COM 249/SOC 249, THA 101, THA 200, THA 283, WGS 201, ENG 230,</t>
  </si>
  <si>
    <t xml:space="preserve"> IMD 240, IMD 250</t>
  </si>
  <si>
    <t xml:space="preserve">ANT 220, ENG 232 - Subtitle:  Peace Literature, ENG 264, GEO 260, HUM 135, </t>
  </si>
  <si>
    <t>POL 212, POL 235, SOC 235, WGS 201</t>
  </si>
  <si>
    <t>Science course.</t>
  </si>
  <si>
    <t>African American Studies</t>
  </si>
  <si>
    <t>Anthropology</t>
  </si>
  <si>
    <t>Communication</t>
  </si>
  <si>
    <t>Criminal Justice</t>
  </si>
  <si>
    <t>English</t>
  </si>
  <si>
    <t>Family Studies</t>
  </si>
  <si>
    <t>Film Studies</t>
  </si>
  <si>
    <t>Geography</t>
  </si>
  <si>
    <t>History</t>
  </si>
  <si>
    <t>Journalism</t>
  </si>
  <si>
    <t>Peace &amp; Justice Studies</t>
  </si>
  <si>
    <t>Philosophy</t>
  </si>
  <si>
    <t>Political Science</t>
  </si>
  <si>
    <t>Pre-Business</t>
  </si>
  <si>
    <t>Social Work</t>
  </si>
  <si>
    <t>Sociology</t>
  </si>
  <si>
    <t>Women's Studies</t>
  </si>
  <si>
    <t>AS Focus Areas</t>
  </si>
  <si>
    <t>AA Focus Areas:</t>
  </si>
  <si>
    <t>AS Focus Areas:</t>
  </si>
  <si>
    <t>AA Focus Areas</t>
  </si>
  <si>
    <t>Degree Audit Help</t>
  </si>
  <si>
    <t>Courses</t>
  </si>
  <si>
    <t>Crosslisting</t>
  </si>
  <si>
    <t>Category I</t>
  </si>
  <si>
    <t>Special Requirements</t>
  </si>
  <si>
    <t>How To Use The AA/AS Audit</t>
  </si>
  <si>
    <t>Color Code</t>
  </si>
  <si>
    <t>Components</t>
  </si>
  <si>
    <t>TRN GEN I</t>
  </si>
  <si>
    <t>TRN GEN II</t>
  </si>
  <si>
    <t>TRN SCI</t>
  </si>
  <si>
    <t>TRN HUM</t>
  </si>
  <si>
    <t>TRN SOCIAL</t>
  </si>
  <si>
    <t>TRN SCILAB</t>
  </si>
  <si>
    <t>TRN MATH</t>
  </si>
  <si>
    <t>AA Focus</t>
  </si>
  <si>
    <t>AS Focus</t>
  </si>
  <si>
    <t>Three additional Criminal Justice courses, at least one must be 200-level.</t>
  </si>
  <si>
    <t>Psychology (PSY), Sociology (SOC)</t>
  </si>
  <si>
    <t>Anthropology (ANT), Economics (ECO), Political Science (POL),</t>
  </si>
  <si>
    <t>BIO 226, BSL 214, CHE 170, CHE 175, CHE 180, CHE 185, PGY 206, PHY 211, PHY 213</t>
  </si>
  <si>
    <t>ANA 209, BIO 137, BIO 139, BIO 150, BIO 151, BIO 152, BIO 153, BIO 209,</t>
  </si>
  <si>
    <t xml:space="preserve">ANA 209, BIO 137, BIO 139, BIO 150, BIO 151, BIO 152, BIO 153, BIO 209, </t>
  </si>
  <si>
    <t>MA 123, PGY 206, PHY 211, PHY 213, PSY 100, PSY 223, SOC 101, STA 200, STA 291</t>
  </si>
  <si>
    <t>BIO 226, BSL 214, CHE 170, CHE 175, CHE 180, CHE 185, CLA 135, MA 112, MA 123,</t>
  </si>
  <si>
    <t>Return To AA</t>
  </si>
  <si>
    <t>Return To AS</t>
  </si>
  <si>
    <t>This Audit program is composed of eight sheets.  The purpose of each is briefly explained below.</t>
  </si>
  <si>
    <t>BCTC</t>
  </si>
  <si>
    <t>BCTC is the first sheet.  This contains the title page as well as important links to other components of the audit.</t>
  </si>
  <si>
    <t>The sheets are color-coded and can be accessed by clicking the colored tabs at the bottom of audit.</t>
  </si>
  <si>
    <t>Cross</t>
  </si>
  <si>
    <t>of terms and requirements.</t>
  </si>
  <si>
    <t>locked by default.</t>
  </si>
  <si>
    <t>The audit program is design to be as user-friendly as possible and to reduce the amount of time looking up information</t>
  </si>
  <si>
    <t>by including that information in the audit.</t>
  </si>
  <si>
    <t xml:space="preserve">The primary information you will be entering in the audit is Course, Credit, and Grade.  By simply clicking in one of the </t>
  </si>
  <si>
    <t xml:space="preserve">empty Course, Credit, or Grade cells on the audit sheet you will bring up a dropdown list, and then you choose the </t>
  </si>
  <si>
    <t>appropriate option from the list.</t>
  </si>
  <si>
    <t>You can also enter Course, Credits, and Grades in manually just by typing them into the cell.</t>
  </si>
  <si>
    <t>Quick Links appear on most sheets in the audit program.  Clicking one of the links under the Quick Links heading allows</t>
  </si>
  <si>
    <t>you to quickly navigate to different parts of the audit.</t>
  </si>
  <si>
    <r>
      <t xml:space="preserve">A box that is highlighted in </t>
    </r>
    <r>
      <rPr>
        <b/>
        <sz val="11"/>
        <rFont val="Calibri"/>
        <family val="2"/>
        <scheme val="minor"/>
      </rPr>
      <t>YELLOW</t>
    </r>
    <r>
      <rPr>
        <sz val="11"/>
        <rFont val="Calibri"/>
        <family val="2"/>
        <scheme val="minor"/>
      </rPr>
      <t xml:space="preserve"> indicates that a requirement has not been met or the appropriate course has</t>
    </r>
  </si>
  <si>
    <t>not yet been taken.</t>
  </si>
  <si>
    <t>If you input a value of 1.85 in the GPA box, it will be highlighted yellow because a student must have a GPA of 2.0</t>
  </si>
  <si>
    <t xml:space="preserve"> to graduate and therefore they do not meet that requirement.</t>
  </si>
  <si>
    <t>The grade IPS is always highlighted in LIGHT BLUE to indicate that the student has not yet completed the course,</t>
  </si>
  <si>
    <t>because they are currently enrolled in it or are taking it in the upcoming semester.</t>
  </si>
  <si>
    <t>Courses in the Electives section must always be entered manually, as there is such a wide range of courses</t>
  </si>
  <si>
    <t xml:space="preserve"> that can be used as electives.</t>
  </si>
  <si>
    <t>If a student enters a value manually, they need to confirm with an advisor that what they have entered</t>
  </si>
  <si>
    <t xml:space="preserve"> is acceptable or usable.</t>
  </si>
  <si>
    <t>TIP:</t>
  </si>
  <si>
    <t xml:space="preserve">Note that on the audit sheet there are many cells with a small red triangle in the top left corner.  This means </t>
  </si>
  <si>
    <t>there is a tooltip for that cell.  Moving your mouse cursor over the cell will bring up the tooltip which will provide</t>
  </si>
  <si>
    <t xml:space="preserve"> you with help or instructions.</t>
  </si>
  <si>
    <t>The "TRN" grade identifies the course as a Transfer course.  Grades from other schools do not transfer in,</t>
  </si>
  <si>
    <t>only the credits.</t>
  </si>
  <si>
    <t>BCTC may not have equivalent courses for all transfer credits, and some of the courses that do have equivalents</t>
  </si>
  <si>
    <t xml:space="preserve"> may have different course titles.</t>
  </si>
  <si>
    <t>Students should refer to their PeopleSoft account to find out the BCTC equivalents to the Transfer Courses.</t>
  </si>
  <si>
    <t xml:space="preserve"> If a course transfers in with a specific BCTC equivalent, then input the course on the audit sheet as it is titled</t>
  </si>
  <si>
    <t xml:space="preserve"> at BCTC.</t>
  </si>
  <si>
    <t>If a student took ENG 103 at Boston University, and it transferred to BCTC as ENG 101, then input ENG 101 on the</t>
  </si>
  <si>
    <t xml:space="preserve"> audit sheet but give it a grade of "TRN" to mark it as a Transfer.</t>
  </si>
  <si>
    <t>If a student took HIS 249 at Bowling Green State and it transferred in as TRN 200, then it did not transfer as a</t>
  </si>
  <si>
    <t>specific BCTC course and can only be used as an elective.</t>
  </si>
  <si>
    <t>An In Progress Or Scheduled course is any course that has not yet been completed but the student is enrolled in.</t>
  </si>
  <si>
    <t>Input a grade of "IPS" for all courses that a student is currently enrolled in but has not completed.</t>
  </si>
  <si>
    <t>Tip:</t>
  </si>
  <si>
    <t>ANT 130 and REL 130 are both Introduction to Religion.  A student may not earn credit for both.</t>
  </si>
  <si>
    <t xml:space="preserve">A number of course have specific restrictions on them.  </t>
  </si>
  <si>
    <t xml:space="preserve">There are  many special restrictions and requirements a student must adhere to, be sure to pay close attention when </t>
  </si>
  <si>
    <t xml:space="preserve"> performing an audit.</t>
  </si>
  <si>
    <t>All students must complete a Cultural Studies course from the approved list.  The Cultural Studies Course is not</t>
  </si>
  <si>
    <t>an additional course the student must take.  The student must simply have taken a course in Category I, II, or III</t>
  </si>
  <si>
    <t xml:space="preserve"> that counts as a Cultural Studies course.</t>
  </si>
  <si>
    <t>If the student took ART 104, that is a Humanities course, the student could therefore use it as a Humanities class</t>
  </si>
  <si>
    <t xml:space="preserve">in Category I, but since it is on the Cultural Studies list it can also count as a Cultural Studies course.  </t>
  </si>
  <si>
    <t>Students must complete at least one Science Lab from the approved list, or take a course with lab credit</t>
  </si>
  <si>
    <t>but the student could also sign up for BIO 113 which is the lab for 112.</t>
  </si>
  <si>
    <t>BIO 137 is a 4 credit hour course with the lab included, BIO 112 is a three credit hour course with no lab included,</t>
  </si>
  <si>
    <t>Each course can only be used on the audit sheet once, unless a course specifically states that it can be taken</t>
  </si>
  <si>
    <t>multiple times for credit.</t>
  </si>
  <si>
    <t>A Cultural Studies course is one exception, a course used in Category I, II, or III can also be used as a Cultural</t>
  </si>
  <si>
    <t>Studies course under the Requirements section if it appears on the Cultural Studies list.</t>
  </si>
  <si>
    <t>Courses in which the student earned a grade of "E" or "I" do not earn credit and cannot be used on the audit.</t>
  </si>
  <si>
    <t>Developmental Courses below the 100 level or courses marked with an "R" (ex. MA 108R) do not count towards</t>
  </si>
  <si>
    <t xml:space="preserve"> graduation and cannot be used on the audit.</t>
  </si>
  <si>
    <t>If you need to edit or modify the sheets for any reason please contact the program creator listed below.</t>
  </si>
  <si>
    <t>Psychology</t>
  </si>
  <si>
    <t>Electives</t>
  </si>
  <si>
    <t>TRN HER</t>
  </si>
  <si>
    <t xml:space="preserve">Two additional Sociology courses and one additional Social/Behavioral </t>
  </si>
  <si>
    <t>Choose Twelve Hours From These Courses:</t>
  </si>
  <si>
    <t>Over time courses may change their titles.  Just because the course has a different title does not mean the student can take</t>
  </si>
  <si>
    <t>and earn credit for it a second time.</t>
  </si>
  <si>
    <t>student had a higher grade in would be the course that would be counted.</t>
  </si>
  <si>
    <t xml:space="preserve">AH 105 became ART 105.  Therefore a student would not earn credit for AH 105 and ART 105, whichever course the </t>
  </si>
  <si>
    <t>once.</t>
  </si>
  <si>
    <t xml:space="preserve">Some courses may be listed under more than one course number.  However, a student can only get credit for the course </t>
  </si>
  <si>
    <t>Associate In Arts</t>
  </si>
  <si>
    <t>Associate In Science</t>
  </si>
  <si>
    <t>TRN COM</t>
  </si>
  <si>
    <t>MAT 159</t>
  </si>
  <si>
    <t>MAT 174</t>
  </si>
  <si>
    <t>MAT 206</t>
  </si>
  <si>
    <t>MAT 154</t>
  </si>
  <si>
    <t>MAT 184</t>
  </si>
  <si>
    <t>Mathematics For Elementary &amp; Middle School Teachers II</t>
  </si>
  <si>
    <t>ECO 150</t>
  </si>
  <si>
    <t>Introduction To Global Economics</t>
  </si>
  <si>
    <t>ART 202</t>
  </si>
  <si>
    <t>Medieval Art History</t>
  </si>
  <si>
    <t>HUM 140</t>
  </si>
  <si>
    <t>Introduction To Latino Literature</t>
  </si>
  <si>
    <t>Greek And Roman Mythology In Translation</t>
  </si>
  <si>
    <t>The courses on this list have  been approved to fulfill the requirements for the</t>
  </si>
  <si>
    <t>TRN FORLANG</t>
  </si>
  <si>
    <t>ENG 282*</t>
  </si>
  <si>
    <t>HNR 101</t>
  </si>
  <si>
    <t>Intro To Interpersonal Communications</t>
  </si>
  <si>
    <t>College Algebra &amp; Functions</t>
  </si>
  <si>
    <t>College Physics Lab I</t>
  </si>
  <si>
    <t>College Physics Lab II</t>
  </si>
  <si>
    <t>Intro To Intercultural Communications</t>
  </si>
  <si>
    <t>History Of Modern Latin America:  1810 To The Present</t>
  </si>
  <si>
    <t>History Of Islam &amp; Middle East Peoples:  500 - 1250 A.D.</t>
  </si>
  <si>
    <t>History Of Islam &amp; Middle East Peoples:  1250 To The Present</t>
  </si>
  <si>
    <t>Bioethics:  Moral Issues In Health Care</t>
  </si>
  <si>
    <t>Ancient Through Medieval Art History</t>
  </si>
  <si>
    <t>Renaissance Through Modern Art History</t>
  </si>
  <si>
    <t>Introduction To Contemporary Thought</t>
  </si>
  <si>
    <t>Introduction To The Humanities</t>
  </si>
  <si>
    <t>BIO 106 / BSL 140</t>
  </si>
  <si>
    <t>BIO 140 / BSL 160</t>
  </si>
  <si>
    <t>PHY 212</t>
  </si>
  <si>
    <t>Restrictions</t>
  </si>
  <si>
    <t>PY 100</t>
  </si>
  <si>
    <t>PY 223</t>
  </si>
  <si>
    <t>BIO 106, 107 / BSL 140</t>
  </si>
  <si>
    <t>BIO 104, 105 / BSL 160</t>
  </si>
  <si>
    <t>BIO 208, 209</t>
  </si>
  <si>
    <t>A History Of Europe From The Mid-17th Century To The Present</t>
  </si>
  <si>
    <t>A History Of Europe Through The Mid-17th Century</t>
  </si>
  <si>
    <t>Crosslisted with BIO 155.</t>
  </si>
  <si>
    <t>Crosslisted with AST 155.</t>
  </si>
  <si>
    <t>Crosslisted with REL 130.</t>
  </si>
  <si>
    <t>Crosslisted with SOC 249.</t>
  </si>
  <si>
    <t>Crosslisted with ANT 130.</t>
  </si>
  <si>
    <t>Crosslisted with COM 249.</t>
  </si>
  <si>
    <t>Crosslisted with HUM 281.</t>
  </si>
  <si>
    <t>Crosslisted with HUM 282.</t>
  </si>
  <si>
    <t>Crosslisted with ENG 281.</t>
  </si>
  <si>
    <t>Crosslisted with ENG 282.</t>
  </si>
  <si>
    <t xml:space="preserve">MAT 146 </t>
  </si>
  <si>
    <t>Refer to the COURSES sheet for a list of common courses that have had title changes.</t>
  </si>
  <si>
    <t>Refer to the COURSES sheet for a listing of  Crosslisted courses.</t>
  </si>
  <si>
    <t>Refer to the COURSES sheet for a list of specific restrictions.</t>
  </si>
  <si>
    <t>Course Info</t>
  </si>
  <si>
    <t>Return To Menu</t>
  </si>
  <si>
    <t xml:space="preserve"> fall under, a description of each course, as well as a crosslisting and restrictions.</t>
  </si>
  <si>
    <t xml:space="preserve">If you select a course from the dropdown menu that has an asterisk (*) next to it then you need to refer to </t>
  </si>
  <si>
    <t>the Courses tab to see if that course has special restrictions or is crosslisted.</t>
  </si>
  <si>
    <t>CATEGORY I:  General Education Core</t>
  </si>
  <si>
    <t>CATEGORY II:  Associate In Arts Requirements</t>
  </si>
  <si>
    <t>Social &amp; Behavioral Sciences (9)</t>
  </si>
  <si>
    <t>Natural Sciences (3)</t>
  </si>
  <si>
    <t>Quantitative Reasoning (3)</t>
  </si>
  <si>
    <t>Electives (15)</t>
  </si>
  <si>
    <t>4.  Student must demonstrate Computer Literacy.</t>
  </si>
  <si>
    <t>Quantitative Reasoning /Natural Sciences (3)</t>
  </si>
  <si>
    <t>Communication - Written (6)</t>
  </si>
  <si>
    <t>Communication - Oral (3)</t>
  </si>
  <si>
    <t>Arts &amp; Humanities - Heritage (3)</t>
  </si>
  <si>
    <t>Arts &amp; Humanities - Humanities (3)</t>
  </si>
  <si>
    <t>2.  Student must take Social &amp; Behavioral Science courses from at least two disciplines.</t>
  </si>
  <si>
    <t>Arts &amp; Humanities/Social &amp; Behavioral Sciences/Foreign Language (6)</t>
  </si>
  <si>
    <t>Social &amp; Behavioral Sciences (6)</t>
  </si>
  <si>
    <t>Natural Sciences (6)</t>
  </si>
  <si>
    <t>Quantitative Reasoning (6)</t>
  </si>
  <si>
    <t>Quantitative Reasoning/Natural Sciences (6)</t>
  </si>
  <si>
    <t>General Education Core/Foreign Languages (6)</t>
  </si>
  <si>
    <t>CATEGORY II:  Associate In Science Requirements</t>
  </si>
  <si>
    <t>Credits Summary</t>
  </si>
  <si>
    <t>Quantitative Reasoning</t>
  </si>
  <si>
    <t>Social &amp; Behavioral Sciences</t>
  </si>
  <si>
    <t>Natural Sciences &amp; Quantitative Reasoning</t>
  </si>
  <si>
    <t>Communication - Written</t>
  </si>
  <si>
    <t>Communication - Oral</t>
  </si>
  <si>
    <t>Arts &amp; Humanities - Heritage</t>
  </si>
  <si>
    <t>Arts &amp; Humanities - Humanities</t>
  </si>
  <si>
    <t>Foreign Languages</t>
  </si>
  <si>
    <t>Nathan Smith - AT 204, Cooper</t>
  </si>
  <si>
    <t>Nathan Smith</t>
  </si>
  <si>
    <t>AT 204 - Cooper</t>
  </si>
  <si>
    <t>Additional Graduation Requirements</t>
  </si>
  <si>
    <t>Written</t>
  </si>
  <si>
    <t>MA 193</t>
  </si>
  <si>
    <t>MA 194</t>
  </si>
  <si>
    <t>Algebra &amp; Trigonometry For Calculus</t>
  </si>
  <si>
    <t>Supplementary Mathematics Workshop I</t>
  </si>
  <si>
    <t>Supplementary Mathematics Workshop II</t>
  </si>
  <si>
    <t>May be used as a repeat option for MA 109.</t>
  </si>
  <si>
    <t>Introductory Microbiology Laboratory</t>
  </si>
  <si>
    <t>PSY 298</t>
  </si>
  <si>
    <t>Essentials Of Abnormal Psychology</t>
  </si>
  <si>
    <t>AST 195L</t>
  </si>
  <si>
    <t>BIO 113L</t>
  </si>
  <si>
    <t>BIO 115L</t>
  </si>
  <si>
    <t>BIO 117L</t>
  </si>
  <si>
    <t>BIO 121L</t>
  </si>
  <si>
    <t>BIO 135L</t>
  </si>
  <si>
    <t>BIO 137L</t>
  </si>
  <si>
    <t>BIO 139L</t>
  </si>
  <si>
    <t>BIO 141L</t>
  </si>
  <si>
    <t>BIO 143L</t>
  </si>
  <si>
    <t>BIO 151L</t>
  </si>
  <si>
    <t>BIO 153L</t>
  </si>
  <si>
    <t>BIO 209L</t>
  </si>
  <si>
    <t>BIO 225L</t>
  </si>
  <si>
    <t>BIO 227L</t>
  </si>
  <si>
    <t>CHE 125L</t>
  </si>
  <si>
    <t>CHE 145L</t>
  </si>
  <si>
    <t>CHE 155L</t>
  </si>
  <si>
    <t>CHE 175L</t>
  </si>
  <si>
    <t>CHE 185L</t>
  </si>
  <si>
    <t>CHE 275L</t>
  </si>
  <si>
    <t>CHE 285L</t>
  </si>
  <si>
    <t>EST 150L</t>
  </si>
  <si>
    <t>GLY 111L</t>
  </si>
  <si>
    <t>GLY 112L</t>
  </si>
  <si>
    <t>GLY 220L</t>
  </si>
  <si>
    <t>PH 217L</t>
  </si>
  <si>
    <t>PHY 160L</t>
  </si>
  <si>
    <t>PHY 161L</t>
  </si>
  <si>
    <t>PHY 162L</t>
  </si>
  <si>
    <t>PHY 202L</t>
  </si>
  <si>
    <t>PHY 204L</t>
  </si>
  <si>
    <t>PHY 211L</t>
  </si>
  <si>
    <t>PHY 213L</t>
  </si>
  <si>
    <t>PHY 241L</t>
  </si>
  <si>
    <t>PHY 242L</t>
  </si>
  <si>
    <t>COM 249*</t>
  </si>
  <si>
    <t>REL 100</t>
  </si>
  <si>
    <t>SOC 249*</t>
  </si>
  <si>
    <t>Comm - Written</t>
  </si>
  <si>
    <t>Social &amp; Behavioral</t>
  </si>
  <si>
    <t>Natural Science</t>
  </si>
  <si>
    <t>Oral</t>
  </si>
  <si>
    <t>NS &amp; QR</t>
  </si>
  <si>
    <t>A&amp;H, SB, FL</t>
  </si>
  <si>
    <t>Arts &amp; Humanities, Social &amp; Behavioral Sciences, &amp; Foreign Languages</t>
  </si>
  <si>
    <t>PHY 260L</t>
  </si>
  <si>
    <t>On the AS degree may only be used as an</t>
  </si>
  <si>
    <t>not be used as Quantitative Reasoning.</t>
  </si>
  <si>
    <t>Elective or Core Course in Category II, may</t>
  </si>
  <si>
    <t>Comm - Oral</t>
  </si>
  <si>
    <t>Social &amp; Behavioral Sci.</t>
  </si>
  <si>
    <t>Arts &amp; Hum. - Heritage</t>
  </si>
  <si>
    <t>Arts &amp; Hum. - Humanities</t>
  </si>
  <si>
    <t xml:space="preserve"> Associate in Arts &amp; Associate in Science degrees for 2012 - 2013.</t>
  </si>
  <si>
    <t>MAT 146 may not be used as a General Education or Quantitative Reasoning course on the AS.</t>
  </si>
  <si>
    <t>Category I is comprised of the core General Education requirements (English, Math, etc.) and requires a total of 33 hours.</t>
  </si>
  <si>
    <t>The distribution of these hours is different for the AA and AS degrees.</t>
  </si>
  <si>
    <t>Category II consists of additional requirements for the AA and AS degrees the student must complete.</t>
  </si>
  <si>
    <t>This section requires a total of twelve hours to complete.</t>
  </si>
  <si>
    <t>student has taken 1, 2 or 4 credit hour courses in categories I or II.</t>
  </si>
  <si>
    <t xml:space="preserve">Category III consists of electives.  </t>
  </si>
  <si>
    <t>credit hour courses in categories I or II.</t>
  </si>
  <si>
    <t>Generally, students will have 15 credits of electives but this total may be different if a student has taken 1, 2 or 4</t>
  </si>
  <si>
    <t>If a student takes BIO 137 (4 credits) and BIO 139 (4 credits) to complete the Natural Sciences requirements, then</t>
  </si>
  <si>
    <t>the student would only need 13 hours of electives because BIO 137 &amp; 139 each provided an extra credit.</t>
  </si>
  <si>
    <t>different disciplines.</t>
  </si>
  <si>
    <t>could not therefore take three Psychology courses but could take two Psychologies and one Sociology.</t>
  </si>
  <si>
    <t>The AA requires three Social &amp; Behavioral Science courses and these must be from two disciplines.  A student</t>
  </si>
  <si>
    <t xml:space="preserve">The AS requires two Social &amp; Behavioral Science courses and these must be from two disciplines.  A student </t>
  </si>
  <si>
    <t>could not therefore take two Psychology courses but could take one Psychology and one Sociology.</t>
  </si>
  <si>
    <t>If a student is pursuing multiple associate degrees they must meet the requirements for the second degree,</t>
  </si>
  <si>
    <t>including at least 6 additional hours beyond the first degree.</t>
  </si>
  <si>
    <t>A student can earn both the AA &amp; AS degree if they have met the course requirements for both and have earned</t>
  </si>
  <si>
    <t>at least 66 credit hours.</t>
  </si>
  <si>
    <t>M1</t>
  </si>
  <si>
    <t>M2</t>
  </si>
  <si>
    <t>and locked by default.</t>
  </si>
  <si>
    <t>2012 - 2013</t>
  </si>
  <si>
    <t>Quantitative</t>
  </si>
  <si>
    <t>Reasoning</t>
  </si>
  <si>
    <t>Sciences</t>
  </si>
  <si>
    <t>Core</t>
  </si>
  <si>
    <t xml:space="preserve">Students must take at least two Social &amp; Behavioral Science courses, and at least two of those courses must be from </t>
  </si>
  <si>
    <t>John S. Smith</t>
  </si>
  <si>
    <t>000000000</t>
  </si>
  <si>
    <t>EXAMPLE AUDIT</t>
  </si>
  <si>
    <t>This audit is only an example to give you an idea of what an audit should look like.</t>
  </si>
  <si>
    <t>Nate Smith</t>
  </si>
  <si>
    <t>View An Example Audit</t>
  </si>
  <si>
    <t>GPA</t>
  </si>
  <si>
    <t>GPA Calculator</t>
  </si>
  <si>
    <t>GPA:</t>
  </si>
  <si>
    <t>Total Grade Points:</t>
  </si>
  <si>
    <t>GPA Calculation</t>
  </si>
  <si>
    <t xml:space="preserve">          Example:  HIS 104</t>
  </si>
  <si>
    <t xml:space="preserve">1.  Under "Course" input the course name. </t>
  </si>
  <si>
    <t xml:space="preserve">          Example:  HIS 104 is 3 credits.</t>
  </si>
  <si>
    <t xml:space="preserve">          Example:  You got a D in HIS 104 but would like to retake it.  Change your grade</t>
  </si>
  <si>
    <t xml:space="preserve">          in HIS 104 to something else to see how much it would affect your GPA.</t>
  </si>
  <si>
    <t>Instructions</t>
  </si>
  <si>
    <t>Value</t>
  </si>
  <si>
    <t>Example Audit is the fourth sheet.  This shows an example and provides explanations about the audit.</t>
  </si>
  <si>
    <t>GPA Calculator is the fifth sheet and can be used to calculate GPA.</t>
  </si>
  <si>
    <t>E</t>
  </si>
  <si>
    <t xml:space="preserve">          Note:  Transfer &amp; Developmental courses do not count towards GPA.</t>
  </si>
  <si>
    <t>AHS 115</t>
  </si>
  <si>
    <t>Contact Nate Smith</t>
  </si>
  <si>
    <t>Still have questions?</t>
  </si>
  <si>
    <t>Main Menu</t>
  </si>
  <si>
    <t>Return To Main Menu</t>
  </si>
  <si>
    <t>Degree Audit Quick Links</t>
  </si>
  <si>
    <t>Associate In Arts Audit</t>
  </si>
  <si>
    <t>Associate In Science Audit</t>
  </si>
  <si>
    <t>Use The GPA Calculator</t>
  </si>
  <si>
    <t>View Course Listing</t>
  </si>
  <si>
    <t>View Focus Areas</t>
  </si>
  <si>
    <t>View The Help Section</t>
  </si>
  <si>
    <t xml:space="preserve">          Example:</t>
  </si>
  <si>
    <t>Points</t>
  </si>
  <si>
    <t xml:space="preserve">          Note:  If a course has been repeated, only record the course with the highest</t>
  </si>
  <si>
    <t xml:space="preserve">          grade.</t>
  </si>
  <si>
    <t>4.  GPA will be automatically calculated.</t>
  </si>
  <si>
    <t>5.  If you would like to see what the GPA would be if repeated a course is repeated,</t>
  </si>
  <si>
    <t xml:space="preserve">     simply change the grade to see how it affects the GPA.</t>
  </si>
  <si>
    <t>2012 - 2013 AA/AS Degree Audit</t>
  </si>
  <si>
    <t>General Education Core/Foreign Language (6)</t>
  </si>
  <si>
    <t>2.  Under "Credits" enter a credit value or select one from the dropdown box.</t>
  </si>
  <si>
    <t>3.  Under "Grade" select a grade from the dropdown box.</t>
  </si>
  <si>
    <t>MAT 55</t>
  </si>
  <si>
    <t>MAT 65</t>
  </si>
  <si>
    <t>ENC Courses</t>
  </si>
  <si>
    <t>RDG Courses</t>
  </si>
  <si>
    <t>MA 108R</t>
  </si>
  <si>
    <t>ESL Courses</t>
  </si>
  <si>
    <t>Common Courses That Do Not Affect GPA</t>
  </si>
  <si>
    <t>Arts</t>
  </si>
  <si>
    <t>Science</t>
  </si>
  <si>
    <t>Arts is the second sheet.  Use this sheet to perform an Associate In Arts audit.</t>
  </si>
  <si>
    <t>Science is the third sheet.  Use this sheet to perform an Associate in Science audit.</t>
  </si>
  <si>
    <t>Updated February 22, 2012</t>
  </si>
  <si>
    <t>TRN Courses</t>
  </si>
  <si>
    <t>Courses is the sixth sheet.  This sheet contains a listing of the General Education courses, the categories they</t>
  </si>
  <si>
    <t>Focus is the seventh sheet.  This contains a list of the requirements for the various Focus Areas for the AA and AS.</t>
  </si>
  <si>
    <t xml:space="preserve">Help is the eighth sheet.  This sheet contains general information about the audit and additional explanations </t>
  </si>
  <si>
    <t>Master 1 is the ninth sheet.  This sheet contains the programming information for the audit and is hidden and</t>
  </si>
  <si>
    <t xml:space="preserve">Master 2 is the tenth sheet.  This sheet contains additional programming information for the audit and is hidden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</si>
</sst>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mm/dd/yy;@"/>
    <numFmt numFmtId="166" formatCode="0.000"/>
  </numFmts>
  <fonts count="4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0"/>
      <name val="Calibri"/>
      <family val="2"/>
    </font>
    <font>
      <b/>
      <u/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4"/>
      <color theme="0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9"/>
      <color theme="0"/>
      <name val="Calibri"/>
      <family val="2"/>
      <scheme val="minor"/>
    </font>
    <font>
      <sz val="11"/>
      <name val="Calibri"/>
      <family val="2"/>
    </font>
    <font>
      <sz val="11"/>
      <color theme="0"/>
      <name val="Calibri"/>
      <family val="2"/>
    </font>
    <font>
      <sz val="11"/>
      <color theme="10"/>
      <name val="Calibri"/>
      <family val="2"/>
    </font>
    <font>
      <b/>
      <u/>
      <sz val="19"/>
      <color theme="0"/>
      <name val="Calibri"/>
      <family val="2"/>
      <scheme val="minor"/>
    </font>
    <font>
      <b/>
      <sz val="17"/>
      <color theme="0"/>
      <name val="Calibri"/>
      <family val="2"/>
      <scheme val="minor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4"/>
      <color theme="0"/>
      <name val="Calibri"/>
      <family val="2"/>
    </font>
    <font>
      <sz val="8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u/>
      <sz val="15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u/>
      <sz val="13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</borders>
  <cellStyleXfs count="7">
    <xf numFmtId="0" fontId="0" fillId="0" borderId="0"/>
    <xf numFmtId="0" fontId="1" fillId="2" borderId="1" applyNumberFormat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39" fillId="0" borderId="7" applyNumberFormat="0" applyFill="0" applyAlignment="0" applyProtection="0"/>
  </cellStyleXfs>
  <cellXfs count="249">
    <xf numFmtId="0" fontId="0" fillId="0" borderId="0" xfId="0"/>
    <xf numFmtId="0" fontId="0" fillId="3" borderId="0" xfId="0" applyFill="1"/>
    <xf numFmtId="0" fontId="1" fillId="2" borderId="1" xfId="1" applyProtection="1"/>
    <xf numFmtId="0" fontId="2" fillId="4" borderId="0" xfId="2" applyAlignment="1"/>
    <xf numFmtId="0" fontId="12" fillId="4" borderId="0" xfId="2" applyFont="1" applyAlignment="1">
      <alignment horizontal="left"/>
    </xf>
    <xf numFmtId="0" fontId="0" fillId="7" borderId="6" xfId="0" applyFill="1" applyBorder="1"/>
    <xf numFmtId="0" fontId="2" fillId="4" borderId="0" xfId="2"/>
    <xf numFmtId="0" fontId="2" fillId="9" borderId="0" xfId="4" applyFill="1"/>
    <xf numFmtId="0" fontId="2" fillId="3" borderId="0" xfId="0" applyFont="1" applyFill="1"/>
    <xf numFmtId="0" fontId="2" fillId="9" borderId="0" xfId="0" applyFont="1" applyFill="1"/>
    <xf numFmtId="0" fontId="15" fillId="9" borderId="0" xfId="5" applyFont="1" applyFill="1" applyAlignment="1" applyProtection="1"/>
    <xf numFmtId="0" fontId="2" fillId="4" borderId="0" xfId="2" applyAlignment="1">
      <alignment horizontal="left"/>
    </xf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9" fillId="3" borderId="0" xfId="0" applyFont="1" applyFill="1"/>
    <xf numFmtId="0" fontId="2" fillId="3" borderId="0" xfId="4" applyFill="1"/>
    <xf numFmtId="0" fontId="8" fillId="10" borderId="0" xfId="0" applyFont="1" applyFill="1"/>
    <xf numFmtId="0" fontId="2" fillId="10" borderId="0" xfId="0" applyFont="1" applyFill="1"/>
    <xf numFmtId="0" fontId="13" fillId="10" borderId="0" xfId="0" applyFont="1" applyFill="1"/>
    <xf numFmtId="0" fontId="1" fillId="2" borderId="1" xfId="1" applyAlignment="1" applyProtection="1">
      <alignment horizontal="center"/>
    </xf>
    <xf numFmtId="0" fontId="8" fillId="4" borderId="0" xfId="2" applyFont="1"/>
    <xf numFmtId="0" fontId="0" fillId="11" borderId="0" xfId="0" applyFill="1"/>
    <xf numFmtId="0" fontId="10" fillId="11" borderId="0" xfId="0" applyFont="1" applyFill="1"/>
    <xf numFmtId="0" fontId="0" fillId="11" borderId="0" xfId="0" applyFill="1" applyAlignment="1"/>
    <xf numFmtId="0" fontId="0" fillId="11" borderId="0" xfId="0" applyFill="1" applyAlignment="1">
      <alignment horizontal="left"/>
    </xf>
    <xf numFmtId="0" fontId="13" fillId="11" borderId="0" xfId="0" applyFont="1" applyFill="1" applyAlignment="1">
      <alignment horizontal="left"/>
    </xf>
    <xf numFmtId="0" fontId="2" fillId="8" borderId="6" xfId="0" applyFont="1" applyFill="1" applyBorder="1"/>
    <xf numFmtId="0" fontId="18" fillId="11" borderId="0" xfId="0" applyFont="1" applyFill="1"/>
    <xf numFmtId="0" fontId="19" fillId="11" borderId="0" xfId="0" applyFont="1" applyFill="1"/>
    <xf numFmtId="0" fontId="13" fillId="11" borderId="0" xfId="0" applyFont="1" applyFill="1"/>
    <xf numFmtId="0" fontId="13" fillId="11" borderId="0" xfId="2" applyFont="1" applyFill="1"/>
    <xf numFmtId="0" fontId="13" fillId="11" borderId="0" xfId="3" applyFont="1" applyFill="1"/>
    <xf numFmtId="0" fontId="4" fillId="11" borderId="0" xfId="0" applyFont="1" applyFill="1" applyProtection="1"/>
    <xf numFmtId="0" fontId="0" fillId="0" borderId="0" xfId="0" applyAlignment="1">
      <alignment vertical="top"/>
    </xf>
    <xf numFmtId="165" fontId="0" fillId="11" borderId="0" xfId="0" applyNumberFormat="1" applyFill="1"/>
    <xf numFmtId="0" fontId="2" fillId="3" borderId="0" xfId="0" applyFont="1" applyFill="1" applyProtection="1"/>
    <xf numFmtId="0" fontId="0" fillId="11" borderId="0" xfId="0" applyFill="1" applyAlignment="1" applyProtection="1">
      <alignment horizontal="center"/>
    </xf>
    <xf numFmtId="0" fontId="0" fillId="11" borderId="0" xfId="0" applyFill="1" applyProtection="1"/>
    <xf numFmtId="0" fontId="1" fillId="2" borderId="1" xfId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2" fillId="4" borderId="0" xfId="2" applyAlignment="1">
      <alignment horizontal="center"/>
    </xf>
    <xf numFmtId="0" fontId="2" fillId="4" borderId="0" xfId="2" applyAlignment="1">
      <alignment horizontal="center"/>
    </xf>
    <xf numFmtId="0" fontId="2" fillId="3" borderId="0" xfId="2" applyFill="1" applyProtection="1"/>
    <xf numFmtId="0" fontId="0" fillId="0" borderId="0" xfId="0" applyFill="1"/>
    <xf numFmtId="0" fontId="22" fillId="4" borderId="0" xfId="2" applyFont="1"/>
    <xf numFmtId="0" fontId="23" fillId="4" borderId="0" xfId="2" applyFont="1"/>
    <xf numFmtId="0" fontId="20" fillId="4" borderId="0" xfId="2" applyFont="1" applyAlignment="1">
      <alignment horizontal="center"/>
    </xf>
    <xf numFmtId="0" fontId="2" fillId="4" borderId="0" xfId="2" applyAlignment="1">
      <alignment horizontal="center" vertical="top"/>
    </xf>
    <xf numFmtId="0" fontId="2" fillId="4" borderId="0" xfId="2" applyAlignment="1">
      <alignment vertical="top"/>
    </xf>
    <xf numFmtId="0" fontId="24" fillId="4" borderId="0" xfId="2" applyFont="1" applyAlignment="1">
      <alignment horizontal="center"/>
    </xf>
    <xf numFmtId="0" fontId="2" fillId="4" borderId="0" xfId="2"/>
    <xf numFmtId="0" fontId="2" fillId="4" borderId="0" xfId="2" applyAlignment="1">
      <alignment horizontal="center"/>
    </xf>
    <xf numFmtId="0" fontId="2" fillId="4" borderId="0" xfId="2"/>
    <xf numFmtId="0" fontId="0" fillId="11" borderId="0" xfId="0" applyFill="1" applyAlignment="1">
      <alignment horizontal="center"/>
    </xf>
    <xf numFmtId="0" fontId="25" fillId="4" borderId="0" xfId="2" applyFont="1" applyAlignment="1">
      <alignment horizontal="center"/>
    </xf>
    <xf numFmtId="0" fontId="1" fillId="2" borderId="1" xfId="1" applyAlignment="1" applyProtection="1">
      <protection locked="0"/>
    </xf>
    <xf numFmtId="0" fontId="0" fillId="11" borderId="0" xfId="0" applyFill="1" applyAlignment="1" applyProtection="1">
      <alignment horizontal="left"/>
    </xf>
    <xf numFmtId="0" fontId="9" fillId="4" borderId="0" xfId="2" applyFont="1"/>
    <xf numFmtId="0" fontId="2" fillId="4" borderId="0" xfId="2" applyFont="1"/>
    <xf numFmtId="0" fontId="10" fillId="0" borderId="0" xfId="0" applyFont="1"/>
    <xf numFmtId="0" fontId="2" fillId="13" borderId="0" xfId="0" applyFont="1" applyFill="1"/>
    <xf numFmtId="0" fontId="0" fillId="7" borderId="0" xfId="0" applyFill="1"/>
    <xf numFmtId="0" fontId="0" fillId="14" borderId="0" xfId="0" applyFill="1"/>
    <xf numFmtId="0" fontId="27" fillId="4" borderId="0" xfId="5" applyFont="1" applyFill="1" applyAlignment="1" applyProtection="1"/>
    <xf numFmtId="0" fontId="2" fillId="4" borderId="0" xfId="2" applyAlignment="1">
      <alignment horizontal="center"/>
    </xf>
    <xf numFmtId="0" fontId="2" fillId="4" borderId="0" xfId="2"/>
    <xf numFmtId="0" fontId="1" fillId="11" borderId="1" xfId="1" applyFill="1"/>
    <xf numFmtId="0" fontId="2" fillId="9" borderId="0" xfId="2" applyFont="1" applyFill="1"/>
    <xf numFmtId="0" fontId="11" fillId="11" borderId="0" xfId="2" applyFont="1" applyFill="1"/>
    <xf numFmtId="0" fontId="28" fillId="4" borderId="0" xfId="5" applyFont="1" applyFill="1" applyAlignment="1" applyProtection="1"/>
    <xf numFmtId="0" fontId="14" fillId="4" borderId="0" xfId="5" applyFill="1" applyAlignment="1" applyProtection="1"/>
    <xf numFmtId="0" fontId="30" fillId="4" borderId="0" xfId="2" applyFont="1" applyAlignment="1"/>
    <xf numFmtId="0" fontId="0" fillId="11" borderId="0" xfId="0" applyFill="1" applyProtection="1"/>
    <xf numFmtId="0" fontId="2" fillId="4" borderId="0" xfId="2"/>
    <xf numFmtId="0" fontId="2" fillId="4" borderId="0" xfId="2"/>
    <xf numFmtId="0" fontId="2" fillId="4" borderId="0" xfId="2"/>
    <xf numFmtId="166" fontId="1" fillId="2" borderId="1" xfId="1" applyNumberFormat="1" applyAlignment="1" applyProtection="1">
      <alignment horizontal="center"/>
      <protection locked="0"/>
    </xf>
    <xf numFmtId="0" fontId="2" fillId="4" borderId="0" xfId="2"/>
    <xf numFmtId="0" fontId="31" fillId="4" borderId="0" xfId="2" applyFont="1"/>
    <xf numFmtId="0" fontId="31" fillId="4" borderId="0" xfId="2" applyFont="1" applyAlignment="1">
      <alignment horizontal="center"/>
    </xf>
    <xf numFmtId="0" fontId="32" fillId="0" borderId="0" xfId="0" applyFont="1"/>
    <xf numFmtId="0" fontId="2" fillId="4" borderId="0" xfId="2"/>
    <xf numFmtId="0" fontId="2" fillId="4" borderId="0" xfId="2"/>
    <xf numFmtId="0" fontId="2" fillId="4" borderId="0" xfId="2" applyAlignment="1">
      <alignment horizontal="center"/>
    </xf>
    <xf numFmtId="0" fontId="21" fillId="4" borderId="0" xfId="2" applyFont="1" applyAlignment="1">
      <alignment horizontal="center"/>
    </xf>
    <xf numFmtId="0" fontId="17" fillId="10" borderId="0" xfId="3" applyFont="1" applyFill="1" applyAlignment="1">
      <alignment horizontal="center"/>
    </xf>
    <xf numFmtId="0" fontId="2" fillId="4" borderId="0" xfId="2"/>
    <xf numFmtId="0" fontId="13" fillId="4" borderId="0" xfId="2" applyFont="1"/>
    <xf numFmtId="0" fontId="2" fillId="4" borderId="0" xfId="2" applyBorder="1" applyAlignment="1" applyProtection="1"/>
    <xf numFmtId="0" fontId="22" fillId="4" borderId="0" xfId="2" applyFont="1" applyAlignment="1">
      <alignment horizontal="center"/>
    </xf>
    <xf numFmtId="0" fontId="2" fillId="4" borderId="0" xfId="2"/>
    <xf numFmtId="0" fontId="2" fillId="4" borderId="0" xfId="2"/>
    <xf numFmtId="0" fontId="2" fillId="4" borderId="0" xfId="2"/>
    <xf numFmtId="0" fontId="2" fillId="4" borderId="0" xfId="2"/>
    <xf numFmtId="0" fontId="16" fillId="3" borderId="0" xfId="0" applyFont="1" applyFill="1" applyAlignment="1">
      <alignment horizontal="center"/>
    </xf>
    <xf numFmtId="0" fontId="2" fillId="3" borderId="0" xfId="2" applyFill="1"/>
    <xf numFmtId="0" fontId="16" fillId="3" borderId="0" xfId="2" applyFont="1" applyFill="1"/>
    <xf numFmtId="0" fontId="16" fillId="3" borderId="0" xfId="0" applyFont="1" applyFill="1" applyAlignment="1">
      <alignment horizontal="left"/>
    </xf>
    <xf numFmtId="0" fontId="0" fillId="11" borderId="0" xfId="0" applyFill="1" applyAlignment="1" applyProtection="1">
      <alignment horizontal="center"/>
    </xf>
    <xf numFmtId="0" fontId="0" fillId="11" borderId="0" xfId="0" applyFill="1" applyProtection="1"/>
    <xf numFmtId="0" fontId="2" fillId="4" borderId="0" xfId="2" applyAlignment="1">
      <alignment horizontal="center"/>
    </xf>
    <xf numFmtId="0" fontId="2" fillId="4" borderId="0" xfId="2"/>
    <xf numFmtId="0" fontId="0" fillId="11" borderId="0" xfId="0" applyFill="1" applyProtection="1"/>
    <xf numFmtId="0" fontId="2" fillId="4" borderId="0" xfId="2" applyAlignment="1">
      <alignment horizontal="center"/>
    </xf>
    <xf numFmtId="0" fontId="2" fillId="4" borderId="0" xfId="2"/>
    <xf numFmtId="0" fontId="10" fillId="11" borderId="0" xfId="0" applyFont="1" applyFill="1" applyProtection="1"/>
    <xf numFmtId="0" fontId="1" fillId="2" borderId="1" xfId="1" applyAlignment="1" applyProtection="1"/>
    <xf numFmtId="0" fontId="1" fillId="2" borderId="1" xfId="1" applyAlignment="1" applyProtection="1">
      <alignment horizontal="center"/>
      <protection locked="0"/>
    </xf>
    <xf numFmtId="0" fontId="2" fillId="4" borderId="0" xfId="2"/>
    <xf numFmtId="0" fontId="2" fillId="4" borderId="0" xfId="2" applyAlignment="1">
      <alignment horizontal="center"/>
    </xf>
    <xf numFmtId="0" fontId="2" fillId="4" borderId="0" xfId="2" applyAlignment="1">
      <alignment horizontal="center"/>
    </xf>
    <xf numFmtId="0" fontId="2" fillId="4" borderId="0" xfId="2"/>
    <xf numFmtId="0" fontId="0" fillId="9" borderId="0" xfId="0" applyFill="1"/>
    <xf numFmtId="0" fontId="33" fillId="4" borderId="0" xfId="5" applyFont="1" applyFill="1" applyAlignment="1" applyProtection="1">
      <alignment horizontal="center"/>
    </xf>
    <xf numFmtId="0" fontId="22" fillId="4" borderId="0" xfId="2" applyFont="1" applyAlignment="1">
      <alignment horizontal="center"/>
    </xf>
    <xf numFmtId="0" fontId="22" fillId="4" borderId="0" xfId="2" applyFont="1" applyAlignment="1" applyProtection="1">
      <alignment horizontal="center"/>
    </xf>
    <xf numFmtId="0" fontId="2" fillId="4" borderId="0" xfId="2" applyAlignment="1">
      <alignment horizontal="center"/>
    </xf>
    <xf numFmtId="0" fontId="30" fillId="4" borderId="0" xfId="2" applyFont="1" applyAlignment="1">
      <alignment horizontal="center"/>
    </xf>
    <xf numFmtId="0" fontId="0" fillId="11" borderId="0" xfId="0" applyFill="1" applyProtection="1"/>
    <xf numFmtId="0" fontId="2" fillId="3" borderId="0" xfId="0" applyFont="1" applyFill="1" applyProtection="1"/>
    <xf numFmtId="0" fontId="0" fillId="11" borderId="0" xfId="0" applyFill="1" applyAlignment="1" applyProtection="1">
      <alignment horizontal="center"/>
    </xf>
    <xf numFmtId="0" fontId="1" fillId="2" borderId="1" xfId="1" applyAlignment="1" applyProtection="1">
      <alignment horizontal="center"/>
      <protection locked="0"/>
    </xf>
    <xf numFmtId="0" fontId="2" fillId="3" borderId="0" xfId="2" applyFill="1" applyProtection="1"/>
    <xf numFmtId="0" fontId="2" fillId="4" borderId="0" xfId="2"/>
    <xf numFmtId="0" fontId="0" fillId="11" borderId="0" xfId="0" applyFill="1" applyAlignment="1">
      <alignment horizontal="center"/>
    </xf>
    <xf numFmtId="0" fontId="2" fillId="15" borderId="0" xfId="2" applyFill="1" applyAlignment="1">
      <alignment horizontal="center"/>
    </xf>
    <xf numFmtId="0" fontId="0" fillId="15" borderId="0" xfId="0" applyFill="1"/>
    <xf numFmtId="0" fontId="2" fillId="8" borderId="0" xfId="2" applyFill="1" applyAlignment="1">
      <alignment horizontal="center"/>
    </xf>
    <xf numFmtId="0" fontId="0" fillId="8" borderId="0" xfId="0" applyFill="1"/>
    <xf numFmtId="0" fontId="2" fillId="16" borderId="0" xfId="2" applyFill="1" applyAlignment="1">
      <alignment horizontal="center"/>
    </xf>
    <xf numFmtId="0" fontId="0" fillId="16" borderId="0" xfId="0" applyFill="1"/>
    <xf numFmtId="0" fontId="34" fillId="15" borderId="0" xfId="2" applyFont="1" applyFill="1" applyAlignment="1">
      <alignment horizontal="center"/>
    </xf>
    <xf numFmtId="0" fontId="34" fillId="8" borderId="0" xfId="2" applyFont="1" applyFill="1" applyAlignment="1">
      <alignment horizontal="center"/>
    </xf>
    <xf numFmtId="0" fontId="34" fillId="16" borderId="0" xfId="2" applyFont="1" applyFill="1" applyAlignment="1">
      <alignment horizontal="center"/>
    </xf>
    <xf numFmtId="0" fontId="1" fillId="2" borderId="1" xfId="1" applyAlignment="1" applyProtection="1">
      <alignment horizontal="center" shrinkToFit="1"/>
      <protection locked="0"/>
    </xf>
    <xf numFmtId="0" fontId="29" fillId="4" borderId="0" xfId="2" applyFont="1" applyAlignment="1">
      <alignment horizontal="center"/>
    </xf>
    <xf numFmtId="0" fontId="0" fillId="11" borderId="0" xfId="0" applyFill="1" applyAlignment="1" applyProtection="1">
      <alignment horizontal="center"/>
    </xf>
    <xf numFmtId="0" fontId="2" fillId="4" borderId="0" xfId="2"/>
    <xf numFmtId="0" fontId="20" fillId="4" borderId="0" xfId="2" applyFont="1"/>
    <xf numFmtId="0" fontId="2" fillId="11" borderId="0" xfId="2" applyFill="1"/>
    <xf numFmtId="0" fontId="2" fillId="3" borderId="0" xfId="4" applyFill="1" applyAlignment="1">
      <alignment horizontal="center"/>
    </xf>
    <xf numFmtId="0" fontId="0" fillId="17" borderId="0" xfId="0" applyFill="1"/>
    <xf numFmtId="0" fontId="0" fillId="18" borderId="0" xfId="0" applyFill="1"/>
    <xf numFmtId="166" fontId="2" fillId="3" borderId="0" xfId="4" applyNumberFormat="1" applyFill="1" applyAlignment="1">
      <alignment horizontal="center"/>
    </xf>
    <xf numFmtId="0" fontId="2" fillId="4" borderId="0" xfId="2" applyProtection="1"/>
    <xf numFmtId="0" fontId="2" fillId="4" borderId="0" xfId="2" applyAlignment="1" applyProtection="1">
      <alignment horizontal="center"/>
    </xf>
    <xf numFmtId="0" fontId="31" fillId="4" borderId="0" xfId="2" applyFont="1" applyProtection="1"/>
    <xf numFmtId="0" fontId="31" fillId="4" borderId="0" xfId="2" applyFont="1" applyAlignment="1" applyProtection="1">
      <alignment horizontal="center"/>
    </xf>
    <xf numFmtId="0" fontId="2" fillId="4" borderId="0" xfId="2" applyAlignment="1" applyProtection="1">
      <alignment vertical="top"/>
    </xf>
    <xf numFmtId="0" fontId="2" fillId="4" borderId="0" xfId="2" applyAlignment="1" applyProtection="1">
      <alignment horizontal="center" vertical="top"/>
    </xf>
    <xf numFmtId="166" fontId="1" fillId="2" borderId="1" xfId="1" applyNumberFormat="1" applyAlignment="1" applyProtection="1">
      <alignment horizontal="center"/>
    </xf>
    <xf numFmtId="0" fontId="2" fillId="4" borderId="7" xfId="2" applyBorder="1" applyAlignment="1">
      <alignment horizontal="center"/>
    </xf>
    <xf numFmtId="0" fontId="41" fillId="4" borderId="7" xfId="6" applyFont="1" applyFill="1"/>
    <xf numFmtId="0" fontId="41" fillId="12" borderId="7" xfId="6" applyFont="1" applyFill="1" applyAlignment="1" applyProtection="1"/>
    <xf numFmtId="0" fontId="44" fillId="12" borderId="7" xfId="6" applyFont="1" applyFill="1" applyAlignment="1" applyProtection="1"/>
    <xf numFmtId="0" fontId="44" fillId="12" borderId="7" xfId="6" applyFont="1" applyFill="1"/>
    <xf numFmtId="0" fontId="40" fillId="4" borderId="7" xfId="6" applyFont="1" applyFill="1" applyAlignment="1">
      <alignment horizontal="center"/>
    </xf>
    <xf numFmtId="0" fontId="38" fillId="11" borderId="0" xfId="0" applyFont="1" applyFill="1"/>
    <xf numFmtId="0" fontId="41" fillId="12" borderId="7" xfId="6" applyFont="1" applyFill="1"/>
    <xf numFmtId="0" fontId="41" fillId="2" borderId="7" xfId="6" applyFont="1" applyFill="1" applyProtection="1">
      <protection locked="0"/>
    </xf>
    <xf numFmtId="0" fontId="41" fillId="2" borderId="7" xfId="6" applyFont="1" applyFill="1" applyAlignment="1" applyProtection="1">
      <alignment horizontal="center"/>
      <protection locked="0"/>
    </xf>
    <xf numFmtId="0" fontId="41" fillId="2" borderId="7" xfId="6" applyFont="1" applyFill="1" applyAlignment="1">
      <alignment horizontal="center"/>
    </xf>
    <xf numFmtId="0" fontId="45" fillId="4" borderId="7" xfId="6" applyFont="1" applyFill="1" applyAlignment="1">
      <alignment horizontal="center"/>
    </xf>
    <xf numFmtId="0" fontId="45" fillId="4" borderId="7" xfId="6" applyFont="1" applyFill="1"/>
    <xf numFmtId="0" fontId="38" fillId="0" borderId="0" xfId="0" applyFont="1"/>
    <xf numFmtId="0" fontId="2" fillId="4" borderId="0" xfId="2" applyFont="1" applyAlignment="1">
      <alignment horizontal="center"/>
    </xf>
    <xf numFmtId="0" fontId="38" fillId="0" borderId="0" xfId="0" applyFont="1" applyFill="1"/>
    <xf numFmtId="0" fontId="2" fillId="4" borderId="0" xfId="2"/>
    <xf numFmtId="0" fontId="2" fillId="4" borderId="0" xfId="2"/>
    <xf numFmtId="0" fontId="1" fillId="2" borderId="1" xfId="1" applyAlignment="1" applyProtection="1">
      <alignment horizontal="center"/>
      <protection locked="0"/>
    </xf>
    <xf numFmtId="0" fontId="1" fillId="2" borderId="1" xfId="1" applyProtection="1">
      <protection locked="0"/>
    </xf>
    <xf numFmtId="0" fontId="39" fillId="12" borderId="7" xfId="6" applyFill="1" applyAlignment="1" applyProtection="1"/>
    <xf numFmtId="0" fontId="16" fillId="3" borderId="0" xfId="4" applyFont="1" applyFill="1"/>
    <xf numFmtId="0" fontId="2" fillId="4" borderId="0" xfId="2"/>
    <xf numFmtId="0" fontId="9" fillId="4" borderId="7" xfId="6" applyFont="1" applyFill="1"/>
    <xf numFmtId="0" fontId="9" fillId="4" borderId="7" xfId="6" applyFont="1" applyFill="1" applyAlignment="1">
      <alignment horizontal="center"/>
    </xf>
    <xf numFmtId="0" fontId="2" fillId="4" borderId="7" xfId="2" applyBorder="1" applyAlignment="1" applyProtection="1"/>
    <xf numFmtId="0" fontId="2" fillId="3" borderId="9" xfId="0" applyFont="1" applyFill="1" applyBorder="1" applyAlignment="1" applyProtection="1">
      <alignment horizontal="left"/>
    </xf>
    <xf numFmtId="0" fontId="2" fillId="3" borderId="0" xfId="0" applyFont="1" applyFill="1" applyAlignment="1" applyProtection="1">
      <alignment horizontal="left"/>
    </xf>
    <xf numFmtId="0" fontId="43" fillId="11" borderId="8" xfId="6" applyFont="1" applyFill="1" applyBorder="1" applyAlignment="1">
      <alignment horizontal="center"/>
    </xf>
    <xf numFmtId="0" fontId="43" fillId="11" borderId="7" xfId="6" applyFont="1" applyFill="1" applyAlignment="1" applyProtection="1">
      <alignment horizontal="center"/>
    </xf>
    <xf numFmtId="0" fontId="43" fillId="11" borderId="7" xfId="6" applyFont="1" applyFill="1" applyAlignment="1">
      <alignment horizontal="center"/>
    </xf>
    <xf numFmtId="0" fontId="2" fillId="4" borderId="0" xfId="2"/>
    <xf numFmtId="0" fontId="29" fillId="4" borderId="0" xfId="2" applyFont="1" applyAlignment="1">
      <alignment horizontal="center"/>
    </xf>
    <xf numFmtId="0" fontId="46" fillId="4" borderId="0" xfId="2" applyFont="1" applyAlignment="1">
      <alignment horizontal="center"/>
    </xf>
    <xf numFmtId="0" fontId="40" fillId="11" borderId="7" xfId="6" applyFont="1" applyFill="1" applyAlignment="1" applyProtection="1">
      <alignment horizontal="center"/>
    </xf>
    <xf numFmtId="0" fontId="42" fillId="11" borderId="7" xfId="6" applyFont="1" applyFill="1" applyAlignment="1">
      <alignment horizontal="center"/>
    </xf>
    <xf numFmtId="0" fontId="1" fillId="2" borderId="3" xfId="1" applyBorder="1" applyAlignment="1" applyProtection="1">
      <alignment horizontal="center"/>
      <protection locked="0"/>
    </xf>
    <xf numFmtId="0" fontId="1" fillId="2" borderId="5" xfId="1" applyBorder="1" applyAlignment="1" applyProtection="1">
      <alignment horizontal="center"/>
      <protection locked="0"/>
    </xf>
    <xf numFmtId="164" fontId="1" fillId="2" borderId="3" xfId="1" applyNumberFormat="1" applyFont="1" applyBorder="1" applyAlignment="1" applyProtection="1">
      <alignment horizontal="left"/>
      <protection locked="0"/>
    </xf>
    <xf numFmtId="164" fontId="1" fillId="2" borderId="5" xfId="1" applyNumberFormat="1" applyFont="1" applyBorder="1" applyAlignment="1" applyProtection="1">
      <alignment horizontal="left"/>
      <protection locked="0"/>
    </xf>
    <xf numFmtId="0" fontId="1" fillId="2" borderId="3" xfId="1" applyFont="1" applyBorder="1" applyAlignment="1" applyProtection="1">
      <alignment horizontal="left"/>
      <protection locked="0"/>
    </xf>
    <xf numFmtId="0" fontId="1" fillId="2" borderId="5" xfId="1" applyFont="1" applyBorder="1" applyAlignment="1" applyProtection="1">
      <alignment horizontal="left"/>
      <protection locked="0"/>
    </xf>
    <xf numFmtId="0" fontId="0" fillId="11" borderId="0" xfId="0" applyFill="1" applyProtection="1"/>
    <xf numFmtId="0" fontId="2" fillId="3" borderId="0" xfId="0" applyFont="1" applyFill="1" applyProtection="1"/>
    <xf numFmtId="0" fontId="0" fillId="11" borderId="0" xfId="0" applyFill="1" applyAlignment="1" applyProtection="1">
      <alignment horizontal="center"/>
    </xf>
    <xf numFmtId="0" fontId="1" fillId="2" borderId="1" xfId="1" applyAlignment="1" applyProtection="1">
      <alignment horizontal="center"/>
      <protection locked="0"/>
    </xf>
    <xf numFmtId="0" fontId="1" fillId="2" borderId="2" xfId="1" applyBorder="1" applyAlignment="1" applyProtection="1">
      <alignment horizontal="center"/>
      <protection locked="0"/>
    </xf>
    <xf numFmtId="0" fontId="1" fillId="2" borderId="9" xfId="1" applyBorder="1" applyProtection="1">
      <protection locked="0"/>
    </xf>
    <xf numFmtId="0" fontId="1" fillId="2" borderId="11" xfId="1" applyBorder="1" applyProtection="1">
      <protection locked="0"/>
    </xf>
    <xf numFmtId="0" fontId="1" fillId="2" borderId="10" xfId="1" applyBorder="1" applyProtection="1">
      <protection locked="0"/>
    </xf>
    <xf numFmtId="0" fontId="1" fillId="2" borderId="3" xfId="1" applyBorder="1" applyProtection="1">
      <protection locked="0"/>
    </xf>
    <xf numFmtId="0" fontId="1" fillId="2" borderId="4" xfId="1" applyBorder="1" applyProtection="1">
      <protection locked="0"/>
    </xf>
    <xf numFmtId="0" fontId="1" fillId="2" borderId="5" xfId="1" applyBorder="1" applyProtection="1">
      <protection locked="0"/>
    </xf>
    <xf numFmtId="0" fontId="1" fillId="2" borderId="1" xfId="1" applyProtection="1">
      <protection locked="0"/>
    </xf>
    <xf numFmtId="0" fontId="1" fillId="2" borderId="1" xfId="1" applyAlignment="1" applyProtection="1">
      <alignment horizontal="left"/>
      <protection locked="0"/>
    </xf>
    <xf numFmtId="0" fontId="44" fillId="12" borderId="7" xfId="6" applyFont="1" applyFill="1" applyAlignment="1">
      <alignment horizontal="center"/>
    </xf>
    <xf numFmtId="0" fontId="41" fillId="4" borderId="7" xfId="6" applyFont="1" applyFill="1" applyAlignment="1">
      <alignment horizontal="center"/>
    </xf>
    <xf numFmtId="0" fontId="3" fillId="11" borderId="0" xfId="0" applyFont="1" applyFill="1" applyAlignment="1" applyProtection="1">
      <alignment horizontal="center"/>
    </xf>
    <xf numFmtId="0" fontId="10" fillId="11" borderId="0" xfId="0" applyFont="1" applyFill="1" applyAlignment="1" applyProtection="1">
      <alignment horizontal="center" vertical="top"/>
    </xf>
    <xf numFmtId="0" fontId="1" fillId="2" borderId="1" xfId="1" applyFont="1" applyProtection="1">
      <protection locked="0"/>
    </xf>
    <xf numFmtId="0" fontId="2" fillId="3" borderId="0" xfId="2" applyFill="1" applyProtection="1"/>
    <xf numFmtId="49" fontId="1" fillId="2" borderId="3" xfId="1" applyNumberFormat="1" applyFont="1" applyBorder="1" applyAlignment="1" applyProtection="1">
      <alignment horizontal="left"/>
      <protection locked="0"/>
    </xf>
    <xf numFmtId="49" fontId="1" fillId="2" borderId="5" xfId="1" applyNumberFormat="1" applyFont="1" applyBorder="1" applyAlignment="1" applyProtection="1">
      <alignment horizontal="left"/>
      <protection locked="0"/>
    </xf>
    <xf numFmtId="164" fontId="1" fillId="2" borderId="3" xfId="1" applyNumberFormat="1" applyBorder="1" applyAlignment="1" applyProtection="1">
      <alignment horizontal="left"/>
      <protection locked="0"/>
    </xf>
    <xf numFmtId="164" fontId="1" fillId="2" borderId="5" xfId="1" applyNumberFormat="1" applyBorder="1" applyAlignment="1" applyProtection="1">
      <alignment horizontal="left"/>
      <protection locked="0"/>
    </xf>
    <xf numFmtId="0" fontId="1" fillId="2" borderId="3" xfId="1" applyBorder="1" applyAlignment="1" applyProtection="1">
      <alignment horizontal="left"/>
      <protection locked="0"/>
    </xf>
    <xf numFmtId="0" fontId="1" fillId="2" borderId="5" xfId="1" applyBorder="1" applyAlignment="1" applyProtection="1">
      <alignment horizontal="left"/>
      <protection locked="0"/>
    </xf>
    <xf numFmtId="49" fontId="1" fillId="2" borderId="3" xfId="1" applyNumberFormat="1" applyBorder="1" applyAlignment="1" applyProtection="1">
      <alignment horizontal="left"/>
      <protection locked="0"/>
    </xf>
    <xf numFmtId="49" fontId="1" fillId="2" borderId="5" xfId="1" applyNumberFormat="1" applyBorder="1" applyAlignment="1" applyProtection="1">
      <alignment horizontal="left"/>
      <protection locked="0"/>
    </xf>
    <xf numFmtId="0" fontId="2" fillId="4" borderId="0" xfId="2" applyAlignment="1">
      <alignment horizontal="center"/>
    </xf>
    <xf numFmtId="0" fontId="27" fillId="4" borderId="0" xfId="5" applyFont="1" applyFill="1" applyAlignment="1" applyProtection="1">
      <alignment horizontal="center"/>
    </xf>
    <xf numFmtId="0" fontId="2" fillId="4" borderId="0" xfId="2" applyProtection="1"/>
    <xf numFmtId="0" fontId="1" fillId="2" borderId="1" xfId="1" applyProtection="1"/>
    <xf numFmtId="0" fontId="1" fillId="2" borderId="3" xfId="1" applyBorder="1" applyProtection="1"/>
    <xf numFmtId="0" fontId="1" fillId="2" borderId="4" xfId="1" applyBorder="1" applyProtection="1"/>
    <xf numFmtId="0" fontId="1" fillId="2" borderId="5" xfId="1" applyBorder="1" applyProtection="1"/>
    <xf numFmtId="0" fontId="26" fillId="2" borderId="1" xfId="5" applyFont="1" applyFill="1" applyBorder="1" applyAlignment="1" applyProtection="1">
      <alignment horizontal="left"/>
    </xf>
    <xf numFmtId="0" fontId="11" fillId="2" borderId="1" xfId="1" applyFont="1" applyAlignment="1" applyProtection="1">
      <alignment horizontal="left"/>
    </xf>
    <xf numFmtId="164" fontId="1" fillId="2" borderId="3" xfId="1" applyNumberFormat="1" applyBorder="1" applyAlignment="1" applyProtection="1">
      <alignment horizontal="left"/>
    </xf>
    <xf numFmtId="164" fontId="1" fillId="2" borderId="5" xfId="1" applyNumberFormat="1" applyBorder="1" applyAlignment="1" applyProtection="1">
      <alignment horizontal="left"/>
    </xf>
    <xf numFmtId="0" fontId="8" fillId="4" borderId="0" xfId="2" applyFont="1" applyAlignment="1">
      <alignment horizontal="center"/>
    </xf>
    <xf numFmtId="0" fontId="1" fillId="2" borderId="2" xfId="1" applyBorder="1" applyAlignment="1" applyProtection="1">
      <alignment horizontal="center"/>
    </xf>
    <xf numFmtId="0" fontId="1" fillId="2" borderId="1" xfId="1" applyAlignment="1" applyProtection="1">
      <alignment horizontal="center"/>
    </xf>
    <xf numFmtId="0" fontId="1" fillId="2" borderId="3" xfId="1" applyBorder="1" applyAlignment="1" applyProtection="1">
      <alignment horizontal="center"/>
    </xf>
    <xf numFmtId="0" fontId="1" fillId="2" borderId="5" xfId="1" applyBorder="1" applyAlignment="1" applyProtection="1">
      <alignment horizontal="center"/>
    </xf>
    <xf numFmtId="0" fontId="8" fillId="4" borderId="0" xfId="2" applyFont="1" applyAlignment="1" applyProtection="1">
      <alignment horizontal="center"/>
    </xf>
    <xf numFmtId="0" fontId="2" fillId="4" borderId="0" xfId="2" applyAlignment="1" applyProtection="1">
      <alignment horizontal="center"/>
    </xf>
    <xf numFmtId="49" fontId="1" fillId="2" borderId="3" xfId="1" applyNumberFormat="1" applyBorder="1" applyAlignment="1" applyProtection="1">
      <alignment horizontal="left"/>
    </xf>
    <xf numFmtId="49" fontId="1" fillId="2" borderId="5" xfId="1" applyNumberFormat="1" applyBorder="1" applyAlignment="1" applyProtection="1">
      <alignment horizontal="left"/>
    </xf>
    <xf numFmtId="0" fontId="1" fillId="2" borderId="3" xfId="1" applyBorder="1" applyAlignment="1" applyProtection="1">
      <alignment horizontal="left"/>
    </xf>
    <xf numFmtId="0" fontId="1" fillId="2" borderId="5" xfId="1" applyBorder="1" applyAlignment="1" applyProtection="1">
      <alignment horizontal="left"/>
    </xf>
    <xf numFmtId="0" fontId="21" fillId="4" borderId="0" xfId="2" applyFont="1" applyAlignment="1">
      <alignment horizontal="center"/>
    </xf>
    <xf numFmtId="0" fontId="17" fillId="10" borderId="0" xfId="3" applyFont="1" applyFill="1" applyAlignment="1">
      <alignment horizontal="center"/>
    </xf>
    <xf numFmtId="0" fontId="0" fillId="11" borderId="0" xfId="0" applyFill="1" applyAlignment="1">
      <alignment horizontal="center"/>
    </xf>
    <xf numFmtId="0" fontId="39" fillId="12" borderId="7" xfId="6" applyFill="1" applyAlignment="1" applyProtection="1"/>
    <xf numFmtId="0" fontId="41" fillId="12" borderId="7" xfId="6" applyFont="1" applyFill="1"/>
    <xf numFmtId="0" fontId="25" fillId="4" borderId="0" xfId="2" applyFont="1" applyAlignment="1">
      <alignment horizontal="center"/>
    </xf>
  </cellXfs>
  <cellStyles count="7">
    <cellStyle name="60% - Accent1" xfId="3" builtinId="32"/>
    <cellStyle name="Accent1" xfId="2" builtinId="29"/>
    <cellStyle name="Accent2" xfId="4" builtinId="33"/>
    <cellStyle name="Heading 1" xfId="6" builtinId="16"/>
    <cellStyle name="Hyperlink" xfId="5" builtinId="8"/>
    <cellStyle name="Normal" xfId="0" builtinId="0"/>
    <cellStyle name="Output" xfId="1" builtinId="21"/>
  </cellStyles>
  <dxfs count="21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0</xdr:row>
      <xdr:rowOff>47623</xdr:rowOff>
    </xdr:from>
    <xdr:to>
      <xdr:col>14</xdr:col>
      <xdr:colOff>838200</xdr:colOff>
      <xdr:row>4</xdr:row>
      <xdr:rowOff>95250</xdr:rowOff>
    </xdr:to>
    <xdr:sp macro="" textlink="">
      <xdr:nvSpPr>
        <xdr:cNvPr id="2" name="TextBox 1"/>
        <xdr:cNvSpPr txBox="1"/>
      </xdr:nvSpPr>
      <xdr:spPr>
        <a:xfrm>
          <a:off x="9601200" y="47623"/>
          <a:ext cx="2228850" cy="981077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In the audit program</a:t>
          </a:r>
          <a:r>
            <a:rPr lang="en-US" sz="1100" baseline="0">
              <a:solidFill>
                <a:schemeClr val="bg1"/>
              </a:solidFill>
            </a:rPr>
            <a:t> you can c</a:t>
          </a:r>
          <a:r>
            <a:rPr lang="en-US" sz="1100">
              <a:solidFill>
                <a:schemeClr val="bg1"/>
              </a:solidFill>
            </a:rPr>
            <a:t>lick</a:t>
          </a:r>
          <a:r>
            <a:rPr lang="en-US" sz="1100" baseline="0">
              <a:solidFill>
                <a:schemeClr val="bg1"/>
              </a:solidFill>
            </a:rPr>
            <a:t> on the "Quick Links" to quickly access different parts of the program.  Try clicking the "Main Menu" button now!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28574</xdr:colOff>
      <xdr:row>5</xdr:row>
      <xdr:rowOff>57150</xdr:rowOff>
    </xdr:from>
    <xdr:to>
      <xdr:col>1</xdr:col>
      <xdr:colOff>800100</xdr:colOff>
      <xdr:row>7</xdr:row>
      <xdr:rowOff>66675</xdr:rowOff>
    </xdr:to>
    <xdr:sp macro="" textlink="">
      <xdr:nvSpPr>
        <xdr:cNvPr id="11" name="TextBox 10"/>
        <xdr:cNvSpPr txBox="1"/>
      </xdr:nvSpPr>
      <xdr:spPr>
        <a:xfrm>
          <a:off x="28574" y="1162050"/>
          <a:ext cx="2200276" cy="44767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Enter the student's Peoplesoft ID number.</a:t>
          </a:r>
        </a:p>
      </xdr:txBody>
    </xdr:sp>
    <xdr:clientData/>
  </xdr:twoCellAnchor>
  <xdr:twoCellAnchor>
    <xdr:from>
      <xdr:col>0</xdr:col>
      <xdr:colOff>9523</xdr:colOff>
      <xdr:row>8</xdr:row>
      <xdr:rowOff>114300</xdr:rowOff>
    </xdr:from>
    <xdr:to>
      <xdr:col>1</xdr:col>
      <xdr:colOff>790574</xdr:colOff>
      <xdr:row>20</xdr:row>
      <xdr:rowOff>104775</xdr:rowOff>
    </xdr:to>
    <xdr:sp macro="" textlink="">
      <xdr:nvSpPr>
        <xdr:cNvPr id="12" name="TextBox 11"/>
        <xdr:cNvSpPr txBox="1"/>
      </xdr:nvSpPr>
      <xdr:spPr>
        <a:xfrm>
          <a:off x="9523" y="1847850"/>
          <a:ext cx="2209801" cy="227647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The number</a:t>
          </a:r>
          <a:r>
            <a:rPr lang="en-US" sz="1100" baseline="0">
              <a:solidFill>
                <a:schemeClr val="bg1"/>
              </a:solidFill>
            </a:rPr>
            <a:t> in parentheses "Written (6)" is the number of credits the student needs in that category.  Since most courses are 3 credits, the student needs two English courses.  </a:t>
          </a:r>
        </a:p>
        <a:p>
          <a:endParaRPr lang="en-US" sz="1100" baseline="0">
            <a:solidFill>
              <a:schemeClr val="bg1"/>
            </a:solidFill>
          </a:endParaRPr>
        </a:p>
        <a:p>
          <a:r>
            <a:rPr lang="en-US" sz="1100" baseline="0">
              <a:solidFill>
                <a:schemeClr val="bg1"/>
              </a:solidFill>
            </a:rPr>
            <a:t>Exception:  If a student takes</a:t>
          </a:r>
        </a:p>
        <a:p>
          <a:r>
            <a:rPr lang="en-US" sz="1100" baseline="0">
              <a:solidFill>
                <a:schemeClr val="bg1"/>
              </a:solidFill>
            </a:rPr>
            <a:t>ENG 105, they do not need to take two ENG courses.  They will need to take additional electives however to reach 60 credit hours.</a:t>
          </a:r>
        </a:p>
      </xdr:txBody>
    </xdr:sp>
    <xdr:clientData/>
  </xdr:twoCellAnchor>
  <xdr:twoCellAnchor>
    <xdr:from>
      <xdr:col>12</xdr:col>
      <xdr:colOff>600075</xdr:colOff>
      <xdr:row>17</xdr:row>
      <xdr:rowOff>66674</xdr:rowOff>
    </xdr:from>
    <xdr:to>
      <xdr:col>14</xdr:col>
      <xdr:colOff>838200</xdr:colOff>
      <xdr:row>25</xdr:row>
      <xdr:rowOff>19049</xdr:rowOff>
    </xdr:to>
    <xdr:sp macro="" textlink="">
      <xdr:nvSpPr>
        <xdr:cNvPr id="13" name="TextBox 12"/>
        <xdr:cNvSpPr txBox="1"/>
      </xdr:nvSpPr>
      <xdr:spPr>
        <a:xfrm>
          <a:off x="9496425" y="3590924"/>
          <a:ext cx="2228850" cy="147637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A</a:t>
          </a:r>
          <a:r>
            <a:rPr lang="en-US" sz="1100" baseline="0">
              <a:solidFill>
                <a:schemeClr val="bg1"/>
              </a:solidFill>
            </a:rPr>
            <a:t> grade of IPS indicates the course is in progress.  The student is currently taking the course or is enrolled in it for an upcoming semester.</a:t>
          </a:r>
        </a:p>
        <a:p>
          <a:endParaRPr lang="en-US" sz="1100" baseline="0">
            <a:solidFill>
              <a:schemeClr val="bg1"/>
            </a:solidFill>
          </a:endParaRPr>
        </a:p>
        <a:p>
          <a:r>
            <a:rPr lang="en-US" sz="1100" baseline="0">
              <a:solidFill>
                <a:schemeClr val="bg1"/>
              </a:solidFill>
            </a:rPr>
            <a:t>A grade of TRN indicates the course</a:t>
          </a:r>
        </a:p>
        <a:p>
          <a:r>
            <a:rPr lang="en-US" sz="1100" baseline="0">
              <a:solidFill>
                <a:schemeClr val="bg1"/>
              </a:solidFill>
            </a:rPr>
            <a:t>is transferred from another school.</a:t>
          </a:r>
        </a:p>
        <a:p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600075</xdr:colOff>
      <xdr:row>4</xdr:row>
      <xdr:rowOff>133350</xdr:rowOff>
    </xdr:from>
    <xdr:to>
      <xdr:col>14</xdr:col>
      <xdr:colOff>838200</xdr:colOff>
      <xdr:row>8</xdr:row>
      <xdr:rowOff>104775</xdr:rowOff>
    </xdr:to>
    <xdr:sp macro="" textlink="">
      <xdr:nvSpPr>
        <xdr:cNvPr id="14" name="TextBox 13"/>
        <xdr:cNvSpPr txBox="1"/>
      </xdr:nvSpPr>
      <xdr:spPr>
        <a:xfrm>
          <a:off x="9601200" y="1066800"/>
          <a:ext cx="2228850" cy="84772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Here you can select a student's</a:t>
          </a:r>
          <a:r>
            <a:rPr lang="en-US" sz="1100" baseline="0">
              <a:solidFill>
                <a:schemeClr val="bg1"/>
              </a:solidFill>
            </a:rPr>
            <a:t> focus area.  Select "None" if the student is not pursuing a focus.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600075</xdr:colOff>
      <xdr:row>9</xdr:row>
      <xdr:rowOff>19050</xdr:rowOff>
    </xdr:from>
    <xdr:to>
      <xdr:col>14</xdr:col>
      <xdr:colOff>838200</xdr:colOff>
      <xdr:row>16</xdr:row>
      <xdr:rowOff>28575</xdr:rowOff>
    </xdr:to>
    <xdr:sp macro="" textlink="">
      <xdr:nvSpPr>
        <xdr:cNvPr id="15" name="TextBox 14"/>
        <xdr:cNvSpPr txBox="1"/>
      </xdr:nvSpPr>
      <xdr:spPr>
        <a:xfrm>
          <a:off x="9601200" y="1943100"/>
          <a:ext cx="2228850" cy="134302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A yellow field indicates</a:t>
          </a:r>
          <a:r>
            <a:rPr lang="en-US" sz="1100" baseline="0">
              <a:solidFill>
                <a:schemeClr val="bg1"/>
              </a:solidFill>
            </a:rPr>
            <a:t> a requirement that has not been met.</a:t>
          </a:r>
        </a:p>
        <a:p>
          <a:endParaRPr lang="en-US" sz="1100" baseline="0">
            <a:solidFill>
              <a:schemeClr val="bg1"/>
            </a:solidFill>
          </a:endParaRPr>
        </a:p>
        <a:p>
          <a:r>
            <a:rPr lang="en-US" sz="1100" baseline="0">
              <a:solidFill>
                <a:schemeClr val="bg1"/>
              </a:solidFill>
            </a:rPr>
            <a:t>Example:  This student only has 24 of the 33 required credits for Category I.</a:t>
          </a:r>
        </a:p>
        <a:p>
          <a:endParaRPr lang="en-US" sz="1100" baseline="0">
            <a:solidFill>
              <a:schemeClr val="bg1"/>
            </a:solidFill>
          </a:endParaRPr>
        </a:p>
        <a:p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600075</xdr:colOff>
      <xdr:row>26</xdr:row>
      <xdr:rowOff>19049</xdr:rowOff>
    </xdr:from>
    <xdr:to>
      <xdr:col>14</xdr:col>
      <xdr:colOff>838200</xdr:colOff>
      <xdr:row>39</xdr:row>
      <xdr:rowOff>95250</xdr:rowOff>
    </xdr:to>
    <xdr:sp macro="" textlink="">
      <xdr:nvSpPr>
        <xdr:cNvPr id="8" name="TextBox 7"/>
        <xdr:cNvSpPr txBox="1"/>
      </xdr:nvSpPr>
      <xdr:spPr>
        <a:xfrm>
          <a:off x="9601200" y="5181599"/>
          <a:ext cx="2228850" cy="2552701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A student only needs enough Elective hours to reach 15 credits, so it may not be necessary to fill in every Elective box.  Once enough credits are entered</a:t>
          </a:r>
          <a:r>
            <a:rPr lang="en-US" sz="1100" baseline="0">
              <a:solidFill>
                <a:schemeClr val="bg1"/>
              </a:solidFill>
            </a:rPr>
            <a:t> under Electives, the other boxes will turn white to indicate the student has the required number of credits in Electives.</a:t>
          </a:r>
        </a:p>
        <a:p>
          <a:endParaRPr lang="en-US" sz="1100">
            <a:solidFill>
              <a:schemeClr val="bg1"/>
            </a:solidFill>
          </a:endParaRPr>
        </a:p>
        <a:p>
          <a:r>
            <a:rPr lang="en-US" sz="1100">
              <a:solidFill>
                <a:schemeClr val="bg1"/>
              </a:solidFill>
            </a:rPr>
            <a:t>Example:  If</a:t>
          </a:r>
          <a:r>
            <a:rPr lang="en-US" sz="1100" baseline="0">
              <a:solidFill>
                <a:schemeClr val="bg1"/>
              </a:solidFill>
            </a:rPr>
            <a:t> a student takes a 9 credit Nursing course, that student only needs two additional 3 credit Electives to reach 15 credits.</a:t>
          </a:r>
        </a:p>
        <a:p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25</xdr:row>
      <xdr:rowOff>180975</xdr:rowOff>
    </xdr:from>
    <xdr:to>
      <xdr:col>1</xdr:col>
      <xdr:colOff>790575</xdr:colOff>
      <xdr:row>30</xdr:row>
      <xdr:rowOff>171450</xdr:rowOff>
    </xdr:to>
    <xdr:sp macro="" textlink="">
      <xdr:nvSpPr>
        <xdr:cNvPr id="9" name="TextBox 8"/>
        <xdr:cNvSpPr txBox="1"/>
      </xdr:nvSpPr>
      <xdr:spPr>
        <a:xfrm>
          <a:off x="0" y="5153025"/>
          <a:ext cx="2219325" cy="94297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There is no dropdown</a:t>
          </a:r>
          <a:r>
            <a:rPr lang="en-US" sz="1100" baseline="0">
              <a:solidFill>
                <a:schemeClr val="bg1"/>
              </a:solidFill>
            </a:rPr>
            <a:t> box for Elective Course since there are too many Elective options to list.  You must enter Electives in manually.</a:t>
          </a:r>
        </a:p>
        <a:p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33</xdr:row>
      <xdr:rowOff>47625</xdr:rowOff>
    </xdr:from>
    <xdr:to>
      <xdr:col>1</xdr:col>
      <xdr:colOff>790574</xdr:colOff>
      <xdr:row>38</xdr:row>
      <xdr:rowOff>0</xdr:rowOff>
    </xdr:to>
    <xdr:sp macro="" textlink="">
      <xdr:nvSpPr>
        <xdr:cNvPr id="10" name="TextBox 9"/>
        <xdr:cNvSpPr txBox="1"/>
      </xdr:nvSpPr>
      <xdr:spPr>
        <a:xfrm>
          <a:off x="0" y="6543675"/>
          <a:ext cx="2219324" cy="90487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A cell with a red triangle in it indicates</a:t>
          </a:r>
          <a:r>
            <a:rPr lang="en-US" sz="1100" baseline="0">
              <a:solidFill>
                <a:schemeClr val="bg1"/>
              </a:solidFill>
            </a:rPr>
            <a:t> there is a tooltip for that cell.  Hover your mouse over the cell to see the tooltip.</a:t>
          </a:r>
        </a:p>
        <a:p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800100</xdr:colOff>
      <xdr:row>6</xdr:row>
      <xdr:rowOff>33338</xdr:rowOff>
    </xdr:from>
    <xdr:to>
      <xdr:col>2</xdr:col>
      <xdr:colOff>504825</xdr:colOff>
      <xdr:row>7</xdr:row>
      <xdr:rowOff>95250</xdr:rowOff>
    </xdr:to>
    <xdr:cxnSp macro="">
      <xdr:nvCxnSpPr>
        <xdr:cNvPr id="4" name="Straight Arrow Connector 3"/>
        <xdr:cNvCxnSpPr>
          <a:stCxn id="11" idx="3"/>
        </xdr:cNvCxnSpPr>
      </xdr:nvCxnSpPr>
      <xdr:spPr>
        <a:xfrm>
          <a:off x="2228850" y="1385888"/>
          <a:ext cx="866775" cy="252412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27</xdr:row>
      <xdr:rowOff>47625</xdr:rowOff>
    </xdr:from>
    <xdr:to>
      <xdr:col>12</xdr:col>
      <xdr:colOff>600076</xdr:colOff>
      <xdr:row>28</xdr:row>
      <xdr:rowOff>142875</xdr:rowOff>
    </xdr:to>
    <xdr:cxnSp macro="">
      <xdr:nvCxnSpPr>
        <xdr:cNvPr id="16" name="Straight Arrow Connector 15"/>
        <xdr:cNvCxnSpPr/>
      </xdr:nvCxnSpPr>
      <xdr:spPr>
        <a:xfrm flipH="1">
          <a:off x="9029700" y="5400675"/>
          <a:ext cx="571501" cy="28575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781049</xdr:colOff>
      <xdr:row>34</xdr:row>
      <xdr:rowOff>85725</xdr:rowOff>
    </xdr:from>
    <xdr:to>
      <xdr:col>6</xdr:col>
      <xdr:colOff>438150</xdr:colOff>
      <xdr:row>34</xdr:row>
      <xdr:rowOff>138113</xdr:rowOff>
    </xdr:to>
    <xdr:cxnSp macro="">
      <xdr:nvCxnSpPr>
        <xdr:cNvPr id="17" name="Straight Arrow Connector 16"/>
        <xdr:cNvCxnSpPr/>
      </xdr:nvCxnSpPr>
      <xdr:spPr>
        <a:xfrm flipV="1">
          <a:off x="2209799" y="6772275"/>
          <a:ext cx="4076701" cy="52388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790574</xdr:colOff>
      <xdr:row>29</xdr:row>
      <xdr:rowOff>23813</xdr:rowOff>
    </xdr:from>
    <xdr:to>
      <xdr:col>4</xdr:col>
      <xdr:colOff>942975</xdr:colOff>
      <xdr:row>29</xdr:row>
      <xdr:rowOff>114300</xdr:rowOff>
    </xdr:to>
    <xdr:cxnSp macro="">
      <xdr:nvCxnSpPr>
        <xdr:cNvPr id="18" name="Straight Arrow Connector 17"/>
        <xdr:cNvCxnSpPr/>
      </xdr:nvCxnSpPr>
      <xdr:spPr>
        <a:xfrm>
          <a:off x="2219324" y="5757863"/>
          <a:ext cx="2476501" cy="90487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800099</xdr:colOff>
      <xdr:row>10</xdr:row>
      <xdr:rowOff>23813</xdr:rowOff>
    </xdr:from>
    <xdr:to>
      <xdr:col>4</xdr:col>
      <xdr:colOff>361950</xdr:colOff>
      <xdr:row>11</xdr:row>
      <xdr:rowOff>47625</xdr:rowOff>
    </xdr:to>
    <xdr:cxnSp macro="">
      <xdr:nvCxnSpPr>
        <xdr:cNvPr id="19" name="Straight Arrow Connector 18"/>
        <xdr:cNvCxnSpPr/>
      </xdr:nvCxnSpPr>
      <xdr:spPr>
        <a:xfrm>
          <a:off x="2228849" y="2138363"/>
          <a:ext cx="1885951" cy="214312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314325</xdr:colOff>
      <xdr:row>10</xdr:row>
      <xdr:rowOff>38100</xdr:rowOff>
    </xdr:from>
    <xdr:to>
      <xdr:col>12</xdr:col>
      <xdr:colOff>600077</xdr:colOff>
      <xdr:row>11</xdr:row>
      <xdr:rowOff>38101</xdr:rowOff>
    </xdr:to>
    <xdr:cxnSp macro="">
      <xdr:nvCxnSpPr>
        <xdr:cNvPr id="23" name="Straight Arrow Connector 22"/>
        <xdr:cNvCxnSpPr/>
      </xdr:nvCxnSpPr>
      <xdr:spPr>
        <a:xfrm flipH="1" flipV="1">
          <a:off x="8420100" y="2152650"/>
          <a:ext cx="1181102" cy="190501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5</xdr:row>
      <xdr:rowOff>200025</xdr:rowOff>
    </xdr:from>
    <xdr:to>
      <xdr:col>12</xdr:col>
      <xdr:colOff>590551</xdr:colOff>
      <xdr:row>7</xdr:row>
      <xdr:rowOff>104775</xdr:rowOff>
    </xdr:to>
    <xdr:cxnSp macro="">
      <xdr:nvCxnSpPr>
        <xdr:cNvPr id="24" name="Straight Arrow Connector 23"/>
        <xdr:cNvCxnSpPr/>
      </xdr:nvCxnSpPr>
      <xdr:spPr>
        <a:xfrm flipH="1">
          <a:off x="8572500" y="1304925"/>
          <a:ext cx="1019176" cy="34290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20</xdr:row>
      <xdr:rowOff>76200</xdr:rowOff>
    </xdr:from>
    <xdr:to>
      <xdr:col>12</xdr:col>
      <xdr:colOff>600076</xdr:colOff>
      <xdr:row>22</xdr:row>
      <xdr:rowOff>0</xdr:rowOff>
    </xdr:to>
    <xdr:cxnSp macro="">
      <xdr:nvCxnSpPr>
        <xdr:cNvPr id="25" name="Straight Arrow Connector 24"/>
        <xdr:cNvCxnSpPr/>
      </xdr:nvCxnSpPr>
      <xdr:spPr>
        <a:xfrm flipH="1">
          <a:off x="8905875" y="4171950"/>
          <a:ext cx="590551" cy="30480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600075</xdr:colOff>
      <xdr:row>40</xdr:row>
      <xdr:rowOff>19050</xdr:rowOff>
    </xdr:from>
    <xdr:to>
      <xdr:col>14</xdr:col>
      <xdr:colOff>838200</xdr:colOff>
      <xdr:row>45</xdr:row>
      <xdr:rowOff>66675</xdr:rowOff>
    </xdr:to>
    <xdr:sp macro="" textlink="">
      <xdr:nvSpPr>
        <xdr:cNvPr id="31" name="TextBox 30"/>
        <xdr:cNvSpPr txBox="1"/>
      </xdr:nvSpPr>
      <xdr:spPr>
        <a:xfrm>
          <a:off x="9601200" y="7848600"/>
          <a:ext cx="2228850" cy="100012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Here you must</a:t>
          </a:r>
          <a:r>
            <a:rPr lang="en-US" sz="1100" baseline="0">
              <a:solidFill>
                <a:schemeClr val="bg1"/>
              </a:solidFill>
            </a:rPr>
            <a:t> manually input a student's total credits (include IPS courses), credits earned at BCTC, and GPA.</a:t>
          </a:r>
        </a:p>
        <a:p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28576</xdr:colOff>
      <xdr:row>41</xdr:row>
      <xdr:rowOff>0</xdr:rowOff>
    </xdr:from>
    <xdr:to>
      <xdr:col>13</xdr:col>
      <xdr:colOff>0</xdr:colOff>
      <xdr:row>41</xdr:row>
      <xdr:rowOff>161925</xdr:rowOff>
    </xdr:to>
    <xdr:cxnSp macro="">
      <xdr:nvCxnSpPr>
        <xdr:cNvPr id="32" name="Straight Arrow Connector 31"/>
        <xdr:cNvCxnSpPr/>
      </xdr:nvCxnSpPr>
      <xdr:spPr>
        <a:xfrm flipH="1">
          <a:off x="9029701" y="8020050"/>
          <a:ext cx="581024" cy="161925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819151</xdr:colOff>
      <xdr:row>1</xdr:row>
      <xdr:rowOff>133350</xdr:rowOff>
    </xdr:from>
    <xdr:to>
      <xdr:col>14</xdr:col>
      <xdr:colOff>1181100</xdr:colOff>
      <xdr:row>1</xdr:row>
      <xdr:rowOff>133350</xdr:rowOff>
    </xdr:to>
    <xdr:cxnSp macro="">
      <xdr:nvCxnSpPr>
        <xdr:cNvPr id="35" name="Straight Arrow Connector 34"/>
        <xdr:cNvCxnSpPr/>
      </xdr:nvCxnSpPr>
      <xdr:spPr>
        <a:xfrm>
          <a:off x="11706226" y="381000"/>
          <a:ext cx="361949" cy="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athan.smith@kctcs.ed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nathan.smith@kctcs.edu" TargetMode="External"/><Relationship Id="rId1" Type="http://schemas.openxmlformats.org/officeDocument/2006/relationships/hyperlink" Target="mailto:nathan.smith@kctcs.edu" TargetMode="External"/><Relationship Id="rId6" Type="http://schemas.openxmlformats.org/officeDocument/2006/relationships/comments" Target="../comments3.xml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nathan.smith@kctcs.edu" TargetMode="External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3"/>
  </sheetPr>
  <dimension ref="A1:Z299"/>
  <sheetViews>
    <sheetView workbookViewId="0">
      <selection activeCell="F5" sqref="F5:K5"/>
    </sheetView>
  </sheetViews>
  <sheetFormatPr defaultRowHeight="14.4" x14ac:dyDescent="0.3"/>
  <cols>
    <col min="7" max="7" width="9.109375" customWidth="1"/>
    <col min="13" max="13" width="9.109375" style="44"/>
  </cols>
  <sheetData>
    <row r="1" spans="1:26" ht="24.75" x14ac:dyDescent="0.4">
      <c r="A1" s="184" t="s">
        <v>751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6"/>
      <c r="R1" s="6"/>
      <c r="S1" s="6"/>
      <c r="T1" s="6"/>
      <c r="U1" s="6"/>
      <c r="V1" s="6"/>
      <c r="W1" s="6"/>
      <c r="X1" s="6"/>
      <c r="Y1" s="76"/>
      <c r="Z1" s="76"/>
    </row>
    <row r="2" spans="1:26" ht="24.75" x14ac:dyDescent="0.4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8"/>
      <c r="R2" s="138"/>
      <c r="S2" s="138"/>
      <c r="T2" s="138"/>
      <c r="U2" s="138"/>
      <c r="V2" s="138"/>
      <c r="W2" s="138"/>
      <c r="X2" s="138"/>
      <c r="Y2" s="138"/>
      <c r="Z2" s="138"/>
    </row>
    <row r="3" spans="1:26" ht="17.25" x14ac:dyDescent="0.3">
      <c r="A3" s="6"/>
      <c r="B3" s="6"/>
      <c r="C3" s="6"/>
      <c r="D3" s="6"/>
      <c r="E3" s="6"/>
      <c r="F3" s="185" t="s">
        <v>1169</v>
      </c>
      <c r="G3" s="185"/>
      <c r="H3" s="185"/>
      <c r="I3" s="185"/>
      <c r="J3" s="185"/>
      <c r="K3" s="18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6"/>
      <c r="Z3" s="76"/>
    </row>
    <row r="4" spans="1:26" ht="22.5" x14ac:dyDescent="0.35">
      <c r="A4" s="66"/>
      <c r="B4" s="72"/>
      <c r="C4" s="183"/>
      <c r="D4" s="183"/>
      <c r="E4" s="183"/>
      <c r="F4" s="183"/>
      <c r="G4" s="183"/>
      <c r="H4" s="183"/>
      <c r="I4" s="124"/>
      <c r="J4" s="124"/>
      <c r="K4" s="124"/>
      <c r="L4" s="72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6"/>
      <c r="Z4" s="76"/>
    </row>
    <row r="5" spans="1:26" ht="23.25" thickBot="1" x14ac:dyDescent="0.4">
      <c r="A5" s="118"/>
      <c r="B5" s="118"/>
      <c r="C5" s="124"/>
      <c r="D5" s="124"/>
      <c r="E5" s="124"/>
      <c r="F5" s="187" t="s">
        <v>1155</v>
      </c>
      <c r="G5" s="187"/>
      <c r="H5" s="187"/>
      <c r="I5" s="187"/>
      <c r="J5" s="187"/>
      <c r="K5" s="187"/>
      <c r="L5" s="117"/>
      <c r="M5" s="118"/>
      <c r="N5" s="118"/>
      <c r="O5" s="118"/>
      <c r="P5" s="118"/>
      <c r="Q5" s="6"/>
      <c r="R5" s="6"/>
      <c r="S5" s="6"/>
      <c r="T5" s="6"/>
      <c r="U5" s="6"/>
      <c r="V5" s="6"/>
      <c r="W5" s="6"/>
      <c r="X5" s="6"/>
      <c r="Y5" s="76"/>
      <c r="Z5" s="76"/>
    </row>
    <row r="6" spans="1:26" ht="24" thickTop="1" thickBot="1" x14ac:dyDescent="0.4">
      <c r="A6" s="118"/>
      <c r="B6" s="118"/>
      <c r="C6" s="124"/>
      <c r="D6" s="124"/>
      <c r="E6" s="124"/>
      <c r="F6" s="152"/>
      <c r="G6" s="152"/>
      <c r="H6" s="152"/>
      <c r="I6" s="152"/>
      <c r="J6" s="152"/>
      <c r="K6" s="152"/>
      <c r="L6" s="117"/>
      <c r="M6" s="118"/>
      <c r="N6" s="118"/>
      <c r="O6" s="118"/>
      <c r="P6" s="118"/>
      <c r="Q6" s="124"/>
      <c r="R6" s="124"/>
      <c r="S6" s="124"/>
      <c r="T6" s="124"/>
      <c r="U6" s="124"/>
      <c r="V6" s="124"/>
      <c r="W6" s="124"/>
      <c r="X6" s="124"/>
      <c r="Y6" s="124"/>
      <c r="Z6" s="124"/>
    </row>
    <row r="7" spans="1:26" ht="18.75" thickTop="1" thickBot="1" x14ac:dyDescent="0.35">
      <c r="A7" s="124"/>
      <c r="B7" s="124"/>
      <c r="C7" s="124"/>
      <c r="D7" s="124"/>
      <c r="E7" s="124"/>
      <c r="F7" s="186" t="s">
        <v>1156</v>
      </c>
      <c r="G7" s="186"/>
      <c r="H7" s="186"/>
      <c r="I7" s="186"/>
      <c r="J7" s="186"/>
      <c r="K7" s="186"/>
      <c r="L7" s="117"/>
      <c r="M7" s="124"/>
      <c r="N7" s="124"/>
      <c r="O7" s="124"/>
      <c r="P7" s="124"/>
      <c r="Q7" s="6"/>
      <c r="R7" s="6"/>
      <c r="S7" s="6"/>
      <c r="T7" s="6"/>
      <c r="U7" s="6"/>
      <c r="V7" s="6"/>
      <c r="W7" s="6"/>
      <c r="X7" s="6"/>
      <c r="Y7" s="76"/>
      <c r="Z7" s="76"/>
    </row>
    <row r="8" spans="1:26" ht="20.25" thickTop="1" thickBot="1" x14ac:dyDescent="0.35">
      <c r="A8" s="114"/>
      <c r="B8" s="114"/>
      <c r="C8" s="124"/>
      <c r="D8" s="124"/>
      <c r="E8" s="124"/>
      <c r="F8" s="186" t="s">
        <v>1157</v>
      </c>
      <c r="G8" s="186"/>
      <c r="H8" s="186"/>
      <c r="I8" s="186"/>
      <c r="J8" s="186"/>
      <c r="K8" s="186"/>
      <c r="L8" s="117"/>
      <c r="M8" s="114"/>
      <c r="N8" s="114"/>
      <c r="O8" s="114"/>
      <c r="P8" s="114"/>
      <c r="Q8" s="6"/>
      <c r="R8" s="6"/>
      <c r="S8" s="6"/>
      <c r="T8" s="6"/>
      <c r="U8" s="6"/>
      <c r="V8" s="6"/>
      <c r="W8" s="6"/>
      <c r="X8" s="6"/>
      <c r="Y8" s="76"/>
      <c r="Z8" s="76"/>
    </row>
    <row r="9" spans="1:26" ht="20.25" thickTop="1" thickBot="1" x14ac:dyDescent="0.35">
      <c r="A9" s="114"/>
      <c r="B9" s="114"/>
      <c r="C9" s="124"/>
      <c r="D9" s="124"/>
      <c r="E9" s="124"/>
      <c r="F9" s="157"/>
      <c r="G9" s="157"/>
      <c r="H9" s="157"/>
      <c r="I9" s="157"/>
      <c r="J9" s="157"/>
      <c r="K9" s="157"/>
      <c r="L9" s="117"/>
      <c r="M9" s="114"/>
      <c r="N9" s="114"/>
      <c r="O9" s="114"/>
      <c r="P9" s="114"/>
      <c r="Q9" s="124"/>
      <c r="R9" s="124"/>
      <c r="S9" s="124"/>
      <c r="T9" s="124"/>
      <c r="U9" s="124"/>
      <c r="V9" s="124"/>
      <c r="W9" s="124"/>
      <c r="X9" s="124"/>
      <c r="Y9" s="124"/>
      <c r="Z9" s="124"/>
    </row>
    <row r="10" spans="1:26" ht="20.25" thickTop="1" thickBot="1" x14ac:dyDescent="0.35">
      <c r="A10" s="114"/>
      <c r="B10" s="114"/>
      <c r="C10" s="124"/>
      <c r="D10" s="124"/>
      <c r="E10" s="124"/>
      <c r="F10" s="186" t="s">
        <v>1133</v>
      </c>
      <c r="G10" s="186"/>
      <c r="H10" s="186"/>
      <c r="I10" s="186"/>
      <c r="J10" s="186"/>
      <c r="K10" s="186"/>
      <c r="L10" s="117"/>
      <c r="M10" s="114"/>
      <c r="N10" s="114"/>
      <c r="O10" s="114"/>
      <c r="P10" s="114"/>
      <c r="Q10" s="6"/>
      <c r="R10" s="6"/>
      <c r="S10" s="6"/>
      <c r="T10" s="6"/>
      <c r="U10" s="6"/>
      <c r="V10" s="6"/>
      <c r="W10" s="6"/>
      <c r="X10" s="6"/>
      <c r="Y10" s="76"/>
      <c r="Z10" s="76"/>
    </row>
    <row r="11" spans="1:26" ht="18.75" thickTop="1" thickBot="1" x14ac:dyDescent="0.35">
      <c r="A11" s="124"/>
      <c r="B11" s="124"/>
      <c r="C11" s="124"/>
      <c r="D11" s="124"/>
      <c r="E11" s="124"/>
      <c r="F11" s="186" t="s">
        <v>1158</v>
      </c>
      <c r="G11" s="186"/>
      <c r="H11" s="186"/>
      <c r="I11" s="186"/>
      <c r="J11" s="186"/>
      <c r="K11" s="186"/>
      <c r="L11" s="117"/>
      <c r="M11" s="124"/>
      <c r="N11" s="124"/>
      <c r="O11" s="124"/>
      <c r="P11" s="124"/>
      <c r="Q11" s="6"/>
      <c r="R11" s="6"/>
      <c r="S11" s="6"/>
      <c r="T11" s="6"/>
      <c r="U11" s="6"/>
      <c r="V11" s="6"/>
      <c r="W11" s="6"/>
      <c r="X11" s="6"/>
      <c r="Y11" s="76"/>
      <c r="Z11" s="76"/>
    </row>
    <row r="12" spans="1:26" ht="18.75" thickTop="1" thickBot="1" x14ac:dyDescent="0.35">
      <c r="A12" s="124"/>
      <c r="B12" s="124"/>
      <c r="C12" s="124"/>
      <c r="D12" s="124"/>
      <c r="E12" s="124"/>
      <c r="F12" s="186" t="s">
        <v>1159</v>
      </c>
      <c r="G12" s="186"/>
      <c r="H12" s="186"/>
      <c r="I12" s="186"/>
      <c r="J12" s="186"/>
      <c r="K12" s="186"/>
      <c r="L12" s="117"/>
      <c r="M12" s="124"/>
      <c r="N12" s="124"/>
      <c r="O12" s="124"/>
      <c r="P12" s="124"/>
      <c r="Q12" s="6"/>
      <c r="R12" s="6"/>
      <c r="S12" s="6"/>
      <c r="T12" s="6"/>
      <c r="U12" s="6"/>
      <c r="V12" s="6"/>
      <c r="W12" s="6"/>
      <c r="X12" s="6"/>
      <c r="Y12" s="76"/>
      <c r="Z12" s="76"/>
    </row>
    <row r="13" spans="1:26" ht="20.25" thickTop="1" thickBot="1" x14ac:dyDescent="0.35">
      <c r="A13" s="114"/>
      <c r="B13" s="114"/>
      <c r="C13" s="124"/>
      <c r="D13" s="124"/>
      <c r="E13" s="124"/>
      <c r="F13" s="186" t="s">
        <v>1160</v>
      </c>
      <c r="G13" s="186"/>
      <c r="H13" s="186"/>
      <c r="I13" s="186"/>
      <c r="J13" s="186"/>
      <c r="K13" s="186"/>
      <c r="L13" s="117"/>
      <c r="M13" s="114"/>
      <c r="N13" s="114"/>
      <c r="O13" s="114"/>
      <c r="P13" s="114"/>
      <c r="Q13" s="6"/>
      <c r="R13" s="6"/>
      <c r="S13" s="6"/>
      <c r="T13" s="6"/>
      <c r="U13" s="6"/>
      <c r="V13" s="6"/>
      <c r="W13" s="6"/>
      <c r="X13" s="6"/>
      <c r="Y13" s="76"/>
      <c r="Z13" s="76"/>
    </row>
    <row r="14" spans="1:26" ht="18.75" thickTop="1" thickBot="1" x14ac:dyDescent="0.35">
      <c r="A14" s="124"/>
      <c r="B14" s="124"/>
      <c r="C14" s="124"/>
      <c r="D14" s="124"/>
      <c r="E14" s="124"/>
      <c r="F14" s="186" t="s">
        <v>1161</v>
      </c>
      <c r="G14" s="186"/>
      <c r="H14" s="186"/>
      <c r="I14" s="186"/>
      <c r="J14" s="186"/>
      <c r="K14" s="186"/>
      <c r="L14" s="117"/>
      <c r="M14" s="124"/>
      <c r="N14" s="124"/>
      <c r="O14" s="124"/>
      <c r="P14" s="124"/>
      <c r="Q14" s="6"/>
      <c r="R14" s="6"/>
      <c r="S14" s="6"/>
      <c r="T14" s="6"/>
      <c r="U14" s="6"/>
      <c r="V14" s="6"/>
      <c r="W14" s="6"/>
      <c r="X14" s="6"/>
      <c r="Y14" s="76"/>
      <c r="Z14" s="76"/>
    </row>
    <row r="15" spans="1:26" ht="19.5" thickTop="1" x14ac:dyDescent="0.3">
      <c r="A15" s="114"/>
      <c r="B15" s="114"/>
      <c r="C15" s="124"/>
      <c r="D15" s="124"/>
      <c r="E15" s="124"/>
      <c r="F15" s="183"/>
      <c r="G15" s="183"/>
      <c r="H15" s="183"/>
      <c r="I15" s="183"/>
      <c r="J15" s="183"/>
      <c r="K15" s="183"/>
      <c r="L15" s="114"/>
      <c r="M15" s="114"/>
      <c r="N15" s="114"/>
      <c r="O15" s="114"/>
      <c r="P15" s="114"/>
      <c r="Q15" s="6"/>
      <c r="R15" s="6"/>
      <c r="S15" s="6"/>
      <c r="T15" s="6"/>
      <c r="U15" s="6"/>
      <c r="V15" s="6"/>
      <c r="W15" s="6"/>
      <c r="X15" s="6"/>
      <c r="Y15" s="76"/>
      <c r="Z15" s="76"/>
    </row>
    <row r="16" spans="1:26" ht="18.75" x14ac:dyDescent="0.3">
      <c r="A16" s="114"/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6"/>
      <c r="R16" s="6"/>
      <c r="S16" s="6"/>
      <c r="T16" s="6"/>
      <c r="U16" s="6"/>
      <c r="V16" s="6"/>
      <c r="W16" s="6"/>
      <c r="X16" s="6"/>
      <c r="Y16" s="76"/>
      <c r="Z16" s="76"/>
    </row>
    <row r="17" spans="1:26" ht="18.75" x14ac:dyDescent="0.3">
      <c r="A17" s="114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92"/>
      <c r="R17" s="6"/>
      <c r="S17" s="6"/>
      <c r="T17" s="6"/>
      <c r="U17" s="6"/>
      <c r="V17" s="6"/>
      <c r="W17" s="6"/>
      <c r="X17" s="6"/>
      <c r="Y17" s="76"/>
      <c r="Z17" s="76"/>
    </row>
    <row r="18" spans="1:26" ht="15" x14ac:dyDescent="0.25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6"/>
      <c r="S18" s="6"/>
      <c r="T18" s="6"/>
      <c r="U18" s="6"/>
      <c r="V18" s="6"/>
      <c r="W18" s="6"/>
      <c r="X18" s="6"/>
      <c r="Y18" s="76"/>
      <c r="Z18" s="76"/>
    </row>
    <row r="19" spans="1:26" ht="15" x14ac:dyDescent="0.25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6"/>
      <c r="S19" s="6"/>
      <c r="T19" s="6"/>
      <c r="U19" s="6"/>
      <c r="V19" s="6"/>
      <c r="W19" s="6"/>
      <c r="X19" s="6"/>
      <c r="Y19" s="76"/>
      <c r="Z19" s="76"/>
    </row>
    <row r="20" spans="1:26" ht="15" x14ac:dyDescent="0.25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6"/>
      <c r="S20" s="6"/>
      <c r="T20" s="6"/>
      <c r="U20" s="6"/>
      <c r="V20" s="6"/>
      <c r="W20" s="6"/>
      <c r="X20" s="6"/>
      <c r="Y20" s="76"/>
      <c r="Z20" s="76"/>
    </row>
    <row r="21" spans="1:26" ht="16.5" thickBot="1" x14ac:dyDescent="0.3">
      <c r="A21" s="115"/>
      <c r="B21" s="115"/>
      <c r="C21" s="115"/>
      <c r="D21" s="115"/>
      <c r="E21" s="115"/>
      <c r="F21" s="182" t="s">
        <v>1184</v>
      </c>
      <c r="G21" s="182"/>
      <c r="H21" s="182"/>
      <c r="I21" s="182"/>
      <c r="J21" s="182"/>
      <c r="K21" s="182"/>
      <c r="L21" s="115"/>
      <c r="M21" s="115"/>
      <c r="N21" s="115"/>
      <c r="O21" s="115"/>
      <c r="P21" s="115"/>
      <c r="Q21" s="6"/>
      <c r="R21" s="6"/>
      <c r="S21" s="6"/>
      <c r="T21" s="6"/>
      <c r="U21" s="6"/>
      <c r="V21" s="6"/>
      <c r="W21" s="6"/>
      <c r="X21" s="6"/>
      <c r="Y21" s="76"/>
      <c r="Z21" s="76"/>
    </row>
    <row r="22" spans="1:26" ht="17.25" thickTop="1" thickBot="1" x14ac:dyDescent="0.3">
      <c r="A22" s="115"/>
      <c r="B22" s="115"/>
      <c r="C22" s="115"/>
      <c r="D22" s="115"/>
      <c r="E22" s="115"/>
      <c r="F22" s="180" t="s">
        <v>1031</v>
      </c>
      <c r="G22" s="180"/>
      <c r="H22" s="180"/>
      <c r="I22" s="180"/>
      <c r="J22" s="180"/>
      <c r="K22" s="180"/>
      <c r="L22" s="115"/>
      <c r="M22" s="115"/>
      <c r="N22" s="115"/>
      <c r="O22" s="115"/>
      <c r="P22" s="115"/>
      <c r="Q22" s="6"/>
      <c r="R22" s="6"/>
      <c r="S22" s="6"/>
      <c r="T22" s="6"/>
      <c r="U22" s="6"/>
      <c r="V22" s="6"/>
      <c r="W22" s="6"/>
      <c r="X22" s="6"/>
      <c r="Y22" s="76"/>
      <c r="Z22" s="76"/>
    </row>
    <row r="23" spans="1:26" ht="15.75" customHeight="1" thickTop="1" thickBot="1" x14ac:dyDescent="0.3">
      <c r="A23" s="117"/>
      <c r="B23" s="117"/>
      <c r="C23" s="117"/>
      <c r="D23" s="117"/>
      <c r="E23" s="117"/>
      <c r="F23" s="180" t="s">
        <v>1032</v>
      </c>
      <c r="G23" s="180"/>
      <c r="H23" s="180"/>
      <c r="I23" s="180"/>
      <c r="J23" s="180"/>
      <c r="K23" s="180"/>
      <c r="L23" s="117"/>
      <c r="M23" s="117"/>
      <c r="N23" s="117"/>
      <c r="O23" s="117"/>
      <c r="P23" s="117"/>
      <c r="Q23" s="6"/>
      <c r="R23" s="6"/>
      <c r="S23" s="6"/>
      <c r="T23" s="6"/>
      <c r="U23" s="6"/>
      <c r="V23" s="6"/>
      <c r="W23" s="6"/>
      <c r="X23" s="6"/>
      <c r="Y23" s="76"/>
      <c r="Z23" s="76"/>
    </row>
    <row r="24" spans="1:26" ht="17.25" thickTop="1" thickBot="1" x14ac:dyDescent="0.3">
      <c r="A24" s="116"/>
      <c r="B24" s="116"/>
      <c r="C24" s="116"/>
      <c r="D24" s="116"/>
      <c r="E24" s="116"/>
      <c r="F24" s="181" t="s">
        <v>73</v>
      </c>
      <c r="G24" s="182"/>
      <c r="H24" s="182"/>
      <c r="I24" s="182"/>
      <c r="J24" s="182"/>
      <c r="K24" s="182"/>
      <c r="L24" s="116"/>
      <c r="M24" s="116"/>
      <c r="N24" s="116"/>
      <c r="O24" s="116"/>
      <c r="P24" s="116"/>
      <c r="Q24" s="6"/>
      <c r="R24" s="6"/>
      <c r="S24" s="6"/>
      <c r="T24" s="6"/>
      <c r="U24" s="6"/>
      <c r="V24" s="6"/>
      <c r="W24" s="6"/>
      <c r="X24" s="6"/>
      <c r="Y24" s="76"/>
      <c r="Z24" s="76"/>
    </row>
    <row r="25" spans="1:26" ht="16.5" thickTop="1" x14ac:dyDescent="0.25">
      <c r="A25" s="87"/>
      <c r="B25" s="87"/>
      <c r="C25" s="90"/>
      <c r="D25" s="90"/>
      <c r="E25" s="90"/>
      <c r="F25" s="90"/>
      <c r="G25" s="90"/>
      <c r="H25" s="90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spans="1:26" ht="15" x14ac:dyDescent="0.25">
      <c r="A26" s="87"/>
      <c r="B26" s="87"/>
      <c r="C26" s="6"/>
      <c r="D26" s="6"/>
      <c r="E26" s="6"/>
      <c r="F26" s="6"/>
      <c r="G26" s="6"/>
      <c r="H26" s="6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spans="1:26" ht="1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76"/>
      <c r="Z27" s="76"/>
    </row>
    <row r="28" spans="1:26" ht="15" x14ac:dyDescent="0.25">
      <c r="A28" s="41"/>
      <c r="B28" s="41"/>
      <c r="C28" s="6"/>
      <c r="D28" s="6"/>
      <c r="E28" s="6"/>
      <c r="F28" s="6"/>
      <c r="G28" s="6"/>
      <c r="H28" s="6"/>
      <c r="I28" s="41"/>
      <c r="J28" s="41"/>
      <c r="K28" s="41"/>
      <c r="L28" s="41"/>
      <c r="M28" s="41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76"/>
      <c r="Z28" s="76"/>
    </row>
    <row r="29" spans="1:26" ht="15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76"/>
      <c r="Z29" s="76"/>
    </row>
    <row r="30" spans="1:26" ht="15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76"/>
      <c r="Z30" s="76"/>
    </row>
    <row r="31" spans="1:26" ht="15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76"/>
      <c r="Z31" s="76"/>
    </row>
    <row r="32" spans="1:26" ht="15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76"/>
      <c r="Z32" s="76"/>
    </row>
    <row r="33" spans="1:26" ht="15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76"/>
      <c r="Z33" s="76"/>
    </row>
    <row r="34" spans="1:26" ht="15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76"/>
      <c r="Z34" s="76"/>
    </row>
    <row r="35" spans="1:26" ht="15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76"/>
      <c r="Z35" s="76"/>
    </row>
    <row r="36" spans="1:26" ht="15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76"/>
      <c r="Z36" s="76"/>
    </row>
    <row r="37" spans="1:26" ht="15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76"/>
      <c r="Z37" s="76"/>
    </row>
    <row r="38" spans="1:26" ht="15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76"/>
      <c r="Z38" s="76"/>
    </row>
    <row r="39" spans="1:26" ht="1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76"/>
      <c r="Z39" s="76"/>
    </row>
    <row r="40" spans="1:26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76"/>
      <c r="Z40" s="76"/>
    </row>
    <row r="41" spans="1:26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76"/>
      <c r="Z41" s="76"/>
    </row>
    <row r="42" spans="1:26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76"/>
      <c r="Z42" s="76"/>
    </row>
    <row r="43" spans="1:26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76"/>
      <c r="Z43" s="76"/>
    </row>
    <row r="44" spans="1:26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76"/>
      <c r="Z44" s="76"/>
    </row>
    <row r="45" spans="1:26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76"/>
      <c r="Z45" s="76"/>
    </row>
    <row r="46" spans="1:26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76"/>
      <c r="Z46" s="76"/>
    </row>
    <row r="47" spans="1:26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76"/>
      <c r="Z47" s="76"/>
    </row>
    <row r="48" spans="1:26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76"/>
      <c r="Z48" s="76"/>
    </row>
    <row r="49" spans="1:26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76"/>
      <c r="Z49" s="76"/>
    </row>
    <row r="50" spans="1:26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76"/>
      <c r="Z50" s="76"/>
    </row>
    <row r="51" spans="1:26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76"/>
      <c r="Z51" s="76"/>
    </row>
    <row r="52" spans="1:26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76"/>
      <c r="Z52" s="76"/>
    </row>
    <row r="53" spans="1:26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76"/>
      <c r="Z53" s="76"/>
    </row>
    <row r="54" spans="1:26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76"/>
      <c r="Z54" s="76"/>
    </row>
    <row r="55" spans="1:26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76"/>
      <c r="Z55" s="76"/>
    </row>
    <row r="56" spans="1:26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76"/>
      <c r="Z56" s="76"/>
    </row>
    <row r="57" spans="1:26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76"/>
      <c r="Z57" s="76"/>
    </row>
    <row r="58" spans="1:26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76"/>
      <c r="Z58" s="76"/>
    </row>
    <row r="59" spans="1:26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76"/>
      <c r="Z59" s="76"/>
    </row>
    <row r="60" spans="1:26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76"/>
      <c r="Z60" s="76"/>
    </row>
    <row r="61" spans="1:26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76"/>
      <c r="Z61" s="76"/>
    </row>
    <row r="62" spans="1:26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76"/>
      <c r="Z62" s="76"/>
    </row>
    <row r="63" spans="1:26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76"/>
      <c r="Z63" s="76"/>
    </row>
    <row r="64" spans="1:26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76"/>
      <c r="Z64" s="76"/>
    </row>
    <row r="65" spans="1:26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76"/>
      <c r="Z65" s="76"/>
    </row>
    <row r="66" spans="1:26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76"/>
      <c r="Z66" s="76"/>
    </row>
    <row r="67" spans="1:26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76"/>
      <c r="Z67" s="76"/>
    </row>
    <row r="68" spans="1:26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76"/>
      <c r="Z68" s="76"/>
    </row>
    <row r="69" spans="1:26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76"/>
      <c r="Z69" s="76"/>
    </row>
    <row r="70" spans="1:26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76"/>
      <c r="Z70" s="76"/>
    </row>
    <row r="71" spans="1:26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76"/>
      <c r="Z71" s="76"/>
    </row>
    <row r="72" spans="1:26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76"/>
      <c r="Z72" s="76"/>
    </row>
    <row r="73" spans="1:26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76"/>
      <c r="Z73" s="76"/>
    </row>
    <row r="74" spans="1:26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76"/>
      <c r="Z74" s="76"/>
    </row>
    <row r="75" spans="1:26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76"/>
      <c r="Z75" s="76"/>
    </row>
    <row r="76" spans="1:26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76"/>
      <c r="Z76" s="76"/>
    </row>
    <row r="77" spans="1:26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76"/>
      <c r="Z77" s="76"/>
    </row>
    <row r="78" spans="1:26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76"/>
      <c r="Z78" s="76"/>
    </row>
    <row r="79" spans="1:26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76"/>
      <c r="Z79" s="76"/>
    </row>
    <row r="80" spans="1:26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76"/>
      <c r="Z80" s="76"/>
    </row>
    <row r="81" spans="1:26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76"/>
      <c r="Z81" s="76"/>
    </row>
    <row r="82" spans="1:26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76"/>
      <c r="Z82" s="76"/>
    </row>
    <row r="83" spans="1:26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76"/>
      <c r="Z83" s="76"/>
    </row>
    <row r="84" spans="1:26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76"/>
      <c r="Z84" s="76"/>
    </row>
    <row r="85" spans="1:26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76"/>
      <c r="Z85" s="76"/>
    </row>
    <row r="86" spans="1:26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76"/>
      <c r="Z86" s="76"/>
    </row>
    <row r="87" spans="1:26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76"/>
      <c r="Z87" s="76"/>
    </row>
    <row r="88" spans="1:26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76"/>
      <c r="Z88" s="76"/>
    </row>
    <row r="89" spans="1:26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76"/>
      <c r="Z89" s="76"/>
    </row>
    <row r="90" spans="1:26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76"/>
      <c r="Z90" s="76"/>
    </row>
    <row r="91" spans="1:26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76"/>
      <c r="Z91" s="76"/>
    </row>
    <row r="92" spans="1:26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76"/>
      <c r="Z92" s="76"/>
    </row>
    <row r="93" spans="1:26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76"/>
      <c r="Z93" s="76"/>
    </row>
    <row r="94" spans="1:26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76"/>
      <c r="Z94" s="76"/>
    </row>
    <row r="95" spans="1:26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76"/>
      <c r="Z95" s="76"/>
    </row>
    <row r="96" spans="1:26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76"/>
      <c r="Z96" s="76"/>
    </row>
    <row r="97" spans="1:26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76"/>
      <c r="Z97" s="76"/>
    </row>
    <row r="98" spans="1:26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76"/>
      <c r="Z98" s="76"/>
    </row>
    <row r="99" spans="1:26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76"/>
      <c r="Z99" s="76"/>
    </row>
    <row r="100" spans="1:26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76"/>
      <c r="Z100" s="76"/>
    </row>
    <row r="101" spans="1:26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76"/>
      <c r="Z101" s="76"/>
    </row>
    <row r="102" spans="1:26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76"/>
      <c r="Z102" s="76"/>
    </row>
    <row r="103" spans="1:26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76"/>
      <c r="Z103" s="76"/>
    </row>
    <row r="104" spans="1:26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76"/>
      <c r="Z104" s="76"/>
    </row>
    <row r="105" spans="1:26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76"/>
      <c r="Z105" s="76"/>
    </row>
    <row r="106" spans="1:26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76"/>
      <c r="Z106" s="76"/>
    </row>
    <row r="107" spans="1:26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76"/>
      <c r="Z107" s="76"/>
    </row>
    <row r="108" spans="1:26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76"/>
      <c r="Z108" s="76"/>
    </row>
    <row r="109" spans="1:26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76"/>
      <c r="Z109" s="76"/>
    </row>
    <row r="110" spans="1:26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76"/>
      <c r="Z110" s="76"/>
    </row>
    <row r="111" spans="1:26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76"/>
      <c r="Z111" s="76"/>
    </row>
    <row r="112" spans="1:26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76"/>
      <c r="Z112" s="76"/>
    </row>
    <row r="113" spans="1:26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76"/>
      <c r="Z113" s="76"/>
    </row>
    <row r="114" spans="1:26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76"/>
      <c r="Z114" s="76"/>
    </row>
    <row r="115" spans="1:26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76"/>
      <c r="Z115" s="76"/>
    </row>
    <row r="116" spans="1:26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76"/>
      <c r="Z116" s="76"/>
    </row>
    <row r="117" spans="1:26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76"/>
      <c r="Z117" s="76"/>
    </row>
    <row r="118" spans="1:26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76"/>
      <c r="Z118" s="76"/>
    </row>
    <row r="119" spans="1:26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76"/>
      <c r="Z119" s="76"/>
    </row>
    <row r="120" spans="1:26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76"/>
      <c r="Z120" s="76"/>
    </row>
    <row r="121" spans="1:26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76"/>
      <c r="Z121" s="76"/>
    </row>
    <row r="122" spans="1:26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76"/>
      <c r="Z122" s="76"/>
    </row>
    <row r="123" spans="1:26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76"/>
      <c r="Z123" s="76"/>
    </row>
    <row r="124" spans="1:26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76"/>
      <c r="Z124" s="76"/>
    </row>
    <row r="125" spans="1:26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76"/>
      <c r="Z125" s="76"/>
    </row>
    <row r="126" spans="1:26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76"/>
      <c r="Z126" s="76"/>
    </row>
    <row r="127" spans="1:26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76"/>
      <c r="Z127" s="76"/>
    </row>
    <row r="128" spans="1:26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76"/>
      <c r="Z128" s="76"/>
    </row>
    <row r="129" spans="1:26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76"/>
      <c r="Z129" s="76"/>
    </row>
    <row r="130" spans="1:26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76"/>
      <c r="Z130" s="76"/>
    </row>
    <row r="131" spans="1:26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76"/>
      <c r="Z131" s="76"/>
    </row>
    <row r="132" spans="1:26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76"/>
      <c r="Z132" s="76"/>
    </row>
    <row r="133" spans="1:26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76"/>
      <c r="Z133" s="76"/>
    </row>
    <row r="134" spans="1:26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76"/>
      <c r="Z134" s="76"/>
    </row>
    <row r="135" spans="1:26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76"/>
      <c r="Z135" s="76"/>
    </row>
    <row r="136" spans="1:26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76"/>
      <c r="Z136" s="76"/>
    </row>
    <row r="137" spans="1:26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76"/>
      <c r="Z137" s="76"/>
    </row>
    <row r="138" spans="1:26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76"/>
      <c r="Z138" s="76"/>
    </row>
    <row r="139" spans="1:26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76"/>
      <c r="Z139" s="76"/>
    </row>
    <row r="140" spans="1:26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76"/>
      <c r="Z140" s="76"/>
    </row>
    <row r="141" spans="1:26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76"/>
      <c r="Z141" s="76"/>
    </row>
    <row r="142" spans="1:26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76"/>
      <c r="Z142" s="76"/>
    </row>
    <row r="143" spans="1:26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76"/>
      <c r="Z143" s="76"/>
    </row>
    <row r="144" spans="1:26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76"/>
      <c r="Z144" s="76"/>
    </row>
    <row r="145" spans="1:26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76"/>
      <c r="Z145" s="76"/>
    </row>
    <row r="146" spans="1:26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76"/>
      <c r="Z146" s="76"/>
    </row>
    <row r="147" spans="1:26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76"/>
      <c r="Z147" s="76"/>
    </row>
    <row r="148" spans="1:26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76"/>
      <c r="Z148" s="76"/>
    </row>
    <row r="149" spans="1:26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76"/>
      <c r="Z149" s="76"/>
    </row>
    <row r="150" spans="1:26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76"/>
      <c r="Z150" s="76"/>
    </row>
    <row r="151" spans="1:26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76"/>
      <c r="Z151" s="76"/>
    </row>
    <row r="152" spans="1:26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76"/>
      <c r="Z152" s="76"/>
    </row>
    <row r="153" spans="1:26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76"/>
      <c r="Z153" s="76"/>
    </row>
    <row r="154" spans="1:26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76"/>
      <c r="Z154" s="76"/>
    </row>
    <row r="155" spans="1:26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76"/>
      <c r="Z155" s="76"/>
    </row>
    <row r="156" spans="1:26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76"/>
      <c r="Z156" s="76"/>
    </row>
    <row r="157" spans="1:26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76"/>
      <c r="Z157" s="76"/>
    </row>
    <row r="158" spans="1:26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76"/>
      <c r="Z158" s="76"/>
    </row>
    <row r="159" spans="1:26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76"/>
      <c r="Z159" s="76"/>
    </row>
    <row r="160" spans="1:26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76"/>
      <c r="Z160" s="76"/>
    </row>
    <row r="161" spans="1:26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76"/>
      <c r="Z161" s="76"/>
    </row>
    <row r="162" spans="1:26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76"/>
      <c r="Z162" s="76"/>
    </row>
    <row r="163" spans="1:26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76"/>
      <c r="Z163" s="76"/>
    </row>
    <row r="164" spans="1:26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76"/>
      <c r="Z164" s="76"/>
    </row>
    <row r="165" spans="1:26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76"/>
      <c r="Z165" s="76"/>
    </row>
    <row r="166" spans="1:26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76"/>
      <c r="Z166" s="76"/>
    </row>
    <row r="167" spans="1:26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76"/>
      <c r="Z167" s="76"/>
    </row>
    <row r="168" spans="1:26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76"/>
      <c r="Z168" s="76"/>
    </row>
    <row r="169" spans="1:26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76"/>
      <c r="Z169" s="76"/>
    </row>
    <row r="170" spans="1:26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76"/>
      <c r="Z170" s="76"/>
    </row>
    <row r="171" spans="1:26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76"/>
      <c r="Z171" s="76"/>
    </row>
    <row r="172" spans="1:26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76"/>
      <c r="Z172" s="76"/>
    </row>
    <row r="173" spans="1:26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76"/>
      <c r="Z173" s="76"/>
    </row>
    <row r="174" spans="1:26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76"/>
      <c r="Z174" s="76"/>
    </row>
    <row r="175" spans="1:26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76"/>
      <c r="Z175" s="76"/>
    </row>
    <row r="176" spans="1:26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76"/>
      <c r="Z176" s="76"/>
    </row>
    <row r="177" spans="1:26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76"/>
      <c r="Z177" s="76"/>
    </row>
    <row r="178" spans="1:26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76"/>
      <c r="Z178" s="76"/>
    </row>
    <row r="179" spans="1:26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76"/>
      <c r="Z179" s="76"/>
    </row>
    <row r="180" spans="1:26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76"/>
      <c r="Z180" s="76"/>
    </row>
    <row r="181" spans="1:26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76"/>
      <c r="Z181" s="76"/>
    </row>
    <row r="182" spans="1:26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76"/>
      <c r="Z182" s="76"/>
    </row>
    <row r="183" spans="1:26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76"/>
      <c r="Z183" s="76"/>
    </row>
    <row r="184" spans="1:26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76"/>
      <c r="Z184" s="76"/>
    </row>
    <row r="185" spans="1:26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76"/>
      <c r="Z185" s="76"/>
    </row>
    <row r="186" spans="1:26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76"/>
      <c r="Z186" s="76"/>
    </row>
    <row r="187" spans="1:26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76"/>
      <c r="Z187" s="76"/>
    </row>
    <row r="188" spans="1:26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76"/>
      <c r="Z188" s="76"/>
    </row>
    <row r="189" spans="1:26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76"/>
      <c r="Z189" s="76"/>
    </row>
    <row r="190" spans="1:26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76"/>
      <c r="Z190" s="76"/>
    </row>
    <row r="191" spans="1:26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76"/>
      <c r="Z191" s="76"/>
    </row>
    <row r="192" spans="1:26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76"/>
      <c r="Z192" s="76"/>
    </row>
    <row r="193" spans="1:26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76"/>
      <c r="Z193" s="76"/>
    </row>
    <row r="194" spans="1:26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76"/>
      <c r="Z194" s="76"/>
    </row>
    <row r="195" spans="1:26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76"/>
      <c r="Z195" s="76"/>
    </row>
    <row r="196" spans="1:26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76"/>
      <c r="Z196" s="76"/>
    </row>
    <row r="197" spans="1:26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76"/>
      <c r="Z197" s="76"/>
    </row>
    <row r="198" spans="1:26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76"/>
      <c r="Z198" s="76"/>
    </row>
    <row r="199" spans="1:26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76"/>
      <c r="Z199" s="76"/>
    </row>
    <row r="200" spans="1:26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76"/>
      <c r="Z200" s="76"/>
    </row>
    <row r="201" spans="1:26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76"/>
      <c r="Z201" s="76"/>
    </row>
    <row r="202" spans="1:26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76"/>
      <c r="Z202" s="76"/>
    </row>
    <row r="203" spans="1:26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76"/>
      <c r="Z203" s="76"/>
    </row>
    <row r="204" spans="1:26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76"/>
      <c r="Z204" s="76"/>
    </row>
    <row r="205" spans="1:26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76"/>
      <c r="Z205" s="76"/>
    </row>
    <row r="206" spans="1:26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76"/>
      <c r="Z206" s="76"/>
    </row>
    <row r="207" spans="1:26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76"/>
      <c r="Z207" s="76"/>
    </row>
    <row r="208" spans="1:26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76"/>
      <c r="Z208" s="76"/>
    </row>
    <row r="209" spans="1:26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76"/>
      <c r="Z209" s="76"/>
    </row>
    <row r="210" spans="1:26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76"/>
      <c r="Z210" s="76"/>
    </row>
    <row r="211" spans="1:26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76"/>
      <c r="Z211" s="76"/>
    </row>
    <row r="212" spans="1:26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76"/>
      <c r="Z212" s="76"/>
    </row>
    <row r="213" spans="1:26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76"/>
      <c r="Z213" s="76"/>
    </row>
    <row r="214" spans="1:26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76"/>
      <c r="Z214" s="76"/>
    </row>
    <row r="215" spans="1:26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76"/>
      <c r="Z215" s="76"/>
    </row>
    <row r="216" spans="1:26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76"/>
      <c r="Z216" s="76"/>
    </row>
    <row r="217" spans="1:26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76"/>
      <c r="Z217" s="76"/>
    </row>
    <row r="218" spans="1:26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76"/>
      <c r="Z218" s="76"/>
    </row>
    <row r="219" spans="1:26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76"/>
      <c r="Z219" s="76"/>
    </row>
    <row r="220" spans="1:26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76"/>
      <c r="Z220" s="76"/>
    </row>
    <row r="221" spans="1:26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76"/>
      <c r="Z221" s="76"/>
    </row>
    <row r="222" spans="1:26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76"/>
      <c r="Z222" s="76"/>
    </row>
    <row r="223" spans="1:26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76"/>
      <c r="Z223" s="76"/>
    </row>
    <row r="224" spans="1:26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76"/>
      <c r="Z224" s="76"/>
    </row>
    <row r="225" spans="1:26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76"/>
      <c r="Z225" s="76"/>
    </row>
    <row r="226" spans="1:26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76"/>
      <c r="Z226" s="76"/>
    </row>
    <row r="227" spans="1:26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76"/>
      <c r="Z227" s="76"/>
    </row>
    <row r="228" spans="1:26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76"/>
      <c r="Z228" s="76"/>
    </row>
    <row r="229" spans="1:26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76"/>
      <c r="Z229" s="76"/>
    </row>
    <row r="230" spans="1:26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76"/>
      <c r="Z230" s="76"/>
    </row>
    <row r="231" spans="1:26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76"/>
      <c r="Z231" s="76"/>
    </row>
    <row r="232" spans="1:26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76"/>
      <c r="Z232" s="76"/>
    </row>
    <row r="233" spans="1:26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76"/>
      <c r="Z233" s="76"/>
    </row>
    <row r="234" spans="1:26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76"/>
      <c r="Z234" s="76"/>
    </row>
    <row r="235" spans="1:26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76"/>
      <c r="Z235" s="76"/>
    </row>
    <row r="236" spans="1:26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76"/>
      <c r="Z236" s="76"/>
    </row>
    <row r="237" spans="1:26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76"/>
      <c r="Z237" s="76"/>
    </row>
    <row r="238" spans="1:26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76"/>
      <c r="Z238" s="76"/>
    </row>
    <row r="239" spans="1:26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76"/>
      <c r="Z239" s="76"/>
    </row>
    <row r="240" spans="1:26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76"/>
      <c r="Z240" s="76"/>
    </row>
    <row r="241" spans="1:26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76"/>
      <c r="Z241" s="76"/>
    </row>
    <row r="242" spans="1:26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76"/>
      <c r="Z242" s="76"/>
    </row>
    <row r="243" spans="1:26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76"/>
      <c r="Z243" s="76"/>
    </row>
    <row r="244" spans="1:26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76"/>
      <c r="Z244" s="76"/>
    </row>
    <row r="245" spans="1:26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76"/>
      <c r="Z245" s="76"/>
    </row>
    <row r="246" spans="1:26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76"/>
      <c r="Z246" s="76"/>
    </row>
    <row r="247" spans="1:26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76"/>
      <c r="Z247" s="76"/>
    </row>
    <row r="248" spans="1:26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76"/>
      <c r="Z248" s="76"/>
    </row>
    <row r="249" spans="1:26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76"/>
      <c r="Z249" s="76"/>
    </row>
    <row r="250" spans="1:26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76"/>
      <c r="Z250" s="76"/>
    </row>
    <row r="251" spans="1:26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76"/>
      <c r="Z251" s="76"/>
    </row>
    <row r="252" spans="1:26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76"/>
      <c r="Z252" s="76"/>
    </row>
    <row r="253" spans="1:26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76"/>
      <c r="Z253" s="76"/>
    </row>
    <row r="254" spans="1:26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76"/>
      <c r="Z254" s="76"/>
    </row>
    <row r="255" spans="1:26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76"/>
      <c r="Z255" s="76"/>
    </row>
    <row r="256" spans="1:26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76"/>
      <c r="Z256" s="76"/>
    </row>
    <row r="257" spans="1:26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76"/>
      <c r="Z257" s="76"/>
    </row>
    <row r="258" spans="1:26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76"/>
      <c r="Z258" s="76"/>
    </row>
    <row r="259" spans="1:26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76"/>
      <c r="Z259" s="76"/>
    </row>
    <row r="260" spans="1:26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76"/>
      <c r="Z260" s="76"/>
    </row>
    <row r="261" spans="1:26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76"/>
      <c r="Z261" s="76"/>
    </row>
    <row r="262" spans="1:26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76"/>
      <c r="Z262" s="76"/>
    </row>
    <row r="263" spans="1:26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76"/>
      <c r="Z263" s="76"/>
    </row>
    <row r="264" spans="1:26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76"/>
      <c r="Z264" s="76"/>
    </row>
    <row r="265" spans="1:26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76"/>
      <c r="Z265" s="76"/>
    </row>
    <row r="266" spans="1:26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76"/>
      <c r="Z266" s="76"/>
    </row>
    <row r="267" spans="1:26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76"/>
      <c r="Z267" s="76"/>
    </row>
    <row r="268" spans="1:26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76"/>
      <c r="Z268" s="76"/>
    </row>
    <row r="269" spans="1:26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76"/>
      <c r="Z269" s="76"/>
    </row>
    <row r="270" spans="1:26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76"/>
      <c r="Z270" s="76"/>
    </row>
    <row r="271" spans="1:26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76"/>
      <c r="Z271" s="76"/>
    </row>
    <row r="272" spans="1:26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76"/>
      <c r="Z272" s="76"/>
    </row>
    <row r="273" spans="1:26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76"/>
      <c r="Z273" s="76"/>
    </row>
    <row r="274" spans="1:26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76"/>
      <c r="Z274" s="76"/>
    </row>
    <row r="275" spans="1:26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76"/>
      <c r="Z275" s="76"/>
    </row>
    <row r="276" spans="1:26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76"/>
      <c r="Z276" s="76"/>
    </row>
    <row r="277" spans="1:26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76"/>
      <c r="Z277" s="76"/>
    </row>
    <row r="278" spans="1:26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76"/>
      <c r="Z278" s="76"/>
    </row>
    <row r="279" spans="1:26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76"/>
      <c r="Z279" s="76"/>
    </row>
    <row r="280" spans="1:26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76"/>
      <c r="Z280" s="76"/>
    </row>
    <row r="281" spans="1:26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76"/>
      <c r="Z281" s="76"/>
    </row>
    <row r="282" spans="1:26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76"/>
      <c r="Z282" s="76"/>
    </row>
    <row r="283" spans="1:26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76"/>
      <c r="Z283" s="76"/>
    </row>
    <row r="284" spans="1:26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76"/>
      <c r="Z284" s="76"/>
    </row>
    <row r="285" spans="1:26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76"/>
      <c r="Z285" s="76"/>
    </row>
    <row r="286" spans="1:26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76"/>
      <c r="Z286" s="76"/>
    </row>
    <row r="287" spans="1:26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76"/>
      <c r="Z287" s="76"/>
    </row>
    <row r="288" spans="1:26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76"/>
      <c r="Z288" s="76"/>
    </row>
    <row r="289" spans="1:26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76"/>
      <c r="Z289" s="76"/>
    </row>
    <row r="290" spans="1:26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76"/>
      <c r="Z290" s="76"/>
    </row>
    <row r="291" spans="1:26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76"/>
      <c r="Z291" s="76"/>
    </row>
    <row r="292" spans="1:26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76"/>
      <c r="Z292" s="76"/>
    </row>
    <row r="293" spans="1:26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76"/>
      <c r="Z293" s="76"/>
    </row>
    <row r="294" spans="1:26" x14ac:dyDescent="0.3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</row>
    <row r="295" spans="1:26" x14ac:dyDescent="0.3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</row>
    <row r="296" spans="1:26" x14ac:dyDescent="0.3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</row>
    <row r="297" spans="1:26" x14ac:dyDescent="0.3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</row>
    <row r="298" spans="1:26" x14ac:dyDescent="0.3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</row>
    <row r="299" spans="1:26" x14ac:dyDescent="0.3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</row>
  </sheetData>
  <sheetProtection password="CA97" sheet="1" objects="1" scenarios="1"/>
  <mergeCells count="16">
    <mergeCell ref="F22:K22"/>
    <mergeCell ref="F23:K23"/>
    <mergeCell ref="F24:K24"/>
    <mergeCell ref="C4:H4"/>
    <mergeCell ref="A1:P1"/>
    <mergeCell ref="F3:K3"/>
    <mergeCell ref="F12:K12"/>
    <mergeCell ref="F13:K13"/>
    <mergeCell ref="F14:K14"/>
    <mergeCell ref="F15:K15"/>
    <mergeCell ref="F21:K21"/>
    <mergeCell ref="F5:K5"/>
    <mergeCell ref="F7:K7"/>
    <mergeCell ref="F8:K8"/>
    <mergeCell ref="F10:K10"/>
    <mergeCell ref="F11:K11"/>
  </mergeCells>
  <hyperlinks>
    <hyperlink ref="F12" location="Courses!B145" tooltip="Click to view the General Education courses for Social Interaction." display="Social &amp; Behavioral Sci."/>
    <hyperlink ref="F7" location="Courses!B5" tooltip="Click to view the General Education courses for Writing." display="Comm - Written"/>
    <hyperlink ref="F8" location="Courses!B11" tooltip="Click to view the General Education courses for Oral Communcation." display="Comm - Oral"/>
    <hyperlink ref="F10" location="Courses!B18" tooltip="Click to view the General Education courses for Mathematics." display="Quantitative Reasoning"/>
    <hyperlink ref="F11" location="Courses!B58" tooltip="Click to view the General Education courses for Science." display="Natural Sciences"/>
    <hyperlink ref="F13" location="Courses!B206" tooltip="Click to view the General Education courses for Heritage." display="Arts &amp; Hum. - Heritage"/>
    <hyperlink ref="F14" location="Courses!B234" tooltip="Click to view the General Education courses for Humanities." display="Arts &amp; Hum. - Humanities"/>
    <hyperlink ref="F7:K7" location="AALink" tooltip="Click to go to the Associate In Arts audit." display="Associate In Arts Audit"/>
    <hyperlink ref="F8:K8" location="ASLink" tooltip="Click to go to the Associate in Science audit." display="Associate In Science Audit"/>
    <hyperlink ref="F10:K10" location="ExampleLink" tooltip="Click to view an example audit with tips and explanations." display="View An Example Audit"/>
    <hyperlink ref="F11:K11" location="GPACalc" tooltip="Click to use a GPA calculator." display="Use The GPA Calculator"/>
    <hyperlink ref="F12:K12" location="CourseList" tooltip="Click to view a list of of courses and the categories they are grouped under." display="View Course Listing"/>
    <hyperlink ref="F13:K13" location="FocusAreas" tooltip="Click to view the AA &amp; AS focus areas." display="View Focus Areas"/>
    <hyperlink ref="F14:K14" location="HelpSec" tooltip="Click to view the Help section." display="View The Help Section"/>
    <hyperlink ref="F24" r:id="rId1"/>
  </hyperlinks>
  <pageMargins left="0.7" right="0.7" top="0.75" bottom="0.75" header="0.3" footer="0.3"/>
  <pageSetup orientation="portrait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theme="1"/>
  </sheetPr>
  <dimension ref="A1:Z300"/>
  <sheetViews>
    <sheetView workbookViewId="0">
      <selection activeCell="E29" sqref="E29"/>
    </sheetView>
  </sheetViews>
  <sheetFormatPr defaultRowHeight="14.4" x14ac:dyDescent="0.3"/>
  <cols>
    <col min="2" max="3" width="8.6640625" customWidth="1"/>
    <col min="4" max="4" width="14.6640625" customWidth="1"/>
    <col min="5" max="5" width="16.6640625" customWidth="1"/>
    <col min="6" max="7" width="6.6640625" customWidth="1"/>
    <col min="8" max="8" width="3.6640625" customWidth="1"/>
    <col min="9" max="9" width="16.6640625" customWidth="1"/>
    <col min="10" max="11" width="6.6640625" customWidth="1"/>
    <col min="12" max="12" width="9.109375" style="40" customWidth="1"/>
    <col min="13" max="14" width="20.6640625" customWidth="1"/>
    <col min="15" max="15" width="14.6640625" customWidth="1"/>
  </cols>
  <sheetData>
    <row r="1" spans="1:26" s="81" customFormat="1" ht="19.5" x14ac:dyDescent="0.3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80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19.5" thickBot="1" x14ac:dyDescent="0.35">
      <c r="A2" s="42"/>
      <c r="B2" s="209" t="s">
        <v>938</v>
      </c>
      <c r="C2" s="209"/>
      <c r="D2" s="209"/>
      <c r="E2" s="209"/>
      <c r="F2" s="209"/>
      <c r="G2" s="209"/>
      <c r="H2" s="209"/>
      <c r="I2" s="209"/>
      <c r="J2" s="209"/>
      <c r="K2" s="209"/>
      <c r="L2" s="42"/>
      <c r="M2" s="207" t="s">
        <v>738</v>
      </c>
      <c r="N2" s="207"/>
      <c r="O2" s="153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s="34" customFormat="1" ht="20.100000000000001" customHeight="1" thickTop="1" thickBot="1" x14ac:dyDescent="0.3">
      <c r="A3" s="48"/>
      <c r="B3" s="210" t="s">
        <v>1122</v>
      </c>
      <c r="C3" s="210"/>
      <c r="D3" s="210"/>
      <c r="E3" s="210"/>
      <c r="F3" s="210"/>
      <c r="G3" s="210"/>
      <c r="H3" s="210"/>
      <c r="I3" s="210"/>
      <c r="J3" s="210"/>
      <c r="K3" s="210"/>
      <c r="L3" s="48"/>
      <c r="M3" s="153"/>
      <c r="N3" s="154" t="s">
        <v>24</v>
      </c>
      <c r="O3" s="154" t="s">
        <v>862</v>
      </c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ht="16.5" thickTop="1" thickBot="1" x14ac:dyDescent="0.3">
      <c r="A4" s="42"/>
      <c r="B4" s="73" t="s">
        <v>0</v>
      </c>
      <c r="C4" s="211"/>
      <c r="D4" s="211"/>
      <c r="E4" s="211"/>
      <c r="F4" s="38"/>
      <c r="G4" s="38" t="s">
        <v>1</v>
      </c>
      <c r="H4" s="22"/>
      <c r="I4" s="190"/>
      <c r="J4" s="191"/>
      <c r="K4" s="38"/>
      <c r="L4" s="42"/>
      <c r="M4" s="153"/>
      <c r="N4" s="154" t="s">
        <v>996</v>
      </c>
      <c r="O4" s="154" t="s">
        <v>863</v>
      </c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16.5" thickTop="1" thickBot="1" x14ac:dyDescent="0.3">
      <c r="A5" s="42"/>
      <c r="B5" s="38" t="s">
        <v>2</v>
      </c>
      <c r="C5" s="213"/>
      <c r="D5" s="214"/>
      <c r="E5" s="158"/>
      <c r="F5" s="38"/>
      <c r="G5" s="103" t="s">
        <v>3</v>
      </c>
      <c r="H5" s="22"/>
      <c r="I5" s="192"/>
      <c r="J5" s="193"/>
      <c r="K5" s="38"/>
      <c r="L5" s="42"/>
      <c r="M5" s="154" t="s">
        <v>749</v>
      </c>
      <c r="N5" s="154" t="s">
        <v>29</v>
      </c>
      <c r="O5" s="154" t="s">
        <v>1153</v>
      </c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6.5" thickTop="1" thickBot="1" x14ac:dyDescent="0.3">
      <c r="A6" s="42"/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42"/>
      <c r="M6" s="153"/>
      <c r="N6" s="153"/>
      <c r="O6" s="153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6.5" thickTop="1" thickBot="1" x14ac:dyDescent="0.3">
      <c r="A7" s="42"/>
      <c r="B7" s="212" t="s">
        <v>1001</v>
      </c>
      <c r="C7" s="212"/>
      <c r="D7" s="212"/>
      <c r="E7" s="212"/>
      <c r="F7" s="212"/>
      <c r="G7" s="212"/>
      <c r="H7" s="212"/>
      <c r="I7" s="43" t="s">
        <v>4</v>
      </c>
      <c r="J7" s="2">
        <f>SUM(J9:J17,F13,F9)</f>
        <v>0</v>
      </c>
      <c r="K7" s="43" t="s">
        <v>5</v>
      </c>
      <c r="L7" s="42"/>
      <c r="M7" s="154" t="s">
        <v>746</v>
      </c>
      <c r="N7" s="153"/>
      <c r="O7" s="153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16.5" thickTop="1" thickBot="1" x14ac:dyDescent="0.3">
      <c r="A8" s="42"/>
      <c r="B8" s="106"/>
      <c r="C8" s="38"/>
      <c r="D8" s="38"/>
      <c r="E8" s="33" t="s">
        <v>6</v>
      </c>
      <c r="F8" s="33" t="s">
        <v>7</v>
      </c>
      <c r="G8" s="33" t="s">
        <v>8</v>
      </c>
      <c r="H8" s="38"/>
      <c r="I8" s="33" t="s">
        <v>6</v>
      </c>
      <c r="J8" s="33" t="s">
        <v>7</v>
      </c>
      <c r="K8" s="33" t="s">
        <v>8</v>
      </c>
      <c r="L8" s="42"/>
      <c r="M8" s="153"/>
      <c r="N8" s="153"/>
      <c r="O8" s="153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5.6" thickTop="1" thickBot="1" x14ac:dyDescent="0.35">
      <c r="A9" s="42"/>
      <c r="B9" s="194" t="s">
        <v>1009</v>
      </c>
      <c r="C9" s="194"/>
      <c r="D9" s="194"/>
      <c r="E9" s="56"/>
      <c r="F9" s="108"/>
      <c r="G9" s="135"/>
      <c r="H9" s="99"/>
      <c r="I9" s="56"/>
      <c r="J9" s="108"/>
      <c r="K9" s="108"/>
      <c r="L9" s="42"/>
      <c r="M9" s="208"/>
      <c r="N9" s="153"/>
      <c r="O9" s="153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5.6" thickTop="1" thickBot="1" x14ac:dyDescent="0.35">
      <c r="A10" s="101"/>
      <c r="B10" s="194" t="s">
        <v>1010</v>
      </c>
      <c r="C10" s="194"/>
      <c r="D10" s="194"/>
      <c r="E10" s="22"/>
      <c r="F10" s="22"/>
      <c r="G10" s="22"/>
      <c r="H10" s="99"/>
      <c r="I10" s="56"/>
      <c r="J10" s="170"/>
      <c r="K10" s="170"/>
      <c r="L10" s="101"/>
      <c r="M10" s="208"/>
      <c r="N10" s="153"/>
      <c r="O10" s="153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spans="1:26" ht="15.6" thickTop="1" thickBot="1" x14ac:dyDescent="0.35">
      <c r="A11" s="42"/>
      <c r="B11" s="194" t="s">
        <v>1011</v>
      </c>
      <c r="C11" s="194"/>
      <c r="D11" s="194"/>
      <c r="E11" s="22"/>
      <c r="F11" s="22"/>
      <c r="G11" s="22"/>
      <c r="H11" s="99"/>
      <c r="I11" s="56"/>
      <c r="J11" s="170"/>
      <c r="K11" s="170"/>
      <c r="L11" s="42"/>
      <c r="M11" s="208"/>
      <c r="N11" s="153"/>
      <c r="O11" s="153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6.5" thickTop="1" thickBot="1" x14ac:dyDescent="0.3">
      <c r="A12" s="42"/>
      <c r="B12" s="194" t="s">
        <v>1012</v>
      </c>
      <c r="C12" s="194"/>
      <c r="D12" s="194"/>
      <c r="E12" s="22"/>
      <c r="F12" s="22"/>
      <c r="G12" s="22"/>
      <c r="H12" s="99"/>
      <c r="I12" s="56"/>
      <c r="J12" s="170"/>
      <c r="K12" s="170"/>
      <c r="L12" s="42"/>
      <c r="M12" s="153"/>
      <c r="N12" s="153"/>
      <c r="O12" s="153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6.5" thickTop="1" thickBot="1" x14ac:dyDescent="0.3">
      <c r="A13" s="42"/>
      <c r="B13" s="194" t="s">
        <v>1003</v>
      </c>
      <c r="C13" s="194"/>
      <c r="D13" s="194"/>
      <c r="E13" s="171"/>
      <c r="F13" s="170"/>
      <c r="G13" s="170"/>
      <c r="H13" s="99"/>
      <c r="I13" s="56"/>
      <c r="J13" s="108"/>
      <c r="K13" s="108"/>
      <c r="L13" s="42"/>
      <c r="M13" s="153"/>
      <c r="N13" s="153"/>
      <c r="O13" s="153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6.5" thickTop="1" thickBot="1" x14ac:dyDescent="0.3">
      <c r="A14" s="101"/>
      <c r="B14" s="100"/>
      <c r="C14" s="100"/>
      <c r="D14" s="100"/>
      <c r="E14" s="22"/>
      <c r="F14" s="22"/>
      <c r="G14" s="22"/>
      <c r="H14" s="99"/>
      <c r="I14" s="56"/>
      <c r="J14" s="108"/>
      <c r="K14" s="108"/>
      <c r="L14" s="101"/>
      <c r="M14" s="153"/>
      <c r="N14" s="153"/>
      <c r="O14" s="153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26" ht="16.5" thickTop="1" thickBot="1" x14ac:dyDescent="0.3">
      <c r="A15" s="42"/>
      <c r="B15" s="194" t="s">
        <v>1004</v>
      </c>
      <c r="C15" s="194"/>
      <c r="D15" s="194"/>
      <c r="E15" s="22"/>
      <c r="F15" s="22"/>
      <c r="G15" s="22"/>
      <c r="H15" s="99"/>
      <c r="I15" s="56"/>
      <c r="J15" s="108"/>
      <c r="K15" s="108"/>
      <c r="L15" s="42"/>
      <c r="M15" s="153"/>
      <c r="N15" s="153"/>
      <c r="O15" s="153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6.5" thickTop="1" thickBot="1" x14ac:dyDescent="0.3">
      <c r="A16" s="42"/>
      <c r="B16" s="194" t="s">
        <v>1005</v>
      </c>
      <c r="C16" s="194"/>
      <c r="D16" s="194"/>
      <c r="E16" s="22"/>
      <c r="F16" s="22"/>
      <c r="G16" s="22"/>
      <c r="H16" s="99"/>
      <c r="I16" s="56"/>
      <c r="J16" s="108"/>
      <c r="K16" s="108"/>
      <c r="L16" s="42"/>
      <c r="M16" s="153"/>
      <c r="N16" s="153"/>
      <c r="O16" s="153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6.5" thickTop="1" thickBot="1" x14ac:dyDescent="0.3">
      <c r="A17" s="42"/>
      <c r="B17" s="57" t="s">
        <v>1008</v>
      </c>
      <c r="C17" s="99"/>
      <c r="D17" s="99"/>
      <c r="E17" s="99"/>
      <c r="F17" s="99"/>
      <c r="G17" s="99"/>
      <c r="H17" s="99"/>
      <c r="I17" s="56"/>
      <c r="J17" s="108"/>
      <c r="K17" s="108"/>
      <c r="L17" s="42"/>
      <c r="M17" s="153"/>
      <c r="N17" s="153"/>
      <c r="O17" s="153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6.5" thickTop="1" thickBot="1" x14ac:dyDescent="0.3">
      <c r="A18" s="101"/>
      <c r="B18" s="57"/>
      <c r="C18" s="99"/>
      <c r="D18" s="99"/>
      <c r="E18" s="99"/>
      <c r="F18" s="99"/>
      <c r="G18" s="99"/>
      <c r="H18" s="99"/>
      <c r="I18" s="22"/>
      <c r="J18" s="22"/>
      <c r="K18" s="22"/>
      <c r="L18" s="101"/>
      <c r="M18" s="153"/>
      <c r="N18" s="153"/>
      <c r="O18" s="153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spans="1:26" ht="16.5" thickTop="1" thickBot="1" x14ac:dyDescent="0.3">
      <c r="A19" s="42"/>
      <c r="B19" s="195" t="s">
        <v>1002</v>
      </c>
      <c r="C19" s="195"/>
      <c r="D19" s="195"/>
      <c r="E19" s="195"/>
      <c r="F19" s="195"/>
      <c r="G19" s="195"/>
      <c r="H19" s="195"/>
      <c r="I19" s="36" t="s">
        <v>4</v>
      </c>
      <c r="J19" s="2">
        <f>SUM(J21:J24)</f>
        <v>0</v>
      </c>
      <c r="K19" s="36" t="s">
        <v>11</v>
      </c>
      <c r="L19" s="42"/>
      <c r="M19" s="154" t="s">
        <v>747</v>
      </c>
      <c r="N19" s="153"/>
      <c r="O19" s="153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6.5" thickTop="1" thickBot="1" x14ac:dyDescent="0.3">
      <c r="A20" s="42"/>
      <c r="B20" s="38"/>
      <c r="C20" s="38"/>
      <c r="D20" s="38"/>
      <c r="E20" s="33"/>
      <c r="F20" s="33"/>
      <c r="G20" s="33"/>
      <c r="H20" s="38"/>
      <c r="I20" s="33" t="s">
        <v>6</v>
      </c>
      <c r="J20" s="33" t="s">
        <v>7</v>
      </c>
      <c r="K20" s="33" t="s">
        <v>8</v>
      </c>
      <c r="L20" s="42"/>
      <c r="M20" s="153"/>
      <c r="N20" s="153"/>
      <c r="O20" s="153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6.5" thickTop="1" thickBot="1" x14ac:dyDescent="0.3">
      <c r="A21" s="42"/>
      <c r="B21" s="38" t="s">
        <v>1014</v>
      </c>
      <c r="C21" s="38"/>
      <c r="D21" s="38"/>
      <c r="E21" s="38"/>
      <c r="F21" s="38"/>
      <c r="G21" s="38"/>
      <c r="H21" s="37"/>
      <c r="I21" s="56"/>
      <c r="J21" s="108"/>
      <c r="K21" s="108"/>
      <c r="L21" s="42"/>
      <c r="M21" s="153"/>
      <c r="N21" s="153"/>
      <c r="O21" s="153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6.5" thickTop="1" thickBot="1" x14ac:dyDescent="0.3">
      <c r="A22" s="42"/>
      <c r="B22" s="38"/>
      <c r="C22" s="38"/>
      <c r="D22" s="38"/>
      <c r="E22" s="38"/>
      <c r="F22" s="38"/>
      <c r="G22" s="38"/>
      <c r="H22" s="37"/>
      <c r="I22" s="56"/>
      <c r="J22" s="108"/>
      <c r="K22" s="108"/>
      <c r="L22" s="42"/>
      <c r="M22" s="153"/>
      <c r="N22" s="153"/>
      <c r="O22" s="153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6.5" thickTop="1" thickBot="1" x14ac:dyDescent="0.3">
      <c r="A23" s="42"/>
      <c r="B23" s="38" t="s">
        <v>1170</v>
      </c>
      <c r="C23" s="38"/>
      <c r="D23" s="38"/>
      <c r="E23" s="38"/>
      <c r="F23" s="38"/>
      <c r="G23" s="38"/>
      <c r="H23" s="37"/>
      <c r="I23" s="56"/>
      <c r="J23" s="108"/>
      <c r="K23" s="108"/>
      <c r="L23" s="42"/>
      <c r="M23" s="153"/>
      <c r="N23" s="153"/>
      <c r="O23" s="153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6.5" thickTop="1" thickBot="1" x14ac:dyDescent="0.3">
      <c r="A24" s="42"/>
      <c r="B24" s="38"/>
      <c r="C24" s="38"/>
      <c r="D24" s="38"/>
      <c r="E24" s="38"/>
      <c r="F24" s="38"/>
      <c r="G24" s="38"/>
      <c r="H24" s="37"/>
      <c r="I24" s="56"/>
      <c r="J24" s="108"/>
      <c r="K24" s="108"/>
      <c r="L24" s="42"/>
      <c r="M24" s="153"/>
      <c r="N24" s="153"/>
      <c r="O24" s="153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6.5" thickTop="1" thickBot="1" x14ac:dyDescent="0.3">
      <c r="A25" s="42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42"/>
      <c r="M25" s="153"/>
      <c r="N25" s="153"/>
      <c r="O25" s="153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16.5" thickTop="1" thickBot="1" x14ac:dyDescent="0.3">
      <c r="A26" s="42"/>
      <c r="B26" s="195" t="s">
        <v>10</v>
      </c>
      <c r="C26" s="195"/>
      <c r="D26" s="195"/>
      <c r="E26" s="195"/>
      <c r="F26" s="195"/>
      <c r="G26" s="195"/>
      <c r="H26" s="195"/>
      <c r="I26" s="36" t="s">
        <v>4</v>
      </c>
      <c r="J26" s="2">
        <f>SUM(F28:F31,J28,J29,J31,J30)</f>
        <v>0</v>
      </c>
      <c r="K26" s="36" t="s">
        <v>9</v>
      </c>
      <c r="L26" s="42"/>
      <c r="M26" s="154" t="s">
        <v>748</v>
      </c>
      <c r="N26" s="153"/>
      <c r="O26" s="153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16.5" thickTop="1" thickBot="1" x14ac:dyDescent="0.3">
      <c r="A27" s="42"/>
      <c r="B27" s="38"/>
      <c r="C27" s="38"/>
      <c r="D27" s="38"/>
      <c r="E27" s="33" t="s">
        <v>6</v>
      </c>
      <c r="F27" s="33" t="s">
        <v>7</v>
      </c>
      <c r="G27" s="33" t="s">
        <v>8</v>
      </c>
      <c r="H27" s="73"/>
      <c r="I27" s="33" t="s">
        <v>6</v>
      </c>
      <c r="J27" s="33" t="s">
        <v>7</v>
      </c>
      <c r="K27" s="33" t="s">
        <v>8</v>
      </c>
      <c r="L27" s="42"/>
      <c r="M27" s="153"/>
      <c r="N27" s="153"/>
      <c r="O27" s="153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16.5" thickTop="1" thickBot="1" x14ac:dyDescent="0.3">
      <c r="A28" s="42"/>
      <c r="B28" s="38" t="s">
        <v>1006</v>
      </c>
      <c r="C28" s="38"/>
      <c r="D28" s="22"/>
      <c r="E28" s="171"/>
      <c r="F28" s="170"/>
      <c r="G28" s="170"/>
      <c r="H28" s="37"/>
      <c r="I28" s="56"/>
      <c r="J28" s="108"/>
      <c r="K28" s="108"/>
      <c r="L28" s="42"/>
      <c r="M28" s="153"/>
      <c r="N28" s="153"/>
      <c r="O28" s="153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16.5" thickTop="1" thickBot="1" x14ac:dyDescent="0.3">
      <c r="A29" s="42"/>
      <c r="B29" s="38"/>
      <c r="C29" s="38"/>
      <c r="D29" s="22"/>
      <c r="E29" s="171"/>
      <c r="F29" s="170"/>
      <c r="G29" s="170"/>
      <c r="H29" s="37"/>
      <c r="I29" s="56"/>
      <c r="J29" s="108"/>
      <c r="K29" s="108"/>
      <c r="L29" s="42"/>
      <c r="M29" s="153"/>
      <c r="N29" s="153"/>
      <c r="O29" s="153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ht="16.5" thickTop="1" thickBot="1" x14ac:dyDescent="0.3">
      <c r="A30" s="42"/>
      <c r="B30" s="38"/>
      <c r="C30" s="38"/>
      <c r="D30" s="22"/>
      <c r="E30" s="171"/>
      <c r="F30" s="170"/>
      <c r="G30" s="170"/>
      <c r="H30" s="37"/>
      <c r="I30" s="56"/>
      <c r="J30" s="108"/>
      <c r="K30" s="108"/>
      <c r="L30" s="42"/>
      <c r="M30" s="153"/>
      <c r="N30" s="153"/>
      <c r="O30" s="153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ht="16.5" thickTop="1" thickBot="1" x14ac:dyDescent="0.3">
      <c r="A31" s="42"/>
      <c r="B31" s="38"/>
      <c r="C31" s="38"/>
      <c r="D31" s="22"/>
      <c r="E31" s="171"/>
      <c r="F31" s="170"/>
      <c r="G31" s="170"/>
      <c r="H31" s="37"/>
      <c r="I31" s="56"/>
      <c r="J31" s="108"/>
      <c r="K31" s="108"/>
      <c r="L31" s="42"/>
      <c r="M31" s="153"/>
      <c r="N31" s="153"/>
      <c r="O31" s="153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16.5" thickTop="1" thickBot="1" x14ac:dyDescent="0.3">
      <c r="A32" s="42"/>
      <c r="B32" s="196"/>
      <c r="C32" s="196"/>
      <c r="D32" s="196"/>
      <c r="E32" s="196"/>
      <c r="F32" s="196"/>
      <c r="G32" s="196"/>
      <c r="H32" s="196"/>
      <c r="I32" s="196"/>
      <c r="J32" s="196"/>
      <c r="K32" s="196"/>
      <c r="L32" s="42"/>
      <c r="M32" s="153"/>
      <c r="N32" s="153"/>
      <c r="O32" s="153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16.5" thickTop="1" thickBot="1" x14ac:dyDescent="0.3">
      <c r="A33" s="42"/>
      <c r="B33" s="23" t="s">
        <v>1021</v>
      </c>
      <c r="C33" s="22"/>
      <c r="D33" s="22"/>
      <c r="E33" s="38" t="s">
        <v>12</v>
      </c>
      <c r="F33" s="38"/>
      <c r="G33" s="20">
        <f>SUM(J7,J19,J26)</f>
        <v>0</v>
      </c>
      <c r="H33" s="38"/>
      <c r="I33" s="38" t="s">
        <v>13</v>
      </c>
      <c r="J33" s="39"/>
      <c r="K33" s="38"/>
      <c r="L33" s="42"/>
      <c r="M33" s="153"/>
      <c r="N33" s="153"/>
      <c r="O33" s="153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16.5" thickTop="1" thickBot="1" x14ac:dyDescent="0.3">
      <c r="A34" s="42"/>
      <c r="B34" s="22"/>
      <c r="C34" s="22"/>
      <c r="D34" s="22"/>
      <c r="E34" s="38" t="s">
        <v>14</v>
      </c>
      <c r="F34" s="38"/>
      <c r="G34" s="39"/>
      <c r="H34" s="38"/>
      <c r="I34" s="38" t="s">
        <v>15</v>
      </c>
      <c r="J34" s="39"/>
      <c r="K34" s="38"/>
      <c r="L34" s="42"/>
      <c r="M34" s="153"/>
      <c r="N34" s="153"/>
      <c r="O34" s="153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16.5" thickTop="1" thickBot="1" x14ac:dyDescent="0.3">
      <c r="A35" s="42"/>
      <c r="B35" s="196"/>
      <c r="C35" s="196"/>
      <c r="D35" s="196"/>
      <c r="E35" s="196"/>
      <c r="F35" s="196"/>
      <c r="G35" s="196"/>
      <c r="H35" s="196"/>
      <c r="I35" s="196"/>
      <c r="J35" s="196"/>
      <c r="K35" s="196"/>
      <c r="L35" s="42"/>
      <c r="M35" s="153"/>
      <c r="N35" s="153"/>
      <c r="O35" s="153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16.5" thickTop="1" thickBot="1" x14ac:dyDescent="0.3">
      <c r="A36" s="42"/>
      <c r="B36" s="36" t="s">
        <v>1033</v>
      </c>
      <c r="C36" s="36"/>
      <c r="D36" s="36"/>
      <c r="E36" s="36"/>
      <c r="F36" s="36"/>
      <c r="G36" s="36"/>
      <c r="H36" s="36"/>
      <c r="I36" s="36"/>
      <c r="J36" s="36"/>
      <c r="K36" s="36"/>
      <c r="L36" s="42"/>
      <c r="M36" s="154" t="s">
        <v>750</v>
      </c>
      <c r="N36" s="153"/>
      <c r="O36" s="153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16.5" thickTop="1" thickBot="1" x14ac:dyDescent="0.3">
      <c r="A37" s="42"/>
      <c r="B37" s="38" t="s">
        <v>16</v>
      </c>
      <c r="C37" s="38"/>
      <c r="D37" s="38"/>
      <c r="E37" s="38"/>
      <c r="F37" s="38"/>
      <c r="G37" s="38"/>
      <c r="H37" s="38"/>
      <c r="I37" s="38"/>
      <c r="J37" s="197"/>
      <c r="K37" s="197"/>
      <c r="L37" s="42"/>
      <c r="M37" s="153"/>
      <c r="N37" s="153"/>
      <c r="O37" s="153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15.75" thickTop="1" x14ac:dyDescent="0.25">
      <c r="A38" s="42"/>
      <c r="B38" s="38" t="s">
        <v>1013</v>
      </c>
      <c r="C38" s="38"/>
      <c r="D38" s="38"/>
      <c r="E38" s="38"/>
      <c r="F38" s="38"/>
      <c r="G38" s="38"/>
      <c r="H38" s="38"/>
      <c r="I38" s="38"/>
      <c r="J38" s="198"/>
      <c r="K38" s="198"/>
      <c r="L38" s="42"/>
      <c r="M38" s="59"/>
      <c r="N38" s="59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ht="15" x14ac:dyDescent="0.25">
      <c r="A39" s="42"/>
      <c r="B39" s="38" t="s">
        <v>17</v>
      </c>
      <c r="C39" s="38"/>
      <c r="D39" s="38"/>
      <c r="E39" s="38"/>
      <c r="F39" s="38"/>
      <c r="G39" s="38"/>
      <c r="H39" s="38"/>
      <c r="I39" s="38"/>
      <c r="J39" s="197"/>
      <c r="K39" s="197"/>
      <c r="L39" s="42"/>
      <c r="M39" s="59"/>
      <c r="N39" s="59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ht="15" x14ac:dyDescent="0.25">
      <c r="A40" s="101"/>
      <c r="B40" s="100" t="s">
        <v>1007</v>
      </c>
      <c r="C40" s="100"/>
      <c r="D40" s="100"/>
      <c r="E40" s="100"/>
      <c r="F40" s="100"/>
      <c r="G40" s="100"/>
      <c r="H40" s="100"/>
      <c r="I40" s="100"/>
      <c r="J40" s="188"/>
      <c r="K40" s="189"/>
      <c r="L40" s="101"/>
      <c r="M40" s="59"/>
      <c r="N40" s="59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spans="1:26" ht="15" x14ac:dyDescent="0.25">
      <c r="A41" s="42"/>
      <c r="B41" s="38" t="s">
        <v>18</v>
      </c>
      <c r="C41" s="38"/>
      <c r="D41" s="38"/>
      <c r="E41" s="38"/>
      <c r="F41" s="38"/>
      <c r="G41" s="38"/>
      <c r="H41" s="38"/>
      <c r="I41" s="38"/>
      <c r="J41" s="39"/>
      <c r="K41" s="2" t="s">
        <v>19</v>
      </c>
      <c r="L41" s="42"/>
      <c r="M41" s="59"/>
      <c r="N41" s="59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ht="15" x14ac:dyDescent="0.25">
      <c r="A42" s="42"/>
      <c r="B42" s="38" t="s">
        <v>735</v>
      </c>
      <c r="C42" s="38"/>
      <c r="D42" s="38"/>
      <c r="E42" s="38"/>
      <c r="F42" s="38"/>
      <c r="G42" s="38"/>
      <c r="H42" s="38"/>
      <c r="I42" s="38"/>
      <c r="J42" s="39"/>
      <c r="K42" s="2" t="s">
        <v>9</v>
      </c>
      <c r="L42" s="42"/>
      <c r="M42" s="59"/>
      <c r="N42" s="59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x14ac:dyDescent="0.3">
      <c r="A43" s="42"/>
      <c r="B43" s="38" t="s">
        <v>736</v>
      </c>
      <c r="C43" s="38"/>
      <c r="D43" s="38"/>
      <c r="E43" s="38"/>
      <c r="F43" s="38"/>
      <c r="G43" s="38"/>
      <c r="H43" s="38"/>
      <c r="I43" s="38"/>
      <c r="J43" s="77"/>
      <c r="K43" s="2" t="s">
        <v>20</v>
      </c>
      <c r="L43" s="42"/>
      <c r="M43" s="59"/>
      <c r="N43" s="59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x14ac:dyDescent="0.3">
      <c r="A44" s="42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42"/>
      <c r="M44" s="59"/>
      <c r="N44" s="59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x14ac:dyDescent="0.3">
      <c r="A45" s="42"/>
      <c r="B45" s="36" t="s">
        <v>21</v>
      </c>
      <c r="C45" s="36"/>
      <c r="D45" s="36"/>
      <c r="E45" s="36"/>
      <c r="F45" s="36"/>
      <c r="G45" s="36"/>
      <c r="H45" s="36"/>
      <c r="I45" s="36"/>
      <c r="J45" s="36"/>
      <c r="K45" s="36"/>
      <c r="L45" s="42"/>
      <c r="M45" s="59"/>
      <c r="N45" s="59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x14ac:dyDescent="0.3">
      <c r="A46" s="42"/>
      <c r="B46" s="205"/>
      <c r="C46" s="205"/>
      <c r="D46" s="205"/>
      <c r="E46" s="205"/>
      <c r="F46" s="205"/>
      <c r="G46" s="205"/>
      <c r="H46" s="205"/>
      <c r="I46" s="205"/>
      <c r="J46" s="205"/>
      <c r="K46" s="205"/>
      <c r="L46" s="42"/>
      <c r="M46" s="59"/>
      <c r="N46" s="59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x14ac:dyDescent="0.3">
      <c r="A47" s="65"/>
      <c r="B47" s="202"/>
      <c r="C47" s="203"/>
      <c r="D47" s="203"/>
      <c r="E47" s="203"/>
      <c r="F47" s="203"/>
      <c r="G47" s="203"/>
      <c r="H47" s="203"/>
      <c r="I47" s="203"/>
      <c r="J47" s="203"/>
      <c r="K47" s="204"/>
      <c r="L47" s="65"/>
      <c r="M47" s="59"/>
      <c r="N47" s="59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x14ac:dyDescent="0.3">
      <c r="A48" s="42"/>
      <c r="B48" s="179" t="s">
        <v>22</v>
      </c>
      <c r="C48" s="199"/>
      <c r="D48" s="200"/>
      <c r="E48" s="200"/>
      <c r="F48" s="201"/>
      <c r="G48" s="178" t="s">
        <v>23</v>
      </c>
      <c r="H48" s="206"/>
      <c r="I48" s="206"/>
      <c r="J48" s="206"/>
      <c r="K48" s="206"/>
      <c r="L48" s="42"/>
      <c r="M48" s="59"/>
      <c r="N48" s="59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s="44" customFormat="1" ht="15" customHeight="1" x14ac:dyDescent="0.3">
      <c r="A49" s="51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59"/>
      <c r="N49" s="59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s="44" customFormat="1" x14ac:dyDescent="0.3">
      <c r="A50" s="51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s="44" customFormat="1" x14ac:dyDescent="0.3">
      <c r="A51" s="51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s="44" customFormat="1" x14ac:dyDescent="0.3">
      <c r="A52" s="51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s="44" customFormat="1" x14ac:dyDescent="0.3">
      <c r="A53" s="51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s="44" customFormat="1" x14ac:dyDescent="0.3">
      <c r="A54" s="51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s="44" customFormat="1" x14ac:dyDescent="0.3">
      <c r="A55" s="51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s="44" customFormat="1" x14ac:dyDescent="0.3">
      <c r="A56" s="51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s="44" customFormat="1" x14ac:dyDescent="0.3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42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3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42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3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42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3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42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3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42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3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42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42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3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42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3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42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3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42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3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42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3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42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3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42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3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42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3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42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x14ac:dyDescent="0.3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42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x14ac:dyDescent="0.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42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x14ac:dyDescent="0.3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42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x14ac:dyDescent="0.3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42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x14ac:dyDescent="0.3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42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x14ac:dyDescent="0.3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42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x14ac:dyDescent="0.3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42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x14ac:dyDescent="0.3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42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x14ac:dyDescent="0.3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42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x14ac:dyDescent="0.3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42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x14ac:dyDescent="0.3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42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x14ac:dyDescent="0.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42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x14ac:dyDescent="0.3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42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x14ac:dyDescent="0.3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42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x14ac:dyDescent="0.3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42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x14ac:dyDescent="0.3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42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x14ac:dyDescent="0.3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42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x14ac:dyDescent="0.3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42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x14ac:dyDescent="0.3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42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x14ac:dyDescent="0.3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42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x14ac:dyDescent="0.3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42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x14ac:dyDescent="0.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42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x14ac:dyDescent="0.3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42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x14ac:dyDescent="0.3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42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x14ac:dyDescent="0.3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42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x14ac:dyDescent="0.3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42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x14ac:dyDescent="0.3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42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x14ac:dyDescent="0.3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42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x14ac:dyDescent="0.3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42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x14ac:dyDescent="0.3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42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x14ac:dyDescent="0.3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42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x14ac:dyDescent="0.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42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x14ac:dyDescent="0.3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42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x14ac:dyDescent="0.3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42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x14ac:dyDescent="0.3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42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x14ac:dyDescent="0.3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42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x14ac:dyDescent="0.3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42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x14ac:dyDescent="0.3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42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x14ac:dyDescent="0.3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42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x14ac:dyDescent="0.3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42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x14ac:dyDescent="0.3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42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x14ac:dyDescent="0.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42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x14ac:dyDescent="0.3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42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x14ac:dyDescent="0.3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42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x14ac:dyDescent="0.3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42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x14ac:dyDescent="0.3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42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x14ac:dyDescent="0.3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42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x14ac:dyDescent="0.3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42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x14ac:dyDescent="0.3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42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x14ac:dyDescent="0.3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42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x14ac:dyDescent="0.3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42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x14ac:dyDescent="0.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42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x14ac:dyDescent="0.3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42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x14ac:dyDescent="0.3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42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x14ac:dyDescent="0.3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42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x14ac:dyDescent="0.3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42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x14ac:dyDescent="0.3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42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x14ac:dyDescent="0.3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42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x14ac:dyDescent="0.3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42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x14ac:dyDescent="0.3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42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x14ac:dyDescent="0.3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42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x14ac:dyDescent="0.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42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x14ac:dyDescent="0.3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42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x14ac:dyDescent="0.3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42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x14ac:dyDescent="0.3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42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x14ac:dyDescent="0.3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42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x14ac:dyDescent="0.3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42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x14ac:dyDescent="0.3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42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x14ac:dyDescent="0.3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42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x14ac:dyDescent="0.3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42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x14ac:dyDescent="0.3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42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x14ac:dyDescent="0.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42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x14ac:dyDescent="0.3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42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x14ac:dyDescent="0.3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42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x14ac:dyDescent="0.3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42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x14ac:dyDescent="0.3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42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x14ac:dyDescent="0.3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42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x14ac:dyDescent="0.3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42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x14ac:dyDescent="0.3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42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x14ac:dyDescent="0.3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42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x14ac:dyDescent="0.3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42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x14ac:dyDescent="0.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42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x14ac:dyDescent="0.3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42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x14ac:dyDescent="0.3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42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x14ac:dyDescent="0.3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42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x14ac:dyDescent="0.3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42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x14ac:dyDescent="0.3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42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x14ac:dyDescent="0.3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42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x14ac:dyDescent="0.3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42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x14ac:dyDescent="0.3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42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x14ac:dyDescent="0.3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42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x14ac:dyDescent="0.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42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x14ac:dyDescent="0.3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42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x14ac:dyDescent="0.3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42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x14ac:dyDescent="0.3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42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x14ac:dyDescent="0.3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42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x14ac:dyDescent="0.3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42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x14ac:dyDescent="0.3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42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x14ac:dyDescent="0.3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42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x14ac:dyDescent="0.3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42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x14ac:dyDescent="0.3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42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x14ac:dyDescent="0.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42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x14ac:dyDescent="0.3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42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x14ac:dyDescent="0.3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42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x14ac:dyDescent="0.3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42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x14ac:dyDescent="0.3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42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x14ac:dyDescent="0.3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42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x14ac:dyDescent="0.3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42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x14ac:dyDescent="0.3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42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x14ac:dyDescent="0.3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42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x14ac:dyDescent="0.3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42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x14ac:dyDescent="0.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42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x14ac:dyDescent="0.3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42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x14ac:dyDescent="0.3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42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x14ac:dyDescent="0.3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42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x14ac:dyDescent="0.3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42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x14ac:dyDescent="0.3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42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x14ac:dyDescent="0.3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42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x14ac:dyDescent="0.3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42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x14ac:dyDescent="0.3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42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x14ac:dyDescent="0.3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42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x14ac:dyDescent="0.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42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x14ac:dyDescent="0.3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42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x14ac:dyDescent="0.3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42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x14ac:dyDescent="0.3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42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x14ac:dyDescent="0.3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42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x14ac:dyDescent="0.3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42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x14ac:dyDescent="0.3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42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x14ac:dyDescent="0.3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42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x14ac:dyDescent="0.3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42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x14ac:dyDescent="0.3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42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x14ac:dyDescent="0.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42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x14ac:dyDescent="0.3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42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x14ac:dyDescent="0.3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42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x14ac:dyDescent="0.3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42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x14ac:dyDescent="0.3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42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x14ac:dyDescent="0.3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42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x14ac:dyDescent="0.3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42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x14ac:dyDescent="0.3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42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x14ac:dyDescent="0.3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42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x14ac:dyDescent="0.3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42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x14ac:dyDescent="0.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42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x14ac:dyDescent="0.3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42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x14ac:dyDescent="0.3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42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x14ac:dyDescent="0.3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42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x14ac:dyDescent="0.3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42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x14ac:dyDescent="0.3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42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x14ac:dyDescent="0.3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42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x14ac:dyDescent="0.3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42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x14ac:dyDescent="0.3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42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x14ac:dyDescent="0.3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42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x14ac:dyDescent="0.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42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x14ac:dyDescent="0.3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42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x14ac:dyDescent="0.3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42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x14ac:dyDescent="0.3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42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x14ac:dyDescent="0.3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42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x14ac:dyDescent="0.3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42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x14ac:dyDescent="0.3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42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x14ac:dyDescent="0.3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42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x14ac:dyDescent="0.3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42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x14ac:dyDescent="0.3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42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x14ac:dyDescent="0.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42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x14ac:dyDescent="0.3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42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x14ac:dyDescent="0.3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42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x14ac:dyDescent="0.3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42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x14ac:dyDescent="0.3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42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x14ac:dyDescent="0.3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42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x14ac:dyDescent="0.3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42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x14ac:dyDescent="0.3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42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x14ac:dyDescent="0.3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42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x14ac:dyDescent="0.3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42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x14ac:dyDescent="0.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42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x14ac:dyDescent="0.3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42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x14ac:dyDescent="0.3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42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x14ac:dyDescent="0.3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42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x14ac:dyDescent="0.3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42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x14ac:dyDescent="0.3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42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x14ac:dyDescent="0.3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42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x14ac:dyDescent="0.3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42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x14ac:dyDescent="0.3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42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x14ac:dyDescent="0.3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42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x14ac:dyDescent="0.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42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x14ac:dyDescent="0.3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42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x14ac:dyDescent="0.3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42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x14ac:dyDescent="0.3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42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x14ac:dyDescent="0.3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42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x14ac:dyDescent="0.3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42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x14ac:dyDescent="0.3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42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x14ac:dyDescent="0.3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42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x14ac:dyDescent="0.3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42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x14ac:dyDescent="0.3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42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x14ac:dyDescent="0.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42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x14ac:dyDescent="0.3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42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x14ac:dyDescent="0.3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42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x14ac:dyDescent="0.3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42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x14ac:dyDescent="0.3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42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x14ac:dyDescent="0.3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42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x14ac:dyDescent="0.3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42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x14ac:dyDescent="0.3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42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x14ac:dyDescent="0.3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42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x14ac:dyDescent="0.3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42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x14ac:dyDescent="0.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42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x14ac:dyDescent="0.3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42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x14ac:dyDescent="0.3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42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x14ac:dyDescent="0.3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42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x14ac:dyDescent="0.3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42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x14ac:dyDescent="0.3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42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x14ac:dyDescent="0.3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42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x14ac:dyDescent="0.3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42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x14ac:dyDescent="0.3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42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x14ac:dyDescent="0.3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42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x14ac:dyDescent="0.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42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x14ac:dyDescent="0.3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42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x14ac:dyDescent="0.3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42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x14ac:dyDescent="0.3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42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x14ac:dyDescent="0.3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42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x14ac:dyDescent="0.3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42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x14ac:dyDescent="0.3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42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x14ac:dyDescent="0.3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42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x14ac:dyDescent="0.3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42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x14ac:dyDescent="0.3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42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x14ac:dyDescent="0.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42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x14ac:dyDescent="0.3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42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x14ac:dyDescent="0.3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42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x14ac:dyDescent="0.3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42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x14ac:dyDescent="0.3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42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x14ac:dyDescent="0.3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42"/>
      <c r="M298" s="51"/>
      <c r="N298" s="9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x14ac:dyDescent="0.3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42"/>
      <c r="M299" s="51"/>
      <c r="N299" s="9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x14ac:dyDescent="0.3">
      <c r="L300"/>
    </row>
  </sheetData>
  <sheetProtection password="CA97" sheet="1" objects="1" scenarios="1"/>
  <mergeCells count="29">
    <mergeCell ref="C48:F48"/>
    <mergeCell ref="B47:K47"/>
    <mergeCell ref="B46:K46"/>
    <mergeCell ref="H48:K48"/>
    <mergeCell ref="M2:N2"/>
    <mergeCell ref="M9:M11"/>
    <mergeCell ref="B12:D12"/>
    <mergeCell ref="B2:K2"/>
    <mergeCell ref="B3:K3"/>
    <mergeCell ref="C4:E4"/>
    <mergeCell ref="B6:K6"/>
    <mergeCell ref="B7:H7"/>
    <mergeCell ref="B9:D9"/>
    <mergeCell ref="C5:D5"/>
    <mergeCell ref="B10:D10"/>
    <mergeCell ref="B11:D11"/>
    <mergeCell ref="J40:K40"/>
    <mergeCell ref="I4:J4"/>
    <mergeCell ref="I5:J5"/>
    <mergeCell ref="B13:D13"/>
    <mergeCell ref="B15:D15"/>
    <mergeCell ref="B16:D16"/>
    <mergeCell ref="B19:H19"/>
    <mergeCell ref="B26:H26"/>
    <mergeCell ref="B32:K32"/>
    <mergeCell ref="B35:K35"/>
    <mergeCell ref="J37:K37"/>
    <mergeCell ref="J38:K38"/>
    <mergeCell ref="J39:K39"/>
  </mergeCells>
  <conditionalFormatting sqref="E9:G9 E13:G13 I9:K17">
    <cfRule type="containsBlanks" dxfId="209" priority="140">
      <formula>LEN(TRIM(E9))=0</formula>
    </cfRule>
  </conditionalFormatting>
  <conditionalFormatting sqref="I21:K24">
    <cfRule type="containsBlanks" dxfId="208" priority="139">
      <formula>LEN(TRIM(I21))=0</formula>
    </cfRule>
  </conditionalFormatting>
  <conditionalFormatting sqref="C4:E4 I4:J5 C5">
    <cfRule type="containsBlanks" dxfId="207" priority="138">
      <formula>LEN(TRIM(C4))=0</formula>
    </cfRule>
  </conditionalFormatting>
  <conditionalFormatting sqref="J7">
    <cfRule type="cellIs" dxfId="206" priority="137" operator="lessThan">
      <formula>33</formula>
    </cfRule>
  </conditionalFormatting>
  <conditionalFormatting sqref="J19">
    <cfRule type="cellIs" dxfId="205" priority="136" operator="lessThan">
      <formula>12</formula>
    </cfRule>
  </conditionalFormatting>
  <conditionalFormatting sqref="J26">
    <cfRule type="cellIs" dxfId="204" priority="135" operator="lessThan">
      <formula>15</formula>
    </cfRule>
  </conditionalFormatting>
  <conditionalFormatting sqref="J37:K37">
    <cfRule type="containsBlanks" dxfId="203" priority="134">
      <formula>LEN(TRIM(J37))=0</formula>
    </cfRule>
  </conditionalFormatting>
  <conditionalFormatting sqref="J38:K38">
    <cfRule type="containsText" dxfId="202" priority="132" operator="containsText" text="Incomplete">
      <formula>NOT(ISERROR(SEARCH("Incomplete",J38)))</formula>
    </cfRule>
    <cfRule type="containsBlanks" dxfId="201" priority="133">
      <formula>LEN(TRIM(J38))=0</formula>
    </cfRule>
  </conditionalFormatting>
  <conditionalFormatting sqref="J39:K39">
    <cfRule type="containsBlanks" dxfId="200" priority="131">
      <formula>LEN(TRIM(J39))=0</formula>
    </cfRule>
  </conditionalFormatting>
  <conditionalFormatting sqref="J40:K40">
    <cfRule type="containsBlanks" dxfId="199" priority="130">
      <formula>LEN(TRIM(J40))=0</formula>
    </cfRule>
  </conditionalFormatting>
  <conditionalFormatting sqref="J41:J43">
    <cfRule type="containsBlanks" dxfId="198" priority="141">
      <formula>LEN(TRIM(J41))=0</formula>
    </cfRule>
  </conditionalFormatting>
  <conditionalFormatting sqref="J41">
    <cfRule type="cellIs" dxfId="197" priority="128" operator="lessThan">
      <formula>60</formula>
    </cfRule>
  </conditionalFormatting>
  <conditionalFormatting sqref="J42">
    <cfRule type="cellIs" dxfId="196" priority="127" operator="lessThan">
      <formula>15</formula>
    </cfRule>
  </conditionalFormatting>
  <conditionalFormatting sqref="J43">
    <cfRule type="cellIs" dxfId="195" priority="126" operator="lessThan">
      <formula>2</formula>
    </cfRule>
  </conditionalFormatting>
  <conditionalFormatting sqref="G9 G13 K9:K17 K21:K24">
    <cfRule type="containsText" dxfId="194" priority="125" operator="containsText" text="IPS">
      <formula>NOT(ISERROR(SEARCH("IPS",G9)))</formula>
    </cfRule>
  </conditionalFormatting>
  <conditionalFormatting sqref="E28">
    <cfRule type="notContainsBlanks" dxfId="193" priority="62">
      <formula>LEN(TRIM(E28))&gt;0</formula>
    </cfRule>
    <cfRule type="expression" dxfId="192" priority="67">
      <formula>SUM(J26)&lt;15</formula>
    </cfRule>
  </conditionalFormatting>
  <conditionalFormatting sqref="F28">
    <cfRule type="notContainsBlanks" dxfId="191" priority="60">
      <formula>LEN(TRIM(F28))&gt;0</formula>
    </cfRule>
    <cfRule type="expression" dxfId="190" priority="61">
      <formula>NOT(ISBLANK(E28))</formula>
    </cfRule>
    <cfRule type="expression" dxfId="189" priority="66">
      <formula>SUM(J26)&lt;15</formula>
    </cfRule>
  </conditionalFormatting>
  <conditionalFormatting sqref="G28">
    <cfRule type="notContainsBlanks" dxfId="188" priority="63">
      <formula>LEN(TRIM(G28))&gt;0</formula>
    </cfRule>
    <cfRule type="expression" dxfId="187" priority="64">
      <formula>NOT(ISBLANK(E28))</formula>
    </cfRule>
    <cfRule type="expression" dxfId="186" priority="65">
      <formula>SUM(J26)&lt;15</formula>
    </cfRule>
  </conditionalFormatting>
  <conditionalFormatting sqref="E29">
    <cfRule type="notContainsBlanks" dxfId="185" priority="30">
      <formula>LEN(TRIM(E29))&gt;0</formula>
    </cfRule>
    <cfRule type="expression" dxfId="184" priority="59">
      <formula>SUM(J26)&lt;15</formula>
    </cfRule>
  </conditionalFormatting>
  <conditionalFormatting sqref="E30">
    <cfRule type="notContainsBlanks" dxfId="183" priority="29">
      <formula>LEN(TRIM(E30))&gt;0</formula>
    </cfRule>
    <cfRule type="expression" dxfId="182" priority="58">
      <formula>SUM(J26)&lt;15</formula>
    </cfRule>
  </conditionalFormatting>
  <conditionalFormatting sqref="E31">
    <cfRule type="notContainsBlanks" dxfId="181" priority="28">
      <formula>LEN(TRIM(E31))&gt;0</formula>
    </cfRule>
    <cfRule type="expression" dxfId="180" priority="57">
      <formula>SUM(J26)&lt;15</formula>
    </cfRule>
  </conditionalFormatting>
  <conditionalFormatting sqref="I28">
    <cfRule type="notContainsBlanks" dxfId="179" priority="27">
      <formula>LEN(TRIM(I28))&gt;0</formula>
    </cfRule>
    <cfRule type="expression" dxfId="178" priority="56">
      <formula>SUM(J26)&lt;15</formula>
    </cfRule>
  </conditionalFormatting>
  <conditionalFormatting sqref="I29">
    <cfRule type="notContainsBlanks" dxfId="177" priority="26">
      <formula>LEN(TRIM(I29))&gt;0</formula>
    </cfRule>
    <cfRule type="expression" dxfId="176" priority="55">
      <formula>SUM(J26)&lt;15</formula>
    </cfRule>
  </conditionalFormatting>
  <conditionalFormatting sqref="I30">
    <cfRule type="notContainsBlanks" dxfId="175" priority="25">
      <formula>LEN(TRIM(I30))&gt;0</formula>
    </cfRule>
    <cfRule type="expression" dxfId="174" priority="54">
      <formula>SUM(J26)&lt;15</formula>
    </cfRule>
  </conditionalFormatting>
  <conditionalFormatting sqref="I31">
    <cfRule type="notContainsBlanks" dxfId="173" priority="24">
      <formula>LEN(TRIM(I31))&gt;0</formula>
    </cfRule>
    <cfRule type="expression" dxfId="172" priority="53">
      <formula>SUM(J26)&lt;15</formula>
    </cfRule>
  </conditionalFormatting>
  <conditionalFormatting sqref="F29">
    <cfRule type="notContainsBlanks" dxfId="171" priority="37">
      <formula>LEN(TRIM(F29))&gt;0</formula>
    </cfRule>
    <cfRule type="expression" dxfId="170" priority="45">
      <formula>SUM(J26)&lt;15</formula>
    </cfRule>
    <cfRule type="expression" dxfId="169" priority="52">
      <formula>NOT(ISBLANK(E29))</formula>
    </cfRule>
  </conditionalFormatting>
  <conditionalFormatting sqref="F30">
    <cfRule type="notContainsBlanks" dxfId="168" priority="36">
      <formula>LEN(TRIM(F30))&gt;0</formula>
    </cfRule>
    <cfRule type="expression" dxfId="167" priority="44">
      <formula>SUM(J26)&lt;15</formula>
    </cfRule>
    <cfRule type="expression" dxfId="166" priority="51">
      <formula>NOT(ISBLANK(E30))</formula>
    </cfRule>
  </conditionalFormatting>
  <conditionalFormatting sqref="F31">
    <cfRule type="notContainsBlanks" dxfId="165" priority="35">
      <formula>LEN(TRIM(F31))&gt;0</formula>
    </cfRule>
    <cfRule type="expression" dxfId="164" priority="43">
      <formula>SUM(J26)&lt;15</formula>
    </cfRule>
    <cfRule type="expression" dxfId="163" priority="50">
      <formula>NOT(ISBLANK(E31))</formula>
    </cfRule>
  </conditionalFormatting>
  <conditionalFormatting sqref="J28">
    <cfRule type="notContainsBlanks" dxfId="162" priority="34">
      <formula>LEN(TRIM(J28))&gt;0</formula>
    </cfRule>
    <cfRule type="expression" dxfId="161" priority="42">
      <formula>SUM(J26)&lt;15</formula>
    </cfRule>
    <cfRule type="expression" dxfId="160" priority="49">
      <formula>NOT(ISBLANK(I28))</formula>
    </cfRule>
  </conditionalFormatting>
  <conditionalFormatting sqref="J29">
    <cfRule type="notContainsBlanks" dxfId="159" priority="33">
      <formula>LEN(TRIM(J29))&gt;0</formula>
    </cfRule>
    <cfRule type="expression" dxfId="158" priority="41">
      <formula>SUM(J26)&lt;15</formula>
    </cfRule>
    <cfRule type="expression" dxfId="157" priority="48">
      <formula>NOT(ISBLANK(I29))</formula>
    </cfRule>
  </conditionalFormatting>
  <conditionalFormatting sqref="J30">
    <cfRule type="notContainsBlanks" dxfId="156" priority="32">
      <formula>LEN(TRIM(J30))&gt;0</formula>
    </cfRule>
    <cfRule type="expression" dxfId="155" priority="40">
      <formula>SUM(J26)&lt;15</formula>
    </cfRule>
    <cfRule type="expression" dxfId="154" priority="47">
      <formula>NOT(ISBLANK(I30))</formula>
    </cfRule>
  </conditionalFormatting>
  <conditionalFormatting sqref="J31">
    <cfRule type="notContainsBlanks" dxfId="153" priority="31">
      <formula>LEN(TRIM(J31))&gt;0</formula>
    </cfRule>
    <cfRule type="expression" dxfId="152" priority="39">
      <formula>SUM(J26)&lt;15</formula>
    </cfRule>
    <cfRule type="expression" dxfId="151" priority="46">
      <formula>NOT(ISBLANK(I31))</formula>
    </cfRule>
  </conditionalFormatting>
  <conditionalFormatting sqref="G29">
    <cfRule type="notContainsBlanks" dxfId="150" priority="9">
      <formula>LEN(TRIM(G29))&gt;0</formula>
    </cfRule>
    <cfRule type="expression" dxfId="149" priority="16">
      <formula>SUM(J26&lt;15)</formula>
    </cfRule>
    <cfRule type="expression" dxfId="148" priority="23">
      <formula>NOT(ISBLANK(E29))</formula>
    </cfRule>
  </conditionalFormatting>
  <conditionalFormatting sqref="G30">
    <cfRule type="notContainsBlanks" dxfId="147" priority="8">
      <formula>LEN(TRIM(G30))&gt;0</formula>
    </cfRule>
    <cfRule type="expression" dxfId="146" priority="15">
      <formula>SUM(J26&lt;15)</formula>
    </cfRule>
    <cfRule type="expression" dxfId="145" priority="22">
      <formula>NOT(ISBLANK(E30))</formula>
    </cfRule>
  </conditionalFormatting>
  <conditionalFormatting sqref="G31">
    <cfRule type="notContainsBlanks" dxfId="144" priority="7">
      <formula>LEN(TRIM(G31))&gt;0</formula>
    </cfRule>
    <cfRule type="expression" dxfId="143" priority="14">
      <formula>SUM(J26&lt;15)</formula>
    </cfRule>
    <cfRule type="expression" dxfId="142" priority="21">
      <formula>NOT(ISBLANK(E31))</formula>
    </cfRule>
  </conditionalFormatting>
  <conditionalFormatting sqref="K28">
    <cfRule type="notContainsBlanks" dxfId="141" priority="6">
      <formula>LEN(TRIM(K28))&gt;0</formula>
    </cfRule>
    <cfRule type="expression" dxfId="140" priority="13">
      <formula>SUM(J26&lt;15)</formula>
    </cfRule>
    <cfRule type="expression" dxfId="139" priority="20">
      <formula>NOT(ISBLANK(I28))</formula>
    </cfRule>
  </conditionalFormatting>
  <conditionalFormatting sqref="K29">
    <cfRule type="notContainsBlanks" dxfId="138" priority="5">
      <formula>LEN(TRIM(K29))&gt;0</formula>
    </cfRule>
    <cfRule type="expression" dxfId="137" priority="12">
      <formula>SUM(J26&lt;15)</formula>
    </cfRule>
    <cfRule type="expression" dxfId="136" priority="19">
      <formula>NOT(ISBLANK(I29))</formula>
    </cfRule>
  </conditionalFormatting>
  <conditionalFormatting sqref="K30">
    <cfRule type="notContainsBlanks" dxfId="135" priority="4">
      <formula>LEN(TRIM(K30))&gt;0</formula>
    </cfRule>
    <cfRule type="expression" dxfId="134" priority="11">
      <formula>SUM(J26&lt;15)</formula>
    </cfRule>
    <cfRule type="expression" dxfId="133" priority="18">
      <formula>NOT(ISBLANK(I30))</formula>
    </cfRule>
  </conditionalFormatting>
  <conditionalFormatting sqref="K31">
    <cfRule type="notContainsBlanks" dxfId="132" priority="3">
      <formula>LEN(TRIM(K31))&gt;0</formula>
    </cfRule>
    <cfRule type="expression" dxfId="131" priority="10">
      <formula>SUM(J26&lt;15)</formula>
    </cfRule>
    <cfRule type="expression" dxfId="130" priority="17">
      <formula>NOT(ISBLANK(I31))</formula>
    </cfRule>
  </conditionalFormatting>
  <conditionalFormatting sqref="G28:G31">
    <cfRule type="containsText" dxfId="129" priority="2" operator="containsText" text="IPS">
      <formula>NOT(ISERROR(SEARCH("IPS",G28)))</formula>
    </cfRule>
  </conditionalFormatting>
  <conditionalFormatting sqref="K28:K31">
    <cfRule type="containsText" dxfId="128" priority="1" operator="containsText" text="IPS">
      <formula>NOT(ISERROR(SEARCH("IPS",K28)))</formula>
    </cfRule>
  </conditionalFormatting>
  <dataValidations count="16">
    <dataValidation type="list" allowBlank="1" showInputMessage="1" showErrorMessage="1" sqref="F9 F13 J9 J10 J11 J12 J13 J14 J15 J16 J17 J21 J22 J23 J24 F28 F29 F30 F31 J31 J30 J29 J28">
      <formula1>CREDIT</formula1>
    </dataValidation>
    <dataValidation type="list" allowBlank="1" showInputMessage="1" showErrorMessage="1" sqref="G9 G13 K9:K17 G28:G30 G31:H31 K28:K31 K21:K24">
      <formula1>GRADE</formula1>
    </dataValidation>
    <dataValidation type="list" allowBlank="1" showInputMessage="1" showErrorMessage="1" sqref="E9 I9">
      <formula1>CATA</formula1>
    </dataValidation>
    <dataValidation type="list" allowBlank="1" showInputMessage="1" showErrorMessage="1" sqref="I10">
      <formula1>CATB</formula1>
    </dataValidation>
    <dataValidation type="list" allowBlank="1" showInputMessage="1" showErrorMessage="1" sqref="I11">
      <formula1>CATF</formula1>
    </dataValidation>
    <dataValidation type="list" allowBlank="1" showInputMessage="1" showErrorMessage="1" sqref="I12">
      <formula1>CATG</formula1>
    </dataValidation>
    <dataValidation type="list" allowBlank="1" showInputMessage="1" showErrorMessage="1" sqref="E13 I13 I14">
      <formula1>CATE</formula1>
    </dataValidation>
    <dataValidation type="list" allowBlank="1" showInputMessage="1" showErrorMessage="1" sqref="I15">
      <formula1>CATD</formula1>
    </dataValidation>
    <dataValidation type="list" allowBlank="1" showInputMessage="1" showErrorMessage="1" sqref="I16">
      <formula1>CATC</formula1>
    </dataValidation>
    <dataValidation type="list" allowBlank="1" showInputMessage="1" showErrorMessage="1" sqref="I17">
      <formula1>CATK</formula1>
    </dataValidation>
    <dataValidation type="list" allowBlank="1" showInputMessage="1" showErrorMessage="1" sqref="I21:I22">
      <formula1>CATL</formula1>
    </dataValidation>
    <dataValidation type="list" allowBlank="1" showInputMessage="1" showErrorMessage="1" sqref="J37:K37">
      <formula1>CATI</formula1>
    </dataValidation>
    <dataValidation type="list" allowBlank="1" showInputMessage="1" showErrorMessage="1" sqref="J38:K38 J40:K40">
      <formula1>STATUS</formula1>
    </dataValidation>
    <dataValidation type="list" allowBlank="1" showInputMessage="1" showErrorMessage="1" sqref="J39:K39">
      <formula1>CATM</formula1>
    </dataValidation>
    <dataValidation type="list" allowBlank="1" showInputMessage="1" showErrorMessage="1" sqref="I5:J5">
      <formula1>AAFOCUS</formula1>
    </dataValidation>
    <dataValidation type="list" allowBlank="1" showInputMessage="1" showErrorMessage="1" sqref="I23 I24">
      <formula1>CATJ</formula1>
    </dataValidation>
  </dataValidations>
  <hyperlinks>
    <hyperlink ref="M5" location="Focus!A1" tooltip="Click to view the AA &amp; AS Focus Areas." display="Focus Areas"/>
    <hyperlink ref="M7" location="CATEGORYI" tooltip="Click for information on Category I." display="Category I Help"/>
    <hyperlink ref="M19" location="CATEGORYII" tooltip="Click for information on Category II." display="Category II Help"/>
    <hyperlink ref="M26" location="CATEGORYIII" tooltip="Click for information on Category III." display="Category III Help"/>
    <hyperlink ref="M36" location="REQHELP" tooltip="Click for information on Requirements." display="Requirements Help"/>
    <hyperlink ref="N3" location="Help!A1" tooltip="Click for General Help on the audit." display="General Help"/>
    <hyperlink ref="N4" location="Courses!A1" tooltip="Click for descriptions of General Education courses." display="Course Info"/>
    <hyperlink ref="N5" location="GRADEKEY" tooltip="Click to view the Grade Key." display="Grade Key"/>
    <hyperlink ref="O3" location="Arts!A1" tooltip="Click to return to the AA audit." display="Return To AA"/>
    <hyperlink ref="O4" location="Science!A1" tooltip="Click to return to the AS audit." display="Return To AS"/>
    <hyperlink ref="O5" location="Menu!A1" tooltip="Click to return to the main page." display="Main Menu"/>
  </hyperlinks>
  <pageMargins left="0.45" right="0.45" top="0.25" bottom="0.25" header="0.3" footer="0.3"/>
  <pageSetup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0"/>
  </sheetPr>
  <dimension ref="A1:Z299"/>
  <sheetViews>
    <sheetView workbookViewId="0">
      <selection activeCell="C4" sqref="C4:E4"/>
    </sheetView>
  </sheetViews>
  <sheetFormatPr defaultRowHeight="14.4" x14ac:dyDescent="0.3"/>
  <cols>
    <col min="2" max="3" width="8.6640625" customWidth="1"/>
    <col min="4" max="4" width="14.6640625" customWidth="1"/>
    <col min="5" max="5" width="16.6640625" customWidth="1"/>
    <col min="6" max="7" width="6.6640625" customWidth="1"/>
    <col min="8" max="8" width="3.6640625" customWidth="1"/>
    <col min="9" max="9" width="16.6640625" customWidth="1"/>
    <col min="10" max="11" width="6.6640625" customWidth="1"/>
    <col min="12" max="12" width="9.109375" style="40" customWidth="1"/>
    <col min="13" max="14" width="20.6640625" customWidth="1"/>
    <col min="15" max="15" width="14.6640625" customWidth="1"/>
  </cols>
  <sheetData>
    <row r="1" spans="1:26" s="81" customFormat="1" ht="19.5" x14ac:dyDescent="0.3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80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19.5" thickBot="1" x14ac:dyDescent="0.35">
      <c r="A2" s="104"/>
      <c r="B2" s="209" t="s">
        <v>939</v>
      </c>
      <c r="C2" s="209"/>
      <c r="D2" s="209"/>
      <c r="E2" s="209"/>
      <c r="F2" s="209"/>
      <c r="G2" s="209"/>
      <c r="H2" s="209"/>
      <c r="I2" s="209"/>
      <c r="J2" s="209"/>
      <c r="K2" s="209"/>
      <c r="L2" s="104"/>
      <c r="M2" s="207" t="s">
        <v>738</v>
      </c>
      <c r="N2" s="207"/>
      <c r="O2" s="153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spans="1:26" s="34" customFormat="1" ht="20.100000000000001" customHeight="1" thickTop="1" thickBot="1" x14ac:dyDescent="0.3">
      <c r="A3" s="48"/>
      <c r="B3" s="210" t="s">
        <v>1122</v>
      </c>
      <c r="C3" s="210"/>
      <c r="D3" s="210"/>
      <c r="E3" s="210"/>
      <c r="F3" s="210"/>
      <c r="G3" s="210"/>
      <c r="H3" s="210"/>
      <c r="I3" s="210"/>
      <c r="J3" s="210"/>
      <c r="K3" s="210"/>
      <c r="L3" s="48"/>
      <c r="M3" s="153"/>
      <c r="N3" s="154" t="s">
        <v>24</v>
      </c>
      <c r="O3" s="154" t="s">
        <v>862</v>
      </c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ht="16.5" thickTop="1" thickBot="1" x14ac:dyDescent="0.3">
      <c r="A4" s="104"/>
      <c r="B4" s="119" t="s">
        <v>0</v>
      </c>
      <c r="C4" s="205"/>
      <c r="D4" s="205"/>
      <c r="E4" s="205"/>
      <c r="F4" s="119"/>
      <c r="G4" s="119" t="s">
        <v>1</v>
      </c>
      <c r="H4" s="22"/>
      <c r="I4" s="215"/>
      <c r="J4" s="216"/>
      <c r="K4" s="119"/>
      <c r="L4" s="104"/>
      <c r="M4" s="153"/>
      <c r="N4" s="154" t="s">
        <v>996</v>
      </c>
      <c r="O4" s="154" t="s">
        <v>863</v>
      </c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spans="1:26" ht="16.5" thickTop="1" thickBot="1" x14ac:dyDescent="0.3">
      <c r="A5" s="104"/>
      <c r="B5" s="119" t="s">
        <v>2</v>
      </c>
      <c r="C5" s="219"/>
      <c r="D5" s="220"/>
      <c r="E5" s="22"/>
      <c r="F5" s="119"/>
      <c r="G5" s="119" t="s">
        <v>3</v>
      </c>
      <c r="H5" s="22"/>
      <c r="I5" s="217"/>
      <c r="J5" s="218"/>
      <c r="K5" s="119"/>
      <c r="L5" s="104"/>
      <c r="M5" s="154" t="s">
        <v>749</v>
      </c>
      <c r="N5" s="154" t="s">
        <v>29</v>
      </c>
      <c r="O5" s="154" t="s">
        <v>1153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spans="1:26" ht="16.5" thickTop="1" thickBot="1" x14ac:dyDescent="0.3">
      <c r="A6" s="104"/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04"/>
      <c r="M6" s="153"/>
      <c r="N6" s="153"/>
      <c r="O6" s="153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spans="1:26" ht="16.5" thickTop="1" thickBot="1" x14ac:dyDescent="0.3">
      <c r="A7" s="104"/>
      <c r="B7" s="212" t="s">
        <v>1001</v>
      </c>
      <c r="C7" s="212"/>
      <c r="D7" s="212"/>
      <c r="E7" s="212"/>
      <c r="F7" s="212"/>
      <c r="G7" s="212"/>
      <c r="H7" s="212"/>
      <c r="I7" s="123" t="s">
        <v>4</v>
      </c>
      <c r="J7" s="2">
        <f>SUM(F9,F13,F14,F15,J15,J14,J13,J12,J11,J10,J9)</f>
        <v>0</v>
      </c>
      <c r="K7" s="123" t="s">
        <v>5</v>
      </c>
      <c r="L7" s="104"/>
      <c r="M7" s="154" t="s">
        <v>746</v>
      </c>
      <c r="N7" s="153"/>
      <c r="O7" s="153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spans="1:26" ht="16.5" thickTop="1" thickBot="1" x14ac:dyDescent="0.3">
      <c r="A8" s="104"/>
      <c r="B8" s="106"/>
      <c r="C8" s="119"/>
      <c r="D8" s="119"/>
      <c r="E8" s="33" t="s">
        <v>6</v>
      </c>
      <c r="F8" s="33" t="s">
        <v>7</v>
      </c>
      <c r="G8" s="33" t="s">
        <v>8</v>
      </c>
      <c r="H8" s="119"/>
      <c r="I8" s="33" t="s">
        <v>6</v>
      </c>
      <c r="J8" s="33" t="s">
        <v>7</v>
      </c>
      <c r="K8" s="33" t="s">
        <v>8</v>
      </c>
      <c r="L8" s="104"/>
      <c r="M8" s="153"/>
      <c r="N8" s="153"/>
      <c r="O8" s="153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5.6" thickTop="1" thickBot="1" x14ac:dyDescent="0.35">
      <c r="A9" s="104"/>
      <c r="B9" s="194" t="s">
        <v>1009</v>
      </c>
      <c r="C9" s="194"/>
      <c r="D9" s="194"/>
      <c r="E9" s="56"/>
      <c r="F9" s="122"/>
      <c r="G9" s="122"/>
      <c r="H9" s="121"/>
      <c r="I9" s="56"/>
      <c r="J9" s="170"/>
      <c r="K9" s="170"/>
      <c r="L9" s="104"/>
      <c r="M9" s="208"/>
      <c r="N9" s="153"/>
      <c r="O9" s="153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5.6" thickTop="1" thickBot="1" x14ac:dyDescent="0.35">
      <c r="A10" s="104"/>
      <c r="B10" s="194" t="s">
        <v>1010</v>
      </c>
      <c r="C10" s="194"/>
      <c r="D10" s="194"/>
      <c r="E10" s="22"/>
      <c r="F10" s="125"/>
      <c r="G10" s="125"/>
      <c r="H10" s="121"/>
      <c r="I10" s="56"/>
      <c r="J10" s="170"/>
      <c r="K10" s="170"/>
      <c r="L10" s="104"/>
      <c r="M10" s="208"/>
      <c r="N10" s="153"/>
      <c r="O10" s="153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5.6" thickTop="1" thickBot="1" x14ac:dyDescent="0.35">
      <c r="A11" s="104"/>
      <c r="B11" s="194" t="s">
        <v>1011</v>
      </c>
      <c r="C11" s="194"/>
      <c r="D11" s="194"/>
      <c r="E11" s="22"/>
      <c r="F11" s="125"/>
      <c r="G11" s="125"/>
      <c r="H11" s="121"/>
      <c r="I11" s="56"/>
      <c r="J11" s="170"/>
      <c r="K11" s="170"/>
      <c r="L11" s="104"/>
      <c r="M11" s="208"/>
      <c r="N11" s="153"/>
      <c r="O11" s="153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spans="1:26" ht="16.5" thickTop="1" thickBot="1" x14ac:dyDescent="0.3">
      <c r="A12" s="104"/>
      <c r="B12" s="194" t="s">
        <v>1012</v>
      </c>
      <c r="C12" s="194"/>
      <c r="D12" s="194"/>
      <c r="E12" s="22"/>
      <c r="F12" s="125"/>
      <c r="G12" s="125"/>
      <c r="H12" s="121"/>
      <c r="I12" s="56"/>
      <c r="J12" s="170"/>
      <c r="K12" s="170"/>
      <c r="L12" s="104"/>
      <c r="M12" s="153"/>
      <c r="N12" s="153"/>
      <c r="O12" s="153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spans="1:26" ht="16.5" thickTop="1" thickBot="1" x14ac:dyDescent="0.3">
      <c r="A13" s="104"/>
      <c r="B13" s="194" t="s">
        <v>1015</v>
      </c>
      <c r="C13" s="194"/>
      <c r="D13" s="194"/>
      <c r="E13" s="171"/>
      <c r="F13" s="170"/>
      <c r="G13" s="170"/>
      <c r="H13" s="121"/>
      <c r="I13" s="56"/>
      <c r="J13" s="170"/>
      <c r="K13" s="170"/>
      <c r="L13" s="104"/>
      <c r="M13" s="153"/>
      <c r="N13" s="153"/>
      <c r="O13" s="153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spans="1:26" ht="16.5" thickTop="1" thickBot="1" x14ac:dyDescent="0.3">
      <c r="A14" s="104"/>
      <c r="B14" s="194" t="s">
        <v>1016</v>
      </c>
      <c r="C14" s="194"/>
      <c r="D14" s="194"/>
      <c r="E14" s="171"/>
      <c r="F14" s="170"/>
      <c r="G14" s="170"/>
      <c r="H14" s="121"/>
      <c r="I14" s="56"/>
      <c r="J14" s="170"/>
      <c r="K14" s="170"/>
      <c r="L14" s="104"/>
      <c r="M14" s="153"/>
      <c r="N14" s="153"/>
      <c r="O14" s="153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spans="1:26" ht="16.5" thickTop="1" thickBot="1" x14ac:dyDescent="0.3">
      <c r="A15" s="104"/>
      <c r="B15" s="194" t="s">
        <v>1017</v>
      </c>
      <c r="C15" s="194"/>
      <c r="D15" s="194"/>
      <c r="E15" s="171"/>
      <c r="F15" s="170"/>
      <c r="G15" s="170"/>
      <c r="H15" s="137"/>
      <c r="I15" s="56"/>
      <c r="J15" s="170"/>
      <c r="K15" s="170"/>
      <c r="L15" s="104"/>
      <c r="M15" s="153"/>
      <c r="N15" s="153"/>
      <c r="O15" s="153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spans="1:26" ht="16.5" thickTop="1" thickBot="1" x14ac:dyDescent="0.3">
      <c r="A16" s="104"/>
      <c r="B16" s="57"/>
      <c r="C16" s="121"/>
      <c r="D16" s="121"/>
      <c r="E16" s="121"/>
      <c r="F16" s="121"/>
      <c r="G16" s="121"/>
      <c r="H16" s="121"/>
      <c r="I16" s="22"/>
      <c r="J16" s="22"/>
      <c r="K16" s="22"/>
      <c r="L16" s="104"/>
      <c r="M16" s="153"/>
      <c r="N16" s="153"/>
      <c r="O16" s="153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spans="1:26" ht="16.5" thickTop="1" thickBot="1" x14ac:dyDescent="0.3">
      <c r="A17" s="104"/>
      <c r="B17" s="195" t="s">
        <v>1020</v>
      </c>
      <c r="C17" s="195"/>
      <c r="D17" s="195"/>
      <c r="E17" s="195"/>
      <c r="F17" s="195"/>
      <c r="G17" s="195"/>
      <c r="H17" s="195"/>
      <c r="I17" s="120" t="s">
        <v>4</v>
      </c>
      <c r="J17" s="2">
        <f>SUM(J19:J22)</f>
        <v>0</v>
      </c>
      <c r="K17" s="120" t="s">
        <v>11</v>
      </c>
      <c r="L17" s="104"/>
      <c r="M17" s="154" t="s">
        <v>747</v>
      </c>
      <c r="N17" s="153"/>
      <c r="O17" s="153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spans="1:26" ht="16.5" thickTop="1" thickBot="1" x14ac:dyDescent="0.3">
      <c r="A18" s="104"/>
      <c r="B18" s="119"/>
      <c r="C18" s="119"/>
      <c r="D18" s="119"/>
      <c r="E18" s="33"/>
      <c r="F18" s="33"/>
      <c r="G18" s="33"/>
      <c r="H18" s="119"/>
      <c r="I18" s="33" t="s">
        <v>6</v>
      </c>
      <c r="J18" s="33" t="s">
        <v>7</v>
      </c>
      <c r="K18" s="33" t="s">
        <v>8</v>
      </c>
      <c r="L18" s="104"/>
      <c r="M18" s="153"/>
      <c r="N18" s="153"/>
      <c r="O18" s="153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spans="1:26" ht="16.5" thickTop="1" thickBot="1" x14ac:dyDescent="0.3">
      <c r="A19" s="104"/>
      <c r="B19" s="119" t="s">
        <v>1018</v>
      </c>
      <c r="C19" s="119"/>
      <c r="D19" s="119"/>
      <c r="E19" s="119"/>
      <c r="F19" s="119"/>
      <c r="G19" s="119"/>
      <c r="H19" s="121"/>
      <c r="I19" s="56"/>
      <c r="J19" s="122"/>
      <c r="K19" s="122"/>
      <c r="L19" s="104"/>
      <c r="M19" s="153"/>
      <c r="N19" s="153"/>
      <c r="O19" s="153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spans="1:26" ht="16.5" thickTop="1" thickBot="1" x14ac:dyDescent="0.3">
      <c r="A20" s="104"/>
      <c r="B20" s="119"/>
      <c r="C20" s="119"/>
      <c r="D20" s="119"/>
      <c r="E20" s="119"/>
      <c r="F20" s="119"/>
      <c r="G20" s="119"/>
      <c r="H20" s="121"/>
      <c r="I20" s="56"/>
      <c r="J20" s="122"/>
      <c r="K20" s="122"/>
      <c r="L20" s="104"/>
      <c r="M20" s="153"/>
      <c r="N20" s="153"/>
      <c r="O20" s="153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spans="1:26" ht="16.5" thickTop="1" thickBot="1" x14ac:dyDescent="0.3">
      <c r="A21" s="104"/>
      <c r="B21" s="119" t="s">
        <v>1019</v>
      </c>
      <c r="C21" s="119"/>
      <c r="D21" s="119"/>
      <c r="E21" s="119"/>
      <c r="F21" s="119"/>
      <c r="G21" s="119"/>
      <c r="H21" s="121"/>
      <c r="I21" s="56"/>
      <c r="J21" s="122"/>
      <c r="K21" s="122"/>
      <c r="L21" s="104"/>
      <c r="M21" s="153"/>
      <c r="N21" s="153"/>
      <c r="O21" s="153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spans="1:26" ht="16.5" thickTop="1" thickBot="1" x14ac:dyDescent="0.3">
      <c r="A22" s="104"/>
      <c r="B22" s="119"/>
      <c r="C22" s="119"/>
      <c r="D22" s="119"/>
      <c r="E22" s="119"/>
      <c r="F22" s="119"/>
      <c r="G22" s="119"/>
      <c r="H22" s="121"/>
      <c r="I22" s="56"/>
      <c r="J22" s="122"/>
      <c r="K22" s="122"/>
      <c r="L22" s="104"/>
      <c r="M22" s="153"/>
      <c r="N22" s="153"/>
      <c r="O22" s="153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spans="1:26" ht="16.5" thickTop="1" thickBot="1" x14ac:dyDescent="0.3">
      <c r="A23" s="104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04"/>
      <c r="M23" s="153"/>
      <c r="N23" s="153"/>
      <c r="O23" s="153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spans="1:26" ht="16.5" thickTop="1" thickBot="1" x14ac:dyDescent="0.3">
      <c r="A24" s="104"/>
      <c r="B24" s="195" t="s">
        <v>10</v>
      </c>
      <c r="C24" s="195"/>
      <c r="D24" s="195"/>
      <c r="E24" s="195"/>
      <c r="F24" s="195"/>
      <c r="G24" s="195"/>
      <c r="H24" s="195"/>
      <c r="I24" s="120" t="s">
        <v>4</v>
      </c>
      <c r="J24" s="2">
        <f>SUM(F26,F27,F28,F29,J29,J28,J26,J27)</f>
        <v>0</v>
      </c>
      <c r="K24" s="120" t="s">
        <v>9</v>
      </c>
      <c r="L24" s="104"/>
      <c r="M24" s="154" t="s">
        <v>748</v>
      </c>
      <c r="N24" s="153"/>
      <c r="O24" s="153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spans="1:26" ht="16.5" thickTop="1" thickBot="1" x14ac:dyDescent="0.3">
      <c r="A25" s="104"/>
      <c r="B25" s="119"/>
      <c r="C25" s="119"/>
      <c r="D25" s="119"/>
      <c r="E25" s="33" t="s">
        <v>6</v>
      </c>
      <c r="F25" s="33" t="s">
        <v>7</v>
      </c>
      <c r="G25" s="33" t="s">
        <v>8</v>
      </c>
      <c r="H25" s="119"/>
      <c r="I25" s="33" t="s">
        <v>6</v>
      </c>
      <c r="J25" s="33" t="s">
        <v>7</v>
      </c>
      <c r="K25" s="33" t="s">
        <v>8</v>
      </c>
      <c r="L25" s="104"/>
      <c r="M25" s="153"/>
      <c r="N25" s="153"/>
      <c r="O25" s="153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spans="1:26" ht="16.5" thickTop="1" thickBot="1" x14ac:dyDescent="0.3">
      <c r="A26" s="104"/>
      <c r="B26" s="119" t="s">
        <v>1006</v>
      </c>
      <c r="C26" s="119"/>
      <c r="D26" s="22"/>
      <c r="E26" s="171"/>
      <c r="F26" s="170"/>
      <c r="G26" s="170"/>
      <c r="H26" s="121"/>
      <c r="I26" s="56"/>
      <c r="J26" s="170"/>
      <c r="K26" s="170"/>
      <c r="L26" s="104"/>
      <c r="M26" s="153"/>
      <c r="N26" s="153"/>
      <c r="O26" s="153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spans="1:26" ht="16.5" thickTop="1" thickBot="1" x14ac:dyDescent="0.3">
      <c r="A27" s="104"/>
      <c r="B27" s="119"/>
      <c r="C27" s="119"/>
      <c r="D27" s="22"/>
      <c r="E27" s="171"/>
      <c r="F27" s="170"/>
      <c r="G27" s="170"/>
      <c r="H27" s="121"/>
      <c r="I27" s="56"/>
      <c r="J27" s="170"/>
      <c r="K27" s="170"/>
      <c r="L27" s="104"/>
      <c r="M27" s="153"/>
      <c r="N27" s="153"/>
      <c r="O27" s="153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spans="1:26" ht="16.5" thickTop="1" thickBot="1" x14ac:dyDescent="0.3">
      <c r="A28" s="104"/>
      <c r="B28" s="119"/>
      <c r="C28" s="119"/>
      <c r="D28" s="22"/>
      <c r="E28" s="171"/>
      <c r="F28" s="170"/>
      <c r="G28" s="170"/>
      <c r="H28" s="121"/>
      <c r="I28" s="56"/>
      <c r="J28" s="170"/>
      <c r="K28" s="170"/>
      <c r="L28" s="104"/>
      <c r="M28" s="153"/>
      <c r="N28" s="153"/>
      <c r="O28" s="153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spans="1:26" ht="16.5" thickTop="1" thickBot="1" x14ac:dyDescent="0.3">
      <c r="A29" s="104"/>
      <c r="B29" s="119"/>
      <c r="C29" s="119"/>
      <c r="D29" s="22"/>
      <c r="E29" s="171"/>
      <c r="F29" s="170"/>
      <c r="G29" s="170"/>
      <c r="H29" s="121"/>
      <c r="I29" s="56"/>
      <c r="J29" s="170"/>
      <c r="K29" s="170"/>
      <c r="L29" s="104"/>
      <c r="M29" s="153"/>
      <c r="N29" s="153"/>
      <c r="O29" s="153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spans="1:26" ht="16.5" thickTop="1" thickBot="1" x14ac:dyDescent="0.3">
      <c r="A30" s="104"/>
      <c r="B30" s="196"/>
      <c r="C30" s="196"/>
      <c r="D30" s="196"/>
      <c r="E30" s="196"/>
      <c r="F30" s="196"/>
      <c r="G30" s="196"/>
      <c r="H30" s="196"/>
      <c r="I30" s="196"/>
      <c r="J30" s="196"/>
      <c r="K30" s="196"/>
      <c r="L30" s="104"/>
      <c r="M30" s="153"/>
      <c r="N30" s="153"/>
      <c r="O30" s="153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spans="1:26" ht="16.5" thickTop="1" thickBot="1" x14ac:dyDescent="0.3">
      <c r="A31" s="104"/>
      <c r="B31" s="23" t="s">
        <v>1021</v>
      </c>
      <c r="C31" s="22"/>
      <c r="D31" s="22"/>
      <c r="E31" s="119" t="s">
        <v>12</v>
      </c>
      <c r="F31" s="119"/>
      <c r="G31" s="20">
        <f>SUM(J7,J17,J24)</f>
        <v>0</v>
      </c>
      <c r="H31" s="119"/>
      <c r="I31" s="119" t="s">
        <v>13</v>
      </c>
      <c r="J31" s="122"/>
      <c r="K31" s="119"/>
      <c r="L31" s="104"/>
      <c r="M31" s="153"/>
      <c r="N31" s="153"/>
      <c r="O31" s="153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spans="1:26" ht="16.5" thickTop="1" thickBot="1" x14ac:dyDescent="0.3">
      <c r="A32" s="104"/>
      <c r="B32" s="22"/>
      <c r="C32" s="22"/>
      <c r="D32" s="22"/>
      <c r="E32" s="119" t="s">
        <v>14</v>
      </c>
      <c r="F32" s="119"/>
      <c r="G32" s="122"/>
      <c r="H32" s="119"/>
      <c r="I32" s="119" t="s">
        <v>15</v>
      </c>
      <c r="J32" s="122"/>
      <c r="K32" s="119"/>
      <c r="L32" s="104"/>
      <c r="M32" s="153"/>
      <c r="N32" s="153"/>
      <c r="O32" s="153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spans="1:26" ht="16.5" thickTop="1" thickBot="1" x14ac:dyDescent="0.3">
      <c r="A33" s="104"/>
      <c r="B33" s="196"/>
      <c r="C33" s="196"/>
      <c r="D33" s="196"/>
      <c r="E33" s="196"/>
      <c r="F33" s="196"/>
      <c r="G33" s="196"/>
      <c r="H33" s="196"/>
      <c r="I33" s="196"/>
      <c r="J33" s="196"/>
      <c r="K33" s="196"/>
      <c r="L33" s="104"/>
      <c r="M33" s="153"/>
      <c r="N33" s="153"/>
      <c r="O33" s="153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spans="1:26" ht="16.5" thickTop="1" thickBot="1" x14ac:dyDescent="0.3">
      <c r="A34" s="104"/>
      <c r="B34" s="120" t="s">
        <v>1033</v>
      </c>
      <c r="C34" s="120"/>
      <c r="D34" s="120"/>
      <c r="E34" s="120"/>
      <c r="F34" s="120"/>
      <c r="G34" s="120"/>
      <c r="H34" s="120"/>
      <c r="I34" s="120"/>
      <c r="J34" s="120"/>
      <c r="K34" s="120"/>
      <c r="L34" s="104"/>
      <c r="M34" s="154" t="s">
        <v>750</v>
      </c>
      <c r="N34" s="153"/>
      <c r="O34" s="153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spans="1:26" ht="16.5" thickTop="1" thickBot="1" x14ac:dyDescent="0.3">
      <c r="A35" s="104"/>
      <c r="B35" s="119" t="s">
        <v>16</v>
      </c>
      <c r="C35" s="119"/>
      <c r="D35" s="119"/>
      <c r="E35" s="119"/>
      <c r="F35" s="119"/>
      <c r="G35" s="119"/>
      <c r="H35" s="119"/>
      <c r="I35" s="119"/>
      <c r="J35" s="197"/>
      <c r="K35" s="197"/>
      <c r="L35" s="104"/>
      <c r="M35" s="153"/>
      <c r="N35" s="153"/>
      <c r="O35" s="153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spans="1:26" ht="15.75" thickTop="1" x14ac:dyDescent="0.25">
      <c r="A36" s="104"/>
      <c r="B36" s="119" t="s">
        <v>1013</v>
      </c>
      <c r="C36" s="119"/>
      <c r="D36" s="119"/>
      <c r="E36" s="119"/>
      <c r="F36" s="119"/>
      <c r="G36" s="119"/>
      <c r="H36" s="119"/>
      <c r="I36" s="119"/>
      <c r="J36" s="198"/>
      <c r="K36" s="198"/>
      <c r="L36" s="104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spans="1:26" ht="15" x14ac:dyDescent="0.25">
      <c r="A37" s="104"/>
      <c r="B37" s="119" t="s">
        <v>17</v>
      </c>
      <c r="C37" s="119"/>
      <c r="D37" s="119"/>
      <c r="E37" s="119"/>
      <c r="F37" s="119"/>
      <c r="G37" s="119"/>
      <c r="H37" s="119"/>
      <c r="I37" s="119"/>
      <c r="J37" s="197"/>
      <c r="K37" s="197"/>
      <c r="L37" s="104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spans="1:26" ht="15" x14ac:dyDescent="0.25">
      <c r="A38" s="104"/>
      <c r="B38" s="119" t="s">
        <v>1007</v>
      </c>
      <c r="C38" s="119"/>
      <c r="D38" s="119"/>
      <c r="E38" s="119"/>
      <c r="F38" s="119"/>
      <c r="G38" s="119"/>
      <c r="H38" s="119"/>
      <c r="I38" s="119"/>
      <c r="J38" s="188"/>
      <c r="K38" s="189"/>
      <c r="L38" s="104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spans="1:26" ht="15" x14ac:dyDescent="0.25">
      <c r="A39" s="104"/>
      <c r="B39" s="119" t="s">
        <v>18</v>
      </c>
      <c r="C39" s="119"/>
      <c r="D39" s="119"/>
      <c r="E39" s="119"/>
      <c r="F39" s="119"/>
      <c r="G39" s="119"/>
      <c r="H39" s="119"/>
      <c r="I39" s="119"/>
      <c r="J39" s="122"/>
      <c r="K39" s="2" t="s">
        <v>19</v>
      </c>
      <c r="L39" s="104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spans="1:26" ht="15" x14ac:dyDescent="0.25">
      <c r="A40" s="104"/>
      <c r="B40" s="119" t="s">
        <v>735</v>
      </c>
      <c r="C40" s="119"/>
      <c r="D40" s="119"/>
      <c r="E40" s="119"/>
      <c r="F40" s="119"/>
      <c r="G40" s="119"/>
      <c r="H40" s="119"/>
      <c r="I40" s="119"/>
      <c r="J40" s="122"/>
      <c r="K40" s="2" t="s">
        <v>9</v>
      </c>
      <c r="L40" s="104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spans="1:26" ht="15" x14ac:dyDescent="0.25">
      <c r="A41" s="104"/>
      <c r="B41" s="119" t="s">
        <v>736</v>
      </c>
      <c r="C41" s="119"/>
      <c r="D41" s="119"/>
      <c r="E41" s="119"/>
      <c r="F41" s="119"/>
      <c r="G41" s="119"/>
      <c r="H41" s="119"/>
      <c r="I41" s="119"/>
      <c r="J41" s="77"/>
      <c r="K41" s="2" t="s">
        <v>20</v>
      </c>
      <c r="L41" s="104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spans="1:26" ht="15" x14ac:dyDescent="0.25">
      <c r="A42" s="104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04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spans="1:26" x14ac:dyDescent="0.3">
      <c r="A43" s="104"/>
      <c r="B43" s="120" t="s">
        <v>21</v>
      </c>
      <c r="C43" s="120"/>
      <c r="D43" s="120"/>
      <c r="E43" s="120"/>
      <c r="F43" s="120"/>
      <c r="G43" s="120"/>
      <c r="H43" s="120"/>
      <c r="I43" s="120"/>
      <c r="J43" s="120"/>
      <c r="K43" s="120"/>
      <c r="L43" s="104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spans="1:26" x14ac:dyDescent="0.3">
      <c r="A44" s="104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104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spans="1:26" x14ac:dyDescent="0.3">
      <c r="A45" s="104"/>
      <c r="B45" s="202"/>
      <c r="C45" s="203"/>
      <c r="D45" s="203"/>
      <c r="E45" s="203"/>
      <c r="F45" s="203"/>
      <c r="G45" s="203"/>
      <c r="H45" s="203"/>
      <c r="I45" s="203"/>
      <c r="J45" s="203"/>
      <c r="K45" s="204"/>
      <c r="L45" s="104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spans="1:26" x14ac:dyDescent="0.3">
      <c r="A46" s="104"/>
      <c r="B46" s="179" t="s">
        <v>22</v>
      </c>
      <c r="C46" s="205"/>
      <c r="D46" s="205"/>
      <c r="E46" s="205"/>
      <c r="F46" s="205"/>
      <c r="G46" s="179" t="s">
        <v>23</v>
      </c>
      <c r="H46" s="206"/>
      <c r="I46" s="206"/>
      <c r="J46" s="206"/>
      <c r="K46" s="206"/>
      <c r="L46" s="104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spans="1:26" s="44" customFormat="1" ht="15" customHeight="1" x14ac:dyDescent="0.3">
      <c r="A47" s="105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spans="1:26" s="44" customFormat="1" x14ac:dyDescent="0.3">
      <c r="A48" s="105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spans="1:26" s="44" customFormat="1" x14ac:dyDescent="0.3">
      <c r="A49" s="105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spans="1:26" s="44" customFormat="1" x14ac:dyDescent="0.3">
      <c r="A50" s="105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spans="1:26" s="44" customFormat="1" x14ac:dyDescent="0.3">
      <c r="A51" s="105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spans="1:26" s="44" customFormat="1" x14ac:dyDescent="0.3">
      <c r="A52" s="105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spans="1:26" s="44" customFormat="1" x14ac:dyDescent="0.3">
      <c r="A53" s="105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spans="1:26" s="44" customFormat="1" x14ac:dyDescent="0.3">
      <c r="A54" s="105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spans="1:26" s="44" customFormat="1" x14ac:dyDescent="0.3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4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spans="1:26" x14ac:dyDescent="0.3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4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spans="1:26" x14ac:dyDescent="0.3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4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spans="1:26" x14ac:dyDescent="0.3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4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spans="1:26" x14ac:dyDescent="0.3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4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spans="1:26" x14ac:dyDescent="0.3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4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spans="1:26" x14ac:dyDescent="0.3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4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spans="1:26" x14ac:dyDescent="0.3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4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spans="1:26" x14ac:dyDescent="0.3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4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spans="1:26" x14ac:dyDescent="0.3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4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spans="1:26" x14ac:dyDescent="0.3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4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spans="1:26" x14ac:dyDescent="0.3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4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spans="1:26" x14ac:dyDescent="0.3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4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spans="1:26" x14ac:dyDescent="0.3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4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spans="1:26" x14ac:dyDescent="0.3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4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spans="1:26" x14ac:dyDescent="0.3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4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spans="1:26" x14ac:dyDescent="0.3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4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spans="1:26" x14ac:dyDescent="0.3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4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spans="1:26" x14ac:dyDescent="0.3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4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spans="1:26" x14ac:dyDescent="0.3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4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spans="1:26" x14ac:dyDescent="0.3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4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spans="1:26" x14ac:dyDescent="0.3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4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spans="1:26" x14ac:dyDescent="0.3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4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spans="1:26" x14ac:dyDescent="0.3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4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spans="1:26" x14ac:dyDescent="0.3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4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spans="1:26" x14ac:dyDescent="0.3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4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spans="1:26" x14ac:dyDescent="0.3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4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spans="1:26" x14ac:dyDescent="0.3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4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spans="1:26" x14ac:dyDescent="0.3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4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spans="1:26" x14ac:dyDescent="0.3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4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spans="1:26" x14ac:dyDescent="0.3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4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spans="1:26" x14ac:dyDescent="0.3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4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spans="1:26" x14ac:dyDescent="0.3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4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spans="1:26" x14ac:dyDescent="0.3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4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spans="1:26" x14ac:dyDescent="0.3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4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spans="1:26" x14ac:dyDescent="0.3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4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spans="1:26" x14ac:dyDescent="0.3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4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spans="1:26" x14ac:dyDescent="0.3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4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spans="1:26" x14ac:dyDescent="0.3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4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spans="1:26" x14ac:dyDescent="0.3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4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spans="1:26" x14ac:dyDescent="0.3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4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spans="1:26" x14ac:dyDescent="0.3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4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spans="1:26" x14ac:dyDescent="0.3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4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spans="1:26" x14ac:dyDescent="0.3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4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spans="1:26" x14ac:dyDescent="0.3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4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spans="1:26" x14ac:dyDescent="0.3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4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spans="1:26" x14ac:dyDescent="0.3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4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spans="1:26" x14ac:dyDescent="0.3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4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spans="1:26" x14ac:dyDescent="0.3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4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spans="1:26" x14ac:dyDescent="0.3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4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spans="1:26" x14ac:dyDescent="0.3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4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spans="1:26" x14ac:dyDescent="0.3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4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spans="1:26" x14ac:dyDescent="0.3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4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spans="1:26" x14ac:dyDescent="0.3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4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spans="1:26" x14ac:dyDescent="0.3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4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spans="1:26" x14ac:dyDescent="0.3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4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spans="1:26" x14ac:dyDescent="0.3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4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spans="1:26" x14ac:dyDescent="0.3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4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spans="1:26" x14ac:dyDescent="0.3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4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spans="1:26" x14ac:dyDescent="0.3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4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spans="1:26" x14ac:dyDescent="0.3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4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spans="1:26" x14ac:dyDescent="0.3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4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spans="1:26" x14ac:dyDescent="0.3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4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spans="1:26" x14ac:dyDescent="0.3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4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spans="1:26" x14ac:dyDescent="0.3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4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spans="1:26" x14ac:dyDescent="0.3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4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spans="1:26" x14ac:dyDescent="0.3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4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spans="1:26" x14ac:dyDescent="0.3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4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spans="1:26" x14ac:dyDescent="0.3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4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spans="1:26" x14ac:dyDescent="0.3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4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spans="1:26" x14ac:dyDescent="0.3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4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spans="1:26" x14ac:dyDescent="0.3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4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spans="1:26" x14ac:dyDescent="0.3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4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spans="1:26" x14ac:dyDescent="0.3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4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spans="1:26" x14ac:dyDescent="0.3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4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spans="1:26" x14ac:dyDescent="0.3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4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spans="1:26" x14ac:dyDescent="0.3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4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spans="1:26" x14ac:dyDescent="0.3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4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spans="1:26" x14ac:dyDescent="0.3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4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spans="1:26" x14ac:dyDescent="0.3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4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spans="1:26" x14ac:dyDescent="0.3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4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spans="1:26" x14ac:dyDescent="0.3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4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spans="1:26" x14ac:dyDescent="0.3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4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spans="1:26" x14ac:dyDescent="0.3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4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spans="1:26" x14ac:dyDescent="0.3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4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spans="1:26" x14ac:dyDescent="0.3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4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spans="1:26" x14ac:dyDescent="0.3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4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spans="1:26" x14ac:dyDescent="0.3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4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spans="1:26" x14ac:dyDescent="0.3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4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spans="1:26" x14ac:dyDescent="0.3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4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spans="1:26" x14ac:dyDescent="0.3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4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spans="1:26" x14ac:dyDescent="0.3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4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spans="1:26" x14ac:dyDescent="0.3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4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spans="1:26" x14ac:dyDescent="0.3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4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spans="1:26" x14ac:dyDescent="0.3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4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spans="1:26" x14ac:dyDescent="0.3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4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spans="1:26" x14ac:dyDescent="0.3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4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spans="1:26" x14ac:dyDescent="0.3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4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spans="1:26" x14ac:dyDescent="0.3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4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spans="1:26" x14ac:dyDescent="0.3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4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spans="1:26" x14ac:dyDescent="0.3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4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spans="1:26" x14ac:dyDescent="0.3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4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spans="1:26" x14ac:dyDescent="0.3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4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spans="1:26" x14ac:dyDescent="0.3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4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spans="1:26" x14ac:dyDescent="0.3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4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spans="1:26" x14ac:dyDescent="0.3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4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spans="1:26" x14ac:dyDescent="0.3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4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spans="1:26" x14ac:dyDescent="0.3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4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spans="1:26" x14ac:dyDescent="0.3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4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spans="1:26" x14ac:dyDescent="0.3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4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spans="1:26" x14ac:dyDescent="0.3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4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spans="1:26" x14ac:dyDescent="0.3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4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spans="1:26" x14ac:dyDescent="0.3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4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spans="1:26" x14ac:dyDescent="0.3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4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spans="1:26" x14ac:dyDescent="0.3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4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spans="1:26" x14ac:dyDescent="0.3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4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spans="1:26" x14ac:dyDescent="0.3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4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spans="1:26" x14ac:dyDescent="0.3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4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spans="1:26" x14ac:dyDescent="0.3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4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spans="1:26" x14ac:dyDescent="0.3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4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spans="1:26" x14ac:dyDescent="0.3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4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spans="1:26" x14ac:dyDescent="0.3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4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spans="1:26" x14ac:dyDescent="0.3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4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spans="1:26" x14ac:dyDescent="0.3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4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spans="1:26" x14ac:dyDescent="0.3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4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spans="1:26" x14ac:dyDescent="0.3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4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spans="1:26" x14ac:dyDescent="0.3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4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spans="1:26" x14ac:dyDescent="0.3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4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spans="1:26" x14ac:dyDescent="0.3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4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spans="1:26" x14ac:dyDescent="0.3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4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spans="1:26" x14ac:dyDescent="0.3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4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spans="1:26" x14ac:dyDescent="0.3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4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spans="1:26" x14ac:dyDescent="0.3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4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spans="1:26" x14ac:dyDescent="0.3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4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spans="1:26" x14ac:dyDescent="0.3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4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spans="1:26" x14ac:dyDescent="0.3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4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spans="1:26" x14ac:dyDescent="0.3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4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spans="1:26" x14ac:dyDescent="0.3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4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spans="1:26" x14ac:dyDescent="0.3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4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spans="1:26" x14ac:dyDescent="0.3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4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spans="1:26" x14ac:dyDescent="0.3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4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spans="1:26" x14ac:dyDescent="0.3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4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spans="1:26" x14ac:dyDescent="0.3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4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spans="1:26" x14ac:dyDescent="0.3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4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spans="1:26" x14ac:dyDescent="0.3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4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spans="1:26" x14ac:dyDescent="0.3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4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spans="1:26" x14ac:dyDescent="0.3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4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spans="1:26" x14ac:dyDescent="0.3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4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spans="1:26" x14ac:dyDescent="0.3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4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spans="1:26" x14ac:dyDescent="0.3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4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spans="1:26" x14ac:dyDescent="0.3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4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spans="1:26" x14ac:dyDescent="0.3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4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spans="1:26" x14ac:dyDescent="0.3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4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spans="1:26" x14ac:dyDescent="0.3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4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spans="1:26" x14ac:dyDescent="0.3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4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spans="1:26" x14ac:dyDescent="0.3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4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spans="1:26" x14ac:dyDescent="0.3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4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spans="1:26" x14ac:dyDescent="0.3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4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spans="1:26" x14ac:dyDescent="0.3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4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spans="1:26" x14ac:dyDescent="0.3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4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spans="1:26" x14ac:dyDescent="0.3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4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spans="1:26" x14ac:dyDescent="0.3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4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spans="1:26" x14ac:dyDescent="0.3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4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spans="1:26" x14ac:dyDescent="0.3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4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spans="1:26" x14ac:dyDescent="0.3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4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spans="1:26" x14ac:dyDescent="0.3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4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spans="1:26" x14ac:dyDescent="0.3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4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spans="1:26" x14ac:dyDescent="0.3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4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spans="1:26" x14ac:dyDescent="0.3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4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spans="1:26" x14ac:dyDescent="0.3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4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spans="1:26" x14ac:dyDescent="0.3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4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spans="1:26" x14ac:dyDescent="0.3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4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spans="1:26" x14ac:dyDescent="0.3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4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spans="1:26" x14ac:dyDescent="0.3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4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spans="1:26" x14ac:dyDescent="0.3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4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spans="1:26" x14ac:dyDescent="0.3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4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spans="1:26" x14ac:dyDescent="0.3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4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spans="1:26" x14ac:dyDescent="0.3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4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spans="1:26" x14ac:dyDescent="0.3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4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spans="1:26" x14ac:dyDescent="0.3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4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spans="1:26" x14ac:dyDescent="0.3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4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spans="1:26" x14ac:dyDescent="0.3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4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spans="1:26" x14ac:dyDescent="0.3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4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spans="1:26" x14ac:dyDescent="0.3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4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spans="1:26" x14ac:dyDescent="0.3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4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spans="1:26" x14ac:dyDescent="0.3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4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spans="1:26" x14ac:dyDescent="0.3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4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spans="1:26" x14ac:dyDescent="0.3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4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spans="1:26" x14ac:dyDescent="0.3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4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spans="1:26" x14ac:dyDescent="0.3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4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spans="1:26" x14ac:dyDescent="0.3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4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spans="1:26" x14ac:dyDescent="0.3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4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spans="1:26" x14ac:dyDescent="0.3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4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spans="1:26" x14ac:dyDescent="0.3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4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spans="1:26" x14ac:dyDescent="0.3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4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spans="1:26" x14ac:dyDescent="0.3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4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spans="1:26" x14ac:dyDescent="0.3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4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spans="1:26" x14ac:dyDescent="0.3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4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spans="1:26" x14ac:dyDescent="0.3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4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spans="1:26" x14ac:dyDescent="0.3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4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spans="1:26" x14ac:dyDescent="0.3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4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spans="1:26" x14ac:dyDescent="0.3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4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spans="1:26" x14ac:dyDescent="0.3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4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spans="1:26" x14ac:dyDescent="0.3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4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spans="1:26" x14ac:dyDescent="0.3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4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spans="1:26" x14ac:dyDescent="0.3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4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spans="1:26" x14ac:dyDescent="0.3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4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spans="1:26" x14ac:dyDescent="0.3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4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spans="1:26" x14ac:dyDescent="0.3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4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spans="1:26" x14ac:dyDescent="0.3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4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spans="1:26" x14ac:dyDescent="0.3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4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spans="1:26" x14ac:dyDescent="0.3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4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spans="1:26" x14ac:dyDescent="0.3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4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spans="1:26" x14ac:dyDescent="0.3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4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spans="1:26" x14ac:dyDescent="0.3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4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spans="1:26" x14ac:dyDescent="0.3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4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spans="1:26" x14ac:dyDescent="0.3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4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spans="1:26" x14ac:dyDescent="0.3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4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spans="1:26" x14ac:dyDescent="0.3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4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spans="1:26" x14ac:dyDescent="0.3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4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spans="1:26" x14ac:dyDescent="0.3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4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spans="1:26" x14ac:dyDescent="0.3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4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spans="1:26" x14ac:dyDescent="0.3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4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spans="1:26" x14ac:dyDescent="0.3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4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spans="1:26" x14ac:dyDescent="0.3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4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spans="1:26" x14ac:dyDescent="0.3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4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spans="1:26" x14ac:dyDescent="0.3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4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spans="1:26" x14ac:dyDescent="0.3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4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spans="1:26" x14ac:dyDescent="0.3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4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spans="1:26" x14ac:dyDescent="0.3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4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spans="1:26" x14ac:dyDescent="0.3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4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spans="1:26" x14ac:dyDescent="0.3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4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spans="1:26" x14ac:dyDescent="0.3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4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spans="1:26" x14ac:dyDescent="0.3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4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spans="1:26" x14ac:dyDescent="0.3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4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spans="1:26" x14ac:dyDescent="0.3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4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spans="1:26" x14ac:dyDescent="0.3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4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spans="1:26" x14ac:dyDescent="0.3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4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spans="1:26" x14ac:dyDescent="0.3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4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spans="1:26" x14ac:dyDescent="0.3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4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spans="1:26" x14ac:dyDescent="0.3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4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spans="1:26" x14ac:dyDescent="0.3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4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spans="1:26" x14ac:dyDescent="0.3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4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spans="1:26" x14ac:dyDescent="0.3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 spans="1:26" x14ac:dyDescent="0.3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10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</sheetData>
  <sheetProtection password="CA97" sheet="1" objects="1" scenarios="1"/>
  <mergeCells count="29">
    <mergeCell ref="B44:K44"/>
    <mergeCell ref="B45:K45"/>
    <mergeCell ref="J37:K37"/>
    <mergeCell ref="I5:J5"/>
    <mergeCell ref="C5:D5"/>
    <mergeCell ref="B6:K6"/>
    <mergeCell ref="B7:H7"/>
    <mergeCell ref="B9:D9"/>
    <mergeCell ref="B2:K2"/>
    <mergeCell ref="M2:N2"/>
    <mergeCell ref="B3:K3"/>
    <mergeCell ref="C4:E4"/>
    <mergeCell ref="I4:J4"/>
    <mergeCell ref="H46:K46"/>
    <mergeCell ref="M9:M11"/>
    <mergeCell ref="B10:D10"/>
    <mergeCell ref="B11:D11"/>
    <mergeCell ref="J38:K38"/>
    <mergeCell ref="B12:D12"/>
    <mergeCell ref="B13:D13"/>
    <mergeCell ref="B14:D14"/>
    <mergeCell ref="B15:D15"/>
    <mergeCell ref="B17:H17"/>
    <mergeCell ref="B24:H24"/>
    <mergeCell ref="B30:K30"/>
    <mergeCell ref="B33:K33"/>
    <mergeCell ref="C46:F46"/>
    <mergeCell ref="J35:K35"/>
    <mergeCell ref="J36:K36"/>
  </mergeCells>
  <conditionalFormatting sqref="C4:E4 I4:J5 C5">
    <cfRule type="containsBlanks" dxfId="127" priority="107">
      <formula>LEN(TRIM(C4))=0</formula>
    </cfRule>
  </conditionalFormatting>
  <conditionalFormatting sqref="I9:K15 E9:G9 E13:G15">
    <cfRule type="containsBlanks" dxfId="126" priority="106">
      <formula>LEN(TRIM(E9))=0</formula>
    </cfRule>
  </conditionalFormatting>
  <conditionalFormatting sqref="I19:K22">
    <cfRule type="containsBlanks" dxfId="125" priority="105">
      <formula>LEN(TRIM(I19))=0</formula>
    </cfRule>
  </conditionalFormatting>
  <conditionalFormatting sqref="J7">
    <cfRule type="cellIs" dxfId="124" priority="104" operator="lessThan">
      <formula>33</formula>
    </cfRule>
  </conditionalFormatting>
  <conditionalFormatting sqref="J17">
    <cfRule type="cellIs" dxfId="123" priority="103" operator="lessThan">
      <formula>12</formula>
    </cfRule>
  </conditionalFormatting>
  <conditionalFormatting sqref="J24">
    <cfRule type="cellIs" dxfId="122" priority="102" operator="lessThan">
      <formula>15</formula>
    </cfRule>
  </conditionalFormatting>
  <conditionalFormatting sqref="J35:K35">
    <cfRule type="containsBlanks" dxfId="121" priority="101">
      <formula>LEN(TRIM(J35))=0</formula>
    </cfRule>
  </conditionalFormatting>
  <conditionalFormatting sqref="J36:K36">
    <cfRule type="containsText" dxfId="120" priority="99" operator="containsText" text="Incomplete">
      <formula>NOT(ISERROR(SEARCH("Incomplete",J36)))</formula>
    </cfRule>
    <cfRule type="containsBlanks" dxfId="119" priority="100">
      <formula>LEN(TRIM(J36))=0</formula>
    </cfRule>
  </conditionalFormatting>
  <conditionalFormatting sqref="J37:K37">
    <cfRule type="containsBlanks" dxfId="118" priority="98">
      <formula>LEN(TRIM(J37))=0</formula>
    </cfRule>
  </conditionalFormatting>
  <conditionalFormatting sqref="J38:K38">
    <cfRule type="containsBlanks" dxfId="117" priority="97">
      <formula>LEN(TRIM(J38))=0</formula>
    </cfRule>
  </conditionalFormatting>
  <conditionalFormatting sqref="J39:J41">
    <cfRule type="containsBlanks" dxfId="116" priority="96">
      <formula>LEN(TRIM(J39))=0</formula>
    </cfRule>
  </conditionalFormatting>
  <conditionalFormatting sqref="J39">
    <cfRule type="cellIs" dxfId="115" priority="95" operator="lessThan">
      <formula>60</formula>
    </cfRule>
  </conditionalFormatting>
  <conditionalFormatting sqref="J40">
    <cfRule type="cellIs" dxfId="114" priority="94" operator="lessThan">
      <formula>15</formula>
    </cfRule>
  </conditionalFormatting>
  <conditionalFormatting sqref="J41">
    <cfRule type="cellIs" dxfId="113" priority="93" operator="lessThan">
      <formula>2</formula>
    </cfRule>
  </conditionalFormatting>
  <conditionalFormatting sqref="G9 G13:G15 K9:K15 K19:K22">
    <cfRule type="containsText" dxfId="112" priority="92" operator="containsText" text="IPS">
      <formula>NOT(ISERROR(SEARCH("IPS",G9)))</formula>
    </cfRule>
  </conditionalFormatting>
  <conditionalFormatting sqref="E26">
    <cfRule type="notContainsBlanks" dxfId="111" priority="61">
      <formula>LEN(TRIM(E26))&gt;0</formula>
    </cfRule>
    <cfRule type="expression" dxfId="110" priority="66">
      <formula>SUM(J24)&lt;15</formula>
    </cfRule>
  </conditionalFormatting>
  <conditionalFormatting sqref="F26">
    <cfRule type="notContainsBlanks" dxfId="109" priority="59">
      <formula>LEN(TRIM(F26))&gt;0</formula>
    </cfRule>
    <cfRule type="expression" dxfId="108" priority="60">
      <formula>NOT(ISBLANK(E26))</formula>
    </cfRule>
    <cfRule type="expression" dxfId="107" priority="65">
      <formula>SUM(J24)&lt;15</formula>
    </cfRule>
  </conditionalFormatting>
  <conditionalFormatting sqref="G26">
    <cfRule type="notContainsBlanks" dxfId="106" priority="62">
      <formula>LEN(TRIM(G26))&gt;0</formula>
    </cfRule>
    <cfRule type="expression" dxfId="105" priority="63">
      <formula>NOT(ISBLANK(E26))</formula>
    </cfRule>
    <cfRule type="expression" dxfId="104" priority="64">
      <formula>SUM(J24)&lt;15</formula>
    </cfRule>
  </conditionalFormatting>
  <conditionalFormatting sqref="E27">
    <cfRule type="notContainsBlanks" dxfId="103" priority="30">
      <formula>LEN(TRIM(E27))&gt;0</formula>
    </cfRule>
    <cfRule type="expression" dxfId="102" priority="58">
      <formula>SUM(J24)&lt;15</formula>
    </cfRule>
  </conditionalFormatting>
  <conditionalFormatting sqref="E28">
    <cfRule type="notContainsBlanks" dxfId="101" priority="29">
      <formula>LEN(TRIM(E28))&gt;0</formula>
    </cfRule>
    <cfRule type="expression" dxfId="100" priority="57">
      <formula>SUM(J24)&lt;15</formula>
    </cfRule>
  </conditionalFormatting>
  <conditionalFormatting sqref="E29">
    <cfRule type="notContainsBlanks" dxfId="99" priority="28">
      <formula>LEN(TRIM(E29))&gt;0</formula>
    </cfRule>
    <cfRule type="expression" dxfId="98" priority="56">
      <formula>SUM(J24)&lt;15</formula>
    </cfRule>
  </conditionalFormatting>
  <conditionalFormatting sqref="I26">
    <cfRule type="notContainsBlanks" dxfId="97" priority="27">
      <formula>LEN(TRIM(I26))&gt;0</formula>
    </cfRule>
    <cfRule type="expression" dxfId="96" priority="55">
      <formula>SUM(J24)&lt;15</formula>
    </cfRule>
  </conditionalFormatting>
  <conditionalFormatting sqref="I27">
    <cfRule type="notContainsBlanks" dxfId="95" priority="26">
      <formula>LEN(TRIM(I27))&gt;0</formula>
    </cfRule>
    <cfRule type="expression" dxfId="94" priority="54">
      <formula>SUM(J24)&lt;15</formula>
    </cfRule>
  </conditionalFormatting>
  <conditionalFormatting sqref="I28">
    <cfRule type="notContainsBlanks" dxfId="93" priority="25">
      <formula>LEN(TRIM(I28))&gt;0</formula>
    </cfRule>
    <cfRule type="expression" dxfId="92" priority="53">
      <formula>SUM(J24)&lt;15</formula>
    </cfRule>
  </conditionalFormatting>
  <conditionalFormatting sqref="I29">
    <cfRule type="notContainsBlanks" dxfId="91" priority="24">
      <formula>LEN(TRIM(I29))&gt;0</formula>
    </cfRule>
    <cfRule type="expression" dxfId="90" priority="52">
      <formula>SUM(J24)&lt;15</formula>
    </cfRule>
  </conditionalFormatting>
  <conditionalFormatting sqref="F27">
    <cfRule type="notContainsBlanks" dxfId="89" priority="37">
      <formula>LEN(TRIM(F27))&gt;0</formula>
    </cfRule>
    <cfRule type="expression" dxfId="88" priority="44">
      <formula>NOT(ISBLANK(E27))</formula>
    </cfRule>
    <cfRule type="expression" dxfId="87" priority="51">
      <formula>SUM(J24)&lt;15</formula>
    </cfRule>
  </conditionalFormatting>
  <conditionalFormatting sqref="F28">
    <cfRule type="notContainsBlanks" dxfId="86" priority="36">
      <formula>LEN(TRIM(F28))&gt;0</formula>
    </cfRule>
    <cfRule type="expression" dxfId="85" priority="43">
      <formula>NOT(ISBLANK(E28))</formula>
    </cfRule>
    <cfRule type="expression" dxfId="84" priority="50">
      <formula>SUM(J24)&lt;15</formula>
    </cfRule>
  </conditionalFormatting>
  <conditionalFormatting sqref="F29">
    <cfRule type="notContainsBlanks" dxfId="83" priority="35">
      <formula>LEN(TRIM(F29))&gt;0</formula>
    </cfRule>
    <cfRule type="expression" dxfId="82" priority="42">
      <formula>NOT(ISBLANK(E29))</formula>
    </cfRule>
    <cfRule type="expression" dxfId="81" priority="49">
      <formula>SUM(J24)&lt;15</formula>
    </cfRule>
  </conditionalFormatting>
  <conditionalFormatting sqref="J26">
    <cfRule type="notContainsBlanks" dxfId="80" priority="34">
      <formula>LEN(TRIM(J26))&gt;0</formula>
    </cfRule>
    <cfRule type="expression" dxfId="79" priority="41">
      <formula>NOT(ISBLANK(I26))</formula>
    </cfRule>
    <cfRule type="expression" dxfId="78" priority="48">
      <formula>SUM(J24)&lt;15</formula>
    </cfRule>
  </conditionalFormatting>
  <conditionalFormatting sqref="J27">
    <cfRule type="notContainsBlanks" dxfId="77" priority="33">
      <formula>LEN(TRIM(J27))&gt;0</formula>
    </cfRule>
    <cfRule type="expression" dxfId="76" priority="40">
      <formula>NOT(ISBLANK(I27))</formula>
    </cfRule>
    <cfRule type="expression" dxfId="75" priority="47">
      <formula>SUM(J24)&lt;15</formula>
    </cfRule>
  </conditionalFormatting>
  <conditionalFormatting sqref="J28">
    <cfRule type="notContainsBlanks" dxfId="74" priority="32">
      <formula>LEN(TRIM(J28))&gt;0</formula>
    </cfRule>
    <cfRule type="expression" dxfId="73" priority="39">
      <formula>NOT(ISBLANK(I28))</formula>
    </cfRule>
    <cfRule type="expression" dxfId="72" priority="46">
      <formula>SUM(J24)&lt;15</formula>
    </cfRule>
  </conditionalFormatting>
  <conditionalFormatting sqref="J29">
    <cfRule type="notContainsBlanks" dxfId="71" priority="31">
      <formula>LEN(TRIM(J29))&gt;0</formula>
    </cfRule>
    <cfRule type="expression" dxfId="70" priority="38">
      <formula>NOT(ISBLANK(I29))</formula>
    </cfRule>
    <cfRule type="expression" dxfId="69" priority="45">
      <formula>SUM(J24)&lt;15</formula>
    </cfRule>
  </conditionalFormatting>
  <conditionalFormatting sqref="G27">
    <cfRule type="notContainsBlanks" dxfId="68" priority="9">
      <formula>LEN(TRIM(G27))&gt;0</formula>
    </cfRule>
    <cfRule type="expression" dxfId="67" priority="16">
      <formula>NOT(ISBLANK(E27))</formula>
    </cfRule>
    <cfRule type="expression" dxfId="66" priority="23">
      <formula>SUM(J24&lt;15)</formula>
    </cfRule>
  </conditionalFormatting>
  <conditionalFormatting sqref="G28">
    <cfRule type="notContainsBlanks" dxfId="65" priority="8">
      <formula>LEN(TRIM(G28))&gt;0</formula>
    </cfRule>
    <cfRule type="expression" dxfId="64" priority="15">
      <formula>NOT(ISBLANK(E28))</formula>
    </cfRule>
    <cfRule type="expression" dxfId="63" priority="22">
      <formula>SUM(J24&lt;15)</formula>
    </cfRule>
  </conditionalFormatting>
  <conditionalFormatting sqref="G29">
    <cfRule type="notContainsBlanks" dxfId="62" priority="7">
      <formula>LEN(TRIM(G29))&gt;0</formula>
    </cfRule>
    <cfRule type="expression" dxfId="61" priority="14">
      <formula>NOT(ISBLANK(E29))</formula>
    </cfRule>
    <cfRule type="expression" dxfId="60" priority="21">
      <formula>SUM(J24&lt;15)</formula>
    </cfRule>
  </conditionalFormatting>
  <conditionalFormatting sqref="K26">
    <cfRule type="notContainsBlanks" dxfId="59" priority="6">
      <formula>LEN(TRIM(K26))&gt;0</formula>
    </cfRule>
    <cfRule type="expression" dxfId="58" priority="13">
      <formula>NOT(ISBLANK(I26))</formula>
    </cfRule>
    <cfRule type="expression" dxfId="57" priority="20">
      <formula>SUM(J24&lt;15)</formula>
    </cfRule>
  </conditionalFormatting>
  <conditionalFormatting sqref="K27">
    <cfRule type="notContainsBlanks" dxfId="56" priority="5">
      <formula>LEN(TRIM(K27))&gt;0</formula>
    </cfRule>
    <cfRule type="expression" dxfId="55" priority="12">
      <formula>NOT(ISBLANK(I27))</formula>
    </cfRule>
    <cfRule type="expression" dxfId="54" priority="19">
      <formula>SUM(J24&lt;15)</formula>
    </cfRule>
  </conditionalFormatting>
  <conditionalFormatting sqref="K28">
    <cfRule type="notContainsBlanks" dxfId="53" priority="4">
      <formula>LEN(TRIM(K28))&gt;0</formula>
    </cfRule>
    <cfRule type="expression" dxfId="52" priority="11">
      <formula>NOT(ISBLANK(I28))</formula>
    </cfRule>
    <cfRule type="expression" dxfId="51" priority="18">
      <formula>SUM(J24&lt;15)</formula>
    </cfRule>
  </conditionalFormatting>
  <conditionalFormatting sqref="K29">
    <cfRule type="notContainsBlanks" dxfId="50" priority="3">
      <formula>LEN(TRIM(K29))&gt;0</formula>
    </cfRule>
    <cfRule type="expression" dxfId="49" priority="10">
      <formula>NOT(ISBLANK(I29))</formula>
    </cfRule>
    <cfRule type="expression" dxfId="48" priority="17">
      <formula>SUM(J24&lt;15)</formula>
    </cfRule>
  </conditionalFormatting>
  <conditionalFormatting sqref="G26:G29">
    <cfRule type="containsText" dxfId="47" priority="2" operator="containsText" text="IPS">
      <formula>NOT(ISERROR(SEARCH("IPS",G26)))</formula>
    </cfRule>
  </conditionalFormatting>
  <conditionalFormatting sqref="K26:K29">
    <cfRule type="containsText" dxfId="46" priority="1" operator="containsText" text="IPS">
      <formula>NOT(ISERROR(SEARCH("IPS",K26)))</formula>
    </cfRule>
  </conditionalFormatting>
  <dataValidations count="15">
    <dataValidation type="list" allowBlank="1" showInputMessage="1" showErrorMessage="1" sqref="F13:F15 F9 J9:J15 J19:J22 F26:F29 J26:J29">
      <formula1>CREDIT</formula1>
    </dataValidation>
    <dataValidation type="list" allowBlank="1" showInputMessage="1" showErrorMessage="1" sqref="G9 G13:G15 K9:K15 K19:K22 G26:G28 G29:H29 K26:K29">
      <formula1>GRADE</formula1>
    </dataValidation>
    <dataValidation type="list" allowBlank="1" showInputMessage="1" showErrorMessage="1" sqref="E9 I9">
      <formula1>CATA</formula1>
    </dataValidation>
    <dataValidation type="list" allowBlank="1" showInputMessage="1" showErrorMessage="1" sqref="I10">
      <formula1>CATB</formula1>
    </dataValidation>
    <dataValidation type="list" allowBlank="1" showInputMessage="1" showErrorMessage="1" sqref="I11">
      <formula1>CATF</formula1>
    </dataValidation>
    <dataValidation type="list" allowBlank="1" showInputMessage="1" showErrorMessage="1" sqref="I12">
      <formula1>CATG</formula1>
    </dataValidation>
    <dataValidation type="list" allowBlank="1" showInputMessage="1" showErrorMessage="1" sqref="E13 I13">
      <formula1>CATE</formula1>
    </dataValidation>
    <dataValidation type="list" allowBlank="1" showInputMessage="1" showErrorMessage="1" sqref="E14 I14">
      <formula1>CATD</formula1>
    </dataValidation>
    <dataValidation type="list" allowBlank="1" showInputMessage="1" showErrorMessage="1" sqref="E15 I15">
      <formula1>CATC</formula1>
    </dataValidation>
    <dataValidation type="list" allowBlank="1" showInputMessage="1" showErrorMessage="1" sqref="I19:I20">
      <formula1>CATK</formula1>
    </dataValidation>
    <dataValidation type="list" allowBlank="1" showInputMessage="1" showErrorMessage="1" sqref="I21:I22">
      <formula1>CATJ</formula1>
    </dataValidation>
    <dataValidation type="list" allowBlank="1" showInputMessage="1" showErrorMessage="1" sqref="J35:K35">
      <formula1>CATI</formula1>
    </dataValidation>
    <dataValidation type="list" allowBlank="1" showInputMessage="1" showErrorMessage="1" sqref="J36:K36 J38:K38">
      <formula1>STATUS</formula1>
    </dataValidation>
    <dataValidation type="list" allowBlank="1" showInputMessage="1" showErrorMessage="1" sqref="J37:K37">
      <formula1>CATM</formula1>
    </dataValidation>
    <dataValidation type="list" allowBlank="1" showInputMessage="1" showErrorMessage="1" sqref="I5:J5">
      <formula1>ASFOCUS</formula1>
    </dataValidation>
  </dataValidations>
  <hyperlinks>
    <hyperlink ref="M5" location="Focus!A1" tooltip="Click to view the AA &amp; AS Focus Areas." display="Focus Areas"/>
    <hyperlink ref="M7" location="CATEGORYI" tooltip="Click for information on Category I." display="Category I Help"/>
    <hyperlink ref="M17" location="CATEGORYII" tooltip="Click for information on Category II." display="Category II Help"/>
    <hyperlink ref="M24" location="CATEGORYIII" tooltip="Click for information on Category III." display="Category III Help"/>
    <hyperlink ref="M34" location="REQHELP" tooltip="Click for information on Requirements." display="Requirements Help"/>
    <hyperlink ref="N3" location="Help!A1" tooltip="Click for General Help on the audit." display="General Help"/>
    <hyperlink ref="N4" location="Courses!A1" tooltip="Click for descriptions of General Education courses." display="Course Info"/>
    <hyperlink ref="N5" location="GRADEKEY" tooltip="Click to view the Grade Key." display="Grade Key"/>
    <hyperlink ref="O5" location="Menu!A1" tooltip="Click to return to the main page." display="Main Menu"/>
    <hyperlink ref="O3" location="Arts!A1" tooltip="Click to return to the AA audit." display="Return To AA"/>
    <hyperlink ref="O4" location="Science!A1" tooltip="Click to return to the AS audit." display="Return To AS"/>
  </hyperlinks>
  <pageMargins left="0.45" right="0.45" top="0.25" bottom="0.25" header="0.3" footer="0.3"/>
  <pageSetup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00B050"/>
  </sheetPr>
  <dimension ref="A1:AA303"/>
  <sheetViews>
    <sheetView tabSelected="1" workbookViewId="0">
      <selection activeCell="B3" sqref="B3"/>
    </sheetView>
  </sheetViews>
  <sheetFormatPr defaultRowHeight="14.4" x14ac:dyDescent="0.3"/>
  <cols>
    <col min="1" max="1" width="21.44140625" customWidth="1"/>
    <col min="2" max="2" width="15.88671875" customWidth="1"/>
    <col min="3" max="4" width="8.6640625" customWidth="1"/>
    <col min="5" max="5" width="14.6640625" customWidth="1"/>
    <col min="6" max="6" width="16.6640625" customWidth="1"/>
    <col min="7" max="8" width="6.6640625" customWidth="1"/>
    <col min="9" max="9" width="3.6640625" customWidth="1"/>
    <col min="10" max="10" width="16.6640625" customWidth="1"/>
    <col min="11" max="12" width="6.6640625" customWidth="1"/>
    <col min="13" max="13" width="9.109375" style="40" customWidth="1"/>
    <col min="14" max="14" width="20.6640625" customWidth="1"/>
    <col min="15" max="15" width="18.88671875" customWidth="1"/>
    <col min="16" max="16" width="14.6640625" customWidth="1"/>
  </cols>
  <sheetData>
    <row r="1" spans="1:27" ht="19.5" thickBot="1" x14ac:dyDescent="0.35">
      <c r="A1" s="145"/>
      <c r="B1" s="145"/>
      <c r="C1" s="237" t="s">
        <v>1130</v>
      </c>
      <c r="D1" s="237"/>
      <c r="E1" s="237"/>
      <c r="F1" s="237"/>
      <c r="G1" s="237"/>
      <c r="H1" s="237"/>
      <c r="I1" s="237"/>
      <c r="J1" s="237"/>
      <c r="K1" s="237"/>
      <c r="L1" s="237"/>
      <c r="M1" s="146"/>
      <c r="N1" s="145"/>
      <c r="O1" s="145"/>
      <c r="P1" s="155" t="s">
        <v>738</v>
      </c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</row>
    <row r="2" spans="1:27" ht="16.5" thickTop="1" thickBot="1" x14ac:dyDescent="0.3">
      <c r="A2" s="145"/>
      <c r="B2" s="145"/>
      <c r="C2" s="238" t="s">
        <v>1131</v>
      </c>
      <c r="D2" s="238"/>
      <c r="E2" s="238"/>
      <c r="F2" s="238"/>
      <c r="G2" s="238"/>
      <c r="H2" s="238"/>
      <c r="I2" s="238"/>
      <c r="J2" s="238"/>
      <c r="K2" s="238"/>
      <c r="L2" s="238"/>
      <c r="M2" s="146"/>
      <c r="N2" s="145"/>
      <c r="O2" s="145"/>
      <c r="P2" s="154" t="s">
        <v>1153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</row>
    <row r="3" spans="1:27" ht="16.5" thickTop="1" thickBot="1" x14ac:dyDescent="0.3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6"/>
      <c r="N3" s="145"/>
      <c r="O3" s="145"/>
      <c r="P3" s="154" t="s">
        <v>862</v>
      </c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</row>
    <row r="4" spans="1:27" s="81" customFormat="1" ht="21" thickTop="1" thickBot="1" x14ac:dyDescent="0.35">
      <c r="A4" s="145"/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8"/>
      <c r="N4" s="147"/>
      <c r="O4" s="147"/>
      <c r="P4" s="154" t="s">
        <v>863</v>
      </c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</row>
    <row r="5" spans="1:27" ht="19.5" thickTop="1" x14ac:dyDescent="0.3">
      <c r="A5" s="145"/>
      <c r="B5" s="146"/>
      <c r="C5" s="209" t="s">
        <v>939</v>
      </c>
      <c r="D5" s="209"/>
      <c r="E5" s="209"/>
      <c r="F5" s="209"/>
      <c r="G5" s="209"/>
      <c r="H5" s="209"/>
      <c r="I5" s="209"/>
      <c r="J5" s="209"/>
      <c r="K5" s="209"/>
      <c r="L5" s="209"/>
      <c r="M5" s="146"/>
      <c r="N5" s="223"/>
      <c r="O5" s="223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</row>
    <row r="6" spans="1:27" s="34" customFormat="1" ht="20.100000000000001" customHeight="1" x14ac:dyDescent="0.25">
      <c r="A6" s="149"/>
      <c r="B6" s="150"/>
      <c r="C6" s="210" t="s">
        <v>1122</v>
      </c>
      <c r="D6" s="210"/>
      <c r="E6" s="210"/>
      <c r="F6" s="210"/>
      <c r="G6" s="210"/>
      <c r="H6" s="210"/>
      <c r="I6" s="210"/>
      <c r="J6" s="210"/>
      <c r="K6" s="210"/>
      <c r="L6" s="210"/>
      <c r="M6" s="150"/>
      <c r="N6" s="145"/>
      <c r="O6" s="145"/>
      <c r="P6" s="112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 ht="15" x14ac:dyDescent="0.25">
      <c r="A7" s="145"/>
      <c r="B7" s="146"/>
      <c r="C7" s="119" t="s">
        <v>0</v>
      </c>
      <c r="D7" s="224" t="s">
        <v>1128</v>
      </c>
      <c r="E7" s="224"/>
      <c r="F7" s="224"/>
      <c r="G7" s="119"/>
      <c r="H7" s="119" t="s">
        <v>1</v>
      </c>
      <c r="I7" s="119"/>
      <c r="J7" s="230">
        <v>40948</v>
      </c>
      <c r="K7" s="231"/>
      <c r="L7" s="119"/>
      <c r="M7" s="146"/>
      <c r="N7" s="145"/>
      <c r="O7" s="145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</row>
    <row r="8" spans="1:27" ht="15" x14ac:dyDescent="0.25">
      <c r="A8" s="145"/>
      <c r="B8" s="146"/>
      <c r="C8" s="119" t="s">
        <v>2</v>
      </c>
      <c r="D8" s="239" t="s">
        <v>1129</v>
      </c>
      <c r="E8" s="240"/>
      <c r="F8" s="119"/>
      <c r="G8" s="119"/>
      <c r="H8" s="119" t="s">
        <v>3</v>
      </c>
      <c r="I8" s="119"/>
      <c r="J8" s="241" t="s">
        <v>284</v>
      </c>
      <c r="K8" s="242"/>
      <c r="L8" s="119"/>
      <c r="M8" s="146"/>
      <c r="N8" s="145"/>
      <c r="O8" s="145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</row>
    <row r="9" spans="1:27" ht="15" x14ac:dyDescent="0.25">
      <c r="A9" s="145"/>
      <c r="B9" s="146"/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46"/>
      <c r="N9" s="145"/>
      <c r="O9" s="145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</row>
    <row r="10" spans="1:27" ht="15" x14ac:dyDescent="0.25">
      <c r="A10" s="145"/>
      <c r="B10" s="146"/>
      <c r="C10" s="212" t="s">
        <v>1001</v>
      </c>
      <c r="D10" s="212"/>
      <c r="E10" s="212"/>
      <c r="F10" s="212"/>
      <c r="G10" s="212"/>
      <c r="H10" s="212"/>
      <c r="I10" s="212"/>
      <c r="J10" s="123" t="s">
        <v>4</v>
      </c>
      <c r="K10" s="2">
        <f>SUM(G12,G16,G17,G18,K18,K17,K16,K15,K14,K13,K12)</f>
        <v>24</v>
      </c>
      <c r="L10" s="123" t="s">
        <v>5</v>
      </c>
      <c r="M10" s="146"/>
      <c r="N10" s="145"/>
      <c r="O10" s="145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</row>
    <row r="11" spans="1:27" ht="15" x14ac:dyDescent="0.25">
      <c r="A11" s="145"/>
      <c r="B11" s="146"/>
      <c r="C11" s="106"/>
      <c r="D11" s="119"/>
      <c r="E11" s="119"/>
      <c r="F11" s="33" t="s">
        <v>6</v>
      </c>
      <c r="G11" s="33" t="s">
        <v>7</v>
      </c>
      <c r="H11" s="33" t="s">
        <v>8</v>
      </c>
      <c r="I11" s="119"/>
      <c r="J11" s="33" t="s">
        <v>6</v>
      </c>
      <c r="K11" s="33" t="s">
        <v>7</v>
      </c>
      <c r="L11" s="33" t="s">
        <v>8</v>
      </c>
      <c r="M11" s="146"/>
      <c r="N11" s="145"/>
      <c r="O11" s="145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</row>
    <row r="12" spans="1:27" x14ac:dyDescent="0.3">
      <c r="A12" s="145"/>
      <c r="B12" s="146"/>
      <c r="C12" s="194" t="s">
        <v>1009</v>
      </c>
      <c r="D12" s="194"/>
      <c r="E12" s="194"/>
      <c r="F12" s="107" t="s">
        <v>88</v>
      </c>
      <c r="G12" s="20">
        <v>3</v>
      </c>
      <c r="H12" s="20" t="s">
        <v>228</v>
      </c>
      <c r="I12" s="121"/>
      <c r="J12" s="107"/>
      <c r="K12" s="20"/>
      <c r="L12" s="20"/>
      <c r="M12" s="146"/>
      <c r="N12" s="223"/>
      <c r="O12" s="145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</row>
    <row r="13" spans="1:27" x14ac:dyDescent="0.3">
      <c r="A13" s="145"/>
      <c r="B13" s="146"/>
      <c r="C13" s="194" t="s">
        <v>1010</v>
      </c>
      <c r="D13" s="194"/>
      <c r="E13" s="194"/>
      <c r="F13" s="119"/>
      <c r="G13" s="121"/>
      <c r="H13" s="121"/>
      <c r="I13" s="121"/>
      <c r="J13" s="107" t="s">
        <v>96</v>
      </c>
      <c r="K13" s="20">
        <v>3</v>
      </c>
      <c r="L13" s="20" t="s">
        <v>47</v>
      </c>
      <c r="M13" s="146"/>
      <c r="N13" s="223"/>
      <c r="O13" s="145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</row>
    <row r="14" spans="1:27" x14ac:dyDescent="0.3">
      <c r="A14" s="145"/>
      <c r="B14" s="146"/>
      <c r="C14" s="194" t="s">
        <v>1011</v>
      </c>
      <c r="D14" s="194"/>
      <c r="E14" s="194"/>
      <c r="F14" s="119"/>
      <c r="G14" s="121"/>
      <c r="H14" s="121"/>
      <c r="I14" s="121"/>
      <c r="J14" s="107" t="s">
        <v>113</v>
      </c>
      <c r="K14" s="20">
        <v>3</v>
      </c>
      <c r="L14" s="20" t="s">
        <v>222</v>
      </c>
      <c r="M14" s="146"/>
      <c r="N14" s="223"/>
      <c r="O14" s="145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</row>
    <row r="15" spans="1:27" ht="15" x14ac:dyDescent="0.25">
      <c r="A15" s="145"/>
      <c r="B15" s="146"/>
      <c r="C15" s="194" t="s">
        <v>1012</v>
      </c>
      <c r="D15" s="194"/>
      <c r="E15" s="194"/>
      <c r="F15" s="119"/>
      <c r="G15" s="121"/>
      <c r="H15" s="121"/>
      <c r="I15" s="121"/>
      <c r="J15" s="107" t="s">
        <v>114</v>
      </c>
      <c r="K15" s="20">
        <v>3</v>
      </c>
      <c r="L15" s="20" t="s">
        <v>228</v>
      </c>
      <c r="M15" s="146"/>
      <c r="N15" s="145"/>
      <c r="O15" s="145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</row>
    <row r="16" spans="1:27" ht="15" x14ac:dyDescent="0.25">
      <c r="A16" s="145"/>
      <c r="B16" s="146"/>
      <c r="C16" s="194" t="s">
        <v>1015</v>
      </c>
      <c r="D16" s="194"/>
      <c r="E16" s="194"/>
      <c r="F16" s="2" t="s">
        <v>115</v>
      </c>
      <c r="G16" s="20">
        <v>3</v>
      </c>
      <c r="H16" s="20" t="s">
        <v>222</v>
      </c>
      <c r="I16" s="121"/>
      <c r="J16" s="107"/>
      <c r="K16" s="20"/>
      <c r="L16" s="20"/>
      <c r="M16" s="146"/>
      <c r="N16" s="145"/>
      <c r="O16" s="145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</row>
    <row r="17" spans="1:27" ht="15" x14ac:dyDescent="0.25">
      <c r="A17" s="145"/>
      <c r="B17" s="146"/>
      <c r="C17" s="194" t="s">
        <v>1016</v>
      </c>
      <c r="D17" s="194"/>
      <c r="E17" s="194"/>
      <c r="F17" s="2" t="s">
        <v>118</v>
      </c>
      <c r="G17" s="20">
        <v>3</v>
      </c>
      <c r="H17" s="20" t="s">
        <v>228</v>
      </c>
      <c r="I17" s="121"/>
      <c r="J17" s="107"/>
      <c r="K17" s="20"/>
      <c r="L17" s="20"/>
      <c r="M17" s="146"/>
      <c r="N17" s="145"/>
      <c r="O17" s="145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</row>
    <row r="18" spans="1:27" ht="15" x14ac:dyDescent="0.25">
      <c r="A18" s="145"/>
      <c r="B18" s="146"/>
      <c r="C18" s="194" t="s">
        <v>1017</v>
      </c>
      <c r="D18" s="194"/>
      <c r="E18" s="194"/>
      <c r="F18" s="2" t="s">
        <v>172</v>
      </c>
      <c r="G18" s="20">
        <v>3</v>
      </c>
      <c r="H18" s="20" t="s">
        <v>228</v>
      </c>
      <c r="I18" s="121"/>
      <c r="J18" s="107" t="s">
        <v>117</v>
      </c>
      <c r="K18" s="20">
        <v>3</v>
      </c>
      <c r="L18" s="20" t="s">
        <v>222</v>
      </c>
      <c r="M18" s="146"/>
      <c r="N18" s="145"/>
      <c r="O18" s="145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</row>
    <row r="19" spans="1:27" ht="15" x14ac:dyDescent="0.25">
      <c r="A19" s="145"/>
      <c r="B19" s="146"/>
      <c r="C19" s="57"/>
      <c r="D19" s="121"/>
      <c r="E19" s="121"/>
      <c r="F19" s="121"/>
      <c r="G19" s="121"/>
      <c r="H19" s="121"/>
      <c r="I19" s="121"/>
      <c r="J19" s="119"/>
      <c r="K19" s="119"/>
      <c r="L19" s="119"/>
      <c r="M19" s="146"/>
      <c r="N19" s="145"/>
      <c r="O19" s="145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</row>
    <row r="20" spans="1:27" ht="15" x14ac:dyDescent="0.25">
      <c r="A20" s="145"/>
      <c r="B20" s="146"/>
      <c r="C20" s="195" t="s">
        <v>1020</v>
      </c>
      <c r="D20" s="195"/>
      <c r="E20" s="195"/>
      <c r="F20" s="195"/>
      <c r="G20" s="195"/>
      <c r="H20" s="195"/>
      <c r="I20" s="195"/>
      <c r="J20" s="120" t="s">
        <v>4</v>
      </c>
      <c r="K20" s="2">
        <f>SUM(K22:K25)</f>
        <v>12</v>
      </c>
      <c r="L20" s="120" t="s">
        <v>11</v>
      </c>
      <c r="M20" s="146"/>
      <c r="N20" s="145"/>
      <c r="O20" s="145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</row>
    <row r="21" spans="1:27" ht="15" x14ac:dyDescent="0.25">
      <c r="A21" s="145"/>
      <c r="B21" s="146"/>
      <c r="C21" s="119"/>
      <c r="D21" s="119"/>
      <c r="E21" s="119"/>
      <c r="F21" s="33"/>
      <c r="G21" s="33"/>
      <c r="H21" s="33"/>
      <c r="I21" s="119"/>
      <c r="J21" s="33" t="s">
        <v>6</v>
      </c>
      <c r="K21" s="33" t="s">
        <v>7</v>
      </c>
      <c r="L21" s="33" t="s">
        <v>8</v>
      </c>
      <c r="M21" s="146"/>
      <c r="N21" s="145"/>
      <c r="O21" s="145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</row>
    <row r="22" spans="1:27" ht="15" x14ac:dyDescent="0.25">
      <c r="A22" s="145"/>
      <c r="B22" s="146"/>
      <c r="C22" s="119" t="s">
        <v>1018</v>
      </c>
      <c r="D22" s="119"/>
      <c r="E22" s="119"/>
      <c r="F22" s="119"/>
      <c r="G22" s="119"/>
      <c r="H22" s="119"/>
      <c r="I22" s="121"/>
      <c r="J22" s="107" t="s">
        <v>112</v>
      </c>
      <c r="K22" s="20">
        <v>3</v>
      </c>
      <c r="L22" s="20" t="s">
        <v>47</v>
      </c>
      <c r="M22" s="146"/>
      <c r="N22" s="145"/>
      <c r="O22" s="145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</row>
    <row r="23" spans="1:27" ht="15" x14ac:dyDescent="0.25">
      <c r="A23" s="145"/>
      <c r="B23" s="146"/>
      <c r="C23" s="119"/>
      <c r="D23" s="119"/>
      <c r="E23" s="119"/>
      <c r="F23" s="119"/>
      <c r="G23" s="119"/>
      <c r="H23" s="119"/>
      <c r="I23" s="121"/>
      <c r="J23" s="107" t="s">
        <v>165</v>
      </c>
      <c r="K23" s="20">
        <v>3</v>
      </c>
      <c r="L23" s="20" t="s">
        <v>43</v>
      </c>
      <c r="M23" s="146"/>
      <c r="N23" s="145"/>
      <c r="O23" s="145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</row>
    <row r="24" spans="1:27" ht="15" x14ac:dyDescent="0.25">
      <c r="A24" s="145"/>
      <c r="B24" s="146"/>
      <c r="C24" s="119" t="s">
        <v>1019</v>
      </c>
      <c r="D24" s="119"/>
      <c r="E24" s="119"/>
      <c r="F24" s="119"/>
      <c r="G24" s="119"/>
      <c r="H24" s="119"/>
      <c r="I24" s="121"/>
      <c r="J24" s="107" t="s">
        <v>238</v>
      </c>
      <c r="K24" s="20">
        <v>3</v>
      </c>
      <c r="L24" s="20" t="s">
        <v>47</v>
      </c>
      <c r="M24" s="146"/>
      <c r="N24" s="145"/>
      <c r="O24" s="145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</row>
    <row r="25" spans="1:27" ht="15" x14ac:dyDescent="0.25">
      <c r="A25" s="145"/>
      <c r="B25" s="146"/>
      <c r="C25" s="119"/>
      <c r="D25" s="119"/>
      <c r="E25" s="119"/>
      <c r="F25" s="119"/>
      <c r="G25" s="119"/>
      <c r="H25" s="119"/>
      <c r="I25" s="121"/>
      <c r="J25" s="107" t="s">
        <v>119</v>
      </c>
      <c r="K25" s="20">
        <v>3</v>
      </c>
      <c r="L25" s="20" t="s">
        <v>222</v>
      </c>
      <c r="M25" s="146"/>
      <c r="N25" s="145"/>
      <c r="O25" s="145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</row>
    <row r="26" spans="1:27" ht="15" x14ac:dyDescent="0.25">
      <c r="A26" s="145"/>
      <c r="B26" s="146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46"/>
      <c r="N26" s="145"/>
      <c r="O26" s="145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</row>
    <row r="27" spans="1:27" ht="15" x14ac:dyDescent="0.25">
      <c r="A27" s="145"/>
      <c r="B27" s="146"/>
      <c r="C27" s="195" t="s">
        <v>10</v>
      </c>
      <c r="D27" s="195"/>
      <c r="E27" s="195"/>
      <c r="F27" s="195"/>
      <c r="G27" s="195"/>
      <c r="H27" s="195"/>
      <c r="I27" s="195"/>
      <c r="J27" s="120" t="s">
        <v>4</v>
      </c>
      <c r="K27" s="2">
        <f>SUM(G29,G30,G31,G32,K32,K30,K31)</f>
        <v>3</v>
      </c>
      <c r="L27" s="120" t="s">
        <v>9</v>
      </c>
      <c r="M27" s="146"/>
      <c r="N27" s="145"/>
      <c r="O27" s="145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</row>
    <row r="28" spans="1:27" ht="15" x14ac:dyDescent="0.25">
      <c r="A28" s="145"/>
      <c r="B28" s="146"/>
      <c r="C28" s="119"/>
      <c r="D28" s="119"/>
      <c r="E28" s="119"/>
      <c r="F28" s="33" t="s">
        <v>6</v>
      </c>
      <c r="G28" s="33" t="s">
        <v>7</v>
      </c>
      <c r="H28" s="33" t="s">
        <v>8</v>
      </c>
      <c r="I28" s="119"/>
      <c r="J28" s="33" t="s">
        <v>6</v>
      </c>
      <c r="K28" s="33" t="s">
        <v>7</v>
      </c>
      <c r="L28" s="33" t="s">
        <v>8</v>
      </c>
      <c r="M28" s="146"/>
      <c r="N28" s="145"/>
      <c r="O28" s="145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</row>
    <row r="29" spans="1:27" ht="15" x14ac:dyDescent="0.25">
      <c r="A29" s="145"/>
      <c r="B29" s="146"/>
      <c r="C29" s="119" t="s">
        <v>1006</v>
      </c>
      <c r="D29" s="119"/>
      <c r="E29" s="119"/>
      <c r="F29" s="2" t="s">
        <v>1150</v>
      </c>
      <c r="G29" s="20">
        <v>3</v>
      </c>
      <c r="H29" s="20" t="s">
        <v>222</v>
      </c>
      <c r="I29" s="121"/>
      <c r="J29" s="107"/>
      <c r="K29" s="20"/>
      <c r="L29" s="20"/>
      <c r="M29" s="146"/>
      <c r="N29" s="145"/>
      <c r="O29" s="145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</row>
    <row r="30" spans="1:27" ht="15" x14ac:dyDescent="0.25">
      <c r="A30" s="145"/>
      <c r="B30" s="146"/>
      <c r="C30" s="119"/>
      <c r="D30" s="119"/>
      <c r="E30" s="119"/>
      <c r="F30" s="2"/>
      <c r="G30" s="20"/>
      <c r="H30" s="20"/>
      <c r="I30" s="121"/>
      <c r="J30" s="107"/>
      <c r="K30" s="20"/>
      <c r="L30" s="20"/>
      <c r="M30" s="146"/>
      <c r="N30" s="145"/>
      <c r="O30" s="145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</row>
    <row r="31" spans="1:27" ht="15" x14ac:dyDescent="0.25">
      <c r="A31" s="145"/>
      <c r="B31" s="146"/>
      <c r="C31" s="119"/>
      <c r="D31" s="119"/>
      <c r="E31" s="119"/>
      <c r="F31" s="2"/>
      <c r="G31" s="20"/>
      <c r="H31" s="20"/>
      <c r="I31" s="121"/>
      <c r="J31" s="107"/>
      <c r="K31" s="20"/>
      <c r="L31" s="20"/>
      <c r="M31" s="146"/>
      <c r="N31" s="145"/>
      <c r="O31" s="145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</row>
    <row r="32" spans="1:27" ht="15" x14ac:dyDescent="0.25">
      <c r="A32" s="145"/>
      <c r="B32" s="146"/>
      <c r="C32" s="119"/>
      <c r="D32" s="119"/>
      <c r="E32" s="119"/>
      <c r="F32" s="2"/>
      <c r="G32" s="20"/>
      <c r="H32" s="20"/>
      <c r="I32" s="121"/>
      <c r="J32" s="107"/>
      <c r="K32" s="20"/>
      <c r="L32" s="20"/>
      <c r="M32" s="146"/>
      <c r="N32" s="145"/>
      <c r="O32" s="145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</row>
    <row r="33" spans="1:27" ht="15" x14ac:dyDescent="0.25">
      <c r="A33" s="145"/>
      <c r="B33" s="146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46"/>
      <c r="N33" s="145"/>
      <c r="O33" s="145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</row>
    <row r="34" spans="1:27" ht="15" x14ac:dyDescent="0.25">
      <c r="A34" s="145"/>
      <c r="B34" s="146"/>
      <c r="C34" s="106" t="s">
        <v>1021</v>
      </c>
      <c r="D34" s="119"/>
      <c r="E34" s="119"/>
      <c r="F34" s="119" t="s">
        <v>12</v>
      </c>
      <c r="G34" s="119"/>
      <c r="H34" s="20">
        <f>SUM(K10,K20,K27)</f>
        <v>39</v>
      </c>
      <c r="I34" s="119"/>
      <c r="J34" s="119" t="s">
        <v>13</v>
      </c>
      <c r="K34" s="20"/>
      <c r="L34" s="119"/>
      <c r="M34" s="146"/>
      <c r="N34" s="145"/>
      <c r="O34" s="145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</row>
    <row r="35" spans="1:27" ht="15" x14ac:dyDescent="0.25">
      <c r="A35" s="145"/>
      <c r="B35" s="146"/>
      <c r="C35" s="119"/>
      <c r="D35" s="119"/>
      <c r="E35" s="119"/>
      <c r="F35" s="119" t="s">
        <v>14</v>
      </c>
      <c r="G35" s="119"/>
      <c r="H35" s="20"/>
      <c r="I35" s="119"/>
      <c r="J35" s="119" t="s">
        <v>15</v>
      </c>
      <c r="K35" s="20"/>
      <c r="L35" s="119"/>
      <c r="M35" s="146"/>
      <c r="N35" s="145"/>
      <c r="O35" s="145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</row>
    <row r="36" spans="1:27" ht="15" x14ac:dyDescent="0.25">
      <c r="A36" s="145"/>
      <c r="B36" s="14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46"/>
      <c r="N36" s="145"/>
      <c r="O36" s="145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</row>
    <row r="37" spans="1:27" ht="15" x14ac:dyDescent="0.25">
      <c r="A37" s="145"/>
      <c r="B37" s="146"/>
      <c r="C37" s="120" t="s">
        <v>1033</v>
      </c>
      <c r="D37" s="120"/>
      <c r="E37" s="120"/>
      <c r="F37" s="120"/>
      <c r="G37" s="120"/>
      <c r="H37" s="120"/>
      <c r="I37" s="120"/>
      <c r="J37" s="120"/>
      <c r="K37" s="120"/>
      <c r="L37" s="120"/>
      <c r="M37" s="146"/>
      <c r="N37" s="145"/>
      <c r="O37" s="145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</row>
    <row r="38" spans="1:27" ht="15" x14ac:dyDescent="0.25">
      <c r="A38" s="145"/>
      <c r="B38" s="146"/>
      <c r="C38" s="119" t="s">
        <v>16</v>
      </c>
      <c r="D38" s="119"/>
      <c r="E38" s="119"/>
      <c r="F38" s="119"/>
      <c r="G38" s="119"/>
      <c r="H38" s="119"/>
      <c r="I38" s="119"/>
      <c r="J38" s="119"/>
      <c r="K38" s="234" t="s">
        <v>109</v>
      </c>
      <c r="L38" s="234"/>
      <c r="M38" s="146"/>
      <c r="N38" s="145"/>
      <c r="O38" s="145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</row>
    <row r="39" spans="1:27" ht="15" x14ac:dyDescent="0.25">
      <c r="A39" s="145"/>
      <c r="B39" s="146"/>
      <c r="C39" s="119" t="s">
        <v>1013</v>
      </c>
      <c r="D39" s="119"/>
      <c r="E39" s="119"/>
      <c r="F39" s="119"/>
      <c r="G39" s="119"/>
      <c r="H39" s="119"/>
      <c r="I39" s="119"/>
      <c r="J39" s="119"/>
      <c r="K39" s="233" t="s">
        <v>229</v>
      </c>
      <c r="L39" s="233"/>
      <c r="M39" s="146"/>
      <c r="N39" s="145"/>
      <c r="O39" s="145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</row>
    <row r="40" spans="1:27" ht="15" x14ac:dyDescent="0.25">
      <c r="A40" s="145"/>
      <c r="B40" s="146"/>
      <c r="C40" s="119" t="s">
        <v>17</v>
      </c>
      <c r="D40" s="119"/>
      <c r="E40" s="119"/>
      <c r="F40" s="119"/>
      <c r="G40" s="119"/>
      <c r="H40" s="119"/>
      <c r="I40" s="119"/>
      <c r="J40" s="119"/>
      <c r="K40" s="234"/>
      <c r="L40" s="234"/>
      <c r="M40" s="146"/>
      <c r="N40" s="145"/>
      <c r="O40" s="145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</row>
    <row r="41" spans="1:27" ht="15" x14ac:dyDescent="0.25">
      <c r="A41" s="145"/>
      <c r="B41" s="146"/>
      <c r="C41" s="119" t="s">
        <v>1007</v>
      </c>
      <c r="D41" s="119"/>
      <c r="E41" s="119"/>
      <c r="F41" s="119"/>
      <c r="G41" s="119"/>
      <c r="H41" s="119"/>
      <c r="I41" s="119"/>
      <c r="J41" s="119"/>
      <c r="K41" s="235"/>
      <c r="L41" s="236"/>
      <c r="M41" s="146"/>
      <c r="N41" s="145"/>
      <c r="O41" s="145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</row>
    <row r="42" spans="1:27" ht="15" x14ac:dyDescent="0.25">
      <c r="A42" s="145"/>
      <c r="B42" s="146"/>
      <c r="C42" s="119" t="s">
        <v>18</v>
      </c>
      <c r="D42" s="119"/>
      <c r="E42" s="119"/>
      <c r="F42" s="119"/>
      <c r="G42" s="119"/>
      <c r="H42" s="119"/>
      <c r="I42" s="119"/>
      <c r="J42" s="119"/>
      <c r="K42" s="20"/>
      <c r="L42" s="2" t="s">
        <v>19</v>
      </c>
      <c r="M42" s="146"/>
      <c r="N42" s="145"/>
      <c r="O42" s="145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</row>
    <row r="43" spans="1:27" ht="15" x14ac:dyDescent="0.25">
      <c r="A43" s="145"/>
      <c r="B43" s="146"/>
      <c r="C43" s="119" t="s">
        <v>735</v>
      </c>
      <c r="D43" s="119"/>
      <c r="E43" s="119"/>
      <c r="F43" s="119"/>
      <c r="G43" s="119"/>
      <c r="H43" s="119"/>
      <c r="I43" s="119"/>
      <c r="J43" s="119"/>
      <c r="K43" s="20"/>
      <c r="L43" s="2" t="s">
        <v>9</v>
      </c>
      <c r="M43" s="146"/>
      <c r="N43" s="145"/>
      <c r="O43" s="145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</row>
    <row r="44" spans="1:27" ht="15" x14ac:dyDescent="0.25">
      <c r="A44" s="145"/>
      <c r="B44" s="146"/>
      <c r="C44" s="119" t="s">
        <v>736</v>
      </c>
      <c r="D44" s="119"/>
      <c r="E44" s="119"/>
      <c r="F44" s="119"/>
      <c r="G44" s="119"/>
      <c r="H44" s="119"/>
      <c r="I44" s="119"/>
      <c r="J44" s="119"/>
      <c r="K44" s="151"/>
      <c r="L44" s="2" t="s">
        <v>20</v>
      </c>
      <c r="M44" s="146"/>
      <c r="N44" s="145"/>
      <c r="O44" s="145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</row>
    <row r="45" spans="1:27" x14ac:dyDescent="0.3">
      <c r="A45" s="145"/>
      <c r="B45" s="146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46"/>
      <c r="N45" s="145"/>
      <c r="O45" s="145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</row>
    <row r="46" spans="1:27" x14ac:dyDescent="0.3">
      <c r="A46" s="145"/>
      <c r="B46" s="146"/>
      <c r="C46" s="120" t="s">
        <v>21</v>
      </c>
      <c r="D46" s="120"/>
      <c r="E46" s="120"/>
      <c r="F46" s="120"/>
      <c r="G46" s="120"/>
      <c r="H46" s="120"/>
      <c r="I46" s="120"/>
      <c r="J46" s="120"/>
      <c r="K46" s="120"/>
      <c r="L46" s="120"/>
      <c r="M46" s="146"/>
      <c r="N46" s="145"/>
      <c r="O46" s="145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</row>
    <row r="47" spans="1:27" x14ac:dyDescent="0.3">
      <c r="A47" s="145"/>
      <c r="B47" s="146"/>
      <c r="C47" s="224"/>
      <c r="D47" s="224"/>
      <c r="E47" s="224"/>
      <c r="F47" s="224"/>
      <c r="G47" s="224"/>
      <c r="H47" s="224"/>
      <c r="I47" s="224"/>
      <c r="J47" s="224"/>
      <c r="K47" s="224"/>
      <c r="L47" s="224"/>
      <c r="M47" s="146"/>
      <c r="N47" s="145"/>
      <c r="O47" s="145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</row>
    <row r="48" spans="1:27" x14ac:dyDescent="0.3">
      <c r="A48" s="145"/>
      <c r="B48" s="146"/>
      <c r="C48" s="225"/>
      <c r="D48" s="226"/>
      <c r="E48" s="226"/>
      <c r="F48" s="226"/>
      <c r="G48" s="226"/>
      <c r="H48" s="226"/>
      <c r="I48" s="226"/>
      <c r="J48" s="226"/>
      <c r="K48" s="226"/>
      <c r="L48" s="227"/>
      <c r="M48" s="146"/>
      <c r="N48" s="145"/>
      <c r="O48" s="145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</row>
    <row r="49" spans="1:27" x14ac:dyDescent="0.3">
      <c r="A49" s="145"/>
      <c r="B49" s="146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146"/>
      <c r="N49" s="145"/>
      <c r="O49" s="145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</row>
    <row r="50" spans="1:27" ht="15" thickBot="1" x14ac:dyDescent="0.35">
      <c r="A50" s="145"/>
      <c r="B50" s="146"/>
      <c r="C50" s="119" t="s">
        <v>22</v>
      </c>
      <c r="D50" s="224" t="s">
        <v>1132</v>
      </c>
      <c r="E50" s="224"/>
      <c r="F50" s="224"/>
      <c r="G50" s="119"/>
      <c r="H50" s="119" t="s">
        <v>23</v>
      </c>
      <c r="I50" s="228" t="s">
        <v>73</v>
      </c>
      <c r="J50" s="229"/>
      <c r="K50" s="229"/>
      <c r="L50" s="229"/>
      <c r="M50" s="146"/>
      <c r="N50" s="154" t="s">
        <v>1154</v>
      </c>
      <c r="O50" s="145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</row>
    <row r="51" spans="1:27" s="44" customFormat="1" ht="15" customHeight="1" thickTop="1" x14ac:dyDescent="0.3">
      <c r="A51" s="112"/>
      <c r="B51" s="112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</row>
    <row r="52" spans="1:27" s="44" customFormat="1" x14ac:dyDescent="0.3">
      <c r="A52" s="112"/>
      <c r="B52" s="112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</row>
    <row r="53" spans="1:27" s="44" customFormat="1" ht="18" x14ac:dyDescent="0.35">
      <c r="A53" s="112"/>
      <c r="B53" s="112"/>
      <c r="C53" s="232" t="s">
        <v>1152</v>
      </c>
      <c r="D53" s="232"/>
      <c r="E53" s="232"/>
      <c r="F53" s="232"/>
      <c r="G53" s="232"/>
      <c r="H53" s="232"/>
      <c r="I53" s="232"/>
      <c r="J53" s="232"/>
      <c r="K53" s="232"/>
      <c r="L53" s="232"/>
      <c r="M53" s="111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</row>
    <row r="54" spans="1:27" s="44" customFormat="1" x14ac:dyDescent="0.3">
      <c r="A54" s="112"/>
      <c r="B54" s="112"/>
      <c r="C54" s="221" t="s">
        <v>1151</v>
      </c>
      <c r="D54" s="221"/>
      <c r="E54" s="221"/>
      <c r="F54" s="221"/>
      <c r="G54" s="221"/>
      <c r="H54" s="221"/>
      <c r="I54" s="221"/>
      <c r="J54" s="221"/>
      <c r="K54" s="221"/>
      <c r="L54" s="221"/>
      <c r="M54" s="111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</row>
    <row r="55" spans="1:27" s="44" customFormat="1" x14ac:dyDescent="0.3">
      <c r="A55" s="112"/>
      <c r="B55" s="112"/>
      <c r="C55" s="222" t="s">
        <v>73</v>
      </c>
      <c r="D55" s="222"/>
      <c r="E55" s="222"/>
      <c r="F55" s="222"/>
      <c r="G55" s="222"/>
      <c r="H55" s="222"/>
      <c r="I55" s="222"/>
      <c r="J55" s="222"/>
      <c r="K55" s="222"/>
      <c r="L55" s="222"/>
      <c r="M55" s="111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</row>
    <row r="56" spans="1:27" s="44" customFormat="1" x14ac:dyDescent="0.3">
      <c r="A56" s="112"/>
      <c r="B56" s="112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</row>
    <row r="57" spans="1:27" s="44" customFormat="1" x14ac:dyDescent="0.3">
      <c r="A57" s="112"/>
      <c r="B57" s="112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</row>
    <row r="58" spans="1:27" s="44" customFormat="1" x14ac:dyDescent="0.3">
      <c r="A58" s="112"/>
      <c r="B58" s="112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</row>
    <row r="59" spans="1:27" s="44" customFormat="1" x14ac:dyDescent="0.3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1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</row>
    <row r="60" spans="1:27" x14ac:dyDescent="0.3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1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</row>
    <row r="61" spans="1:27" x14ac:dyDescent="0.3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1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</row>
    <row r="62" spans="1:27" x14ac:dyDescent="0.3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1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</row>
    <row r="63" spans="1:27" x14ac:dyDescent="0.3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1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</row>
    <row r="64" spans="1:27" x14ac:dyDescent="0.3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1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</row>
    <row r="65" spans="1:27" x14ac:dyDescent="0.3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1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</row>
    <row r="66" spans="1:27" x14ac:dyDescent="0.3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1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</row>
    <row r="67" spans="1:27" x14ac:dyDescent="0.3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1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</row>
    <row r="68" spans="1:27" x14ac:dyDescent="0.3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1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</row>
    <row r="69" spans="1:27" x14ac:dyDescent="0.3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1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</row>
    <row r="70" spans="1:27" x14ac:dyDescent="0.3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1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</row>
    <row r="71" spans="1:27" x14ac:dyDescent="0.3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1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</row>
    <row r="72" spans="1:27" x14ac:dyDescent="0.3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1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</row>
    <row r="73" spans="1:27" x14ac:dyDescent="0.3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1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</row>
    <row r="74" spans="1:27" x14ac:dyDescent="0.3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1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</row>
    <row r="75" spans="1:27" x14ac:dyDescent="0.3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1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</row>
    <row r="76" spans="1:27" x14ac:dyDescent="0.3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1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</row>
    <row r="77" spans="1:27" x14ac:dyDescent="0.3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1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</row>
    <row r="78" spans="1:27" x14ac:dyDescent="0.3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1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</row>
    <row r="79" spans="1:27" x14ac:dyDescent="0.3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1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</row>
    <row r="80" spans="1:27" x14ac:dyDescent="0.3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1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</row>
    <row r="81" spans="1:27" x14ac:dyDescent="0.3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1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</row>
    <row r="82" spans="1:27" x14ac:dyDescent="0.3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1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</row>
    <row r="83" spans="1:27" x14ac:dyDescent="0.3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1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</row>
    <row r="84" spans="1:27" x14ac:dyDescent="0.3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1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</row>
    <row r="85" spans="1:27" x14ac:dyDescent="0.3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1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</row>
    <row r="86" spans="1:27" x14ac:dyDescent="0.3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1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</row>
    <row r="87" spans="1:27" x14ac:dyDescent="0.3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1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</row>
    <row r="88" spans="1:27" x14ac:dyDescent="0.3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1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</row>
    <row r="89" spans="1:27" x14ac:dyDescent="0.3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1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</row>
    <row r="90" spans="1:27" x14ac:dyDescent="0.3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1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</row>
    <row r="91" spans="1:27" x14ac:dyDescent="0.3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1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</row>
    <row r="92" spans="1:27" x14ac:dyDescent="0.3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1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</row>
    <row r="93" spans="1:27" x14ac:dyDescent="0.3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1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</row>
    <row r="94" spans="1:27" x14ac:dyDescent="0.3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1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</row>
    <row r="95" spans="1:27" x14ac:dyDescent="0.3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1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</row>
    <row r="96" spans="1:27" x14ac:dyDescent="0.3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1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</row>
    <row r="97" spans="1:27" x14ac:dyDescent="0.3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1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</row>
    <row r="98" spans="1:27" x14ac:dyDescent="0.3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1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</row>
    <row r="99" spans="1:27" x14ac:dyDescent="0.3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1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</row>
    <row r="100" spans="1:27" x14ac:dyDescent="0.3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1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</row>
    <row r="101" spans="1:27" x14ac:dyDescent="0.3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1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</row>
    <row r="102" spans="1:27" x14ac:dyDescent="0.3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1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</row>
    <row r="103" spans="1:27" x14ac:dyDescent="0.3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1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</row>
    <row r="104" spans="1:27" x14ac:dyDescent="0.3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1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</row>
    <row r="105" spans="1:27" x14ac:dyDescent="0.3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1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</row>
    <row r="106" spans="1:27" x14ac:dyDescent="0.3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1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</row>
    <row r="107" spans="1:27" x14ac:dyDescent="0.3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1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</row>
    <row r="108" spans="1:27" x14ac:dyDescent="0.3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1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</row>
    <row r="109" spans="1:27" x14ac:dyDescent="0.3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1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</row>
    <row r="110" spans="1:27" x14ac:dyDescent="0.3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1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</row>
    <row r="111" spans="1:27" x14ac:dyDescent="0.3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1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</row>
    <row r="112" spans="1:27" x14ac:dyDescent="0.3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1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</row>
    <row r="113" spans="1:27" x14ac:dyDescent="0.3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1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</row>
    <row r="114" spans="1:27" x14ac:dyDescent="0.3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1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</row>
    <row r="115" spans="1:27" x14ac:dyDescent="0.3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1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</row>
    <row r="116" spans="1:27" x14ac:dyDescent="0.3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1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</row>
    <row r="117" spans="1:27" x14ac:dyDescent="0.3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1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</row>
    <row r="118" spans="1:27" x14ac:dyDescent="0.3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1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</row>
    <row r="119" spans="1:27" x14ac:dyDescent="0.3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1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</row>
    <row r="120" spans="1:27" x14ac:dyDescent="0.3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1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</row>
    <row r="121" spans="1:27" x14ac:dyDescent="0.3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1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</row>
    <row r="122" spans="1:27" x14ac:dyDescent="0.3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1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</row>
    <row r="123" spans="1:27" x14ac:dyDescent="0.3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1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</row>
    <row r="124" spans="1:27" x14ac:dyDescent="0.3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1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</row>
    <row r="125" spans="1:27" x14ac:dyDescent="0.3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1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</row>
    <row r="126" spans="1:27" x14ac:dyDescent="0.3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1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</row>
    <row r="127" spans="1:27" x14ac:dyDescent="0.3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1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</row>
    <row r="128" spans="1:27" x14ac:dyDescent="0.3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1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</row>
    <row r="129" spans="1:27" x14ac:dyDescent="0.3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1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</row>
    <row r="130" spans="1:27" x14ac:dyDescent="0.3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1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</row>
    <row r="131" spans="1:27" x14ac:dyDescent="0.3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1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</row>
    <row r="132" spans="1:27" x14ac:dyDescent="0.3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1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</row>
    <row r="133" spans="1:27" x14ac:dyDescent="0.3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1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</row>
    <row r="134" spans="1:27" x14ac:dyDescent="0.3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1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</row>
    <row r="135" spans="1:27" x14ac:dyDescent="0.3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1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</row>
    <row r="136" spans="1:27" x14ac:dyDescent="0.3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1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</row>
    <row r="137" spans="1:27" x14ac:dyDescent="0.3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1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</row>
    <row r="138" spans="1:27" x14ac:dyDescent="0.3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1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</row>
    <row r="139" spans="1:27" x14ac:dyDescent="0.3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1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</row>
    <row r="140" spans="1:27" x14ac:dyDescent="0.3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1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</row>
    <row r="141" spans="1:27" x14ac:dyDescent="0.3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1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</row>
    <row r="142" spans="1:27" x14ac:dyDescent="0.3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1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</row>
    <row r="143" spans="1:27" x14ac:dyDescent="0.3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1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</row>
    <row r="144" spans="1:27" x14ac:dyDescent="0.3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1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</row>
    <row r="145" spans="1:27" x14ac:dyDescent="0.3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1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</row>
    <row r="146" spans="1:27" x14ac:dyDescent="0.3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1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</row>
    <row r="147" spans="1:27" x14ac:dyDescent="0.3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1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</row>
    <row r="148" spans="1:27" x14ac:dyDescent="0.3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1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</row>
    <row r="149" spans="1:27" x14ac:dyDescent="0.3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1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</row>
    <row r="150" spans="1:27" x14ac:dyDescent="0.3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1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</row>
    <row r="151" spans="1:27" x14ac:dyDescent="0.3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1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</row>
    <row r="152" spans="1:27" x14ac:dyDescent="0.3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1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</row>
    <row r="153" spans="1:27" x14ac:dyDescent="0.3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1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</row>
    <row r="154" spans="1:27" x14ac:dyDescent="0.3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1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</row>
    <row r="155" spans="1:27" x14ac:dyDescent="0.3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1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</row>
    <row r="156" spans="1:27" x14ac:dyDescent="0.3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1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</row>
    <row r="157" spans="1:27" x14ac:dyDescent="0.3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1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</row>
    <row r="158" spans="1:27" x14ac:dyDescent="0.3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1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/>
    </row>
    <row r="159" spans="1:27" x14ac:dyDescent="0.3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1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/>
    </row>
    <row r="160" spans="1:27" x14ac:dyDescent="0.3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1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  <c r="AA160" s="112"/>
    </row>
    <row r="161" spans="1:27" x14ac:dyDescent="0.3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1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  <c r="AA161" s="112"/>
    </row>
    <row r="162" spans="1:27" x14ac:dyDescent="0.3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1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</row>
    <row r="163" spans="1:27" x14ac:dyDescent="0.3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1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</row>
    <row r="164" spans="1:27" x14ac:dyDescent="0.3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1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</row>
    <row r="165" spans="1:27" x14ac:dyDescent="0.3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1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</row>
    <row r="166" spans="1:27" x14ac:dyDescent="0.3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1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</row>
    <row r="167" spans="1:27" x14ac:dyDescent="0.3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1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</row>
    <row r="168" spans="1:27" x14ac:dyDescent="0.3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1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</row>
    <row r="169" spans="1:27" x14ac:dyDescent="0.3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1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</row>
    <row r="170" spans="1:27" x14ac:dyDescent="0.3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1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</row>
    <row r="171" spans="1:27" x14ac:dyDescent="0.3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1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</row>
    <row r="172" spans="1:27" x14ac:dyDescent="0.3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1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</row>
    <row r="173" spans="1:27" x14ac:dyDescent="0.3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1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</row>
    <row r="174" spans="1:27" x14ac:dyDescent="0.3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1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</row>
    <row r="175" spans="1:27" x14ac:dyDescent="0.3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1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</row>
    <row r="176" spans="1:27" x14ac:dyDescent="0.3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1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</row>
    <row r="177" spans="1:27" x14ac:dyDescent="0.3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1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</row>
    <row r="178" spans="1:27" x14ac:dyDescent="0.3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1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</row>
    <row r="179" spans="1:27" x14ac:dyDescent="0.3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1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</row>
    <row r="180" spans="1:27" x14ac:dyDescent="0.3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1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</row>
    <row r="181" spans="1:27" x14ac:dyDescent="0.3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1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</row>
    <row r="182" spans="1:27" x14ac:dyDescent="0.3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1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</row>
    <row r="183" spans="1:27" x14ac:dyDescent="0.3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1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</row>
    <row r="184" spans="1:27" x14ac:dyDescent="0.3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1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</row>
    <row r="185" spans="1:27" x14ac:dyDescent="0.3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1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</row>
    <row r="186" spans="1:27" x14ac:dyDescent="0.3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1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</row>
    <row r="187" spans="1:27" x14ac:dyDescent="0.3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1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</row>
    <row r="188" spans="1:27" x14ac:dyDescent="0.3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1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  <c r="AA188" s="112"/>
    </row>
    <row r="189" spans="1:27" x14ac:dyDescent="0.3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1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</row>
    <row r="190" spans="1:27" x14ac:dyDescent="0.3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1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</row>
    <row r="191" spans="1:27" x14ac:dyDescent="0.3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1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</row>
    <row r="192" spans="1:27" x14ac:dyDescent="0.3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1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</row>
    <row r="193" spans="1:27" x14ac:dyDescent="0.3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1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</row>
    <row r="194" spans="1:27" x14ac:dyDescent="0.3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1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</row>
    <row r="195" spans="1:27" x14ac:dyDescent="0.3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1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</row>
    <row r="196" spans="1:27" x14ac:dyDescent="0.3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1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</row>
    <row r="197" spans="1:27" x14ac:dyDescent="0.3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1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112"/>
    </row>
    <row r="198" spans="1:27" x14ac:dyDescent="0.3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1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</row>
    <row r="199" spans="1:27" x14ac:dyDescent="0.3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1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  <c r="AA199" s="112"/>
    </row>
    <row r="200" spans="1:27" x14ac:dyDescent="0.3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1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  <c r="AA200" s="112"/>
    </row>
    <row r="201" spans="1:27" x14ac:dyDescent="0.3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1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  <c r="AA201" s="112"/>
    </row>
    <row r="202" spans="1:27" x14ac:dyDescent="0.3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1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</row>
    <row r="203" spans="1:27" x14ac:dyDescent="0.3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1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</row>
    <row r="204" spans="1:27" x14ac:dyDescent="0.3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1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</row>
    <row r="205" spans="1:27" x14ac:dyDescent="0.3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1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</row>
    <row r="206" spans="1:27" x14ac:dyDescent="0.3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1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</row>
    <row r="207" spans="1:27" x14ac:dyDescent="0.3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1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</row>
    <row r="208" spans="1:27" x14ac:dyDescent="0.3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1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</row>
    <row r="209" spans="1:27" x14ac:dyDescent="0.3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1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</row>
    <row r="210" spans="1:27" x14ac:dyDescent="0.3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1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</row>
    <row r="211" spans="1:27" x14ac:dyDescent="0.3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1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</row>
    <row r="212" spans="1:27" x14ac:dyDescent="0.3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1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  <c r="AA212" s="112"/>
    </row>
    <row r="213" spans="1:27" x14ac:dyDescent="0.3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1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</row>
    <row r="214" spans="1:27" x14ac:dyDescent="0.3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1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  <c r="AA214" s="112"/>
    </row>
    <row r="215" spans="1:27" x14ac:dyDescent="0.3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1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</row>
    <row r="216" spans="1:27" x14ac:dyDescent="0.3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1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  <c r="AA216" s="112"/>
    </row>
    <row r="217" spans="1:27" x14ac:dyDescent="0.3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1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</row>
    <row r="218" spans="1:27" x14ac:dyDescent="0.3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1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  <c r="AA218" s="112"/>
    </row>
    <row r="219" spans="1:27" x14ac:dyDescent="0.3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1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</row>
    <row r="220" spans="1:27" x14ac:dyDescent="0.3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1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</row>
    <row r="221" spans="1:27" x14ac:dyDescent="0.3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1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</row>
    <row r="222" spans="1:27" x14ac:dyDescent="0.3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1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  <c r="AA222" s="112"/>
    </row>
    <row r="223" spans="1:27" x14ac:dyDescent="0.3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1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  <c r="AA223" s="112"/>
    </row>
    <row r="224" spans="1:27" x14ac:dyDescent="0.3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1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  <c r="AA224" s="112"/>
    </row>
    <row r="225" spans="1:27" x14ac:dyDescent="0.3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1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  <c r="AA225" s="112"/>
    </row>
    <row r="226" spans="1:27" x14ac:dyDescent="0.3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1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  <c r="AA226" s="112"/>
    </row>
    <row r="227" spans="1:27" x14ac:dyDescent="0.3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1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  <c r="AA227" s="112"/>
    </row>
    <row r="228" spans="1:27" x14ac:dyDescent="0.3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1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  <c r="AA228" s="112"/>
    </row>
    <row r="229" spans="1:27" x14ac:dyDescent="0.3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1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</row>
    <row r="230" spans="1:27" x14ac:dyDescent="0.3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1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  <c r="AA230" s="112"/>
    </row>
    <row r="231" spans="1:27" x14ac:dyDescent="0.3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1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  <c r="AA231" s="112"/>
    </row>
    <row r="232" spans="1:27" x14ac:dyDescent="0.3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1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  <c r="AA232" s="112"/>
    </row>
    <row r="233" spans="1:27" x14ac:dyDescent="0.3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1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  <c r="AA233" s="112"/>
    </row>
    <row r="234" spans="1:27" x14ac:dyDescent="0.3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1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  <c r="AA234" s="112"/>
    </row>
    <row r="235" spans="1:27" x14ac:dyDescent="0.3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1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  <c r="AA235" s="112"/>
    </row>
    <row r="236" spans="1:27" x14ac:dyDescent="0.3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1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  <c r="AA236" s="112"/>
    </row>
    <row r="237" spans="1:27" x14ac:dyDescent="0.3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1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  <c r="AA237" s="112"/>
    </row>
    <row r="238" spans="1:27" x14ac:dyDescent="0.3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1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  <c r="AA238" s="112"/>
    </row>
    <row r="239" spans="1:27" x14ac:dyDescent="0.3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1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</row>
    <row r="240" spans="1:27" x14ac:dyDescent="0.3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1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  <c r="AA240" s="112"/>
    </row>
    <row r="241" spans="1:27" x14ac:dyDescent="0.3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1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  <c r="AA241" s="112"/>
    </row>
    <row r="242" spans="1:27" x14ac:dyDescent="0.3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1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  <c r="AA242" s="112"/>
    </row>
    <row r="243" spans="1:27" x14ac:dyDescent="0.3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1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</row>
    <row r="244" spans="1:27" x14ac:dyDescent="0.3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1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</row>
    <row r="245" spans="1:27" x14ac:dyDescent="0.3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1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  <c r="AA245" s="112"/>
    </row>
    <row r="246" spans="1:27" x14ac:dyDescent="0.3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1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</row>
    <row r="247" spans="1:27" x14ac:dyDescent="0.3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1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  <c r="AA247" s="112"/>
    </row>
    <row r="248" spans="1:27" x14ac:dyDescent="0.3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1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  <c r="AA248" s="112"/>
    </row>
    <row r="249" spans="1:27" x14ac:dyDescent="0.3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1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  <c r="AA249" s="112"/>
    </row>
    <row r="250" spans="1:27" x14ac:dyDescent="0.3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1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  <c r="AA250" s="112"/>
    </row>
    <row r="251" spans="1:27" x14ac:dyDescent="0.3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1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</row>
    <row r="252" spans="1:27" x14ac:dyDescent="0.3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1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</row>
    <row r="253" spans="1:27" x14ac:dyDescent="0.3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1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</row>
    <row r="254" spans="1:27" x14ac:dyDescent="0.3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1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  <c r="AA254" s="112"/>
    </row>
    <row r="255" spans="1:27" x14ac:dyDescent="0.3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1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</row>
    <row r="256" spans="1:27" x14ac:dyDescent="0.3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1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</row>
    <row r="257" spans="1:27" x14ac:dyDescent="0.3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1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  <c r="AA257" s="112"/>
    </row>
    <row r="258" spans="1:27" x14ac:dyDescent="0.3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1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  <c r="AA258" s="112"/>
    </row>
    <row r="259" spans="1:27" x14ac:dyDescent="0.3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1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  <c r="AA259" s="112"/>
    </row>
    <row r="260" spans="1:27" x14ac:dyDescent="0.3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1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  <c r="AA260" s="112"/>
    </row>
    <row r="261" spans="1:27" x14ac:dyDescent="0.3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1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</row>
    <row r="262" spans="1:27" x14ac:dyDescent="0.3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1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</row>
    <row r="263" spans="1:27" x14ac:dyDescent="0.3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1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</row>
    <row r="264" spans="1:27" x14ac:dyDescent="0.3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1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  <c r="AA264" s="112"/>
    </row>
    <row r="265" spans="1:27" x14ac:dyDescent="0.3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1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</row>
    <row r="266" spans="1:27" x14ac:dyDescent="0.3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1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</row>
    <row r="267" spans="1:27" x14ac:dyDescent="0.3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1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</row>
    <row r="268" spans="1:27" x14ac:dyDescent="0.3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1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</row>
    <row r="269" spans="1:27" x14ac:dyDescent="0.3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1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</row>
    <row r="270" spans="1:27" x14ac:dyDescent="0.3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1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</row>
    <row r="271" spans="1:27" x14ac:dyDescent="0.3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1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</row>
    <row r="272" spans="1:27" x14ac:dyDescent="0.3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1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</row>
    <row r="273" spans="1:27" x14ac:dyDescent="0.3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1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  <c r="AA273" s="112"/>
    </row>
    <row r="274" spans="1:27" x14ac:dyDescent="0.3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1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  <c r="AA274" s="112"/>
    </row>
    <row r="275" spans="1:27" x14ac:dyDescent="0.3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1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</row>
    <row r="276" spans="1:27" x14ac:dyDescent="0.3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1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</row>
    <row r="277" spans="1:27" x14ac:dyDescent="0.3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1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</row>
    <row r="278" spans="1:27" x14ac:dyDescent="0.3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1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  <c r="AA278" s="112"/>
    </row>
    <row r="279" spans="1:27" x14ac:dyDescent="0.3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1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</row>
    <row r="280" spans="1:27" x14ac:dyDescent="0.3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1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2"/>
    </row>
    <row r="281" spans="1:27" x14ac:dyDescent="0.3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1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  <c r="AA281" s="112"/>
    </row>
    <row r="282" spans="1:27" x14ac:dyDescent="0.3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1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  <c r="AA282" s="112"/>
    </row>
    <row r="283" spans="1:27" x14ac:dyDescent="0.3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1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</row>
    <row r="284" spans="1:27" x14ac:dyDescent="0.3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1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</row>
    <row r="285" spans="1:27" x14ac:dyDescent="0.3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1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  <c r="AA285" s="112"/>
    </row>
    <row r="286" spans="1:27" x14ac:dyDescent="0.3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1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</row>
    <row r="287" spans="1:27" x14ac:dyDescent="0.3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1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  <c r="AA287" s="112"/>
    </row>
    <row r="288" spans="1:27" x14ac:dyDescent="0.3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1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  <c r="AA288" s="112"/>
    </row>
    <row r="289" spans="1:27" x14ac:dyDescent="0.3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1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</row>
    <row r="290" spans="1:27" x14ac:dyDescent="0.3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1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  <c r="AA290" s="112"/>
    </row>
    <row r="291" spans="1:27" x14ac:dyDescent="0.3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1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</row>
    <row r="292" spans="1:27" x14ac:dyDescent="0.3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1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</row>
    <row r="293" spans="1:27" x14ac:dyDescent="0.3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1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</row>
    <row r="294" spans="1:27" x14ac:dyDescent="0.3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1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</row>
    <row r="295" spans="1:27" x14ac:dyDescent="0.3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1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</row>
    <row r="296" spans="1:27" x14ac:dyDescent="0.3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1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  <c r="AA296" s="112"/>
    </row>
    <row r="297" spans="1:27" x14ac:dyDescent="0.3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1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</row>
    <row r="298" spans="1:27" x14ac:dyDescent="0.3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1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</row>
    <row r="299" spans="1:27" x14ac:dyDescent="0.3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1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</row>
    <row r="300" spans="1:27" x14ac:dyDescent="0.3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1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</row>
    <row r="301" spans="1:27" x14ac:dyDescent="0.3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1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</row>
    <row r="302" spans="1:27" x14ac:dyDescent="0.3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</row>
    <row r="303" spans="1:27" x14ac:dyDescent="0.3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1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</row>
  </sheetData>
  <sheetProtection password="CA97" sheet="1" objects="1" scenarios="1"/>
  <mergeCells count="35">
    <mergeCell ref="C1:L1"/>
    <mergeCell ref="C2:L2"/>
    <mergeCell ref="C33:L33"/>
    <mergeCell ref="C36:L36"/>
    <mergeCell ref="K38:L38"/>
    <mergeCell ref="C9:L9"/>
    <mergeCell ref="C10:I10"/>
    <mergeCell ref="C12:E12"/>
    <mergeCell ref="D8:E8"/>
    <mergeCell ref="J8:K8"/>
    <mergeCell ref="C5:L5"/>
    <mergeCell ref="N5:O5"/>
    <mergeCell ref="C6:L6"/>
    <mergeCell ref="D7:F7"/>
    <mergeCell ref="J7:K7"/>
    <mergeCell ref="C53:L53"/>
    <mergeCell ref="K39:L39"/>
    <mergeCell ref="K40:L40"/>
    <mergeCell ref="K41:L41"/>
    <mergeCell ref="C15:E15"/>
    <mergeCell ref="C16:E16"/>
    <mergeCell ref="C17:E17"/>
    <mergeCell ref="C18:E18"/>
    <mergeCell ref="C20:I20"/>
    <mergeCell ref="C27:I27"/>
    <mergeCell ref="C54:L54"/>
    <mergeCell ref="C55:L55"/>
    <mergeCell ref="N12:N14"/>
    <mergeCell ref="C13:E13"/>
    <mergeCell ref="C14:E14"/>
    <mergeCell ref="C47:L47"/>
    <mergeCell ref="C48:L48"/>
    <mergeCell ref="C49:L49"/>
    <mergeCell ref="D50:F50"/>
    <mergeCell ref="I50:L50"/>
  </mergeCells>
  <conditionalFormatting sqref="D7:F7 J7:K8 D8">
    <cfRule type="containsBlanks" dxfId="45" priority="57">
      <formula>LEN(TRIM(D7))=0</formula>
    </cfRule>
  </conditionalFormatting>
  <conditionalFormatting sqref="J12:L18 F12:H12 F16:H18">
    <cfRule type="containsBlanks" dxfId="44" priority="56">
      <formula>LEN(TRIM(F12))=0</formula>
    </cfRule>
  </conditionalFormatting>
  <conditionalFormatting sqref="J22:L25">
    <cfRule type="containsBlanks" dxfId="43" priority="55">
      <formula>LEN(TRIM(J22))=0</formula>
    </cfRule>
  </conditionalFormatting>
  <conditionalFormatting sqref="K10">
    <cfRule type="cellIs" dxfId="42" priority="54" operator="lessThan">
      <formula>33</formula>
    </cfRule>
  </conditionalFormatting>
  <conditionalFormatting sqref="K20">
    <cfRule type="cellIs" dxfId="41" priority="53" operator="lessThan">
      <formula>12</formula>
    </cfRule>
  </conditionalFormatting>
  <conditionalFormatting sqref="K27">
    <cfRule type="cellIs" dxfId="40" priority="52" operator="lessThan">
      <formula>15</formula>
    </cfRule>
  </conditionalFormatting>
  <conditionalFormatting sqref="K38:L38">
    <cfRule type="containsBlanks" dxfId="39" priority="51">
      <formula>LEN(TRIM(K38))=0</formula>
    </cfRule>
  </conditionalFormatting>
  <conditionalFormatting sqref="K39:L39">
    <cfRule type="containsText" dxfId="38" priority="49" operator="containsText" text="Incomplete">
      <formula>NOT(ISERROR(SEARCH("Incomplete",K39)))</formula>
    </cfRule>
    <cfRule type="containsBlanks" dxfId="37" priority="50">
      <formula>LEN(TRIM(K39))=0</formula>
    </cfRule>
  </conditionalFormatting>
  <conditionalFormatting sqref="K40:L40">
    <cfRule type="containsBlanks" dxfId="36" priority="48">
      <formula>LEN(TRIM(K40))=0</formula>
    </cfRule>
  </conditionalFormatting>
  <conditionalFormatting sqref="K41:L41">
    <cfRule type="containsBlanks" dxfId="35" priority="47">
      <formula>LEN(TRIM(K41))=0</formula>
    </cfRule>
  </conditionalFormatting>
  <conditionalFormatting sqref="K42:K44">
    <cfRule type="containsBlanks" dxfId="34" priority="46">
      <formula>LEN(TRIM(K42))=0</formula>
    </cfRule>
  </conditionalFormatting>
  <conditionalFormatting sqref="K42">
    <cfRule type="cellIs" dxfId="33" priority="45" operator="lessThan">
      <formula>60</formula>
    </cfRule>
  </conditionalFormatting>
  <conditionalFormatting sqref="K43">
    <cfRule type="cellIs" dxfId="32" priority="44" operator="lessThan">
      <formula>15</formula>
    </cfRule>
  </conditionalFormatting>
  <conditionalFormatting sqref="K44">
    <cfRule type="cellIs" dxfId="31" priority="43" operator="lessThan">
      <formula>2</formula>
    </cfRule>
  </conditionalFormatting>
  <conditionalFormatting sqref="H12 L12:L17 L19 H16:H18 L22:L25 L29:L32 H29:H32">
    <cfRule type="containsText" dxfId="30" priority="8" operator="containsText" text="IPS">
      <formula>NOT(ISERROR(SEARCH("IPS",H12)))</formula>
    </cfRule>
  </conditionalFormatting>
  <conditionalFormatting sqref="F29">
    <cfRule type="expression" dxfId="29" priority="34">
      <formula>SUM(K27)&gt;14</formula>
    </cfRule>
    <cfRule type="containsBlanks" dxfId="28" priority="35">
      <formula>LEN(TRIM(F29))=0</formula>
    </cfRule>
  </conditionalFormatting>
  <conditionalFormatting sqref="F30">
    <cfRule type="expression" dxfId="27" priority="30">
      <formula>SUM(K27)&gt;14</formula>
    </cfRule>
    <cfRule type="containsBlanks" dxfId="26" priority="31">
      <formula>LEN(TRIM(F30))=0</formula>
    </cfRule>
  </conditionalFormatting>
  <conditionalFormatting sqref="F31">
    <cfRule type="expression" dxfId="25" priority="28">
      <formula>SUM(K27)&gt;14</formula>
    </cfRule>
    <cfRule type="containsBlanks" dxfId="24" priority="29">
      <formula>LEN(TRIM(F31))=0</formula>
    </cfRule>
  </conditionalFormatting>
  <conditionalFormatting sqref="F32">
    <cfRule type="expression" dxfId="23" priority="26">
      <formula>SUM(K27)&gt;14</formula>
    </cfRule>
    <cfRule type="containsBlanks" dxfId="22" priority="27">
      <formula>LEN(TRIM(F32))=0</formula>
    </cfRule>
  </conditionalFormatting>
  <conditionalFormatting sqref="G29:H32 J29:L32">
    <cfRule type="containsBlanks" dxfId="21" priority="42">
      <formula>LEN(TRIM(G29))=0</formula>
    </cfRule>
  </conditionalFormatting>
  <conditionalFormatting sqref="H29">
    <cfRule type="expression" dxfId="20" priority="25">
      <formula>SUM(K27)&gt;14</formula>
    </cfRule>
  </conditionalFormatting>
  <conditionalFormatting sqref="G29">
    <cfRule type="expression" dxfId="19" priority="22">
      <formula>SUM(K27)&gt;14</formula>
    </cfRule>
  </conditionalFormatting>
  <conditionalFormatting sqref="G30">
    <cfRule type="expression" dxfId="18" priority="21">
      <formula>(K27)&gt;14</formula>
    </cfRule>
  </conditionalFormatting>
  <conditionalFormatting sqref="H30">
    <cfRule type="expression" dxfId="17" priority="23">
      <formula>K27&gt;14</formula>
    </cfRule>
  </conditionalFormatting>
  <conditionalFormatting sqref="G31">
    <cfRule type="expression" dxfId="16" priority="19">
      <formula>K27&gt;14</formula>
    </cfRule>
  </conditionalFormatting>
  <conditionalFormatting sqref="H31">
    <cfRule type="expression" dxfId="15" priority="20">
      <formula>K27&gt;14</formula>
    </cfRule>
  </conditionalFormatting>
  <conditionalFormatting sqref="G32">
    <cfRule type="expression" dxfId="14" priority="17">
      <formula>K27&gt;14</formula>
    </cfRule>
  </conditionalFormatting>
  <conditionalFormatting sqref="H32">
    <cfRule type="expression" dxfId="13" priority="1">
      <formula>"f29=blank"</formula>
    </cfRule>
    <cfRule type="expression" dxfId="12" priority="16">
      <formula>K27&gt;14</formula>
    </cfRule>
  </conditionalFormatting>
  <conditionalFormatting sqref="K29">
    <cfRule type="expression" dxfId="11" priority="15">
      <formula>K27&gt;14</formula>
    </cfRule>
  </conditionalFormatting>
  <conditionalFormatting sqref="L29">
    <cfRule type="expression" dxfId="10" priority="18">
      <formula>K27&gt;14</formula>
    </cfRule>
  </conditionalFormatting>
  <conditionalFormatting sqref="K30">
    <cfRule type="expression" dxfId="9" priority="13">
      <formula>K27&gt;14</formula>
    </cfRule>
  </conditionalFormatting>
  <conditionalFormatting sqref="L30">
    <cfRule type="expression" dxfId="8" priority="14">
      <formula>K27&gt;14</formula>
    </cfRule>
  </conditionalFormatting>
  <conditionalFormatting sqref="K31">
    <cfRule type="expression" dxfId="7" priority="11">
      <formula>K27&gt;14</formula>
    </cfRule>
  </conditionalFormatting>
  <conditionalFormatting sqref="L31">
    <cfRule type="expression" dxfId="6" priority="12">
      <formula>K27&gt;14</formula>
    </cfRule>
  </conditionalFormatting>
  <conditionalFormatting sqref="K32">
    <cfRule type="expression" dxfId="5" priority="9">
      <formula>K27&gt;14</formula>
    </cfRule>
  </conditionalFormatting>
  <conditionalFormatting sqref="L32">
    <cfRule type="expression" dxfId="4" priority="10">
      <formula>K27&gt;14</formula>
    </cfRule>
  </conditionalFormatting>
  <conditionalFormatting sqref="J29">
    <cfRule type="expression" dxfId="3" priority="7">
      <formula>K27&gt;14</formula>
    </cfRule>
  </conditionalFormatting>
  <conditionalFormatting sqref="J30">
    <cfRule type="expression" dxfId="2" priority="6">
      <formula>K27&gt;14</formula>
    </cfRule>
  </conditionalFormatting>
  <conditionalFormatting sqref="J31">
    <cfRule type="expression" dxfId="1" priority="5">
      <formula>K27&gt;14</formula>
    </cfRule>
  </conditionalFormatting>
  <conditionalFormatting sqref="J32">
    <cfRule type="expression" dxfId="0" priority="4">
      <formula>K27&gt;14</formula>
    </cfRule>
  </conditionalFormatting>
  <dataValidations count="1">
    <dataValidation type="list" allowBlank="1" showInputMessage="1" showErrorMessage="1" sqref="J8:K8">
      <formula1>ASFOCUS</formula1>
    </dataValidation>
  </dataValidations>
  <hyperlinks>
    <hyperlink ref="I50" r:id="rId1"/>
    <hyperlink ref="C55" r:id="rId2"/>
    <hyperlink ref="N50" location="Menu!A1" tooltip="Click to return to the main page." display="Return To Main Menu"/>
    <hyperlink ref="P3" location="'Associate In Arts'!A1" tooltip="Click to return to the AA audit." display="Return To AA"/>
    <hyperlink ref="P4" location="'Associate In Science'!A1" tooltip="Click to return to the AS audit." display="Return To AS"/>
    <hyperlink ref="P2" location="Menu!A1" tooltip="Click to return to the main page." display="Main Menu"/>
  </hyperlinks>
  <pageMargins left="0.45" right="0.45" top="0.5" bottom="0.5" header="0.3" footer="0.3"/>
  <pageSetup orientation="portrait" horizontalDpi="300" verticalDpi="300" r:id="rId3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2" tint="-0.499984740745262"/>
  </sheetPr>
  <dimension ref="A1:Z105"/>
  <sheetViews>
    <sheetView workbookViewId="0">
      <selection activeCell="B4" sqref="B4"/>
    </sheetView>
  </sheetViews>
  <sheetFormatPr defaultRowHeight="14.4" x14ac:dyDescent="0.3"/>
  <cols>
    <col min="2" max="2" width="20.44140625" customWidth="1"/>
    <col min="3" max="3" width="10.6640625" customWidth="1"/>
    <col min="4" max="4" width="11.6640625" hidden="1" customWidth="1"/>
    <col min="5" max="5" width="10.6640625" customWidth="1"/>
    <col min="6" max="6" width="19.33203125" hidden="1" customWidth="1"/>
    <col min="7" max="7" width="9.88671875" customWidth="1"/>
    <col min="8" max="8" width="3.33203125" customWidth="1"/>
    <col min="11" max="11" width="10.5546875" customWidth="1"/>
    <col min="16" max="16" width="11.5546875" customWidth="1"/>
    <col min="18" max="18" width="14.6640625" customWidth="1"/>
  </cols>
  <sheetData>
    <row r="1" spans="1:26" ht="18.75" x14ac:dyDescent="0.3">
      <c r="A1" s="124"/>
      <c r="B1" s="243" t="s">
        <v>1135</v>
      </c>
      <c r="C1" s="243"/>
      <c r="D1" s="243"/>
      <c r="E1" s="243"/>
      <c r="F1" s="243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 spans="1:26" ht="15" x14ac:dyDescent="0.2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</row>
    <row r="3" spans="1:26" ht="20.25" thickBot="1" x14ac:dyDescent="0.35">
      <c r="A3" s="124"/>
      <c r="B3" s="164" t="s">
        <v>6</v>
      </c>
      <c r="C3" s="163" t="s">
        <v>209</v>
      </c>
      <c r="D3" s="163" t="s">
        <v>1145</v>
      </c>
      <c r="E3" s="163" t="s">
        <v>8</v>
      </c>
      <c r="F3" s="163" t="s">
        <v>1163</v>
      </c>
      <c r="G3" s="139"/>
      <c r="H3" s="139"/>
      <c r="I3" s="21" t="s">
        <v>1144</v>
      </c>
      <c r="J3" s="124"/>
      <c r="K3" s="124"/>
      <c r="L3" s="124"/>
      <c r="M3" s="124"/>
      <c r="N3" s="124"/>
      <c r="O3" s="124"/>
      <c r="P3" s="124"/>
      <c r="Q3" s="124"/>
      <c r="R3" s="155" t="s">
        <v>738</v>
      </c>
      <c r="S3" s="124"/>
      <c r="T3" s="124"/>
      <c r="U3" s="124"/>
      <c r="V3" s="124"/>
      <c r="W3" s="124"/>
      <c r="X3" s="124"/>
      <c r="Y3" s="124"/>
      <c r="Z3" s="124"/>
    </row>
    <row r="4" spans="1:26" ht="16.5" thickTop="1" thickBot="1" x14ac:dyDescent="0.3">
      <c r="A4" s="124"/>
      <c r="B4" s="160"/>
      <c r="C4" s="161"/>
      <c r="D4" s="162">
        <f>IF(E4="a",4,IF(E4="b",3,IF(E4="c",2,IF(E4="d",1,0))))</f>
        <v>0</v>
      </c>
      <c r="E4" s="161"/>
      <c r="F4" s="162">
        <f>SUM(C4*D4)</f>
        <v>0</v>
      </c>
      <c r="G4" s="117"/>
      <c r="H4" s="124"/>
      <c r="I4" s="31" t="s">
        <v>1140</v>
      </c>
      <c r="J4" s="31"/>
      <c r="K4" s="31"/>
      <c r="L4" s="31"/>
      <c r="M4" s="31"/>
      <c r="N4" s="31"/>
      <c r="O4" s="31"/>
      <c r="P4" s="31"/>
      <c r="Q4" s="124"/>
      <c r="R4" s="154" t="s">
        <v>1153</v>
      </c>
      <c r="S4" s="124"/>
      <c r="T4" s="124"/>
      <c r="U4" s="124"/>
      <c r="V4" s="124"/>
      <c r="W4" s="124"/>
      <c r="X4" s="124"/>
      <c r="Y4" s="124"/>
      <c r="Z4" s="124"/>
    </row>
    <row r="5" spans="1:26" ht="16.5" thickTop="1" thickBot="1" x14ac:dyDescent="0.3">
      <c r="A5" s="124"/>
      <c r="B5" s="160"/>
      <c r="C5" s="161"/>
      <c r="D5" s="162">
        <f t="shared" ref="D5:D53" si="0">IF(E5="a",4,IF(E5="b",3,IF(E5="c",2,IF(E5="d",1,0))))</f>
        <v>0</v>
      </c>
      <c r="E5" s="161"/>
      <c r="F5" s="162">
        <f t="shared" ref="F5:F53" si="1">SUM(C5*D5)</f>
        <v>0</v>
      </c>
      <c r="G5" s="117"/>
      <c r="H5" s="124"/>
      <c r="I5" s="31" t="s">
        <v>1139</v>
      </c>
      <c r="J5" s="31"/>
      <c r="K5" s="31"/>
      <c r="L5" s="31"/>
      <c r="M5" s="31"/>
      <c r="N5" s="31"/>
      <c r="O5" s="31"/>
      <c r="P5" s="31"/>
      <c r="Q5" s="124"/>
      <c r="R5" s="154" t="s">
        <v>862</v>
      </c>
      <c r="S5" s="124"/>
      <c r="T5" s="124"/>
      <c r="U5" s="124"/>
      <c r="V5" s="124"/>
      <c r="W5" s="124"/>
      <c r="X5" s="124"/>
      <c r="Y5" s="124"/>
      <c r="Z5" s="124"/>
    </row>
    <row r="6" spans="1:26" ht="16.5" thickTop="1" thickBot="1" x14ac:dyDescent="0.3">
      <c r="A6" s="124"/>
      <c r="B6" s="160"/>
      <c r="C6" s="161"/>
      <c r="D6" s="162">
        <f t="shared" si="0"/>
        <v>0</v>
      </c>
      <c r="E6" s="161"/>
      <c r="F6" s="162">
        <f t="shared" si="1"/>
        <v>0</v>
      </c>
      <c r="G6" s="117"/>
      <c r="H6" s="124"/>
      <c r="I6" s="22" t="s">
        <v>1164</v>
      </c>
      <c r="J6" s="22"/>
      <c r="K6" s="22"/>
      <c r="L6" s="22"/>
      <c r="M6" s="22"/>
      <c r="N6" s="22"/>
      <c r="O6" s="22"/>
      <c r="P6" s="22"/>
      <c r="Q6" s="124"/>
      <c r="R6" s="154" t="s">
        <v>863</v>
      </c>
      <c r="S6" s="124"/>
      <c r="T6" s="124"/>
      <c r="U6" s="124"/>
      <c r="V6" s="124"/>
      <c r="W6" s="124"/>
      <c r="X6" s="124"/>
      <c r="Y6" s="124"/>
      <c r="Z6" s="124"/>
    </row>
    <row r="7" spans="1:26" ht="16.5" thickTop="1" thickBot="1" x14ac:dyDescent="0.3">
      <c r="A7" s="124"/>
      <c r="B7" s="160"/>
      <c r="C7" s="161"/>
      <c r="D7" s="162">
        <f t="shared" si="0"/>
        <v>0</v>
      </c>
      <c r="E7" s="161"/>
      <c r="F7" s="162">
        <f t="shared" si="1"/>
        <v>0</v>
      </c>
      <c r="G7" s="117"/>
      <c r="H7" s="124"/>
      <c r="I7" s="22" t="s">
        <v>1165</v>
      </c>
      <c r="J7" s="22"/>
      <c r="K7" s="22"/>
      <c r="L7" s="22"/>
      <c r="M7" s="22"/>
      <c r="N7" s="22"/>
      <c r="O7" s="22"/>
      <c r="P7" s="22"/>
      <c r="Q7" s="124"/>
      <c r="R7" s="124"/>
      <c r="S7" s="124"/>
      <c r="T7" s="124"/>
      <c r="U7" s="124"/>
      <c r="V7" s="124"/>
      <c r="W7" s="124"/>
      <c r="X7" s="124"/>
      <c r="Y7" s="124"/>
      <c r="Z7" s="124"/>
    </row>
    <row r="8" spans="1:26" ht="16.5" thickTop="1" thickBot="1" x14ac:dyDescent="0.3">
      <c r="A8" s="124"/>
      <c r="B8" s="160"/>
      <c r="C8" s="161"/>
      <c r="D8" s="162">
        <f t="shared" si="0"/>
        <v>0</v>
      </c>
      <c r="E8" s="161"/>
      <c r="F8" s="162">
        <f t="shared" si="1"/>
        <v>0</v>
      </c>
      <c r="G8" s="117"/>
      <c r="H8" s="124"/>
      <c r="I8" s="31" t="s">
        <v>1171</v>
      </c>
      <c r="J8" s="31"/>
      <c r="K8" s="31"/>
      <c r="L8" s="31"/>
      <c r="M8" s="31"/>
      <c r="N8" s="31"/>
      <c r="O8" s="31"/>
      <c r="P8" s="31"/>
      <c r="Q8" s="124"/>
      <c r="R8" s="124"/>
      <c r="S8" s="124"/>
      <c r="T8" s="124"/>
      <c r="U8" s="124"/>
      <c r="V8" s="124"/>
      <c r="W8" s="124"/>
      <c r="X8" s="124"/>
      <c r="Y8" s="124"/>
      <c r="Z8" s="124"/>
    </row>
    <row r="9" spans="1:26" ht="16.5" thickTop="1" thickBot="1" x14ac:dyDescent="0.3">
      <c r="A9" s="124"/>
      <c r="B9" s="160"/>
      <c r="C9" s="161"/>
      <c r="D9" s="162">
        <f t="shared" si="0"/>
        <v>0</v>
      </c>
      <c r="E9" s="161"/>
      <c r="F9" s="162">
        <f t="shared" si="1"/>
        <v>0</v>
      </c>
      <c r="G9" s="117"/>
      <c r="H9" s="124"/>
      <c r="I9" s="31" t="s">
        <v>1141</v>
      </c>
      <c r="J9" s="31"/>
      <c r="K9" s="31"/>
      <c r="L9" s="31"/>
      <c r="M9" s="31"/>
      <c r="N9" s="31"/>
      <c r="O9" s="31"/>
      <c r="P9" s="31"/>
      <c r="Q9" s="124"/>
      <c r="R9" s="124"/>
      <c r="S9" s="124"/>
      <c r="T9" s="124"/>
      <c r="U9" s="124"/>
      <c r="V9" s="124"/>
      <c r="W9" s="124"/>
      <c r="X9" s="124"/>
      <c r="Y9" s="124"/>
      <c r="Z9" s="124"/>
    </row>
    <row r="10" spans="1:26" ht="16.5" thickTop="1" thickBot="1" x14ac:dyDescent="0.3">
      <c r="A10" s="124"/>
      <c r="B10" s="160"/>
      <c r="C10" s="161"/>
      <c r="D10" s="162">
        <f t="shared" si="0"/>
        <v>0</v>
      </c>
      <c r="E10" s="161"/>
      <c r="F10" s="162">
        <f t="shared" si="1"/>
        <v>0</v>
      </c>
      <c r="G10" s="117"/>
      <c r="H10" s="124"/>
      <c r="I10" s="31" t="s">
        <v>1162</v>
      </c>
      <c r="J10" s="31"/>
      <c r="K10" s="175" t="s">
        <v>6</v>
      </c>
      <c r="L10" s="176" t="s">
        <v>209</v>
      </c>
      <c r="M10" s="176" t="s">
        <v>8</v>
      </c>
      <c r="N10" s="31"/>
      <c r="O10" s="31"/>
      <c r="P10" s="140"/>
      <c r="Q10" s="124"/>
      <c r="R10" s="124"/>
      <c r="S10" s="124"/>
      <c r="T10" s="124"/>
      <c r="U10" s="124"/>
      <c r="V10" s="124"/>
      <c r="W10" s="124"/>
      <c r="X10" s="124"/>
      <c r="Y10" s="124"/>
    </row>
    <row r="11" spans="1:26" ht="16.5" thickTop="1" thickBot="1" x14ac:dyDescent="0.3">
      <c r="A11" s="124"/>
      <c r="B11" s="160"/>
      <c r="C11" s="161"/>
      <c r="D11" s="162">
        <f t="shared" si="0"/>
        <v>0</v>
      </c>
      <c r="E11" s="161"/>
      <c r="F11" s="162">
        <f t="shared" si="1"/>
        <v>0</v>
      </c>
      <c r="G11" s="117"/>
      <c r="H11" s="124"/>
      <c r="I11" s="31"/>
      <c r="J11" s="31"/>
      <c r="K11" s="160" t="s">
        <v>113</v>
      </c>
      <c r="L11" s="161">
        <v>3</v>
      </c>
      <c r="M11" s="161" t="s">
        <v>222</v>
      </c>
      <c r="N11" s="31"/>
      <c r="O11" s="31"/>
      <c r="P11" s="140"/>
      <c r="Q11" s="124"/>
      <c r="R11" s="124"/>
      <c r="S11" s="124"/>
      <c r="T11" s="124"/>
      <c r="U11" s="124"/>
      <c r="V11" s="124"/>
      <c r="W11" s="124"/>
      <c r="X11" s="124"/>
      <c r="Y11" s="124"/>
    </row>
    <row r="12" spans="1:26" ht="16.5" thickTop="1" thickBot="1" x14ac:dyDescent="0.3">
      <c r="A12" s="124"/>
      <c r="B12" s="160"/>
      <c r="C12" s="161"/>
      <c r="D12" s="162">
        <f t="shared" si="0"/>
        <v>0</v>
      </c>
      <c r="E12" s="161"/>
      <c r="F12" s="162">
        <f t="shared" si="1"/>
        <v>0</v>
      </c>
      <c r="G12" s="117"/>
      <c r="H12" s="124"/>
      <c r="I12" s="31" t="s">
        <v>1172</v>
      </c>
      <c r="J12" s="31"/>
      <c r="K12" s="31"/>
      <c r="L12" s="31"/>
      <c r="M12" s="31"/>
      <c r="N12" s="31"/>
      <c r="O12" s="31"/>
      <c r="P12" s="140"/>
      <c r="Q12" s="124"/>
      <c r="R12" s="124"/>
      <c r="S12" s="124"/>
      <c r="T12" s="124"/>
      <c r="U12" s="124"/>
      <c r="V12" s="124"/>
      <c r="W12" s="124"/>
      <c r="X12" s="124"/>
      <c r="Y12" s="124"/>
      <c r="Z12" s="124"/>
    </row>
    <row r="13" spans="1:26" ht="16.5" thickTop="1" thickBot="1" x14ac:dyDescent="0.3">
      <c r="A13" s="124"/>
      <c r="B13" s="160"/>
      <c r="C13" s="161"/>
      <c r="D13" s="162">
        <f t="shared" si="0"/>
        <v>0</v>
      </c>
      <c r="E13" s="161"/>
      <c r="F13" s="162">
        <f t="shared" si="1"/>
        <v>0</v>
      </c>
      <c r="G13" s="117"/>
      <c r="H13" s="124"/>
      <c r="I13" s="31" t="s">
        <v>1149</v>
      </c>
      <c r="J13" s="31"/>
      <c r="K13" s="31"/>
      <c r="L13" s="31"/>
      <c r="M13" s="31"/>
      <c r="N13" s="31"/>
      <c r="O13" s="31"/>
      <c r="P13" s="140"/>
      <c r="Q13" s="124"/>
      <c r="R13" s="124"/>
      <c r="S13" s="124"/>
      <c r="T13" s="124"/>
      <c r="U13" s="124"/>
      <c r="V13" s="124"/>
      <c r="W13" s="124"/>
      <c r="X13" s="124"/>
      <c r="Y13" s="124"/>
    </row>
    <row r="14" spans="1:26" ht="16.5" thickTop="1" thickBot="1" x14ac:dyDescent="0.3">
      <c r="A14" s="124"/>
      <c r="B14" s="160"/>
      <c r="C14" s="161"/>
      <c r="D14" s="162">
        <f t="shared" si="0"/>
        <v>0</v>
      </c>
      <c r="E14" s="161"/>
      <c r="F14" s="162">
        <f t="shared" si="1"/>
        <v>0</v>
      </c>
      <c r="G14" s="117"/>
      <c r="H14" s="124"/>
      <c r="I14" s="31" t="s">
        <v>1166</v>
      </c>
      <c r="J14" s="31"/>
      <c r="K14" s="31"/>
      <c r="L14" s="31"/>
      <c r="M14" s="31"/>
      <c r="N14" s="31"/>
      <c r="O14" s="31"/>
      <c r="P14" s="31"/>
      <c r="Q14" s="124"/>
      <c r="R14" s="124"/>
      <c r="S14" s="124"/>
      <c r="T14" s="124"/>
      <c r="U14" s="124"/>
      <c r="V14" s="124"/>
      <c r="W14" s="124"/>
      <c r="X14" s="124"/>
      <c r="Y14" s="124"/>
    </row>
    <row r="15" spans="1:26" ht="16.5" thickTop="1" thickBot="1" x14ac:dyDescent="0.3">
      <c r="A15" s="124"/>
      <c r="B15" s="160"/>
      <c r="C15" s="161"/>
      <c r="D15" s="162">
        <f t="shared" si="0"/>
        <v>0</v>
      </c>
      <c r="E15" s="161"/>
      <c r="F15" s="162">
        <f t="shared" si="1"/>
        <v>0</v>
      </c>
      <c r="G15" s="117"/>
      <c r="H15" s="124"/>
      <c r="I15" s="31" t="s">
        <v>1167</v>
      </c>
      <c r="J15" s="31"/>
      <c r="K15" s="31"/>
      <c r="L15" s="31"/>
      <c r="M15" s="31"/>
      <c r="N15" s="31"/>
      <c r="O15" s="31"/>
      <c r="P15" s="31"/>
      <c r="Q15" s="124"/>
      <c r="R15" s="124"/>
      <c r="S15" s="124"/>
      <c r="T15" s="124"/>
      <c r="U15" s="124"/>
      <c r="V15" s="124"/>
      <c r="W15" s="124"/>
      <c r="X15" s="124"/>
      <c r="Y15" s="124"/>
      <c r="Z15" s="124"/>
    </row>
    <row r="16" spans="1:26" ht="16.5" thickTop="1" thickBot="1" x14ac:dyDescent="0.3">
      <c r="A16" s="124"/>
      <c r="B16" s="160"/>
      <c r="C16" s="161"/>
      <c r="D16" s="162">
        <f t="shared" si="0"/>
        <v>0</v>
      </c>
      <c r="E16" s="161"/>
      <c r="F16" s="162">
        <f t="shared" si="1"/>
        <v>0</v>
      </c>
      <c r="G16" s="117"/>
      <c r="H16" s="124"/>
      <c r="I16" s="31" t="s">
        <v>1168</v>
      </c>
      <c r="J16" s="31"/>
      <c r="K16" s="31"/>
      <c r="L16" s="31"/>
      <c r="M16" s="31"/>
      <c r="N16" s="31"/>
      <c r="O16" s="31"/>
      <c r="P16" s="31"/>
      <c r="Q16" s="124"/>
      <c r="R16" s="124"/>
      <c r="S16" s="124"/>
      <c r="T16" s="124"/>
      <c r="U16" s="124"/>
      <c r="V16" s="124"/>
      <c r="W16" s="124"/>
      <c r="X16" s="124"/>
      <c r="Y16" s="124"/>
      <c r="Z16" s="124"/>
    </row>
    <row r="17" spans="1:26" ht="16.5" thickTop="1" thickBot="1" x14ac:dyDescent="0.3">
      <c r="A17" s="124"/>
      <c r="B17" s="160"/>
      <c r="C17" s="161"/>
      <c r="D17" s="162">
        <f t="shared" si="0"/>
        <v>0</v>
      </c>
      <c r="E17" s="161"/>
      <c r="F17" s="162">
        <f t="shared" si="1"/>
        <v>0</v>
      </c>
      <c r="G17" s="117"/>
      <c r="H17" s="124"/>
      <c r="I17" s="31" t="s">
        <v>1142</v>
      </c>
      <c r="J17" s="31"/>
      <c r="K17" s="31"/>
      <c r="L17" s="31"/>
      <c r="M17" s="31"/>
      <c r="N17" s="31"/>
      <c r="O17" s="31"/>
      <c r="P17" s="31"/>
      <c r="Q17" s="124"/>
      <c r="R17" s="124"/>
      <c r="S17" s="124"/>
      <c r="T17" s="124"/>
      <c r="U17" s="124"/>
      <c r="V17" s="124"/>
      <c r="W17" s="124"/>
      <c r="X17" s="124"/>
      <c r="Y17" s="124"/>
      <c r="Z17" s="124"/>
    </row>
    <row r="18" spans="1:26" ht="16.5" thickTop="1" thickBot="1" x14ac:dyDescent="0.3">
      <c r="A18" s="124"/>
      <c r="B18" s="160"/>
      <c r="C18" s="161"/>
      <c r="D18" s="162">
        <f t="shared" si="0"/>
        <v>0</v>
      </c>
      <c r="E18" s="161"/>
      <c r="F18" s="162">
        <f t="shared" si="1"/>
        <v>0</v>
      </c>
      <c r="G18" s="117"/>
      <c r="H18" s="124"/>
      <c r="I18" s="31" t="s">
        <v>1143</v>
      </c>
      <c r="J18" s="31"/>
      <c r="K18" s="31"/>
      <c r="L18" s="31"/>
      <c r="M18" s="31"/>
      <c r="N18" s="31"/>
      <c r="O18" s="31"/>
      <c r="P18" s="31"/>
      <c r="Q18" s="124"/>
      <c r="R18" s="124"/>
      <c r="S18" s="124"/>
      <c r="T18" s="124"/>
      <c r="U18" s="124"/>
      <c r="V18" s="124"/>
      <c r="W18" s="124"/>
      <c r="X18" s="124"/>
      <c r="Y18" s="124"/>
      <c r="Z18" s="124"/>
    </row>
    <row r="19" spans="1:26" ht="16.5" thickTop="1" thickBot="1" x14ac:dyDescent="0.3">
      <c r="A19" s="124"/>
      <c r="B19" s="160"/>
      <c r="C19" s="161"/>
      <c r="D19" s="162">
        <f t="shared" si="0"/>
        <v>0</v>
      </c>
      <c r="E19" s="161"/>
      <c r="F19" s="162">
        <f t="shared" si="1"/>
        <v>0</v>
      </c>
      <c r="G19" s="117"/>
      <c r="H19" s="124"/>
      <c r="I19" s="22"/>
      <c r="J19" s="22"/>
      <c r="K19" s="22"/>
      <c r="L19" s="22"/>
      <c r="M19" s="22"/>
      <c r="N19" s="22"/>
      <c r="O19" s="22"/>
      <c r="P19" s="22"/>
      <c r="Q19" s="124"/>
      <c r="R19" s="124"/>
      <c r="S19" s="124"/>
      <c r="T19" s="124"/>
      <c r="U19" s="124"/>
      <c r="V19" s="124"/>
      <c r="W19" s="124"/>
      <c r="X19" s="124"/>
      <c r="Y19" s="124"/>
      <c r="Z19" s="124"/>
    </row>
    <row r="20" spans="1:26" ht="16.5" thickTop="1" thickBot="1" x14ac:dyDescent="0.3">
      <c r="A20" s="124"/>
      <c r="B20" s="160"/>
      <c r="C20" s="161"/>
      <c r="D20" s="162">
        <f t="shared" si="0"/>
        <v>0</v>
      </c>
      <c r="E20" s="161"/>
      <c r="F20" s="162">
        <f t="shared" si="1"/>
        <v>0</v>
      </c>
      <c r="G20" s="117"/>
      <c r="H20" s="124"/>
      <c r="I20" s="168"/>
      <c r="J20" s="168"/>
      <c r="K20" s="168"/>
      <c r="L20" s="168"/>
      <c r="M20" s="168"/>
      <c r="N20" s="168"/>
      <c r="O20" s="168"/>
      <c r="P20" s="168"/>
      <c r="Q20" s="124"/>
      <c r="R20" s="124"/>
      <c r="S20" s="124"/>
      <c r="T20" s="124"/>
      <c r="U20" s="124"/>
      <c r="V20" s="124"/>
      <c r="W20" s="124"/>
      <c r="X20" s="124"/>
      <c r="Y20" s="124"/>
      <c r="Z20" s="124"/>
    </row>
    <row r="21" spans="1:26" ht="16.5" thickTop="1" thickBot="1" x14ac:dyDescent="0.3">
      <c r="A21" s="124"/>
      <c r="B21" s="160"/>
      <c r="C21" s="161"/>
      <c r="D21" s="162">
        <f t="shared" si="0"/>
        <v>0</v>
      </c>
      <c r="E21" s="161"/>
      <c r="F21" s="162">
        <f t="shared" si="1"/>
        <v>0</v>
      </c>
      <c r="G21" s="117"/>
      <c r="H21" s="124"/>
      <c r="I21" s="173" t="s">
        <v>1138</v>
      </c>
      <c r="J21" s="16"/>
      <c r="K21" s="141"/>
      <c r="L21" s="124"/>
      <c r="M21" s="97" t="s">
        <v>1179</v>
      </c>
      <c r="N21" s="96"/>
      <c r="O21" s="96"/>
      <c r="P21" s="96"/>
      <c r="Q21" s="169"/>
      <c r="R21" s="124"/>
      <c r="S21" s="124"/>
      <c r="T21" s="124"/>
      <c r="U21" s="124"/>
      <c r="V21" s="124"/>
      <c r="W21" s="124"/>
      <c r="X21" s="124"/>
      <c r="Y21" s="124"/>
      <c r="Z21" s="124"/>
    </row>
    <row r="22" spans="1:26" ht="16.5" thickTop="1" thickBot="1" x14ac:dyDescent="0.3">
      <c r="A22" s="124"/>
      <c r="B22" s="160"/>
      <c r="C22" s="161"/>
      <c r="D22" s="162">
        <f t="shared" si="0"/>
        <v>0</v>
      </c>
      <c r="E22" s="161"/>
      <c r="F22" s="162">
        <f t="shared" si="1"/>
        <v>0</v>
      </c>
      <c r="G22" s="117"/>
      <c r="H22" s="124"/>
      <c r="I22" s="16"/>
      <c r="J22" s="16"/>
      <c r="K22" s="141"/>
      <c r="L22" s="124"/>
      <c r="M22" s="96"/>
      <c r="N22" s="96"/>
      <c r="O22" s="96"/>
      <c r="P22" s="96"/>
      <c r="Q22" s="169"/>
      <c r="R22" s="124"/>
      <c r="S22" s="124"/>
      <c r="T22" s="124"/>
      <c r="U22" s="124"/>
      <c r="V22" s="124"/>
      <c r="W22" s="124"/>
      <c r="X22" s="124"/>
      <c r="Y22" s="124"/>
      <c r="Z22" s="124"/>
    </row>
    <row r="23" spans="1:26" ht="16.5" thickTop="1" thickBot="1" x14ac:dyDescent="0.3">
      <c r="A23" s="124"/>
      <c r="B23" s="160"/>
      <c r="C23" s="161"/>
      <c r="D23" s="162">
        <f t="shared" si="0"/>
        <v>0</v>
      </c>
      <c r="E23" s="161"/>
      <c r="F23" s="162">
        <f t="shared" si="1"/>
        <v>0</v>
      </c>
      <c r="G23" s="117"/>
      <c r="H23" s="124"/>
      <c r="I23" s="16" t="s">
        <v>1137</v>
      </c>
      <c r="J23" s="16"/>
      <c r="K23" s="141">
        <f>SUM(F4:F53)</f>
        <v>0</v>
      </c>
      <c r="L23" s="124"/>
      <c r="M23" s="96" t="s">
        <v>1175</v>
      </c>
      <c r="N23" s="96"/>
      <c r="O23" s="96"/>
      <c r="P23" s="96" t="s">
        <v>1173</v>
      </c>
      <c r="Q23" s="169"/>
      <c r="R23" s="124"/>
      <c r="S23" s="124"/>
      <c r="T23" s="124"/>
      <c r="U23" s="124"/>
      <c r="V23" s="124"/>
      <c r="W23" s="124"/>
      <c r="X23" s="124"/>
      <c r="Y23" s="124"/>
      <c r="Z23" s="124"/>
    </row>
    <row r="24" spans="1:26" ht="16.5" thickTop="1" thickBot="1" x14ac:dyDescent="0.3">
      <c r="A24" s="124"/>
      <c r="B24" s="160"/>
      <c r="C24" s="161"/>
      <c r="D24" s="162">
        <f t="shared" si="0"/>
        <v>0</v>
      </c>
      <c r="E24" s="161"/>
      <c r="F24" s="162">
        <f t="shared" si="1"/>
        <v>0</v>
      </c>
      <c r="G24" s="117"/>
      <c r="H24" s="124"/>
      <c r="I24" s="16" t="s">
        <v>12</v>
      </c>
      <c r="J24" s="16"/>
      <c r="K24" s="141">
        <f>SUM(C4:C53)</f>
        <v>0</v>
      </c>
      <c r="L24" s="124"/>
      <c r="M24" s="96" t="s">
        <v>1178</v>
      </c>
      <c r="N24" s="96"/>
      <c r="O24" s="96"/>
      <c r="P24" s="96" t="s">
        <v>1174</v>
      </c>
      <c r="Q24" s="169"/>
      <c r="R24" s="124"/>
      <c r="S24" s="124"/>
      <c r="T24" s="124"/>
      <c r="U24" s="124"/>
      <c r="V24" s="124"/>
      <c r="W24" s="124"/>
      <c r="X24" s="124"/>
      <c r="Y24" s="124"/>
      <c r="Z24" s="124"/>
    </row>
    <row r="25" spans="1:26" ht="16.5" thickTop="1" thickBot="1" x14ac:dyDescent="0.3">
      <c r="A25" s="124"/>
      <c r="B25" s="160"/>
      <c r="C25" s="161"/>
      <c r="D25" s="162">
        <f t="shared" si="0"/>
        <v>0</v>
      </c>
      <c r="E25" s="161"/>
      <c r="F25" s="162">
        <f t="shared" si="1"/>
        <v>0</v>
      </c>
      <c r="G25" s="117"/>
      <c r="H25" s="124"/>
      <c r="I25" s="16"/>
      <c r="J25" s="16"/>
      <c r="K25" s="141"/>
      <c r="L25" s="124"/>
      <c r="M25" s="96" t="s">
        <v>1176</v>
      </c>
      <c r="N25" s="96"/>
      <c r="O25" s="96"/>
      <c r="P25" s="96" t="s">
        <v>1177</v>
      </c>
      <c r="Q25" s="169"/>
      <c r="R25" s="124"/>
      <c r="S25" s="124"/>
      <c r="T25" s="124"/>
      <c r="U25" s="124"/>
      <c r="V25" s="124"/>
      <c r="W25" s="124"/>
      <c r="X25" s="124"/>
      <c r="Y25" s="124"/>
      <c r="Z25" s="124"/>
    </row>
    <row r="26" spans="1:26" ht="16.5" thickTop="1" thickBot="1" x14ac:dyDescent="0.3">
      <c r="A26" s="124"/>
      <c r="B26" s="160"/>
      <c r="C26" s="161"/>
      <c r="D26" s="162">
        <f t="shared" si="0"/>
        <v>0</v>
      </c>
      <c r="E26" s="161"/>
      <c r="F26" s="162">
        <f t="shared" si="1"/>
        <v>0</v>
      </c>
      <c r="G26" s="117"/>
      <c r="H26" s="124"/>
      <c r="I26" s="16" t="s">
        <v>1136</v>
      </c>
      <c r="J26" s="16"/>
      <c r="K26" s="144">
        <f>IF(K23&gt;0,K23/K24,0)</f>
        <v>0</v>
      </c>
      <c r="L26" s="124"/>
      <c r="M26" s="96" t="s">
        <v>1185</v>
      </c>
      <c r="N26" s="96"/>
      <c r="O26" s="96"/>
      <c r="P26" s="96"/>
      <c r="Q26" s="169"/>
      <c r="R26" s="124"/>
      <c r="S26" s="124"/>
      <c r="T26" s="124"/>
      <c r="U26" s="124"/>
      <c r="V26" s="124"/>
      <c r="W26" s="124"/>
      <c r="X26" s="124"/>
      <c r="Y26" s="124"/>
      <c r="Z26" s="124"/>
    </row>
    <row r="27" spans="1:26" ht="16.5" thickTop="1" thickBot="1" x14ac:dyDescent="0.3">
      <c r="A27" s="124"/>
      <c r="B27" s="160"/>
      <c r="C27" s="161"/>
      <c r="D27" s="162">
        <f t="shared" si="0"/>
        <v>0</v>
      </c>
      <c r="E27" s="161"/>
      <c r="F27" s="162">
        <f t="shared" si="1"/>
        <v>0</v>
      </c>
      <c r="G27" s="117"/>
      <c r="H27" s="124"/>
      <c r="I27" s="16"/>
      <c r="J27" s="16"/>
      <c r="K27" s="141"/>
      <c r="L27" s="124"/>
      <c r="M27" s="96"/>
      <c r="N27" s="96"/>
      <c r="O27" s="96"/>
      <c r="P27" s="96"/>
      <c r="Q27" s="169"/>
      <c r="R27" s="124"/>
      <c r="S27" s="124"/>
      <c r="T27" s="124"/>
      <c r="U27" s="124"/>
      <c r="V27" s="124"/>
      <c r="W27" s="124"/>
      <c r="X27" s="124"/>
      <c r="Y27" s="124"/>
      <c r="Z27" s="124"/>
    </row>
    <row r="28" spans="1:26" ht="16.5" thickTop="1" thickBot="1" x14ac:dyDescent="0.3">
      <c r="A28" s="124"/>
      <c r="B28" s="160"/>
      <c r="C28" s="161"/>
      <c r="D28" s="162">
        <f t="shared" si="0"/>
        <v>0</v>
      </c>
      <c r="E28" s="161"/>
      <c r="F28" s="162">
        <f t="shared" si="1"/>
        <v>0</v>
      </c>
      <c r="G28" s="117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</row>
    <row r="29" spans="1:26" ht="16.5" thickTop="1" thickBot="1" x14ac:dyDescent="0.3">
      <c r="A29" s="124"/>
      <c r="B29" s="160"/>
      <c r="C29" s="161"/>
      <c r="D29" s="162">
        <f t="shared" si="0"/>
        <v>0</v>
      </c>
      <c r="E29" s="161"/>
      <c r="F29" s="162">
        <f t="shared" si="1"/>
        <v>0</v>
      </c>
      <c r="G29" s="117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</row>
    <row r="30" spans="1:26" ht="16.5" thickTop="1" thickBot="1" x14ac:dyDescent="0.3">
      <c r="A30" s="124"/>
      <c r="B30" s="160"/>
      <c r="C30" s="161"/>
      <c r="D30" s="162">
        <f t="shared" si="0"/>
        <v>0</v>
      </c>
      <c r="E30" s="161"/>
      <c r="F30" s="162">
        <f t="shared" si="1"/>
        <v>0</v>
      </c>
      <c r="G30" s="117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</row>
    <row r="31" spans="1:26" ht="16.5" thickTop="1" thickBot="1" x14ac:dyDescent="0.3">
      <c r="A31" s="124"/>
      <c r="B31" s="160"/>
      <c r="C31" s="161"/>
      <c r="D31" s="162">
        <f t="shared" si="0"/>
        <v>0</v>
      </c>
      <c r="E31" s="161"/>
      <c r="F31" s="162">
        <f t="shared" si="1"/>
        <v>0</v>
      </c>
      <c r="G31" s="117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</row>
    <row r="32" spans="1:26" ht="16.5" thickTop="1" thickBot="1" x14ac:dyDescent="0.3">
      <c r="A32" s="124"/>
      <c r="B32" s="160"/>
      <c r="C32" s="161"/>
      <c r="D32" s="162">
        <f t="shared" si="0"/>
        <v>0</v>
      </c>
      <c r="E32" s="161"/>
      <c r="F32" s="162">
        <f t="shared" si="1"/>
        <v>0</v>
      </c>
      <c r="G32" s="117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</row>
    <row r="33" spans="1:26" ht="16.5" thickTop="1" thickBot="1" x14ac:dyDescent="0.3">
      <c r="A33" s="124"/>
      <c r="B33" s="160"/>
      <c r="C33" s="161"/>
      <c r="D33" s="162">
        <f t="shared" si="0"/>
        <v>0</v>
      </c>
      <c r="E33" s="161"/>
      <c r="F33" s="162">
        <f t="shared" si="1"/>
        <v>0</v>
      </c>
      <c r="G33" s="117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</row>
    <row r="34" spans="1:26" ht="16.5" thickTop="1" thickBot="1" x14ac:dyDescent="0.3">
      <c r="A34" s="124"/>
      <c r="B34" s="160"/>
      <c r="C34" s="161"/>
      <c r="D34" s="162">
        <f t="shared" si="0"/>
        <v>0</v>
      </c>
      <c r="E34" s="161"/>
      <c r="F34" s="162">
        <f t="shared" si="1"/>
        <v>0</v>
      </c>
      <c r="G34" s="117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</row>
    <row r="35" spans="1:26" ht="16.5" thickTop="1" thickBot="1" x14ac:dyDescent="0.3">
      <c r="A35" s="124"/>
      <c r="B35" s="160"/>
      <c r="C35" s="161"/>
      <c r="D35" s="162">
        <f t="shared" si="0"/>
        <v>0</v>
      </c>
      <c r="E35" s="161"/>
      <c r="F35" s="162">
        <f t="shared" si="1"/>
        <v>0</v>
      </c>
      <c r="G35" s="117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</row>
    <row r="36" spans="1:26" ht="16.5" thickTop="1" thickBot="1" x14ac:dyDescent="0.3">
      <c r="A36" s="124"/>
      <c r="B36" s="160"/>
      <c r="C36" s="161"/>
      <c r="D36" s="162">
        <f t="shared" si="0"/>
        <v>0</v>
      </c>
      <c r="E36" s="161"/>
      <c r="F36" s="162">
        <f t="shared" si="1"/>
        <v>0</v>
      </c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</row>
    <row r="37" spans="1:26" ht="16.5" thickTop="1" thickBot="1" x14ac:dyDescent="0.3">
      <c r="A37" s="124"/>
      <c r="B37" s="160"/>
      <c r="C37" s="161"/>
      <c r="D37" s="162">
        <f t="shared" si="0"/>
        <v>0</v>
      </c>
      <c r="E37" s="161"/>
      <c r="F37" s="162">
        <f t="shared" si="1"/>
        <v>0</v>
      </c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</row>
    <row r="38" spans="1:26" ht="16.5" thickTop="1" thickBot="1" x14ac:dyDescent="0.3">
      <c r="A38" s="124"/>
      <c r="B38" s="160"/>
      <c r="C38" s="161"/>
      <c r="D38" s="162">
        <f t="shared" si="0"/>
        <v>0</v>
      </c>
      <c r="E38" s="161"/>
      <c r="F38" s="162">
        <f t="shared" si="1"/>
        <v>0</v>
      </c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</row>
    <row r="39" spans="1:26" ht="16.5" thickTop="1" thickBot="1" x14ac:dyDescent="0.3">
      <c r="A39" s="124"/>
      <c r="B39" s="160"/>
      <c r="C39" s="161"/>
      <c r="D39" s="162">
        <f t="shared" si="0"/>
        <v>0</v>
      </c>
      <c r="E39" s="161"/>
      <c r="F39" s="162">
        <f t="shared" si="1"/>
        <v>0</v>
      </c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</row>
    <row r="40" spans="1:26" ht="16.5" thickTop="1" thickBot="1" x14ac:dyDescent="0.3">
      <c r="A40" s="124"/>
      <c r="B40" s="160"/>
      <c r="C40" s="161"/>
      <c r="D40" s="162">
        <f t="shared" si="0"/>
        <v>0</v>
      </c>
      <c r="E40" s="161"/>
      <c r="F40" s="162">
        <f t="shared" si="1"/>
        <v>0</v>
      </c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</row>
    <row r="41" spans="1:26" ht="16.5" thickTop="1" thickBot="1" x14ac:dyDescent="0.3">
      <c r="A41" s="124"/>
      <c r="B41" s="160"/>
      <c r="C41" s="161"/>
      <c r="D41" s="162">
        <f t="shared" si="0"/>
        <v>0</v>
      </c>
      <c r="E41" s="161"/>
      <c r="F41" s="162">
        <f t="shared" si="1"/>
        <v>0</v>
      </c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</row>
    <row r="42" spans="1:26" ht="16.5" thickTop="1" thickBot="1" x14ac:dyDescent="0.3">
      <c r="A42" s="124"/>
      <c r="B42" s="160"/>
      <c r="C42" s="161"/>
      <c r="D42" s="162">
        <f t="shared" si="0"/>
        <v>0</v>
      </c>
      <c r="E42" s="161"/>
      <c r="F42" s="162">
        <f t="shared" si="1"/>
        <v>0</v>
      </c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</row>
    <row r="43" spans="1:26" ht="15.6" thickTop="1" thickBot="1" x14ac:dyDescent="0.35">
      <c r="A43" s="124"/>
      <c r="B43" s="160"/>
      <c r="C43" s="161"/>
      <c r="D43" s="162">
        <f t="shared" si="0"/>
        <v>0</v>
      </c>
      <c r="E43" s="161"/>
      <c r="F43" s="162">
        <f t="shared" si="1"/>
        <v>0</v>
      </c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</row>
    <row r="44" spans="1:26" ht="15.6" thickTop="1" thickBot="1" x14ac:dyDescent="0.35">
      <c r="A44" s="124"/>
      <c r="B44" s="160"/>
      <c r="C44" s="161"/>
      <c r="D44" s="162">
        <f t="shared" si="0"/>
        <v>0</v>
      </c>
      <c r="E44" s="161"/>
      <c r="F44" s="162">
        <f t="shared" si="1"/>
        <v>0</v>
      </c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</row>
    <row r="45" spans="1:26" ht="15.6" thickTop="1" thickBot="1" x14ac:dyDescent="0.35">
      <c r="A45" s="124"/>
      <c r="B45" s="160"/>
      <c r="C45" s="161"/>
      <c r="D45" s="162">
        <f t="shared" si="0"/>
        <v>0</v>
      </c>
      <c r="E45" s="161"/>
      <c r="F45" s="162">
        <f t="shared" si="1"/>
        <v>0</v>
      </c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</row>
    <row r="46" spans="1:26" ht="15.6" thickTop="1" thickBot="1" x14ac:dyDescent="0.35">
      <c r="A46" s="124"/>
      <c r="B46" s="160"/>
      <c r="C46" s="161"/>
      <c r="D46" s="162">
        <f t="shared" si="0"/>
        <v>0</v>
      </c>
      <c r="E46" s="161"/>
      <c r="F46" s="162">
        <f t="shared" si="1"/>
        <v>0</v>
      </c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</row>
    <row r="47" spans="1:26" ht="15.6" thickTop="1" thickBot="1" x14ac:dyDescent="0.35">
      <c r="A47" s="124"/>
      <c r="B47" s="160"/>
      <c r="C47" s="161"/>
      <c r="D47" s="162">
        <f t="shared" si="0"/>
        <v>0</v>
      </c>
      <c r="E47" s="161"/>
      <c r="F47" s="162">
        <f t="shared" si="1"/>
        <v>0</v>
      </c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</row>
    <row r="48" spans="1:26" ht="15.6" thickTop="1" thickBot="1" x14ac:dyDescent="0.35">
      <c r="A48" s="124"/>
      <c r="B48" s="160"/>
      <c r="C48" s="161"/>
      <c r="D48" s="162">
        <f t="shared" si="0"/>
        <v>0</v>
      </c>
      <c r="E48" s="161"/>
      <c r="F48" s="162">
        <f t="shared" si="1"/>
        <v>0</v>
      </c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</row>
    <row r="49" spans="1:26" ht="15.6" thickTop="1" thickBot="1" x14ac:dyDescent="0.35">
      <c r="A49" s="124"/>
      <c r="B49" s="160"/>
      <c r="C49" s="161"/>
      <c r="D49" s="162">
        <f t="shared" si="0"/>
        <v>0</v>
      </c>
      <c r="E49" s="161"/>
      <c r="F49" s="162">
        <f t="shared" si="1"/>
        <v>0</v>
      </c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</row>
    <row r="50" spans="1:26" ht="15.6" thickTop="1" thickBot="1" x14ac:dyDescent="0.35">
      <c r="A50" s="124"/>
      <c r="B50" s="160"/>
      <c r="C50" s="161"/>
      <c r="D50" s="162">
        <f t="shared" si="0"/>
        <v>0</v>
      </c>
      <c r="E50" s="161"/>
      <c r="F50" s="162">
        <f t="shared" si="1"/>
        <v>0</v>
      </c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</row>
    <row r="51" spans="1:26" ht="15.6" thickTop="1" thickBot="1" x14ac:dyDescent="0.35">
      <c r="A51" s="124"/>
      <c r="B51" s="160"/>
      <c r="C51" s="161"/>
      <c r="D51" s="162">
        <f t="shared" si="0"/>
        <v>0</v>
      </c>
      <c r="E51" s="161"/>
      <c r="F51" s="162">
        <f t="shared" si="1"/>
        <v>0</v>
      </c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</row>
    <row r="52" spans="1:26" ht="15.6" thickTop="1" thickBot="1" x14ac:dyDescent="0.35">
      <c r="A52" s="124"/>
      <c r="B52" s="160"/>
      <c r="C52" s="161"/>
      <c r="D52" s="162">
        <f t="shared" si="0"/>
        <v>0</v>
      </c>
      <c r="E52" s="161"/>
      <c r="F52" s="162">
        <f t="shared" si="1"/>
        <v>0</v>
      </c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15.6" thickTop="1" thickBot="1" x14ac:dyDescent="0.35">
      <c r="A53" s="124"/>
      <c r="B53" s="160"/>
      <c r="C53" s="161"/>
      <c r="D53" s="162">
        <f t="shared" si="0"/>
        <v>0</v>
      </c>
      <c r="E53" s="161"/>
      <c r="F53" s="162">
        <f t="shared" si="1"/>
        <v>0</v>
      </c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</row>
    <row r="54" spans="1:26" ht="15" thickTop="1" x14ac:dyDescent="0.3">
      <c r="A54" s="124"/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</row>
    <row r="55" spans="1:26" x14ac:dyDescent="0.3">
      <c r="A55" s="124"/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</row>
    <row r="56" spans="1:26" x14ac:dyDescent="0.3">
      <c r="A56" s="124"/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</row>
    <row r="57" spans="1:26" x14ac:dyDescent="0.3">
      <c r="A57" s="124"/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</row>
    <row r="58" spans="1:26" x14ac:dyDescent="0.3">
      <c r="A58" s="124"/>
      <c r="B58" s="124"/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</row>
    <row r="59" spans="1:26" x14ac:dyDescent="0.3">
      <c r="A59" s="124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</row>
    <row r="60" spans="1:26" x14ac:dyDescent="0.3">
      <c r="A60" s="124"/>
      <c r="B60" s="124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</row>
    <row r="61" spans="1:26" x14ac:dyDescent="0.3">
      <c r="A61" s="124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</row>
    <row r="62" spans="1:26" x14ac:dyDescent="0.3">
      <c r="A62" s="124"/>
      <c r="B62" s="124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</row>
    <row r="63" spans="1:26" x14ac:dyDescent="0.3">
      <c r="A63" s="124"/>
      <c r="B63" s="124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</row>
    <row r="64" spans="1:26" x14ac:dyDescent="0.3">
      <c r="A64" s="124"/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</row>
    <row r="65" spans="1:26" x14ac:dyDescent="0.3">
      <c r="A65" s="124"/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</row>
    <row r="66" spans="1:26" x14ac:dyDescent="0.3">
      <c r="A66" s="124"/>
      <c r="B66" s="124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</row>
    <row r="67" spans="1:26" x14ac:dyDescent="0.3">
      <c r="A67" s="124"/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</row>
    <row r="68" spans="1:26" x14ac:dyDescent="0.3">
      <c r="A68" s="124"/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</row>
    <row r="69" spans="1:26" x14ac:dyDescent="0.3">
      <c r="A69" s="124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</row>
    <row r="70" spans="1:26" x14ac:dyDescent="0.3">
      <c r="A70" s="124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</row>
    <row r="71" spans="1:26" x14ac:dyDescent="0.3">
      <c r="A71" s="124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</row>
    <row r="72" spans="1:26" x14ac:dyDescent="0.3">
      <c r="A72" s="124"/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</row>
    <row r="73" spans="1:26" x14ac:dyDescent="0.3">
      <c r="A73" s="124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</row>
    <row r="74" spans="1:26" x14ac:dyDescent="0.3">
      <c r="A74" s="124"/>
      <c r="B74" s="124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</row>
    <row r="75" spans="1:26" x14ac:dyDescent="0.3">
      <c r="A75" s="124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</row>
    <row r="76" spans="1:26" x14ac:dyDescent="0.3">
      <c r="A76" s="124"/>
      <c r="B76" s="124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</row>
    <row r="77" spans="1:26" x14ac:dyDescent="0.3">
      <c r="A77" s="124"/>
      <c r="B77" s="124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</row>
    <row r="78" spans="1:26" x14ac:dyDescent="0.3">
      <c r="A78" s="124"/>
      <c r="B78" s="124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</row>
    <row r="79" spans="1:26" x14ac:dyDescent="0.3">
      <c r="A79" s="124"/>
      <c r="B79" s="124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</row>
    <row r="80" spans="1:26" x14ac:dyDescent="0.3">
      <c r="A80" s="124"/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</row>
    <row r="81" spans="1:26" x14ac:dyDescent="0.3">
      <c r="A81" s="124"/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</row>
    <row r="82" spans="1:26" x14ac:dyDescent="0.3">
      <c r="A82" s="124"/>
      <c r="B82" s="124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</row>
    <row r="83" spans="1:26" x14ac:dyDescent="0.3">
      <c r="A83" s="124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</row>
    <row r="84" spans="1:26" x14ac:dyDescent="0.3">
      <c r="A84" s="124"/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</row>
    <row r="85" spans="1:26" x14ac:dyDescent="0.3">
      <c r="A85" s="124"/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</row>
    <row r="86" spans="1:26" x14ac:dyDescent="0.3">
      <c r="A86" s="124"/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</row>
    <row r="87" spans="1:26" x14ac:dyDescent="0.3">
      <c r="A87" s="124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</row>
    <row r="88" spans="1:26" x14ac:dyDescent="0.3">
      <c r="A88" s="124"/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</row>
    <row r="89" spans="1:26" x14ac:dyDescent="0.3">
      <c r="A89" s="124"/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</row>
    <row r="90" spans="1:26" x14ac:dyDescent="0.3">
      <c r="A90" s="124"/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</row>
    <row r="91" spans="1:26" x14ac:dyDescent="0.3">
      <c r="A91" s="124"/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</row>
    <row r="92" spans="1:26" x14ac:dyDescent="0.3">
      <c r="A92" s="124"/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</row>
    <row r="93" spans="1:26" x14ac:dyDescent="0.3">
      <c r="A93" s="124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</row>
    <row r="94" spans="1:26" x14ac:dyDescent="0.3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</row>
    <row r="95" spans="1:26" x14ac:dyDescent="0.3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</row>
    <row r="96" spans="1:26" x14ac:dyDescent="0.3">
      <c r="A96" s="124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</row>
    <row r="97" spans="1:26" x14ac:dyDescent="0.3">
      <c r="A97" s="124"/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</row>
    <row r="98" spans="1:26" x14ac:dyDescent="0.3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</row>
    <row r="99" spans="1:26" x14ac:dyDescent="0.3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</row>
    <row r="100" spans="1:26" x14ac:dyDescent="0.3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</row>
    <row r="101" spans="1:26" x14ac:dyDescent="0.3">
      <c r="A101" s="124"/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</row>
    <row r="102" spans="1:26" x14ac:dyDescent="0.3">
      <c r="A102" s="124"/>
      <c r="B102" s="124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</row>
    <row r="103" spans="1:26" x14ac:dyDescent="0.3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</row>
    <row r="104" spans="1:26" x14ac:dyDescent="0.3">
      <c r="I104" s="124"/>
      <c r="J104" s="124"/>
      <c r="K104" s="124"/>
    </row>
    <row r="105" spans="1:26" x14ac:dyDescent="0.3">
      <c r="I105" s="124"/>
      <c r="J105" s="124"/>
      <c r="K105" s="124"/>
    </row>
  </sheetData>
  <sheetProtection password="CA97" sheet="1" objects="1" scenarios="1"/>
  <mergeCells count="1">
    <mergeCell ref="B1:F1"/>
  </mergeCells>
  <dataValidations count="2">
    <dataValidation type="list" allowBlank="1" showInputMessage="1" showErrorMessage="1" sqref="E4:E53 M11">
      <formula1>GPAGrade</formula1>
    </dataValidation>
    <dataValidation type="list" allowBlank="1" showInputMessage="1" showErrorMessage="1" sqref="C4:C53 L11">
      <formula1>GPACredit</formula1>
    </dataValidation>
  </dataValidations>
  <hyperlinks>
    <hyperlink ref="R4" location="Menu!A1" tooltip="Click to return to the main page." display="Main Menu"/>
    <hyperlink ref="R5" location="Arts!A1" tooltip="Click to return to the AA audit." display="Return To AA"/>
    <hyperlink ref="R6" location="Science!A1" tooltip="Click to return to the AS audit." display="Return To AS"/>
  </hyperlink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7030A0"/>
  </sheetPr>
  <dimension ref="A1:AB528"/>
  <sheetViews>
    <sheetView workbookViewId="0">
      <selection activeCell="D30" sqref="D30"/>
    </sheetView>
  </sheetViews>
  <sheetFormatPr defaultRowHeight="14.4" x14ac:dyDescent="0.3"/>
  <cols>
    <col min="1" max="1" width="3.6640625" customWidth="1"/>
    <col min="2" max="2" width="11.109375" customWidth="1"/>
    <col min="3" max="3" width="21.33203125" customWidth="1"/>
    <col min="4" max="4" width="64.6640625" customWidth="1"/>
    <col min="5" max="5" width="38.6640625" customWidth="1"/>
    <col min="6" max="6" width="2" customWidth="1"/>
    <col min="7" max="7" width="23.109375" style="165" customWidth="1"/>
    <col min="8" max="8" width="14.6640625" style="60" customWidth="1"/>
  </cols>
  <sheetData>
    <row r="1" spans="1:28" ht="18.75" customHeight="1" x14ac:dyDescent="0.3">
      <c r="A1" s="87"/>
      <c r="B1" s="243" t="s">
        <v>48</v>
      </c>
      <c r="C1" s="243"/>
      <c r="D1" s="243"/>
      <c r="E1" s="243"/>
      <c r="F1" s="87"/>
      <c r="G1" s="59"/>
      <c r="H1" s="58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5" x14ac:dyDescent="0.25">
      <c r="A2" s="6"/>
      <c r="B2" s="244" t="s">
        <v>954</v>
      </c>
      <c r="C2" s="244"/>
      <c r="D2" s="244"/>
      <c r="E2" s="244"/>
      <c r="F2" s="6"/>
      <c r="G2" s="59"/>
      <c r="H2" s="58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15" x14ac:dyDescent="0.25">
      <c r="A3" s="6"/>
      <c r="B3" s="244" t="s">
        <v>1098</v>
      </c>
      <c r="C3" s="244"/>
      <c r="D3" s="244"/>
      <c r="E3" s="244"/>
      <c r="F3" s="6"/>
      <c r="G3" s="59"/>
      <c r="H3" s="5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15" x14ac:dyDescent="0.25">
      <c r="A4" s="87"/>
      <c r="B4" s="86"/>
      <c r="C4" s="86"/>
      <c r="D4" s="86"/>
      <c r="E4" s="86"/>
      <c r="F4" s="87"/>
      <c r="G4" s="59"/>
      <c r="H4" s="58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</row>
    <row r="5" spans="1:28" ht="19.5" thickBot="1" x14ac:dyDescent="0.35">
      <c r="A5" s="6"/>
      <c r="B5" s="17" t="s">
        <v>1025</v>
      </c>
      <c r="C5" s="17"/>
      <c r="D5" s="18"/>
      <c r="E5" s="18"/>
      <c r="F5" s="6"/>
      <c r="G5" s="155" t="s">
        <v>738</v>
      </c>
      <c r="H5" s="58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6.5" thickTop="1" thickBot="1" x14ac:dyDescent="0.3">
      <c r="A6" s="6"/>
      <c r="B6" s="28" t="s">
        <v>6</v>
      </c>
      <c r="C6" s="29" t="s">
        <v>49</v>
      </c>
      <c r="D6" s="29" t="s">
        <v>354</v>
      </c>
      <c r="E6" s="29" t="s">
        <v>974</v>
      </c>
      <c r="F6" s="6"/>
      <c r="G6" s="154" t="s">
        <v>1083</v>
      </c>
      <c r="H6" s="154" t="s">
        <v>1153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16.5" thickTop="1" thickBot="1" x14ac:dyDescent="0.3">
      <c r="A7" s="6"/>
      <c r="B7" s="22" t="s">
        <v>88</v>
      </c>
      <c r="C7" s="22"/>
      <c r="D7" s="30" t="s">
        <v>355</v>
      </c>
      <c r="E7" s="30"/>
      <c r="F7" s="6"/>
      <c r="G7" s="154" t="s">
        <v>1094</v>
      </c>
      <c r="H7" s="154" t="s">
        <v>862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16.5" thickTop="1" thickBot="1" x14ac:dyDescent="0.3">
      <c r="A8" s="6"/>
      <c r="B8" s="22" t="s">
        <v>95</v>
      </c>
      <c r="C8" s="22"/>
      <c r="D8" s="30" t="s">
        <v>356</v>
      </c>
      <c r="E8" s="30"/>
      <c r="F8" s="6"/>
      <c r="G8" s="154" t="s">
        <v>1022</v>
      </c>
      <c r="H8" s="154" t="s">
        <v>863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6.5" thickTop="1" thickBot="1" x14ac:dyDescent="0.3">
      <c r="A9" s="6"/>
      <c r="B9" s="22" t="s">
        <v>103</v>
      </c>
      <c r="C9" s="22"/>
      <c r="D9" s="30" t="s">
        <v>357</v>
      </c>
      <c r="E9" s="30"/>
      <c r="F9" s="6"/>
      <c r="G9" s="154" t="s">
        <v>732</v>
      </c>
      <c r="H9" s="58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6.5" thickTop="1" thickBot="1" x14ac:dyDescent="0.3">
      <c r="A10" s="6"/>
      <c r="B10" s="22"/>
      <c r="C10" s="22"/>
      <c r="D10" s="30"/>
      <c r="E10" s="30"/>
      <c r="F10" s="6"/>
      <c r="G10" s="154" t="s">
        <v>1095</v>
      </c>
      <c r="H10" s="58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20.25" thickTop="1" thickBot="1" x14ac:dyDescent="0.35">
      <c r="A11" s="6"/>
      <c r="B11" s="17" t="s">
        <v>1026</v>
      </c>
      <c r="C11" s="17"/>
      <c r="D11" s="19"/>
      <c r="E11" s="19"/>
      <c r="F11" s="6"/>
      <c r="G11" s="154" t="s">
        <v>1096</v>
      </c>
      <c r="H11" s="58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16.5" thickTop="1" thickBot="1" x14ac:dyDescent="0.3">
      <c r="A12" s="6"/>
      <c r="B12" s="28" t="s">
        <v>6</v>
      </c>
      <c r="C12" s="29" t="s">
        <v>49</v>
      </c>
      <c r="D12" s="29" t="s">
        <v>354</v>
      </c>
      <c r="E12" s="29" t="s">
        <v>974</v>
      </c>
      <c r="F12" s="6"/>
      <c r="G12" s="154" t="s">
        <v>1097</v>
      </c>
      <c r="H12" s="58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16.5" thickTop="1" thickBot="1" x14ac:dyDescent="0.3">
      <c r="A13" s="6"/>
      <c r="B13" s="30" t="s">
        <v>89</v>
      </c>
      <c r="C13" s="30"/>
      <c r="D13" s="30" t="s">
        <v>358</v>
      </c>
      <c r="E13" s="30"/>
      <c r="F13" s="6"/>
      <c r="G13" s="154" t="s">
        <v>143</v>
      </c>
      <c r="H13" s="58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6.5" thickTop="1" thickBot="1" x14ac:dyDescent="0.3">
      <c r="A14" s="6"/>
      <c r="B14" s="30" t="s">
        <v>96</v>
      </c>
      <c r="C14" s="30"/>
      <c r="D14" s="30" t="s">
        <v>958</v>
      </c>
      <c r="E14" s="30"/>
      <c r="F14" s="6"/>
      <c r="G14" s="154" t="s">
        <v>148</v>
      </c>
      <c r="H14" s="58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15.75" thickTop="1" x14ac:dyDescent="0.25">
      <c r="A15" s="6"/>
      <c r="B15" s="30" t="s">
        <v>104</v>
      </c>
      <c r="C15" s="30"/>
      <c r="D15" s="30" t="s">
        <v>359</v>
      </c>
      <c r="E15" s="30"/>
      <c r="F15" s="6"/>
      <c r="G15" s="59"/>
      <c r="H15" s="58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15" x14ac:dyDescent="0.25">
      <c r="A16" s="6"/>
      <c r="B16" s="30" t="s">
        <v>110</v>
      </c>
      <c r="C16" s="30"/>
      <c r="D16" s="30" t="s">
        <v>360</v>
      </c>
      <c r="E16" s="30"/>
      <c r="F16" s="6"/>
      <c r="G16" s="59"/>
      <c r="H16" s="58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15" x14ac:dyDescent="0.25">
      <c r="A17" s="6"/>
      <c r="B17" s="22"/>
      <c r="C17" s="22"/>
      <c r="D17" s="30"/>
      <c r="E17" s="30"/>
      <c r="F17" s="6"/>
      <c r="G17" s="59"/>
      <c r="H17" s="58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18.75" x14ac:dyDescent="0.3">
      <c r="A18" s="6"/>
      <c r="B18" s="17" t="s">
        <v>1022</v>
      </c>
      <c r="C18" s="17"/>
      <c r="D18" s="19"/>
      <c r="E18" s="19"/>
      <c r="F18" s="6"/>
      <c r="G18" s="59"/>
      <c r="H18" s="58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15" x14ac:dyDescent="0.25">
      <c r="A19" s="6"/>
      <c r="B19" s="28" t="s">
        <v>6</v>
      </c>
      <c r="C19" s="29" t="s">
        <v>49</v>
      </c>
      <c r="D19" s="29" t="s">
        <v>354</v>
      </c>
      <c r="E19" s="29" t="s">
        <v>974</v>
      </c>
      <c r="F19" s="6"/>
      <c r="G19" s="59"/>
      <c r="H19" s="5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ht="15" x14ac:dyDescent="0.25">
      <c r="A20" s="109"/>
      <c r="B20" s="30" t="s">
        <v>97</v>
      </c>
      <c r="C20" s="30"/>
      <c r="D20" s="30" t="s">
        <v>1037</v>
      </c>
      <c r="E20" s="31"/>
      <c r="F20" s="109"/>
      <c r="G20" s="59"/>
      <c r="H20" s="58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</row>
    <row r="21" spans="1:28" ht="15" x14ac:dyDescent="0.25">
      <c r="A21" s="6"/>
      <c r="B21" s="30" t="s">
        <v>105</v>
      </c>
      <c r="C21" s="30"/>
      <c r="D21" s="30" t="s">
        <v>362</v>
      </c>
      <c r="E21" s="31"/>
      <c r="F21" s="6"/>
      <c r="G21" s="59"/>
      <c r="H21" s="87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15" x14ac:dyDescent="0.25">
      <c r="A22" s="109"/>
      <c r="B22" s="30" t="s">
        <v>111</v>
      </c>
      <c r="C22" s="30"/>
      <c r="D22" s="30" t="s">
        <v>363</v>
      </c>
      <c r="E22" s="31"/>
      <c r="F22" s="109"/>
      <c r="G22" s="5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</row>
    <row r="23" spans="1:28" ht="15" x14ac:dyDescent="0.25">
      <c r="A23" s="6"/>
      <c r="B23" s="30" t="s">
        <v>117</v>
      </c>
      <c r="C23" s="30"/>
      <c r="D23" s="30" t="s">
        <v>364</v>
      </c>
      <c r="E23" s="31"/>
      <c r="F23" s="6"/>
      <c r="G23" s="59"/>
      <c r="H23" s="8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15" x14ac:dyDescent="0.25">
      <c r="A24" s="6"/>
      <c r="B24" s="30" t="s">
        <v>122</v>
      </c>
      <c r="C24" s="30"/>
      <c r="D24" s="30" t="s">
        <v>365</v>
      </c>
      <c r="E24" s="31"/>
      <c r="F24" s="6"/>
      <c r="G24" s="59"/>
      <c r="H24" s="87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15" x14ac:dyDescent="0.25">
      <c r="A25" s="6"/>
      <c r="B25" s="30" t="s">
        <v>127</v>
      </c>
      <c r="C25" s="30"/>
      <c r="D25" s="30" t="s">
        <v>366</v>
      </c>
      <c r="E25" s="31"/>
      <c r="F25" s="6"/>
      <c r="G25" s="59"/>
      <c r="H25" s="87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15" x14ac:dyDescent="0.25">
      <c r="A26" s="6"/>
      <c r="B26" s="30" t="s">
        <v>133</v>
      </c>
      <c r="C26" s="30"/>
      <c r="D26" s="30" t="s">
        <v>367</v>
      </c>
      <c r="E26" s="31"/>
      <c r="F26" s="6"/>
      <c r="G26" s="59"/>
      <c r="H26" s="87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15" x14ac:dyDescent="0.25">
      <c r="A27" s="109"/>
      <c r="B27" s="30" t="s">
        <v>1035</v>
      </c>
      <c r="C27" s="30"/>
      <c r="D27" s="30" t="s">
        <v>1038</v>
      </c>
      <c r="E27" s="31"/>
      <c r="F27" s="109"/>
      <c r="G27" s="5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</row>
    <row r="28" spans="1:28" ht="15" x14ac:dyDescent="0.25">
      <c r="A28" s="109"/>
      <c r="B28" s="30" t="s">
        <v>1036</v>
      </c>
      <c r="C28" s="30"/>
      <c r="D28" s="30" t="s">
        <v>1039</v>
      </c>
      <c r="E28" s="31"/>
      <c r="F28" s="109"/>
      <c r="G28" s="5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</row>
    <row r="29" spans="1:28" ht="15" x14ac:dyDescent="0.25">
      <c r="A29" s="6"/>
      <c r="B29" s="30" t="s">
        <v>138</v>
      </c>
      <c r="C29" s="30"/>
      <c r="D29" s="30" t="s">
        <v>368</v>
      </c>
      <c r="E29" s="31"/>
      <c r="F29" s="6"/>
      <c r="G29" s="59"/>
      <c r="H29" s="8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15" x14ac:dyDescent="0.25">
      <c r="A30" s="6"/>
      <c r="B30" s="30" t="s">
        <v>144</v>
      </c>
      <c r="C30" s="30"/>
      <c r="D30" s="30" t="s">
        <v>369</v>
      </c>
      <c r="E30" s="31"/>
      <c r="F30" s="6"/>
      <c r="G30" s="59"/>
      <c r="H30" s="87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15" x14ac:dyDescent="0.25">
      <c r="A31" s="6"/>
      <c r="B31" s="30" t="s">
        <v>149</v>
      </c>
      <c r="C31" s="30"/>
      <c r="D31" s="30" t="s">
        <v>370</v>
      </c>
      <c r="E31" s="31"/>
      <c r="F31" s="6"/>
      <c r="G31" s="59"/>
      <c r="H31" s="87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15" x14ac:dyDescent="0.25">
      <c r="A32" s="6"/>
      <c r="B32" s="30" t="s">
        <v>156</v>
      </c>
      <c r="C32" s="30"/>
      <c r="D32" s="30" t="s">
        <v>371</v>
      </c>
      <c r="E32" s="31"/>
      <c r="F32" s="6"/>
      <c r="G32" s="59"/>
      <c r="H32" s="87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5" x14ac:dyDescent="0.25">
      <c r="A33" s="6"/>
      <c r="B33" s="30" t="s">
        <v>160</v>
      </c>
      <c r="C33" s="30"/>
      <c r="D33" s="30" t="s">
        <v>372</v>
      </c>
      <c r="E33" s="31"/>
      <c r="F33" s="6"/>
      <c r="G33" s="59"/>
      <c r="H33" s="87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5" x14ac:dyDescent="0.25">
      <c r="A34" s="6"/>
      <c r="B34" s="30" t="s">
        <v>992</v>
      </c>
      <c r="C34" s="30" t="s">
        <v>373</v>
      </c>
      <c r="D34" s="30" t="s">
        <v>374</v>
      </c>
      <c r="E34" s="31" t="s">
        <v>1091</v>
      </c>
      <c r="F34" s="6"/>
      <c r="G34" s="59"/>
      <c r="H34" s="87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15" x14ac:dyDescent="0.25">
      <c r="A35" s="6"/>
      <c r="B35" s="30"/>
      <c r="C35" s="30"/>
      <c r="D35" s="30"/>
      <c r="E35" s="31" t="s">
        <v>1093</v>
      </c>
      <c r="F35" s="6"/>
      <c r="G35" s="59"/>
      <c r="H35" s="8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5" x14ac:dyDescent="0.25">
      <c r="A36" s="6"/>
      <c r="B36" s="30"/>
      <c r="C36" s="30"/>
      <c r="D36" s="30"/>
      <c r="E36" s="31" t="s">
        <v>1092</v>
      </c>
      <c r="F36" s="6"/>
      <c r="G36" s="59"/>
      <c r="H36" s="87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5" x14ac:dyDescent="0.25">
      <c r="A37" s="6"/>
      <c r="B37" s="30" t="s">
        <v>172</v>
      </c>
      <c r="C37" s="30" t="s">
        <v>375</v>
      </c>
      <c r="D37" s="30" t="s">
        <v>959</v>
      </c>
      <c r="E37" s="30" t="s">
        <v>1040</v>
      </c>
      <c r="F37" s="6"/>
      <c r="G37" s="59"/>
      <c r="H37" s="87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5" x14ac:dyDescent="0.25">
      <c r="A38" s="6"/>
      <c r="B38" s="30"/>
      <c r="C38" s="30"/>
      <c r="D38" s="30"/>
      <c r="E38" s="30"/>
      <c r="F38" s="6"/>
      <c r="G38" s="59"/>
      <c r="H38" s="87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5" x14ac:dyDescent="0.25">
      <c r="A39" s="6"/>
      <c r="B39" s="30" t="s">
        <v>944</v>
      </c>
      <c r="C39" s="30" t="s">
        <v>111</v>
      </c>
      <c r="D39" s="30" t="s">
        <v>363</v>
      </c>
      <c r="E39" s="31"/>
      <c r="F39" s="6"/>
      <c r="G39" s="59"/>
      <c r="H39" s="87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5" x14ac:dyDescent="0.25">
      <c r="A40" s="6"/>
      <c r="B40" s="30" t="s">
        <v>178</v>
      </c>
      <c r="C40" s="30" t="s">
        <v>376</v>
      </c>
      <c r="D40" s="30" t="s">
        <v>363</v>
      </c>
      <c r="E40" s="30"/>
      <c r="F40" s="6"/>
      <c r="G40" s="59"/>
      <c r="H40" s="87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15" x14ac:dyDescent="0.25">
      <c r="A41" s="6"/>
      <c r="B41" s="26" t="s">
        <v>941</v>
      </c>
      <c r="C41" s="26" t="s">
        <v>97</v>
      </c>
      <c r="D41" s="26" t="s">
        <v>361</v>
      </c>
      <c r="E41" s="31"/>
      <c r="F41" s="6"/>
      <c r="G41" s="59"/>
      <c r="H41" s="87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15" x14ac:dyDescent="0.25">
      <c r="A42" s="94"/>
      <c r="B42" s="30" t="s">
        <v>186</v>
      </c>
      <c r="C42" s="30" t="s">
        <v>377</v>
      </c>
      <c r="D42" s="30" t="s">
        <v>378</v>
      </c>
      <c r="E42" s="31"/>
      <c r="F42" s="94"/>
      <c r="G42" s="59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</row>
    <row r="43" spans="1:28" ht="15" x14ac:dyDescent="0.25">
      <c r="A43" s="93"/>
      <c r="B43" s="30" t="s">
        <v>192</v>
      </c>
      <c r="C43" s="30" t="s">
        <v>379</v>
      </c>
      <c r="D43" s="30" t="s">
        <v>367</v>
      </c>
      <c r="E43" s="31"/>
      <c r="F43" s="93"/>
      <c r="G43" s="59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</row>
    <row r="44" spans="1:28" ht="15" x14ac:dyDescent="0.25">
      <c r="A44" s="6"/>
      <c r="B44" s="30" t="s">
        <v>199</v>
      </c>
      <c r="C44" s="30" t="s">
        <v>380</v>
      </c>
      <c r="D44" s="30" t="s">
        <v>381</v>
      </c>
      <c r="E44" s="31"/>
      <c r="F44" s="6"/>
      <c r="G44" s="59"/>
      <c r="H44" s="87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x14ac:dyDescent="0.3">
      <c r="A45" s="93"/>
      <c r="B45" s="30" t="s">
        <v>942</v>
      </c>
      <c r="C45" s="30"/>
      <c r="D45" s="30" t="s">
        <v>364</v>
      </c>
      <c r="E45" s="31"/>
      <c r="F45" s="93"/>
      <c r="G45" s="59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</row>
    <row r="46" spans="1:28" x14ac:dyDescent="0.3">
      <c r="A46" s="6"/>
      <c r="B46" s="30" t="s">
        <v>204</v>
      </c>
      <c r="C46" s="30" t="s">
        <v>382</v>
      </c>
      <c r="D46" s="30" t="s">
        <v>364</v>
      </c>
      <c r="E46" s="31"/>
      <c r="F46" s="6"/>
      <c r="G46" s="59"/>
      <c r="H46" s="87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x14ac:dyDescent="0.3">
      <c r="A47" s="6"/>
      <c r="B47" s="30" t="s">
        <v>945</v>
      </c>
      <c r="C47" s="30"/>
      <c r="D47" s="30" t="s">
        <v>365</v>
      </c>
      <c r="E47" s="31"/>
      <c r="F47" s="6"/>
      <c r="G47" s="59"/>
      <c r="H47" s="87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x14ac:dyDescent="0.3">
      <c r="A48" s="6"/>
      <c r="B48" s="30" t="s">
        <v>211</v>
      </c>
      <c r="C48" s="30" t="s">
        <v>383</v>
      </c>
      <c r="D48" s="30" t="s">
        <v>365</v>
      </c>
      <c r="E48" s="31"/>
      <c r="F48" s="6"/>
      <c r="G48" s="59"/>
      <c r="H48" s="87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x14ac:dyDescent="0.3">
      <c r="A49" s="6"/>
      <c r="B49" s="30" t="s">
        <v>943</v>
      </c>
      <c r="C49" s="30"/>
      <c r="D49" s="30" t="s">
        <v>946</v>
      </c>
      <c r="E49" s="31"/>
      <c r="F49" s="6"/>
      <c r="G49" s="59"/>
      <c r="H49" s="87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x14ac:dyDescent="0.3">
      <c r="A50" s="78"/>
      <c r="B50" s="30" t="s">
        <v>217</v>
      </c>
      <c r="C50" s="30" t="s">
        <v>384</v>
      </c>
      <c r="D50" s="30" t="s">
        <v>370</v>
      </c>
      <c r="E50" s="31"/>
      <c r="F50" s="78"/>
      <c r="G50" s="59"/>
      <c r="H50" s="87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</row>
    <row r="51" spans="1:28" x14ac:dyDescent="0.3">
      <c r="A51" s="6"/>
      <c r="B51" s="30" t="s">
        <v>224</v>
      </c>
      <c r="C51" s="30" t="s">
        <v>385</v>
      </c>
      <c r="D51" s="30" t="s">
        <v>386</v>
      </c>
      <c r="E51" s="31"/>
      <c r="F51" s="6"/>
      <c r="G51" s="59"/>
      <c r="H51" s="87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x14ac:dyDescent="0.3">
      <c r="A52" s="78"/>
      <c r="B52" s="30" t="s">
        <v>350</v>
      </c>
      <c r="C52" s="30"/>
      <c r="D52" s="30" t="s">
        <v>722</v>
      </c>
      <c r="E52" s="30"/>
      <c r="F52" s="78"/>
      <c r="G52" s="59"/>
      <c r="H52" s="87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</row>
    <row r="53" spans="1:28" x14ac:dyDescent="0.3">
      <c r="A53" s="6"/>
      <c r="B53" s="30" t="s">
        <v>351</v>
      </c>
      <c r="C53" s="30" t="s">
        <v>387</v>
      </c>
      <c r="D53" s="30" t="s">
        <v>722</v>
      </c>
      <c r="E53" s="31"/>
      <c r="F53" s="6"/>
      <c r="G53" s="59"/>
      <c r="H53" s="87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x14ac:dyDescent="0.3">
      <c r="A54" s="6"/>
      <c r="B54" s="30" t="s">
        <v>352</v>
      </c>
      <c r="C54" s="30" t="s">
        <v>388</v>
      </c>
      <c r="D54" s="30" t="s">
        <v>389</v>
      </c>
      <c r="E54" s="31"/>
      <c r="F54" s="6"/>
      <c r="G54" s="59"/>
      <c r="H54" s="87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x14ac:dyDescent="0.3">
      <c r="A55" s="6"/>
      <c r="B55" s="30" t="s">
        <v>353</v>
      </c>
      <c r="C55" s="30"/>
      <c r="D55" s="30" t="s">
        <v>390</v>
      </c>
      <c r="E55" s="30"/>
      <c r="F55" s="6"/>
      <c r="G55" s="59"/>
      <c r="H55" s="87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x14ac:dyDescent="0.3">
      <c r="A56" s="6"/>
      <c r="B56" s="30"/>
      <c r="C56" s="30"/>
      <c r="D56" s="30"/>
      <c r="E56" s="30"/>
      <c r="F56" s="6"/>
      <c r="G56" s="59"/>
      <c r="H56" s="87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8.600000000000001" thickBot="1" x14ac:dyDescent="0.4">
      <c r="A57" s="6"/>
      <c r="B57" s="17" t="s">
        <v>732</v>
      </c>
      <c r="C57" s="17"/>
      <c r="D57" s="19"/>
      <c r="E57" s="19"/>
      <c r="F57" s="6"/>
      <c r="G57" s="155" t="s">
        <v>997</v>
      </c>
      <c r="H57" s="87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5" thickTop="1" x14ac:dyDescent="0.3">
      <c r="A58" s="6"/>
      <c r="B58" s="28" t="s">
        <v>6</v>
      </c>
      <c r="C58" s="29" t="s">
        <v>49</v>
      </c>
      <c r="D58" s="29" t="s">
        <v>354</v>
      </c>
      <c r="E58" s="29" t="s">
        <v>974</v>
      </c>
      <c r="F58" s="6"/>
      <c r="G58" s="59"/>
      <c r="H58" s="87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x14ac:dyDescent="0.3">
      <c r="A59" s="82"/>
      <c r="B59" s="30" t="s">
        <v>90</v>
      </c>
      <c r="C59" s="30"/>
      <c r="D59" s="30" t="s">
        <v>391</v>
      </c>
      <c r="E59" s="30"/>
      <c r="F59" s="82"/>
      <c r="G59" s="59"/>
      <c r="H59" s="87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</row>
    <row r="60" spans="1:28" x14ac:dyDescent="0.3">
      <c r="A60" s="82"/>
      <c r="B60" s="30" t="s">
        <v>98</v>
      </c>
      <c r="C60" s="30"/>
      <c r="D60" s="30" t="s">
        <v>392</v>
      </c>
      <c r="E60" s="30"/>
      <c r="F60" s="82"/>
      <c r="G60" s="59"/>
      <c r="H60" s="87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</row>
    <row r="61" spans="1:28" x14ac:dyDescent="0.3">
      <c r="A61" s="82"/>
      <c r="B61" s="30" t="s">
        <v>393</v>
      </c>
      <c r="C61" s="30"/>
      <c r="D61" s="30" t="s">
        <v>394</v>
      </c>
      <c r="E61" s="31" t="s">
        <v>982</v>
      </c>
      <c r="F61" s="82"/>
      <c r="G61" s="59"/>
      <c r="H61" s="87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</row>
    <row r="62" spans="1:28" x14ac:dyDescent="0.3">
      <c r="A62" s="82"/>
      <c r="B62" s="30" t="s">
        <v>112</v>
      </c>
      <c r="C62" s="30"/>
      <c r="D62" s="30" t="s">
        <v>395</v>
      </c>
      <c r="E62" s="30"/>
      <c r="F62" s="82"/>
      <c r="G62" s="59"/>
      <c r="H62" s="87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</row>
    <row r="63" spans="1:28" x14ac:dyDescent="0.3">
      <c r="A63" s="6"/>
      <c r="B63" s="30" t="s">
        <v>118</v>
      </c>
      <c r="C63" s="30"/>
      <c r="D63" s="30" t="s">
        <v>396</v>
      </c>
      <c r="E63" s="30"/>
      <c r="F63" s="6"/>
      <c r="G63" s="59"/>
      <c r="H63" s="87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x14ac:dyDescent="0.3">
      <c r="A64" s="6"/>
      <c r="B64" s="30" t="s">
        <v>1044</v>
      </c>
      <c r="C64" s="30"/>
      <c r="D64" s="30" t="s">
        <v>397</v>
      </c>
      <c r="E64" s="30"/>
      <c r="F64" s="6"/>
      <c r="G64" s="59"/>
      <c r="H64" s="89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x14ac:dyDescent="0.3">
      <c r="A65" s="6"/>
      <c r="B65" s="30" t="s">
        <v>128</v>
      </c>
      <c r="C65" s="30" t="s">
        <v>398</v>
      </c>
      <c r="D65" s="30" t="s">
        <v>399</v>
      </c>
      <c r="E65" s="30"/>
      <c r="F65" s="6"/>
      <c r="G65" s="59"/>
      <c r="H65" s="87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x14ac:dyDescent="0.3">
      <c r="A66" s="6"/>
      <c r="B66" s="30" t="s">
        <v>1045</v>
      </c>
      <c r="C66" s="30" t="s">
        <v>400</v>
      </c>
      <c r="D66" s="30" t="s">
        <v>401</v>
      </c>
      <c r="E66" s="30"/>
      <c r="F66" s="6"/>
      <c r="G66" s="59"/>
      <c r="H66" s="87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x14ac:dyDescent="0.3">
      <c r="A67" s="6"/>
      <c r="B67" s="30" t="s">
        <v>139</v>
      </c>
      <c r="C67" s="30" t="s">
        <v>402</v>
      </c>
      <c r="D67" s="30" t="s">
        <v>403</v>
      </c>
      <c r="E67" s="30"/>
      <c r="F67" s="6"/>
      <c r="G67" s="59"/>
      <c r="H67" s="87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x14ac:dyDescent="0.3">
      <c r="A68" s="6"/>
      <c r="B68" s="30" t="s">
        <v>1046</v>
      </c>
      <c r="C68" s="30" t="s">
        <v>404</v>
      </c>
      <c r="D68" s="30" t="s">
        <v>405</v>
      </c>
      <c r="E68" s="30"/>
      <c r="F68" s="6"/>
      <c r="G68" s="59"/>
      <c r="H68" s="87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x14ac:dyDescent="0.3">
      <c r="A69" s="6"/>
      <c r="B69" s="30" t="s">
        <v>150</v>
      </c>
      <c r="C69" s="30" t="s">
        <v>406</v>
      </c>
      <c r="D69" s="30" t="s">
        <v>407</v>
      </c>
      <c r="E69" s="30"/>
      <c r="F69" s="6"/>
      <c r="G69" s="59"/>
      <c r="H69" s="87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x14ac:dyDescent="0.3">
      <c r="A70" s="6"/>
      <c r="B70" s="30" t="s">
        <v>1047</v>
      </c>
      <c r="C70" s="30" t="s">
        <v>408</v>
      </c>
      <c r="D70" s="30" t="s">
        <v>409</v>
      </c>
      <c r="E70" s="30"/>
      <c r="F70" s="6"/>
      <c r="G70" s="59"/>
      <c r="H70" s="87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x14ac:dyDescent="0.3">
      <c r="A71" s="6"/>
      <c r="B71" s="30" t="s">
        <v>161</v>
      </c>
      <c r="C71" s="30"/>
      <c r="D71" s="30" t="s">
        <v>410</v>
      </c>
      <c r="E71" s="30"/>
      <c r="F71" s="6"/>
      <c r="G71" s="59"/>
      <c r="H71" s="87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x14ac:dyDescent="0.3">
      <c r="A72" s="6"/>
      <c r="B72" s="30" t="s">
        <v>167</v>
      </c>
      <c r="C72" s="30" t="s">
        <v>411</v>
      </c>
      <c r="D72" s="30" t="s">
        <v>412</v>
      </c>
      <c r="E72" s="30"/>
      <c r="F72" s="6"/>
      <c r="G72" s="59"/>
      <c r="H72" s="87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x14ac:dyDescent="0.3">
      <c r="A73" s="6"/>
      <c r="B73" s="30" t="s">
        <v>1048</v>
      </c>
      <c r="C73" s="30"/>
      <c r="D73" s="30" t="s">
        <v>413</v>
      </c>
      <c r="E73" s="30"/>
      <c r="F73" s="6"/>
      <c r="G73" s="59"/>
      <c r="H73" s="87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x14ac:dyDescent="0.3">
      <c r="A74" s="6"/>
      <c r="B74" s="30" t="s">
        <v>179</v>
      </c>
      <c r="C74" s="30" t="s">
        <v>414</v>
      </c>
      <c r="D74" s="30" t="s">
        <v>415</v>
      </c>
      <c r="E74" s="30"/>
      <c r="F74" s="6"/>
      <c r="G74" s="59"/>
      <c r="H74" s="87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x14ac:dyDescent="0.3">
      <c r="A75" s="6"/>
      <c r="B75" s="30" t="s">
        <v>187</v>
      </c>
      <c r="C75" s="30" t="s">
        <v>416</v>
      </c>
      <c r="D75" s="30" t="s">
        <v>417</v>
      </c>
      <c r="E75" s="30"/>
      <c r="F75" s="6"/>
      <c r="G75" s="59"/>
      <c r="H75" s="87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x14ac:dyDescent="0.3">
      <c r="A76" s="6"/>
      <c r="B76" s="30" t="s">
        <v>193</v>
      </c>
      <c r="C76" s="30" t="s">
        <v>418</v>
      </c>
      <c r="D76" s="30" t="s">
        <v>419</v>
      </c>
      <c r="E76" s="30"/>
      <c r="F76" s="6"/>
      <c r="G76" s="59"/>
      <c r="H76" s="87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x14ac:dyDescent="0.3">
      <c r="A77" s="6"/>
      <c r="B77" s="30" t="s">
        <v>1049</v>
      </c>
      <c r="C77" s="30" t="s">
        <v>420</v>
      </c>
      <c r="D77" s="30" t="s">
        <v>421</v>
      </c>
      <c r="E77" s="30"/>
      <c r="F77" s="6"/>
      <c r="G77" s="59"/>
      <c r="H77" s="87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x14ac:dyDescent="0.3">
      <c r="A78" s="6"/>
      <c r="B78" s="30" t="s">
        <v>1050</v>
      </c>
      <c r="C78" s="30" t="s">
        <v>422</v>
      </c>
      <c r="D78" s="30" t="s">
        <v>423</v>
      </c>
      <c r="E78" s="30"/>
      <c r="F78" s="6"/>
      <c r="G78" s="59"/>
      <c r="H78" s="87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x14ac:dyDescent="0.3">
      <c r="A79" s="6"/>
      <c r="B79" s="30" t="s">
        <v>1051</v>
      </c>
      <c r="C79" s="30" t="s">
        <v>424</v>
      </c>
      <c r="D79" s="30" t="s">
        <v>425</v>
      </c>
      <c r="E79" s="30"/>
      <c r="F79" s="6"/>
      <c r="G79" s="59"/>
      <c r="H79" s="87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x14ac:dyDescent="0.3">
      <c r="A80" s="6"/>
      <c r="B80" s="30" t="s">
        <v>218</v>
      </c>
      <c r="C80" s="30" t="s">
        <v>971</v>
      </c>
      <c r="D80" s="30" t="s">
        <v>426</v>
      </c>
      <c r="E80" s="30"/>
      <c r="F80" s="6"/>
      <c r="G80" s="59"/>
      <c r="H80" s="87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x14ac:dyDescent="0.3">
      <c r="A81" s="6"/>
      <c r="B81" s="30" t="s">
        <v>1052</v>
      </c>
      <c r="C81" s="30" t="s">
        <v>977</v>
      </c>
      <c r="D81" s="30" t="s">
        <v>427</v>
      </c>
      <c r="E81" s="30"/>
      <c r="F81" s="6"/>
      <c r="G81" s="59"/>
      <c r="H81" s="87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x14ac:dyDescent="0.3">
      <c r="A82" s="6"/>
      <c r="B82" s="30" t="s">
        <v>230</v>
      </c>
      <c r="C82" s="30" t="s">
        <v>972</v>
      </c>
      <c r="D82" s="30" t="s">
        <v>428</v>
      </c>
      <c r="E82" s="30"/>
      <c r="F82" s="6"/>
      <c r="G82" s="59"/>
      <c r="H82" s="87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x14ac:dyDescent="0.3">
      <c r="A83" s="6"/>
      <c r="B83" s="30" t="s">
        <v>1053</v>
      </c>
      <c r="C83" s="30" t="s">
        <v>978</v>
      </c>
      <c r="D83" s="30" t="s">
        <v>429</v>
      </c>
      <c r="E83" s="30"/>
      <c r="F83" s="6"/>
      <c r="G83" s="59"/>
      <c r="H83" s="87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x14ac:dyDescent="0.3">
      <c r="A84" s="6"/>
      <c r="B84" s="30" t="s">
        <v>240</v>
      </c>
      <c r="C84" s="30"/>
      <c r="D84" s="30" t="s">
        <v>430</v>
      </c>
      <c r="E84" s="30"/>
      <c r="F84" s="6"/>
      <c r="G84" s="59"/>
      <c r="H84" s="87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x14ac:dyDescent="0.3">
      <c r="A85" s="6"/>
      <c r="B85" s="30" t="s">
        <v>244</v>
      </c>
      <c r="C85" s="30"/>
      <c r="D85" s="30" t="s">
        <v>431</v>
      </c>
      <c r="E85" s="30"/>
      <c r="F85" s="6"/>
      <c r="G85" s="59"/>
      <c r="H85" s="87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x14ac:dyDescent="0.3">
      <c r="A86" s="6"/>
      <c r="B86" s="30" t="s">
        <v>1054</v>
      </c>
      <c r="C86" s="30"/>
      <c r="D86" s="30" t="s">
        <v>432</v>
      </c>
      <c r="E86" s="30"/>
      <c r="F86" s="6"/>
      <c r="G86" s="59"/>
      <c r="H86" s="87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x14ac:dyDescent="0.3">
      <c r="A87" s="6"/>
      <c r="B87" s="30" t="s">
        <v>249</v>
      </c>
      <c r="C87" s="30"/>
      <c r="D87" s="30" t="s">
        <v>433</v>
      </c>
      <c r="E87" s="30"/>
      <c r="F87" s="6"/>
      <c r="G87" s="59"/>
      <c r="H87" s="87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x14ac:dyDescent="0.3">
      <c r="A88" s="6"/>
      <c r="B88" s="30" t="s">
        <v>1055</v>
      </c>
      <c r="C88" s="30"/>
      <c r="D88" s="30" t="s">
        <v>434</v>
      </c>
      <c r="E88" s="30"/>
      <c r="F88" s="6"/>
      <c r="G88" s="59"/>
      <c r="H88" s="87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x14ac:dyDescent="0.3">
      <c r="A89" s="6"/>
      <c r="B89" s="30" t="s">
        <v>435</v>
      </c>
      <c r="C89" s="30"/>
      <c r="D89" s="30" t="s">
        <v>394</v>
      </c>
      <c r="E89" s="31" t="s">
        <v>983</v>
      </c>
      <c r="F89" s="6"/>
      <c r="G89" s="59"/>
      <c r="H89" s="87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x14ac:dyDescent="0.3">
      <c r="A90" s="109"/>
      <c r="B90" s="30" t="s">
        <v>1056</v>
      </c>
      <c r="C90" s="30"/>
      <c r="D90" s="30" t="s">
        <v>1041</v>
      </c>
      <c r="E90" s="31"/>
      <c r="F90" s="109"/>
      <c r="G90" s="5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</row>
    <row r="91" spans="1:28" x14ac:dyDescent="0.3">
      <c r="A91" s="6"/>
      <c r="B91" s="30" t="s">
        <v>257</v>
      </c>
      <c r="C91" s="30" t="s">
        <v>436</v>
      </c>
      <c r="D91" s="30" t="s">
        <v>437</v>
      </c>
      <c r="E91" s="30"/>
      <c r="F91" s="6"/>
      <c r="G91" s="59"/>
      <c r="H91" s="87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x14ac:dyDescent="0.3">
      <c r="A92" s="6"/>
      <c r="B92" s="30" t="s">
        <v>1057</v>
      </c>
      <c r="C92" s="30" t="s">
        <v>438</v>
      </c>
      <c r="D92" s="30" t="s">
        <v>439</v>
      </c>
      <c r="E92" s="30"/>
      <c r="F92" s="6"/>
      <c r="G92" s="59"/>
      <c r="H92" s="87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x14ac:dyDescent="0.3">
      <c r="A93" s="6"/>
      <c r="B93" s="30" t="s">
        <v>265</v>
      </c>
      <c r="C93" s="30" t="s">
        <v>440</v>
      </c>
      <c r="D93" s="30" t="s">
        <v>441</v>
      </c>
      <c r="E93" s="30"/>
      <c r="F93" s="6"/>
      <c r="G93" s="59"/>
      <c r="H93" s="87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x14ac:dyDescent="0.3">
      <c r="A94" s="6"/>
      <c r="B94" s="30" t="s">
        <v>1058</v>
      </c>
      <c r="C94" s="30" t="s">
        <v>979</v>
      </c>
      <c r="D94" s="30" t="s">
        <v>442</v>
      </c>
      <c r="E94" s="30"/>
      <c r="F94" s="6"/>
      <c r="G94" s="59"/>
      <c r="H94" s="87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x14ac:dyDescent="0.3">
      <c r="A95" s="82"/>
      <c r="B95" s="30" t="s">
        <v>276</v>
      </c>
      <c r="C95" s="30" t="s">
        <v>443</v>
      </c>
      <c r="D95" s="30" t="s">
        <v>444</v>
      </c>
      <c r="E95" s="30"/>
      <c r="F95" s="82"/>
      <c r="G95" s="59"/>
      <c r="H95" s="87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</row>
    <row r="96" spans="1:28" x14ac:dyDescent="0.3">
      <c r="A96" s="6"/>
      <c r="B96" s="30" t="s">
        <v>1059</v>
      </c>
      <c r="C96" s="30"/>
      <c r="D96" s="30" t="s">
        <v>445</v>
      </c>
      <c r="E96" s="30"/>
      <c r="F96" s="6"/>
      <c r="G96" s="59"/>
      <c r="H96" s="87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x14ac:dyDescent="0.3">
      <c r="A97" s="6"/>
      <c r="B97" s="30" t="s">
        <v>184</v>
      </c>
      <c r="C97" s="30" t="s">
        <v>446</v>
      </c>
      <c r="D97" s="30" t="s">
        <v>447</v>
      </c>
      <c r="E97" s="30"/>
      <c r="F97" s="6"/>
      <c r="G97" s="59"/>
      <c r="H97" s="87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x14ac:dyDescent="0.3">
      <c r="A98" s="6"/>
      <c r="B98" s="30" t="s">
        <v>282</v>
      </c>
      <c r="C98" s="30" t="s">
        <v>448</v>
      </c>
      <c r="D98" s="30" t="s">
        <v>449</v>
      </c>
      <c r="E98" s="30"/>
      <c r="F98" s="6"/>
      <c r="G98" s="59"/>
      <c r="H98" s="87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x14ac:dyDescent="0.3">
      <c r="A99" s="6"/>
      <c r="B99" s="30" t="s">
        <v>1060</v>
      </c>
      <c r="C99" s="30" t="s">
        <v>450</v>
      </c>
      <c r="D99" s="30" t="s">
        <v>451</v>
      </c>
      <c r="E99" s="30"/>
      <c r="F99" s="6"/>
      <c r="G99" s="59"/>
      <c r="H99" s="87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x14ac:dyDescent="0.3">
      <c r="A100" s="6"/>
      <c r="B100" s="30" t="s">
        <v>286</v>
      </c>
      <c r="C100" s="30" t="s">
        <v>452</v>
      </c>
      <c r="D100" s="30" t="s">
        <v>453</v>
      </c>
      <c r="E100" s="30"/>
      <c r="F100" s="6"/>
      <c r="G100" s="59"/>
      <c r="H100" s="87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x14ac:dyDescent="0.3">
      <c r="A101" s="6"/>
      <c r="B101" s="30" t="s">
        <v>1061</v>
      </c>
      <c r="C101" s="30"/>
      <c r="D101" s="30" t="s">
        <v>454</v>
      </c>
      <c r="E101" s="30"/>
      <c r="F101" s="6"/>
      <c r="G101" s="59"/>
      <c r="H101" s="87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x14ac:dyDescent="0.3">
      <c r="A102" s="6"/>
      <c r="B102" s="30" t="s">
        <v>290</v>
      </c>
      <c r="C102" s="30" t="s">
        <v>455</v>
      </c>
      <c r="D102" s="30" t="s">
        <v>456</v>
      </c>
      <c r="E102" s="30"/>
      <c r="F102" s="6"/>
      <c r="G102" s="59"/>
      <c r="H102" s="87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x14ac:dyDescent="0.3">
      <c r="A103" s="6"/>
      <c r="B103" s="30" t="s">
        <v>1062</v>
      </c>
      <c r="C103" s="30" t="s">
        <v>457</v>
      </c>
      <c r="D103" s="30" t="s">
        <v>458</v>
      </c>
      <c r="E103" s="30"/>
      <c r="F103" s="6"/>
      <c r="G103" s="59"/>
      <c r="H103" s="87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x14ac:dyDescent="0.3">
      <c r="A104" s="6"/>
      <c r="B104" s="30" t="s">
        <v>295</v>
      </c>
      <c r="C104" s="30" t="s">
        <v>459</v>
      </c>
      <c r="D104" s="30" t="s">
        <v>460</v>
      </c>
      <c r="E104" s="30"/>
      <c r="F104" s="6"/>
      <c r="G104" s="59"/>
      <c r="H104" s="87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x14ac:dyDescent="0.3">
      <c r="A105" s="6"/>
      <c r="B105" s="30" t="s">
        <v>1063</v>
      </c>
      <c r="C105" s="30" t="s">
        <v>461</v>
      </c>
      <c r="D105" s="30" t="s">
        <v>462</v>
      </c>
      <c r="E105" s="30"/>
      <c r="F105" s="6"/>
      <c r="G105" s="59"/>
      <c r="H105" s="87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x14ac:dyDescent="0.3">
      <c r="A106" s="6"/>
      <c r="B106" s="30" t="s">
        <v>216</v>
      </c>
      <c r="C106" s="30" t="s">
        <v>463</v>
      </c>
      <c r="D106" s="30" t="s">
        <v>464</v>
      </c>
      <c r="E106" s="30"/>
      <c r="F106" s="6"/>
      <c r="G106" s="59"/>
      <c r="H106" s="87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x14ac:dyDescent="0.3">
      <c r="A107" s="6"/>
      <c r="B107" s="30" t="s">
        <v>302</v>
      </c>
      <c r="C107" s="30" t="s">
        <v>465</v>
      </c>
      <c r="D107" s="30" t="s">
        <v>466</v>
      </c>
      <c r="E107" s="30"/>
      <c r="F107" s="6"/>
      <c r="G107" s="59"/>
      <c r="H107" s="87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x14ac:dyDescent="0.3">
      <c r="A108" s="6"/>
      <c r="B108" s="30" t="s">
        <v>1064</v>
      </c>
      <c r="C108" s="30" t="s">
        <v>467</v>
      </c>
      <c r="D108" s="30" t="s">
        <v>468</v>
      </c>
      <c r="E108" s="30"/>
      <c r="F108" s="6"/>
      <c r="G108" s="59"/>
      <c r="H108" s="87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x14ac:dyDescent="0.3">
      <c r="A109" s="6"/>
      <c r="B109" s="30" t="s">
        <v>307</v>
      </c>
      <c r="C109" s="30" t="s">
        <v>469</v>
      </c>
      <c r="D109" s="30" t="s">
        <v>470</v>
      </c>
      <c r="E109" s="30"/>
      <c r="F109" s="6"/>
      <c r="G109" s="59"/>
      <c r="H109" s="87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x14ac:dyDescent="0.3">
      <c r="A110" s="6"/>
      <c r="B110" s="30" t="s">
        <v>1065</v>
      </c>
      <c r="C110" s="30" t="s">
        <v>471</v>
      </c>
      <c r="D110" s="30" t="s">
        <v>472</v>
      </c>
      <c r="E110" s="30"/>
      <c r="F110" s="6"/>
      <c r="G110" s="59"/>
      <c r="H110" s="87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x14ac:dyDescent="0.3">
      <c r="A111" s="6"/>
      <c r="B111" s="30" t="s">
        <v>1066</v>
      </c>
      <c r="C111" s="30"/>
      <c r="D111" s="30" t="s">
        <v>473</v>
      </c>
      <c r="E111" s="30"/>
      <c r="F111" s="6"/>
      <c r="G111" s="59"/>
      <c r="H111" s="87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x14ac:dyDescent="0.3">
      <c r="A112" s="6"/>
      <c r="B112" s="30" t="s">
        <v>314</v>
      </c>
      <c r="C112" s="30"/>
      <c r="D112" s="30" t="s">
        <v>474</v>
      </c>
      <c r="E112" s="30"/>
      <c r="F112" s="6"/>
      <c r="G112" s="59"/>
      <c r="H112" s="87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x14ac:dyDescent="0.3">
      <c r="A113" s="6"/>
      <c r="B113" s="30" t="s">
        <v>317</v>
      </c>
      <c r="C113" s="30"/>
      <c r="D113" s="30" t="s">
        <v>475</v>
      </c>
      <c r="E113" s="30"/>
      <c r="F113" s="6"/>
      <c r="G113" s="59"/>
      <c r="H113" s="87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x14ac:dyDescent="0.3">
      <c r="A114" s="6"/>
      <c r="B114" s="30" t="s">
        <v>319</v>
      </c>
      <c r="C114" s="30"/>
      <c r="D114" s="30" t="s">
        <v>476</v>
      </c>
      <c r="E114" s="30"/>
      <c r="F114" s="6"/>
      <c r="G114" s="59"/>
      <c r="H114" s="87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x14ac:dyDescent="0.3">
      <c r="A115" s="6"/>
      <c r="B115" s="30" t="s">
        <v>322</v>
      </c>
      <c r="C115" s="30"/>
      <c r="D115" s="30" t="s">
        <v>477</v>
      </c>
      <c r="E115" s="30"/>
      <c r="F115" s="6"/>
      <c r="G115" s="59"/>
      <c r="H115" s="87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x14ac:dyDescent="0.3">
      <c r="A116" s="6"/>
      <c r="B116" s="30" t="s">
        <v>325</v>
      </c>
      <c r="C116" s="30"/>
      <c r="D116" s="30" t="s">
        <v>478</v>
      </c>
      <c r="E116" s="30"/>
      <c r="F116" s="6"/>
      <c r="G116" s="59"/>
      <c r="H116" s="87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x14ac:dyDescent="0.3">
      <c r="A117" s="6"/>
      <c r="B117" s="30" t="s">
        <v>328</v>
      </c>
      <c r="C117" s="30"/>
      <c r="D117" s="30" t="s">
        <v>479</v>
      </c>
      <c r="E117" s="30"/>
      <c r="F117" s="6"/>
      <c r="G117" s="59"/>
      <c r="H117" s="87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x14ac:dyDescent="0.3">
      <c r="A118" s="6"/>
      <c r="B118" s="30" t="s">
        <v>1067</v>
      </c>
      <c r="C118" s="30"/>
      <c r="D118" s="30" t="s">
        <v>480</v>
      </c>
      <c r="E118" s="30"/>
      <c r="F118" s="6"/>
      <c r="G118" s="59"/>
      <c r="H118" s="87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x14ac:dyDescent="0.3">
      <c r="A119" s="6"/>
      <c r="B119" s="30" t="s">
        <v>1068</v>
      </c>
      <c r="C119" s="30"/>
      <c r="D119" s="30" t="s">
        <v>481</v>
      </c>
      <c r="E119" s="30"/>
      <c r="F119" s="6"/>
      <c r="G119" s="59"/>
      <c r="H119" s="87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x14ac:dyDescent="0.3">
      <c r="A120" s="6"/>
      <c r="B120" s="30" t="s">
        <v>332</v>
      </c>
      <c r="C120" s="30"/>
      <c r="D120" s="30" t="s">
        <v>482</v>
      </c>
      <c r="E120" s="30"/>
      <c r="F120" s="6"/>
      <c r="G120" s="59"/>
      <c r="H120" s="87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x14ac:dyDescent="0.3">
      <c r="A121" s="6"/>
      <c r="B121" s="30" t="s">
        <v>1069</v>
      </c>
      <c r="C121" s="30"/>
      <c r="D121" s="30" t="s">
        <v>483</v>
      </c>
      <c r="E121" s="30"/>
      <c r="F121" s="6"/>
      <c r="G121" s="59"/>
      <c r="H121" s="87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x14ac:dyDescent="0.3">
      <c r="A122" s="6"/>
      <c r="B122" s="30" t="s">
        <v>335</v>
      </c>
      <c r="C122" s="30"/>
      <c r="D122" s="30" t="s">
        <v>484</v>
      </c>
      <c r="E122" s="31"/>
      <c r="F122" s="6"/>
      <c r="G122" s="59"/>
      <c r="H122" s="87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x14ac:dyDescent="0.3">
      <c r="A123" s="6"/>
      <c r="B123" s="30" t="s">
        <v>1070</v>
      </c>
      <c r="C123" s="30"/>
      <c r="D123" s="30" t="s">
        <v>723</v>
      </c>
      <c r="E123" s="30"/>
      <c r="F123" s="6"/>
      <c r="G123" s="59"/>
      <c r="H123" s="87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x14ac:dyDescent="0.3">
      <c r="A124" s="6"/>
      <c r="B124" s="30" t="s">
        <v>337</v>
      </c>
      <c r="C124" s="30"/>
      <c r="D124" s="30" t="s">
        <v>485</v>
      </c>
      <c r="E124" s="30"/>
      <c r="F124" s="6"/>
      <c r="G124" s="59"/>
      <c r="H124" s="87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x14ac:dyDescent="0.3">
      <c r="A125" s="6"/>
      <c r="B125" s="30" t="s">
        <v>339</v>
      </c>
      <c r="C125" s="30"/>
      <c r="D125" s="30" t="s">
        <v>486</v>
      </c>
      <c r="E125" s="30"/>
      <c r="F125" s="6"/>
      <c r="G125" s="59"/>
      <c r="H125" s="87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x14ac:dyDescent="0.3">
      <c r="A126" s="6"/>
      <c r="B126" s="30" t="s">
        <v>1071</v>
      </c>
      <c r="C126" s="30"/>
      <c r="D126" s="30" t="s">
        <v>487</v>
      </c>
      <c r="E126" s="30"/>
      <c r="F126" s="6"/>
      <c r="G126" s="59"/>
      <c r="H126" s="87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x14ac:dyDescent="0.3">
      <c r="A127" s="6"/>
      <c r="B127" s="30" t="s">
        <v>1072</v>
      </c>
      <c r="C127" s="30" t="s">
        <v>488</v>
      </c>
      <c r="D127" s="30" t="s">
        <v>489</v>
      </c>
      <c r="E127" s="30"/>
      <c r="F127" s="6"/>
      <c r="G127" s="59"/>
      <c r="H127" s="87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x14ac:dyDescent="0.3">
      <c r="A128" s="6"/>
      <c r="B128" s="30" t="s">
        <v>1073</v>
      </c>
      <c r="C128" s="30" t="s">
        <v>490</v>
      </c>
      <c r="D128" s="30" t="s">
        <v>491</v>
      </c>
      <c r="E128" s="30"/>
      <c r="F128" s="6"/>
      <c r="G128" s="59"/>
      <c r="H128" s="87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x14ac:dyDescent="0.3">
      <c r="A129" s="6"/>
      <c r="B129" s="30" t="s">
        <v>343</v>
      </c>
      <c r="C129" s="30" t="s">
        <v>492</v>
      </c>
      <c r="D129" s="30" t="s">
        <v>493</v>
      </c>
      <c r="E129" s="30"/>
      <c r="F129" s="6"/>
      <c r="G129" s="59"/>
      <c r="H129" s="87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x14ac:dyDescent="0.3">
      <c r="A130" s="6"/>
      <c r="B130" s="30" t="s">
        <v>345</v>
      </c>
      <c r="C130" s="30" t="s">
        <v>494</v>
      </c>
      <c r="D130" s="30" t="s">
        <v>495</v>
      </c>
      <c r="E130" s="30"/>
      <c r="F130" s="6"/>
      <c r="G130" s="59"/>
      <c r="H130" s="87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x14ac:dyDescent="0.3">
      <c r="A131" s="6"/>
      <c r="B131" s="30" t="s">
        <v>347</v>
      </c>
      <c r="C131" s="30"/>
      <c r="D131" s="30" t="s">
        <v>496</v>
      </c>
      <c r="E131" s="30"/>
      <c r="F131" s="6"/>
      <c r="G131" s="59"/>
      <c r="H131" s="87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x14ac:dyDescent="0.3">
      <c r="A132" s="6"/>
      <c r="B132" s="30" t="s">
        <v>1074</v>
      </c>
      <c r="C132" s="30"/>
      <c r="D132" s="30" t="s">
        <v>960</v>
      </c>
      <c r="E132" s="30"/>
      <c r="F132" s="6"/>
      <c r="G132" s="59"/>
      <c r="H132" s="87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x14ac:dyDescent="0.3">
      <c r="A133" s="6"/>
      <c r="B133" s="30" t="s">
        <v>348</v>
      </c>
      <c r="C133" s="30"/>
      <c r="D133" s="30" t="s">
        <v>497</v>
      </c>
      <c r="E133" s="30"/>
      <c r="F133" s="6"/>
      <c r="G133" s="59"/>
      <c r="H133" s="87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x14ac:dyDescent="0.3">
      <c r="A134" s="6"/>
      <c r="B134" s="30" t="s">
        <v>1075</v>
      </c>
      <c r="C134" s="30" t="s">
        <v>973</v>
      </c>
      <c r="D134" s="30" t="s">
        <v>961</v>
      </c>
      <c r="E134" s="30"/>
      <c r="F134" s="6"/>
      <c r="G134" s="59"/>
      <c r="H134" s="87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x14ac:dyDescent="0.3">
      <c r="A135" s="6"/>
      <c r="B135" s="30" t="s">
        <v>1076</v>
      </c>
      <c r="C135" s="30"/>
      <c r="D135" s="30" t="s">
        <v>498</v>
      </c>
      <c r="E135" s="22"/>
      <c r="F135" s="6"/>
      <c r="G135" s="59"/>
      <c r="H135" s="87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x14ac:dyDescent="0.3">
      <c r="A136" s="6"/>
      <c r="B136" s="30" t="s">
        <v>1077</v>
      </c>
      <c r="C136" s="30"/>
      <c r="D136" s="30" t="s">
        <v>498</v>
      </c>
      <c r="E136" s="31"/>
      <c r="F136" s="6"/>
      <c r="G136" s="59"/>
      <c r="H136" s="87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x14ac:dyDescent="0.3">
      <c r="A137" s="6"/>
      <c r="B137" s="30" t="s">
        <v>263</v>
      </c>
      <c r="C137" s="30"/>
      <c r="D137" s="30" t="s">
        <v>499</v>
      </c>
      <c r="E137" s="30"/>
      <c r="F137" s="6"/>
      <c r="G137" s="59"/>
      <c r="H137" s="87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x14ac:dyDescent="0.3">
      <c r="A138" s="82"/>
      <c r="B138" s="30" t="s">
        <v>268</v>
      </c>
      <c r="C138" s="30"/>
      <c r="D138" s="30" t="s">
        <v>500</v>
      </c>
      <c r="E138" s="30"/>
      <c r="F138" s="82"/>
      <c r="G138" s="59"/>
      <c r="H138" s="87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</row>
    <row r="139" spans="1:28" x14ac:dyDescent="0.3">
      <c r="A139" s="6"/>
      <c r="B139" s="30" t="s">
        <v>1078</v>
      </c>
      <c r="C139" s="30"/>
      <c r="D139" s="30" t="s">
        <v>501</v>
      </c>
      <c r="E139" s="30"/>
      <c r="F139" s="6"/>
      <c r="G139" s="59"/>
      <c r="H139" s="87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x14ac:dyDescent="0.3">
      <c r="A140" s="82"/>
      <c r="B140" s="30" t="s">
        <v>1079</v>
      </c>
      <c r="C140" s="30"/>
      <c r="D140" s="30" t="s">
        <v>502</v>
      </c>
      <c r="E140" s="30"/>
      <c r="F140" s="82"/>
      <c r="G140" s="59"/>
      <c r="H140" s="87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</row>
    <row r="141" spans="1:28" x14ac:dyDescent="0.3">
      <c r="A141" s="6"/>
      <c r="B141" s="30" t="s">
        <v>349</v>
      </c>
      <c r="C141" s="30"/>
      <c r="D141" s="30" t="s">
        <v>503</v>
      </c>
      <c r="E141" s="30"/>
      <c r="F141" s="6"/>
      <c r="G141" s="59"/>
      <c r="H141" s="87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x14ac:dyDescent="0.3">
      <c r="A142" s="6"/>
      <c r="B142" s="30" t="s">
        <v>275</v>
      </c>
      <c r="C142" s="30"/>
      <c r="D142" s="30" t="s">
        <v>504</v>
      </c>
      <c r="E142" s="30"/>
      <c r="F142" s="6"/>
      <c r="G142" s="59"/>
      <c r="H142" s="87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x14ac:dyDescent="0.3">
      <c r="A143" s="82"/>
      <c r="B143" s="30"/>
      <c r="C143" s="30"/>
      <c r="D143" s="30"/>
      <c r="E143" s="30"/>
      <c r="F143" s="82"/>
      <c r="G143" s="59"/>
      <c r="H143" s="87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</row>
    <row r="144" spans="1:28" ht="18.600000000000001" thickBot="1" x14ac:dyDescent="0.4">
      <c r="A144" s="6"/>
      <c r="B144" s="17" t="s">
        <v>1023</v>
      </c>
      <c r="C144" s="17"/>
      <c r="D144" s="19"/>
      <c r="E144" s="19"/>
      <c r="F144" s="6"/>
      <c r="G144" s="155" t="s">
        <v>997</v>
      </c>
      <c r="H144" s="87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5" thickTop="1" x14ac:dyDescent="0.3">
      <c r="A145" s="6"/>
      <c r="B145" s="28" t="s">
        <v>6</v>
      </c>
      <c r="C145" s="29" t="s">
        <v>49</v>
      </c>
      <c r="D145" s="29" t="s">
        <v>354</v>
      </c>
      <c r="E145" s="29" t="s">
        <v>974</v>
      </c>
      <c r="F145" s="6"/>
      <c r="G145" s="59"/>
      <c r="H145" s="87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x14ac:dyDescent="0.3">
      <c r="A146" s="6"/>
      <c r="B146" s="30" t="s">
        <v>91</v>
      </c>
      <c r="C146" s="30" t="s">
        <v>505</v>
      </c>
      <c r="D146" s="30" t="s">
        <v>506</v>
      </c>
      <c r="E146" s="30"/>
      <c r="F146" s="6"/>
      <c r="G146" s="59"/>
      <c r="H146" s="87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x14ac:dyDescent="0.3">
      <c r="A147" s="6"/>
      <c r="B147" s="30" t="s">
        <v>99</v>
      </c>
      <c r="C147" s="30"/>
      <c r="D147" s="30" t="s">
        <v>507</v>
      </c>
      <c r="E147" s="30"/>
      <c r="F147" s="6"/>
      <c r="G147" s="59"/>
      <c r="H147" s="87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x14ac:dyDescent="0.3">
      <c r="A148" s="6"/>
      <c r="B148" s="30" t="s">
        <v>509</v>
      </c>
      <c r="C148" s="30"/>
      <c r="D148" s="30" t="s">
        <v>510</v>
      </c>
      <c r="E148" s="31" t="s">
        <v>984</v>
      </c>
      <c r="F148" s="6"/>
      <c r="G148" s="59"/>
      <c r="H148" s="87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x14ac:dyDescent="0.3">
      <c r="A149" s="6"/>
      <c r="B149" s="30" t="s">
        <v>109</v>
      </c>
      <c r="C149" s="30"/>
      <c r="D149" s="30" t="s">
        <v>511</v>
      </c>
      <c r="E149" s="30"/>
      <c r="F149" s="6"/>
      <c r="G149" s="59"/>
      <c r="H149" s="87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x14ac:dyDescent="0.3">
      <c r="A150" s="6"/>
      <c r="B150" s="30" t="s">
        <v>115</v>
      </c>
      <c r="C150" s="30"/>
      <c r="D150" s="30" t="s">
        <v>508</v>
      </c>
      <c r="E150" s="30"/>
      <c r="F150" s="6"/>
      <c r="G150" s="59"/>
      <c r="H150" s="89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x14ac:dyDescent="0.3">
      <c r="A151" s="6"/>
      <c r="B151" s="30" t="s">
        <v>121</v>
      </c>
      <c r="C151" s="30"/>
      <c r="D151" s="30" t="s">
        <v>512</v>
      </c>
      <c r="E151" s="30"/>
      <c r="F151" s="6"/>
      <c r="G151" s="59"/>
      <c r="H151" s="87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x14ac:dyDescent="0.3">
      <c r="A152" s="6"/>
      <c r="B152" s="30" t="s">
        <v>125</v>
      </c>
      <c r="C152" s="30"/>
      <c r="D152" s="30" t="s">
        <v>513</v>
      </c>
      <c r="E152" s="30"/>
      <c r="F152" s="6"/>
      <c r="G152" s="59"/>
      <c r="H152" s="87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x14ac:dyDescent="0.3">
      <c r="A153" s="6"/>
      <c r="B153" s="32" t="s">
        <v>131</v>
      </c>
      <c r="C153" s="32"/>
      <c r="D153" s="32" t="s">
        <v>514</v>
      </c>
      <c r="E153" s="32"/>
      <c r="F153" s="6"/>
      <c r="G153" s="59"/>
      <c r="H153" s="87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x14ac:dyDescent="0.3">
      <c r="A154" s="6"/>
      <c r="B154" s="30" t="s">
        <v>136</v>
      </c>
      <c r="C154" s="30"/>
      <c r="D154" s="30" t="s">
        <v>515</v>
      </c>
      <c r="E154" s="30"/>
      <c r="F154" s="6"/>
      <c r="G154" s="59"/>
      <c r="H154" s="87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x14ac:dyDescent="0.3">
      <c r="A155" s="6"/>
      <c r="B155" s="30" t="s">
        <v>151</v>
      </c>
      <c r="C155" s="30"/>
      <c r="D155" s="30" t="s">
        <v>516</v>
      </c>
      <c r="E155" s="30"/>
      <c r="F155" s="6"/>
      <c r="G155" s="59"/>
      <c r="H155" s="87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x14ac:dyDescent="0.3">
      <c r="A156" s="6"/>
      <c r="B156" s="30" t="s">
        <v>517</v>
      </c>
      <c r="C156" s="30"/>
      <c r="D156" s="30" t="s">
        <v>518</v>
      </c>
      <c r="E156" s="31" t="s">
        <v>985</v>
      </c>
      <c r="F156" s="6"/>
      <c r="G156" s="59"/>
      <c r="H156" s="87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x14ac:dyDescent="0.3">
      <c r="A157" s="6"/>
      <c r="B157" s="30" t="s">
        <v>162</v>
      </c>
      <c r="C157" s="30"/>
      <c r="D157" s="30" t="s">
        <v>962</v>
      </c>
      <c r="E157" s="30"/>
      <c r="F157" s="6"/>
      <c r="G157" s="59"/>
      <c r="H157" s="87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x14ac:dyDescent="0.3">
      <c r="A158" s="6"/>
      <c r="B158" s="30" t="s">
        <v>168</v>
      </c>
      <c r="C158" s="30"/>
      <c r="D158" s="30" t="s">
        <v>519</v>
      </c>
      <c r="E158" s="30"/>
      <c r="F158" s="6"/>
      <c r="G158" s="59"/>
      <c r="H158" s="87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x14ac:dyDescent="0.3">
      <c r="A159" s="6"/>
      <c r="B159" s="30" t="s">
        <v>947</v>
      </c>
      <c r="C159" s="30"/>
      <c r="D159" s="30" t="s">
        <v>948</v>
      </c>
      <c r="E159" s="30"/>
      <c r="F159" s="6"/>
      <c r="G159" s="59"/>
      <c r="H159" s="87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x14ac:dyDescent="0.3">
      <c r="A160" s="6"/>
      <c r="B160" s="30" t="s">
        <v>173</v>
      </c>
      <c r="C160" s="30"/>
      <c r="D160" s="30" t="s">
        <v>520</v>
      </c>
      <c r="E160" s="30"/>
      <c r="F160" s="6"/>
      <c r="G160" s="59"/>
      <c r="H160" s="87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x14ac:dyDescent="0.3">
      <c r="A161" s="6"/>
      <c r="B161" s="30" t="s">
        <v>180</v>
      </c>
      <c r="C161" s="30"/>
      <c r="D161" s="30" t="s">
        <v>521</v>
      </c>
      <c r="E161" s="30"/>
      <c r="F161" s="6"/>
      <c r="G161" s="59"/>
      <c r="H161" s="87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x14ac:dyDescent="0.3">
      <c r="A162" s="6"/>
      <c r="B162" s="30" t="s">
        <v>188</v>
      </c>
      <c r="C162" s="30"/>
      <c r="D162" s="30" t="s">
        <v>522</v>
      </c>
      <c r="E162" s="30"/>
      <c r="F162" s="6"/>
      <c r="G162" s="59"/>
      <c r="H162" s="87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x14ac:dyDescent="0.3">
      <c r="A163" s="6"/>
      <c r="B163" s="30" t="s">
        <v>194</v>
      </c>
      <c r="C163" s="30"/>
      <c r="D163" s="30" t="s">
        <v>523</v>
      </c>
      <c r="E163" s="30"/>
      <c r="F163" s="6"/>
      <c r="G163" s="59"/>
      <c r="H163" s="87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x14ac:dyDescent="0.3">
      <c r="A164" s="6"/>
      <c r="B164" s="30" t="s">
        <v>200</v>
      </c>
      <c r="C164" s="30"/>
      <c r="D164" s="30" t="s">
        <v>524</v>
      </c>
      <c r="E164" s="30"/>
      <c r="F164" s="6"/>
      <c r="G164" s="59"/>
      <c r="H164" s="87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x14ac:dyDescent="0.3">
      <c r="A165" s="78"/>
      <c r="B165" s="30" t="s">
        <v>205</v>
      </c>
      <c r="C165" s="30" t="s">
        <v>525</v>
      </c>
      <c r="D165" s="30" t="s">
        <v>526</v>
      </c>
      <c r="E165" s="30"/>
      <c r="F165" s="78"/>
      <c r="G165" s="59"/>
      <c r="H165" s="87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</row>
    <row r="166" spans="1:28" x14ac:dyDescent="0.3">
      <c r="A166" s="6"/>
      <c r="B166" s="30" t="s">
        <v>212</v>
      </c>
      <c r="C166" s="30"/>
      <c r="D166" s="30" t="s">
        <v>527</v>
      </c>
      <c r="E166" s="30"/>
      <c r="F166" s="6"/>
      <c r="G166" s="59"/>
      <c r="H166" s="87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x14ac:dyDescent="0.3">
      <c r="A167" s="6"/>
      <c r="B167" s="30" t="s">
        <v>219</v>
      </c>
      <c r="C167" s="30"/>
      <c r="D167" s="30" t="s">
        <v>528</v>
      </c>
      <c r="E167" s="30"/>
      <c r="F167" s="6"/>
      <c r="G167" s="59"/>
      <c r="H167" s="87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x14ac:dyDescent="0.3">
      <c r="A168" s="6"/>
      <c r="B168" s="30" t="s">
        <v>225</v>
      </c>
      <c r="C168" s="30"/>
      <c r="D168" s="30" t="s">
        <v>529</v>
      </c>
      <c r="E168" s="30"/>
      <c r="F168" s="6"/>
      <c r="G168" s="59"/>
      <c r="H168" s="87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x14ac:dyDescent="0.3">
      <c r="A169" s="6"/>
      <c r="B169" s="30" t="s">
        <v>231</v>
      </c>
      <c r="C169" s="30"/>
      <c r="D169" s="30" t="s">
        <v>530</v>
      </c>
      <c r="E169" s="30"/>
      <c r="F169" s="6"/>
      <c r="G169" s="59"/>
      <c r="H169" s="87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x14ac:dyDescent="0.3">
      <c r="A170" s="6"/>
      <c r="B170" s="30" t="s">
        <v>235</v>
      </c>
      <c r="C170" s="30"/>
      <c r="D170" s="30" t="s">
        <v>531</v>
      </c>
      <c r="E170" s="30"/>
      <c r="F170" s="6"/>
      <c r="G170" s="59"/>
      <c r="H170" s="87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x14ac:dyDescent="0.3">
      <c r="A171" s="82"/>
      <c r="B171" s="30" t="s">
        <v>241</v>
      </c>
      <c r="C171" s="30"/>
      <c r="D171" s="30" t="s">
        <v>532</v>
      </c>
      <c r="E171" s="30"/>
      <c r="F171" s="82"/>
      <c r="G171" s="59"/>
      <c r="H171" s="87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</row>
    <row r="172" spans="1:28" x14ac:dyDescent="0.3">
      <c r="A172" s="6"/>
      <c r="B172" s="30" t="s">
        <v>245</v>
      </c>
      <c r="C172" s="30"/>
      <c r="D172" s="30" t="s">
        <v>533</v>
      </c>
      <c r="E172" s="30"/>
      <c r="F172" s="6"/>
      <c r="G172" s="59"/>
      <c r="H172" s="87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x14ac:dyDescent="0.3">
      <c r="A173" s="6"/>
      <c r="B173" s="30" t="s">
        <v>250</v>
      </c>
      <c r="C173" s="30"/>
      <c r="D173" s="30" t="s">
        <v>534</v>
      </c>
      <c r="E173" s="30"/>
      <c r="F173" s="6"/>
      <c r="G173" s="59"/>
      <c r="H173" s="87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x14ac:dyDescent="0.3">
      <c r="A174" s="6"/>
      <c r="B174" s="30" t="s">
        <v>252</v>
      </c>
      <c r="C174" s="30"/>
      <c r="D174" s="30" t="s">
        <v>535</v>
      </c>
      <c r="E174" s="30"/>
      <c r="F174" s="6"/>
      <c r="G174" s="59"/>
      <c r="H174" s="87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x14ac:dyDescent="0.3">
      <c r="A175" s="6"/>
      <c r="B175" s="30" t="s">
        <v>255</v>
      </c>
      <c r="C175" s="30"/>
      <c r="D175" s="30" t="s">
        <v>536</v>
      </c>
      <c r="E175" s="30"/>
      <c r="F175" s="6"/>
      <c r="G175" s="59"/>
      <c r="H175" s="87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x14ac:dyDescent="0.3">
      <c r="A176" s="6"/>
      <c r="B176" s="30" t="s">
        <v>258</v>
      </c>
      <c r="C176" s="30"/>
      <c r="D176" s="30" t="s">
        <v>639</v>
      </c>
      <c r="E176" s="30"/>
      <c r="F176" s="6"/>
      <c r="G176" s="59"/>
      <c r="H176" s="87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x14ac:dyDescent="0.3">
      <c r="A177" s="6"/>
      <c r="B177" s="30" t="s">
        <v>261</v>
      </c>
      <c r="C177" s="30"/>
      <c r="D177" s="30" t="s">
        <v>537</v>
      </c>
      <c r="E177" s="30"/>
      <c r="F177" s="6"/>
      <c r="G177" s="59"/>
      <c r="H177" s="87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x14ac:dyDescent="0.3">
      <c r="A178" s="6"/>
      <c r="B178" s="30" t="s">
        <v>266</v>
      </c>
      <c r="C178" s="30" t="s">
        <v>538</v>
      </c>
      <c r="D178" s="30" t="s">
        <v>539</v>
      </c>
      <c r="E178" s="30"/>
      <c r="F178" s="6"/>
      <c r="G178" s="59"/>
      <c r="H178" s="87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x14ac:dyDescent="0.3">
      <c r="A179" s="6"/>
      <c r="B179" s="30" t="s">
        <v>269</v>
      </c>
      <c r="C179" s="30" t="s">
        <v>540</v>
      </c>
      <c r="D179" s="30" t="s">
        <v>541</v>
      </c>
      <c r="E179" s="30"/>
      <c r="F179" s="6"/>
      <c r="G179" s="59"/>
      <c r="H179" s="87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x14ac:dyDescent="0.3">
      <c r="A180" s="6"/>
      <c r="B180" s="30" t="s">
        <v>271</v>
      </c>
      <c r="C180" s="30" t="s">
        <v>542</v>
      </c>
      <c r="D180" s="30" t="s">
        <v>543</v>
      </c>
      <c r="E180" s="30"/>
      <c r="F180" s="6"/>
      <c r="G180" s="59"/>
      <c r="H180" s="87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x14ac:dyDescent="0.3">
      <c r="A181" s="6"/>
      <c r="B181" s="30" t="s">
        <v>273</v>
      </c>
      <c r="C181" s="30" t="s">
        <v>544</v>
      </c>
      <c r="D181" s="30" t="s">
        <v>545</v>
      </c>
      <c r="E181" s="30"/>
      <c r="F181" s="6"/>
      <c r="G181" s="59"/>
      <c r="H181" s="87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x14ac:dyDescent="0.3">
      <c r="A182" s="6"/>
      <c r="B182" s="30" t="s">
        <v>277</v>
      </c>
      <c r="C182" s="30" t="s">
        <v>546</v>
      </c>
      <c r="D182" s="30" t="s">
        <v>547</v>
      </c>
      <c r="E182" s="30"/>
      <c r="F182" s="6"/>
      <c r="G182" s="59"/>
      <c r="H182" s="87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x14ac:dyDescent="0.3">
      <c r="A183" s="6"/>
      <c r="B183" s="30" t="s">
        <v>280</v>
      </c>
      <c r="C183" s="30" t="s">
        <v>975</v>
      </c>
      <c r="D183" s="30" t="s">
        <v>548</v>
      </c>
      <c r="E183" s="31"/>
      <c r="F183" s="6"/>
      <c r="G183" s="59"/>
      <c r="H183" s="87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x14ac:dyDescent="0.3">
      <c r="A184" s="6"/>
      <c r="B184" s="30" t="s">
        <v>283</v>
      </c>
      <c r="C184" s="30" t="s">
        <v>549</v>
      </c>
      <c r="D184" s="30" t="s">
        <v>550</v>
      </c>
      <c r="E184" s="30"/>
      <c r="F184" s="6"/>
      <c r="G184" s="59"/>
      <c r="H184" s="87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x14ac:dyDescent="0.3">
      <c r="A185" s="6"/>
      <c r="B185" s="30" t="s">
        <v>285</v>
      </c>
      <c r="C185" s="30" t="s">
        <v>551</v>
      </c>
      <c r="D185" s="30" t="s">
        <v>552</v>
      </c>
      <c r="E185" s="30"/>
      <c r="F185" s="6"/>
      <c r="G185" s="59"/>
      <c r="H185" s="87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x14ac:dyDescent="0.3">
      <c r="A186" s="6"/>
      <c r="B186" s="30" t="s">
        <v>287</v>
      </c>
      <c r="C186" s="30" t="s">
        <v>553</v>
      </c>
      <c r="D186" s="30" t="s">
        <v>554</v>
      </c>
      <c r="E186" s="30"/>
      <c r="F186" s="6"/>
      <c r="G186" s="59"/>
      <c r="H186" s="87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x14ac:dyDescent="0.3">
      <c r="A187" s="6"/>
      <c r="B187" s="30" t="s">
        <v>288</v>
      </c>
      <c r="C187" s="30" t="s">
        <v>976</v>
      </c>
      <c r="D187" s="30" t="s">
        <v>555</v>
      </c>
      <c r="E187" s="30"/>
      <c r="F187" s="6"/>
      <c r="G187" s="59"/>
      <c r="H187" s="87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x14ac:dyDescent="0.3">
      <c r="A188" s="6"/>
      <c r="B188" s="30" t="s">
        <v>291</v>
      </c>
      <c r="C188" s="30" t="s">
        <v>556</v>
      </c>
      <c r="D188" s="30" t="s">
        <v>557</v>
      </c>
      <c r="E188" s="30"/>
      <c r="F188" s="6"/>
      <c r="G188" s="59"/>
      <c r="H188" s="87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x14ac:dyDescent="0.3">
      <c r="A189" s="6"/>
      <c r="B189" s="30" t="s">
        <v>293</v>
      </c>
      <c r="C189" s="30" t="s">
        <v>558</v>
      </c>
      <c r="D189" s="30" t="s">
        <v>559</v>
      </c>
      <c r="E189" s="30"/>
      <c r="F189" s="6"/>
      <c r="G189" s="59"/>
      <c r="H189" s="87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x14ac:dyDescent="0.3">
      <c r="A190" s="109"/>
      <c r="B190" s="30" t="s">
        <v>1042</v>
      </c>
      <c r="C190" s="30"/>
      <c r="D190" s="30" t="s">
        <v>1043</v>
      </c>
      <c r="E190" s="30"/>
      <c r="F190" s="109"/>
      <c r="G190" s="5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</row>
    <row r="191" spans="1:28" x14ac:dyDescent="0.3">
      <c r="A191" s="6"/>
      <c r="B191" s="30" t="s">
        <v>296</v>
      </c>
      <c r="C191" s="30"/>
      <c r="D191" s="30" t="s">
        <v>560</v>
      </c>
      <c r="E191" s="30"/>
      <c r="F191" s="6"/>
      <c r="G191" s="59"/>
      <c r="H191" s="87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x14ac:dyDescent="0.3">
      <c r="A192" s="6"/>
      <c r="B192" s="30" t="s">
        <v>298</v>
      </c>
      <c r="C192" s="30" t="s">
        <v>561</v>
      </c>
      <c r="D192" s="30" t="s">
        <v>562</v>
      </c>
      <c r="E192" s="31"/>
      <c r="F192" s="6"/>
      <c r="G192" s="59"/>
      <c r="H192" s="87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x14ac:dyDescent="0.3">
      <c r="A193" s="6"/>
      <c r="B193" s="30" t="s">
        <v>563</v>
      </c>
      <c r="C193" s="30" t="s">
        <v>564</v>
      </c>
      <c r="D193" s="30" t="s">
        <v>510</v>
      </c>
      <c r="E193" s="31" t="s">
        <v>986</v>
      </c>
      <c r="F193" s="6"/>
      <c r="G193" s="59"/>
      <c r="H193" s="87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x14ac:dyDescent="0.3">
      <c r="A194" s="6"/>
      <c r="B194" s="30" t="s">
        <v>303</v>
      </c>
      <c r="C194" s="30"/>
      <c r="D194" s="30" t="s">
        <v>565</v>
      </c>
      <c r="E194" s="30"/>
      <c r="F194" s="6"/>
      <c r="G194" s="59"/>
      <c r="H194" s="87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x14ac:dyDescent="0.3">
      <c r="A195" s="6"/>
      <c r="B195" s="30" t="s">
        <v>305</v>
      </c>
      <c r="C195" s="30"/>
      <c r="D195" s="30" t="s">
        <v>126</v>
      </c>
      <c r="E195" s="30"/>
      <c r="F195" s="6"/>
      <c r="G195" s="59"/>
      <c r="H195" s="87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x14ac:dyDescent="0.3">
      <c r="A196" s="6"/>
      <c r="B196" s="30" t="s">
        <v>308</v>
      </c>
      <c r="C196" s="30"/>
      <c r="D196" s="30" t="s">
        <v>566</v>
      </c>
      <c r="E196" s="30"/>
      <c r="F196" s="6"/>
      <c r="G196" s="59"/>
      <c r="H196" s="87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x14ac:dyDescent="0.3">
      <c r="A197" s="6"/>
      <c r="B197" s="30" t="s">
        <v>310</v>
      </c>
      <c r="C197" s="30"/>
      <c r="D197" s="30" t="s">
        <v>567</v>
      </c>
      <c r="E197" s="30"/>
      <c r="F197" s="6"/>
      <c r="G197" s="59"/>
      <c r="H197" s="87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x14ac:dyDescent="0.3">
      <c r="A198" s="6"/>
      <c r="B198" s="30" t="s">
        <v>312</v>
      </c>
      <c r="C198" s="30"/>
      <c r="D198" s="30" t="s">
        <v>568</v>
      </c>
      <c r="E198" s="30"/>
      <c r="F198" s="6"/>
      <c r="G198" s="59"/>
      <c r="H198" s="87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x14ac:dyDescent="0.3">
      <c r="A199" s="6"/>
      <c r="B199" s="30" t="s">
        <v>569</v>
      </c>
      <c r="C199" s="30"/>
      <c r="D199" s="30" t="s">
        <v>518</v>
      </c>
      <c r="E199" s="31" t="s">
        <v>987</v>
      </c>
      <c r="F199" s="6"/>
      <c r="G199" s="59"/>
      <c r="H199" s="87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x14ac:dyDescent="0.3">
      <c r="A200" s="6"/>
      <c r="B200" s="30" t="s">
        <v>318</v>
      </c>
      <c r="C200" s="30"/>
      <c r="D200" s="30" t="s">
        <v>570</v>
      </c>
      <c r="E200" s="30"/>
      <c r="F200" s="6"/>
      <c r="G200" s="59"/>
      <c r="H200" s="87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x14ac:dyDescent="0.3">
      <c r="A201" s="6"/>
      <c r="B201" s="30" t="s">
        <v>320</v>
      </c>
      <c r="C201" s="30"/>
      <c r="D201" s="30" t="s">
        <v>571</v>
      </c>
      <c r="E201" s="30"/>
      <c r="F201" s="6"/>
      <c r="G201" s="59"/>
      <c r="H201" s="87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x14ac:dyDescent="0.3">
      <c r="A202" s="6"/>
      <c r="B202" s="30" t="s">
        <v>323</v>
      </c>
      <c r="C202" s="30"/>
      <c r="D202" s="30" t="s">
        <v>572</v>
      </c>
      <c r="E202" s="30"/>
      <c r="F202" s="6"/>
      <c r="G202" s="59"/>
      <c r="H202" s="87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x14ac:dyDescent="0.3">
      <c r="A203" s="6"/>
      <c r="B203" s="30" t="s">
        <v>326</v>
      </c>
      <c r="C203" s="30" t="s">
        <v>573</v>
      </c>
      <c r="D203" s="30" t="s">
        <v>574</v>
      </c>
      <c r="E203" s="30"/>
      <c r="F203" s="6"/>
      <c r="G203" s="59"/>
      <c r="H203" s="87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x14ac:dyDescent="0.3">
      <c r="A204" s="6"/>
      <c r="B204" s="30"/>
      <c r="C204" s="30"/>
      <c r="D204" s="30"/>
      <c r="E204" s="30"/>
      <c r="F204" s="6"/>
      <c r="G204" s="59"/>
      <c r="H204" s="87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18.600000000000001" thickBot="1" x14ac:dyDescent="0.4">
      <c r="A205" s="6"/>
      <c r="B205" s="17" t="s">
        <v>1027</v>
      </c>
      <c r="C205" s="17"/>
      <c r="D205" s="18"/>
      <c r="E205" s="18"/>
      <c r="F205" s="6"/>
      <c r="G205" s="155" t="s">
        <v>997</v>
      </c>
      <c r="H205" s="87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15" thickTop="1" x14ac:dyDescent="0.3">
      <c r="A206" s="6"/>
      <c r="B206" s="28" t="s">
        <v>6</v>
      </c>
      <c r="C206" s="29" t="s">
        <v>49</v>
      </c>
      <c r="D206" s="29" t="s">
        <v>354</v>
      </c>
      <c r="E206" s="29" t="s">
        <v>974</v>
      </c>
      <c r="F206" s="6"/>
      <c r="G206" s="59"/>
      <c r="H206" s="87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x14ac:dyDescent="0.3">
      <c r="A207" s="6"/>
      <c r="B207" s="30" t="s">
        <v>92</v>
      </c>
      <c r="C207" s="30"/>
      <c r="D207" s="30" t="s">
        <v>575</v>
      </c>
      <c r="E207" s="30"/>
      <c r="F207" s="6"/>
      <c r="G207" s="59"/>
      <c r="H207" s="87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x14ac:dyDescent="0.3">
      <c r="A208" s="6"/>
      <c r="B208" s="30" t="s">
        <v>100</v>
      </c>
      <c r="C208" s="30"/>
      <c r="D208" s="30" t="s">
        <v>576</v>
      </c>
      <c r="E208" s="30"/>
      <c r="F208" s="6"/>
      <c r="G208" s="59"/>
      <c r="H208" s="87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x14ac:dyDescent="0.3">
      <c r="A209" s="6"/>
      <c r="B209" s="30" t="s">
        <v>107</v>
      </c>
      <c r="C209" s="30"/>
      <c r="D209" s="30" t="s">
        <v>577</v>
      </c>
      <c r="E209" s="30"/>
      <c r="F209" s="6"/>
      <c r="G209" s="59"/>
      <c r="H209" s="87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x14ac:dyDescent="0.3">
      <c r="A210" s="6"/>
      <c r="B210" s="30" t="s">
        <v>113</v>
      </c>
      <c r="C210" s="30"/>
      <c r="D210" s="30" t="s">
        <v>981</v>
      </c>
      <c r="E210" s="30"/>
      <c r="F210" s="6"/>
      <c r="G210" s="59"/>
      <c r="H210" s="87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x14ac:dyDescent="0.3">
      <c r="A211" s="6"/>
      <c r="B211" s="30" t="s">
        <v>119</v>
      </c>
      <c r="C211" s="30"/>
      <c r="D211" s="30" t="s">
        <v>980</v>
      </c>
      <c r="E211" s="30"/>
      <c r="F211" s="6"/>
      <c r="G211" s="59"/>
      <c r="H211" s="87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x14ac:dyDescent="0.3">
      <c r="A212" s="6"/>
      <c r="B212" s="30" t="s">
        <v>123</v>
      </c>
      <c r="C212" s="30"/>
      <c r="D212" s="30" t="s">
        <v>578</v>
      </c>
      <c r="E212" s="30"/>
      <c r="F212" s="6"/>
      <c r="G212" s="59"/>
      <c r="H212" s="87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x14ac:dyDescent="0.3">
      <c r="A213" s="6"/>
      <c r="B213" s="30" t="s">
        <v>129</v>
      </c>
      <c r="C213" s="30"/>
      <c r="D213" s="30" t="s">
        <v>579</v>
      </c>
      <c r="E213" s="30"/>
      <c r="F213" s="6"/>
      <c r="G213" s="59"/>
      <c r="H213" s="87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x14ac:dyDescent="0.3">
      <c r="A214" s="6"/>
      <c r="B214" s="30" t="s">
        <v>134</v>
      </c>
      <c r="C214" s="30"/>
      <c r="D214" s="30" t="s">
        <v>580</v>
      </c>
      <c r="E214" s="30"/>
      <c r="F214" s="6"/>
      <c r="G214" s="59"/>
      <c r="H214" s="87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x14ac:dyDescent="0.3">
      <c r="A215" s="6"/>
      <c r="B215" s="30" t="s">
        <v>140</v>
      </c>
      <c r="C215" s="30"/>
      <c r="D215" s="30" t="s">
        <v>581</v>
      </c>
      <c r="E215" s="30"/>
      <c r="F215" s="6"/>
      <c r="G215" s="59"/>
      <c r="H215" s="87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x14ac:dyDescent="0.3">
      <c r="A216" s="6"/>
      <c r="B216" s="30" t="s">
        <v>145</v>
      </c>
      <c r="C216" s="30"/>
      <c r="D216" s="30" t="s">
        <v>582</v>
      </c>
      <c r="E216" s="30"/>
      <c r="F216" s="6"/>
      <c r="G216" s="59"/>
      <c r="H216" s="87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x14ac:dyDescent="0.3">
      <c r="A217" s="6"/>
      <c r="B217" s="30" t="s">
        <v>152</v>
      </c>
      <c r="C217" s="30"/>
      <c r="D217" s="30" t="s">
        <v>583</v>
      </c>
      <c r="E217" s="30"/>
      <c r="F217" s="6"/>
      <c r="G217" s="59"/>
      <c r="H217" s="87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x14ac:dyDescent="0.3">
      <c r="A218" s="6"/>
      <c r="B218" s="30" t="s">
        <v>157</v>
      </c>
      <c r="C218" s="30"/>
      <c r="D218" s="30" t="s">
        <v>584</v>
      </c>
      <c r="E218" s="30"/>
      <c r="F218" s="6"/>
      <c r="G218" s="59"/>
      <c r="H218" s="87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x14ac:dyDescent="0.3">
      <c r="A219" s="6"/>
      <c r="B219" s="30" t="s">
        <v>163</v>
      </c>
      <c r="C219" s="30"/>
      <c r="D219" s="30" t="s">
        <v>585</v>
      </c>
      <c r="E219" s="30"/>
      <c r="F219" s="6"/>
      <c r="G219" s="59"/>
      <c r="H219" s="87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x14ac:dyDescent="0.3">
      <c r="A220" s="6"/>
      <c r="B220" s="30" t="s">
        <v>169</v>
      </c>
      <c r="C220" s="30"/>
      <c r="D220" s="30" t="s">
        <v>963</v>
      </c>
      <c r="E220" s="30"/>
      <c r="F220" s="6"/>
      <c r="G220" s="59"/>
      <c r="H220" s="87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x14ac:dyDescent="0.3">
      <c r="A221" s="6"/>
      <c r="B221" s="30" t="s">
        <v>174</v>
      </c>
      <c r="C221" s="30"/>
      <c r="D221" s="30" t="s">
        <v>587</v>
      </c>
      <c r="E221" s="30"/>
      <c r="F221" s="6"/>
      <c r="G221" s="59"/>
      <c r="H221" s="87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x14ac:dyDescent="0.3">
      <c r="A222" s="6"/>
      <c r="B222" s="30" t="s">
        <v>181</v>
      </c>
      <c r="C222" s="30"/>
      <c r="D222" s="30" t="s">
        <v>964</v>
      </c>
      <c r="E222" s="30"/>
      <c r="F222" s="6"/>
      <c r="G222" s="59"/>
      <c r="H222" s="87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x14ac:dyDescent="0.3">
      <c r="A223" s="6"/>
      <c r="B223" s="30" t="s">
        <v>189</v>
      </c>
      <c r="C223" s="30"/>
      <c r="D223" s="30" t="s">
        <v>965</v>
      </c>
      <c r="E223" s="30"/>
      <c r="F223" s="6"/>
      <c r="G223" s="59"/>
      <c r="H223" s="87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x14ac:dyDescent="0.3">
      <c r="A224" s="6"/>
      <c r="B224" s="30" t="s">
        <v>195</v>
      </c>
      <c r="C224" s="30"/>
      <c r="D224" s="30" t="s">
        <v>590</v>
      </c>
      <c r="E224" s="30"/>
      <c r="F224" s="6"/>
      <c r="G224" s="59"/>
      <c r="H224" s="87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x14ac:dyDescent="0.3">
      <c r="A225" s="6"/>
      <c r="B225" s="30" t="s">
        <v>201</v>
      </c>
      <c r="C225" s="30"/>
      <c r="D225" s="30" t="s">
        <v>591</v>
      </c>
      <c r="E225" s="30"/>
      <c r="F225" s="6"/>
      <c r="G225" s="59"/>
      <c r="H225" s="87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x14ac:dyDescent="0.3">
      <c r="A226" s="6"/>
      <c r="B226" s="30" t="s">
        <v>206</v>
      </c>
      <c r="C226" s="30"/>
      <c r="D226" s="30" t="s">
        <v>592</v>
      </c>
      <c r="E226" s="30"/>
      <c r="F226" s="6"/>
      <c r="G226" s="59"/>
      <c r="H226" s="87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x14ac:dyDescent="0.3">
      <c r="A227" s="6"/>
      <c r="B227" s="30" t="s">
        <v>213</v>
      </c>
      <c r="C227" s="30"/>
      <c r="D227" s="30" t="s">
        <v>593</v>
      </c>
      <c r="E227" s="30"/>
      <c r="F227" s="6"/>
      <c r="G227" s="59"/>
      <c r="H227" s="87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x14ac:dyDescent="0.3">
      <c r="A228" s="6"/>
      <c r="B228" s="30" t="s">
        <v>220</v>
      </c>
      <c r="C228" s="30"/>
      <c r="D228" s="30" t="s">
        <v>594</v>
      </c>
      <c r="E228" s="30"/>
      <c r="F228" s="6"/>
      <c r="G228" s="59"/>
      <c r="H228" s="87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x14ac:dyDescent="0.3">
      <c r="A229" s="6"/>
      <c r="B229" s="30" t="s">
        <v>226</v>
      </c>
      <c r="C229" s="30"/>
      <c r="D229" s="30" t="s">
        <v>595</v>
      </c>
      <c r="E229" s="30"/>
      <c r="F229" s="6"/>
      <c r="G229" s="59"/>
      <c r="H229" s="87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x14ac:dyDescent="0.3">
      <c r="A230" s="6"/>
      <c r="B230" s="30" t="s">
        <v>232</v>
      </c>
      <c r="C230" s="30"/>
      <c r="D230" s="30" t="s">
        <v>596</v>
      </c>
      <c r="E230" s="30"/>
      <c r="F230" s="6"/>
      <c r="G230" s="59"/>
      <c r="H230" s="87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x14ac:dyDescent="0.3">
      <c r="A231" s="6"/>
      <c r="B231" s="30" t="s">
        <v>236</v>
      </c>
      <c r="C231" s="30"/>
      <c r="D231" s="30" t="s">
        <v>597</v>
      </c>
      <c r="E231" s="30"/>
      <c r="F231" s="6"/>
      <c r="G231" s="59"/>
      <c r="H231" s="87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x14ac:dyDescent="0.3">
      <c r="A232" s="6"/>
      <c r="B232" s="30"/>
      <c r="C232" s="30"/>
      <c r="D232" s="30"/>
      <c r="E232" s="30"/>
      <c r="F232" s="6"/>
      <c r="G232" s="59"/>
      <c r="H232" s="87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ht="18.600000000000001" thickBot="1" x14ac:dyDescent="0.4">
      <c r="A233" s="6"/>
      <c r="B233" s="21" t="s">
        <v>1028</v>
      </c>
      <c r="C233" s="21"/>
      <c r="D233" s="6"/>
      <c r="E233" s="87"/>
      <c r="F233" s="6"/>
      <c r="G233" s="155" t="s">
        <v>997</v>
      </c>
      <c r="H233" s="87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15" thickTop="1" x14ac:dyDescent="0.3">
      <c r="A234" s="6"/>
      <c r="B234" s="28" t="s">
        <v>6</v>
      </c>
      <c r="C234" s="29" t="s">
        <v>49</v>
      </c>
      <c r="D234" s="29" t="s">
        <v>354</v>
      </c>
      <c r="E234" s="29" t="s">
        <v>974</v>
      </c>
      <c r="F234" s="6"/>
      <c r="G234" s="59"/>
      <c r="H234" s="87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x14ac:dyDescent="0.3">
      <c r="A235" s="6"/>
      <c r="B235" s="30" t="s">
        <v>509</v>
      </c>
      <c r="C235" s="30"/>
      <c r="D235" s="30" t="s">
        <v>510</v>
      </c>
      <c r="E235" s="31" t="s">
        <v>984</v>
      </c>
      <c r="F235" s="6"/>
      <c r="G235" s="59"/>
      <c r="H235" s="87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x14ac:dyDescent="0.3">
      <c r="A236" s="6"/>
      <c r="B236" s="30" t="s">
        <v>101</v>
      </c>
      <c r="C236" s="30"/>
      <c r="D236" s="30" t="s">
        <v>598</v>
      </c>
      <c r="E236" s="30"/>
      <c r="F236" s="6"/>
      <c r="G236" s="59"/>
      <c r="H236" s="87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x14ac:dyDescent="0.3">
      <c r="A237" s="6"/>
      <c r="B237" s="30" t="s">
        <v>108</v>
      </c>
      <c r="C237" s="30" t="s">
        <v>599</v>
      </c>
      <c r="D237" s="30" t="s">
        <v>600</v>
      </c>
      <c r="E237" s="30"/>
      <c r="F237" s="6"/>
      <c r="G237" s="59"/>
      <c r="H237" s="87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x14ac:dyDescent="0.3">
      <c r="A238" s="6"/>
      <c r="B238" s="30" t="s">
        <v>114</v>
      </c>
      <c r="C238" s="30" t="s">
        <v>601</v>
      </c>
      <c r="D238" s="30" t="s">
        <v>967</v>
      </c>
      <c r="E238" s="30"/>
      <c r="F238" s="6"/>
      <c r="G238" s="59"/>
      <c r="H238" s="87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x14ac:dyDescent="0.3">
      <c r="A239" s="6"/>
      <c r="B239" s="30" t="s">
        <v>120</v>
      </c>
      <c r="C239" s="30" t="s">
        <v>602</v>
      </c>
      <c r="D239" s="30" t="s">
        <v>968</v>
      </c>
      <c r="E239" s="30"/>
      <c r="F239" s="6"/>
      <c r="G239" s="59"/>
      <c r="H239" s="87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x14ac:dyDescent="0.3">
      <c r="A240" s="6"/>
      <c r="B240" s="30" t="s">
        <v>124</v>
      </c>
      <c r="C240" s="30" t="s">
        <v>603</v>
      </c>
      <c r="D240" s="30" t="s">
        <v>604</v>
      </c>
      <c r="E240" s="30"/>
      <c r="F240" s="6"/>
      <c r="G240" s="59"/>
      <c r="H240" s="89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x14ac:dyDescent="0.3">
      <c r="A241" s="6"/>
      <c r="B241" s="30" t="s">
        <v>949</v>
      </c>
      <c r="C241" s="30" t="s">
        <v>605</v>
      </c>
      <c r="D241" s="30" t="s">
        <v>950</v>
      </c>
      <c r="E241" s="30"/>
      <c r="F241" s="6"/>
      <c r="G241" s="59"/>
      <c r="H241" s="87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x14ac:dyDescent="0.3">
      <c r="A242" s="6"/>
      <c r="B242" s="30" t="s">
        <v>130</v>
      </c>
      <c r="C242" s="30" t="s">
        <v>607</v>
      </c>
      <c r="D242" s="30" t="s">
        <v>606</v>
      </c>
      <c r="E242" s="30"/>
      <c r="F242" s="6"/>
      <c r="G242" s="59"/>
      <c r="H242" s="87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x14ac:dyDescent="0.3">
      <c r="A243" s="6"/>
      <c r="B243" s="30" t="s">
        <v>135</v>
      </c>
      <c r="C243" s="30"/>
      <c r="D243" s="30" t="s">
        <v>608</v>
      </c>
      <c r="E243" s="30"/>
      <c r="F243" s="6"/>
      <c r="G243" s="59"/>
      <c r="H243" s="87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x14ac:dyDescent="0.3">
      <c r="A244" s="6"/>
      <c r="B244" s="30" t="s">
        <v>141</v>
      </c>
      <c r="C244" s="30"/>
      <c r="D244" s="30" t="s">
        <v>609</v>
      </c>
      <c r="E244" s="30"/>
      <c r="F244" s="6"/>
      <c r="G244" s="59"/>
      <c r="H244" s="87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x14ac:dyDescent="0.3">
      <c r="A245" s="6"/>
      <c r="B245" s="30" t="s">
        <v>146</v>
      </c>
      <c r="C245" s="30"/>
      <c r="D245" s="30" t="s">
        <v>610</v>
      </c>
      <c r="E245" s="30"/>
      <c r="F245" s="6"/>
      <c r="G245" s="59"/>
      <c r="H245" s="87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x14ac:dyDescent="0.3">
      <c r="A246" s="6"/>
      <c r="B246" s="30" t="s">
        <v>153</v>
      </c>
      <c r="C246" s="30"/>
      <c r="D246" s="30" t="s">
        <v>611</v>
      </c>
      <c r="E246" s="30"/>
      <c r="F246" s="6"/>
      <c r="G246" s="59"/>
      <c r="H246" s="87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x14ac:dyDescent="0.3">
      <c r="A247" s="78"/>
      <c r="B247" s="30" t="s">
        <v>158</v>
      </c>
      <c r="C247" s="30"/>
      <c r="D247" s="30" t="s">
        <v>612</v>
      </c>
      <c r="E247" s="30"/>
      <c r="F247" s="78"/>
      <c r="G247" s="59"/>
      <c r="H247" s="87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</row>
    <row r="248" spans="1:28" x14ac:dyDescent="0.3">
      <c r="A248" s="6"/>
      <c r="B248" s="30" t="s">
        <v>164</v>
      </c>
      <c r="C248" s="30"/>
      <c r="D248" s="30" t="s">
        <v>613</v>
      </c>
      <c r="E248" s="30"/>
      <c r="F248" s="6"/>
      <c r="G248" s="59"/>
      <c r="H248" s="87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x14ac:dyDescent="0.3">
      <c r="A249" s="6"/>
      <c r="B249" s="30" t="s">
        <v>170</v>
      </c>
      <c r="C249" s="30"/>
      <c r="D249" s="30" t="s">
        <v>614</v>
      </c>
      <c r="E249" s="30"/>
      <c r="F249" s="6"/>
      <c r="G249" s="59"/>
      <c r="H249" s="87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x14ac:dyDescent="0.3">
      <c r="A250" s="82"/>
      <c r="B250" s="30" t="s">
        <v>175</v>
      </c>
      <c r="C250" s="30"/>
      <c r="D250" s="30" t="s">
        <v>615</v>
      </c>
      <c r="E250" s="30"/>
      <c r="F250" s="82"/>
      <c r="G250" s="59"/>
      <c r="H250" s="87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</row>
    <row r="251" spans="1:28" x14ac:dyDescent="0.3">
      <c r="A251" s="6"/>
      <c r="B251" s="30" t="s">
        <v>182</v>
      </c>
      <c r="C251" s="30"/>
      <c r="D251" s="30" t="s">
        <v>616</v>
      </c>
      <c r="E251" s="30"/>
      <c r="F251" s="6"/>
      <c r="G251" s="59"/>
      <c r="H251" s="87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x14ac:dyDescent="0.3">
      <c r="A252" s="6"/>
      <c r="B252" s="30" t="s">
        <v>190</v>
      </c>
      <c r="C252" s="30"/>
      <c r="D252" s="30" t="s">
        <v>617</v>
      </c>
      <c r="E252" s="30"/>
      <c r="F252" s="6"/>
      <c r="G252" s="59"/>
      <c r="H252" s="87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x14ac:dyDescent="0.3">
      <c r="A253" s="6"/>
      <c r="B253" s="30" t="s">
        <v>196</v>
      </c>
      <c r="C253" s="30"/>
      <c r="D253" s="30" t="s">
        <v>618</v>
      </c>
      <c r="E253" s="30"/>
      <c r="F253" s="6"/>
      <c r="G253" s="59"/>
      <c r="H253" s="87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x14ac:dyDescent="0.3">
      <c r="A254" s="6"/>
      <c r="B254" s="30" t="s">
        <v>202</v>
      </c>
      <c r="C254" s="30"/>
      <c r="D254" s="30" t="s">
        <v>619</v>
      </c>
      <c r="E254" s="30"/>
      <c r="F254" s="6"/>
      <c r="G254" s="59"/>
      <c r="H254" s="87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x14ac:dyDescent="0.3">
      <c r="A255" s="6"/>
      <c r="B255" s="30" t="s">
        <v>207</v>
      </c>
      <c r="C255" s="30"/>
      <c r="D255" s="30" t="s">
        <v>620</v>
      </c>
      <c r="E255" s="30"/>
      <c r="F255" s="6"/>
      <c r="G255" s="59"/>
      <c r="H255" s="87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x14ac:dyDescent="0.3">
      <c r="A256" s="6"/>
      <c r="B256" s="30" t="s">
        <v>214</v>
      </c>
      <c r="C256" s="30"/>
      <c r="D256" s="30" t="s">
        <v>621</v>
      </c>
      <c r="E256" s="30"/>
      <c r="F256" s="6"/>
      <c r="G256" s="59"/>
      <c r="H256" s="87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x14ac:dyDescent="0.3">
      <c r="A257" s="6"/>
      <c r="B257" s="30" t="s">
        <v>215</v>
      </c>
      <c r="C257" s="30"/>
      <c r="D257" s="30" t="s">
        <v>622</v>
      </c>
      <c r="E257" s="30"/>
      <c r="F257" s="6"/>
      <c r="G257" s="59"/>
      <c r="H257" s="87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x14ac:dyDescent="0.3">
      <c r="A258" s="6"/>
      <c r="B258" s="30" t="s">
        <v>227</v>
      </c>
      <c r="C258" s="30"/>
      <c r="D258" s="30" t="s">
        <v>623</v>
      </c>
      <c r="E258" s="30"/>
      <c r="F258" s="6"/>
      <c r="G258" s="59"/>
      <c r="H258" s="87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x14ac:dyDescent="0.3">
      <c r="A259" s="6"/>
      <c r="B259" s="30" t="s">
        <v>233</v>
      </c>
      <c r="C259" s="30"/>
      <c r="D259" s="30" t="s">
        <v>624</v>
      </c>
      <c r="E259" s="30"/>
      <c r="F259" s="6"/>
      <c r="G259" s="59"/>
      <c r="H259" s="87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x14ac:dyDescent="0.3">
      <c r="A260" s="6"/>
      <c r="B260" s="30" t="s">
        <v>625</v>
      </c>
      <c r="C260" s="30"/>
      <c r="D260" s="30" t="s">
        <v>626</v>
      </c>
      <c r="E260" s="31" t="s">
        <v>988</v>
      </c>
      <c r="F260" s="6"/>
      <c r="G260" s="59"/>
      <c r="H260" s="87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x14ac:dyDescent="0.3">
      <c r="A261" s="6"/>
      <c r="B261" s="30" t="s">
        <v>221</v>
      </c>
      <c r="C261" s="30"/>
      <c r="D261" s="30" t="s">
        <v>627</v>
      </c>
      <c r="E261" s="31" t="s">
        <v>989</v>
      </c>
      <c r="F261" s="6"/>
      <c r="G261" s="59"/>
      <c r="H261" s="87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x14ac:dyDescent="0.3">
      <c r="A262" s="6"/>
      <c r="B262" s="30" t="s">
        <v>92</v>
      </c>
      <c r="C262" s="30"/>
      <c r="D262" s="30" t="s">
        <v>575</v>
      </c>
      <c r="E262" s="30"/>
      <c r="F262" s="6"/>
      <c r="G262" s="59"/>
      <c r="H262" s="87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x14ac:dyDescent="0.3">
      <c r="A263" s="6"/>
      <c r="B263" s="30" t="s">
        <v>247</v>
      </c>
      <c r="C263" s="30"/>
      <c r="D263" s="30" t="s">
        <v>628</v>
      </c>
      <c r="E263" s="30"/>
      <c r="F263" s="6"/>
      <c r="G263" s="59"/>
      <c r="H263" s="87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x14ac:dyDescent="0.3">
      <c r="A264" s="6"/>
      <c r="B264" s="30" t="s">
        <v>957</v>
      </c>
      <c r="C264" s="30"/>
      <c r="D264" s="30" t="s">
        <v>969</v>
      </c>
      <c r="E264" s="30"/>
      <c r="F264" s="6"/>
      <c r="G264" s="59"/>
      <c r="H264" s="87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x14ac:dyDescent="0.3">
      <c r="A265" s="6"/>
      <c r="B265" s="30" t="s">
        <v>251</v>
      </c>
      <c r="C265" s="30"/>
      <c r="D265" s="30" t="s">
        <v>629</v>
      </c>
      <c r="E265" s="30"/>
      <c r="F265" s="6"/>
      <c r="G265" s="59"/>
      <c r="H265" s="87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x14ac:dyDescent="0.3">
      <c r="A266" s="6"/>
      <c r="B266" s="30" t="s">
        <v>253</v>
      </c>
      <c r="C266" s="30"/>
      <c r="D266" s="30" t="s">
        <v>630</v>
      </c>
      <c r="E266" s="30"/>
      <c r="F266" s="6"/>
      <c r="G266" s="59"/>
      <c r="H266" s="87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x14ac:dyDescent="0.3">
      <c r="A267" s="6"/>
      <c r="B267" s="30" t="s">
        <v>256</v>
      </c>
      <c r="C267" s="30"/>
      <c r="D267" s="30" t="s">
        <v>631</v>
      </c>
      <c r="E267" s="30"/>
      <c r="F267" s="6"/>
      <c r="G267" s="59"/>
      <c r="H267" s="87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x14ac:dyDescent="0.3">
      <c r="A268" s="6"/>
      <c r="B268" s="30" t="s">
        <v>259</v>
      </c>
      <c r="C268" s="30"/>
      <c r="D268" s="30" t="s">
        <v>632</v>
      </c>
      <c r="E268" s="30"/>
      <c r="F268" s="6"/>
      <c r="G268" s="59"/>
      <c r="H268" s="87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x14ac:dyDescent="0.3">
      <c r="A269" s="6"/>
      <c r="B269" s="30" t="s">
        <v>262</v>
      </c>
      <c r="C269" s="30"/>
      <c r="D269" s="30" t="s">
        <v>633</v>
      </c>
      <c r="E269" s="30"/>
      <c r="F269" s="6"/>
      <c r="G269" s="59"/>
      <c r="H269" s="87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x14ac:dyDescent="0.3">
      <c r="A270" s="82"/>
      <c r="B270" s="30" t="s">
        <v>267</v>
      </c>
      <c r="C270" s="30"/>
      <c r="D270" s="30" t="s">
        <v>634</v>
      </c>
      <c r="E270" s="30"/>
      <c r="F270" s="82"/>
      <c r="G270" s="59"/>
      <c r="H270" s="87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</row>
    <row r="271" spans="1:28" x14ac:dyDescent="0.3">
      <c r="A271" s="82"/>
      <c r="B271" s="30" t="s">
        <v>270</v>
      </c>
      <c r="C271" s="30"/>
      <c r="D271" s="30" t="s">
        <v>635</v>
      </c>
      <c r="E271" s="30"/>
      <c r="F271" s="82"/>
      <c r="G271" s="59"/>
      <c r="H271" s="87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</row>
    <row r="272" spans="1:28" x14ac:dyDescent="0.3">
      <c r="A272" s="6"/>
      <c r="B272" s="30" t="s">
        <v>272</v>
      </c>
      <c r="C272" s="30"/>
      <c r="D272" s="30" t="s">
        <v>636</v>
      </c>
      <c r="E272" s="30"/>
      <c r="F272" s="6"/>
      <c r="G272" s="59"/>
      <c r="H272" s="87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x14ac:dyDescent="0.3">
      <c r="A273" s="6"/>
      <c r="B273" s="30" t="s">
        <v>274</v>
      </c>
      <c r="C273" s="30"/>
      <c r="D273" s="30" t="s">
        <v>970</v>
      </c>
      <c r="E273" s="30"/>
      <c r="F273" s="6"/>
      <c r="G273" s="59"/>
      <c r="H273" s="87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x14ac:dyDescent="0.3">
      <c r="A274" s="6"/>
      <c r="B274" s="30" t="s">
        <v>278</v>
      </c>
      <c r="C274" s="30"/>
      <c r="D274" s="30" t="s">
        <v>637</v>
      </c>
      <c r="E274" s="30"/>
      <c r="F274" s="6"/>
      <c r="G274" s="59"/>
      <c r="H274" s="87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x14ac:dyDescent="0.3">
      <c r="A275" s="6"/>
      <c r="B275" s="30" t="s">
        <v>250</v>
      </c>
      <c r="C275" s="30"/>
      <c r="D275" s="30" t="s">
        <v>534</v>
      </c>
      <c r="E275" s="30"/>
      <c r="F275" s="6"/>
      <c r="G275" s="59"/>
      <c r="H275" s="87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x14ac:dyDescent="0.3">
      <c r="A276" s="6"/>
      <c r="B276" s="30" t="s">
        <v>951</v>
      </c>
      <c r="C276" s="30"/>
      <c r="D276" s="30" t="s">
        <v>952</v>
      </c>
      <c r="E276" s="30"/>
      <c r="F276" s="6"/>
      <c r="G276" s="59"/>
      <c r="H276" s="87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x14ac:dyDescent="0.3">
      <c r="A277" s="6"/>
      <c r="B277" s="30" t="s">
        <v>281</v>
      </c>
      <c r="C277" s="30"/>
      <c r="D277" s="30" t="s">
        <v>638</v>
      </c>
      <c r="E277" s="30"/>
      <c r="F277" s="6"/>
      <c r="G277" s="59"/>
      <c r="H277" s="87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x14ac:dyDescent="0.3">
      <c r="A278" s="6"/>
      <c r="B278" s="30" t="s">
        <v>252</v>
      </c>
      <c r="C278" s="30"/>
      <c r="D278" s="30" t="s">
        <v>535</v>
      </c>
      <c r="E278" s="30"/>
      <c r="F278" s="6"/>
      <c r="G278" s="59"/>
      <c r="H278" s="87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x14ac:dyDescent="0.3">
      <c r="A279" s="6"/>
      <c r="B279" s="30" t="s">
        <v>255</v>
      </c>
      <c r="C279" s="30"/>
      <c r="D279" s="30" t="s">
        <v>536</v>
      </c>
      <c r="E279" s="30"/>
      <c r="F279" s="6"/>
      <c r="G279" s="59"/>
      <c r="H279" s="87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 x14ac:dyDescent="0.3">
      <c r="A280" s="6"/>
      <c r="B280" s="30" t="s">
        <v>258</v>
      </c>
      <c r="C280" s="30"/>
      <c r="D280" s="30" t="s">
        <v>639</v>
      </c>
      <c r="E280" s="30"/>
      <c r="F280" s="6"/>
      <c r="G280" s="59"/>
      <c r="H280" s="87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x14ac:dyDescent="0.3">
      <c r="A281" s="6"/>
      <c r="B281" s="30" t="s">
        <v>289</v>
      </c>
      <c r="C281" s="30"/>
      <c r="D281" s="30" t="s">
        <v>640</v>
      </c>
      <c r="E281" s="30"/>
      <c r="F281" s="6"/>
      <c r="G281" s="59"/>
      <c r="H281" s="87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x14ac:dyDescent="0.3">
      <c r="A282" s="6"/>
      <c r="B282" s="30" t="s">
        <v>292</v>
      </c>
      <c r="C282" s="30"/>
      <c r="D282" s="30" t="s">
        <v>641</v>
      </c>
      <c r="E282" s="30"/>
      <c r="F282" s="6"/>
      <c r="G282" s="59"/>
      <c r="H282" s="87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x14ac:dyDescent="0.3">
      <c r="A283" s="6"/>
      <c r="B283" s="30" t="s">
        <v>294</v>
      </c>
      <c r="C283" s="30"/>
      <c r="D283" s="30" t="s">
        <v>642</v>
      </c>
      <c r="E283" s="30"/>
      <c r="F283" s="6"/>
      <c r="G283" s="59"/>
      <c r="H283" s="87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x14ac:dyDescent="0.3">
      <c r="A284" s="6"/>
      <c r="B284" s="30" t="s">
        <v>297</v>
      </c>
      <c r="C284" s="30"/>
      <c r="D284" s="30" t="s">
        <v>643</v>
      </c>
      <c r="E284" s="30"/>
      <c r="F284" s="6"/>
      <c r="G284" s="59"/>
      <c r="H284" s="87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x14ac:dyDescent="0.3">
      <c r="A285" s="6"/>
      <c r="B285" s="26" t="s">
        <v>644</v>
      </c>
      <c r="C285" s="26"/>
      <c r="D285" s="30" t="s">
        <v>626</v>
      </c>
      <c r="E285" s="31" t="s">
        <v>990</v>
      </c>
      <c r="F285" s="6"/>
      <c r="G285" s="59"/>
      <c r="H285" s="87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x14ac:dyDescent="0.3">
      <c r="A286" s="6"/>
      <c r="B286" s="26" t="s">
        <v>316</v>
      </c>
      <c r="C286" s="26"/>
      <c r="D286" s="30" t="s">
        <v>627</v>
      </c>
      <c r="E286" s="31" t="s">
        <v>991</v>
      </c>
      <c r="F286" s="6"/>
      <c r="G286" s="59"/>
      <c r="H286" s="87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x14ac:dyDescent="0.3">
      <c r="A287" s="6"/>
      <c r="B287" s="30" t="s">
        <v>304</v>
      </c>
      <c r="C287" s="30"/>
      <c r="D287" s="30" t="s">
        <v>709</v>
      </c>
      <c r="E287" s="31"/>
      <c r="F287" s="6"/>
      <c r="G287" s="59"/>
      <c r="H287" s="87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x14ac:dyDescent="0.3">
      <c r="A288" s="6"/>
      <c r="B288" s="30" t="s">
        <v>306</v>
      </c>
      <c r="C288" s="30"/>
      <c r="D288" s="30" t="s">
        <v>645</v>
      </c>
      <c r="E288" s="30"/>
      <c r="F288" s="6"/>
      <c r="G288" s="59"/>
      <c r="H288" s="87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x14ac:dyDescent="0.3">
      <c r="A289" s="6"/>
      <c r="B289" s="30" t="s">
        <v>309</v>
      </c>
      <c r="C289" s="30"/>
      <c r="D289" s="30" t="s">
        <v>646</v>
      </c>
      <c r="E289" s="30"/>
      <c r="F289" s="6"/>
      <c r="G289" s="59"/>
      <c r="H289" s="87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x14ac:dyDescent="0.3">
      <c r="A290" s="6"/>
      <c r="B290" s="30" t="s">
        <v>311</v>
      </c>
      <c r="C290" s="30"/>
      <c r="D290" s="30" t="s">
        <v>647</v>
      </c>
      <c r="E290" s="30"/>
      <c r="F290" s="6"/>
      <c r="G290" s="59"/>
      <c r="H290" s="87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x14ac:dyDescent="0.3">
      <c r="A291" s="6"/>
      <c r="B291" s="30" t="s">
        <v>313</v>
      </c>
      <c r="C291" s="30"/>
      <c r="D291" s="30" t="s">
        <v>648</v>
      </c>
      <c r="E291" s="30"/>
      <c r="F291" s="6"/>
      <c r="G291" s="59"/>
      <c r="H291" s="87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x14ac:dyDescent="0.3">
      <c r="A292" s="6"/>
      <c r="B292" s="30" t="s">
        <v>315</v>
      </c>
      <c r="C292" s="30"/>
      <c r="D292" s="30" t="s">
        <v>649</v>
      </c>
      <c r="E292" s="30"/>
      <c r="F292" s="6"/>
      <c r="G292" s="59"/>
      <c r="H292" s="87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x14ac:dyDescent="0.3">
      <c r="A293" s="6"/>
      <c r="B293" s="30" t="s">
        <v>321</v>
      </c>
      <c r="C293" s="30"/>
      <c r="D293" s="30" t="s">
        <v>650</v>
      </c>
      <c r="E293" s="30"/>
      <c r="F293" s="6"/>
      <c r="G293" s="59"/>
      <c r="H293" s="87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x14ac:dyDescent="0.3">
      <c r="A294" s="82"/>
      <c r="B294" s="30" t="s">
        <v>324</v>
      </c>
      <c r="C294" s="30"/>
      <c r="D294" s="30" t="s">
        <v>651</v>
      </c>
      <c r="E294" s="30"/>
      <c r="F294" s="82"/>
      <c r="G294" s="59"/>
      <c r="H294" s="87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</row>
    <row r="295" spans="1:28" x14ac:dyDescent="0.3">
      <c r="A295" s="82"/>
      <c r="B295" s="30" t="s">
        <v>327</v>
      </c>
      <c r="C295" s="30" t="s">
        <v>652</v>
      </c>
      <c r="D295" s="30" t="s">
        <v>653</v>
      </c>
      <c r="E295" s="30"/>
      <c r="F295" s="82"/>
      <c r="G295" s="59"/>
      <c r="H295" s="87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</row>
    <row r="296" spans="1:28" x14ac:dyDescent="0.3">
      <c r="A296" s="6"/>
      <c r="B296" s="30" t="s">
        <v>329</v>
      </c>
      <c r="C296" s="30"/>
      <c r="D296" s="30" t="s">
        <v>654</v>
      </c>
      <c r="E296" s="30"/>
      <c r="F296" s="6"/>
      <c r="G296" s="59"/>
      <c r="H296" s="87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x14ac:dyDescent="0.3">
      <c r="A297" s="6"/>
      <c r="B297" s="30" t="s">
        <v>330</v>
      </c>
      <c r="C297" s="30"/>
      <c r="D297" s="30" t="s">
        <v>655</v>
      </c>
      <c r="E297" s="30"/>
      <c r="F297" s="6"/>
      <c r="G297" s="59"/>
      <c r="H297" s="87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x14ac:dyDescent="0.3">
      <c r="A298" s="6"/>
      <c r="B298" s="30" t="s">
        <v>331</v>
      </c>
      <c r="C298" s="30"/>
      <c r="D298" s="30" t="s">
        <v>656</v>
      </c>
      <c r="E298" s="30"/>
      <c r="F298" s="6"/>
      <c r="G298" s="59"/>
      <c r="H298" s="87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x14ac:dyDescent="0.3">
      <c r="A299" s="6"/>
      <c r="B299" s="30" t="s">
        <v>333</v>
      </c>
      <c r="C299" s="30" t="s">
        <v>657</v>
      </c>
      <c r="D299" s="30" t="s">
        <v>658</v>
      </c>
      <c r="E299" s="30"/>
      <c r="F299" s="6"/>
      <c r="G299" s="59"/>
      <c r="H299" s="87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x14ac:dyDescent="0.3">
      <c r="A300" s="6"/>
      <c r="B300" s="30" t="s">
        <v>334</v>
      </c>
      <c r="C300" s="30"/>
      <c r="D300" s="30" t="s">
        <v>659</v>
      </c>
      <c r="E300" s="30"/>
      <c r="F300" s="6"/>
      <c r="G300" s="59"/>
      <c r="H300" s="87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x14ac:dyDescent="0.3">
      <c r="A301" s="6"/>
      <c r="B301" s="30" t="s">
        <v>336</v>
      </c>
      <c r="C301" s="30"/>
      <c r="D301" s="30" t="s">
        <v>660</v>
      </c>
      <c r="E301" s="30"/>
      <c r="F301" s="6"/>
      <c r="G301" s="59"/>
      <c r="H301" s="87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x14ac:dyDescent="0.3">
      <c r="A302" s="6"/>
      <c r="B302" s="30" t="s">
        <v>652</v>
      </c>
      <c r="C302" s="30"/>
      <c r="D302" s="30" t="s">
        <v>966</v>
      </c>
      <c r="E302" s="30"/>
      <c r="F302" s="6"/>
      <c r="G302" s="59"/>
      <c r="H302" s="87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x14ac:dyDescent="0.3">
      <c r="A303" s="6"/>
      <c r="B303" s="30" t="s">
        <v>657</v>
      </c>
      <c r="C303" s="30"/>
      <c r="D303" s="30" t="s">
        <v>658</v>
      </c>
      <c r="E303" s="30"/>
      <c r="F303" s="6"/>
      <c r="G303" s="59"/>
      <c r="H303" s="87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x14ac:dyDescent="0.3">
      <c r="A304" s="6"/>
      <c r="B304" s="30" t="s">
        <v>298</v>
      </c>
      <c r="C304" s="30" t="s">
        <v>561</v>
      </c>
      <c r="D304" s="30" t="s">
        <v>562</v>
      </c>
      <c r="E304" s="31"/>
      <c r="F304" s="6"/>
      <c r="G304" s="59"/>
      <c r="H304" s="87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x14ac:dyDescent="0.3">
      <c r="A305" s="6"/>
      <c r="B305" s="30" t="s">
        <v>338</v>
      </c>
      <c r="C305" s="30" t="s">
        <v>661</v>
      </c>
      <c r="D305" s="30" t="s">
        <v>662</v>
      </c>
      <c r="E305" s="30"/>
      <c r="F305" s="6"/>
      <c r="G305" s="59"/>
      <c r="H305" s="87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x14ac:dyDescent="0.3">
      <c r="A306" s="6"/>
      <c r="B306" s="30" t="s">
        <v>340</v>
      </c>
      <c r="C306" s="30" t="s">
        <v>663</v>
      </c>
      <c r="D306" s="30" t="s">
        <v>664</v>
      </c>
      <c r="E306" s="30"/>
      <c r="F306" s="6"/>
      <c r="G306" s="59"/>
      <c r="H306" s="87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x14ac:dyDescent="0.3">
      <c r="A307" s="6"/>
      <c r="B307" s="30" t="s">
        <v>563</v>
      </c>
      <c r="C307" s="30" t="s">
        <v>564</v>
      </c>
      <c r="D307" s="30" t="s">
        <v>510</v>
      </c>
      <c r="E307" s="31" t="s">
        <v>986</v>
      </c>
      <c r="F307" s="6"/>
      <c r="G307" s="59"/>
      <c r="H307" s="87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x14ac:dyDescent="0.3">
      <c r="A308" s="6"/>
      <c r="B308" s="30" t="s">
        <v>341</v>
      </c>
      <c r="C308" s="30" t="s">
        <v>665</v>
      </c>
      <c r="D308" s="30" t="s">
        <v>666</v>
      </c>
      <c r="E308" s="30"/>
      <c r="F308" s="6"/>
      <c r="G308" s="59"/>
      <c r="H308" s="87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x14ac:dyDescent="0.3">
      <c r="A309" s="82"/>
      <c r="B309" s="30" t="s">
        <v>342</v>
      </c>
      <c r="C309" s="30" t="s">
        <v>667</v>
      </c>
      <c r="D309" s="30" t="s">
        <v>668</v>
      </c>
      <c r="E309" s="30"/>
      <c r="F309" s="82"/>
      <c r="G309" s="59"/>
      <c r="H309" s="87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</row>
    <row r="310" spans="1:28" x14ac:dyDescent="0.3">
      <c r="A310" s="82"/>
      <c r="B310" s="30" t="s">
        <v>344</v>
      </c>
      <c r="C310" s="30" t="s">
        <v>669</v>
      </c>
      <c r="D310" s="30" t="s">
        <v>670</v>
      </c>
      <c r="E310" s="30"/>
      <c r="F310" s="82"/>
      <c r="G310" s="59"/>
      <c r="H310" s="87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</row>
    <row r="311" spans="1:28" x14ac:dyDescent="0.3">
      <c r="A311" s="6"/>
      <c r="B311" s="30" t="s">
        <v>346</v>
      </c>
      <c r="C311" s="30" t="s">
        <v>671</v>
      </c>
      <c r="D311" s="30" t="s">
        <v>724</v>
      </c>
      <c r="E311" s="30"/>
      <c r="F311" s="6"/>
      <c r="G311" s="59"/>
      <c r="H311" s="87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x14ac:dyDescent="0.3">
      <c r="A312" s="6"/>
      <c r="B312" s="30"/>
      <c r="C312" s="30"/>
      <c r="D312" s="30"/>
      <c r="E312" s="30"/>
      <c r="F312" s="6"/>
      <c r="G312" s="59"/>
      <c r="H312" s="87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ht="18.600000000000001" thickBot="1" x14ac:dyDescent="0.4">
      <c r="A313" s="6"/>
      <c r="B313" s="17" t="s">
        <v>1029</v>
      </c>
      <c r="C313" s="17"/>
      <c r="D313" s="18"/>
      <c r="E313" s="18"/>
      <c r="F313" s="6"/>
      <c r="G313" s="155" t="s">
        <v>997</v>
      </c>
      <c r="H313" s="87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ht="15" thickTop="1" x14ac:dyDescent="0.3">
      <c r="A314" s="6"/>
      <c r="B314" s="28" t="s">
        <v>6</v>
      </c>
      <c r="C314" s="29" t="s">
        <v>49</v>
      </c>
      <c r="D314" s="29" t="s">
        <v>354</v>
      </c>
      <c r="E314" s="29" t="s">
        <v>974</v>
      </c>
      <c r="F314" s="6"/>
      <c r="G314" s="59"/>
      <c r="H314" s="87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x14ac:dyDescent="0.3">
      <c r="A315" s="6"/>
      <c r="B315" s="30" t="s">
        <v>672</v>
      </c>
      <c r="C315" s="30"/>
      <c r="D315" s="30" t="s">
        <v>673</v>
      </c>
      <c r="E315" s="31"/>
      <c r="F315" s="6"/>
      <c r="G315" s="59"/>
      <c r="H315" s="87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x14ac:dyDescent="0.3">
      <c r="A316" s="6"/>
      <c r="B316" s="30" t="s">
        <v>674</v>
      </c>
      <c r="C316" s="30"/>
      <c r="D316" s="30" t="s">
        <v>675</v>
      </c>
      <c r="E316" s="31"/>
      <c r="F316" s="6"/>
      <c r="G316" s="59"/>
      <c r="H316" s="87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x14ac:dyDescent="0.3">
      <c r="A317" s="6"/>
      <c r="B317" s="30" t="s">
        <v>676</v>
      </c>
      <c r="C317" s="30"/>
      <c r="D317" s="30" t="s">
        <v>677</v>
      </c>
      <c r="E317" s="31"/>
      <c r="F317" s="6"/>
      <c r="G317" s="59"/>
      <c r="H317" s="87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x14ac:dyDescent="0.3">
      <c r="A318" s="6"/>
      <c r="B318" s="30" t="s">
        <v>678</v>
      </c>
      <c r="C318" s="30"/>
      <c r="D318" s="30" t="s">
        <v>679</v>
      </c>
      <c r="E318" s="31"/>
      <c r="F318" s="6"/>
      <c r="G318" s="59"/>
      <c r="H318" s="87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x14ac:dyDescent="0.3">
      <c r="A319" s="6"/>
      <c r="B319" s="30" t="s">
        <v>142</v>
      </c>
      <c r="C319" s="30" t="s">
        <v>680</v>
      </c>
      <c r="D319" s="30" t="s">
        <v>681</v>
      </c>
      <c r="E319" s="30"/>
      <c r="F319" s="6"/>
      <c r="G319" s="59"/>
      <c r="H319" s="87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x14ac:dyDescent="0.3">
      <c r="A320" s="82"/>
      <c r="B320" s="30" t="s">
        <v>147</v>
      </c>
      <c r="C320" s="30" t="s">
        <v>682</v>
      </c>
      <c r="D320" s="30" t="s">
        <v>683</v>
      </c>
      <c r="E320" s="30"/>
      <c r="F320" s="82"/>
      <c r="G320" s="59"/>
      <c r="H320" s="87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</row>
    <row r="321" spans="1:28" x14ac:dyDescent="0.3">
      <c r="A321" s="82"/>
      <c r="B321" s="30" t="s">
        <v>154</v>
      </c>
      <c r="C321" s="30" t="s">
        <v>684</v>
      </c>
      <c r="D321" s="30" t="s">
        <v>685</v>
      </c>
      <c r="E321" s="30"/>
      <c r="F321" s="82"/>
      <c r="G321" s="59"/>
      <c r="H321" s="87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</row>
    <row r="322" spans="1:28" x14ac:dyDescent="0.3">
      <c r="A322" s="6"/>
      <c r="B322" s="30" t="s">
        <v>159</v>
      </c>
      <c r="C322" s="30" t="s">
        <v>686</v>
      </c>
      <c r="D322" s="30" t="s">
        <v>687</v>
      </c>
      <c r="E322" s="30"/>
      <c r="F322" s="6"/>
      <c r="G322" s="59"/>
      <c r="H322" s="87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x14ac:dyDescent="0.3">
      <c r="A323" s="6"/>
      <c r="B323" s="30" t="s">
        <v>165</v>
      </c>
      <c r="C323" s="30"/>
      <c r="D323" s="30" t="s">
        <v>688</v>
      </c>
      <c r="E323" s="30"/>
      <c r="F323" s="6"/>
      <c r="G323" s="59"/>
      <c r="H323" s="87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x14ac:dyDescent="0.3">
      <c r="A324" s="6"/>
      <c r="B324" s="30" t="s">
        <v>171</v>
      </c>
      <c r="C324" s="30"/>
      <c r="D324" s="30" t="s">
        <v>689</v>
      </c>
      <c r="E324" s="30"/>
      <c r="F324" s="6"/>
      <c r="G324" s="59"/>
      <c r="H324" s="87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x14ac:dyDescent="0.3">
      <c r="A325" s="6"/>
      <c r="B325" s="30" t="s">
        <v>176</v>
      </c>
      <c r="C325" s="30"/>
      <c r="D325" s="30" t="s">
        <v>690</v>
      </c>
      <c r="E325" s="30"/>
      <c r="F325" s="6"/>
      <c r="G325" s="59"/>
      <c r="H325" s="87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x14ac:dyDescent="0.3">
      <c r="A326" s="6"/>
      <c r="B326" s="30" t="s">
        <v>183</v>
      </c>
      <c r="C326" s="30"/>
      <c r="D326" s="30" t="s">
        <v>691</v>
      </c>
      <c r="E326" s="30"/>
      <c r="F326" s="6"/>
      <c r="G326" s="59"/>
      <c r="H326" s="87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x14ac:dyDescent="0.3">
      <c r="A327" s="6"/>
      <c r="B327" s="30" t="s">
        <v>191</v>
      </c>
      <c r="C327" s="30"/>
      <c r="D327" s="30" t="s">
        <v>692</v>
      </c>
      <c r="E327" s="30"/>
      <c r="F327" s="6"/>
      <c r="G327" s="59"/>
      <c r="H327" s="87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x14ac:dyDescent="0.3">
      <c r="A328" s="6"/>
      <c r="B328" s="30" t="s">
        <v>197</v>
      </c>
      <c r="C328" s="30"/>
      <c r="D328" s="30" t="s">
        <v>693</v>
      </c>
      <c r="E328" s="30"/>
      <c r="F328" s="6"/>
      <c r="G328" s="59"/>
      <c r="H328" s="87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x14ac:dyDescent="0.3">
      <c r="A329" s="6"/>
      <c r="B329" s="30" t="s">
        <v>203</v>
      </c>
      <c r="C329" s="30"/>
      <c r="D329" s="30" t="s">
        <v>694</v>
      </c>
      <c r="E329" s="31"/>
      <c r="F329" s="6"/>
      <c r="G329" s="59"/>
      <c r="H329" s="87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 x14ac:dyDescent="0.3">
      <c r="A330" s="6"/>
      <c r="B330" s="30" t="s">
        <v>208</v>
      </c>
      <c r="C330" s="30"/>
      <c r="D330" s="30" t="s">
        <v>695</v>
      </c>
      <c r="E330" s="31"/>
      <c r="F330" s="6"/>
      <c r="G330" s="59"/>
      <c r="H330" s="87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 x14ac:dyDescent="0.3">
      <c r="A331" s="6"/>
      <c r="B331" s="30" t="s">
        <v>696</v>
      </c>
      <c r="C331" s="30"/>
      <c r="D331" s="30" t="s">
        <v>697</v>
      </c>
      <c r="E331" s="31"/>
      <c r="F331" s="6"/>
      <c r="G331" s="59"/>
      <c r="H331" s="87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 x14ac:dyDescent="0.3">
      <c r="A332" s="6"/>
      <c r="B332" s="30" t="s">
        <v>698</v>
      </c>
      <c r="C332" s="30"/>
      <c r="D332" s="30" t="s">
        <v>699</v>
      </c>
      <c r="E332" s="31"/>
      <c r="F332" s="6"/>
      <c r="G332" s="59"/>
      <c r="H332" s="87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 x14ac:dyDescent="0.3">
      <c r="A333" s="6"/>
      <c r="B333" s="30" t="s">
        <v>700</v>
      </c>
      <c r="C333" s="30"/>
      <c r="D333" s="30" t="s">
        <v>701</v>
      </c>
      <c r="E333" s="31"/>
      <c r="F333" s="6"/>
      <c r="G333" s="59"/>
      <c r="H333" s="87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 x14ac:dyDescent="0.3">
      <c r="A334" s="6"/>
      <c r="B334" s="30" t="s">
        <v>702</v>
      </c>
      <c r="C334" s="30"/>
      <c r="D334" s="30" t="s">
        <v>703</v>
      </c>
      <c r="E334" s="31"/>
      <c r="F334" s="6"/>
      <c r="G334" s="59"/>
      <c r="H334" s="87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 x14ac:dyDescent="0.3">
      <c r="A335" s="6"/>
      <c r="B335" s="30" t="s">
        <v>238</v>
      </c>
      <c r="C335" s="30"/>
      <c r="D335" s="30" t="s">
        <v>725</v>
      </c>
      <c r="E335" s="30"/>
      <c r="F335" s="6"/>
      <c r="G335" s="59"/>
      <c r="H335" s="87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 x14ac:dyDescent="0.3">
      <c r="A336" s="6"/>
      <c r="B336" s="30" t="s">
        <v>242</v>
      </c>
      <c r="C336" s="30"/>
      <c r="D336" s="30" t="s">
        <v>704</v>
      </c>
      <c r="E336" s="30"/>
      <c r="F336" s="6"/>
      <c r="G336" s="59"/>
      <c r="H336" s="87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 x14ac:dyDescent="0.3">
      <c r="A337" s="6"/>
      <c r="B337" s="30" t="s">
        <v>246</v>
      </c>
      <c r="C337" s="30"/>
      <c r="D337" s="30" t="s">
        <v>705</v>
      </c>
      <c r="E337" s="30"/>
      <c r="F337" s="6"/>
      <c r="G337" s="59"/>
      <c r="H337" s="87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 x14ac:dyDescent="0.3">
      <c r="A338" s="6"/>
      <c r="B338" s="30" t="s">
        <v>248</v>
      </c>
      <c r="C338" s="30"/>
      <c r="D338" s="30" t="s">
        <v>706</v>
      </c>
      <c r="E338" s="30"/>
      <c r="F338" s="6"/>
      <c r="G338" s="59"/>
      <c r="H338" s="87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 x14ac:dyDescent="0.3">
      <c r="A339" s="6"/>
      <c r="B339" s="30"/>
      <c r="C339" s="30"/>
      <c r="D339" s="30"/>
      <c r="E339" s="30"/>
      <c r="F339" s="6"/>
      <c r="G339" s="59"/>
      <c r="H339" s="87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 ht="18.600000000000001" thickBot="1" x14ac:dyDescent="0.4">
      <c r="A340" s="6"/>
      <c r="B340" s="17" t="s">
        <v>148</v>
      </c>
      <c r="C340" s="17"/>
      <c r="D340" s="18"/>
      <c r="E340" s="18"/>
      <c r="F340" s="6"/>
      <c r="G340" s="155" t="s">
        <v>997</v>
      </c>
      <c r="H340" s="87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 ht="15" thickTop="1" x14ac:dyDescent="0.3">
      <c r="A341" s="6"/>
      <c r="B341" s="28" t="s">
        <v>6</v>
      </c>
      <c r="C341" s="28" t="s">
        <v>868</v>
      </c>
      <c r="D341" s="29" t="s">
        <v>354</v>
      </c>
      <c r="E341" s="29" t="s">
        <v>974</v>
      </c>
      <c r="F341" s="6"/>
      <c r="G341" s="59"/>
      <c r="H341" s="87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x14ac:dyDescent="0.3">
      <c r="A342" s="6"/>
      <c r="B342" s="30" t="s">
        <v>509</v>
      </c>
      <c r="C342" s="30"/>
      <c r="D342" s="30" t="s">
        <v>510</v>
      </c>
      <c r="E342" s="31" t="s">
        <v>984</v>
      </c>
      <c r="F342" s="6"/>
      <c r="G342" s="59"/>
      <c r="H342" s="87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 x14ac:dyDescent="0.3">
      <c r="A343" s="6"/>
      <c r="B343" s="30" t="s">
        <v>109</v>
      </c>
      <c r="C343" s="30"/>
      <c r="D343" s="30" t="s">
        <v>511</v>
      </c>
      <c r="E343" s="30"/>
      <c r="F343" s="6"/>
      <c r="G343" s="59"/>
      <c r="H343" s="87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 x14ac:dyDescent="0.3">
      <c r="A344" s="6"/>
      <c r="B344" s="30" t="s">
        <v>115</v>
      </c>
      <c r="C344" s="30"/>
      <c r="D344" s="30" t="s">
        <v>508</v>
      </c>
      <c r="E344" s="30"/>
      <c r="F344" s="6"/>
      <c r="G344" s="59"/>
      <c r="H344" s="87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 x14ac:dyDescent="0.3">
      <c r="A345" s="6"/>
      <c r="B345" s="30" t="s">
        <v>121</v>
      </c>
      <c r="C345" s="30"/>
      <c r="D345" s="30" t="s">
        <v>512</v>
      </c>
      <c r="E345" s="30"/>
      <c r="F345" s="6"/>
      <c r="G345" s="59"/>
      <c r="H345" s="87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 x14ac:dyDescent="0.3">
      <c r="A346" s="6"/>
      <c r="B346" s="32" t="s">
        <v>125</v>
      </c>
      <c r="C346" s="32"/>
      <c r="D346" s="30" t="s">
        <v>513</v>
      </c>
      <c r="E346" s="30"/>
      <c r="F346" s="6"/>
      <c r="G346" s="59"/>
      <c r="H346" s="87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 x14ac:dyDescent="0.3">
      <c r="A347" s="6"/>
      <c r="B347" s="30" t="s">
        <v>131</v>
      </c>
      <c r="C347" s="30"/>
      <c r="D347" s="32" t="s">
        <v>514</v>
      </c>
      <c r="E347" s="32"/>
      <c r="F347" s="6"/>
      <c r="G347" s="59"/>
      <c r="H347" s="87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 x14ac:dyDescent="0.3">
      <c r="A348" s="6"/>
      <c r="B348" s="30" t="s">
        <v>136</v>
      </c>
      <c r="C348" s="30"/>
      <c r="D348" s="30" t="s">
        <v>515</v>
      </c>
      <c r="E348" s="30"/>
      <c r="F348" s="6"/>
      <c r="G348" s="59"/>
      <c r="H348" s="87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 x14ac:dyDescent="0.3">
      <c r="A349" s="6"/>
      <c r="B349" s="30" t="s">
        <v>108</v>
      </c>
      <c r="C349" s="30" t="s">
        <v>599</v>
      </c>
      <c r="D349" s="30" t="s">
        <v>600</v>
      </c>
      <c r="E349" s="30"/>
      <c r="F349" s="6"/>
      <c r="G349" s="59"/>
      <c r="H349" s="87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 x14ac:dyDescent="0.3">
      <c r="A350" s="6"/>
      <c r="B350" s="30" t="s">
        <v>672</v>
      </c>
      <c r="C350" s="30"/>
      <c r="D350" s="30" t="s">
        <v>673</v>
      </c>
      <c r="E350" s="31"/>
      <c r="F350" s="6"/>
      <c r="G350" s="59"/>
      <c r="H350" s="87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 x14ac:dyDescent="0.3">
      <c r="A351" s="6"/>
      <c r="B351" s="30" t="s">
        <v>674</v>
      </c>
      <c r="C351" s="30"/>
      <c r="D351" s="30" t="s">
        <v>675</v>
      </c>
      <c r="E351" s="31"/>
      <c r="F351" s="6"/>
      <c r="G351" s="59"/>
      <c r="H351" s="87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 x14ac:dyDescent="0.3">
      <c r="A352" s="6"/>
      <c r="B352" s="30" t="s">
        <v>676</v>
      </c>
      <c r="C352" s="30"/>
      <c r="D352" s="30" t="s">
        <v>677</v>
      </c>
      <c r="E352" s="31"/>
      <c r="F352" s="6"/>
      <c r="G352" s="59"/>
      <c r="H352" s="87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 x14ac:dyDescent="0.3">
      <c r="A353" s="6"/>
      <c r="B353" s="30" t="s">
        <v>678</v>
      </c>
      <c r="C353" s="30"/>
      <c r="D353" s="30" t="s">
        <v>679</v>
      </c>
      <c r="E353" s="31"/>
      <c r="F353" s="6"/>
      <c r="G353" s="59"/>
      <c r="H353" s="87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 x14ac:dyDescent="0.3">
      <c r="A354" s="6"/>
      <c r="B354" s="30" t="s">
        <v>162</v>
      </c>
      <c r="C354" s="30"/>
      <c r="D354" s="30" t="s">
        <v>707</v>
      </c>
      <c r="E354" s="30"/>
      <c r="F354" s="6"/>
      <c r="G354" s="59"/>
      <c r="H354" s="87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 x14ac:dyDescent="0.3">
      <c r="A355" s="83"/>
      <c r="B355" s="30" t="s">
        <v>947</v>
      </c>
      <c r="C355" s="30"/>
      <c r="D355" s="30" t="s">
        <v>948</v>
      </c>
      <c r="E355" s="30"/>
      <c r="F355" s="83"/>
      <c r="G355" s="59"/>
      <c r="H355" s="87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</row>
    <row r="356" spans="1:28" x14ac:dyDescent="0.3">
      <c r="A356" s="83"/>
      <c r="B356" s="30" t="s">
        <v>141</v>
      </c>
      <c r="C356" s="30"/>
      <c r="D356" s="30" t="s">
        <v>953</v>
      </c>
      <c r="E356" s="30"/>
      <c r="F356" s="83"/>
      <c r="G356" s="59"/>
      <c r="H356" s="87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</row>
    <row r="357" spans="1:28" x14ac:dyDescent="0.3">
      <c r="A357" s="6"/>
      <c r="B357" s="30" t="s">
        <v>182</v>
      </c>
      <c r="C357" s="30"/>
      <c r="D357" s="30" t="s">
        <v>708</v>
      </c>
      <c r="E357" s="30"/>
      <c r="F357" s="6"/>
      <c r="G357" s="59"/>
      <c r="H357" s="87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 x14ac:dyDescent="0.3">
      <c r="A358" s="6"/>
      <c r="B358" s="30" t="s">
        <v>190</v>
      </c>
      <c r="C358" s="30"/>
      <c r="D358" s="30" t="s">
        <v>617</v>
      </c>
      <c r="E358" s="30"/>
      <c r="F358" s="6"/>
      <c r="G358" s="59"/>
      <c r="H358" s="87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 x14ac:dyDescent="0.3">
      <c r="A359" s="6"/>
      <c r="B359" s="30" t="s">
        <v>215</v>
      </c>
      <c r="C359" s="30"/>
      <c r="D359" s="30" t="s">
        <v>622</v>
      </c>
      <c r="E359" s="30"/>
      <c r="F359" s="6"/>
      <c r="G359" s="59"/>
      <c r="H359" s="87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 x14ac:dyDescent="0.3">
      <c r="A360" s="6"/>
      <c r="B360" s="30" t="s">
        <v>221</v>
      </c>
      <c r="C360" s="30"/>
      <c r="D360" s="30" t="s">
        <v>627</v>
      </c>
      <c r="E360" s="31" t="s">
        <v>989</v>
      </c>
      <c r="F360" s="6"/>
      <c r="G360" s="59"/>
      <c r="H360" s="87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 x14ac:dyDescent="0.3">
      <c r="A361" s="6"/>
      <c r="B361" s="30" t="s">
        <v>142</v>
      </c>
      <c r="C361" s="30" t="s">
        <v>680</v>
      </c>
      <c r="D361" s="30" t="s">
        <v>681</v>
      </c>
      <c r="E361" s="30"/>
      <c r="F361" s="6"/>
      <c r="G361" s="59"/>
      <c r="H361" s="87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x14ac:dyDescent="0.3">
      <c r="A362" s="78"/>
      <c r="B362" s="30" t="s">
        <v>147</v>
      </c>
      <c r="C362" s="30" t="s">
        <v>682</v>
      </c>
      <c r="D362" s="30" t="s">
        <v>683</v>
      </c>
      <c r="E362" s="30"/>
      <c r="F362" s="78"/>
      <c r="G362" s="59"/>
      <c r="H362" s="87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</row>
    <row r="363" spans="1:28" x14ac:dyDescent="0.3">
      <c r="A363" s="78"/>
      <c r="B363" s="30" t="s">
        <v>154</v>
      </c>
      <c r="C363" s="30" t="s">
        <v>684</v>
      </c>
      <c r="D363" s="30" t="s">
        <v>685</v>
      </c>
      <c r="E363" s="30"/>
      <c r="F363" s="78"/>
      <c r="G363" s="59"/>
      <c r="H363" s="87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</row>
    <row r="364" spans="1:28" x14ac:dyDescent="0.3">
      <c r="A364" s="6"/>
      <c r="B364" s="30" t="s">
        <v>159</v>
      </c>
      <c r="C364" s="30" t="s">
        <v>686</v>
      </c>
      <c r="D364" s="30" t="s">
        <v>687</v>
      </c>
      <c r="E364" s="30"/>
      <c r="F364" s="6"/>
      <c r="G364" s="59"/>
      <c r="H364" s="87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 x14ac:dyDescent="0.3">
      <c r="A365" s="6"/>
      <c r="B365" s="30" t="s">
        <v>219</v>
      </c>
      <c r="C365" s="30"/>
      <c r="D365" s="22" t="s">
        <v>528</v>
      </c>
      <c r="E365" s="22"/>
      <c r="F365" s="6"/>
      <c r="G365" s="59"/>
      <c r="H365" s="87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 x14ac:dyDescent="0.3">
      <c r="A366" s="6"/>
      <c r="B366" s="30" t="s">
        <v>225</v>
      </c>
      <c r="C366" s="30"/>
      <c r="D366" s="22" t="s">
        <v>529</v>
      </c>
      <c r="E366" s="22"/>
      <c r="F366" s="6"/>
      <c r="G366" s="59"/>
      <c r="H366" s="87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 x14ac:dyDescent="0.3">
      <c r="A367" s="6"/>
      <c r="B367" s="30" t="s">
        <v>165</v>
      </c>
      <c r="C367" s="30"/>
      <c r="D367" s="30" t="s">
        <v>688</v>
      </c>
      <c r="E367" s="30"/>
      <c r="F367" s="6"/>
      <c r="G367" s="59"/>
      <c r="H367" s="87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 x14ac:dyDescent="0.3">
      <c r="A368" s="6"/>
      <c r="B368" s="30" t="s">
        <v>171</v>
      </c>
      <c r="C368" s="30"/>
      <c r="D368" s="30" t="s">
        <v>689</v>
      </c>
      <c r="E368" s="30"/>
      <c r="F368" s="6"/>
      <c r="G368" s="59"/>
      <c r="H368" s="87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 x14ac:dyDescent="0.3">
      <c r="A369" s="6"/>
      <c r="B369" s="30" t="s">
        <v>176</v>
      </c>
      <c r="C369" s="30"/>
      <c r="D369" s="30" t="s">
        <v>690</v>
      </c>
      <c r="E369" s="30"/>
      <c r="F369" s="6"/>
      <c r="G369" s="59"/>
      <c r="H369" s="87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 x14ac:dyDescent="0.3">
      <c r="A370" s="6"/>
      <c r="B370" s="30" t="s">
        <v>183</v>
      </c>
      <c r="C370" s="30"/>
      <c r="D370" s="30" t="s">
        <v>691</v>
      </c>
      <c r="E370" s="30"/>
      <c r="F370" s="6"/>
      <c r="G370" s="59"/>
      <c r="H370" s="87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 x14ac:dyDescent="0.3">
      <c r="A371" s="6"/>
      <c r="B371" s="30" t="s">
        <v>100</v>
      </c>
      <c r="C371" s="30"/>
      <c r="D371" s="30" t="s">
        <v>576</v>
      </c>
      <c r="E371" s="30"/>
      <c r="F371" s="6"/>
      <c r="G371" s="59"/>
      <c r="H371" s="87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 x14ac:dyDescent="0.3">
      <c r="A372" s="6"/>
      <c r="B372" s="30" t="s">
        <v>107</v>
      </c>
      <c r="C372" s="30"/>
      <c r="D372" s="30" t="s">
        <v>577</v>
      </c>
      <c r="E372" s="30"/>
      <c r="F372" s="6"/>
      <c r="G372" s="59"/>
      <c r="H372" s="87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 x14ac:dyDescent="0.3">
      <c r="A373" s="6"/>
      <c r="B373" s="30" t="s">
        <v>163</v>
      </c>
      <c r="C373" s="30"/>
      <c r="D373" s="30" t="s">
        <v>585</v>
      </c>
      <c r="E373" s="30"/>
      <c r="F373" s="6"/>
      <c r="G373" s="59"/>
      <c r="H373" s="87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 x14ac:dyDescent="0.3">
      <c r="A374" s="6"/>
      <c r="B374" s="30" t="s">
        <v>169</v>
      </c>
      <c r="C374" s="30"/>
      <c r="D374" s="30" t="s">
        <v>586</v>
      </c>
      <c r="E374" s="30"/>
      <c r="F374" s="6"/>
      <c r="G374" s="59"/>
      <c r="H374" s="87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 x14ac:dyDescent="0.3">
      <c r="A375" s="6"/>
      <c r="B375" s="30" t="s">
        <v>181</v>
      </c>
      <c r="C375" s="30"/>
      <c r="D375" s="30" t="s">
        <v>588</v>
      </c>
      <c r="E375" s="30"/>
      <c r="F375" s="6"/>
      <c r="G375" s="59"/>
      <c r="H375" s="87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 x14ac:dyDescent="0.3">
      <c r="A376" s="6"/>
      <c r="B376" s="30" t="s">
        <v>189</v>
      </c>
      <c r="C376" s="30"/>
      <c r="D376" s="30" t="s">
        <v>589</v>
      </c>
      <c r="E376" s="30"/>
      <c r="F376" s="6"/>
      <c r="G376" s="59"/>
      <c r="H376" s="87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 x14ac:dyDescent="0.3">
      <c r="A377" s="6"/>
      <c r="B377" s="30" t="s">
        <v>195</v>
      </c>
      <c r="C377" s="30"/>
      <c r="D377" s="30" t="s">
        <v>590</v>
      </c>
      <c r="E377" s="30"/>
      <c r="F377" s="6"/>
      <c r="G377" s="59"/>
      <c r="H377" s="87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 x14ac:dyDescent="0.3">
      <c r="A378" s="6"/>
      <c r="B378" s="30" t="s">
        <v>201</v>
      </c>
      <c r="C378" s="30"/>
      <c r="D378" s="30" t="s">
        <v>591</v>
      </c>
      <c r="E378" s="30"/>
      <c r="F378" s="6"/>
      <c r="G378" s="59"/>
      <c r="H378" s="87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 x14ac:dyDescent="0.3">
      <c r="A379" s="6"/>
      <c r="B379" s="30" t="s">
        <v>206</v>
      </c>
      <c r="C379" s="30"/>
      <c r="D379" s="30" t="s">
        <v>592</v>
      </c>
      <c r="E379" s="30"/>
      <c r="F379" s="6"/>
      <c r="G379" s="59"/>
      <c r="H379" s="87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 x14ac:dyDescent="0.3">
      <c r="A380" s="6"/>
      <c r="B380" s="30" t="s">
        <v>213</v>
      </c>
      <c r="C380" s="30"/>
      <c r="D380" s="30" t="s">
        <v>593</v>
      </c>
      <c r="E380" s="30"/>
      <c r="F380" s="6"/>
      <c r="G380" s="59"/>
      <c r="H380" s="87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 x14ac:dyDescent="0.3">
      <c r="A381" s="6"/>
      <c r="B381" s="30" t="s">
        <v>232</v>
      </c>
      <c r="C381" s="30"/>
      <c r="D381" s="30" t="s">
        <v>596</v>
      </c>
      <c r="E381" s="30"/>
      <c r="F381" s="6"/>
      <c r="G381" s="59"/>
      <c r="H381" s="87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 x14ac:dyDescent="0.3">
      <c r="A382" s="6"/>
      <c r="B382" s="30" t="s">
        <v>236</v>
      </c>
      <c r="C382" s="30"/>
      <c r="D382" s="30" t="s">
        <v>597</v>
      </c>
      <c r="E382" s="30"/>
      <c r="F382" s="6"/>
      <c r="G382" s="59"/>
      <c r="H382" s="87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 x14ac:dyDescent="0.3">
      <c r="A383" s="6"/>
      <c r="B383" s="30" t="s">
        <v>278</v>
      </c>
      <c r="C383" s="30"/>
      <c r="D383" s="30" t="s">
        <v>637</v>
      </c>
      <c r="E383" s="30"/>
      <c r="F383" s="6"/>
      <c r="G383" s="59"/>
      <c r="H383" s="87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 x14ac:dyDescent="0.3">
      <c r="A384" s="6"/>
      <c r="B384" s="30" t="s">
        <v>250</v>
      </c>
      <c r="C384" s="30"/>
      <c r="D384" s="30" t="s">
        <v>534</v>
      </c>
      <c r="E384" s="30"/>
      <c r="F384" s="6"/>
      <c r="G384" s="59"/>
      <c r="H384" s="87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 x14ac:dyDescent="0.3">
      <c r="A385" s="6"/>
      <c r="B385" s="30" t="s">
        <v>951</v>
      </c>
      <c r="C385" s="30"/>
      <c r="D385" s="30" t="s">
        <v>952</v>
      </c>
      <c r="E385" s="30"/>
      <c r="F385" s="6"/>
      <c r="G385" s="59"/>
      <c r="H385" s="87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 x14ac:dyDescent="0.3">
      <c r="A386" s="6"/>
      <c r="B386" s="30" t="s">
        <v>281</v>
      </c>
      <c r="C386" s="30"/>
      <c r="D386" s="30" t="s">
        <v>638</v>
      </c>
      <c r="E386" s="30"/>
      <c r="F386" s="6"/>
      <c r="G386" s="59"/>
      <c r="H386" s="87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 x14ac:dyDescent="0.3">
      <c r="A387" s="6"/>
      <c r="B387" s="30" t="s">
        <v>252</v>
      </c>
      <c r="C387" s="30"/>
      <c r="D387" s="30" t="s">
        <v>535</v>
      </c>
      <c r="E387" s="30"/>
      <c r="F387" s="6"/>
      <c r="G387" s="59"/>
      <c r="H387" s="87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 x14ac:dyDescent="0.3">
      <c r="A388" s="6"/>
      <c r="B388" s="30" t="s">
        <v>255</v>
      </c>
      <c r="C388" s="30"/>
      <c r="D388" s="30" t="s">
        <v>536</v>
      </c>
      <c r="E388" s="30"/>
      <c r="F388" s="6"/>
      <c r="G388" s="59"/>
      <c r="H388" s="87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 x14ac:dyDescent="0.3">
      <c r="A389" s="6"/>
      <c r="B389" s="30" t="s">
        <v>258</v>
      </c>
      <c r="C389" s="30"/>
      <c r="D389" s="30" t="s">
        <v>639</v>
      </c>
      <c r="E389" s="30"/>
      <c r="F389" s="6"/>
      <c r="G389" s="59"/>
      <c r="H389" s="87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 x14ac:dyDescent="0.3">
      <c r="A390" s="6"/>
      <c r="B390" s="30" t="s">
        <v>261</v>
      </c>
      <c r="C390" s="30"/>
      <c r="D390" s="30" t="s">
        <v>637</v>
      </c>
      <c r="E390" s="30"/>
      <c r="F390" s="6"/>
      <c r="G390" s="59"/>
      <c r="H390" s="87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 x14ac:dyDescent="0.3">
      <c r="A391" s="6"/>
      <c r="B391" s="30" t="s">
        <v>292</v>
      </c>
      <c r="C391" s="30"/>
      <c r="D391" s="30" t="s">
        <v>641</v>
      </c>
      <c r="E391" s="30"/>
      <c r="F391" s="6"/>
      <c r="G391" s="59"/>
      <c r="H391" s="87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 x14ac:dyDescent="0.3">
      <c r="A392" s="78"/>
      <c r="B392" s="30" t="s">
        <v>294</v>
      </c>
      <c r="C392" s="30"/>
      <c r="D392" s="30" t="s">
        <v>642</v>
      </c>
      <c r="E392" s="30"/>
      <c r="F392" s="78"/>
      <c r="G392" s="59"/>
      <c r="H392" s="87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</row>
    <row r="393" spans="1:28" x14ac:dyDescent="0.3">
      <c r="A393" s="6"/>
      <c r="B393" s="30" t="s">
        <v>297</v>
      </c>
      <c r="C393" s="30"/>
      <c r="D393" s="30" t="s">
        <v>643</v>
      </c>
      <c r="E393" s="30"/>
      <c r="F393" s="6"/>
      <c r="G393" s="59"/>
      <c r="H393" s="87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 x14ac:dyDescent="0.3">
      <c r="A394" s="6"/>
      <c r="B394" s="30" t="s">
        <v>316</v>
      </c>
      <c r="C394" s="30"/>
      <c r="D394" s="30" t="s">
        <v>627</v>
      </c>
      <c r="E394" s="31" t="s">
        <v>991</v>
      </c>
      <c r="F394" s="6"/>
      <c r="G394" s="59"/>
      <c r="H394" s="87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 x14ac:dyDescent="0.3">
      <c r="A395" s="6"/>
      <c r="B395" s="30" t="s">
        <v>191</v>
      </c>
      <c r="C395" s="30"/>
      <c r="D395" s="30" t="s">
        <v>692</v>
      </c>
      <c r="E395" s="30"/>
      <c r="F395" s="6"/>
      <c r="G395" s="59"/>
      <c r="H395" s="87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 x14ac:dyDescent="0.3">
      <c r="A396" s="6"/>
      <c r="B396" s="30" t="s">
        <v>197</v>
      </c>
      <c r="C396" s="30"/>
      <c r="D396" s="30" t="s">
        <v>693</v>
      </c>
      <c r="E396" s="30"/>
      <c r="F396" s="6"/>
      <c r="G396" s="59"/>
      <c r="H396" s="87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 x14ac:dyDescent="0.3">
      <c r="A397" s="6"/>
      <c r="B397" s="30" t="s">
        <v>304</v>
      </c>
      <c r="C397" s="30"/>
      <c r="D397" s="30" t="s">
        <v>709</v>
      </c>
      <c r="E397" s="30"/>
      <c r="F397" s="6"/>
      <c r="G397" s="59"/>
      <c r="H397" s="87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 x14ac:dyDescent="0.3">
      <c r="A398" s="6"/>
      <c r="B398" s="30" t="s">
        <v>309</v>
      </c>
      <c r="C398" s="30"/>
      <c r="D398" s="30" t="s">
        <v>646</v>
      </c>
      <c r="E398" s="30"/>
      <c r="F398" s="6"/>
      <c r="G398" s="59"/>
      <c r="H398" s="87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 x14ac:dyDescent="0.3">
      <c r="A399" s="6"/>
      <c r="B399" s="30" t="s">
        <v>315</v>
      </c>
      <c r="C399" s="30"/>
      <c r="D399" s="30" t="s">
        <v>649</v>
      </c>
      <c r="E399" s="30"/>
      <c r="F399" s="6"/>
      <c r="G399" s="59"/>
      <c r="H399" s="87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 x14ac:dyDescent="0.3">
      <c r="A400" s="6"/>
      <c r="B400" s="30" t="s">
        <v>271</v>
      </c>
      <c r="C400" s="30" t="s">
        <v>542</v>
      </c>
      <c r="D400" s="30" t="s">
        <v>543</v>
      </c>
      <c r="E400" s="30"/>
      <c r="F400" s="6"/>
      <c r="G400" s="59"/>
      <c r="H400" s="87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 x14ac:dyDescent="0.3">
      <c r="A401" s="6"/>
      <c r="B401" s="30" t="s">
        <v>273</v>
      </c>
      <c r="C401" s="30" t="s">
        <v>544</v>
      </c>
      <c r="D401" s="30" t="s">
        <v>545</v>
      </c>
      <c r="E401" s="30"/>
      <c r="F401" s="6"/>
      <c r="G401" s="59"/>
      <c r="H401" s="87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 x14ac:dyDescent="0.3">
      <c r="A402" s="6"/>
      <c r="B402" s="30" t="s">
        <v>296</v>
      </c>
      <c r="C402" s="30"/>
      <c r="D402" s="30" t="s">
        <v>560</v>
      </c>
      <c r="E402" s="31"/>
      <c r="F402" s="6"/>
      <c r="G402" s="59"/>
      <c r="H402" s="87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 x14ac:dyDescent="0.3">
      <c r="A403" s="6"/>
      <c r="B403" s="30" t="s">
        <v>203</v>
      </c>
      <c r="C403" s="30"/>
      <c r="D403" s="30" t="s">
        <v>694</v>
      </c>
      <c r="E403" s="31"/>
      <c r="F403" s="6"/>
      <c r="G403" s="59"/>
      <c r="H403" s="87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 x14ac:dyDescent="0.3">
      <c r="A404" s="6"/>
      <c r="B404" s="30" t="s">
        <v>208</v>
      </c>
      <c r="C404" s="30"/>
      <c r="D404" s="30" t="s">
        <v>695</v>
      </c>
      <c r="E404" s="30"/>
      <c r="F404" s="6"/>
      <c r="G404" s="59"/>
      <c r="H404" s="87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 x14ac:dyDescent="0.3">
      <c r="A405" s="6"/>
      <c r="B405" s="30" t="s">
        <v>298</v>
      </c>
      <c r="C405" s="30" t="s">
        <v>561</v>
      </c>
      <c r="D405" s="30" t="s">
        <v>562</v>
      </c>
      <c r="E405" s="31"/>
      <c r="F405" s="6"/>
      <c r="G405" s="59"/>
      <c r="H405" s="87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x14ac:dyDescent="0.3">
      <c r="A406" s="6"/>
      <c r="B406" s="30" t="s">
        <v>563</v>
      </c>
      <c r="C406" s="30" t="s">
        <v>564</v>
      </c>
      <c r="D406" s="30" t="s">
        <v>510</v>
      </c>
      <c r="E406" s="31" t="s">
        <v>986</v>
      </c>
      <c r="F406" s="6"/>
      <c r="G406" s="59"/>
      <c r="H406" s="87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x14ac:dyDescent="0.3">
      <c r="A407" s="6"/>
      <c r="B407" s="30" t="s">
        <v>696</v>
      </c>
      <c r="C407" s="30"/>
      <c r="D407" s="30" t="s">
        <v>697</v>
      </c>
      <c r="E407" s="31"/>
      <c r="F407" s="6"/>
      <c r="G407" s="59"/>
      <c r="H407" s="87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x14ac:dyDescent="0.3">
      <c r="A408" s="6"/>
      <c r="B408" s="30" t="s">
        <v>698</v>
      </c>
      <c r="C408" s="30"/>
      <c r="D408" s="30" t="s">
        <v>699</v>
      </c>
      <c r="E408" s="31"/>
      <c r="F408" s="6"/>
      <c r="G408" s="59"/>
      <c r="H408" s="87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x14ac:dyDescent="0.3">
      <c r="A409" s="6"/>
      <c r="B409" s="30" t="s">
        <v>700</v>
      </c>
      <c r="C409" s="30"/>
      <c r="D409" s="30" t="s">
        <v>701</v>
      </c>
      <c r="E409" s="31"/>
      <c r="F409" s="6"/>
      <c r="G409" s="59"/>
      <c r="H409" s="87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x14ac:dyDescent="0.3">
      <c r="A410" s="6"/>
      <c r="B410" s="30" t="s">
        <v>702</v>
      </c>
      <c r="C410" s="30"/>
      <c r="D410" s="30" t="s">
        <v>703</v>
      </c>
      <c r="E410" s="31"/>
      <c r="F410" s="6"/>
      <c r="G410" s="59"/>
      <c r="H410" s="87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x14ac:dyDescent="0.3">
      <c r="A411" s="6"/>
      <c r="B411" s="30" t="s">
        <v>312</v>
      </c>
      <c r="C411" s="30"/>
      <c r="D411" s="30" t="s">
        <v>568</v>
      </c>
      <c r="E411" s="30"/>
      <c r="F411" s="6"/>
      <c r="G411" s="59"/>
      <c r="H411" s="87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 x14ac:dyDescent="0.3">
      <c r="A412" s="6"/>
      <c r="B412" s="30" t="s">
        <v>238</v>
      </c>
      <c r="C412" s="30"/>
      <c r="D412" s="30" t="s">
        <v>725</v>
      </c>
      <c r="E412" s="30"/>
      <c r="F412" s="6"/>
      <c r="G412" s="59"/>
      <c r="H412" s="87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 x14ac:dyDescent="0.3">
      <c r="A413" s="6"/>
      <c r="B413" s="30" t="s">
        <v>242</v>
      </c>
      <c r="C413" s="30"/>
      <c r="D413" s="30" t="s">
        <v>704</v>
      </c>
      <c r="E413" s="30"/>
      <c r="F413" s="6"/>
      <c r="G413" s="59"/>
      <c r="H413" s="87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 x14ac:dyDescent="0.3">
      <c r="A414" s="6"/>
      <c r="B414" s="30" t="s">
        <v>320</v>
      </c>
      <c r="C414" s="30"/>
      <c r="D414" s="30" t="s">
        <v>571</v>
      </c>
      <c r="E414" s="30"/>
      <c r="F414" s="6"/>
      <c r="G414" s="59"/>
      <c r="H414" s="87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x14ac:dyDescent="0.3">
      <c r="A415" s="6"/>
      <c r="B415" s="30" t="s">
        <v>246</v>
      </c>
      <c r="C415" s="30"/>
      <c r="D415" s="30" t="s">
        <v>705</v>
      </c>
      <c r="E415" s="30"/>
      <c r="F415" s="6"/>
      <c r="G415" s="59"/>
      <c r="H415" s="87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x14ac:dyDescent="0.3">
      <c r="A416" s="6"/>
      <c r="B416" s="30" t="s">
        <v>248</v>
      </c>
      <c r="C416" s="30"/>
      <c r="D416" s="30" t="s">
        <v>706</v>
      </c>
      <c r="E416" s="30"/>
      <c r="F416" s="6"/>
      <c r="G416" s="59"/>
      <c r="H416" s="87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x14ac:dyDescent="0.3">
      <c r="A417" s="6"/>
      <c r="B417" s="30" t="s">
        <v>326</v>
      </c>
      <c r="C417" s="30" t="s">
        <v>573</v>
      </c>
      <c r="D417" s="30" t="s">
        <v>574</v>
      </c>
      <c r="E417" s="30"/>
      <c r="F417" s="6"/>
      <c r="G417" s="59"/>
      <c r="H417" s="87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x14ac:dyDescent="0.3">
      <c r="A418" s="6"/>
      <c r="B418" s="30" t="s">
        <v>346</v>
      </c>
      <c r="C418" s="30" t="s">
        <v>671</v>
      </c>
      <c r="D418" s="30" t="s">
        <v>724</v>
      </c>
      <c r="E418" s="30"/>
      <c r="F418" s="6"/>
      <c r="G418" s="59"/>
      <c r="H418" s="87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 x14ac:dyDescent="0.3">
      <c r="A419" s="6"/>
      <c r="B419" s="30"/>
      <c r="C419" s="30"/>
      <c r="D419" s="30"/>
      <c r="E419" s="30"/>
      <c r="F419" s="6"/>
      <c r="G419" s="59"/>
      <c r="H419" s="87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 x14ac:dyDescent="0.3">
      <c r="A420" s="6"/>
      <c r="B420" s="6"/>
      <c r="C420" s="87"/>
      <c r="D420" s="6"/>
      <c r="E420" s="87"/>
      <c r="F420" s="6"/>
      <c r="G420" s="59"/>
      <c r="H420" s="87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 x14ac:dyDescent="0.3">
      <c r="A421" s="6"/>
      <c r="B421" s="6"/>
      <c r="C421" s="87"/>
      <c r="D421" s="6"/>
      <c r="E421" s="87"/>
      <c r="F421" s="6"/>
      <c r="G421" s="59"/>
      <c r="H421" s="87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 x14ac:dyDescent="0.3">
      <c r="A422" s="6"/>
      <c r="B422" s="183"/>
      <c r="C422" s="183"/>
      <c r="D422" s="183"/>
      <c r="E422" s="87"/>
      <c r="F422" s="6"/>
      <c r="G422" s="59"/>
      <c r="H422" s="87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 x14ac:dyDescent="0.3">
      <c r="A423" s="6"/>
      <c r="B423" s="6"/>
      <c r="C423" s="87"/>
      <c r="D423" s="6"/>
      <c r="E423" s="87"/>
      <c r="F423" s="6"/>
      <c r="G423" s="59"/>
      <c r="H423" s="87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 x14ac:dyDescent="0.3">
      <c r="A424" s="6"/>
      <c r="B424" s="6"/>
      <c r="C424" s="87"/>
      <c r="D424" s="6"/>
      <c r="E424" s="87"/>
      <c r="F424" s="6"/>
      <c r="G424" s="59"/>
      <c r="H424" s="87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 x14ac:dyDescent="0.3">
      <c r="A425" s="6"/>
      <c r="B425" s="6"/>
      <c r="C425" s="87"/>
      <c r="D425" s="6"/>
      <c r="E425" s="87"/>
      <c r="F425" s="6"/>
      <c r="G425" s="59"/>
      <c r="H425" s="87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 x14ac:dyDescent="0.3">
      <c r="A426" s="6"/>
      <c r="B426" s="6"/>
      <c r="C426" s="87"/>
      <c r="D426" s="6"/>
      <c r="E426" s="87"/>
      <c r="F426" s="6"/>
      <c r="G426" s="59"/>
      <c r="H426" s="87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 x14ac:dyDescent="0.3">
      <c r="A427" s="6"/>
      <c r="B427" s="6"/>
      <c r="C427" s="87"/>
      <c r="D427" s="6"/>
      <c r="E427" s="87"/>
      <c r="F427" s="6"/>
      <c r="G427" s="59"/>
      <c r="H427" s="87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 x14ac:dyDescent="0.3">
      <c r="A428" s="6"/>
      <c r="B428" s="6"/>
      <c r="C428" s="87"/>
      <c r="D428" s="6"/>
      <c r="E428" s="87"/>
      <c r="F428" s="6"/>
      <c r="G428" s="59"/>
      <c r="H428" s="87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 x14ac:dyDescent="0.3">
      <c r="A429" s="6"/>
      <c r="B429" s="6"/>
      <c r="C429" s="87"/>
      <c r="D429" s="6"/>
      <c r="E429" s="87"/>
      <c r="F429" s="6"/>
      <c r="G429" s="59"/>
      <c r="H429" s="87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x14ac:dyDescent="0.3">
      <c r="A430" s="6"/>
      <c r="B430" s="6"/>
      <c r="C430" s="87"/>
      <c r="D430" s="6"/>
      <c r="E430" s="87"/>
      <c r="F430" s="6"/>
      <c r="G430" s="59"/>
      <c r="H430" s="87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 x14ac:dyDescent="0.3">
      <c r="A431" s="6"/>
      <c r="B431" s="6"/>
      <c r="C431" s="87"/>
      <c r="D431" s="6"/>
      <c r="E431" s="87"/>
      <c r="F431" s="6"/>
      <c r="G431" s="59"/>
      <c r="H431" s="87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 x14ac:dyDescent="0.3">
      <c r="A432" s="6"/>
      <c r="B432" s="6"/>
      <c r="C432" s="87"/>
      <c r="D432" s="6"/>
      <c r="E432" s="87"/>
      <c r="F432" s="6"/>
      <c r="G432" s="59"/>
      <c r="H432" s="87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x14ac:dyDescent="0.3">
      <c r="A433" s="6"/>
      <c r="B433" s="6"/>
      <c r="C433" s="87"/>
      <c r="D433" s="6"/>
      <c r="E433" s="87"/>
      <c r="F433" s="6"/>
      <c r="G433" s="59"/>
      <c r="H433" s="87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x14ac:dyDescent="0.3">
      <c r="A434" s="6"/>
      <c r="B434" s="6"/>
      <c r="C434" s="87"/>
      <c r="D434" s="6"/>
      <c r="E434" s="87"/>
      <c r="F434" s="6"/>
      <c r="G434" s="59"/>
      <c r="H434" s="87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x14ac:dyDescent="0.3">
      <c r="A435" s="6"/>
      <c r="B435" s="6"/>
      <c r="C435" s="87"/>
      <c r="D435" s="6"/>
      <c r="E435" s="87"/>
      <c r="F435" s="6"/>
      <c r="G435" s="59"/>
      <c r="H435" s="87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x14ac:dyDescent="0.3">
      <c r="A436" s="6"/>
      <c r="B436" s="6"/>
      <c r="C436" s="87"/>
      <c r="D436" s="6"/>
      <c r="E436" s="87"/>
      <c r="F436" s="6"/>
      <c r="G436" s="59"/>
      <c r="H436" s="87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x14ac:dyDescent="0.3">
      <c r="A437" s="6"/>
      <c r="B437" s="6"/>
      <c r="C437" s="87"/>
      <c r="D437" s="6"/>
      <c r="E437" s="87"/>
      <c r="F437" s="6"/>
      <c r="G437" s="59"/>
      <c r="H437" s="87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x14ac:dyDescent="0.3">
      <c r="A438" s="6"/>
      <c r="B438" s="6"/>
      <c r="C438" s="87"/>
      <c r="D438" s="6"/>
      <c r="E438" s="87"/>
      <c r="F438" s="6"/>
      <c r="G438" s="59"/>
      <c r="H438" s="87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x14ac:dyDescent="0.3">
      <c r="A439" s="6"/>
      <c r="B439" s="6"/>
      <c r="C439" s="87"/>
      <c r="D439" s="6"/>
      <c r="E439" s="87"/>
      <c r="F439" s="6"/>
      <c r="G439" s="59"/>
      <c r="H439" s="87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x14ac:dyDescent="0.3">
      <c r="A440" s="6"/>
      <c r="B440" s="6"/>
      <c r="C440" s="87"/>
      <c r="D440" s="6"/>
      <c r="E440" s="87"/>
      <c r="F440" s="6"/>
      <c r="G440" s="59"/>
      <c r="H440" s="87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x14ac:dyDescent="0.3">
      <c r="A441" s="6"/>
      <c r="B441" s="6"/>
      <c r="C441" s="87"/>
      <c r="D441" s="6"/>
      <c r="E441" s="87"/>
      <c r="F441" s="6"/>
      <c r="G441" s="59"/>
      <c r="H441" s="87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x14ac:dyDescent="0.3">
      <c r="A442" s="6"/>
      <c r="B442" s="6"/>
      <c r="C442" s="87"/>
      <c r="D442" s="6"/>
      <c r="E442" s="87"/>
      <c r="F442" s="6"/>
      <c r="G442" s="59"/>
      <c r="H442" s="87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x14ac:dyDescent="0.3">
      <c r="A443" s="6"/>
      <c r="B443" s="6"/>
      <c r="C443" s="87"/>
      <c r="D443" s="6"/>
      <c r="E443" s="87"/>
      <c r="F443" s="6"/>
      <c r="G443" s="59"/>
      <c r="H443" s="87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x14ac:dyDescent="0.3">
      <c r="A444" s="6"/>
      <c r="B444" s="6"/>
      <c r="C444" s="87"/>
      <c r="D444" s="6"/>
      <c r="E444" s="87"/>
      <c r="F444" s="6"/>
      <c r="G444" s="59"/>
      <c r="H444" s="87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x14ac:dyDescent="0.3">
      <c r="A445" s="6"/>
      <c r="B445" s="6"/>
      <c r="C445" s="87"/>
      <c r="D445" s="6"/>
      <c r="E445" s="87"/>
      <c r="F445" s="6"/>
      <c r="G445" s="59"/>
      <c r="H445" s="87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x14ac:dyDescent="0.3">
      <c r="A446" s="6"/>
      <c r="B446" s="6"/>
      <c r="C446" s="87"/>
      <c r="D446" s="6"/>
      <c r="E446" s="87"/>
      <c r="F446" s="6"/>
      <c r="G446" s="59"/>
      <c r="H446" s="87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x14ac:dyDescent="0.3">
      <c r="A447" s="6"/>
      <c r="B447" s="6"/>
      <c r="C447" s="87"/>
      <c r="D447" s="6"/>
      <c r="E447" s="87"/>
      <c r="F447" s="6"/>
      <c r="G447" s="59"/>
      <c r="H447" s="87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x14ac:dyDescent="0.3">
      <c r="A448" s="6"/>
      <c r="B448" s="6"/>
      <c r="C448" s="87"/>
      <c r="D448" s="6"/>
      <c r="E448" s="87"/>
      <c r="F448" s="6"/>
      <c r="G448" s="59"/>
      <c r="H448" s="87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x14ac:dyDescent="0.3">
      <c r="A449" s="6"/>
      <c r="B449" s="6"/>
      <c r="C449" s="87"/>
      <c r="D449" s="6"/>
      <c r="E449" s="87"/>
      <c r="F449" s="6"/>
      <c r="G449" s="59"/>
      <c r="H449" s="87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x14ac:dyDescent="0.3">
      <c r="A450" s="6"/>
      <c r="B450" s="6"/>
      <c r="C450" s="87"/>
      <c r="D450" s="6"/>
      <c r="E450" s="87"/>
      <c r="F450" s="6"/>
      <c r="G450" s="59"/>
      <c r="H450" s="87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 x14ac:dyDescent="0.3">
      <c r="A451" s="6"/>
      <c r="B451" s="6"/>
      <c r="C451" s="87"/>
      <c r="D451" s="6"/>
      <c r="E451" s="87"/>
      <c r="F451" s="6"/>
      <c r="G451" s="59"/>
      <c r="H451" s="87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 x14ac:dyDescent="0.3">
      <c r="A452" s="6"/>
      <c r="B452" s="6"/>
      <c r="C452" s="87"/>
      <c r="D452" s="6"/>
      <c r="E452" s="87"/>
      <c r="F452" s="6"/>
      <c r="G452" s="59"/>
      <c r="H452" s="87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x14ac:dyDescent="0.3">
      <c r="A453" s="6"/>
      <c r="B453" s="6"/>
      <c r="C453" s="87"/>
      <c r="D453" s="6"/>
      <c r="E453" s="87"/>
      <c r="F453" s="6"/>
      <c r="G453" s="59"/>
      <c r="H453" s="87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x14ac:dyDescent="0.3">
      <c r="A454" s="6"/>
      <c r="B454" s="6"/>
      <c r="C454" s="87"/>
      <c r="D454" s="6"/>
      <c r="E454" s="87"/>
      <c r="F454" s="6"/>
      <c r="G454" s="59"/>
      <c r="H454" s="87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x14ac:dyDescent="0.3">
      <c r="A455" s="6"/>
      <c r="B455" s="6"/>
      <c r="C455" s="87"/>
      <c r="D455" s="6"/>
      <c r="E455" s="87"/>
      <c r="F455" s="6"/>
      <c r="G455" s="59"/>
      <c r="H455" s="87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x14ac:dyDescent="0.3">
      <c r="A456" s="6"/>
      <c r="B456" s="6"/>
      <c r="C456" s="87"/>
      <c r="D456" s="6"/>
      <c r="E456" s="87"/>
      <c r="F456" s="6"/>
      <c r="G456" s="59"/>
      <c r="H456" s="87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x14ac:dyDescent="0.3">
      <c r="A457" s="6"/>
      <c r="B457" s="6"/>
      <c r="C457" s="87"/>
      <c r="D457" s="6"/>
      <c r="E457" s="87"/>
      <c r="F457" s="6"/>
      <c r="G457" s="59"/>
      <c r="H457" s="87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x14ac:dyDescent="0.3">
      <c r="A458" s="6"/>
      <c r="B458" s="6"/>
      <c r="C458" s="87"/>
      <c r="D458" s="6"/>
      <c r="E458" s="87"/>
      <c r="F458" s="6"/>
      <c r="G458" s="59"/>
      <c r="H458" s="87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x14ac:dyDescent="0.3">
      <c r="A459" s="6"/>
      <c r="B459" s="6"/>
      <c r="C459" s="87"/>
      <c r="D459" s="6"/>
      <c r="E459" s="87"/>
      <c r="F459" s="6"/>
      <c r="G459" s="59"/>
      <c r="H459" s="87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x14ac:dyDescent="0.3">
      <c r="A460" s="6"/>
      <c r="B460" s="6"/>
      <c r="C460" s="87"/>
      <c r="D460" s="6"/>
      <c r="E460" s="87"/>
      <c r="F460" s="6"/>
      <c r="G460" s="59"/>
      <c r="H460" s="87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x14ac:dyDescent="0.3">
      <c r="A461" s="6"/>
      <c r="B461" s="6"/>
      <c r="C461" s="87"/>
      <c r="D461" s="6"/>
      <c r="E461" s="87"/>
      <c r="F461" s="6"/>
      <c r="G461" s="59"/>
      <c r="H461" s="87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x14ac:dyDescent="0.3">
      <c r="A462" s="6"/>
      <c r="B462" s="6"/>
      <c r="C462" s="87"/>
      <c r="D462" s="6"/>
      <c r="E462" s="87"/>
      <c r="F462" s="6"/>
      <c r="G462" s="59"/>
      <c r="H462" s="87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x14ac:dyDescent="0.3">
      <c r="A463" s="6"/>
      <c r="B463" s="6"/>
      <c r="C463" s="87"/>
      <c r="D463" s="6"/>
      <c r="E463" s="87"/>
      <c r="F463" s="6"/>
      <c r="G463" s="59"/>
      <c r="H463" s="87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x14ac:dyDescent="0.3">
      <c r="A464" s="6"/>
      <c r="B464" s="6"/>
      <c r="C464" s="87"/>
      <c r="D464" s="6"/>
      <c r="E464" s="87"/>
      <c r="F464" s="6"/>
      <c r="G464" s="59"/>
      <c r="H464" s="87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x14ac:dyDescent="0.3">
      <c r="A465" s="6"/>
      <c r="B465" s="6"/>
      <c r="C465" s="87"/>
      <c r="D465" s="6"/>
      <c r="E465" s="87"/>
      <c r="F465" s="6"/>
      <c r="G465" s="59"/>
      <c r="H465" s="87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x14ac:dyDescent="0.3">
      <c r="A466" s="6"/>
      <c r="B466" s="6"/>
      <c r="C466" s="87"/>
      <c r="D466" s="6"/>
      <c r="E466" s="87"/>
      <c r="F466" s="6"/>
      <c r="G466" s="59"/>
      <c r="H466" s="87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x14ac:dyDescent="0.3">
      <c r="A467" s="6"/>
      <c r="B467" s="6"/>
      <c r="C467" s="87"/>
      <c r="D467" s="6"/>
      <c r="E467" s="87"/>
      <c r="F467" s="6"/>
      <c r="G467" s="59"/>
      <c r="H467" s="87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x14ac:dyDescent="0.3">
      <c r="A468" s="6"/>
      <c r="B468" s="6"/>
      <c r="C468" s="87"/>
      <c r="D468" s="6"/>
      <c r="E468" s="87"/>
      <c r="F468" s="6"/>
      <c r="G468" s="59"/>
      <c r="H468" s="87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x14ac:dyDescent="0.3">
      <c r="A469" s="6"/>
      <c r="B469" s="6"/>
      <c r="C469" s="87"/>
      <c r="D469" s="6"/>
      <c r="E469" s="87"/>
      <c r="F469" s="6"/>
      <c r="G469" s="59"/>
      <c r="H469" s="87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x14ac:dyDescent="0.3">
      <c r="A470" s="6"/>
      <c r="B470" s="6"/>
      <c r="C470" s="87"/>
      <c r="D470" s="6"/>
      <c r="E470" s="87"/>
      <c r="F470" s="6"/>
      <c r="G470" s="59"/>
      <c r="H470" s="87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x14ac:dyDescent="0.3">
      <c r="A471" s="6"/>
      <c r="B471" s="6"/>
      <c r="C471" s="87"/>
      <c r="D471" s="6"/>
      <c r="E471" s="87"/>
      <c r="F471" s="6"/>
      <c r="G471" s="59"/>
      <c r="H471" s="87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x14ac:dyDescent="0.3">
      <c r="A472" s="6"/>
      <c r="B472" s="6"/>
      <c r="C472" s="87"/>
      <c r="D472" s="6"/>
      <c r="E472" s="87"/>
      <c r="F472" s="6"/>
      <c r="G472" s="59"/>
      <c r="H472" s="87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x14ac:dyDescent="0.3">
      <c r="A473" s="6"/>
      <c r="B473" s="6"/>
      <c r="C473" s="87"/>
      <c r="D473" s="6"/>
      <c r="E473" s="87"/>
      <c r="F473" s="6"/>
      <c r="G473" s="59"/>
      <c r="H473" s="87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x14ac:dyDescent="0.3">
      <c r="A474" s="6"/>
      <c r="B474" s="6"/>
      <c r="C474" s="87"/>
      <c r="D474" s="6"/>
      <c r="E474" s="87"/>
      <c r="F474" s="6"/>
      <c r="G474" s="59"/>
      <c r="H474" s="87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x14ac:dyDescent="0.3">
      <c r="A475" s="6"/>
      <c r="B475" s="6"/>
      <c r="C475" s="87"/>
      <c r="D475" s="6"/>
      <c r="E475" s="87"/>
      <c r="F475" s="6"/>
      <c r="G475" s="59"/>
      <c r="H475" s="87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x14ac:dyDescent="0.3">
      <c r="A476" s="6"/>
      <c r="B476" s="6"/>
      <c r="C476" s="87"/>
      <c r="D476" s="6"/>
      <c r="E476" s="87"/>
      <c r="F476" s="6"/>
      <c r="G476" s="59"/>
      <c r="H476" s="87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x14ac:dyDescent="0.3">
      <c r="A477" s="6"/>
      <c r="B477" s="6"/>
      <c r="C477" s="87"/>
      <c r="D477" s="6"/>
      <c r="E477" s="87"/>
      <c r="F477" s="6"/>
      <c r="G477" s="59"/>
      <c r="H477" s="87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x14ac:dyDescent="0.3">
      <c r="A478" s="6"/>
      <c r="B478" s="6"/>
      <c r="C478" s="87"/>
      <c r="D478" s="6"/>
      <c r="E478" s="87"/>
      <c r="F478" s="6"/>
      <c r="G478" s="59"/>
      <c r="H478" s="87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x14ac:dyDescent="0.3">
      <c r="A479" s="6"/>
      <c r="B479" s="6"/>
      <c r="C479" s="87"/>
      <c r="D479" s="6"/>
      <c r="E479" s="87"/>
      <c r="F479" s="6"/>
      <c r="G479" s="59"/>
      <c r="H479" s="87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x14ac:dyDescent="0.3">
      <c r="A480" s="6"/>
      <c r="B480" s="6"/>
      <c r="C480" s="87"/>
      <c r="D480" s="6"/>
      <c r="E480" s="87"/>
      <c r="F480" s="6"/>
      <c r="G480" s="59"/>
      <c r="H480" s="87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x14ac:dyDescent="0.3">
      <c r="A481" s="6"/>
      <c r="B481" s="6"/>
      <c r="C481" s="87"/>
      <c r="D481" s="6"/>
      <c r="E481" s="87"/>
      <c r="F481" s="6"/>
      <c r="G481" s="59"/>
      <c r="H481" s="87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x14ac:dyDescent="0.3">
      <c r="A482" s="6"/>
      <c r="B482" s="6"/>
      <c r="C482" s="87"/>
      <c r="D482" s="6"/>
      <c r="E482" s="87"/>
      <c r="F482" s="6"/>
      <c r="G482" s="59"/>
      <c r="H482" s="87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x14ac:dyDescent="0.3">
      <c r="A483" s="6"/>
      <c r="B483" s="6"/>
      <c r="C483" s="87"/>
      <c r="D483" s="6"/>
      <c r="E483" s="87"/>
      <c r="F483" s="6"/>
      <c r="G483" s="59"/>
      <c r="H483" s="87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x14ac:dyDescent="0.3">
      <c r="A484" s="6"/>
      <c r="B484" s="6"/>
      <c r="C484" s="87"/>
      <c r="D484" s="6"/>
      <c r="E484" s="87"/>
      <c r="F484" s="6"/>
      <c r="G484" s="59"/>
      <c r="H484" s="87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x14ac:dyDescent="0.3">
      <c r="A485" s="6"/>
      <c r="B485" s="6"/>
      <c r="C485" s="87"/>
      <c r="D485" s="6"/>
      <c r="E485" s="87"/>
      <c r="F485" s="6"/>
      <c r="G485" s="59"/>
      <c r="H485" s="87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x14ac:dyDescent="0.3">
      <c r="A486" s="6"/>
      <c r="B486" s="6"/>
      <c r="C486" s="87"/>
      <c r="D486" s="6"/>
      <c r="E486" s="87"/>
      <c r="F486" s="6"/>
      <c r="G486" s="59"/>
      <c r="H486" s="87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x14ac:dyDescent="0.3">
      <c r="A487" s="6"/>
      <c r="B487" s="6"/>
      <c r="C487" s="87"/>
      <c r="D487" s="6"/>
      <c r="E487" s="87"/>
      <c r="F487" s="6"/>
      <c r="G487" s="59"/>
      <c r="H487" s="87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x14ac:dyDescent="0.3">
      <c r="A488" s="6"/>
      <c r="B488" s="6"/>
      <c r="C488" s="87"/>
      <c r="D488" s="6"/>
      <c r="E488" s="87"/>
      <c r="F488" s="6"/>
      <c r="G488" s="59"/>
      <c r="H488" s="87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x14ac:dyDescent="0.3">
      <c r="A489" s="6"/>
      <c r="B489" s="6"/>
      <c r="C489" s="87"/>
      <c r="D489" s="6"/>
      <c r="E489" s="87"/>
      <c r="F489" s="6"/>
      <c r="G489" s="59"/>
      <c r="H489" s="87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x14ac:dyDescent="0.3">
      <c r="A490" s="6"/>
      <c r="B490" s="6"/>
      <c r="C490" s="87"/>
      <c r="D490" s="6"/>
      <c r="E490" s="87"/>
      <c r="F490" s="6"/>
      <c r="G490" s="59"/>
      <c r="H490" s="87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x14ac:dyDescent="0.3">
      <c r="A491" s="6"/>
      <c r="B491" s="6"/>
      <c r="C491" s="87"/>
      <c r="D491" s="6"/>
      <c r="E491" s="87"/>
      <c r="F491" s="6"/>
      <c r="G491" s="59"/>
      <c r="H491" s="87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x14ac:dyDescent="0.3">
      <c r="A492" s="6"/>
      <c r="B492" s="6"/>
      <c r="C492" s="87"/>
      <c r="D492" s="6"/>
      <c r="E492" s="87"/>
      <c r="F492" s="6"/>
      <c r="G492" s="59"/>
      <c r="H492" s="87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x14ac:dyDescent="0.3">
      <c r="A493" s="6"/>
      <c r="B493" s="6"/>
      <c r="C493" s="87"/>
      <c r="D493" s="6"/>
      <c r="E493" s="87"/>
      <c r="F493" s="6"/>
      <c r="G493" s="59"/>
      <c r="H493" s="87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x14ac:dyDescent="0.3">
      <c r="A494" s="6"/>
      <c r="B494" s="6"/>
      <c r="C494" s="87"/>
      <c r="D494" s="6"/>
      <c r="E494" s="87"/>
      <c r="F494" s="6"/>
      <c r="G494" s="59"/>
      <c r="H494" s="87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x14ac:dyDescent="0.3">
      <c r="A495" s="6"/>
      <c r="B495" s="6"/>
      <c r="C495" s="87"/>
      <c r="D495" s="6"/>
      <c r="E495" s="87"/>
      <c r="F495" s="6"/>
      <c r="G495" s="59"/>
      <c r="H495" s="87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x14ac:dyDescent="0.3">
      <c r="A496" s="6"/>
      <c r="B496" s="6"/>
      <c r="C496" s="87"/>
      <c r="D496" s="6"/>
      <c r="E496" s="87"/>
      <c r="F496" s="6"/>
      <c r="G496" s="59"/>
      <c r="H496" s="87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x14ac:dyDescent="0.3">
      <c r="A497" s="6"/>
      <c r="B497" s="6"/>
      <c r="C497" s="87"/>
      <c r="D497" s="6"/>
      <c r="E497" s="87"/>
      <c r="F497" s="6"/>
      <c r="G497" s="59"/>
      <c r="H497" s="87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x14ac:dyDescent="0.3">
      <c r="A498" s="6"/>
      <c r="B498" s="6"/>
      <c r="C498" s="87"/>
      <c r="D498" s="6"/>
      <c r="E498" s="87"/>
      <c r="F498" s="6"/>
      <c r="G498" s="59"/>
      <c r="H498" s="87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x14ac:dyDescent="0.3">
      <c r="A499" s="6"/>
      <c r="B499" s="6"/>
      <c r="C499" s="87"/>
      <c r="D499" s="6"/>
      <c r="E499" s="87"/>
      <c r="F499" s="6"/>
      <c r="G499" s="59"/>
      <c r="H499" s="87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x14ac:dyDescent="0.3">
      <c r="A500" s="109"/>
      <c r="B500" s="109"/>
      <c r="C500" s="109"/>
      <c r="D500" s="109"/>
      <c r="E500" s="109"/>
      <c r="F500" s="109"/>
      <c r="G500" s="5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</row>
    <row r="501" spans="1:28" x14ac:dyDescent="0.3">
      <c r="A501" s="109"/>
      <c r="B501" s="109"/>
      <c r="C501" s="109"/>
      <c r="D501" s="109"/>
      <c r="E501" s="109"/>
      <c r="F501" s="109"/>
      <c r="G501" s="5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</row>
    <row r="502" spans="1:28" x14ac:dyDescent="0.3">
      <c r="A502" s="109"/>
      <c r="B502" s="109"/>
      <c r="C502" s="109"/>
      <c r="D502" s="109"/>
      <c r="E502" s="109"/>
      <c r="F502" s="109"/>
      <c r="G502" s="5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</row>
    <row r="503" spans="1:28" x14ac:dyDescent="0.3">
      <c r="A503" s="109"/>
      <c r="B503" s="109"/>
      <c r="C503" s="109"/>
      <c r="D503" s="109"/>
      <c r="E503" s="109"/>
      <c r="F503" s="109"/>
      <c r="G503" s="5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</row>
    <row r="504" spans="1:28" x14ac:dyDescent="0.3">
      <c r="A504" s="109"/>
      <c r="B504" s="109"/>
      <c r="C504" s="109"/>
      <c r="D504" s="109"/>
      <c r="E504" s="109"/>
      <c r="F504" s="109"/>
      <c r="G504" s="5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</row>
    <row r="505" spans="1:28" x14ac:dyDescent="0.3">
      <c r="A505" s="109"/>
      <c r="B505" s="109"/>
      <c r="C505" s="109"/>
      <c r="D505" s="109"/>
      <c r="E505" s="109"/>
      <c r="F505" s="109"/>
      <c r="G505" s="5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</row>
    <row r="506" spans="1:28" x14ac:dyDescent="0.3">
      <c r="A506" s="109"/>
      <c r="B506" s="109"/>
      <c r="C506" s="109"/>
      <c r="D506" s="109"/>
      <c r="E506" s="109"/>
      <c r="F506" s="109"/>
      <c r="G506" s="5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</row>
    <row r="507" spans="1:28" x14ac:dyDescent="0.3">
      <c r="A507" s="109"/>
      <c r="B507" s="109"/>
      <c r="C507" s="109"/>
      <c r="D507" s="109"/>
      <c r="E507" s="109"/>
      <c r="F507" s="109"/>
      <c r="G507" s="5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</row>
    <row r="508" spans="1:28" x14ac:dyDescent="0.3">
      <c r="A508" s="109"/>
      <c r="B508" s="109"/>
      <c r="C508" s="109"/>
      <c r="D508" s="109"/>
      <c r="E508" s="109"/>
      <c r="F508" s="109"/>
      <c r="G508" s="5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</row>
    <row r="509" spans="1:28" x14ac:dyDescent="0.3">
      <c r="A509" s="109"/>
      <c r="B509" s="109"/>
      <c r="C509" s="109"/>
      <c r="D509" s="109"/>
      <c r="E509" s="109"/>
      <c r="F509" s="109"/>
      <c r="G509" s="5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</row>
    <row r="510" spans="1:28" x14ac:dyDescent="0.3">
      <c r="A510" s="109"/>
      <c r="B510" s="109"/>
      <c r="C510" s="109"/>
      <c r="D510" s="109"/>
      <c r="E510" s="109"/>
      <c r="F510" s="109"/>
      <c r="G510" s="5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</row>
    <row r="511" spans="1:28" x14ac:dyDescent="0.3">
      <c r="A511" s="109"/>
      <c r="B511" s="109"/>
      <c r="C511" s="109"/>
      <c r="D511" s="109"/>
      <c r="E511" s="109"/>
      <c r="F511" s="109"/>
      <c r="G511" s="5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</row>
    <row r="512" spans="1:28" x14ac:dyDescent="0.3">
      <c r="A512" s="109"/>
      <c r="B512" s="109"/>
      <c r="C512" s="109"/>
      <c r="D512" s="109"/>
      <c r="E512" s="109"/>
      <c r="F512" s="109"/>
      <c r="G512" s="5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</row>
    <row r="513" spans="1:28" x14ac:dyDescent="0.3">
      <c r="A513" s="109"/>
      <c r="B513" s="109"/>
      <c r="C513" s="109"/>
      <c r="D513" s="109"/>
      <c r="E513" s="109"/>
      <c r="F513" s="109"/>
      <c r="G513" s="5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</row>
    <row r="514" spans="1:28" x14ac:dyDescent="0.3">
      <c r="A514" s="109"/>
      <c r="B514" s="109"/>
      <c r="C514" s="109"/>
      <c r="D514" s="109"/>
      <c r="E514" s="109"/>
      <c r="F514" s="109"/>
      <c r="G514" s="5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</row>
    <row r="515" spans="1:28" x14ac:dyDescent="0.3">
      <c r="A515" s="109"/>
      <c r="B515" s="109"/>
      <c r="C515" s="109"/>
      <c r="D515" s="109"/>
      <c r="E515" s="109"/>
      <c r="F515" s="109"/>
      <c r="G515" s="5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</row>
    <row r="516" spans="1:28" x14ac:dyDescent="0.3">
      <c r="A516" s="109"/>
      <c r="B516" s="109"/>
      <c r="C516" s="109"/>
      <c r="D516" s="109"/>
      <c r="E516" s="109"/>
      <c r="F516" s="109"/>
      <c r="G516" s="5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</row>
    <row r="517" spans="1:28" x14ac:dyDescent="0.3">
      <c r="A517" s="109"/>
      <c r="B517" s="109"/>
      <c r="C517" s="109"/>
      <c r="D517" s="109"/>
      <c r="E517" s="109"/>
      <c r="F517" s="109"/>
      <c r="G517" s="5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</row>
    <row r="518" spans="1:28" x14ac:dyDescent="0.3">
      <c r="A518" s="109"/>
      <c r="B518" s="109"/>
      <c r="C518" s="109"/>
      <c r="D518" s="109"/>
      <c r="E518" s="109"/>
      <c r="F518" s="109"/>
      <c r="G518" s="5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</row>
    <row r="519" spans="1:28" x14ac:dyDescent="0.3">
      <c r="A519" s="109"/>
      <c r="B519" s="109"/>
      <c r="C519" s="109"/>
      <c r="D519" s="109"/>
      <c r="E519" s="109"/>
      <c r="F519" s="109"/>
      <c r="G519" s="5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</row>
    <row r="520" spans="1:28" x14ac:dyDescent="0.3">
      <c r="A520" s="109"/>
      <c r="B520" s="109"/>
      <c r="C520" s="109"/>
      <c r="D520" s="109"/>
      <c r="E520" s="109"/>
      <c r="F520" s="109"/>
      <c r="G520" s="5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</row>
    <row r="521" spans="1:28" x14ac:dyDescent="0.3">
      <c r="A521" s="109"/>
      <c r="B521" s="109"/>
      <c r="C521" s="109"/>
      <c r="D521" s="109"/>
      <c r="E521" s="109"/>
      <c r="F521" s="109"/>
      <c r="G521" s="5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</row>
    <row r="522" spans="1:28" x14ac:dyDescent="0.3">
      <c r="A522" s="109"/>
      <c r="B522" s="109"/>
      <c r="C522" s="109"/>
      <c r="D522" s="109"/>
      <c r="E522" s="109"/>
      <c r="F522" s="109"/>
      <c r="G522" s="5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</row>
    <row r="523" spans="1:28" x14ac:dyDescent="0.3">
      <c r="A523" s="109"/>
      <c r="B523" s="109"/>
      <c r="C523" s="109"/>
      <c r="D523" s="109"/>
      <c r="E523" s="109"/>
      <c r="F523" s="109"/>
      <c r="G523" s="5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</row>
    <row r="524" spans="1:28" x14ac:dyDescent="0.3">
      <c r="A524" s="109"/>
      <c r="B524" s="109"/>
      <c r="C524" s="109"/>
      <c r="D524" s="109"/>
      <c r="E524" s="109"/>
      <c r="F524" s="109"/>
      <c r="G524" s="5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</row>
    <row r="525" spans="1:28" x14ac:dyDescent="0.3">
      <c r="A525" s="109"/>
      <c r="B525" s="109"/>
      <c r="C525" s="109"/>
      <c r="D525" s="109"/>
      <c r="E525" s="109"/>
      <c r="F525" s="109"/>
      <c r="G525" s="5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</row>
    <row r="526" spans="1:28" x14ac:dyDescent="0.3">
      <c r="A526" s="109"/>
      <c r="B526" s="109"/>
      <c r="C526" s="109"/>
      <c r="D526" s="109"/>
      <c r="E526" s="109"/>
      <c r="F526" s="109"/>
      <c r="G526" s="5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</row>
    <row r="527" spans="1:28" x14ac:dyDescent="0.3">
      <c r="A527" s="109"/>
      <c r="B527" s="109"/>
      <c r="C527" s="109"/>
      <c r="D527" s="109"/>
      <c r="E527" s="109"/>
      <c r="F527" s="109"/>
      <c r="G527" s="5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</row>
    <row r="528" spans="1:28" x14ac:dyDescent="0.3">
      <c r="A528" s="109"/>
      <c r="B528" s="109"/>
      <c r="C528" s="109"/>
      <c r="D528" s="109"/>
      <c r="E528" s="109"/>
      <c r="F528" s="109"/>
      <c r="G528" s="5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</row>
  </sheetData>
  <mergeCells count="4">
    <mergeCell ref="B422:D422"/>
    <mergeCell ref="B1:E1"/>
    <mergeCell ref="B2:E2"/>
    <mergeCell ref="B3:E3"/>
  </mergeCells>
  <hyperlinks>
    <hyperlink ref="G10" location="Courses!B144" tooltip="Click to view the General Education courses for Social Interaction." display="Social &amp; Behavioral Sci."/>
    <hyperlink ref="G6" location="Courses!B5" tooltip="Click to view the General Education courses for Writing." display="Comm - Written"/>
    <hyperlink ref="G7" location="Courses!B11" tooltip="Click to view the General Education courses for Oral Communcation." display="Comm - Oral"/>
    <hyperlink ref="G8" location="Courses!B18" tooltip="Click to view the General Education courses for Mathematics." display="Quantitative Reasoning"/>
    <hyperlink ref="G9" location="Courses!B57" tooltip="Click to view the General Education courses for Science." display="Natural Sciences"/>
    <hyperlink ref="G11" location="Courses!B205" tooltip="Click to view the General Education courses for Heritage." display="Arts &amp; Hum. - Heritage"/>
    <hyperlink ref="G12" location="Courses!B233" tooltip="Click to view the General Education courses for Humanities." display="Arts &amp; Hum. - Humanities"/>
    <hyperlink ref="G13" location="Courses!B313" tooltip="Click to view the General Education courses for Foreign Language." display="Foreign Language"/>
    <hyperlink ref="G14" location="Courses!B340" tooltip="Click to view the General Education courses for Cultural Studies." display="Cultural Studies"/>
    <hyperlink ref="G57" location="Courses!G5" tooltip="Click to return to Quick Links menu." display="Return To Menu"/>
    <hyperlink ref="H6" location="Menu!A1" tooltip="Click to return to the main page." display="Main Menu"/>
    <hyperlink ref="H7" location="Arts!A1" tooltip="Click to return to the AA audit." display="Return To AA"/>
    <hyperlink ref="H8" location="Science!A1" tooltip="Click to return to the AS audit." display="Return To AS"/>
    <hyperlink ref="G144" location="Courses!G5" tooltip="Click to return to Quick Links menu." display="Return To Menu"/>
    <hyperlink ref="G205" location="Courses!G5" tooltip="Click to return to Quick Links menu." display="Return To Menu"/>
    <hyperlink ref="G233" location="Courses!G5" tooltip="Click to return to Quick Links menu." display="Return To Menu"/>
    <hyperlink ref="G313" location="Courses!G5" tooltip="Click to return to Quick Links menu." display="Return To Menu"/>
    <hyperlink ref="G340" location="Courses!G5" tooltip="Click to return to Quick Links menu." display="Return To Menu"/>
  </hyperlinks>
  <pageMargins left="0.7" right="0.7" top="0.75" bottom="0.75" header="0.3" footer="0.3"/>
  <pageSetup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FFFF00"/>
  </sheetPr>
  <dimension ref="A1:Z302"/>
  <sheetViews>
    <sheetView workbookViewId="0">
      <selection activeCell="F5" sqref="F5"/>
    </sheetView>
  </sheetViews>
  <sheetFormatPr defaultRowHeight="14.4" x14ac:dyDescent="0.3"/>
  <cols>
    <col min="1" max="1" width="3.6640625" customWidth="1"/>
    <col min="2" max="2" width="12.6640625" customWidth="1"/>
    <col min="3" max="3" width="32.88671875" customWidth="1"/>
    <col min="4" max="4" width="69.88671875" customWidth="1"/>
    <col min="5" max="5" width="9.109375" customWidth="1"/>
    <col min="6" max="6" width="24.33203125" style="165" customWidth="1"/>
    <col min="7" max="7" width="14.6640625" style="60" customWidth="1"/>
  </cols>
  <sheetData>
    <row r="1" spans="1:26" ht="18.75" x14ac:dyDescent="0.3">
      <c r="A1" s="51"/>
      <c r="B1" s="243" t="s">
        <v>754</v>
      </c>
      <c r="C1" s="243"/>
      <c r="D1" s="243"/>
      <c r="E1" s="41"/>
      <c r="F1" s="59"/>
      <c r="G1" s="58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8.75" x14ac:dyDescent="0.3">
      <c r="A2" s="87"/>
      <c r="B2" s="85"/>
      <c r="C2" s="85"/>
      <c r="D2" s="85"/>
      <c r="E2" s="84"/>
      <c r="F2" s="59"/>
      <c r="G2" s="58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 spans="1:26" ht="18.75" x14ac:dyDescent="0.3">
      <c r="A3" s="87"/>
      <c r="B3" s="85"/>
      <c r="C3" s="85"/>
      <c r="D3" s="85"/>
      <c r="E3" s="84"/>
      <c r="F3" s="59"/>
      <c r="G3" s="58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spans="1:26" ht="15" x14ac:dyDescent="0.25">
      <c r="A4" s="6"/>
      <c r="B4" s="6"/>
      <c r="C4" s="6"/>
      <c r="D4" s="6"/>
      <c r="E4" s="6"/>
      <c r="F4" s="59"/>
      <c r="G4" s="5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9.5" thickBot="1" x14ac:dyDescent="0.35">
      <c r="A5" s="6"/>
      <c r="B5" s="21" t="s">
        <v>755</v>
      </c>
      <c r="C5" s="6"/>
      <c r="D5" s="6"/>
      <c r="E5" s="6"/>
      <c r="F5" s="156" t="s">
        <v>738</v>
      </c>
      <c r="G5" s="153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6.5" thickTop="1" thickBot="1" x14ac:dyDescent="0.3">
      <c r="A6" s="6"/>
      <c r="B6" s="22" t="s">
        <v>710</v>
      </c>
      <c r="C6" s="22"/>
      <c r="D6" s="22" t="s">
        <v>756</v>
      </c>
      <c r="E6" s="6"/>
      <c r="F6" s="154" t="s">
        <v>836</v>
      </c>
      <c r="G6" s="154" t="s">
        <v>862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6.5" thickTop="1" thickBot="1" x14ac:dyDescent="0.3">
      <c r="A7" s="6"/>
      <c r="B7" s="22" t="s">
        <v>711</v>
      </c>
      <c r="C7" s="22"/>
      <c r="D7" s="22" t="s">
        <v>757</v>
      </c>
      <c r="E7" s="6"/>
      <c r="F7" s="154" t="s">
        <v>833</v>
      </c>
      <c r="G7" s="154" t="s">
        <v>863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6.5" thickTop="1" thickBot="1" x14ac:dyDescent="0.3">
      <c r="A8" s="6"/>
      <c r="B8" s="22"/>
      <c r="C8" s="22"/>
      <c r="D8" s="22"/>
      <c r="E8" s="6"/>
      <c r="F8" s="159"/>
      <c r="G8" s="154" t="s">
        <v>1153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0.25" thickTop="1" thickBot="1" x14ac:dyDescent="0.35">
      <c r="A9" s="6"/>
      <c r="B9" s="21" t="s">
        <v>758</v>
      </c>
      <c r="C9" s="6"/>
      <c r="D9" s="6"/>
      <c r="E9" s="6"/>
      <c r="F9" s="159" t="s">
        <v>834</v>
      </c>
      <c r="G9" s="153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thickTop="1" thickBot="1" x14ac:dyDescent="0.3">
      <c r="A10" s="6"/>
      <c r="B10" s="22" t="s">
        <v>710</v>
      </c>
      <c r="C10" s="22"/>
      <c r="D10" s="22" t="s">
        <v>759</v>
      </c>
      <c r="E10" s="6"/>
      <c r="F10" s="154" t="s">
        <v>816</v>
      </c>
      <c r="G10" s="153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6.5" thickTop="1" thickBot="1" x14ac:dyDescent="0.3">
      <c r="A11" s="6"/>
      <c r="B11" s="22" t="s">
        <v>760</v>
      </c>
      <c r="C11" s="22"/>
      <c r="D11" s="22" t="s">
        <v>761</v>
      </c>
      <c r="E11" s="6"/>
      <c r="F11" s="154" t="s">
        <v>817</v>
      </c>
      <c r="G11" s="153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6.5" thickTop="1" thickBot="1" x14ac:dyDescent="0.3">
      <c r="A12" s="6"/>
      <c r="B12" s="22"/>
      <c r="C12" s="22"/>
      <c r="D12" s="22"/>
      <c r="E12" s="6"/>
      <c r="F12" s="154" t="s">
        <v>818</v>
      </c>
      <c r="G12" s="153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0.25" thickTop="1" thickBot="1" x14ac:dyDescent="0.35">
      <c r="A13" s="6"/>
      <c r="B13" s="21" t="s">
        <v>762</v>
      </c>
      <c r="C13" s="6"/>
      <c r="D13" s="6"/>
      <c r="E13" s="6"/>
      <c r="F13" s="154" t="s">
        <v>819</v>
      </c>
      <c r="G13" s="153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6.5" thickTop="1" thickBot="1" x14ac:dyDescent="0.3">
      <c r="A14" s="6"/>
      <c r="B14" s="22" t="s">
        <v>710</v>
      </c>
      <c r="C14" s="22"/>
      <c r="D14" s="22" t="s">
        <v>763</v>
      </c>
      <c r="E14" s="6"/>
      <c r="F14" s="154" t="s">
        <v>820</v>
      </c>
      <c r="G14" s="153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6.5" thickTop="1" thickBot="1" x14ac:dyDescent="0.3">
      <c r="A15" s="6"/>
      <c r="B15" s="22" t="s">
        <v>711</v>
      </c>
      <c r="C15" s="22"/>
      <c r="D15" s="22" t="s">
        <v>764</v>
      </c>
      <c r="E15" s="6"/>
      <c r="F15" s="154" t="s">
        <v>821</v>
      </c>
      <c r="G15" s="153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6.5" thickTop="1" thickBot="1" x14ac:dyDescent="0.3">
      <c r="A16" s="6"/>
      <c r="B16" s="22" t="s">
        <v>765</v>
      </c>
      <c r="C16" s="22"/>
      <c r="D16" s="22" t="s">
        <v>809</v>
      </c>
      <c r="E16" s="6"/>
      <c r="F16" s="154" t="s">
        <v>822</v>
      </c>
      <c r="G16" s="153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6.5" thickTop="1" thickBot="1" x14ac:dyDescent="0.3">
      <c r="A17" s="6"/>
      <c r="B17" s="22"/>
      <c r="C17" s="22"/>
      <c r="D17" s="22" t="s">
        <v>810</v>
      </c>
      <c r="E17" s="6"/>
      <c r="F17" s="154" t="s">
        <v>823</v>
      </c>
      <c r="G17" s="153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6.5" thickTop="1" thickBot="1" x14ac:dyDescent="0.3">
      <c r="A18" s="6"/>
      <c r="B18" s="22"/>
      <c r="C18" s="22"/>
      <c r="D18" s="22"/>
      <c r="E18" s="6"/>
      <c r="F18" s="154" t="s">
        <v>824</v>
      </c>
      <c r="G18" s="153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0.25" thickTop="1" thickBot="1" x14ac:dyDescent="0.35">
      <c r="A19" s="6"/>
      <c r="B19" s="21" t="s">
        <v>766</v>
      </c>
      <c r="C19" s="6"/>
      <c r="D19" s="6"/>
      <c r="E19" s="6"/>
      <c r="F19" s="154" t="s">
        <v>825</v>
      </c>
      <c r="G19" s="153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6.5" thickTop="1" thickBot="1" x14ac:dyDescent="0.3">
      <c r="A20" s="6"/>
      <c r="B20" s="22" t="s">
        <v>710</v>
      </c>
      <c r="C20" s="22"/>
      <c r="D20" s="22" t="s">
        <v>767</v>
      </c>
      <c r="E20" s="6"/>
      <c r="F20" s="154" t="s">
        <v>826</v>
      </c>
      <c r="G20" s="153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6.5" thickTop="1" thickBot="1" x14ac:dyDescent="0.3">
      <c r="A21" s="6"/>
      <c r="B21" s="22" t="s">
        <v>760</v>
      </c>
      <c r="C21" s="22"/>
      <c r="D21" s="22" t="s">
        <v>854</v>
      </c>
      <c r="E21" s="6"/>
      <c r="F21" s="154" t="s">
        <v>827</v>
      </c>
      <c r="G21" s="153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6.5" thickTop="1" thickBot="1" x14ac:dyDescent="0.3">
      <c r="A22" s="6"/>
      <c r="B22" s="22" t="s">
        <v>768</v>
      </c>
      <c r="C22" s="22"/>
      <c r="D22" s="22" t="s">
        <v>769</v>
      </c>
      <c r="E22" s="6"/>
      <c r="F22" s="154" t="s">
        <v>828</v>
      </c>
      <c r="G22" s="153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6.5" thickTop="1" thickBot="1" x14ac:dyDescent="0.3">
      <c r="A23" s="6"/>
      <c r="B23" s="22"/>
      <c r="C23" s="22"/>
      <c r="D23" s="22"/>
      <c r="E23" s="6"/>
      <c r="F23" s="154" t="s">
        <v>829</v>
      </c>
      <c r="G23" s="153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0.25" thickTop="1" thickBot="1" x14ac:dyDescent="0.35">
      <c r="A24" s="6"/>
      <c r="B24" s="21" t="s">
        <v>770</v>
      </c>
      <c r="C24" s="6"/>
      <c r="D24" s="6"/>
      <c r="E24" s="6"/>
      <c r="F24" s="154" t="s">
        <v>927</v>
      </c>
      <c r="G24" s="153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6.5" thickTop="1" thickBot="1" x14ac:dyDescent="0.3">
      <c r="A25" s="6"/>
      <c r="B25" s="22" t="s">
        <v>710</v>
      </c>
      <c r="C25" s="22"/>
      <c r="D25" s="22" t="s">
        <v>164</v>
      </c>
      <c r="E25" s="6"/>
      <c r="F25" s="154" t="s">
        <v>830</v>
      </c>
      <c r="G25" s="153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6.5" thickTop="1" thickBot="1" x14ac:dyDescent="0.3">
      <c r="A26" s="6"/>
      <c r="B26" s="22" t="s">
        <v>711</v>
      </c>
      <c r="C26" s="22"/>
      <c r="D26" s="22" t="s">
        <v>771</v>
      </c>
      <c r="E26" s="6"/>
      <c r="F26" s="154" t="s">
        <v>831</v>
      </c>
      <c r="G26" s="153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6.5" thickTop="1" thickBot="1" x14ac:dyDescent="0.3">
      <c r="A27" s="6"/>
      <c r="B27" s="22" t="s">
        <v>711</v>
      </c>
      <c r="C27" s="22"/>
      <c r="D27" s="22" t="s">
        <v>772</v>
      </c>
      <c r="E27" s="6"/>
      <c r="F27" s="154" t="s">
        <v>832</v>
      </c>
      <c r="G27" s="153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6.5" thickTop="1" thickBot="1" x14ac:dyDescent="0.3">
      <c r="A28" s="6"/>
      <c r="B28" s="22" t="s">
        <v>760</v>
      </c>
      <c r="C28" s="22"/>
      <c r="D28" s="22" t="s">
        <v>773</v>
      </c>
      <c r="E28" s="6"/>
      <c r="F28" s="159"/>
      <c r="G28" s="153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6.5" thickTop="1" thickBot="1" x14ac:dyDescent="0.3">
      <c r="A29" s="6"/>
      <c r="B29" s="22"/>
      <c r="C29" s="22"/>
      <c r="D29" s="22"/>
      <c r="E29" s="6"/>
      <c r="F29" s="159" t="s">
        <v>835</v>
      </c>
      <c r="G29" s="153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0.25" thickTop="1" thickBot="1" x14ac:dyDescent="0.35">
      <c r="A30" s="6"/>
      <c r="B30" s="21" t="s">
        <v>774</v>
      </c>
      <c r="C30" s="6"/>
      <c r="D30" s="6"/>
      <c r="E30" s="6"/>
      <c r="F30" s="154" t="s">
        <v>729</v>
      </c>
      <c r="G30" s="153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6.5" thickTop="1" thickBot="1" x14ac:dyDescent="0.3">
      <c r="A31" s="6"/>
      <c r="B31" s="22" t="s">
        <v>710</v>
      </c>
      <c r="C31" s="22"/>
      <c r="D31" s="22" t="s">
        <v>188</v>
      </c>
      <c r="E31" s="6"/>
      <c r="F31" s="154" t="s">
        <v>730</v>
      </c>
      <c r="G31" s="153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6.5" thickTop="1" thickBot="1" x14ac:dyDescent="0.3">
      <c r="A32" s="6"/>
      <c r="B32" s="22" t="s">
        <v>775</v>
      </c>
      <c r="C32" s="22"/>
      <c r="D32" s="22" t="s">
        <v>776</v>
      </c>
      <c r="E32" s="6"/>
      <c r="F32" s="154" t="s">
        <v>731</v>
      </c>
      <c r="G32" s="153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6.5" thickTop="1" thickBot="1" x14ac:dyDescent="0.3">
      <c r="A33" s="6"/>
      <c r="B33" s="22"/>
      <c r="C33" s="22"/>
      <c r="D33" s="22"/>
      <c r="E33" s="6"/>
      <c r="F33" s="154" t="s">
        <v>116</v>
      </c>
      <c r="G33" s="153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0.25" thickTop="1" thickBot="1" x14ac:dyDescent="0.35">
      <c r="A34" s="6"/>
      <c r="B34" s="21" t="s">
        <v>777</v>
      </c>
      <c r="C34" s="6"/>
      <c r="D34" s="6"/>
      <c r="E34" s="6"/>
      <c r="F34" s="154" t="s">
        <v>732</v>
      </c>
      <c r="G34" s="153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6.5" thickTop="1" thickBot="1" x14ac:dyDescent="0.3">
      <c r="A35" s="6"/>
      <c r="B35" s="22" t="s">
        <v>710</v>
      </c>
      <c r="C35" s="22"/>
      <c r="D35" s="22" t="s">
        <v>778</v>
      </c>
      <c r="E35" s="6"/>
      <c r="F35" s="154" t="s">
        <v>733</v>
      </c>
      <c r="G35" s="153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6.5" thickTop="1" thickBot="1" x14ac:dyDescent="0.3">
      <c r="A36" s="6"/>
      <c r="B36" s="22" t="s">
        <v>765</v>
      </c>
      <c r="C36" s="22"/>
      <c r="D36" s="22" t="s">
        <v>811</v>
      </c>
      <c r="E36" s="6"/>
      <c r="F36" s="154" t="s">
        <v>734</v>
      </c>
      <c r="G36" s="153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6.5" thickTop="1" thickBot="1" x14ac:dyDescent="0.3">
      <c r="A37" s="6"/>
      <c r="B37" s="22"/>
      <c r="C37" s="22"/>
      <c r="D37" s="22" t="s">
        <v>812</v>
      </c>
      <c r="E37" s="6"/>
      <c r="F37" s="177"/>
      <c r="G37" s="58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thickTop="1" x14ac:dyDescent="0.25">
      <c r="A38" s="6"/>
      <c r="B38" s="22"/>
      <c r="C38" s="22"/>
      <c r="D38" s="22"/>
      <c r="E38" s="6"/>
      <c r="F38" s="59"/>
      <c r="G38" s="58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8.75" x14ac:dyDescent="0.3">
      <c r="A39" s="6"/>
      <c r="B39" s="21" t="s">
        <v>779</v>
      </c>
      <c r="C39" s="6"/>
      <c r="D39" s="6"/>
      <c r="E39" s="6"/>
      <c r="F39" s="59"/>
      <c r="G39" s="58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" x14ac:dyDescent="0.25">
      <c r="A40" s="6"/>
      <c r="B40" s="22" t="s">
        <v>710</v>
      </c>
      <c r="C40" s="22"/>
      <c r="D40" s="22" t="s">
        <v>780</v>
      </c>
      <c r="E40" s="6"/>
      <c r="F40" s="59"/>
      <c r="G40" s="58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3">
      <c r="A41" s="6"/>
      <c r="B41" s="22" t="s">
        <v>760</v>
      </c>
      <c r="C41" s="22"/>
      <c r="D41" s="22" t="s">
        <v>781</v>
      </c>
      <c r="E41" s="6"/>
      <c r="F41" s="59"/>
      <c r="G41" s="58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3">
      <c r="A42" s="6"/>
      <c r="B42" s="22"/>
      <c r="C42" s="22"/>
      <c r="D42" s="22"/>
      <c r="E42" s="6"/>
      <c r="F42" s="59"/>
      <c r="G42" s="58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8" x14ac:dyDescent="0.35">
      <c r="A43" s="6"/>
      <c r="B43" s="21" t="s">
        <v>782</v>
      </c>
      <c r="C43" s="6"/>
      <c r="D43" s="6"/>
      <c r="E43" s="6"/>
      <c r="F43" s="59"/>
      <c r="G43" s="58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3">
      <c r="A44" s="6"/>
      <c r="B44" s="22" t="s">
        <v>710</v>
      </c>
      <c r="C44" s="22"/>
      <c r="D44" s="22" t="s">
        <v>783</v>
      </c>
      <c r="E44" s="6"/>
      <c r="F44" s="59"/>
      <c r="G44" s="58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3">
      <c r="A45" s="6"/>
      <c r="B45" s="22" t="s">
        <v>760</v>
      </c>
      <c r="C45" s="22"/>
      <c r="D45" s="22" t="s">
        <v>784</v>
      </c>
      <c r="E45" s="6"/>
      <c r="F45" s="59"/>
      <c r="G45" s="58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3">
      <c r="A46" s="6"/>
      <c r="B46" s="22"/>
      <c r="C46" s="22"/>
      <c r="D46" s="22"/>
      <c r="E46" s="6"/>
      <c r="F46" s="59"/>
      <c r="G46" s="58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8" x14ac:dyDescent="0.35">
      <c r="A47" s="6"/>
      <c r="B47" s="21" t="s">
        <v>785</v>
      </c>
      <c r="C47" s="6"/>
      <c r="D47" s="6"/>
      <c r="E47" s="6"/>
      <c r="F47" s="59"/>
      <c r="G47" s="58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3">
      <c r="A48" s="6"/>
      <c r="B48" s="22" t="s">
        <v>710</v>
      </c>
      <c r="C48" s="22"/>
      <c r="D48" s="22" t="s">
        <v>786</v>
      </c>
      <c r="E48" s="6"/>
      <c r="F48" s="59"/>
      <c r="G48" s="58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3">
      <c r="A49" s="6"/>
      <c r="B49" s="22" t="s">
        <v>765</v>
      </c>
      <c r="C49" s="22"/>
      <c r="D49" s="22" t="s">
        <v>787</v>
      </c>
      <c r="E49" s="6"/>
      <c r="F49" s="59"/>
      <c r="G49" s="58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3">
      <c r="A50" s="6"/>
      <c r="B50" s="22"/>
      <c r="C50" s="22"/>
      <c r="D50" s="22"/>
      <c r="E50" s="6"/>
      <c r="F50" s="59"/>
      <c r="G50" s="58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8" x14ac:dyDescent="0.35">
      <c r="A51" s="6"/>
      <c r="B51" s="21" t="s">
        <v>788</v>
      </c>
      <c r="C51" s="6"/>
      <c r="D51" s="6"/>
      <c r="E51" s="6"/>
      <c r="F51" s="59"/>
      <c r="G51" s="58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3">
      <c r="A52" s="6"/>
      <c r="B52" s="22" t="s">
        <v>710</v>
      </c>
      <c r="C52" s="22"/>
      <c r="D52" s="22" t="s">
        <v>789</v>
      </c>
      <c r="E52" s="6"/>
      <c r="F52" s="59"/>
      <c r="G52" s="58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3">
      <c r="A53" s="6"/>
      <c r="B53" s="22" t="s">
        <v>711</v>
      </c>
      <c r="C53" s="22"/>
      <c r="D53" s="22" t="s">
        <v>790</v>
      </c>
      <c r="E53" s="6"/>
      <c r="F53" s="59"/>
      <c r="G53" s="58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3">
      <c r="A54" s="6"/>
      <c r="B54" s="22" t="s">
        <v>711</v>
      </c>
      <c r="C54" s="22"/>
      <c r="D54" s="22" t="s">
        <v>813</v>
      </c>
      <c r="E54" s="6"/>
      <c r="F54" s="59"/>
      <c r="G54" s="58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3">
      <c r="A55" s="6"/>
      <c r="B55" s="22"/>
      <c r="C55" s="22"/>
      <c r="D55" s="22" t="s">
        <v>814</v>
      </c>
      <c r="E55" s="6"/>
      <c r="F55" s="59"/>
      <c r="G55" s="58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3">
      <c r="A56" s="6"/>
      <c r="B56" s="22"/>
      <c r="C56" s="22"/>
      <c r="D56" s="22"/>
      <c r="E56" s="6"/>
      <c r="F56" s="59"/>
      <c r="G56" s="58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8" x14ac:dyDescent="0.35">
      <c r="A57" s="6"/>
      <c r="B57" s="21" t="s">
        <v>791</v>
      </c>
      <c r="C57" s="6"/>
      <c r="D57" s="6"/>
      <c r="E57" s="6"/>
      <c r="F57" s="59"/>
      <c r="G57" s="8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3">
      <c r="A58" s="6"/>
      <c r="B58" s="22" t="s">
        <v>792</v>
      </c>
      <c r="C58" s="22"/>
      <c r="D58" s="22" t="s">
        <v>793</v>
      </c>
      <c r="E58" s="6"/>
      <c r="F58" s="59"/>
      <c r="G58" s="58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3">
      <c r="A59" s="6"/>
      <c r="B59" s="22"/>
      <c r="C59" s="22"/>
      <c r="D59" s="22"/>
      <c r="E59" s="6"/>
      <c r="F59" s="59"/>
      <c r="G59" s="58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8" x14ac:dyDescent="0.35">
      <c r="A60" s="6"/>
      <c r="B60" s="21" t="s">
        <v>794</v>
      </c>
      <c r="C60" s="6"/>
      <c r="D60" s="6"/>
      <c r="E60" s="6"/>
      <c r="F60" s="59"/>
      <c r="G60" s="58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3">
      <c r="A61" s="6"/>
      <c r="B61" s="22" t="s">
        <v>710</v>
      </c>
      <c r="C61" s="22"/>
      <c r="D61" s="22" t="s">
        <v>795</v>
      </c>
      <c r="E61" s="6"/>
      <c r="F61" s="59"/>
      <c r="G61" s="58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3">
      <c r="A62" s="6"/>
      <c r="B62" s="22" t="s">
        <v>760</v>
      </c>
      <c r="C62" s="22"/>
      <c r="D62" s="22" t="s">
        <v>796</v>
      </c>
      <c r="E62" s="6"/>
      <c r="F62" s="59"/>
      <c r="G62" s="58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3">
      <c r="A63" s="6"/>
      <c r="B63" s="22"/>
      <c r="C63" s="22"/>
      <c r="D63" s="22"/>
      <c r="E63" s="6"/>
      <c r="F63" s="59"/>
      <c r="G63" s="58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8" x14ac:dyDescent="0.35">
      <c r="A64" s="6"/>
      <c r="B64" s="21" t="s">
        <v>797</v>
      </c>
      <c r="C64" s="6"/>
      <c r="D64" s="6"/>
      <c r="E64" s="6"/>
      <c r="F64" s="59"/>
      <c r="G64" s="58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3">
      <c r="A65" s="6"/>
      <c r="B65" s="22" t="s">
        <v>710</v>
      </c>
      <c r="C65" s="22"/>
      <c r="D65" s="22" t="s">
        <v>798</v>
      </c>
      <c r="E65" s="6"/>
      <c r="F65" s="59"/>
      <c r="G65" s="58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3">
      <c r="A66" s="6"/>
      <c r="B66" s="22" t="s">
        <v>711</v>
      </c>
      <c r="C66" s="22"/>
      <c r="D66" s="22" t="s">
        <v>799</v>
      </c>
      <c r="E66" s="6"/>
      <c r="F66" s="59"/>
      <c r="G66" s="58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3">
      <c r="A67" s="6"/>
      <c r="B67" s="22"/>
      <c r="C67" s="22"/>
      <c r="D67" s="22"/>
      <c r="E67" s="6"/>
      <c r="F67" s="59"/>
      <c r="G67" s="58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8" x14ac:dyDescent="0.35">
      <c r="A68" s="6"/>
      <c r="B68" s="21" t="s">
        <v>800</v>
      </c>
      <c r="C68" s="6"/>
      <c r="D68" s="6"/>
      <c r="E68" s="6"/>
      <c r="F68" s="59"/>
      <c r="G68" s="58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3">
      <c r="A69" s="6"/>
      <c r="B69" s="22" t="s">
        <v>710</v>
      </c>
      <c r="C69" s="22"/>
      <c r="D69" s="22" t="s">
        <v>801</v>
      </c>
      <c r="E69" s="6"/>
      <c r="F69" s="59"/>
      <c r="G69" s="58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3">
      <c r="A70" s="6"/>
      <c r="B70" s="22" t="s">
        <v>711</v>
      </c>
      <c r="C70" s="22"/>
      <c r="D70" s="22" t="s">
        <v>802</v>
      </c>
      <c r="E70" s="6"/>
      <c r="F70" s="59"/>
      <c r="G70" s="58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3">
      <c r="A71" s="6"/>
      <c r="B71" s="22"/>
      <c r="C71" s="22"/>
      <c r="D71" s="22"/>
      <c r="E71" s="6"/>
      <c r="F71" s="59"/>
      <c r="G71" s="58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8" x14ac:dyDescent="0.35">
      <c r="A72" s="6"/>
      <c r="B72" s="21" t="s">
        <v>803</v>
      </c>
      <c r="C72" s="6"/>
      <c r="D72" s="6"/>
      <c r="E72" s="6"/>
      <c r="F72" s="59"/>
      <c r="G72" s="58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3">
      <c r="A73" s="6"/>
      <c r="B73" s="22" t="s">
        <v>710</v>
      </c>
      <c r="C73" s="22"/>
      <c r="D73" s="22" t="s">
        <v>804</v>
      </c>
      <c r="E73" s="6"/>
      <c r="F73" s="59"/>
      <c r="G73" s="58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3">
      <c r="A74" s="6"/>
      <c r="B74" s="22" t="s">
        <v>768</v>
      </c>
      <c r="C74" s="22"/>
      <c r="D74" s="22" t="s">
        <v>856</v>
      </c>
      <c r="E74" s="6"/>
      <c r="F74" s="59"/>
      <c r="G74" s="58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3">
      <c r="A75" s="6"/>
      <c r="B75" s="22"/>
      <c r="C75" s="22"/>
      <c r="D75" s="22" t="s">
        <v>855</v>
      </c>
      <c r="E75" s="6"/>
      <c r="F75" s="59"/>
      <c r="G75" s="58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3">
      <c r="A76" s="6"/>
      <c r="B76" s="22"/>
      <c r="C76" s="22"/>
      <c r="D76" s="22"/>
      <c r="E76" s="6"/>
      <c r="F76" s="59"/>
      <c r="G76" s="58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8" x14ac:dyDescent="0.35">
      <c r="A77" s="6"/>
      <c r="B77" s="21" t="s">
        <v>805</v>
      </c>
      <c r="C77" s="6"/>
      <c r="D77" s="6"/>
      <c r="E77" s="6"/>
      <c r="F77" s="59"/>
      <c r="G77" s="58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3">
      <c r="A78" s="6"/>
      <c r="B78" s="22" t="s">
        <v>710</v>
      </c>
      <c r="C78" s="22"/>
      <c r="D78" s="22" t="s">
        <v>303</v>
      </c>
      <c r="E78" s="6"/>
      <c r="F78" s="59"/>
      <c r="G78" s="58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3">
      <c r="A79" s="6"/>
      <c r="B79" s="22" t="s">
        <v>760</v>
      </c>
      <c r="C79" s="22"/>
      <c r="D79" s="22" t="s">
        <v>930</v>
      </c>
      <c r="E79" s="6"/>
      <c r="F79" s="59"/>
      <c r="G79" s="58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3">
      <c r="A80" s="6"/>
      <c r="B80" s="22"/>
      <c r="C80" s="22"/>
      <c r="D80" s="22" t="s">
        <v>815</v>
      </c>
      <c r="E80" s="6"/>
      <c r="F80" s="59"/>
      <c r="G80" s="58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3">
      <c r="A81" s="6"/>
      <c r="B81" s="22"/>
      <c r="C81" s="22"/>
      <c r="D81" s="22"/>
      <c r="E81" s="6"/>
      <c r="F81" s="59"/>
      <c r="G81" s="58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8" x14ac:dyDescent="0.35">
      <c r="A82" s="6"/>
      <c r="B82" s="21" t="s">
        <v>806</v>
      </c>
      <c r="C82" s="6"/>
      <c r="D82" s="6"/>
      <c r="E82" s="6"/>
      <c r="F82" s="59"/>
      <c r="G82" s="58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3">
      <c r="A83" s="6"/>
      <c r="B83" s="22" t="s">
        <v>710</v>
      </c>
      <c r="C83" s="22"/>
      <c r="D83" s="22" t="s">
        <v>807</v>
      </c>
      <c r="E83" s="6"/>
      <c r="F83" s="59"/>
      <c r="G83" s="58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3">
      <c r="A84" s="6"/>
      <c r="B84" s="22" t="s">
        <v>775</v>
      </c>
      <c r="C84" s="22"/>
      <c r="D84" s="22" t="s">
        <v>808</v>
      </c>
      <c r="E84" s="6"/>
      <c r="F84" s="59"/>
      <c r="G84" s="58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3">
      <c r="A85" s="6"/>
      <c r="B85" s="22"/>
      <c r="C85" s="22"/>
      <c r="D85" s="22"/>
      <c r="E85" s="6"/>
      <c r="F85" s="59"/>
      <c r="G85" s="58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3">
      <c r="A86" s="6"/>
      <c r="B86" s="6"/>
      <c r="C86" s="6"/>
      <c r="D86" s="6"/>
      <c r="E86" s="6"/>
      <c r="F86" s="59"/>
      <c r="G86" s="58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3">
      <c r="A87" s="6"/>
      <c r="B87" s="6"/>
      <c r="C87" s="6"/>
      <c r="D87" s="6"/>
      <c r="E87" s="6"/>
      <c r="F87" s="59"/>
      <c r="G87" s="58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8" x14ac:dyDescent="0.35">
      <c r="A88" s="6"/>
      <c r="B88" s="243" t="s">
        <v>712</v>
      </c>
      <c r="C88" s="243"/>
      <c r="D88" s="243"/>
      <c r="E88" s="243"/>
      <c r="F88" s="59"/>
      <c r="G88" s="8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3">
      <c r="A89" s="6"/>
      <c r="B89" s="6"/>
      <c r="C89" s="6"/>
      <c r="D89" s="6"/>
      <c r="E89" s="6"/>
      <c r="F89" s="59"/>
      <c r="G89" s="8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0.399999999999999" thickBot="1" x14ac:dyDescent="0.45">
      <c r="A90" s="6"/>
      <c r="B90" s="21" t="s">
        <v>713</v>
      </c>
      <c r="C90" s="6"/>
      <c r="D90" s="6"/>
      <c r="E90" s="6"/>
      <c r="F90" s="172" t="s">
        <v>997</v>
      </c>
      <c r="G90" s="8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" thickTop="1" x14ac:dyDescent="0.3">
      <c r="A91" s="6"/>
      <c r="B91" s="22" t="s">
        <v>742</v>
      </c>
      <c r="C91" s="22"/>
      <c r="D91" s="22" t="s">
        <v>858</v>
      </c>
      <c r="E91" s="6"/>
      <c r="F91" s="59"/>
      <c r="G91" s="8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3">
      <c r="A92" s="6"/>
      <c r="B92" s="22"/>
      <c r="C92" s="22"/>
      <c r="D92" s="22" t="s">
        <v>857</v>
      </c>
      <c r="E92" s="6"/>
      <c r="F92" s="59"/>
      <c r="G92" s="8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3">
      <c r="A93" s="6"/>
      <c r="B93" s="22" t="s">
        <v>931</v>
      </c>
      <c r="C93" s="22"/>
      <c r="D93" s="22" t="s">
        <v>859</v>
      </c>
      <c r="E93" s="6"/>
      <c r="F93" s="59"/>
      <c r="G93" s="8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3">
      <c r="A94" s="6"/>
      <c r="B94" s="22"/>
      <c r="C94" s="22"/>
      <c r="D94" s="22" t="s">
        <v>861</v>
      </c>
      <c r="E94" s="6"/>
      <c r="F94" s="59"/>
      <c r="G94" s="8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3">
      <c r="A95" s="6"/>
      <c r="B95" s="22"/>
      <c r="C95" s="22"/>
      <c r="D95" s="22" t="s">
        <v>860</v>
      </c>
      <c r="E95" s="6"/>
      <c r="F95" s="59"/>
      <c r="G95" s="8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3">
      <c r="A96" s="6"/>
      <c r="B96" s="22"/>
      <c r="C96" s="22"/>
      <c r="D96" s="22"/>
      <c r="E96" s="6"/>
      <c r="F96" s="59"/>
      <c r="G96" s="8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8" x14ac:dyDescent="0.35">
      <c r="A97" s="6"/>
      <c r="B97" s="21" t="s">
        <v>714</v>
      </c>
      <c r="C97" s="6"/>
      <c r="D97" s="6"/>
      <c r="E97" s="6"/>
      <c r="F97" s="59"/>
      <c r="G97" s="8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3">
      <c r="A98" s="6"/>
      <c r="B98" s="22" t="s">
        <v>710</v>
      </c>
      <c r="C98" s="22"/>
      <c r="D98" s="22" t="s">
        <v>715</v>
      </c>
      <c r="E98" s="6"/>
      <c r="F98" s="59"/>
      <c r="G98" s="8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3">
      <c r="A99" s="6"/>
      <c r="B99" s="22" t="s">
        <v>711</v>
      </c>
      <c r="C99" s="22"/>
      <c r="D99" s="22" t="s">
        <v>739</v>
      </c>
      <c r="E99" s="6"/>
      <c r="F99" s="59"/>
      <c r="G99" s="8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3">
      <c r="A100" s="6"/>
      <c r="B100" s="22"/>
      <c r="C100" s="22"/>
      <c r="D100" s="22" t="s">
        <v>740</v>
      </c>
      <c r="E100" s="6"/>
      <c r="F100" s="59"/>
      <c r="G100" s="8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3">
      <c r="A101" s="6"/>
      <c r="B101" s="22"/>
      <c r="C101" s="22"/>
      <c r="D101" s="22"/>
      <c r="E101" s="6"/>
      <c r="F101" s="59"/>
      <c r="G101" s="8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8" x14ac:dyDescent="0.35">
      <c r="A102" s="6"/>
      <c r="B102" s="21" t="s">
        <v>716</v>
      </c>
      <c r="C102" s="6"/>
      <c r="D102" s="6"/>
      <c r="E102" s="6"/>
      <c r="F102" s="59"/>
      <c r="G102" s="8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3">
      <c r="A103" s="6"/>
      <c r="B103" s="22" t="s">
        <v>710</v>
      </c>
      <c r="C103" s="22"/>
      <c r="D103" s="22" t="s">
        <v>741</v>
      </c>
      <c r="E103" s="6"/>
      <c r="F103" s="59"/>
      <c r="G103" s="8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3">
      <c r="A104" s="6"/>
      <c r="B104" s="22"/>
      <c r="C104" s="22"/>
      <c r="D104" s="22"/>
      <c r="E104" s="6"/>
      <c r="F104" s="59"/>
      <c r="G104" s="8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8" x14ac:dyDescent="0.35">
      <c r="A105" s="6"/>
      <c r="B105" s="21" t="s">
        <v>717</v>
      </c>
      <c r="C105" s="6"/>
      <c r="D105" s="6"/>
      <c r="E105" s="6"/>
      <c r="F105" s="59"/>
      <c r="G105" s="8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3">
      <c r="A106" s="6"/>
      <c r="B106" s="22" t="s">
        <v>710</v>
      </c>
      <c r="C106" s="22"/>
      <c r="D106" s="22" t="s">
        <v>728</v>
      </c>
      <c r="E106" s="6"/>
      <c r="F106" s="59"/>
      <c r="G106" s="8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3">
      <c r="A107" s="6"/>
      <c r="B107" s="22"/>
      <c r="C107" s="22"/>
      <c r="D107" s="22"/>
      <c r="E107" s="6"/>
      <c r="F107" s="59"/>
      <c r="G107" s="8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8" x14ac:dyDescent="0.35">
      <c r="A108" s="6"/>
      <c r="B108" s="21" t="s">
        <v>718</v>
      </c>
      <c r="C108" s="6"/>
      <c r="D108" s="6"/>
      <c r="E108" s="6"/>
      <c r="F108" s="59"/>
      <c r="G108" s="8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3">
      <c r="A109" s="6"/>
      <c r="B109" s="22" t="s">
        <v>743</v>
      </c>
      <c r="C109" s="22"/>
      <c r="D109" s="22" t="s">
        <v>744</v>
      </c>
      <c r="E109" s="6"/>
      <c r="F109" s="59"/>
      <c r="G109" s="8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3">
      <c r="A110" s="6"/>
      <c r="B110" s="22"/>
      <c r="C110" s="22"/>
      <c r="D110" s="22" t="s">
        <v>745</v>
      </c>
      <c r="E110" s="6"/>
      <c r="F110" s="59"/>
      <c r="G110" s="8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3">
      <c r="A111" s="6"/>
      <c r="B111" s="22"/>
      <c r="C111" s="22"/>
      <c r="D111" s="22"/>
      <c r="E111" s="6"/>
      <c r="F111" s="59"/>
      <c r="G111" s="8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8" x14ac:dyDescent="0.35">
      <c r="A112" s="6"/>
      <c r="B112" s="21" t="s">
        <v>726</v>
      </c>
      <c r="C112" s="6"/>
      <c r="D112" s="6"/>
      <c r="E112" s="6"/>
      <c r="F112" s="59"/>
      <c r="G112" s="8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3">
      <c r="A113" s="6"/>
      <c r="B113" s="22" t="s">
        <v>710</v>
      </c>
      <c r="C113" s="22"/>
      <c r="D113" s="22" t="s">
        <v>719</v>
      </c>
      <c r="E113" s="6"/>
      <c r="F113" s="59"/>
      <c r="G113" s="8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3">
      <c r="A114" s="6"/>
      <c r="B114" s="22"/>
      <c r="C114" s="22"/>
      <c r="D114" s="22"/>
      <c r="E114" s="6"/>
      <c r="F114" s="59"/>
      <c r="G114" s="8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8" x14ac:dyDescent="0.35">
      <c r="A115" s="6"/>
      <c r="B115" s="21" t="s">
        <v>720</v>
      </c>
      <c r="C115" s="6"/>
      <c r="D115" s="6"/>
      <c r="E115" s="6"/>
      <c r="F115" s="59"/>
      <c r="G115" s="8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3">
      <c r="A116" s="6"/>
      <c r="B116" s="22" t="s">
        <v>710</v>
      </c>
      <c r="C116" s="22"/>
      <c r="D116" s="22" t="s">
        <v>721</v>
      </c>
      <c r="E116" s="6"/>
      <c r="F116" s="59"/>
      <c r="G116" s="8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3">
      <c r="A117" s="6"/>
      <c r="B117" s="22"/>
      <c r="C117" s="22"/>
      <c r="D117" s="22"/>
      <c r="E117" s="6"/>
      <c r="F117" s="59"/>
      <c r="G117" s="8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3">
      <c r="A118" s="6"/>
      <c r="B118" s="174"/>
      <c r="C118" s="174"/>
      <c r="D118" s="174"/>
      <c r="E118" s="6"/>
      <c r="F118" s="59"/>
      <c r="G118" s="8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3">
      <c r="A119" s="6"/>
      <c r="B119" s="174"/>
      <c r="C119" s="174"/>
      <c r="D119" s="174"/>
      <c r="E119" s="6"/>
      <c r="F119" s="59"/>
      <c r="G119" s="8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3">
      <c r="A120" s="6"/>
      <c r="B120" s="174"/>
      <c r="C120" s="174"/>
      <c r="D120" s="174"/>
      <c r="E120" s="6"/>
      <c r="F120" s="59"/>
      <c r="G120" s="8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3">
      <c r="A121" s="6"/>
      <c r="B121" s="174"/>
      <c r="C121" s="174"/>
      <c r="D121" s="174"/>
      <c r="E121" s="6"/>
      <c r="F121" s="59"/>
      <c r="G121" s="8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3">
      <c r="A122" s="6"/>
      <c r="B122" s="6"/>
      <c r="C122" s="6"/>
      <c r="D122" s="6"/>
      <c r="E122" s="6"/>
      <c r="F122" s="59"/>
      <c r="G122" s="58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3">
      <c r="A123" s="6"/>
      <c r="B123" s="6"/>
      <c r="C123" s="6"/>
      <c r="D123" s="6"/>
      <c r="E123" s="6"/>
      <c r="F123" s="59"/>
      <c r="G123" s="58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3">
      <c r="A124" s="6"/>
      <c r="B124" s="6"/>
      <c r="C124" s="6"/>
      <c r="D124" s="6"/>
      <c r="E124" s="6"/>
      <c r="F124" s="59"/>
      <c r="G124" s="58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3">
      <c r="A125" s="6"/>
      <c r="B125" s="6"/>
      <c r="C125" s="6"/>
      <c r="D125" s="6"/>
      <c r="E125" s="6"/>
      <c r="F125" s="59"/>
      <c r="G125" s="58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3">
      <c r="A126" s="6"/>
      <c r="B126" s="6"/>
      <c r="C126" s="6"/>
      <c r="D126" s="6"/>
      <c r="E126" s="6"/>
      <c r="F126" s="59"/>
      <c r="G126" s="58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3">
      <c r="A127" s="6"/>
      <c r="B127" s="6"/>
      <c r="C127" s="6"/>
      <c r="D127" s="6"/>
      <c r="E127" s="6"/>
      <c r="F127" s="59"/>
      <c r="G127" s="58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3">
      <c r="A128" s="6"/>
      <c r="B128" s="6"/>
      <c r="C128" s="6"/>
      <c r="D128" s="6"/>
      <c r="E128" s="6"/>
      <c r="F128" s="59"/>
      <c r="G128" s="58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3">
      <c r="A129" s="6"/>
      <c r="B129" s="6"/>
      <c r="C129" s="6"/>
      <c r="D129" s="6"/>
      <c r="E129" s="6"/>
      <c r="F129" s="59"/>
      <c r="G129" s="58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3">
      <c r="A130" s="6"/>
      <c r="B130" s="6"/>
      <c r="C130" s="6"/>
      <c r="D130" s="6"/>
      <c r="E130" s="6"/>
      <c r="F130" s="59"/>
      <c r="G130" s="58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3">
      <c r="A131" s="6"/>
      <c r="B131" s="6"/>
      <c r="C131" s="6"/>
      <c r="D131" s="6"/>
      <c r="E131" s="6"/>
      <c r="F131" s="59"/>
      <c r="G131" s="58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3">
      <c r="A132" s="6"/>
      <c r="B132" s="6"/>
      <c r="C132" s="6"/>
      <c r="D132" s="6"/>
      <c r="E132" s="6"/>
      <c r="F132" s="59"/>
      <c r="G132" s="58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3">
      <c r="A133" s="6"/>
      <c r="B133" s="6"/>
      <c r="C133" s="6"/>
      <c r="D133" s="6"/>
      <c r="E133" s="6"/>
      <c r="F133" s="59"/>
      <c r="G133" s="58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3">
      <c r="A134" s="6"/>
      <c r="B134" s="6"/>
      <c r="C134" s="6"/>
      <c r="D134" s="6"/>
      <c r="E134" s="6"/>
      <c r="F134" s="59"/>
      <c r="G134" s="58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3">
      <c r="A135" s="6"/>
      <c r="B135" s="6"/>
      <c r="C135" s="6"/>
      <c r="D135" s="6"/>
      <c r="E135" s="6"/>
      <c r="F135" s="59"/>
      <c r="G135" s="58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3">
      <c r="A136" s="6"/>
      <c r="B136" s="6"/>
      <c r="C136" s="6"/>
      <c r="D136" s="6"/>
      <c r="E136" s="6"/>
      <c r="F136" s="59"/>
      <c r="G136" s="58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3">
      <c r="A137" s="6"/>
      <c r="B137" s="6"/>
      <c r="C137" s="6"/>
      <c r="D137" s="6"/>
      <c r="E137" s="6"/>
      <c r="F137" s="59"/>
      <c r="G137" s="58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3">
      <c r="A138" s="6"/>
      <c r="B138" s="6"/>
      <c r="C138" s="6"/>
      <c r="D138" s="6"/>
      <c r="E138" s="6"/>
      <c r="F138" s="59"/>
      <c r="G138" s="58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3">
      <c r="A139" s="6"/>
      <c r="B139" s="6"/>
      <c r="C139" s="6"/>
      <c r="D139" s="6"/>
      <c r="E139" s="6"/>
      <c r="F139" s="59"/>
      <c r="G139" s="58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3">
      <c r="A140" s="6"/>
      <c r="B140" s="6"/>
      <c r="C140" s="6"/>
      <c r="D140" s="6"/>
      <c r="E140" s="6"/>
      <c r="F140" s="59"/>
      <c r="G140" s="58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3">
      <c r="A141" s="6"/>
      <c r="B141" s="6"/>
      <c r="C141" s="6"/>
      <c r="D141" s="6"/>
      <c r="E141" s="6"/>
      <c r="F141" s="59"/>
      <c r="G141" s="58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3">
      <c r="A142" s="6"/>
      <c r="B142" s="6"/>
      <c r="C142" s="6"/>
      <c r="D142" s="6"/>
      <c r="E142" s="6"/>
      <c r="F142" s="59"/>
      <c r="G142" s="58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3">
      <c r="A143" s="6"/>
      <c r="B143" s="6"/>
      <c r="C143" s="6"/>
      <c r="D143" s="6"/>
      <c r="E143" s="6"/>
      <c r="F143" s="59"/>
      <c r="G143" s="58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3">
      <c r="A144" s="6"/>
      <c r="B144" s="6"/>
      <c r="C144" s="6"/>
      <c r="D144" s="6"/>
      <c r="E144" s="6"/>
      <c r="F144" s="59"/>
      <c r="G144" s="58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3">
      <c r="A145" s="6"/>
      <c r="B145" s="6"/>
      <c r="C145" s="6"/>
      <c r="D145" s="6"/>
      <c r="E145" s="6"/>
      <c r="F145" s="59"/>
      <c r="G145" s="58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3">
      <c r="A146" s="6"/>
      <c r="B146" s="6"/>
      <c r="C146" s="6"/>
      <c r="D146" s="6"/>
      <c r="E146" s="6"/>
      <c r="F146" s="59"/>
      <c r="G146" s="58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3">
      <c r="A147" s="6"/>
      <c r="B147" s="6"/>
      <c r="C147" s="6"/>
      <c r="D147" s="6"/>
      <c r="E147" s="6"/>
      <c r="F147" s="59"/>
      <c r="G147" s="58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3">
      <c r="A148" s="6"/>
      <c r="B148" s="6"/>
      <c r="C148" s="6"/>
      <c r="D148" s="6"/>
      <c r="E148" s="6"/>
      <c r="F148" s="59"/>
      <c r="G148" s="58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3">
      <c r="A149" s="6"/>
      <c r="B149" s="6"/>
      <c r="C149" s="6"/>
      <c r="D149" s="6"/>
      <c r="E149" s="6"/>
      <c r="F149" s="59"/>
      <c r="G149" s="58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3">
      <c r="A150" s="6"/>
      <c r="B150" s="6"/>
      <c r="C150" s="6"/>
      <c r="D150" s="6"/>
      <c r="E150" s="6"/>
      <c r="F150" s="59"/>
      <c r="G150" s="58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3">
      <c r="A151" s="6"/>
      <c r="B151" s="6"/>
      <c r="C151" s="6"/>
      <c r="D151" s="6"/>
      <c r="E151" s="6"/>
      <c r="F151" s="59"/>
      <c r="G151" s="58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3">
      <c r="A152" s="6"/>
      <c r="B152" s="6"/>
      <c r="C152" s="6"/>
      <c r="D152" s="6"/>
      <c r="E152" s="6"/>
      <c r="F152" s="59"/>
      <c r="G152" s="58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3">
      <c r="A153" s="6"/>
      <c r="B153" s="6"/>
      <c r="C153" s="6"/>
      <c r="D153" s="6"/>
      <c r="E153" s="6"/>
      <c r="F153" s="59"/>
      <c r="G153" s="58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3">
      <c r="A154" s="6"/>
      <c r="B154" s="6"/>
      <c r="C154" s="6"/>
      <c r="D154" s="6"/>
      <c r="E154" s="6"/>
      <c r="F154" s="59"/>
      <c r="G154" s="58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3">
      <c r="A155" s="6"/>
      <c r="B155" s="6"/>
      <c r="C155" s="6"/>
      <c r="D155" s="6"/>
      <c r="E155" s="6"/>
      <c r="F155" s="59"/>
      <c r="G155" s="58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3">
      <c r="A156" s="6"/>
      <c r="B156" s="6"/>
      <c r="C156" s="6"/>
      <c r="D156" s="6"/>
      <c r="E156" s="6"/>
      <c r="F156" s="59"/>
      <c r="G156" s="58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3">
      <c r="A157" s="6"/>
      <c r="B157" s="6"/>
      <c r="C157" s="6"/>
      <c r="D157" s="6"/>
      <c r="E157" s="6"/>
      <c r="F157" s="59"/>
      <c r="G157" s="58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3">
      <c r="A158" s="6"/>
      <c r="B158" s="6"/>
      <c r="C158" s="6"/>
      <c r="D158" s="6"/>
      <c r="E158" s="6"/>
      <c r="F158" s="59"/>
      <c r="G158" s="58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3">
      <c r="A159" s="6"/>
      <c r="B159" s="6"/>
      <c r="C159" s="6"/>
      <c r="D159" s="6"/>
      <c r="E159" s="6"/>
      <c r="F159" s="59"/>
      <c r="G159" s="58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3">
      <c r="A160" s="6"/>
      <c r="B160" s="6"/>
      <c r="C160" s="6"/>
      <c r="D160" s="6"/>
      <c r="E160" s="6"/>
      <c r="F160" s="59"/>
      <c r="G160" s="58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3">
      <c r="A161" s="6"/>
      <c r="B161" s="6"/>
      <c r="C161" s="6"/>
      <c r="D161" s="6"/>
      <c r="E161" s="6"/>
      <c r="F161" s="59"/>
      <c r="G161" s="58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3">
      <c r="A162" s="6"/>
      <c r="B162" s="6"/>
      <c r="C162" s="6"/>
      <c r="D162" s="6"/>
      <c r="E162" s="6"/>
      <c r="F162" s="59"/>
      <c r="G162" s="58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3">
      <c r="A163" s="6"/>
      <c r="B163" s="6"/>
      <c r="C163" s="6"/>
      <c r="D163" s="6"/>
      <c r="E163" s="6"/>
      <c r="F163" s="59"/>
      <c r="G163" s="58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3">
      <c r="A164" s="6"/>
      <c r="B164" s="6"/>
      <c r="C164" s="6"/>
      <c r="D164" s="6"/>
      <c r="E164" s="6"/>
      <c r="F164" s="59"/>
      <c r="G164" s="58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3">
      <c r="A165" s="6"/>
      <c r="B165" s="6"/>
      <c r="C165" s="6"/>
      <c r="D165" s="6"/>
      <c r="E165" s="6"/>
      <c r="F165" s="59"/>
      <c r="G165" s="58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3">
      <c r="A166" s="6"/>
      <c r="B166" s="6"/>
      <c r="C166" s="6"/>
      <c r="D166" s="6"/>
      <c r="E166" s="6"/>
      <c r="F166" s="59"/>
      <c r="G166" s="58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3">
      <c r="A167" s="6"/>
      <c r="B167" s="6"/>
      <c r="C167" s="6"/>
      <c r="D167" s="6"/>
      <c r="E167" s="6"/>
      <c r="F167" s="59"/>
      <c r="G167" s="58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3">
      <c r="A168" s="6"/>
      <c r="B168" s="6"/>
      <c r="C168" s="6"/>
      <c r="D168" s="6"/>
      <c r="E168" s="6"/>
      <c r="F168" s="59"/>
      <c r="G168" s="58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3">
      <c r="A169" s="6"/>
      <c r="B169" s="6"/>
      <c r="C169" s="6"/>
      <c r="D169" s="6"/>
      <c r="E169" s="6"/>
      <c r="F169" s="59"/>
      <c r="G169" s="58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3">
      <c r="A170" s="6"/>
      <c r="B170" s="6"/>
      <c r="C170" s="6"/>
      <c r="D170" s="6"/>
      <c r="E170" s="6"/>
      <c r="F170" s="59"/>
      <c r="G170" s="58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3">
      <c r="A171" s="6"/>
      <c r="B171" s="6"/>
      <c r="C171" s="6"/>
      <c r="D171" s="6"/>
      <c r="E171" s="6"/>
      <c r="F171" s="59"/>
      <c r="G171" s="58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3">
      <c r="A172" s="6"/>
      <c r="B172" s="6"/>
      <c r="C172" s="6"/>
      <c r="D172" s="6"/>
      <c r="E172" s="6"/>
      <c r="F172" s="59"/>
      <c r="G172" s="58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3">
      <c r="A173" s="6"/>
      <c r="B173" s="6"/>
      <c r="C173" s="6"/>
      <c r="D173" s="6"/>
      <c r="E173" s="6"/>
      <c r="F173" s="59"/>
      <c r="G173" s="58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3">
      <c r="A174" s="6"/>
      <c r="B174" s="6"/>
      <c r="C174" s="6"/>
      <c r="D174" s="6"/>
      <c r="E174" s="6"/>
      <c r="F174" s="59"/>
      <c r="G174" s="58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3">
      <c r="A175" s="6"/>
      <c r="B175" s="6"/>
      <c r="C175" s="6"/>
      <c r="D175" s="6"/>
      <c r="E175" s="6"/>
      <c r="F175" s="59"/>
      <c r="G175" s="58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3">
      <c r="A176" s="6"/>
      <c r="B176" s="6"/>
      <c r="C176" s="6"/>
      <c r="D176" s="6"/>
      <c r="E176" s="6"/>
      <c r="F176" s="59"/>
      <c r="G176" s="58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3">
      <c r="A177" s="6"/>
      <c r="B177" s="6"/>
      <c r="C177" s="6"/>
      <c r="D177" s="6"/>
      <c r="E177" s="6"/>
      <c r="F177" s="59"/>
      <c r="G177" s="58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3">
      <c r="A178" s="6"/>
      <c r="B178" s="6"/>
      <c r="C178" s="6"/>
      <c r="D178" s="6"/>
      <c r="E178" s="6"/>
      <c r="F178" s="59"/>
      <c r="G178" s="58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3">
      <c r="A179" s="6"/>
      <c r="B179" s="6"/>
      <c r="C179" s="6"/>
      <c r="D179" s="6"/>
      <c r="E179" s="6"/>
      <c r="F179" s="59"/>
      <c r="G179" s="58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3">
      <c r="A180" s="6"/>
      <c r="B180" s="6"/>
      <c r="C180" s="6"/>
      <c r="D180" s="6"/>
      <c r="E180" s="6"/>
      <c r="F180" s="59"/>
      <c r="G180" s="58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3">
      <c r="A181" s="6"/>
      <c r="B181" s="6"/>
      <c r="C181" s="6"/>
      <c r="D181" s="6"/>
      <c r="E181" s="6"/>
      <c r="F181" s="59"/>
      <c r="G181" s="58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3">
      <c r="A182" s="6"/>
      <c r="B182" s="6"/>
      <c r="C182" s="6"/>
      <c r="D182" s="6"/>
      <c r="E182" s="6"/>
      <c r="F182" s="59"/>
      <c r="G182" s="58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3">
      <c r="A183" s="6"/>
      <c r="B183" s="6"/>
      <c r="C183" s="6"/>
      <c r="D183" s="6"/>
      <c r="E183" s="6"/>
      <c r="F183" s="59"/>
      <c r="G183" s="58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3">
      <c r="A184" s="6"/>
      <c r="B184" s="6"/>
      <c r="C184" s="6"/>
      <c r="D184" s="6"/>
      <c r="E184" s="6"/>
      <c r="F184" s="59"/>
      <c r="G184" s="58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3">
      <c r="A185" s="6"/>
      <c r="B185" s="6"/>
      <c r="C185" s="6"/>
      <c r="D185" s="6"/>
      <c r="E185" s="6"/>
      <c r="F185" s="59"/>
      <c r="G185" s="58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3">
      <c r="A186" s="6"/>
      <c r="B186" s="6"/>
      <c r="C186" s="6"/>
      <c r="D186" s="6"/>
      <c r="E186" s="6"/>
      <c r="F186" s="59"/>
      <c r="G186" s="58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3">
      <c r="A187" s="6"/>
      <c r="B187" s="6"/>
      <c r="C187" s="6"/>
      <c r="D187" s="6"/>
      <c r="E187" s="6"/>
      <c r="F187" s="59"/>
      <c r="G187" s="58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3">
      <c r="A188" s="6"/>
      <c r="B188" s="6"/>
      <c r="C188" s="6"/>
      <c r="D188" s="6"/>
      <c r="E188" s="6"/>
      <c r="F188" s="59"/>
      <c r="G188" s="58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3">
      <c r="A189" s="6"/>
      <c r="B189" s="6"/>
      <c r="C189" s="6"/>
      <c r="D189" s="6"/>
      <c r="E189" s="6"/>
      <c r="F189" s="59"/>
      <c r="G189" s="58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3">
      <c r="A190" s="6"/>
      <c r="B190" s="6"/>
      <c r="C190" s="6"/>
      <c r="D190" s="6"/>
      <c r="E190" s="6"/>
      <c r="F190" s="59"/>
      <c r="G190" s="58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3">
      <c r="A191" s="6"/>
      <c r="B191" s="6"/>
      <c r="C191" s="6"/>
      <c r="D191" s="6"/>
      <c r="E191" s="6"/>
      <c r="F191" s="59"/>
      <c r="G191" s="58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3">
      <c r="A192" s="6"/>
      <c r="B192" s="6"/>
      <c r="C192" s="6"/>
      <c r="D192" s="6"/>
      <c r="E192" s="6"/>
      <c r="F192" s="59"/>
      <c r="G192" s="58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3">
      <c r="A193" s="6"/>
      <c r="B193" s="6"/>
      <c r="C193" s="6"/>
      <c r="D193" s="6"/>
      <c r="E193" s="6"/>
      <c r="F193" s="59"/>
      <c r="G193" s="58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3">
      <c r="A194" s="6"/>
      <c r="B194" s="6"/>
      <c r="C194" s="6"/>
      <c r="D194" s="6"/>
      <c r="E194" s="6"/>
      <c r="F194" s="59"/>
      <c r="G194" s="58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3">
      <c r="A195" s="6"/>
      <c r="B195" s="6"/>
      <c r="C195" s="6"/>
      <c r="D195" s="6"/>
      <c r="E195" s="6"/>
      <c r="F195" s="59"/>
      <c r="G195" s="58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3">
      <c r="A196" s="6"/>
      <c r="B196" s="6"/>
      <c r="C196" s="6"/>
      <c r="D196" s="6"/>
      <c r="E196" s="6"/>
      <c r="F196" s="59"/>
      <c r="G196" s="58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3">
      <c r="A197" s="6"/>
      <c r="B197" s="6"/>
      <c r="C197" s="6"/>
      <c r="D197" s="6"/>
      <c r="E197" s="6"/>
      <c r="F197" s="59"/>
      <c r="G197" s="58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3">
      <c r="A198" s="6"/>
      <c r="B198" s="6"/>
      <c r="C198" s="6"/>
      <c r="D198" s="6"/>
      <c r="E198" s="6"/>
      <c r="F198" s="59"/>
      <c r="G198" s="58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3">
      <c r="A199" s="6"/>
      <c r="B199" s="6"/>
      <c r="C199" s="6"/>
      <c r="D199" s="6"/>
      <c r="E199" s="6"/>
      <c r="F199" s="59"/>
      <c r="G199" s="58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3">
      <c r="A200" s="6"/>
      <c r="B200" s="6"/>
      <c r="C200" s="6"/>
      <c r="D200" s="6"/>
      <c r="E200" s="6"/>
      <c r="F200" s="59"/>
      <c r="G200" s="58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3">
      <c r="A201" s="6"/>
      <c r="B201" s="6"/>
      <c r="C201" s="6"/>
      <c r="D201" s="6"/>
      <c r="E201" s="6"/>
      <c r="F201" s="59"/>
      <c r="G201" s="58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3">
      <c r="A202" s="6"/>
      <c r="B202" s="6"/>
      <c r="C202" s="6"/>
      <c r="D202" s="6"/>
      <c r="E202" s="6"/>
      <c r="F202" s="59"/>
      <c r="G202" s="58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3">
      <c r="A203" s="6"/>
      <c r="B203" s="6"/>
      <c r="C203" s="6"/>
      <c r="D203" s="6"/>
      <c r="E203" s="6"/>
      <c r="F203" s="59"/>
      <c r="G203" s="58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3">
      <c r="A204" s="6"/>
      <c r="B204" s="6"/>
      <c r="C204" s="6"/>
      <c r="D204" s="6"/>
      <c r="E204" s="6"/>
      <c r="F204" s="59"/>
      <c r="G204" s="58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3">
      <c r="A205" s="6"/>
      <c r="B205" s="6"/>
      <c r="C205" s="6"/>
      <c r="D205" s="6"/>
      <c r="E205" s="6"/>
      <c r="F205" s="59"/>
      <c r="G205" s="58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3">
      <c r="A206" s="6"/>
      <c r="B206" s="6"/>
      <c r="C206" s="6"/>
      <c r="D206" s="6"/>
      <c r="E206" s="6"/>
      <c r="F206" s="59"/>
      <c r="G206" s="58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3">
      <c r="A207" s="6"/>
      <c r="B207" s="6"/>
      <c r="C207" s="6"/>
      <c r="D207" s="6"/>
      <c r="E207" s="6"/>
      <c r="F207" s="59"/>
      <c r="G207" s="58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3">
      <c r="A208" s="6"/>
      <c r="B208" s="6"/>
      <c r="C208" s="6"/>
      <c r="D208" s="6"/>
      <c r="E208" s="6"/>
      <c r="F208" s="59"/>
      <c r="G208" s="58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3">
      <c r="A209" s="6"/>
      <c r="B209" s="6"/>
      <c r="C209" s="6"/>
      <c r="D209" s="6"/>
      <c r="E209" s="6"/>
      <c r="F209" s="59"/>
      <c r="G209" s="58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3">
      <c r="A210" s="6"/>
      <c r="B210" s="6"/>
      <c r="C210" s="6"/>
      <c r="D210" s="6"/>
      <c r="E210" s="6"/>
      <c r="F210" s="59"/>
      <c r="G210" s="58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3">
      <c r="A211" s="6"/>
      <c r="B211" s="6"/>
      <c r="C211" s="6"/>
      <c r="D211" s="6"/>
      <c r="E211" s="6"/>
      <c r="F211" s="59"/>
      <c r="G211" s="58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3">
      <c r="A212" s="6"/>
      <c r="B212" s="6"/>
      <c r="C212" s="6"/>
      <c r="D212" s="6"/>
      <c r="E212" s="6"/>
      <c r="F212" s="59"/>
      <c r="G212" s="58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3">
      <c r="A213" s="6"/>
      <c r="B213" s="6"/>
      <c r="C213" s="6"/>
      <c r="D213" s="6"/>
      <c r="E213" s="6"/>
      <c r="F213" s="59"/>
      <c r="G213" s="58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3">
      <c r="A214" s="6"/>
      <c r="B214" s="6"/>
      <c r="C214" s="6"/>
      <c r="D214" s="6"/>
      <c r="E214" s="6"/>
      <c r="F214" s="59"/>
      <c r="G214" s="58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3">
      <c r="A215" s="6"/>
      <c r="B215" s="6"/>
      <c r="C215" s="6"/>
      <c r="D215" s="6"/>
      <c r="E215" s="6"/>
      <c r="F215" s="59"/>
      <c r="G215" s="58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3">
      <c r="A216" s="6"/>
      <c r="B216" s="6"/>
      <c r="C216" s="6"/>
      <c r="D216" s="6"/>
      <c r="E216" s="6"/>
      <c r="F216" s="59"/>
      <c r="G216" s="58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3">
      <c r="A217" s="6"/>
      <c r="B217" s="6"/>
      <c r="C217" s="6"/>
      <c r="D217" s="6"/>
      <c r="E217" s="6"/>
      <c r="F217" s="59"/>
      <c r="G217" s="58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3">
      <c r="A218" s="6"/>
      <c r="B218" s="6"/>
      <c r="C218" s="6"/>
      <c r="D218" s="6"/>
      <c r="E218" s="6"/>
      <c r="F218" s="59"/>
      <c r="G218" s="58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3">
      <c r="A219" s="6"/>
      <c r="B219" s="6"/>
      <c r="C219" s="6"/>
      <c r="D219" s="6"/>
      <c r="E219" s="6"/>
      <c r="F219" s="59"/>
      <c r="G219" s="58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3">
      <c r="A220" s="6"/>
      <c r="B220" s="6"/>
      <c r="C220" s="6"/>
      <c r="D220" s="6"/>
      <c r="E220" s="6"/>
      <c r="F220" s="59"/>
      <c r="G220" s="58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3">
      <c r="A221" s="6"/>
      <c r="B221" s="6"/>
      <c r="C221" s="6"/>
      <c r="D221" s="6"/>
      <c r="E221" s="6"/>
      <c r="F221" s="59"/>
      <c r="G221" s="58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3">
      <c r="A222" s="6"/>
      <c r="B222" s="6"/>
      <c r="C222" s="6"/>
      <c r="D222" s="6"/>
      <c r="E222" s="6"/>
      <c r="F222" s="59"/>
      <c r="G222" s="58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3">
      <c r="A223" s="6"/>
      <c r="B223" s="6"/>
      <c r="C223" s="6"/>
      <c r="D223" s="6"/>
      <c r="E223" s="6"/>
      <c r="F223" s="59"/>
      <c r="G223" s="58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3">
      <c r="A224" s="6"/>
      <c r="B224" s="6"/>
      <c r="C224" s="6"/>
      <c r="D224" s="6"/>
      <c r="E224" s="6"/>
      <c r="F224" s="59"/>
      <c r="G224" s="58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3">
      <c r="A225" s="6"/>
      <c r="B225" s="6"/>
      <c r="C225" s="6"/>
      <c r="D225" s="6"/>
      <c r="E225" s="6"/>
      <c r="F225" s="59"/>
      <c r="G225" s="58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3">
      <c r="A226" s="6"/>
      <c r="B226" s="6"/>
      <c r="C226" s="6"/>
      <c r="D226" s="6"/>
      <c r="E226" s="6"/>
      <c r="F226" s="59"/>
      <c r="G226" s="58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3">
      <c r="A227" s="6"/>
      <c r="B227" s="6"/>
      <c r="C227" s="6"/>
      <c r="D227" s="6"/>
      <c r="E227" s="6"/>
      <c r="F227" s="59"/>
      <c r="G227" s="58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3">
      <c r="A228" s="6"/>
      <c r="B228" s="6"/>
      <c r="C228" s="6"/>
      <c r="D228" s="6"/>
      <c r="E228" s="6"/>
      <c r="F228" s="59"/>
      <c r="G228" s="58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3">
      <c r="A229" s="6"/>
      <c r="B229" s="6"/>
      <c r="C229" s="6"/>
      <c r="D229" s="6"/>
      <c r="E229" s="6"/>
      <c r="F229" s="59"/>
      <c r="G229" s="58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3">
      <c r="A230" s="6"/>
      <c r="B230" s="6"/>
      <c r="C230" s="6"/>
      <c r="D230" s="6"/>
      <c r="E230" s="6"/>
      <c r="F230" s="59"/>
      <c r="G230" s="58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3">
      <c r="A231" s="6"/>
      <c r="B231" s="6"/>
      <c r="C231" s="6"/>
      <c r="D231" s="6"/>
      <c r="E231" s="6"/>
      <c r="F231" s="59"/>
      <c r="G231" s="58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3">
      <c r="A232" s="6"/>
      <c r="B232" s="6"/>
      <c r="C232" s="6"/>
      <c r="D232" s="6"/>
      <c r="E232" s="6"/>
      <c r="F232" s="59"/>
      <c r="G232" s="58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3">
      <c r="A233" s="6"/>
      <c r="B233" s="6"/>
      <c r="C233" s="6"/>
      <c r="D233" s="6"/>
      <c r="E233" s="6"/>
      <c r="F233" s="59"/>
      <c r="G233" s="58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3">
      <c r="A234" s="6"/>
      <c r="B234" s="6"/>
      <c r="C234" s="6"/>
      <c r="D234" s="6"/>
      <c r="E234" s="6"/>
      <c r="F234" s="59"/>
      <c r="G234" s="58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3">
      <c r="A235" s="6"/>
      <c r="B235" s="6"/>
      <c r="C235" s="6"/>
      <c r="D235" s="6"/>
      <c r="E235" s="6"/>
      <c r="F235" s="59"/>
      <c r="G235" s="58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3">
      <c r="A236" s="6"/>
      <c r="B236" s="6"/>
      <c r="C236" s="6"/>
      <c r="D236" s="6"/>
      <c r="E236" s="6"/>
      <c r="F236" s="59"/>
      <c r="G236" s="58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3">
      <c r="A237" s="6"/>
      <c r="B237" s="6"/>
      <c r="C237" s="6"/>
      <c r="D237" s="6"/>
      <c r="E237" s="6"/>
      <c r="F237" s="59"/>
      <c r="G237" s="58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3">
      <c r="A238" s="6"/>
      <c r="B238" s="6"/>
      <c r="C238" s="6"/>
      <c r="D238" s="6"/>
      <c r="E238" s="6"/>
      <c r="F238" s="59"/>
      <c r="G238" s="58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3">
      <c r="A239" s="6"/>
      <c r="B239" s="6"/>
      <c r="C239" s="6"/>
      <c r="D239" s="6"/>
      <c r="E239" s="6"/>
      <c r="F239" s="59"/>
      <c r="G239" s="58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3">
      <c r="A240" s="6"/>
      <c r="B240" s="6"/>
      <c r="C240" s="6"/>
      <c r="D240" s="6"/>
      <c r="E240" s="6"/>
      <c r="F240" s="59"/>
      <c r="G240" s="58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3">
      <c r="A241" s="6"/>
      <c r="B241" s="6"/>
      <c r="C241" s="6"/>
      <c r="D241" s="6"/>
      <c r="E241" s="6"/>
      <c r="F241" s="59"/>
      <c r="G241" s="58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3">
      <c r="A242" s="6"/>
      <c r="B242" s="6"/>
      <c r="C242" s="6"/>
      <c r="D242" s="6"/>
      <c r="E242" s="6"/>
      <c r="F242" s="59"/>
      <c r="G242" s="58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3">
      <c r="A243" s="6"/>
      <c r="B243" s="6"/>
      <c r="C243" s="6"/>
      <c r="D243" s="6"/>
      <c r="E243" s="6"/>
      <c r="F243" s="59"/>
      <c r="G243" s="58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3">
      <c r="A244" s="6"/>
      <c r="B244" s="6"/>
      <c r="C244" s="6"/>
      <c r="D244" s="6"/>
      <c r="E244" s="6"/>
      <c r="F244" s="59"/>
      <c r="G244" s="58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3">
      <c r="A245" s="6"/>
      <c r="B245" s="6"/>
      <c r="C245" s="6"/>
      <c r="D245" s="6"/>
      <c r="E245" s="6"/>
      <c r="F245" s="59"/>
      <c r="G245" s="58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3">
      <c r="A246" s="6"/>
      <c r="B246" s="6"/>
      <c r="C246" s="6"/>
      <c r="D246" s="6"/>
      <c r="E246" s="6"/>
      <c r="F246" s="59"/>
      <c r="G246" s="58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3">
      <c r="A247" s="6"/>
      <c r="B247" s="6"/>
      <c r="C247" s="6"/>
      <c r="D247" s="6"/>
      <c r="E247" s="6"/>
      <c r="F247" s="59"/>
      <c r="G247" s="58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3">
      <c r="A248" s="6"/>
      <c r="B248" s="6"/>
      <c r="C248" s="6"/>
      <c r="D248" s="6"/>
      <c r="E248" s="6"/>
      <c r="F248" s="59"/>
      <c r="G248" s="58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3">
      <c r="A249" s="6"/>
      <c r="B249" s="6"/>
      <c r="C249" s="6"/>
      <c r="D249" s="6"/>
      <c r="E249" s="6"/>
      <c r="F249" s="59"/>
      <c r="G249" s="58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3">
      <c r="A250" s="6"/>
      <c r="B250" s="6"/>
      <c r="C250" s="6"/>
      <c r="D250" s="6"/>
      <c r="E250" s="6"/>
      <c r="F250" s="59"/>
      <c r="G250" s="58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3">
      <c r="A251" s="6"/>
      <c r="B251" s="6"/>
      <c r="C251" s="6"/>
      <c r="D251" s="6"/>
      <c r="E251" s="6"/>
      <c r="F251" s="59"/>
      <c r="G251" s="58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3">
      <c r="A252" s="6"/>
      <c r="B252" s="6"/>
      <c r="C252" s="6"/>
      <c r="D252" s="6"/>
      <c r="E252" s="6"/>
      <c r="F252" s="59"/>
      <c r="G252" s="58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3">
      <c r="A253" s="6"/>
      <c r="B253" s="6"/>
      <c r="C253" s="6"/>
      <c r="D253" s="6"/>
      <c r="E253" s="6"/>
      <c r="F253" s="59"/>
      <c r="G253" s="58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3">
      <c r="A254" s="6"/>
      <c r="B254" s="6"/>
      <c r="C254" s="6"/>
      <c r="D254" s="6"/>
      <c r="E254" s="6"/>
      <c r="F254" s="59"/>
      <c r="G254" s="58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3">
      <c r="A255" s="6"/>
      <c r="B255" s="6"/>
      <c r="C255" s="6"/>
      <c r="D255" s="6"/>
      <c r="E255" s="6"/>
      <c r="F255" s="59"/>
      <c r="G255" s="58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3">
      <c r="A256" s="6"/>
      <c r="B256" s="6"/>
      <c r="C256" s="6"/>
      <c r="D256" s="6"/>
      <c r="E256" s="6"/>
      <c r="F256" s="59"/>
      <c r="G256" s="58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3">
      <c r="A257" s="6"/>
      <c r="B257" s="6"/>
      <c r="C257" s="6"/>
      <c r="D257" s="6"/>
      <c r="E257" s="6"/>
      <c r="F257" s="59"/>
      <c r="G257" s="58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3">
      <c r="A258" s="6"/>
      <c r="B258" s="6"/>
      <c r="C258" s="6"/>
      <c r="D258" s="6"/>
      <c r="E258" s="6"/>
      <c r="F258" s="59"/>
      <c r="G258" s="58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3">
      <c r="A259" s="6"/>
      <c r="B259" s="6"/>
      <c r="C259" s="6"/>
      <c r="D259" s="6"/>
      <c r="E259" s="6"/>
      <c r="F259" s="59"/>
      <c r="G259" s="58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3">
      <c r="A260" s="6"/>
      <c r="B260" s="6"/>
      <c r="C260" s="6"/>
      <c r="D260" s="6"/>
      <c r="E260" s="6"/>
      <c r="F260" s="59"/>
      <c r="G260" s="58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3">
      <c r="A261" s="6"/>
      <c r="B261" s="6"/>
      <c r="C261" s="6"/>
      <c r="D261" s="6"/>
      <c r="E261" s="6"/>
      <c r="F261" s="59"/>
      <c r="G261" s="58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3">
      <c r="A262" s="6"/>
      <c r="B262" s="6"/>
      <c r="C262" s="6"/>
      <c r="D262" s="6"/>
      <c r="E262" s="6"/>
      <c r="F262" s="59"/>
      <c r="G262" s="58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3">
      <c r="A263" s="6"/>
      <c r="B263" s="6"/>
      <c r="C263" s="6"/>
      <c r="D263" s="6"/>
      <c r="E263" s="6"/>
      <c r="F263" s="59"/>
      <c r="G263" s="58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3">
      <c r="A264" s="6"/>
      <c r="B264" s="6"/>
      <c r="C264" s="6"/>
      <c r="D264" s="6"/>
      <c r="E264" s="6"/>
      <c r="F264" s="59"/>
      <c r="G264" s="58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3">
      <c r="A265" s="6"/>
      <c r="B265" s="6"/>
      <c r="C265" s="6"/>
      <c r="D265" s="6"/>
      <c r="E265" s="6"/>
      <c r="F265" s="59"/>
      <c r="G265" s="58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3">
      <c r="A266" s="6"/>
      <c r="B266" s="6"/>
      <c r="C266" s="6"/>
      <c r="D266" s="6"/>
      <c r="E266" s="6"/>
      <c r="F266" s="59"/>
      <c r="G266" s="58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3">
      <c r="A267" s="6"/>
      <c r="B267" s="6"/>
      <c r="C267" s="6"/>
      <c r="D267" s="6"/>
      <c r="E267" s="6"/>
      <c r="F267" s="59"/>
      <c r="G267" s="58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3">
      <c r="A268" s="6"/>
      <c r="B268" s="6"/>
      <c r="C268" s="6"/>
      <c r="D268" s="6"/>
      <c r="E268" s="6"/>
      <c r="F268" s="59"/>
      <c r="G268" s="58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3">
      <c r="A269" s="6"/>
      <c r="B269" s="6"/>
      <c r="C269" s="6"/>
      <c r="D269" s="6"/>
      <c r="E269" s="6"/>
      <c r="F269" s="59"/>
      <c r="G269" s="58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3">
      <c r="A270" s="6"/>
      <c r="B270" s="6"/>
      <c r="C270" s="6"/>
      <c r="D270" s="6"/>
      <c r="E270" s="6"/>
      <c r="F270" s="59"/>
      <c r="G270" s="58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3">
      <c r="A271" s="6"/>
      <c r="B271" s="6"/>
      <c r="C271" s="6"/>
      <c r="D271" s="6"/>
      <c r="E271" s="6"/>
      <c r="F271" s="59"/>
      <c r="G271" s="58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3">
      <c r="A272" s="6"/>
      <c r="B272" s="6"/>
      <c r="C272" s="6"/>
      <c r="D272" s="6"/>
      <c r="E272" s="6"/>
      <c r="F272" s="59"/>
      <c r="G272" s="58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3">
      <c r="A273" s="6"/>
      <c r="B273" s="6"/>
      <c r="C273" s="6"/>
      <c r="D273" s="6"/>
      <c r="E273" s="6"/>
      <c r="F273" s="59"/>
      <c r="G273" s="58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3">
      <c r="A274" s="6"/>
      <c r="B274" s="6"/>
      <c r="C274" s="6"/>
      <c r="D274" s="6"/>
      <c r="E274" s="6"/>
      <c r="F274" s="59"/>
      <c r="G274" s="58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3">
      <c r="A275" s="6"/>
      <c r="B275" s="6"/>
      <c r="C275" s="6"/>
      <c r="D275" s="6"/>
      <c r="E275" s="6"/>
      <c r="F275" s="59"/>
      <c r="G275" s="58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3">
      <c r="A276" s="6"/>
      <c r="B276" s="6"/>
      <c r="C276" s="6"/>
      <c r="D276" s="6"/>
      <c r="E276" s="6"/>
      <c r="F276" s="59"/>
      <c r="G276" s="58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3">
      <c r="A277" s="6"/>
      <c r="B277" s="6"/>
      <c r="C277" s="6"/>
      <c r="D277" s="6"/>
      <c r="E277" s="6"/>
      <c r="F277" s="59"/>
      <c r="G277" s="58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3">
      <c r="A278" s="6"/>
      <c r="B278" s="6"/>
      <c r="C278" s="6"/>
      <c r="D278" s="6"/>
      <c r="E278" s="6"/>
      <c r="F278" s="59"/>
      <c r="G278" s="58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3">
      <c r="A279" s="6"/>
      <c r="B279" s="6"/>
      <c r="C279" s="6"/>
      <c r="D279" s="6"/>
      <c r="E279" s="6"/>
      <c r="F279" s="59"/>
      <c r="G279" s="58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3">
      <c r="A280" s="6"/>
      <c r="B280" s="6"/>
      <c r="C280" s="6"/>
      <c r="D280" s="6"/>
      <c r="E280" s="6"/>
      <c r="F280" s="59"/>
      <c r="G280" s="58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3">
      <c r="A281" s="6"/>
      <c r="B281" s="6"/>
      <c r="C281" s="6"/>
      <c r="D281" s="6"/>
      <c r="E281" s="6"/>
      <c r="F281" s="59"/>
      <c r="G281" s="58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3">
      <c r="A282" s="6"/>
      <c r="B282" s="6"/>
      <c r="C282" s="6"/>
      <c r="D282" s="6"/>
      <c r="E282" s="6"/>
      <c r="F282" s="59"/>
      <c r="G282" s="58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3">
      <c r="A283" s="6"/>
      <c r="B283" s="6"/>
      <c r="C283" s="6"/>
      <c r="D283" s="6"/>
      <c r="E283" s="6"/>
      <c r="F283" s="59"/>
      <c r="G283" s="58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3">
      <c r="A284" s="6"/>
      <c r="B284" s="6"/>
      <c r="C284" s="6"/>
      <c r="D284" s="6"/>
      <c r="E284" s="6"/>
      <c r="F284" s="59"/>
      <c r="G284" s="58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3">
      <c r="A285" s="6"/>
      <c r="B285" s="6"/>
      <c r="C285" s="6"/>
      <c r="D285" s="6"/>
      <c r="E285" s="6"/>
      <c r="F285" s="59"/>
      <c r="G285" s="58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3">
      <c r="A286" s="6"/>
      <c r="B286" s="6"/>
      <c r="C286" s="6"/>
      <c r="D286" s="6"/>
      <c r="E286" s="6"/>
      <c r="F286" s="59"/>
      <c r="G286" s="58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3">
      <c r="A287" s="6"/>
      <c r="B287" s="6"/>
      <c r="C287" s="6"/>
      <c r="D287" s="6"/>
      <c r="E287" s="6"/>
      <c r="F287" s="59"/>
      <c r="G287" s="58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3">
      <c r="A288" s="6"/>
      <c r="B288" s="6"/>
      <c r="C288" s="6"/>
      <c r="D288" s="6"/>
      <c r="E288" s="6"/>
      <c r="F288" s="59"/>
      <c r="G288" s="58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3">
      <c r="A289" s="6"/>
      <c r="B289" s="6"/>
      <c r="C289" s="6"/>
      <c r="D289" s="6"/>
      <c r="E289" s="6"/>
      <c r="F289" s="59"/>
      <c r="G289" s="58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3">
      <c r="A290" s="6"/>
      <c r="B290" s="6"/>
      <c r="C290" s="6"/>
      <c r="D290" s="6"/>
      <c r="E290" s="6"/>
      <c r="F290" s="59"/>
      <c r="G290" s="58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3">
      <c r="A291" s="6"/>
      <c r="B291" s="6"/>
      <c r="C291" s="6"/>
      <c r="D291" s="6"/>
      <c r="E291" s="6"/>
      <c r="F291" s="59"/>
      <c r="G291" s="58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3">
      <c r="A292" s="6"/>
      <c r="B292" s="6"/>
      <c r="C292" s="6"/>
      <c r="D292" s="6"/>
      <c r="E292" s="6"/>
      <c r="F292" s="59"/>
      <c r="G292" s="58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3">
      <c r="A293" s="6"/>
      <c r="B293" s="6"/>
      <c r="C293" s="6"/>
      <c r="D293" s="6"/>
      <c r="E293" s="6"/>
      <c r="F293" s="59"/>
      <c r="G293" s="58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3">
      <c r="A294" s="6"/>
      <c r="B294" s="6"/>
      <c r="C294" s="6"/>
      <c r="D294" s="6"/>
      <c r="E294" s="6"/>
      <c r="F294" s="59"/>
      <c r="G294" s="58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3">
      <c r="A295" s="6"/>
      <c r="B295" s="6"/>
      <c r="C295" s="6"/>
      <c r="D295" s="6"/>
      <c r="E295" s="6"/>
      <c r="F295" s="59"/>
      <c r="G295" s="58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3">
      <c r="A296" s="6"/>
      <c r="B296" s="6"/>
      <c r="C296" s="6"/>
      <c r="D296" s="6"/>
      <c r="E296" s="6"/>
      <c r="F296" s="59"/>
      <c r="G296" s="58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3">
      <c r="A297" s="6"/>
      <c r="B297" s="6"/>
      <c r="C297" s="6"/>
      <c r="D297" s="6"/>
      <c r="E297" s="6"/>
      <c r="F297" s="59"/>
      <c r="G297" s="58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3">
      <c r="A298" s="6"/>
      <c r="B298" s="6"/>
      <c r="C298" s="6"/>
      <c r="D298" s="6"/>
      <c r="E298" s="6"/>
      <c r="F298" s="59"/>
      <c r="G298" s="58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3">
      <c r="A299" s="6"/>
      <c r="B299" s="6"/>
      <c r="C299" s="6"/>
      <c r="D299" s="6"/>
      <c r="E299" s="6"/>
      <c r="F299" s="59"/>
      <c r="G299" s="58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3">
      <c r="A300" s="6"/>
      <c r="B300" s="6"/>
      <c r="C300" s="6"/>
      <c r="D300" s="6"/>
      <c r="E300" s="6"/>
      <c r="F300" s="59"/>
      <c r="G300" s="58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3">
      <c r="A301" s="6"/>
      <c r="B301" s="6"/>
      <c r="C301" s="6"/>
      <c r="D301" s="6"/>
      <c r="E301" s="6"/>
      <c r="F301" s="59"/>
      <c r="G301" s="58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3">
      <c r="A302" s="6"/>
      <c r="B302" s="6"/>
      <c r="C302" s="6"/>
      <c r="D302" s="6"/>
      <c r="E302" s="6"/>
      <c r="F302" s="59"/>
      <c r="G302" s="58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</sheetData>
  <sheetProtection password="CA97" sheet="1" objects="1" scenarios="1"/>
  <mergeCells count="2">
    <mergeCell ref="B88:E88"/>
    <mergeCell ref="B1:D1"/>
  </mergeCells>
  <hyperlinks>
    <hyperlink ref="F6" location="Focus!B3" tooltip="Click to jump to the AA Focus Areas." display="AA Focus Areas"/>
    <hyperlink ref="F7" location="Focus!B88" tooltip="Click to jump to the AS Focus Areas." display="AS Focus Areas"/>
    <hyperlink ref="F10" location="Focus!B3" tooltip="Click to view the African American Studies focus." display="African American Studies"/>
    <hyperlink ref="F11" location="Focus!B7" tooltip="Click to view the Anthropology focus." display="Anthropology"/>
    <hyperlink ref="F12" location="Focus!B11" tooltip="Click to view the Communcation focus." display="Communication"/>
    <hyperlink ref="F13" location="Focus!B17" tooltip="Click to view the Criminal Justice focus." display="Criminal Justice"/>
    <hyperlink ref="F14" location="Focus!B22" tooltip="Click to view the English focus." display="English"/>
    <hyperlink ref="F15" location="Focus!B28" tooltip="Click to view the Family Studies focus." display="Family Studies"/>
    <hyperlink ref="F16" location="Focus!B32" tooltip="Click to view the Film Studies focus." display="Film Studies"/>
    <hyperlink ref="F17" location="Focus!B37" tooltip="Click to view the Geography focus." display="Geography"/>
    <hyperlink ref="F18" location="Focus!B41" tooltip="Click to view the History focus." display="History"/>
    <hyperlink ref="F19" location="Focus!B45" tooltip="Click to view the Journalism focus." display="Journalism"/>
    <hyperlink ref="F20" location="Focus!B49" tooltip="Click to view the Peace &amp; Justice Studies focus." display="Peace &amp; Justice Studies"/>
    <hyperlink ref="F21" location="Focus!B55" tooltip="Click to view the Philosophy focus." display="Philosophy"/>
    <hyperlink ref="F22" location="Focus!B58" tooltip="Click to view the Political Science focus." display="Political Science"/>
    <hyperlink ref="F23" location="Focus!B62" tooltip="Click to view the Pre-Business focus." display="Pre-Business"/>
    <hyperlink ref="F24" location="Focus!B66" tooltip="Click to view the Psychology focus." display="Psychology"/>
    <hyperlink ref="F25" location="Focus!B70" tooltip="Click to view the Social Work focus." display="Social Work"/>
    <hyperlink ref="F26" location="Focus!B75" tooltip="Click to view the Sociology focus." display="Sociology"/>
    <hyperlink ref="F27" location="Focus!B80" tooltip="Click to view the Women's Studies focus." display="Women's Studies"/>
    <hyperlink ref="F30" location="Focus!B88" tooltip="Click to view the Allied Health focus." display="Allied Health"/>
    <hyperlink ref="F31" location="Focus!B95" tooltip="Click to view the Chemistry focus." display="Chemistry"/>
    <hyperlink ref="F32" location="Focus!B100" tooltip="Click to view the Computer Science focus." display="Computer Science"/>
    <hyperlink ref="F33" location="Focus!B103" tooltip="Click to view the Mathematics focus." display="Mathematics"/>
    <hyperlink ref="F34" location="Focus!B106" tooltip="Click to view the Natural Sciences focus." display="Natural Sciences"/>
    <hyperlink ref="F35" location="Focus!B110" tooltip="Click to view the Pre-Education focus." display="Pre-Education"/>
    <hyperlink ref="F36" location="Focus!B113" tooltip="Click to view the Pre-Engineering focus." display="Pre-Engineering"/>
    <hyperlink ref="G8" location="Menu!A1" tooltip="Click to return to the main page." display="Main Menu"/>
    <hyperlink ref="F90" location="FocusMenu" tooltip="Click to return to the main page." display="Return To Menu"/>
    <hyperlink ref="G6" location="Arts!A1" tooltip="Click to return to the AA audit." display="Return To AA"/>
    <hyperlink ref="G7" location="Science!A1" tooltip="Click to return to the AS audit." display="Return To AS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theme="9" tint="-0.249977111117893"/>
  </sheetPr>
  <dimension ref="A1:Z502"/>
  <sheetViews>
    <sheetView workbookViewId="0">
      <selection activeCell="E11" sqref="E11"/>
    </sheetView>
  </sheetViews>
  <sheetFormatPr defaultRowHeight="14.4" x14ac:dyDescent="0.3"/>
  <cols>
    <col min="5" max="5" width="39.109375" customWidth="1"/>
    <col min="6" max="6" width="21.6640625" customWidth="1"/>
    <col min="7" max="7" width="9.109375" customWidth="1"/>
    <col min="10" max="10" width="10.109375" customWidth="1"/>
    <col min="12" max="12" width="28.33203125" style="167" customWidth="1"/>
    <col min="13" max="13" width="14.6640625" customWidth="1"/>
  </cols>
  <sheetData>
    <row r="1" spans="1:26" ht="24.75" x14ac:dyDescent="0.4">
      <c r="A1" s="248" t="s">
        <v>752</v>
      </c>
      <c r="B1" s="248"/>
      <c r="C1" s="248"/>
      <c r="D1" s="248"/>
      <c r="E1" s="248"/>
      <c r="F1" s="248"/>
      <c r="G1" s="248"/>
      <c r="H1" s="248"/>
      <c r="I1" s="248"/>
      <c r="J1" s="55"/>
      <c r="K1" s="74"/>
      <c r="L1" s="59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74"/>
      <c r="Y1" s="74"/>
      <c r="Z1" s="74"/>
    </row>
    <row r="2" spans="1:26" ht="24.75" x14ac:dyDescent="0.4">
      <c r="A2" s="248" t="s">
        <v>837</v>
      </c>
      <c r="B2" s="248"/>
      <c r="C2" s="248"/>
      <c r="D2" s="248"/>
      <c r="E2" s="248"/>
      <c r="F2" s="248"/>
      <c r="G2" s="248"/>
      <c r="H2" s="248"/>
      <c r="I2" s="248"/>
      <c r="J2" s="55"/>
      <c r="K2" s="74"/>
      <c r="L2" s="5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4"/>
      <c r="Y2" s="74"/>
      <c r="Z2" s="74"/>
    </row>
    <row r="3" spans="1:26" ht="15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74"/>
      <c r="L3" s="5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4"/>
      <c r="Y3" s="74"/>
      <c r="Z3" s="74"/>
    </row>
    <row r="4" spans="1:26" ht="15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74"/>
      <c r="L4" s="5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4"/>
      <c r="Y4" s="74"/>
      <c r="Z4" s="74"/>
    </row>
    <row r="5" spans="1:26" ht="21" x14ac:dyDescent="0.35">
      <c r="A5" s="46"/>
      <c r="B5" s="46"/>
      <c r="C5" s="46"/>
      <c r="D5" s="46"/>
      <c r="E5" s="46"/>
      <c r="F5" s="46"/>
      <c r="G5" s="46"/>
      <c r="H5" s="46"/>
      <c r="I5" s="46"/>
      <c r="J5" s="46"/>
      <c r="K5" s="74"/>
      <c r="L5" s="59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74"/>
      <c r="Y5" s="74"/>
      <c r="Z5" s="74"/>
    </row>
    <row r="6" spans="1:26" ht="15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74"/>
      <c r="L6" s="59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74"/>
      <c r="Y6" s="74"/>
      <c r="Z6" s="74"/>
    </row>
    <row r="7" spans="1:26" ht="1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74"/>
      <c r="L7" s="59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74"/>
      <c r="Y7" s="74"/>
      <c r="Z7" s="74"/>
    </row>
    <row r="8" spans="1:26" ht="15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74"/>
      <c r="L8" s="59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74"/>
      <c r="Y8" s="74"/>
      <c r="Z8" s="74"/>
    </row>
    <row r="9" spans="1:26" ht="15.75" x14ac:dyDescent="0.25">
      <c r="A9" s="6"/>
      <c r="B9" s="45"/>
      <c r="C9" s="6"/>
      <c r="D9" s="6"/>
      <c r="E9" s="6"/>
      <c r="F9" s="6"/>
      <c r="G9" s="6"/>
      <c r="H9" s="6"/>
      <c r="I9" s="6"/>
      <c r="J9" s="6"/>
      <c r="K9" s="74"/>
      <c r="L9" s="59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74"/>
      <c r="Y9" s="74"/>
      <c r="Z9" s="74"/>
    </row>
    <row r="10" spans="1:26" ht="15.75" x14ac:dyDescent="0.25">
      <c r="A10" s="6"/>
      <c r="B10" s="45"/>
      <c r="C10" s="6"/>
      <c r="D10" s="6"/>
      <c r="E10" s="6"/>
      <c r="F10" s="6"/>
      <c r="G10" s="6"/>
      <c r="H10" s="6"/>
      <c r="I10" s="6"/>
      <c r="J10" s="6"/>
      <c r="K10" s="74"/>
      <c r="L10" s="59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74"/>
      <c r="Y10" s="74"/>
      <c r="Z10" s="74"/>
    </row>
    <row r="11" spans="1:26" ht="19.5" thickBot="1" x14ac:dyDescent="0.35">
      <c r="A11" s="6"/>
      <c r="B11" s="47"/>
      <c r="C11" s="47"/>
      <c r="D11" s="47"/>
      <c r="E11" s="156" t="s">
        <v>738</v>
      </c>
      <c r="F11" s="88"/>
      <c r="G11" s="64"/>
      <c r="H11" s="64"/>
      <c r="I11" s="64"/>
      <c r="J11" s="64"/>
      <c r="K11" s="74"/>
      <c r="L11" s="59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74"/>
      <c r="Y11" s="74"/>
      <c r="Z11" s="74"/>
    </row>
    <row r="12" spans="1:26" ht="20.25" thickTop="1" thickBot="1" x14ac:dyDescent="0.35">
      <c r="A12" s="6"/>
      <c r="B12" s="47"/>
      <c r="C12" s="47"/>
      <c r="D12" s="47"/>
      <c r="E12" s="154" t="s">
        <v>844</v>
      </c>
      <c r="F12" s="154" t="s">
        <v>1153</v>
      </c>
      <c r="G12" s="71"/>
      <c r="H12" s="71"/>
      <c r="I12" s="71"/>
      <c r="J12" s="71"/>
      <c r="K12" s="74"/>
      <c r="L12" s="59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74"/>
      <c r="Y12" s="74"/>
      <c r="Z12" s="74"/>
    </row>
    <row r="13" spans="1:26" ht="16.5" thickTop="1" thickBot="1" x14ac:dyDescent="0.3">
      <c r="A13" s="6"/>
      <c r="B13" s="6"/>
      <c r="C13" s="6"/>
      <c r="D13" s="6"/>
      <c r="E13" s="154" t="s">
        <v>842</v>
      </c>
      <c r="F13" s="154" t="s">
        <v>862</v>
      </c>
      <c r="G13" s="71"/>
      <c r="H13" s="71"/>
      <c r="I13" s="71"/>
      <c r="J13" s="71"/>
      <c r="K13" s="74"/>
      <c r="L13" s="59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74"/>
      <c r="Y13" s="74"/>
      <c r="Z13" s="74"/>
    </row>
    <row r="14" spans="1:26" ht="16.5" thickTop="1" thickBot="1" x14ac:dyDescent="0.3">
      <c r="A14" s="6"/>
      <c r="B14" s="6"/>
      <c r="C14" s="6"/>
      <c r="D14" s="6"/>
      <c r="E14" s="154" t="s">
        <v>738</v>
      </c>
      <c r="F14" s="154" t="s">
        <v>863</v>
      </c>
      <c r="G14" s="71"/>
      <c r="H14" s="71"/>
      <c r="I14" s="124"/>
      <c r="J14" s="124"/>
      <c r="K14" s="74"/>
      <c r="L14" s="59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74"/>
      <c r="Y14" s="74"/>
      <c r="Z14" s="74"/>
    </row>
    <row r="15" spans="1:26" ht="16.5" thickTop="1" thickBot="1" x14ac:dyDescent="0.3">
      <c r="A15" s="6"/>
      <c r="B15" s="6"/>
      <c r="C15" s="6"/>
      <c r="D15" s="6"/>
      <c r="E15" s="154" t="s">
        <v>843</v>
      </c>
      <c r="F15" s="88"/>
      <c r="G15" s="71"/>
      <c r="H15" s="71"/>
      <c r="I15" s="71"/>
      <c r="J15" s="71"/>
      <c r="K15" s="74"/>
      <c r="L15" s="59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74"/>
      <c r="Y15" s="74"/>
      <c r="Z15" s="74"/>
    </row>
    <row r="16" spans="1:26" ht="16.5" thickTop="1" thickBot="1" x14ac:dyDescent="0.3">
      <c r="A16" s="6"/>
      <c r="B16" s="6"/>
      <c r="C16" s="6"/>
      <c r="D16" s="6"/>
      <c r="E16" s="154" t="s">
        <v>29</v>
      </c>
      <c r="F16" s="88"/>
      <c r="G16" s="71"/>
      <c r="H16" s="71"/>
      <c r="I16" s="71"/>
      <c r="J16" s="71"/>
      <c r="K16" s="74"/>
      <c r="L16" s="59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74"/>
      <c r="Y16" s="74"/>
      <c r="Z16" s="74"/>
    </row>
    <row r="17" spans="1:26" ht="18.75" thickTop="1" thickBot="1" x14ac:dyDescent="0.35">
      <c r="A17" s="50"/>
      <c r="B17" s="50"/>
      <c r="C17" s="50"/>
      <c r="D17" s="50"/>
      <c r="E17" s="154" t="s">
        <v>41</v>
      </c>
      <c r="F17" s="88"/>
      <c r="G17" s="71"/>
      <c r="H17" s="71"/>
      <c r="I17" s="71"/>
      <c r="J17" s="71"/>
      <c r="K17" s="74"/>
      <c r="L17" s="59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74"/>
      <c r="Y17" s="74"/>
      <c r="Z17" s="74"/>
    </row>
    <row r="18" spans="1:26" ht="18.75" thickTop="1" thickBot="1" x14ac:dyDescent="0.35">
      <c r="A18" s="50"/>
      <c r="B18" s="50"/>
      <c r="C18" s="50"/>
      <c r="D18" s="50"/>
      <c r="E18" s="154" t="s">
        <v>49</v>
      </c>
      <c r="F18" s="88"/>
      <c r="G18" s="71"/>
      <c r="H18" s="71"/>
      <c r="I18" s="71"/>
      <c r="J18" s="71"/>
      <c r="K18" s="74"/>
      <c r="L18" s="59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74"/>
      <c r="Y18" s="74"/>
      <c r="Z18" s="74"/>
    </row>
    <row r="19" spans="1:26" ht="18.75" thickTop="1" thickBot="1" x14ac:dyDescent="0.35">
      <c r="A19" s="50"/>
      <c r="B19" s="50"/>
      <c r="C19" s="50"/>
      <c r="D19" s="50"/>
      <c r="E19" s="154" t="s">
        <v>839</v>
      </c>
      <c r="F19" s="88"/>
      <c r="G19" s="71"/>
      <c r="H19" s="71"/>
      <c r="I19" s="71"/>
      <c r="J19" s="71"/>
      <c r="K19" s="74"/>
      <c r="L19" s="59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74"/>
      <c r="Y19" s="74"/>
      <c r="Z19" s="74"/>
    </row>
    <row r="20" spans="1:26" ht="18.75" thickTop="1" thickBot="1" x14ac:dyDescent="0.35">
      <c r="A20" s="50"/>
      <c r="B20" s="50"/>
      <c r="C20" s="50"/>
      <c r="D20" s="50"/>
      <c r="E20" s="154" t="s">
        <v>753</v>
      </c>
      <c r="F20" s="88"/>
      <c r="G20" s="71"/>
      <c r="H20" s="71"/>
      <c r="I20" s="71"/>
      <c r="J20" s="71"/>
      <c r="K20" s="74"/>
      <c r="L20" s="59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74"/>
      <c r="Y20" s="74"/>
      <c r="Z20" s="74"/>
    </row>
    <row r="21" spans="1:26" ht="18.75" thickTop="1" thickBot="1" x14ac:dyDescent="0.35">
      <c r="A21" s="50"/>
      <c r="B21" s="50"/>
      <c r="C21" s="50"/>
      <c r="D21" s="50"/>
      <c r="E21" s="154" t="s">
        <v>840</v>
      </c>
      <c r="F21" s="88"/>
      <c r="G21" s="71"/>
      <c r="H21" s="71"/>
      <c r="I21" s="71"/>
      <c r="J21" s="71"/>
      <c r="K21" s="74"/>
      <c r="L21" s="59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74"/>
      <c r="Y21" s="74"/>
      <c r="Z21" s="74"/>
    </row>
    <row r="22" spans="1:26" ht="18.75" thickTop="1" thickBot="1" x14ac:dyDescent="0.35">
      <c r="A22" s="50"/>
      <c r="B22" s="50"/>
      <c r="C22" s="50"/>
      <c r="D22" s="50"/>
      <c r="E22" s="154" t="s">
        <v>54</v>
      </c>
      <c r="F22" s="88"/>
      <c r="G22" s="71"/>
      <c r="H22" s="71"/>
      <c r="I22" s="71"/>
      <c r="J22" s="71"/>
      <c r="K22" s="74"/>
      <c r="L22" s="59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74"/>
      <c r="Y22" s="74"/>
      <c r="Z22" s="74"/>
    </row>
    <row r="23" spans="1:26" ht="16.5" thickTop="1" thickBot="1" x14ac:dyDescent="0.3">
      <c r="A23" s="6"/>
      <c r="B23" s="6"/>
      <c r="C23" s="6"/>
      <c r="D23" s="6"/>
      <c r="E23" s="154" t="s">
        <v>55</v>
      </c>
      <c r="F23" s="88"/>
      <c r="G23" s="71"/>
      <c r="H23" s="71"/>
      <c r="I23" s="71"/>
      <c r="J23" s="71"/>
      <c r="K23" s="74"/>
      <c r="L23" s="59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74"/>
      <c r="Y23" s="74"/>
      <c r="Z23" s="74"/>
    </row>
    <row r="24" spans="1:26" ht="16.5" thickTop="1" thickBot="1" x14ac:dyDescent="0.3">
      <c r="A24" s="6"/>
      <c r="B24" s="6"/>
      <c r="C24" s="6"/>
      <c r="D24" s="6"/>
      <c r="E24" s="154" t="s">
        <v>841</v>
      </c>
      <c r="F24" s="88"/>
      <c r="G24" s="71"/>
      <c r="H24" s="71"/>
      <c r="I24" s="71"/>
      <c r="J24" s="71"/>
      <c r="K24" s="74"/>
      <c r="L24" s="59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74"/>
      <c r="Y24" s="74"/>
      <c r="Z24" s="74"/>
    </row>
    <row r="25" spans="1:26" ht="16.5" thickTop="1" thickBot="1" x14ac:dyDescent="0.3">
      <c r="A25" s="6"/>
      <c r="B25" s="6"/>
      <c r="C25" s="6"/>
      <c r="D25" s="6"/>
      <c r="E25" s="154" t="s">
        <v>70</v>
      </c>
      <c r="F25" s="88"/>
      <c r="G25" s="53"/>
      <c r="H25" s="53"/>
      <c r="I25" s="53"/>
      <c r="J25" s="53"/>
      <c r="K25" s="74"/>
      <c r="L25" s="59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74"/>
      <c r="Y25" s="74"/>
      <c r="Z25" s="74"/>
    </row>
    <row r="26" spans="1:26" ht="15.75" thickTop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74"/>
      <c r="L26" s="59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74"/>
      <c r="Y26" s="74"/>
      <c r="Z26" s="74"/>
    </row>
    <row r="27" spans="1:26" ht="1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74"/>
      <c r="L27" s="59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74"/>
      <c r="Y27" s="74"/>
      <c r="Z27" s="74"/>
    </row>
    <row r="28" spans="1:26" ht="15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74"/>
      <c r="L28" s="59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74"/>
      <c r="Y28" s="74"/>
      <c r="Z28" s="74"/>
    </row>
    <row r="29" spans="1:26" ht="15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74"/>
      <c r="L29" s="59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74"/>
      <c r="Y29" s="74"/>
      <c r="Z29" s="74"/>
    </row>
    <row r="30" spans="1:26" ht="15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74"/>
      <c r="L30" s="59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74"/>
      <c r="Y30" s="74"/>
      <c r="Z30" s="74"/>
    </row>
    <row r="31" spans="1:26" ht="15" x14ac:dyDescent="0.2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74"/>
      <c r="L31" s="16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74"/>
      <c r="Y31" s="74"/>
      <c r="Z31" s="74"/>
    </row>
    <row r="32" spans="1:26" ht="15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74"/>
      <c r="L32" s="59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74"/>
      <c r="Y32" s="74"/>
      <c r="Z32" s="74"/>
    </row>
    <row r="33" spans="1:26" ht="15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74"/>
      <c r="L33" s="59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74"/>
      <c r="Y33" s="74"/>
      <c r="Z33" s="74"/>
    </row>
    <row r="34" spans="1:26" ht="15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74"/>
      <c r="L34" s="59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74"/>
      <c r="Y34" s="74"/>
      <c r="Z34" s="74"/>
    </row>
    <row r="35" spans="1:26" ht="15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74"/>
      <c r="L35" s="59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74"/>
      <c r="Y35" s="74"/>
      <c r="Z35" s="74"/>
    </row>
    <row r="36" spans="1:26" ht="15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74"/>
      <c r="L36" s="59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74"/>
      <c r="Y36" s="74"/>
      <c r="Z36" s="74"/>
    </row>
    <row r="37" spans="1:26" ht="15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74"/>
      <c r="L37" s="59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74"/>
      <c r="Y37" s="74"/>
      <c r="Z37" s="74"/>
    </row>
    <row r="38" spans="1:26" ht="15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74"/>
      <c r="L38" s="59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74"/>
      <c r="Y38" s="74"/>
      <c r="Z38" s="74"/>
    </row>
    <row r="39" spans="1:26" ht="1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74"/>
      <c r="L39" s="59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74"/>
      <c r="Y39" s="74"/>
      <c r="Z39" s="74"/>
    </row>
    <row r="40" spans="1:26" ht="15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74"/>
      <c r="L40" s="59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74"/>
      <c r="Y40" s="74"/>
      <c r="Z40" s="74"/>
    </row>
    <row r="41" spans="1:26" ht="15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74"/>
      <c r="L41" s="59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74"/>
      <c r="Y41" s="74"/>
      <c r="Z41" s="74"/>
    </row>
    <row r="42" spans="1:26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74"/>
      <c r="L42" s="59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74"/>
      <c r="Y42" s="74"/>
      <c r="Z42" s="74"/>
    </row>
    <row r="43" spans="1:26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74"/>
      <c r="L43" s="59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74"/>
      <c r="Y43" s="74"/>
      <c r="Z43" s="74"/>
    </row>
    <row r="44" spans="1:26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74"/>
      <c r="L44" s="59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74"/>
      <c r="Y44" s="74"/>
      <c r="Z44" s="74"/>
    </row>
    <row r="45" spans="1:26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74"/>
      <c r="L45" s="59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74"/>
      <c r="Y45" s="74"/>
      <c r="Z45" s="74"/>
    </row>
    <row r="46" spans="1:26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74"/>
      <c r="L46" s="59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74"/>
      <c r="Y46" s="74"/>
      <c r="Z46" s="74"/>
    </row>
    <row r="47" spans="1:26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74"/>
      <c r="L47" s="59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74"/>
      <c r="Y47" s="74"/>
      <c r="Z47" s="74"/>
    </row>
    <row r="48" spans="1:26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74"/>
      <c r="L48" s="59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74"/>
      <c r="Y48" s="74"/>
      <c r="Z48" s="74"/>
    </row>
    <row r="49" spans="1:26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74"/>
      <c r="L49" s="59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74"/>
      <c r="Y49" s="74"/>
      <c r="Z49" s="74"/>
    </row>
    <row r="50" spans="1:26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74"/>
      <c r="L50" s="59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74"/>
      <c r="Y50" s="74"/>
      <c r="Z50" s="74"/>
    </row>
    <row r="51" spans="1:26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74"/>
      <c r="L51" s="59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74"/>
      <c r="Y51" s="74"/>
      <c r="Z51" s="74"/>
    </row>
    <row r="52" spans="1:26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74"/>
      <c r="L52" s="59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74"/>
      <c r="Y52" s="74"/>
      <c r="Z52" s="74"/>
    </row>
    <row r="53" spans="1:26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74"/>
      <c r="L53" s="59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74"/>
      <c r="Y53" s="74"/>
      <c r="Z53" s="74"/>
    </row>
    <row r="54" spans="1:26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74"/>
      <c r="L54" s="59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74"/>
      <c r="Y54" s="74"/>
      <c r="Z54" s="74"/>
    </row>
    <row r="55" spans="1:26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74"/>
      <c r="L55" s="59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74"/>
      <c r="Y55" s="74"/>
      <c r="Z55" s="74"/>
    </row>
    <row r="56" spans="1:26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74"/>
      <c r="L56" s="59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74"/>
      <c r="Y56" s="74"/>
      <c r="Z56" s="74"/>
    </row>
    <row r="57" spans="1:26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74"/>
      <c r="L57" s="59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74"/>
      <c r="Y57" s="74"/>
      <c r="Z57" s="74"/>
    </row>
    <row r="58" spans="1:26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74"/>
      <c r="L58" s="59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74"/>
      <c r="Y58" s="74"/>
      <c r="Z58" s="74"/>
    </row>
    <row r="59" spans="1:26" ht="18.600000000000001" thickBot="1" x14ac:dyDescent="0.4">
      <c r="A59" s="6"/>
      <c r="B59" s="21" t="s">
        <v>844</v>
      </c>
      <c r="C59" s="6"/>
      <c r="D59" s="6"/>
      <c r="E59" s="6"/>
      <c r="F59" s="6"/>
      <c r="G59" s="6"/>
      <c r="H59" s="6"/>
      <c r="I59" s="6"/>
      <c r="J59" s="6"/>
      <c r="K59" s="74"/>
      <c r="L59" s="155" t="s">
        <v>997</v>
      </c>
      <c r="M59" s="88"/>
      <c r="N59" s="53"/>
      <c r="O59" s="53"/>
      <c r="P59" s="53"/>
      <c r="Q59" s="53"/>
      <c r="R59" s="6"/>
      <c r="S59" s="6"/>
      <c r="T59" s="6"/>
      <c r="U59" s="6"/>
      <c r="V59" s="6"/>
      <c r="W59" s="6"/>
      <c r="X59" s="74"/>
      <c r="Y59" s="74"/>
      <c r="Z59" s="74"/>
    </row>
    <row r="60" spans="1:26" ht="15" thickTop="1" x14ac:dyDescent="0.3">
      <c r="A60" s="6"/>
      <c r="B60" s="22" t="s">
        <v>864</v>
      </c>
      <c r="C60" s="22"/>
      <c r="D60" s="22"/>
      <c r="E60" s="22"/>
      <c r="F60" s="22"/>
      <c r="G60" s="22"/>
      <c r="H60" s="22"/>
      <c r="I60" s="22"/>
      <c r="J60" s="22"/>
      <c r="K60" s="74"/>
      <c r="L60" s="59"/>
      <c r="M60" s="87"/>
      <c r="N60" s="64"/>
      <c r="O60" s="64"/>
      <c r="P60" s="64"/>
      <c r="Q60" s="64"/>
      <c r="R60" s="6"/>
      <c r="S60" s="6"/>
      <c r="T60" s="6"/>
      <c r="U60" s="6"/>
      <c r="V60" s="6"/>
      <c r="W60" s="6"/>
      <c r="X60" s="74"/>
      <c r="Y60" s="74"/>
      <c r="Z60" s="74"/>
    </row>
    <row r="61" spans="1:26" x14ac:dyDescent="0.3">
      <c r="A61" s="51"/>
      <c r="B61" s="22" t="s">
        <v>867</v>
      </c>
      <c r="C61" s="22"/>
      <c r="D61" s="22"/>
      <c r="E61" s="22"/>
      <c r="F61" s="22"/>
      <c r="G61" s="22"/>
      <c r="H61" s="22"/>
      <c r="I61" s="22"/>
      <c r="J61" s="22"/>
      <c r="K61" s="74"/>
      <c r="L61" s="59"/>
      <c r="M61" s="138"/>
      <c r="N61" s="138"/>
      <c r="O61" s="138"/>
      <c r="P61" s="138"/>
      <c r="Q61" s="138"/>
      <c r="R61" s="51"/>
      <c r="S61" s="51"/>
      <c r="T61" s="51"/>
      <c r="U61" s="51"/>
      <c r="V61" s="51"/>
      <c r="W61" s="51"/>
      <c r="X61" s="74"/>
      <c r="Y61" s="74"/>
      <c r="Z61" s="74"/>
    </row>
    <row r="62" spans="1:26" x14ac:dyDescent="0.3">
      <c r="A62" s="6"/>
      <c r="B62" s="22"/>
      <c r="C62" s="22"/>
      <c r="D62" s="22"/>
      <c r="E62" s="22"/>
      <c r="F62" s="22"/>
      <c r="G62" s="22"/>
      <c r="H62" s="22"/>
      <c r="I62" s="22"/>
      <c r="J62" s="22"/>
      <c r="K62" s="74"/>
      <c r="L62" s="59"/>
      <c r="M62" s="87"/>
      <c r="N62" s="70"/>
      <c r="O62" s="70"/>
      <c r="P62" s="70"/>
      <c r="Q62" s="70"/>
      <c r="R62" s="6"/>
      <c r="S62" s="6"/>
      <c r="T62" s="6"/>
      <c r="U62" s="6"/>
      <c r="V62" s="6"/>
      <c r="W62" s="6"/>
      <c r="X62" s="74"/>
      <c r="Y62" s="74"/>
      <c r="Z62" s="74"/>
    </row>
    <row r="63" spans="1:26" x14ac:dyDescent="0.3">
      <c r="A63" s="6"/>
      <c r="B63" s="18" t="s">
        <v>865</v>
      </c>
      <c r="C63" s="22" t="s">
        <v>866</v>
      </c>
      <c r="D63" s="22"/>
      <c r="E63" s="22"/>
      <c r="F63" s="22"/>
      <c r="G63" s="22"/>
      <c r="H63" s="22"/>
      <c r="I63" s="22"/>
      <c r="J63" s="22"/>
      <c r="K63" s="74"/>
      <c r="L63" s="59"/>
      <c r="M63" s="87"/>
      <c r="N63" s="66"/>
      <c r="O63" s="66"/>
      <c r="P63" s="66"/>
      <c r="Q63" s="66"/>
      <c r="R63" s="6"/>
      <c r="S63" s="6"/>
      <c r="T63" s="6"/>
      <c r="U63" s="6"/>
      <c r="V63" s="6"/>
      <c r="W63" s="6"/>
      <c r="X63" s="74"/>
      <c r="Y63" s="74"/>
      <c r="Z63" s="74"/>
    </row>
    <row r="64" spans="1:26" x14ac:dyDescent="0.3">
      <c r="A64" s="6"/>
      <c r="B64" s="8" t="s">
        <v>1180</v>
      </c>
      <c r="C64" s="22" t="s">
        <v>1182</v>
      </c>
      <c r="D64" s="22"/>
      <c r="E64" s="22"/>
      <c r="F64" s="22"/>
      <c r="G64" s="22"/>
      <c r="H64" s="22"/>
      <c r="I64" s="22"/>
      <c r="J64" s="22"/>
      <c r="K64" s="74"/>
      <c r="L64" s="59"/>
      <c r="M64" s="87"/>
      <c r="N64" s="66"/>
      <c r="O64" s="66"/>
      <c r="P64" s="66"/>
      <c r="Q64" s="66"/>
      <c r="R64" s="6"/>
      <c r="S64" s="6"/>
      <c r="T64" s="6"/>
      <c r="U64" s="6"/>
      <c r="V64" s="6"/>
      <c r="W64" s="6"/>
      <c r="X64" s="74"/>
      <c r="Y64" s="74"/>
      <c r="Z64" s="74"/>
    </row>
    <row r="65" spans="1:26" x14ac:dyDescent="0.3">
      <c r="A65" s="6"/>
      <c r="B65" s="22" t="s">
        <v>1181</v>
      </c>
      <c r="C65" s="22" t="s">
        <v>1183</v>
      </c>
      <c r="D65" s="22"/>
      <c r="E65" s="22"/>
      <c r="F65" s="22"/>
      <c r="G65" s="22"/>
      <c r="H65" s="22"/>
      <c r="I65" s="22"/>
      <c r="J65" s="22"/>
      <c r="K65" s="74"/>
      <c r="L65" s="59"/>
      <c r="M65" s="87"/>
      <c r="N65" s="66"/>
      <c r="O65" s="66"/>
      <c r="P65" s="66"/>
      <c r="Q65" s="66"/>
      <c r="R65" s="6"/>
      <c r="S65" s="6"/>
      <c r="T65" s="6"/>
      <c r="U65" s="6"/>
      <c r="V65" s="6"/>
      <c r="W65" s="6"/>
      <c r="X65" s="74"/>
      <c r="Y65" s="74"/>
      <c r="Z65" s="74"/>
    </row>
    <row r="66" spans="1:26" x14ac:dyDescent="0.3">
      <c r="A66" s="124"/>
      <c r="B66" s="143" t="s">
        <v>27</v>
      </c>
      <c r="C66" s="22" t="s">
        <v>1146</v>
      </c>
      <c r="D66" s="22"/>
      <c r="E66" s="22"/>
      <c r="F66" s="22"/>
      <c r="G66" s="22"/>
      <c r="H66" s="22"/>
      <c r="I66" s="22"/>
      <c r="J66" s="22"/>
      <c r="K66" s="124"/>
      <c r="L66" s="59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</row>
    <row r="67" spans="1:26" x14ac:dyDescent="0.3">
      <c r="A67" s="124"/>
      <c r="B67" s="142" t="s">
        <v>1134</v>
      </c>
      <c r="C67" s="22" t="s">
        <v>1147</v>
      </c>
      <c r="D67" s="22"/>
      <c r="E67" s="22"/>
      <c r="F67" s="22"/>
      <c r="G67" s="22"/>
      <c r="H67" s="22"/>
      <c r="I67" s="22"/>
      <c r="J67" s="22"/>
      <c r="K67" s="124"/>
      <c r="L67" s="59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</row>
    <row r="68" spans="1:26" x14ac:dyDescent="0.3">
      <c r="A68" s="6"/>
      <c r="B68" s="61" t="s">
        <v>838</v>
      </c>
      <c r="C68" s="22" t="s">
        <v>1186</v>
      </c>
      <c r="D68" s="22"/>
      <c r="E68" s="22"/>
      <c r="F68" s="22"/>
      <c r="G68" s="22"/>
      <c r="H68" s="22"/>
      <c r="I68" s="22"/>
      <c r="J68" s="22"/>
      <c r="K68" s="74"/>
      <c r="L68" s="59"/>
      <c r="M68" s="87"/>
      <c r="N68" s="66"/>
      <c r="O68" s="66"/>
      <c r="P68" s="66"/>
      <c r="Q68" s="66"/>
      <c r="R68" s="6"/>
      <c r="S68" s="6"/>
      <c r="T68" s="6"/>
      <c r="U68" s="6"/>
      <c r="V68" s="6"/>
      <c r="W68" s="6"/>
      <c r="X68" s="74"/>
      <c r="Y68" s="74"/>
      <c r="Z68" s="74"/>
    </row>
    <row r="69" spans="1:26" x14ac:dyDescent="0.3">
      <c r="A69" s="6"/>
      <c r="B69" s="22"/>
      <c r="C69" s="22" t="s">
        <v>998</v>
      </c>
      <c r="D69" s="22"/>
      <c r="E69" s="22"/>
      <c r="F69" s="22"/>
      <c r="G69" s="22"/>
      <c r="H69" s="22"/>
      <c r="I69" s="22"/>
      <c r="J69" s="22"/>
      <c r="K69" s="74"/>
      <c r="L69" s="59"/>
      <c r="M69" s="87"/>
      <c r="N69" s="66"/>
      <c r="O69" s="66"/>
      <c r="P69" s="66"/>
      <c r="Q69" s="66"/>
      <c r="R69" s="6"/>
      <c r="S69" s="6"/>
      <c r="T69" s="6"/>
      <c r="U69" s="6"/>
      <c r="V69" s="6"/>
      <c r="W69" s="6"/>
      <c r="X69" s="74"/>
      <c r="Y69" s="74"/>
      <c r="Z69" s="74"/>
    </row>
    <row r="70" spans="1:26" x14ac:dyDescent="0.3">
      <c r="A70" s="6"/>
      <c r="B70" s="62" t="s">
        <v>279</v>
      </c>
      <c r="C70" s="22" t="s">
        <v>1187</v>
      </c>
      <c r="D70" s="22"/>
      <c r="E70" s="22"/>
      <c r="F70" s="22"/>
      <c r="G70" s="22"/>
      <c r="H70" s="22"/>
      <c r="I70" s="22"/>
      <c r="J70" s="22"/>
      <c r="K70" s="74"/>
      <c r="L70" s="59"/>
      <c r="M70" s="87"/>
      <c r="N70" s="66"/>
      <c r="O70" s="66"/>
      <c r="P70" s="66"/>
      <c r="Q70" s="66"/>
      <c r="R70" s="6"/>
      <c r="S70" s="6"/>
      <c r="T70" s="6"/>
      <c r="U70" s="6"/>
      <c r="V70" s="6"/>
      <c r="W70" s="6"/>
      <c r="X70" s="74"/>
      <c r="Y70" s="74"/>
      <c r="Z70" s="74"/>
    </row>
    <row r="71" spans="1:26" x14ac:dyDescent="0.3">
      <c r="A71" s="6"/>
      <c r="B71" s="63" t="s">
        <v>72</v>
      </c>
      <c r="C71" s="22" t="s">
        <v>1188</v>
      </c>
      <c r="D71" s="22"/>
      <c r="E71" s="22"/>
      <c r="F71" s="22"/>
      <c r="G71" s="22"/>
      <c r="H71" s="22"/>
      <c r="I71" s="22"/>
      <c r="J71" s="22"/>
      <c r="K71" s="74"/>
      <c r="L71" s="59"/>
      <c r="M71" s="87"/>
      <c r="N71" s="66"/>
      <c r="O71" s="66"/>
      <c r="P71" s="66"/>
      <c r="Q71" s="66"/>
      <c r="R71" s="6"/>
      <c r="S71" s="6"/>
      <c r="T71" s="6"/>
      <c r="U71" s="6"/>
      <c r="V71" s="6"/>
      <c r="W71" s="6"/>
      <c r="X71" s="74"/>
      <c r="Y71" s="74"/>
      <c r="Z71" s="74"/>
    </row>
    <row r="72" spans="1:26" x14ac:dyDescent="0.3">
      <c r="A72" s="51"/>
      <c r="B72" s="22"/>
      <c r="C72" s="22" t="s">
        <v>869</v>
      </c>
      <c r="D72" s="22"/>
      <c r="E72" s="22"/>
      <c r="F72" s="22"/>
      <c r="G72" s="22"/>
      <c r="H72" s="22"/>
      <c r="I72" s="22"/>
      <c r="J72" s="22"/>
      <c r="K72" s="74"/>
      <c r="L72" s="59"/>
      <c r="M72" s="87"/>
      <c r="N72" s="66"/>
      <c r="O72" s="66"/>
      <c r="P72" s="66"/>
      <c r="Q72" s="66"/>
      <c r="R72" s="51"/>
      <c r="S72" s="51"/>
      <c r="T72" s="51"/>
      <c r="U72" s="51"/>
      <c r="V72" s="51"/>
      <c r="W72" s="51"/>
      <c r="X72" s="74"/>
      <c r="Y72" s="74"/>
      <c r="Z72" s="74"/>
    </row>
    <row r="73" spans="1:26" x14ac:dyDescent="0.3">
      <c r="A73" s="109"/>
      <c r="B73" s="7" t="s">
        <v>1119</v>
      </c>
      <c r="C73" s="22" t="s">
        <v>1189</v>
      </c>
      <c r="D73" s="22"/>
      <c r="E73" s="22"/>
      <c r="F73" s="22"/>
      <c r="G73" s="22"/>
      <c r="H73" s="22"/>
      <c r="I73" s="22"/>
      <c r="J73" s="22"/>
      <c r="K73" s="109"/>
      <c r="L73" s="5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spans="1:26" x14ac:dyDescent="0.3">
      <c r="A74" s="109"/>
      <c r="B74" s="22"/>
      <c r="C74" s="22" t="s">
        <v>870</v>
      </c>
      <c r="D74" s="22"/>
      <c r="E74" s="22"/>
      <c r="F74" s="22"/>
      <c r="G74" s="22"/>
      <c r="H74" s="22"/>
      <c r="I74" s="22"/>
      <c r="J74" s="22"/>
      <c r="K74" s="109"/>
      <c r="L74" s="5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spans="1:26" x14ac:dyDescent="0.3">
      <c r="A75" s="51"/>
      <c r="B75" s="9" t="s">
        <v>1120</v>
      </c>
      <c r="C75" s="22" t="s">
        <v>1190</v>
      </c>
      <c r="D75" s="22"/>
      <c r="E75" s="22"/>
      <c r="F75" s="22"/>
      <c r="G75" s="22"/>
      <c r="H75" s="22"/>
      <c r="I75" s="22"/>
      <c r="J75" s="22"/>
      <c r="K75" s="74"/>
      <c r="L75" s="59"/>
      <c r="M75" s="87"/>
      <c r="N75" s="66"/>
      <c r="O75" s="66"/>
      <c r="P75" s="66"/>
      <c r="Q75" s="66"/>
      <c r="R75" s="51"/>
      <c r="S75" s="51"/>
      <c r="T75" s="51"/>
      <c r="U75" s="51"/>
      <c r="V75" s="51"/>
      <c r="W75" s="51"/>
      <c r="X75" s="74"/>
      <c r="Y75" s="74"/>
      <c r="Z75" s="74"/>
    </row>
    <row r="76" spans="1:26" x14ac:dyDescent="0.3">
      <c r="A76" s="51"/>
      <c r="B76" s="22"/>
      <c r="C76" s="22" t="s">
        <v>1121</v>
      </c>
      <c r="D76" s="22"/>
      <c r="E76" s="22"/>
      <c r="F76" s="22"/>
      <c r="G76" s="22"/>
      <c r="H76" s="22"/>
      <c r="I76" s="22"/>
      <c r="J76" s="22"/>
      <c r="K76" s="74"/>
      <c r="L76" s="59"/>
      <c r="M76" s="87"/>
      <c r="N76" s="66"/>
      <c r="O76" s="66"/>
      <c r="P76" s="66"/>
      <c r="Q76" s="66"/>
      <c r="R76" s="51"/>
      <c r="S76" s="51"/>
      <c r="T76" s="51"/>
      <c r="U76" s="51"/>
      <c r="V76" s="51"/>
      <c r="W76" s="51"/>
      <c r="X76" s="74"/>
      <c r="Y76" s="74"/>
      <c r="Z76" s="74"/>
    </row>
    <row r="77" spans="1:26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74"/>
      <c r="L77" s="59"/>
      <c r="M77" s="87"/>
      <c r="N77" s="66"/>
      <c r="O77" s="66"/>
      <c r="P77" s="66"/>
      <c r="Q77" s="66"/>
      <c r="R77" s="6"/>
      <c r="S77" s="6"/>
      <c r="T77" s="6"/>
      <c r="U77" s="6"/>
      <c r="V77" s="6"/>
      <c r="W77" s="6"/>
      <c r="X77" s="74"/>
      <c r="Y77" s="74"/>
      <c r="Z77" s="74"/>
    </row>
    <row r="78" spans="1:26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74"/>
      <c r="L78" s="59"/>
      <c r="M78" s="87"/>
      <c r="N78" s="6"/>
      <c r="O78" s="6"/>
      <c r="P78" s="6"/>
      <c r="Q78" s="6"/>
      <c r="R78" s="6"/>
      <c r="S78" s="6"/>
      <c r="T78" s="6"/>
      <c r="U78" s="6"/>
      <c r="V78" s="6"/>
      <c r="W78" s="6"/>
      <c r="X78" s="74"/>
      <c r="Y78" s="74"/>
      <c r="Z78" s="74"/>
    </row>
    <row r="79" spans="1:26" ht="18" x14ac:dyDescent="0.35">
      <c r="A79" s="6"/>
      <c r="B79" s="21" t="s">
        <v>842</v>
      </c>
      <c r="C79" s="6"/>
      <c r="D79" s="6"/>
      <c r="E79" s="6"/>
      <c r="F79" s="6"/>
      <c r="G79" s="6"/>
      <c r="H79" s="6"/>
      <c r="I79" s="6"/>
      <c r="J79" s="6"/>
      <c r="K79" s="74"/>
      <c r="L79" s="59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74"/>
      <c r="Y79" s="74"/>
      <c r="Z79" s="74"/>
    </row>
    <row r="80" spans="1:26" x14ac:dyDescent="0.3">
      <c r="A80" s="6"/>
      <c r="B80" s="22" t="s">
        <v>871</v>
      </c>
      <c r="C80" s="22"/>
      <c r="D80" s="22"/>
      <c r="E80" s="22"/>
      <c r="F80" s="22"/>
      <c r="G80" s="22"/>
      <c r="H80" s="22"/>
      <c r="I80" s="22"/>
      <c r="J80" s="22"/>
      <c r="K80" s="74"/>
      <c r="L80" s="59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74"/>
      <c r="Y80" s="74"/>
      <c r="Z80" s="74"/>
    </row>
    <row r="81" spans="1:26" x14ac:dyDescent="0.3">
      <c r="A81" s="6"/>
      <c r="B81" s="22" t="s">
        <v>872</v>
      </c>
      <c r="C81" s="22"/>
      <c r="D81" s="22"/>
      <c r="E81" s="22"/>
      <c r="F81" s="22"/>
      <c r="G81" s="22"/>
      <c r="H81" s="22"/>
      <c r="I81" s="22"/>
      <c r="J81" s="22"/>
      <c r="K81" s="74"/>
      <c r="L81" s="59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74"/>
      <c r="Y81" s="74"/>
      <c r="Z81" s="74"/>
    </row>
    <row r="82" spans="1:26" x14ac:dyDescent="0.3">
      <c r="A82" s="6"/>
      <c r="B82" s="22"/>
      <c r="C82" s="22"/>
      <c r="D82" s="22"/>
      <c r="E82" s="22"/>
      <c r="F82" s="22"/>
      <c r="G82" s="22"/>
      <c r="H82" s="22"/>
      <c r="I82" s="22"/>
      <c r="J82" s="22"/>
      <c r="K82" s="74"/>
      <c r="L82" s="59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74"/>
      <c r="Y82" s="74"/>
      <c r="Z82" s="74"/>
    </row>
    <row r="83" spans="1:26" x14ac:dyDescent="0.3">
      <c r="A83" s="6"/>
      <c r="B83" s="22" t="s">
        <v>873</v>
      </c>
      <c r="C83" s="22"/>
      <c r="D83" s="22"/>
      <c r="E83" s="22"/>
      <c r="F83" s="22"/>
      <c r="G83" s="22"/>
      <c r="H83" s="22"/>
      <c r="I83" s="22"/>
      <c r="J83" s="22"/>
      <c r="K83" s="74"/>
      <c r="L83" s="59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74"/>
      <c r="Y83" s="74"/>
      <c r="Z83" s="74"/>
    </row>
    <row r="84" spans="1:26" x14ac:dyDescent="0.3">
      <c r="A84" s="6"/>
      <c r="B84" s="22" t="s">
        <v>874</v>
      </c>
      <c r="C84" s="22"/>
      <c r="D84" s="22"/>
      <c r="E84" s="22"/>
      <c r="F84" s="22"/>
      <c r="G84" s="22"/>
      <c r="H84" s="22"/>
      <c r="I84" s="22"/>
      <c r="J84" s="22"/>
      <c r="K84" s="74"/>
      <c r="L84" s="59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74"/>
      <c r="Y84" s="74"/>
      <c r="Z84" s="74"/>
    </row>
    <row r="85" spans="1:26" x14ac:dyDescent="0.3">
      <c r="A85" s="6"/>
      <c r="B85" s="22" t="s">
        <v>875</v>
      </c>
      <c r="C85" s="22"/>
      <c r="D85" s="22"/>
      <c r="E85" s="22"/>
      <c r="F85" s="22"/>
      <c r="G85" s="22"/>
      <c r="H85" s="22"/>
      <c r="I85" s="22"/>
      <c r="J85" s="22"/>
      <c r="K85" s="74"/>
      <c r="L85" s="59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74"/>
      <c r="Y85" s="74"/>
      <c r="Z85" s="74"/>
    </row>
    <row r="86" spans="1:26" x14ac:dyDescent="0.3">
      <c r="A86" s="6"/>
      <c r="B86" s="22"/>
      <c r="C86" s="22"/>
      <c r="D86" s="22"/>
      <c r="E86" s="22"/>
      <c r="F86" s="22"/>
      <c r="G86" s="22"/>
      <c r="H86" s="22"/>
      <c r="I86" s="22"/>
      <c r="J86" s="22"/>
      <c r="K86" s="74"/>
      <c r="L86" s="59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74"/>
      <c r="Y86" s="74"/>
      <c r="Z86" s="74"/>
    </row>
    <row r="87" spans="1:26" x14ac:dyDescent="0.3">
      <c r="A87" s="6"/>
      <c r="B87" s="22" t="s">
        <v>876</v>
      </c>
      <c r="C87" s="22"/>
      <c r="D87" s="22"/>
      <c r="E87" s="22"/>
      <c r="F87" s="22"/>
      <c r="G87" s="22"/>
      <c r="H87" s="22"/>
      <c r="I87" s="22"/>
      <c r="J87" s="22"/>
      <c r="K87" s="74"/>
      <c r="L87" s="59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74"/>
      <c r="Y87" s="74"/>
      <c r="Z87" s="74"/>
    </row>
    <row r="88" spans="1:26" x14ac:dyDescent="0.3">
      <c r="A88" s="6"/>
      <c r="B88" s="22"/>
      <c r="C88" s="22"/>
      <c r="D88" s="22"/>
      <c r="E88" s="22"/>
      <c r="F88" s="22"/>
      <c r="G88" s="22"/>
      <c r="H88" s="22"/>
      <c r="I88" s="22"/>
      <c r="J88" s="22"/>
      <c r="K88" s="74"/>
      <c r="L88" s="59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74"/>
      <c r="Y88" s="74"/>
      <c r="Z88" s="74"/>
    </row>
    <row r="89" spans="1:26" x14ac:dyDescent="0.3">
      <c r="A89" s="6"/>
      <c r="B89" s="7" t="s">
        <v>39</v>
      </c>
      <c r="C89" s="22" t="s">
        <v>885</v>
      </c>
      <c r="D89" s="22"/>
      <c r="E89" s="22"/>
      <c r="F89" s="22"/>
      <c r="G89" s="22"/>
      <c r="H89" s="22"/>
      <c r="I89" s="22"/>
      <c r="J89" s="22"/>
      <c r="K89" s="74"/>
      <c r="L89" s="59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74"/>
      <c r="Y89" s="74"/>
      <c r="Z89" s="74"/>
    </row>
    <row r="90" spans="1:26" x14ac:dyDescent="0.3">
      <c r="A90" s="75"/>
      <c r="B90" s="22"/>
      <c r="C90" s="25" t="s">
        <v>886</v>
      </c>
      <c r="D90" s="22"/>
      <c r="E90" s="54"/>
      <c r="F90" s="54"/>
      <c r="G90" s="54"/>
      <c r="H90" s="54"/>
      <c r="I90" s="54"/>
      <c r="J90" s="54"/>
      <c r="K90" s="75"/>
      <c r="L90" s="59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spans="1:26" x14ac:dyDescent="0.3">
      <c r="A91" s="6"/>
      <c r="B91" s="7" t="s">
        <v>40</v>
      </c>
      <c r="C91" s="22" t="s">
        <v>887</v>
      </c>
      <c r="D91" s="22"/>
      <c r="E91" s="22"/>
      <c r="F91" s="22"/>
      <c r="G91" s="22"/>
      <c r="H91" s="22"/>
      <c r="I91" s="22"/>
      <c r="J91" s="22"/>
      <c r="K91" s="74"/>
      <c r="L91" s="59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74"/>
      <c r="Y91" s="74"/>
      <c r="Z91" s="74"/>
    </row>
    <row r="92" spans="1:26" x14ac:dyDescent="0.3">
      <c r="A92" s="6"/>
      <c r="B92" s="22"/>
      <c r="C92" s="22" t="s">
        <v>888</v>
      </c>
      <c r="D92" s="22"/>
      <c r="E92" s="22"/>
      <c r="F92" s="22"/>
      <c r="G92" s="22"/>
      <c r="H92" s="22"/>
      <c r="I92" s="22"/>
      <c r="J92" s="22"/>
      <c r="K92" s="74"/>
      <c r="L92" s="59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74"/>
      <c r="Y92" s="74"/>
      <c r="Z92" s="74"/>
    </row>
    <row r="93" spans="1:26" x14ac:dyDescent="0.3">
      <c r="A93" s="92"/>
      <c r="B93" s="7" t="s">
        <v>58</v>
      </c>
      <c r="C93" s="22" t="s">
        <v>999</v>
      </c>
      <c r="D93" s="22"/>
      <c r="E93" s="22"/>
      <c r="F93" s="22"/>
      <c r="G93" s="22"/>
      <c r="H93" s="22"/>
      <c r="I93" s="22"/>
      <c r="J93" s="22"/>
      <c r="K93" s="92"/>
      <c r="L93" s="59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spans="1:26" x14ac:dyDescent="0.3">
      <c r="A94" s="6"/>
      <c r="B94" s="22"/>
      <c r="C94" s="22" t="s">
        <v>1000</v>
      </c>
      <c r="D94" s="22"/>
      <c r="E94" s="22"/>
      <c r="F94" s="22"/>
      <c r="G94" s="22"/>
      <c r="H94" s="22"/>
      <c r="I94" s="22"/>
      <c r="J94" s="22"/>
      <c r="K94" s="74"/>
      <c r="L94" s="59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74"/>
      <c r="Y94" s="74"/>
      <c r="Z94" s="74"/>
    </row>
    <row r="95" spans="1:26" x14ac:dyDescent="0.3">
      <c r="A95" s="6"/>
      <c r="B95" s="7" t="s">
        <v>889</v>
      </c>
      <c r="C95" s="22" t="s">
        <v>890</v>
      </c>
      <c r="D95" s="22"/>
      <c r="E95" s="22"/>
      <c r="F95" s="22"/>
      <c r="G95" s="22"/>
      <c r="H95" s="22"/>
      <c r="I95" s="22"/>
      <c r="J95" s="22"/>
      <c r="K95" s="74"/>
      <c r="L95" s="59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74"/>
      <c r="Y95" s="74"/>
      <c r="Z95" s="74"/>
    </row>
    <row r="96" spans="1:26" x14ac:dyDescent="0.3">
      <c r="A96" s="6"/>
      <c r="B96" s="22"/>
      <c r="C96" s="22" t="s">
        <v>891</v>
      </c>
      <c r="D96" s="22"/>
      <c r="E96" s="22"/>
      <c r="F96" s="22"/>
      <c r="G96" s="22"/>
      <c r="H96" s="22"/>
      <c r="I96" s="22"/>
      <c r="J96" s="22"/>
      <c r="K96" s="74"/>
      <c r="L96" s="59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74"/>
      <c r="Y96" s="74"/>
      <c r="Z96" s="74"/>
    </row>
    <row r="97" spans="1:26" x14ac:dyDescent="0.3">
      <c r="A97" s="6"/>
      <c r="B97" s="22"/>
      <c r="C97" s="22" t="s">
        <v>892</v>
      </c>
      <c r="D97" s="22"/>
      <c r="E97" s="22"/>
      <c r="F97" s="22"/>
      <c r="G97" s="22"/>
      <c r="H97" s="22"/>
      <c r="I97" s="22"/>
      <c r="J97" s="22"/>
      <c r="K97" s="74"/>
      <c r="L97" s="59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74"/>
      <c r="Y97" s="74"/>
      <c r="Z97" s="74"/>
    </row>
    <row r="98" spans="1:26" x14ac:dyDescent="0.3">
      <c r="A98" s="6"/>
      <c r="B98" s="22" t="s">
        <v>25</v>
      </c>
      <c r="C98" s="67"/>
      <c r="D98" s="22"/>
      <c r="E98" s="22"/>
      <c r="F98" s="22"/>
      <c r="G98" s="22"/>
      <c r="H98" s="22"/>
      <c r="I98" s="22"/>
      <c r="J98" s="22"/>
      <c r="K98" s="74"/>
      <c r="L98" s="59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74"/>
      <c r="Y98" s="74"/>
      <c r="Z98" s="74"/>
    </row>
    <row r="99" spans="1:26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74"/>
      <c r="L99" s="59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74"/>
      <c r="Y99" s="74"/>
      <c r="Z99" s="74"/>
    </row>
    <row r="100" spans="1:26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74"/>
      <c r="L100" s="59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74"/>
      <c r="Y100" s="74"/>
      <c r="Z100" s="74"/>
    </row>
    <row r="101" spans="1:26" ht="18" x14ac:dyDescent="0.35">
      <c r="A101" s="6"/>
      <c r="B101" s="21" t="s">
        <v>738</v>
      </c>
      <c r="C101" s="6"/>
      <c r="D101" s="6"/>
      <c r="E101" s="6"/>
      <c r="F101" s="6"/>
      <c r="G101" s="6"/>
      <c r="H101" s="6"/>
      <c r="I101" s="6"/>
      <c r="J101" s="6"/>
      <c r="K101" s="74"/>
      <c r="L101" s="59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74"/>
      <c r="Y101" s="74"/>
      <c r="Z101" s="74"/>
    </row>
    <row r="102" spans="1:26" x14ac:dyDescent="0.3">
      <c r="A102" s="6"/>
      <c r="B102" s="31" t="s">
        <v>877</v>
      </c>
      <c r="C102" s="31"/>
      <c r="D102" s="31"/>
      <c r="E102" s="31"/>
      <c r="F102" s="31"/>
      <c r="G102" s="31"/>
      <c r="H102" s="31"/>
      <c r="I102" s="31"/>
      <c r="J102" s="31"/>
      <c r="K102" s="74"/>
      <c r="L102" s="59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74"/>
      <c r="Y102" s="74"/>
      <c r="Z102" s="74"/>
    </row>
    <row r="103" spans="1:26" x14ac:dyDescent="0.3">
      <c r="A103" s="6"/>
      <c r="B103" s="31" t="s">
        <v>878</v>
      </c>
      <c r="C103" s="31"/>
      <c r="D103" s="31"/>
      <c r="E103" s="31"/>
      <c r="F103" s="31"/>
      <c r="G103" s="31"/>
      <c r="H103" s="31"/>
      <c r="I103" s="31"/>
      <c r="J103" s="31"/>
      <c r="K103" s="74"/>
      <c r="L103" s="59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74"/>
      <c r="Y103" s="74"/>
      <c r="Z103" s="74"/>
    </row>
    <row r="104" spans="1:26" x14ac:dyDescent="0.3">
      <c r="A104" s="6"/>
      <c r="B104" s="31"/>
      <c r="C104" s="31"/>
      <c r="D104" s="31"/>
      <c r="E104" s="31"/>
      <c r="F104" s="31"/>
      <c r="G104" s="31"/>
      <c r="H104" s="31"/>
      <c r="I104" s="31"/>
      <c r="J104" s="31"/>
      <c r="K104" s="74"/>
      <c r="L104" s="59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74"/>
      <c r="Y104" s="74"/>
      <c r="Z104" s="74"/>
    </row>
    <row r="105" spans="1:26" ht="20.399999999999999" thickBot="1" x14ac:dyDescent="0.45">
      <c r="A105" s="6"/>
      <c r="B105" s="31" t="s">
        <v>25</v>
      </c>
      <c r="C105" s="246" t="s">
        <v>738</v>
      </c>
      <c r="D105" s="246"/>
      <c r="E105" s="246"/>
      <c r="F105" s="31"/>
      <c r="G105" s="31"/>
      <c r="H105" s="31"/>
      <c r="I105" s="31"/>
      <c r="J105" s="31"/>
      <c r="K105" s="74"/>
      <c r="L105" s="59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74"/>
      <c r="Y105" s="74"/>
      <c r="Z105" s="74"/>
    </row>
    <row r="106" spans="1:26" ht="15.6" thickTop="1" thickBot="1" x14ac:dyDescent="0.35">
      <c r="A106" s="6"/>
      <c r="B106" s="31"/>
      <c r="C106" s="247" t="s">
        <v>1025</v>
      </c>
      <c r="D106" s="247"/>
      <c r="E106" s="247"/>
      <c r="F106" s="31"/>
      <c r="G106" s="31"/>
      <c r="H106" s="31"/>
      <c r="I106" s="31"/>
      <c r="J106" s="31"/>
      <c r="K106" s="74"/>
      <c r="L106" s="59"/>
      <c r="M106" s="53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74"/>
      <c r="Y106" s="74"/>
      <c r="Z106" s="74"/>
    </row>
    <row r="107" spans="1:26" ht="15.6" thickTop="1" thickBot="1" x14ac:dyDescent="0.35">
      <c r="A107" s="6"/>
      <c r="B107" s="31"/>
      <c r="C107" s="247" t="s">
        <v>1026</v>
      </c>
      <c r="D107" s="247"/>
      <c r="E107" s="247"/>
      <c r="F107" s="31"/>
      <c r="G107" s="31"/>
      <c r="H107" s="31"/>
      <c r="I107" s="31"/>
      <c r="J107" s="31"/>
      <c r="K107" s="74"/>
      <c r="L107" s="59"/>
      <c r="M107" s="53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74"/>
      <c r="Y107" s="74"/>
      <c r="Z107" s="74"/>
    </row>
    <row r="108" spans="1:26" ht="15.6" thickTop="1" thickBot="1" x14ac:dyDescent="0.35">
      <c r="A108" s="6"/>
      <c r="B108" s="31"/>
      <c r="C108" s="247" t="s">
        <v>1022</v>
      </c>
      <c r="D108" s="247"/>
      <c r="E108" s="247"/>
      <c r="F108" s="31"/>
      <c r="G108" s="31"/>
      <c r="H108" s="31"/>
      <c r="I108" s="31"/>
      <c r="J108" s="31"/>
      <c r="K108" s="74"/>
      <c r="L108" s="59"/>
      <c r="M108" s="53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74"/>
      <c r="Y108" s="74"/>
      <c r="Z108" s="74"/>
    </row>
    <row r="109" spans="1:26" ht="15" thickTop="1" x14ac:dyDescent="0.3">
      <c r="A109" s="6"/>
      <c r="B109" s="53"/>
      <c r="C109" s="53"/>
      <c r="D109" s="53"/>
      <c r="E109" s="53"/>
      <c r="F109" s="53"/>
      <c r="G109" s="53"/>
      <c r="H109" s="53"/>
      <c r="I109" s="53"/>
      <c r="J109" s="53"/>
      <c r="K109" s="74"/>
      <c r="L109" s="59"/>
      <c r="M109" s="53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74"/>
      <c r="Y109" s="74"/>
      <c r="Z109" s="74"/>
    </row>
    <row r="110" spans="1:26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74"/>
      <c r="L110" s="59"/>
      <c r="M110" s="53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74"/>
      <c r="Y110" s="74"/>
      <c r="Z110" s="74"/>
    </row>
    <row r="111" spans="1:26" ht="18.600000000000001" thickBot="1" x14ac:dyDescent="0.4">
      <c r="A111" s="6"/>
      <c r="B111" s="21" t="s">
        <v>843</v>
      </c>
      <c r="C111" s="6"/>
      <c r="D111" s="6"/>
      <c r="E111" s="6"/>
      <c r="F111" s="6"/>
      <c r="G111" s="6"/>
      <c r="H111" s="6"/>
      <c r="I111" s="6"/>
      <c r="J111" s="6"/>
      <c r="K111" s="74"/>
      <c r="L111" s="155" t="s">
        <v>997</v>
      </c>
      <c r="M111" s="53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74"/>
      <c r="Y111" s="74"/>
      <c r="Z111" s="74"/>
    </row>
    <row r="112" spans="1:26" ht="15" thickTop="1" x14ac:dyDescent="0.3">
      <c r="A112" s="6"/>
      <c r="B112" s="25" t="s">
        <v>26</v>
      </c>
      <c r="C112" s="54"/>
      <c r="D112" s="54"/>
      <c r="E112" s="54"/>
      <c r="F112" s="54"/>
      <c r="G112" s="54"/>
      <c r="H112" s="54"/>
      <c r="I112" s="54"/>
      <c r="J112" s="54"/>
      <c r="K112" s="74"/>
      <c r="L112" s="59"/>
      <c r="M112" s="53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74"/>
      <c r="Y112" s="74"/>
      <c r="Z112" s="74"/>
    </row>
    <row r="113" spans="1:26" ht="15" thickBot="1" x14ac:dyDescent="0.35">
      <c r="A113" s="6"/>
      <c r="B113" s="245"/>
      <c r="C113" s="245"/>
      <c r="D113" s="245"/>
      <c r="E113" s="245"/>
      <c r="F113" s="245"/>
      <c r="G113" s="245"/>
      <c r="H113" s="245"/>
      <c r="I113" s="245"/>
      <c r="J113" s="245"/>
      <c r="K113" s="74"/>
      <c r="L113" s="59"/>
      <c r="M113" s="53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74"/>
      <c r="Y113" s="74"/>
      <c r="Z113" s="74"/>
    </row>
    <row r="114" spans="1:26" ht="15" thickBot="1" x14ac:dyDescent="0.35">
      <c r="A114" s="6"/>
      <c r="B114" s="5" t="s">
        <v>27</v>
      </c>
      <c r="C114" s="26" t="s">
        <v>879</v>
      </c>
      <c r="D114" s="54"/>
      <c r="E114" s="54"/>
      <c r="F114" s="54"/>
      <c r="G114" s="54"/>
      <c r="H114" s="54"/>
      <c r="I114" s="54"/>
      <c r="J114" s="54"/>
      <c r="K114" s="74"/>
      <c r="L114" s="59"/>
      <c r="M114" s="53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74"/>
      <c r="Y114" s="74"/>
      <c r="Z114" s="74"/>
    </row>
    <row r="115" spans="1:26" x14ac:dyDescent="0.3">
      <c r="A115" s="6"/>
      <c r="B115" s="22"/>
      <c r="C115" s="25" t="s">
        <v>880</v>
      </c>
      <c r="D115" s="54"/>
      <c r="E115" s="54"/>
      <c r="F115" s="54"/>
      <c r="G115" s="54"/>
      <c r="H115" s="54"/>
      <c r="I115" s="54"/>
      <c r="J115" s="54"/>
      <c r="K115" s="74"/>
      <c r="L115" s="59"/>
      <c r="M115" s="53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74"/>
      <c r="Y115" s="74"/>
      <c r="Z115" s="74"/>
    </row>
    <row r="116" spans="1:26" x14ac:dyDescent="0.3">
      <c r="A116" s="6"/>
      <c r="B116" s="23" t="s">
        <v>25</v>
      </c>
      <c r="C116" s="25" t="s">
        <v>881</v>
      </c>
      <c r="D116" s="54"/>
      <c r="E116" s="54"/>
      <c r="F116" s="54"/>
      <c r="G116" s="54"/>
      <c r="H116" s="54"/>
      <c r="I116" s="54"/>
      <c r="J116" s="54"/>
      <c r="K116" s="74"/>
      <c r="L116" s="59"/>
      <c r="M116" s="53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74"/>
      <c r="Y116" s="74"/>
      <c r="Z116" s="74"/>
    </row>
    <row r="117" spans="1:26" ht="15" thickBot="1" x14ac:dyDescent="0.35">
      <c r="A117" s="6"/>
      <c r="B117" s="22"/>
      <c r="C117" s="25" t="s">
        <v>882</v>
      </c>
      <c r="D117" s="54"/>
      <c r="E117" s="54"/>
      <c r="F117" s="54"/>
      <c r="G117" s="54"/>
      <c r="H117" s="54"/>
      <c r="I117" s="54"/>
      <c r="J117" s="54"/>
      <c r="K117" s="74"/>
      <c r="L117" s="59"/>
      <c r="M117" s="53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74"/>
      <c r="Y117" s="74"/>
      <c r="Z117" s="74"/>
    </row>
    <row r="118" spans="1:26" ht="15" thickBot="1" x14ac:dyDescent="0.35">
      <c r="A118" s="6"/>
      <c r="B118" s="27" t="s">
        <v>27</v>
      </c>
      <c r="C118" s="25" t="s">
        <v>883</v>
      </c>
      <c r="D118" s="54"/>
      <c r="E118" s="54"/>
      <c r="F118" s="54"/>
      <c r="G118" s="54"/>
      <c r="H118" s="54"/>
      <c r="I118" s="54"/>
      <c r="J118" s="54"/>
      <c r="K118" s="74"/>
      <c r="L118" s="59"/>
      <c r="M118" s="8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74"/>
      <c r="Y118" s="74"/>
      <c r="Z118" s="74"/>
    </row>
    <row r="119" spans="1:26" x14ac:dyDescent="0.3">
      <c r="A119" s="6"/>
      <c r="B119" s="22"/>
      <c r="C119" s="25" t="s">
        <v>884</v>
      </c>
      <c r="D119" s="54"/>
      <c r="E119" s="54"/>
      <c r="F119" s="54"/>
      <c r="G119" s="54"/>
      <c r="H119" s="54"/>
      <c r="I119" s="54"/>
      <c r="J119" s="54"/>
      <c r="K119" s="74"/>
      <c r="L119" s="59"/>
      <c r="M119" s="8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74"/>
      <c r="Y119" s="74"/>
      <c r="Z119" s="74"/>
    </row>
    <row r="120" spans="1:26" x14ac:dyDescent="0.3">
      <c r="A120" s="6"/>
      <c r="B120" s="53"/>
      <c r="C120" s="11"/>
      <c r="D120" s="52"/>
      <c r="E120" s="52"/>
      <c r="F120" s="52"/>
      <c r="G120" s="52"/>
      <c r="H120" s="52"/>
      <c r="I120" s="52"/>
      <c r="J120" s="52"/>
      <c r="K120" s="74"/>
      <c r="L120" s="59"/>
      <c r="M120" s="8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74"/>
      <c r="Y120" s="74"/>
      <c r="Z120" s="74"/>
    </row>
    <row r="121" spans="1:26" ht="17.399999999999999" x14ac:dyDescent="0.35">
      <c r="A121" s="6"/>
      <c r="B121" s="4" t="s">
        <v>29</v>
      </c>
      <c r="C121" s="53"/>
      <c r="D121" s="53"/>
      <c r="E121" s="53"/>
      <c r="F121" s="53"/>
      <c r="G121" s="221"/>
      <c r="H121" s="221"/>
      <c r="I121" s="221"/>
      <c r="J121" s="221"/>
      <c r="K121" s="74"/>
      <c r="L121" s="59"/>
      <c r="M121" s="8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74"/>
      <c r="Y121" s="74"/>
      <c r="Z121" s="74"/>
    </row>
    <row r="122" spans="1:26" x14ac:dyDescent="0.3">
      <c r="A122" s="6"/>
      <c r="B122" s="25" t="s">
        <v>30</v>
      </c>
      <c r="C122" s="54"/>
      <c r="D122" s="54"/>
      <c r="E122" s="54"/>
      <c r="F122" s="54"/>
      <c r="G122" s="54"/>
      <c r="H122" s="54"/>
      <c r="I122" s="54"/>
      <c r="J122" s="54"/>
      <c r="K122" s="74"/>
      <c r="L122" s="59"/>
      <c r="M122" s="8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74"/>
      <c r="Y122" s="74"/>
      <c r="Z122" s="74"/>
    </row>
    <row r="123" spans="1:26" x14ac:dyDescent="0.3">
      <c r="A123" s="6"/>
      <c r="B123" s="245"/>
      <c r="C123" s="245"/>
      <c r="D123" s="245"/>
      <c r="E123" s="245"/>
      <c r="F123" s="245"/>
      <c r="G123" s="245"/>
      <c r="H123" s="245"/>
      <c r="I123" s="245"/>
      <c r="J123" s="245"/>
      <c r="K123" s="74"/>
      <c r="L123" s="59"/>
      <c r="M123" s="8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74"/>
      <c r="Y123" s="74"/>
      <c r="Z123" s="74"/>
    </row>
    <row r="124" spans="1:26" x14ac:dyDescent="0.3">
      <c r="A124" s="6"/>
      <c r="B124" s="7" t="s">
        <v>31</v>
      </c>
      <c r="C124" s="22" t="s">
        <v>32</v>
      </c>
      <c r="D124" s="22"/>
      <c r="E124" s="22" t="s">
        <v>34</v>
      </c>
      <c r="F124" s="22"/>
      <c r="G124" s="22"/>
      <c r="H124" s="22"/>
      <c r="I124" s="22"/>
      <c r="J124" s="22"/>
      <c r="K124" s="74"/>
      <c r="L124" s="59"/>
      <c r="M124" s="8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74"/>
      <c r="Y124" s="74"/>
      <c r="Z124" s="74"/>
    </row>
    <row r="125" spans="1:26" x14ac:dyDescent="0.3">
      <c r="A125" s="6"/>
      <c r="B125" s="22"/>
      <c r="C125" s="22" t="s">
        <v>35</v>
      </c>
      <c r="D125" s="22"/>
      <c r="E125" s="22" t="s">
        <v>38</v>
      </c>
      <c r="F125" s="22"/>
      <c r="G125" s="22"/>
      <c r="H125" s="22"/>
      <c r="I125" s="22"/>
      <c r="J125" s="22"/>
      <c r="K125" s="74"/>
      <c r="L125" s="59"/>
      <c r="M125" s="8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74"/>
      <c r="Y125" s="74"/>
      <c r="Z125" s="74"/>
    </row>
    <row r="126" spans="1:26" x14ac:dyDescent="0.3">
      <c r="A126" s="6"/>
      <c r="B126" s="22"/>
      <c r="C126" s="22" t="s">
        <v>37</v>
      </c>
      <c r="D126" s="22"/>
      <c r="E126" s="22"/>
      <c r="F126" s="22"/>
      <c r="G126" s="22"/>
      <c r="H126" s="22"/>
      <c r="I126" s="22"/>
      <c r="J126" s="22"/>
      <c r="K126" s="74"/>
      <c r="L126" s="59"/>
      <c r="M126" s="8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74"/>
      <c r="Y126" s="74"/>
      <c r="Z126" s="74"/>
    </row>
    <row r="127" spans="1:26" x14ac:dyDescent="0.3">
      <c r="A127" s="6"/>
      <c r="B127" s="24"/>
      <c r="C127" s="24" t="s">
        <v>33</v>
      </c>
      <c r="D127" s="24"/>
      <c r="E127" s="24"/>
      <c r="F127" s="24"/>
      <c r="G127" s="24"/>
      <c r="H127" s="24"/>
      <c r="I127" s="24"/>
      <c r="J127" s="24"/>
      <c r="K127" s="74"/>
      <c r="L127" s="59"/>
      <c r="M127" s="8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74"/>
      <c r="Y127" s="74"/>
      <c r="Z127" s="74"/>
    </row>
    <row r="128" spans="1:26" x14ac:dyDescent="0.3">
      <c r="A128" s="6"/>
      <c r="B128" s="24"/>
      <c r="C128" s="24" t="s">
        <v>36</v>
      </c>
      <c r="D128" s="24"/>
      <c r="E128" s="24"/>
      <c r="F128" s="24"/>
      <c r="G128" s="24"/>
      <c r="H128" s="24"/>
      <c r="I128" s="24"/>
      <c r="J128" s="24"/>
      <c r="K128" s="74"/>
      <c r="L128" s="59"/>
      <c r="M128" s="8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74"/>
      <c r="Y128" s="74"/>
      <c r="Z128" s="74"/>
    </row>
    <row r="129" spans="1:26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74"/>
      <c r="L129" s="59"/>
      <c r="M129" s="8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74"/>
      <c r="Y129" s="74"/>
      <c r="Z129" s="74"/>
    </row>
    <row r="130" spans="1:26" ht="18" x14ac:dyDescent="0.35">
      <c r="A130" s="6"/>
      <c r="B130" s="21" t="s">
        <v>41</v>
      </c>
      <c r="C130" s="6"/>
      <c r="D130" s="6"/>
      <c r="E130" s="6"/>
      <c r="F130" s="6"/>
      <c r="G130" s="6"/>
      <c r="H130" s="6"/>
      <c r="I130" s="6"/>
      <c r="J130" s="6"/>
      <c r="K130" s="74"/>
      <c r="L130" s="59"/>
      <c r="M130" s="8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74"/>
      <c r="Y130" s="74"/>
      <c r="Z130" s="74"/>
    </row>
    <row r="131" spans="1:26" x14ac:dyDescent="0.3">
      <c r="A131" s="6"/>
      <c r="B131" s="22" t="s">
        <v>42</v>
      </c>
      <c r="C131" s="22"/>
      <c r="D131" s="22"/>
      <c r="E131" s="22"/>
      <c r="F131" s="22"/>
      <c r="G131" s="22"/>
      <c r="H131" s="22"/>
      <c r="I131" s="22"/>
      <c r="J131" s="22"/>
      <c r="K131" s="74"/>
      <c r="L131" s="59"/>
      <c r="M131" s="8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74"/>
      <c r="Y131" s="74"/>
      <c r="Z131" s="74"/>
    </row>
    <row r="132" spans="1:26" x14ac:dyDescent="0.3">
      <c r="A132" s="6"/>
      <c r="B132" s="245"/>
      <c r="C132" s="245"/>
      <c r="D132" s="245"/>
      <c r="E132" s="245"/>
      <c r="F132" s="245"/>
      <c r="G132" s="245"/>
      <c r="H132" s="245"/>
      <c r="I132" s="245"/>
      <c r="J132" s="245"/>
      <c r="K132" s="74"/>
      <c r="L132" s="59"/>
      <c r="M132" s="8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74"/>
      <c r="Y132" s="74"/>
      <c r="Z132" s="74"/>
    </row>
    <row r="133" spans="1:26" x14ac:dyDescent="0.3">
      <c r="A133" s="6"/>
      <c r="B133" s="53" t="s">
        <v>43</v>
      </c>
      <c r="C133" s="22" t="s">
        <v>44</v>
      </c>
      <c r="D133" s="22"/>
      <c r="E133" s="22"/>
      <c r="F133" s="22"/>
      <c r="G133" s="22"/>
      <c r="H133" s="22"/>
      <c r="I133" s="22"/>
      <c r="J133" s="22"/>
      <c r="K133" s="74"/>
      <c r="L133" s="59"/>
      <c r="M133" s="8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74"/>
      <c r="Y133" s="74"/>
      <c r="Z133" s="74"/>
    </row>
    <row r="134" spans="1:26" x14ac:dyDescent="0.3">
      <c r="A134" s="6"/>
      <c r="B134" s="54"/>
      <c r="C134" s="54"/>
      <c r="D134" s="54"/>
      <c r="E134" s="54"/>
      <c r="F134" s="54"/>
      <c r="G134" s="54"/>
      <c r="H134" s="54"/>
      <c r="I134" s="54"/>
      <c r="J134" s="54"/>
      <c r="K134" s="74"/>
      <c r="L134" s="59"/>
      <c r="M134" s="8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74"/>
      <c r="Y134" s="74"/>
      <c r="Z134" s="74"/>
    </row>
    <row r="135" spans="1:26" x14ac:dyDescent="0.3">
      <c r="A135" s="6"/>
      <c r="B135" s="7" t="s">
        <v>39</v>
      </c>
      <c r="C135" s="22" t="s">
        <v>45</v>
      </c>
      <c r="D135" s="22"/>
      <c r="E135" s="22"/>
      <c r="F135" s="22"/>
      <c r="G135" s="22"/>
      <c r="H135" s="22"/>
      <c r="I135" s="22"/>
      <c r="J135" s="22"/>
      <c r="K135" s="74"/>
      <c r="L135" s="59"/>
      <c r="M135" s="8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74"/>
      <c r="Y135" s="74"/>
      <c r="Z135" s="74"/>
    </row>
    <row r="136" spans="1:26" x14ac:dyDescent="0.3">
      <c r="A136" s="6"/>
      <c r="B136" s="22"/>
      <c r="C136" s="22" t="s">
        <v>893</v>
      </c>
      <c r="D136" s="22"/>
      <c r="E136" s="22"/>
      <c r="F136" s="22"/>
      <c r="G136" s="22"/>
      <c r="H136" s="22"/>
      <c r="I136" s="22"/>
      <c r="J136" s="22"/>
      <c r="K136" s="74"/>
      <c r="L136" s="59"/>
      <c r="M136" s="8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74"/>
      <c r="Y136" s="74"/>
      <c r="Z136" s="74"/>
    </row>
    <row r="137" spans="1:26" x14ac:dyDescent="0.3">
      <c r="A137" s="6"/>
      <c r="B137" s="22"/>
      <c r="C137" s="22" t="s">
        <v>894</v>
      </c>
      <c r="D137" s="22"/>
      <c r="E137" s="22"/>
      <c r="F137" s="22"/>
      <c r="G137" s="22"/>
      <c r="H137" s="22"/>
      <c r="I137" s="22"/>
      <c r="J137" s="22"/>
      <c r="K137" s="74"/>
      <c r="L137" s="59"/>
      <c r="M137" s="8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74"/>
      <c r="Y137" s="74"/>
      <c r="Z137" s="74"/>
    </row>
    <row r="138" spans="1:26" x14ac:dyDescent="0.3">
      <c r="A138" s="6"/>
      <c r="B138" s="7" t="s">
        <v>40</v>
      </c>
      <c r="C138" s="22" t="s">
        <v>895</v>
      </c>
      <c r="D138" s="22"/>
      <c r="E138" s="22"/>
      <c r="F138" s="22"/>
      <c r="G138" s="22"/>
      <c r="H138" s="22"/>
      <c r="I138" s="22"/>
      <c r="J138" s="22"/>
      <c r="K138" s="74"/>
      <c r="L138" s="59"/>
      <c r="M138" s="8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74"/>
      <c r="Y138" s="74"/>
      <c r="Z138" s="74"/>
    </row>
    <row r="139" spans="1:26" x14ac:dyDescent="0.3">
      <c r="A139" s="6"/>
      <c r="B139" s="22"/>
      <c r="C139" s="22" t="s">
        <v>896</v>
      </c>
      <c r="D139" s="22"/>
      <c r="E139" s="22"/>
      <c r="F139" s="22"/>
      <c r="G139" s="22"/>
      <c r="H139" s="22"/>
      <c r="I139" s="22"/>
      <c r="J139" s="22"/>
      <c r="K139" s="74"/>
      <c r="L139" s="59"/>
      <c r="M139" s="8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74"/>
      <c r="Y139" s="74"/>
      <c r="Z139" s="74"/>
    </row>
    <row r="140" spans="1:26" x14ac:dyDescent="0.3">
      <c r="A140" s="6"/>
      <c r="B140" s="22"/>
      <c r="C140" s="22" t="s">
        <v>897</v>
      </c>
      <c r="D140" s="22"/>
      <c r="E140" s="22"/>
      <c r="F140" s="22"/>
      <c r="G140" s="22"/>
      <c r="H140" s="22"/>
      <c r="I140" s="22"/>
      <c r="J140" s="22"/>
      <c r="K140" s="74"/>
      <c r="L140" s="59"/>
      <c r="M140" s="8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74"/>
      <c r="Y140" s="74"/>
      <c r="Z140" s="74"/>
    </row>
    <row r="141" spans="1:26" x14ac:dyDescent="0.3">
      <c r="A141" s="6"/>
      <c r="B141" s="22"/>
      <c r="C141" s="22" t="s">
        <v>898</v>
      </c>
      <c r="D141" s="22"/>
      <c r="E141" s="22"/>
      <c r="F141" s="22"/>
      <c r="G141" s="22"/>
      <c r="H141" s="22"/>
      <c r="I141" s="22"/>
      <c r="J141" s="22"/>
      <c r="K141" s="74"/>
      <c r="L141" s="59"/>
      <c r="M141" s="8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74"/>
      <c r="Y141" s="74"/>
      <c r="Z141" s="74"/>
    </row>
    <row r="142" spans="1:26" x14ac:dyDescent="0.3">
      <c r="A142" s="6"/>
      <c r="B142" s="22"/>
      <c r="C142" s="22" t="s">
        <v>899</v>
      </c>
      <c r="D142" s="22"/>
      <c r="E142" s="22"/>
      <c r="F142" s="22"/>
      <c r="G142" s="22"/>
      <c r="H142" s="22"/>
      <c r="I142" s="22"/>
      <c r="J142" s="22"/>
      <c r="K142" s="74"/>
      <c r="L142" s="59"/>
      <c r="M142" s="8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74"/>
      <c r="Y142" s="74"/>
      <c r="Z142" s="74"/>
    </row>
    <row r="143" spans="1:26" x14ac:dyDescent="0.3">
      <c r="A143" s="6"/>
      <c r="B143" s="22"/>
      <c r="C143" s="22" t="s">
        <v>46</v>
      </c>
      <c r="D143" s="22"/>
      <c r="E143" s="22"/>
      <c r="F143" s="22"/>
      <c r="G143" s="22"/>
      <c r="H143" s="22"/>
      <c r="I143" s="22"/>
      <c r="J143" s="22"/>
      <c r="K143" s="74"/>
      <c r="L143" s="59"/>
      <c r="M143" s="8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74"/>
      <c r="Y143" s="74"/>
      <c r="Z143" s="74"/>
    </row>
    <row r="144" spans="1:26" x14ac:dyDescent="0.3">
      <c r="A144" s="6"/>
      <c r="B144" s="23" t="s">
        <v>25</v>
      </c>
      <c r="C144" s="22" t="s">
        <v>900</v>
      </c>
      <c r="D144" s="22"/>
      <c r="E144" s="22"/>
      <c r="F144" s="22"/>
      <c r="G144" s="22"/>
      <c r="H144" s="22"/>
      <c r="I144" s="22"/>
      <c r="J144" s="22"/>
      <c r="K144" s="74"/>
      <c r="L144" s="59"/>
      <c r="M144" s="8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74"/>
      <c r="Y144" s="74"/>
      <c r="Z144" s="74"/>
    </row>
    <row r="145" spans="1:26" x14ac:dyDescent="0.3">
      <c r="A145" s="6"/>
      <c r="B145" s="22"/>
      <c r="C145" s="22" t="s">
        <v>901</v>
      </c>
      <c r="D145" s="22"/>
      <c r="E145" s="22"/>
      <c r="F145" s="22"/>
      <c r="G145" s="22"/>
      <c r="H145" s="22"/>
      <c r="I145" s="22"/>
      <c r="J145" s="22"/>
      <c r="K145" s="74"/>
      <c r="L145" s="59"/>
      <c r="M145" s="8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74"/>
      <c r="Y145" s="74"/>
      <c r="Z145" s="74"/>
    </row>
    <row r="146" spans="1:26" x14ac:dyDescent="0.3">
      <c r="A146" s="6"/>
      <c r="B146" s="22"/>
      <c r="C146" s="22" t="s">
        <v>902</v>
      </c>
      <c r="D146" s="22"/>
      <c r="E146" s="22"/>
      <c r="F146" s="22"/>
      <c r="G146" s="22"/>
      <c r="H146" s="22"/>
      <c r="I146" s="22"/>
      <c r="J146" s="22"/>
      <c r="K146" s="74"/>
      <c r="L146" s="59"/>
      <c r="M146" s="8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74"/>
      <c r="Y146" s="74"/>
      <c r="Z146" s="74"/>
    </row>
    <row r="147" spans="1:26" x14ac:dyDescent="0.3">
      <c r="A147" s="6"/>
      <c r="B147" s="22"/>
      <c r="C147" s="22" t="s">
        <v>903</v>
      </c>
      <c r="D147" s="22"/>
      <c r="E147" s="22"/>
      <c r="F147" s="22"/>
      <c r="G147" s="22"/>
      <c r="H147" s="22"/>
      <c r="I147" s="22"/>
      <c r="J147" s="22"/>
      <c r="K147" s="74"/>
      <c r="L147" s="59"/>
      <c r="M147" s="8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74"/>
      <c r="Y147" s="74"/>
      <c r="Z147" s="74"/>
    </row>
    <row r="148" spans="1:26" x14ac:dyDescent="0.3">
      <c r="A148" s="6"/>
      <c r="B148" s="24"/>
      <c r="C148" s="24"/>
      <c r="D148" s="24"/>
      <c r="E148" s="24"/>
      <c r="F148" s="24"/>
      <c r="G148" s="24"/>
      <c r="H148" s="24"/>
      <c r="I148" s="24"/>
      <c r="J148" s="24"/>
      <c r="K148" s="74"/>
      <c r="L148" s="59"/>
      <c r="M148" s="8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74"/>
      <c r="Y148" s="74"/>
      <c r="Z148" s="74"/>
    </row>
    <row r="149" spans="1:26" x14ac:dyDescent="0.3">
      <c r="A149" s="6"/>
      <c r="B149" s="53" t="s">
        <v>47</v>
      </c>
      <c r="C149" s="22" t="s">
        <v>904</v>
      </c>
      <c r="D149" s="22"/>
      <c r="E149" s="22"/>
      <c r="F149" s="22"/>
      <c r="G149" s="22"/>
      <c r="H149" s="22"/>
      <c r="I149" s="22"/>
      <c r="J149" s="22"/>
      <c r="K149" s="74"/>
      <c r="L149" s="59"/>
      <c r="M149" s="8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74"/>
      <c r="Y149" s="74"/>
      <c r="Z149" s="74"/>
    </row>
    <row r="150" spans="1:26" x14ac:dyDescent="0.3">
      <c r="A150" s="6"/>
      <c r="B150" s="245"/>
      <c r="C150" s="245"/>
      <c r="D150" s="245"/>
      <c r="E150" s="245"/>
      <c r="F150" s="245"/>
      <c r="G150" s="245"/>
      <c r="H150" s="245"/>
      <c r="I150" s="245"/>
      <c r="J150" s="245"/>
      <c r="K150" s="74"/>
      <c r="L150" s="59"/>
      <c r="M150" s="8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74"/>
      <c r="Y150" s="74"/>
      <c r="Z150" s="74"/>
    </row>
    <row r="151" spans="1:26" x14ac:dyDescent="0.3">
      <c r="A151" s="53"/>
      <c r="B151" s="7" t="s">
        <v>39</v>
      </c>
      <c r="C151" s="22" t="s">
        <v>905</v>
      </c>
      <c r="D151" s="22"/>
      <c r="E151" s="22"/>
      <c r="F151" s="22"/>
      <c r="G151" s="22"/>
      <c r="H151" s="22"/>
      <c r="I151" s="22"/>
      <c r="J151" s="22"/>
      <c r="K151" s="74"/>
      <c r="L151" s="59"/>
      <c r="M151" s="87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74"/>
      <c r="Y151" s="74"/>
      <c r="Z151" s="74"/>
    </row>
    <row r="152" spans="1:26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74"/>
      <c r="L152" s="59"/>
      <c r="M152" s="8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74"/>
      <c r="Y152" s="74"/>
      <c r="Z152" s="74"/>
    </row>
    <row r="153" spans="1:26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74"/>
      <c r="L153" s="59"/>
      <c r="M153" s="8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74"/>
      <c r="Y153" s="74"/>
      <c r="Z153" s="74"/>
    </row>
    <row r="154" spans="1:26" ht="18" x14ac:dyDescent="0.35">
      <c r="A154" s="6"/>
      <c r="B154" s="21" t="s">
        <v>49</v>
      </c>
      <c r="C154" s="6"/>
      <c r="D154" s="6"/>
      <c r="E154" s="6"/>
      <c r="F154" s="6"/>
      <c r="G154" s="6"/>
      <c r="H154" s="6"/>
      <c r="I154" s="6"/>
      <c r="J154" s="6"/>
      <c r="K154" s="74"/>
      <c r="L154" s="59"/>
      <c r="M154" s="8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74"/>
      <c r="Y154" s="74"/>
      <c r="Z154" s="74"/>
    </row>
    <row r="155" spans="1:26" x14ac:dyDescent="0.3">
      <c r="A155" s="6"/>
      <c r="B155" s="31" t="s">
        <v>932</v>
      </c>
      <c r="C155" s="31"/>
      <c r="D155" s="31"/>
      <c r="E155" s="31"/>
      <c r="F155" s="31"/>
      <c r="G155" s="31"/>
      <c r="H155" s="31"/>
      <c r="I155" s="31"/>
      <c r="J155" s="31"/>
      <c r="K155" s="74"/>
      <c r="L155" s="59"/>
      <c r="M155" s="8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74"/>
      <c r="Y155" s="74"/>
      <c r="Z155" s="74"/>
    </row>
    <row r="156" spans="1:26" x14ac:dyDescent="0.3">
      <c r="A156" s="6"/>
      <c r="B156" s="31" t="s">
        <v>933</v>
      </c>
      <c r="C156" s="31"/>
      <c r="D156" s="31"/>
      <c r="E156" s="31"/>
      <c r="F156" s="31"/>
      <c r="G156" s="31"/>
      <c r="H156" s="31"/>
      <c r="I156" s="31"/>
      <c r="J156" s="31"/>
      <c r="K156" s="74"/>
      <c r="L156" s="59"/>
      <c r="M156" s="8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74"/>
      <c r="Y156" s="74"/>
      <c r="Z156" s="74"/>
    </row>
    <row r="157" spans="1:26" x14ac:dyDescent="0.3">
      <c r="A157" s="6"/>
      <c r="B157" s="31"/>
      <c r="C157" s="31"/>
      <c r="D157" s="31"/>
      <c r="E157" s="31"/>
      <c r="F157" s="31"/>
      <c r="G157" s="31"/>
      <c r="H157" s="31"/>
      <c r="I157" s="31"/>
      <c r="J157" s="31"/>
      <c r="K157" s="74"/>
      <c r="L157" s="59"/>
      <c r="M157" s="8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74"/>
      <c r="Y157" s="74"/>
      <c r="Z157" s="74"/>
    </row>
    <row r="158" spans="1:26" x14ac:dyDescent="0.3">
      <c r="A158" s="6"/>
      <c r="B158" s="69" t="s">
        <v>25</v>
      </c>
      <c r="C158" s="31" t="s">
        <v>935</v>
      </c>
      <c r="D158" s="31"/>
      <c r="E158" s="31"/>
      <c r="F158" s="31"/>
      <c r="G158" s="31"/>
      <c r="H158" s="31"/>
      <c r="I158" s="31"/>
      <c r="J158" s="31"/>
      <c r="K158" s="74"/>
      <c r="L158" s="59"/>
      <c r="M158" s="8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74"/>
      <c r="Y158" s="74"/>
      <c r="Z158" s="74"/>
    </row>
    <row r="159" spans="1:26" x14ac:dyDescent="0.3">
      <c r="A159" s="75"/>
      <c r="B159" s="31" t="s">
        <v>934</v>
      </c>
      <c r="C159" s="31"/>
      <c r="D159" s="31"/>
      <c r="E159" s="31"/>
      <c r="F159" s="31"/>
      <c r="G159" s="31"/>
      <c r="H159" s="31"/>
      <c r="I159" s="31"/>
      <c r="J159" s="31"/>
      <c r="K159" s="75"/>
      <c r="L159" s="59"/>
      <c r="M159" s="87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spans="1:26" x14ac:dyDescent="0.3">
      <c r="A160" s="75"/>
      <c r="B160" s="31"/>
      <c r="C160" s="31"/>
      <c r="D160" s="31"/>
      <c r="E160" s="31"/>
      <c r="F160" s="31"/>
      <c r="G160" s="31"/>
      <c r="H160" s="31"/>
      <c r="I160" s="31"/>
      <c r="J160" s="31"/>
      <c r="K160" s="75"/>
      <c r="L160" s="59"/>
      <c r="M160" s="87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spans="1:26" x14ac:dyDescent="0.3">
      <c r="A161" s="75"/>
      <c r="B161" s="7" t="s">
        <v>906</v>
      </c>
      <c r="C161" s="31" t="s">
        <v>993</v>
      </c>
      <c r="D161" s="31"/>
      <c r="E161" s="31"/>
      <c r="F161" s="31"/>
      <c r="G161" s="31"/>
      <c r="H161" s="31"/>
      <c r="I161" s="31"/>
      <c r="J161" s="31"/>
      <c r="K161" s="75"/>
      <c r="L161" s="59"/>
      <c r="M161" s="87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spans="1:26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74"/>
      <c r="L162" s="59"/>
      <c r="M162" s="8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74"/>
      <c r="Y162" s="74"/>
      <c r="Z162" s="74"/>
    </row>
    <row r="163" spans="1:26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74"/>
      <c r="L163" s="59"/>
      <c r="M163" s="8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74"/>
      <c r="Y163" s="74"/>
      <c r="Z163" s="74"/>
    </row>
    <row r="164" spans="1:26" ht="18.600000000000001" thickBot="1" x14ac:dyDescent="0.4">
      <c r="A164" s="6"/>
      <c r="B164" s="21" t="s">
        <v>839</v>
      </c>
      <c r="C164" s="6"/>
      <c r="D164" s="6"/>
      <c r="E164" s="6"/>
      <c r="F164" s="6"/>
      <c r="G164" s="6"/>
      <c r="H164" s="6"/>
      <c r="I164" s="6"/>
      <c r="J164" s="6"/>
      <c r="K164" s="74"/>
      <c r="L164" s="155" t="s">
        <v>997</v>
      </c>
      <c r="M164" s="8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74"/>
      <c r="Y164" s="74"/>
      <c r="Z164" s="74"/>
    </row>
    <row r="165" spans="1:26" ht="15" thickTop="1" x14ac:dyDescent="0.3">
      <c r="A165" s="6"/>
      <c r="B165" s="31" t="s">
        <v>937</v>
      </c>
      <c r="C165" s="31"/>
      <c r="D165" s="31"/>
      <c r="E165" s="31"/>
      <c r="F165" s="31"/>
      <c r="G165" s="31"/>
      <c r="H165" s="31"/>
      <c r="I165" s="31"/>
      <c r="J165" s="31"/>
      <c r="K165" s="74"/>
      <c r="L165" s="59"/>
      <c r="M165" s="8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74"/>
      <c r="Y165" s="74"/>
      <c r="Z165" s="74"/>
    </row>
    <row r="166" spans="1:26" x14ac:dyDescent="0.3">
      <c r="A166" s="6"/>
      <c r="B166" s="31" t="s">
        <v>936</v>
      </c>
      <c r="C166" s="31"/>
      <c r="D166" s="31"/>
      <c r="E166" s="31"/>
      <c r="F166" s="31"/>
      <c r="G166" s="31"/>
      <c r="H166" s="31"/>
      <c r="I166" s="31"/>
      <c r="J166" s="31"/>
      <c r="K166" s="74"/>
      <c r="L166" s="59"/>
      <c r="M166" s="8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74"/>
      <c r="Y166" s="74"/>
      <c r="Z166" s="74"/>
    </row>
    <row r="167" spans="1:26" x14ac:dyDescent="0.3">
      <c r="A167" s="6"/>
      <c r="B167" s="31"/>
      <c r="C167" s="31"/>
      <c r="D167" s="31"/>
      <c r="E167" s="31"/>
      <c r="F167" s="31"/>
      <c r="G167" s="31"/>
      <c r="H167" s="31"/>
      <c r="I167" s="31"/>
      <c r="J167" s="31"/>
      <c r="K167" s="74"/>
      <c r="L167" s="59"/>
      <c r="M167" s="8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74"/>
      <c r="Y167" s="74"/>
      <c r="Z167" s="74"/>
    </row>
    <row r="168" spans="1:26" x14ac:dyDescent="0.3">
      <c r="A168" s="75"/>
      <c r="B168" s="69" t="s">
        <v>25</v>
      </c>
      <c r="C168" s="31" t="s">
        <v>907</v>
      </c>
      <c r="D168" s="31"/>
      <c r="E168" s="31"/>
      <c r="F168" s="31"/>
      <c r="G168" s="31"/>
      <c r="H168" s="31"/>
      <c r="I168" s="31"/>
      <c r="J168" s="31"/>
      <c r="K168" s="75"/>
      <c r="L168" s="59"/>
      <c r="M168" s="87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spans="1:26" x14ac:dyDescent="0.3">
      <c r="A169" s="6"/>
      <c r="B169" s="31"/>
      <c r="C169" s="31"/>
      <c r="D169" s="31"/>
      <c r="E169" s="31"/>
      <c r="F169" s="31"/>
      <c r="G169" s="31"/>
      <c r="H169" s="31"/>
      <c r="I169" s="31"/>
      <c r="J169" s="31"/>
      <c r="K169" s="74"/>
      <c r="L169" s="59"/>
      <c r="M169" s="8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74"/>
      <c r="Y169" s="74"/>
      <c r="Z169" s="74"/>
    </row>
    <row r="170" spans="1:26" x14ac:dyDescent="0.3">
      <c r="A170" s="6"/>
      <c r="B170" s="68" t="s">
        <v>906</v>
      </c>
      <c r="C170" s="31" t="s">
        <v>994</v>
      </c>
      <c r="D170" s="31"/>
      <c r="E170" s="31"/>
      <c r="F170" s="31"/>
      <c r="G170" s="31"/>
      <c r="H170" s="31"/>
      <c r="I170" s="31"/>
      <c r="J170" s="31"/>
      <c r="K170" s="74"/>
      <c r="L170" s="59"/>
      <c r="M170" s="8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74"/>
      <c r="Y170" s="74"/>
      <c r="Z170" s="74"/>
    </row>
    <row r="171" spans="1:26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74"/>
      <c r="L171" s="59"/>
      <c r="M171" s="8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74"/>
      <c r="Y171" s="74"/>
      <c r="Z171" s="74"/>
    </row>
    <row r="172" spans="1:26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74"/>
      <c r="L172" s="59"/>
      <c r="M172" s="8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74"/>
      <c r="Y172" s="74"/>
      <c r="Z172" s="74"/>
    </row>
    <row r="173" spans="1:26" ht="18" x14ac:dyDescent="0.35">
      <c r="A173" s="6"/>
      <c r="B173" s="21" t="s">
        <v>753</v>
      </c>
      <c r="C173" s="6"/>
      <c r="D173" s="6"/>
      <c r="E173" s="6"/>
      <c r="F173" s="6"/>
      <c r="G173" s="6"/>
      <c r="H173" s="6"/>
      <c r="I173" s="6"/>
      <c r="J173" s="6"/>
      <c r="K173" s="74"/>
      <c r="L173" s="59"/>
      <c r="M173" s="8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74"/>
      <c r="Y173" s="74"/>
      <c r="Z173" s="74"/>
    </row>
    <row r="174" spans="1:26" x14ac:dyDescent="0.3">
      <c r="A174" s="6"/>
      <c r="B174" s="31" t="s">
        <v>908</v>
      </c>
      <c r="C174" s="31"/>
      <c r="D174" s="31"/>
      <c r="E174" s="31"/>
      <c r="F174" s="31"/>
      <c r="G174" s="31"/>
      <c r="H174" s="31"/>
      <c r="I174" s="31"/>
      <c r="J174" s="31"/>
      <c r="K174" s="74"/>
      <c r="L174" s="59"/>
      <c r="M174" s="8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74"/>
      <c r="Y174" s="74"/>
      <c r="Z174" s="74"/>
    </row>
    <row r="175" spans="1:26" x14ac:dyDescent="0.3">
      <c r="A175" s="6"/>
      <c r="B175" s="31"/>
      <c r="C175" s="31"/>
      <c r="D175" s="31"/>
      <c r="E175" s="31"/>
      <c r="F175" s="31"/>
      <c r="G175" s="31"/>
      <c r="H175" s="31"/>
      <c r="I175" s="31"/>
      <c r="J175" s="31"/>
      <c r="K175" s="74"/>
      <c r="L175" s="59"/>
      <c r="M175" s="8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74"/>
      <c r="Y175" s="74"/>
      <c r="Z175" s="74"/>
    </row>
    <row r="176" spans="1:26" x14ac:dyDescent="0.3">
      <c r="A176" s="6"/>
      <c r="B176" s="69" t="s">
        <v>25</v>
      </c>
      <c r="C176" s="31" t="s">
        <v>1099</v>
      </c>
      <c r="D176" s="31"/>
      <c r="E176" s="31"/>
      <c r="F176" s="31"/>
      <c r="G176" s="31"/>
      <c r="H176" s="31"/>
      <c r="I176" s="31"/>
      <c r="J176" s="31"/>
      <c r="K176" s="74"/>
      <c r="L176" s="59"/>
      <c r="M176" s="8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74"/>
      <c r="Y176" s="74"/>
      <c r="Z176" s="74"/>
    </row>
    <row r="177" spans="1:26" x14ac:dyDescent="0.3">
      <c r="A177" s="6"/>
      <c r="B177" s="31"/>
      <c r="C177" s="31"/>
      <c r="D177" s="31"/>
      <c r="E177" s="31"/>
      <c r="F177" s="31"/>
      <c r="G177" s="31"/>
      <c r="H177" s="31"/>
      <c r="I177" s="31"/>
      <c r="J177" s="31"/>
      <c r="K177" s="74"/>
      <c r="L177" s="59"/>
      <c r="M177" s="8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74"/>
      <c r="Y177" s="74"/>
      <c r="Z177" s="74"/>
    </row>
    <row r="178" spans="1:26" x14ac:dyDescent="0.3">
      <c r="A178" s="6"/>
      <c r="B178" s="68" t="s">
        <v>906</v>
      </c>
      <c r="C178" s="31" t="s">
        <v>995</v>
      </c>
      <c r="D178" s="31"/>
      <c r="E178" s="31"/>
      <c r="F178" s="31"/>
      <c r="G178" s="31"/>
      <c r="H178" s="31"/>
      <c r="I178" s="31"/>
      <c r="J178" s="31"/>
      <c r="K178" s="74"/>
      <c r="L178" s="59"/>
      <c r="M178" s="8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74"/>
      <c r="Y178" s="74"/>
      <c r="Z178" s="74"/>
    </row>
    <row r="179" spans="1:26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74"/>
      <c r="L179" s="59"/>
      <c r="M179" s="8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74"/>
      <c r="Y179" s="74"/>
      <c r="Z179" s="74"/>
    </row>
    <row r="180" spans="1:26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74"/>
      <c r="L180" s="59"/>
      <c r="M180" s="8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74"/>
      <c r="Y180" s="74"/>
      <c r="Z180" s="74"/>
    </row>
    <row r="181" spans="1:26" ht="17.399999999999999" x14ac:dyDescent="0.35">
      <c r="A181" s="6"/>
      <c r="B181" s="4" t="s">
        <v>50</v>
      </c>
      <c r="C181" s="52"/>
      <c r="D181" s="52"/>
      <c r="E181" s="52"/>
      <c r="F181" s="52"/>
      <c r="G181" s="52"/>
      <c r="H181" s="52"/>
      <c r="I181" s="52"/>
      <c r="J181" s="52"/>
      <c r="K181" s="74"/>
      <c r="L181" s="59"/>
      <c r="M181" s="8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74"/>
      <c r="Y181" s="74"/>
      <c r="Z181" s="74"/>
    </row>
    <row r="182" spans="1:26" x14ac:dyDescent="0.3">
      <c r="A182" s="6"/>
      <c r="B182" s="22" t="s">
        <v>1100</v>
      </c>
      <c r="C182" s="22"/>
      <c r="D182" s="22"/>
      <c r="E182" s="22"/>
      <c r="F182" s="22"/>
      <c r="G182" s="22"/>
      <c r="H182" s="22"/>
      <c r="I182" s="22"/>
      <c r="J182" s="22"/>
      <c r="K182" s="74"/>
      <c r="L182" s="59"/>
      <c r="M182" s="8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74"/>
      <c r="Y182" s="74"/>
      <c r="Z182" s="74"/>
    </row>
    <row r="183" spans="1:26" x14ac:dyDescent="0.3">
      <c r="A183" s="6"/>
      <c r="B183" s="22" t="s">
        <v>1101</v>
      </c>
      <c r="C183" s="22"/>
      <c r="D183" s="22"/>
      <c r="E183" s="22"/>
      <c r="F183" s="22"/>
      <c r="G183" s="22"/>
      <c r="H183" s="22"/>
      <c r="I183" s="22"/>
      <c r="J183" s="22"/>
      <c r="K183" s="74"/>
      <c r="L183" s="59"/>
      <c r="M183" s="8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74"/>
      <c r="Y183" s="74"/>
      <c r="Z183" s="74"/>
    </row>
    <row r="184" spans="1:26" x14ac:dyDescent="0.3">
      <c r="A184" s="6"/>
      <c r="B184" s="22"/>
      <c r="C184" s="22"/>
      <c r="D184" s="22"/>
      <c r="E184" s="22"/>
      <c r="F184" s="22"/>
      <c r="G184" s="22"/>
      <c r="H184" s="22"/>
      <c r="I184" s="22"/>
      <c r="J184" s="22"/>
      <c r="K184" s="74"/>
      <c r="L184" s="59"/>
      <c r="M184" s="8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74"/>
      <c r="Y184" s="74"/>
      <c r="Z184" s="74"/>
    </row>
    <row r="185" spans="1:26" x14ac:dyDescent="0.3">
      <c r="A185" s="6"/>
      <c r="B185" s="23" t="s">
        <v>28</v>
      </c>
      <c r="C185" s="22" t="s">
        <v>51</v>
      </c>
      <c r="D185" s="22"/>
      <c r="E185" s="22"/>
      <c r="F185" s="22"/>
      <c r="G185" s="22"/>
      <c r="H185" s="22"/>
      <c r="I185" s="22"/>
      <c r="J185" s="22"/>
      <c r="K185" s="74"/>
      <c r="L185" s="59"/>
      <c r="M185" s="8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74"/>
      <c r="Y185" s="74"/>
      <c r="Z185" s="74"/>
    </row>
    <row r="186" spans="1:26" x14ac:dyDescent="0.3">
      <c r="A186" s="6"/>
      <c r="B186" s="22"/>
      <c r="C186" s="22" t="s">
        <v>52</v>
      </c>
      <c r="D186" s="22"/>
      <c r="E186" s="22"/>
      <c r="F186" s="22"/>
      <c r="G186" s="22"/>
      <c r="H186" s="22"/>
      <c r="I186" s="22"/>
      <c r="J186" s="22"/>
      <c r="K186" s="74"/>
      <c r="L186" s="59"/>
      <c r="M186" s="8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74"/>
      <c r="Y186" s="74"/>
      <c r="Z186" s="74"/>
    </row>
    <row r="187" spans="1:26" x14ac:dyDescent="0.3">
      <c r="A187" s="6"/>
      <c r="B187" s="22"/>
      <c r="C187" s="22" t="s">
        <v>53</v>
      </c>
      <c r="D187" s="22"/>
      <c r="E187" s="22"/>
      <c r="F187" s="22"/>
      <c r="G187" s="22"/>
      <c r="H187" s="22"/>
      <c r="I187" s="22"/>
      <c r="J187" s="22"/>
      <c r="K187" s="74"/>
      <c r="L187" s="59"/>
      <c r="M187" s="8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74"/>
      <c r="Y187" s="74"/>
      <c r="Z187" s="74"/>
    </row>
    <row r="188" spans="1:26" x14ac:dyDescent="0.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74"/>
      <c r="L188" s="59"/>
      <c r="M188" s="8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74"/>
      <c r="Y188" s="74"/>
      <c r="Z188" s="74"/>
    </row>
    <row r="189" spans="1:26" x14ac:dyDescent="0.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74"/>
      <c r="L189" s="59"/>
      <c r="M189" s="8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74"/>
      <c r="Y189" s="74"/>
      <c r="Z189" s="74"/>
    </row>
    <row r="190" spans="1:26" ht="17.399999999999999" x14ac:dyDescent="0.35">
      <c r="A190" s="6"/>
      <c r="B190" s="4" t="s">
        <v>54</v>
      </c>
      <c r="C190" s="52"/>
      <c r="D190" s="52"/>
      <c r="E190" s="52"/>
      <c r="F190" s="52"/>
      <c r="G190" s="52"/>
      <c r="H190" s="52"/>
      <c r="I190" s="52"/>
      <c r="J190" s="52"/>
      <c r="K190" s="74"/>
      <c r="L190" s="59"/>
      <c r="M190" s="8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74"/>
      <c r="Y190" s="74"/>
      <c r="Z190" s="74"/>
    </row>
    <row r="191" spans="1:26" x14ac:dyDescent="0.3">
      <c r="A191" s="6"/>
      <c r="B191" s="22" t="s">
        <v>1102</v>
      </c>
      <c r="C191" s="22"/>
      <c r="D191" s="22"/>
      <c r="E191" s="22"/>
      <c r="F191" s="22"/>
      <c r="G191" s="22"/>
      <c r="H191" s="22"/>
      <c r="I191" s="22"/>
      <c r="J191" s="22"/>
      <c r="K191" s="74"/>
      <c r="L191" s="59"/>
      <c r="M191" s="8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74"/>
      <c r="Y191" s="74"/>
      <c r="Z191" s="74"/>
    </row>
    <row r="192" spans="1:26" x14ac:dyDescent="0.3">
      <c r="A192" s="6"/>
      <c r="B192" s="22" t="s">
        <v>1103</v>
      </c>
      <c r="C192" s="22"/>
      <c r="D192" s="22"/>
      <c r="E192" s="22"/>
      <c r="F192" s="22"/>
      <c r="G192" s="22"/>
      <c r="H192" s="22"/>
      <c r="I192" s="22"/>
      <c r="J192" s="22"/>
      <c r="K192" s="74"/>
      <c r="L192" s="59"/>
      <c r="M192" s="8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74"/>
      <c r="Y192" s="74"/>
      <c r="Z192" s="74"/>
    </row>
    <row r="193" spans="1:26" x14ac:dyDescent="0.3">
      <c r="A193" s="6"/>
      <c r="B193" s="22"/>
      <c r="C193" s="22"/>
      <c r="D193" s="22"/>
      <c r="E193" s="22"/>
      <c r="F193" s="22"/>
      <c r="G193" s="22"/>
      <c r="H193" s="22"/>
      <c r="I193" s="22"/>
      <c r="J193" s="22"/>
      <c r="K193" s="74"/>
      <c r="L193" s="59"/>
      <c r="M193" s="8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74"/>
      <c r="Y193" s="74"/>
      <c r="Z193" s="74"/>
    </row>
    <row r="194" spans="1:26" x14ac:dyDescent="0.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74"/>
      <c r="L194" s="59"/>
      <c r="M194" s="8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74"/>
      <c r="Y194" s="74"/>
      <c r="Z194" s="74"/>
    </row>
    <row r="195" spans="1:26" x14ac:dyDescent="0.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74"/>
      <c r="L195" s="59"/>
      <c r="M195" s="8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74"/>
      <c r="Y195" s="74"/>
      <c r="Z195" s="74"/>
    </row>
    <row r="196" spans="1:26" ht="17.399999999999999" x14ac:dyDescent="0.35">
      <c r="A196" s="6"/>
      <c r="B196" s="4" t="s">
        <v>55</v>
      </c>
      <c r="C196" s="52"/>
      <c r="D196" s="52"/>
      <c r="E196" s="52"/>
      <c r="F196" s="52"/>
      <c r="G196" s="52"/>
      <c r="H196" s="52"/>
      <c r="I196" s="52"/>
      <c r="J196" s="52"/>
      <c r="K196" s="74"/>
      <c r="L196" s="59"/>
      <c r="M196" s="8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74"/>
      <c r="Y196" s="74"/>
      <c r="Z196" s="74"/>
    </row>
    <row r="197" spans="1:26" x14ac:dyDescent="0.3">
      <c r="A197" s="6"/>
      <c r="B197" s="22" t="s">
        <v>1105</v>
      </c>
      <c r="C197" s="22"/>
      <c r="D197" s="22"/>
      <c r="E197" s="22"/>
      <c r="F197" s="22"/>
      <c r="G197" s="22"/>
      <c r="H197" s="22"/>
      <c r="I197" s="22"/>
      <c r="J197" s="22"/>
      <c r="K197" s="74"/>
      <c r="L197" s="59"/>
      <c r="M197" s="8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74"/>
      <c r="Y197" s="74"/>
      <c r="Z197" s="74"/>
    </row>
    <row r="198" spans="1:26" x14ac:dyDescent="0.3">
      <c r="A198" s="6"/>
      <c r="B198" s="22" t="s">
        <v>1104</v>
      </c>
      <c r="C198" s="22"/>
      <c r="D198" s="22"/>
      <c r="E198" s="22"/>
      <c r="F198" s="22"/>
      <c r="G198" s="22"/>
      <c r="H198" s="22"/>
      <c r="I198" s="22"/>
      <c r="J198" s="22"/>
      <c r="K198" s="74"/>
      <c r="L198" s="59"/>
      <c r="M198" s="8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74"/>
      <c r="Y198" s="74"/>
      <c r="Z198" s="74"/>
    </row>
    <row r="199" spans="1:26" x14ac:dyDescent="0.3">
      <c r="A199" s="109"/>
      <c r="B199" s="9" t="s">
        <v>906</v>
      </c>
      <c r="C199" s="22" t="s">
        <v>1107</v>
      </c>
      <c r="D199" s="22"/>
      <c r="E199" s="22"/>
      <c r="F199" s="22"/>
      <c r="G199" s="22"/>
      <c r="H199" s="22"/>
      <c r="I199" s="22"/>
      <c r="J199" s="22"/>
      <c r="K199" s="109"/>
      <c r="L199" s="5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spans="1:26" x14ac:dyDescent="0.3">
      <c r="A200" s="109"/>
      <c r="B200" s="22"/>
      <c r="C200" s="22" t="s">
        <v>1106</v>
      </c>
      <c r="D200" s="22"/>
      <c r="E200" s="22"/>
      <c r="F200" s="22"/>
      <c r="G200" s="22"/>
      <c r="H200" s="22"/>
      <c r="I200" s="22"/>
      <c r="J200" s="22"/>
      <c r="K200" s="109"/>
      <c r="L200" s="5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 spans="1:26" x14ac:dyDescent="0.3">
      <c r="A201" s="109"/>
      <c r="B201" s="23" t="s">
        <v>25</v>
      </c>
      <c r="C201" s="22" t="s">
        <v>1108</v>
      </c>
      <c r="D201" s="22"/>
      <c r="E201" s="22"/>
      <c r="F201" s="22"/>
      <c r="G201" s="22"/>
      <c r="H201" s="22"/>
      <c r="I201" s="22"/>
      <c r="J201" s="22"/>
      <c r="K201" s="109"/>
      <c r="L201" s="5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spans="1:26" x14ac:dyDescent="0.3">
      <c r="A202" s="109"/>
      <c r="B202" s="22"/>
      <c r="C202" s="22" t="s">
        <v>1109</v>
      </c>
      <c r="D202" s="22"/>
      <c r="E202" s="22"/>
      <c r="F202" s="22"/>
      <c r="G202" s="22"/>
      <c r="H202" s="22"/>
      <c r="I202" s="22"/>
      <c r="J202" s="22"/>
      <c r="K202" s="109"/>
      <c r="L202" s="138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spans="1:26" x14ac:dyDescent="0.3">
      <c r="A203" s="6"/>
      <c r="B203" s="9" t="s">
        <v>906</v>
      </c>
      <c r="C203" s="22" t="s">
        <v>56</v>
      </c>
      <c r="D203" s="22"/>
      <c r="E203" s="22"/>
      <c r="F203" s="22"/>
      <c r="G203" s="22"/>
      <c r="H203" s="22"/>
      <c r="I203" s="22"/>
      <c r="J203" s="22"/>
      <c r="K203" s="74"/>
      <c r="L203" s="59"/>
      <c r="M203" s="8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74"/>
      <c r="Y203" s="74"/>
      <c r="Z203" s="74"/>
    </row>
    <row r="204" spans="1:26" x14ac:dyDescent="0.3">
      <c r="A204" s="6"/>
      <c r="C204" s="22" t="s">
        <v>57</v>
      </c>
      <c r="D204" s="22"/>
      <c r="E204" s="22"/>
      <c r="F204" s="22"/>
      <c r="G204" s="22"/>
      <c r="H204" s="22"/>
      <c r="I204" s="22"/>
      <c r="J204" s="22"/>
      <c r="K204" s="74"/>
      <c r="L204" s="59"/>
      <c r="M204" s="8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74"/>
      <c r="Y204" s="74"/>
      <c r="Z204" s="74"/>
    </row>
    <row r="205" spans="1:26" x14ac:dyDescent="0.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74"/>
      <c r="L205" s="59"/>
      <c r="M205" s="8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74"/>
      <c r="Y205" s="74"/>
      <c r="Z205" s="74"/>
    </row>
    <row r="206" spans="1:26" x14ac:dyDescent="0.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74"/>
      <c r="L206" s="59"/>
      <c r="M206" s="8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74"/>
      <c r="Y206" s="74"/>
      <c r="Z206" s="74"/>
    </row>
    <row r="207" spans="1:26" ht="18.600000000000001" thickBot="1" x14ac:dyDescent="0.4">
      <c r="A207" s="6"/>
      <c r="B207" s="4" t="s">
        <v>841</v>
      </c>
      <c r="C207" s="52"/>
      <c r="D207" s="52"/>
      <c r="E207" s="52"/>
      <c r="F207" s="52"/>
      <c r="G207" s="52"/>
      <c r="H207" s="52"/>
      <c r="I207" s="52"/>
      <c r="J207" s="52"/>
      <c r="K207" s="74"/>
      <c r="L207" s="155" t="s">
        <v>997</v>
      </c>
      <c r="M207" s="8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74"/>
      <c r="Y207" s="74"/>
      <c r="Z207" s="74"/>
    </row>
    <row r="208" spans="1:26" ht="15" thickTop="1" x14ac:dyDescent="0.3">
      <c r="A208" s="6"/>
      <c r="B208" s="22" t="s">
        <v>909</v>
      </c>
      <c r="C208" s="22"/>
      <c r="D208" s="22"/>
      <c r="E208" s="22"/>
      <c r="F208" s="22"/>
      <c r="G208" s="22"/>
      <c r="H208" s="22"/>
      <c r="I208" s="22"/>
      <c r="J208" s="22"/>
      <c r="K208" s="74"/>
      <c r="L208" s="59"/>
      <c r="M208" s="8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74"/>
      <c r="Y208" s="74"/>
      <c r="Z208" s="74"/>
    </row>
    <row r="209" spans="1:26" x14ac:dyDescent="0.3">
      <c r="A209" s="6"/>
      <c r="B209" s="22" t="s">
        <v>910</v>
      </c>
      <c r="C209" s="22"/>
      <c r="D209" s="22"/>
      <c r="E209" s="22"/>
      <c r="F209" s="22"/>
      <c r="G209" s="22"/>
      <c r="H209" s="22"/>
      <c r="I209" s="22"/>
      <c r="J209" s="22"/>
      <c r="K209" s="74"/>
      <c r="L209" s="59"/>
      <c r="M209" s="8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74"/>
      <c r="Y209" s="74"/>
      <c r="Z209" s="74"/>
    </row>
    <row r="210" spans="1:26" x14ac:dyDescent="0.3">
      <c r="A210" s="6"/>
      <c r="B210" s="245"/>
      <c r="C210" s="245"/>
      <c r="D210" s="245"/>
      <c r="E210" s="245"/>
      <c r="F210" s="245"/>
      <c r="G210" s="245"/>
      <c r="H210" s="245"/>
      <c r="I210" s="245"/>
      <c r="J210" s="245"/>
      <c r="K210" s="74"/>
      <c r="L210" s="59"/>
      <c r="M210" s="8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74"/>
      <c r="Y210" s="74"/>
      <c r="Z210" s="74"/>
    </row>
    <row r="211" spans="1:26" x14ac:dyDescent="0.3">
      <c r="A211" s="6"/>
      <c r="B211" s="7" t="s">
        <v>39</v>
      </c>
      <c r="C211" s="22" t="s">
        <v>911</v>
      </c>
      <c r="D211" s="22"/>
      <c r="E211" s="22"/>
      <c r="F211" s="22"/>
      <c r="G211" s="22"/>
      <c r="H211" s="22"/>
      <c r="I211" s="22"/>
      <c r="J211" s="22"/>
      <c r="K211" s="74"/>
      <c r="L211" s="59"/>
      <c r="M211" s="8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74"/>
      <c r="Y211" s="74"/>
      <c r="Z211" s="74"/>
    </row>
    <row r="212" spans="1:26" x14ac:dyDescent="0.3">
      <c r="A212" s="6"/>
      <c r="B212" s="22"/>
      <c r="C212" s="22" t="s">
        <v>912</v>
      </c>
      <c r="D212" s="22"/>
      <c r="E212" s="22"/>
      <c r="F212" s="22"/>
      <c r="G212" s="22"/>
      <c r="H212" s="22"/>
      <c r="I212" s="22"/>
      <c r="J212" s="22"/>
      <c r="K212" s="74"/>
      <c r="L212" s="59"/>
      <c r="M212" s="8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74"/>
      <c r="Y212" s="74"/>
      <c r="Z212" s="74"/>
    </row>
    <row r="213" spans="1:26" x14ac:dyDescent="0.3">
      <c r="A213" s="6"/>
      <c r="B213" s="22"/>
      <c r="C213" s="22" t="s">
        <v>913</v>
      </c>
      <c r="D213" s="22"/>
      <c r="E213" s="22"/>
      <c r="F213" s="22"/>
      <c r="G213" s="22"/>
      <c r="H213" s="22"/>
      <c r="I213" s="22"/>
      <c r="J213" s="22"/>
      <c r="K213" s="74"/>
      <c r="L213" s="59"/>
      <c r="M213" s="8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74"/>
      <c r="Y213" s="74"/>
      <c r="Z213" s="74"/>
    </row>
    <row r="214" spans="1:26" x14ac:dyDescent="0.3">
      <c r="A214" s="6"/>
      <c r="B214" s="23" t="s">
        <v>25</v>
      </c>
      <c r="C214" s="22" t="s">
        <v>914</v>
      </c>
      <c r="D214" s="22"/>
      <c r="E214" s="22"/>
      <c r="F214" s="22"/>
      <c r="G214" s="22"/>
      <c r="H214" s="22"/>
      <c r="I214" s="22"/>
      <c r="J214" s="22"/>
      <c r="K214" s="74"/>
      <c r="L214" s="59"/>
      <c r="M214" s="8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74"/>
      <c r="Y214" s="74"/>
      <c r="Z214" s="74"/>
    </row>
    <row r="215" spans="1:26" x14ac:dyDescent="0.3">
      <c r="A215" s="6"/>
      <c r="B215" s="22"/>
      <c r="C215" s="22" t="s">
        <v>915</v>
      </c>
      <c r="D215" s="22"/>
      <c r="E215" s="22"/>
      <c r="F215" s="22"/>
      <c r="G215" s="22"/>
      <c r="H215" s="22"/>
      <c r="I215" s="22"/>
      <c r="J215" s="22"/>
      <c r="K215" s="74"/>
      <c r="L215" s="59"/>
      <c r="M215" s="8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74"/>
      <c r="Y215" s="74"/>
      <c r="Z215" s="74"/>
    </row>
    <row r="216" spans="1:26" x14ac:dyDescent="0.3">
      <c r="A216" s="6"/>
      <c r="B216" s="7" t="s">
        <v>40</v>
      </c>
      <c r="C216" s="22" t="s">
        <v>1127</v>
      </c>
      <c r="D216" s="22"/>
      <c r="E216" s="22"/>
      <c r="F216" s="22"/>
      <c r="G216" s="22"/>
      <c r="H216" s="22"/>
      <c r="I216" s="22"/>
      <c r="J216" s="22"/>
      <c r="K216" s="74"/>
      <c r="L216" s="59"/>
      <c r="M216" s="8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74"/>
      <c r="Y216" s="74"/>
      <c r="Z216" s="74"/>
    </row>
    <row r="217" spans="1:26" x14ac:dyDescent="0.3">
      <c r="A217" s="6"/>
      <c r="B217" s="22"/>
      <c r="C217" s="22" t="s">
        <v>1110</v>
      </c>
      <c r="D217" s="22"/>
      <c r="E217" s="22"/>
      <c r="F217" s="22"/>
      <c r="G217" s="22"/>
      <c r="H217" s="22"/>
      <c r="I217" s="22"/>
      <c r="J217" s="22"/>
      <c r="K217" s="74"/>
      <c r="L217" s="59"/>
      <c r="M217" s="8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74"/>
      <c r="Y217" s="74"/>
      <c r="Z217" s="74"/>
    </row>
    <row r="218" spans="1:26" x14ac:dyDescent="0.3">
      <c r="A218" s="6"/>
      <c r="B218" s="23" t="s">
        <v>25</v>
      </c>
      <c r="C218" s="22" t="s">
        <v>1112</v>
      </c>
      <c r="D218" s="22"/>
      <c r="E218" s="22"/>
      <c r="F218" s="22"/>
      <c r="G218" s="22"/>
      <c r="H218" s="22"/>
      <c r="I218" s="22"/>
      <c r="J218" s="22"/>
      <c r="K218" s="74"/>
      <c r="L218" s="59"/>
      <c r="M218" s="8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74"/>
      <c r="Y218" s="74"/>
      <c r="Z218" s="74"/>
    </row>
    <row r="219" spans="1:26" x14ac:dyDescent="0.3">
      <c r="A219" s="6"/>
      <c r="B219" s="22"/>
      <c r="C219" s="22" t="s">
        <v>1111</v>
      </c>
      <c r="D219" s="22"/>
      <c r="E219" s="22"/>
      <c r="F219" s="22"/>
      <c r="G219" s="22"/>
      <c r="H219" s="22"/>
      <c r="I219" s="22"/>
      <c r="J219" s="22"/>
      <c r="K219" s="74"/>
      <c r="L219" s="59"/>
      <c r="M219" s="8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74"/>
      <c r="Y219" s="74"/>
      <c r="Z219" s="74"/>
    </row>
    <row r="220" spans="1:26" x14ac:dyDescent="0.3">
      <c r="A220" s="109"/>
      <c r="B220" s="23" t="s">
        <v>25</v>
      </c>
      <c r="C220" s="22" t="s">
        <v>1113</v>
      </c>
      <c r="D220" s="22"/>
      <c r="E220" s="22"/>
      <c r="F220" s="22"/>
      <c r="G220" s="22"/>
      <c r="H220" s="22"/>
      <c r="I220" s="22"/>
      <c r="J220" s="22"/>
      <c r="K220" s="109"/>
      <c r="L220" s="5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 spans="1:26" x14ac:dyDescent="0.3">
      <c r="A221" s="109"/>
      <c r="B221" s="22"/>
      <c r="C221" s="22" t="s">
        <v>1114</v>
      </c>
      <c r="D221" s="22"/>
      <c r="E221" s="22"/>
      <c r="F221" s="22"/>
      <c r="G221" s="22"/>
      <c r="H221" s="22"/>
      <c r="I221" s="22"/>
      <c r="J221" s="22"/>
      <c r="K221" s="109"/>
      <c r="L221" s="5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 spans="1:26" x14ac:dyDescent="0.3">
      <c r="A222" s="6"/>
      <c r="B222" s="7" t="s">
        <v>58</v>
      </c>
      <c r="C222" s="22" t="s">
        <v>916</v>
      </c>
      <c r="D222" s="22"/>
      <c r="E222" s="22"/>
      <c r="F222" s="22"/>
      <c r="G222" s="22"/>
      <c r="H222" s="22"/>
      <c r="I222" s="22"/>
      <c r="J222" s="22"/>
      <c r="K222" s="74"/>
      <c r="L222" s="138"/>
      <c r="M222" s="8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74"/>
      <c r="Y222" s="74"/>
      <c r="Z222" s="74"/>
    </row>
    <row r="223" spans="1:26" x14ac:dyDescent="0.3">
      <c r="A223" s="6"/>
      <c r="B223" s="23" t="s">
        <v>25</v>
      </c>
      <c r="C223" s="22" t="s">
        <v>918</v>
      </c>
      <c r="D223" s="22"/>
      <c r="E223" s="22"/>
      <c r="F223" s="22"/>
      <c r="G223" s="22"/>
      <c r="H223" s="22"/>
      <c r="I223" s="22"/>
      <c r="J223" s="22"/>
      <c r="K223" s="74"/>
      <c r="L223" s="59"/>
      <c r="M223" s="8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74"/>
      <c r="Y223" s="74"/>
      <c r="Z223" s="74"/>
    </row>
    <row r="224" spans="1:26" x14ac:dyDescent="0.3">
      <c r="A224" s="6"/>
      <c r="B224" s="22"/>
      <c r="C224" s="22" t="s">
        <v>917</v>
      </c>
      <c r="D224" s="22"/>
      <c r="E224" s="22"/>
      <c r="F224" s="22"/>
      <c r="G224" s="22"/>
      <c r="H224" s="22"/>
      <c r="I224" s="22"/>
      <c r="J224" s="22"/>
      <c r="K224" s="74"/>
      <c r="L224" s="59"/>
      <c r="M224" s="8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74"/>
      <c r="Y224" s="74"/>
      <c r="Z224" s="74"/>
    </row>
    <row r="225" spans="1:26" x14ac:dyDescent="0.3">
      <c r="A225" s="6"/>
      <c r="B225" s="7" t="s">
        <v>59</v>
      </c>
      <c r="C225" s="22" t="s">
        <v>61</v>
      </c>
      <c r="D225" s="22"/>
      <c r="E225" s="22"/>
      <c r="F225" s="22"/>
      <c r="G225" s="22"/>
      <c r="H225" s="22"/>
      <c r="I225" s="22"/>
      <c r="J225" s="22"/>
      <c r="K225" s="74"/>
      <c r="L225" s="59"/>
      <c r="M225" s="8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74"/>
      <c r="Y225" s="74"/>
      <c r="Z225" s="74"/>
    </row>
    <row r="226" spans="1:26" x14ac:dyDescent="0.3">
      <c r="A226" s="6"/>
      <c r="B226" s="7" t="s">
        <v>60</v>
      </c>
      <c r="C226" s="22" t="s">
        <v>64</v>
      </c>
      <c r="D226" s="22"/>
      <c r="E226" s="22"/>
      <c r="F226" s="22"/>
      <c r="G226" s="22"/>
      <c r="H226" s="22"/>
      <c r="I226" s="22"/>
      <c r="J226" s="22"/>
      <c r="K226" s="74"/>
      <c r="L226" s="59"/>
      <c r="M226" s="8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74"/>
      <c r="Y226" s="74"/>
      <c r="Z226" s="74"/>
    </row>
    <row r="227" spans="1:26" x14ac:dyDescent="0.3">
      <c r="A227" s="6"/>
      <c r="B227" s="7" t="s">
        <v>62</v>
      </c>
      <c r="C227" s="22" t="s">
        <v>66</v>
      </c>
      <c r="D227" s="22"/>
      <c r="E227" s="22"/>
      <c r="F227" s="22"/>
      <c r="G227" s="22"/>
      <c r="H227" s="22"/>
      <c r="I227" s="22"/>
      <c r="J227" s="22"/>
      <c r="K227" s="74"/>
      <c r="L227" s="59"/>
      <c r="M227" s="8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74"/>
      <c r="Y227" s="74"/>
      <c r="Z227" s="74"/>
    </row>
    <row r="228" spans="1:26" x14ac:dyDescent="0.3">
      <c r="A228" s="6"/>
      <c r="B228" s="7" t="s">
        <v>63</v>
      </c>
      <c r="C228" s="22" t="s">
        <v>919</v>
      </c>
      <c r="D228" s="22"/>
      <c r="E228" s="22"/>
      <c r="F228" s="22"/>
      <c r="G228" s="22"/>
      <c r="H228" s="22"/>
      <c r="I228" s="22"/>
      <c r="J228" s="22"/>
      <c r="K228" s="74"/>
      <c r="L228" s="59"/>
      <c r="M228" s="8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74"/>
      <c r="Y228" s="74"/>
      <c r="Z228" s="74"/>
    </row>
    <row r="229" spans="1:26" x14ac:dyDescent="0.3">
      <c r="A229" s="6"/>
      <c r="B229" s="22"/>
      <c r="C229" s="22" t="s">
        <v>920</v>
      </c>
      <c r="D229" s="22"/>
      <c r="E229" s="22"/>
      <c r="F229" s="22"/>
      <c r="G229" s="22"/>
      <c r="H229" s="22"/>
      <c r="I229" s="22"/>
      <c r="J229" s="22"/>
      <c r="K229" s="74"/>
      <c r="L229" s="59"/>
      <c r="M229" s="8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74"/>
      <c r="Y229" s="74"/>
      <c r="Z229" s="74"/>
    </row>
    <row r="230" spans="1:26" x14ac:dyDescent="0.3">
      <c r="A230" s="6"/>
      <c r="B230" s="23" t="s">
        <v>25</v>
      </c>
      <c r="C230" s="22" t="s">
        <v>68</v>
      </c>
      <c r="D230" s="22"/>
      <c r="E230" s="22"/>
      <c r="F230" s="22"/>
      <c r="G230" s="22"/>
      <c r="H230" s="22"/>
      <c r="I230" s="22"/>
      <c r="J230" s="22"/>
      <c r="K230" s="74"/>
      <c r="L230" s="59"/>
      <c r="M230" s="8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74"/>
      <c r="Y230" s="74"/>
      <c r="Z230" s="74"/>
    </row>
    <row r="231" spans="1:26" x14ac:dyDescent="0.3">
      <c r="A231" s="6"/>
      <c r="B231" s="23" t="s">
        <v>28</v>
      </c>
      <c r="C231" s="22" t="s">
        <v>921</v>
      </c>
      <c r="D231" s="22"/>
      <c r="E231" s="22"/>
      <c r="F231" s="22"/>
      <c r="G231" s="22"/>
      <c r="H231" s="22"/>
      <c r="I231" s="22"/>
      <c r="J231" s="22"/>
      <c r="K231" s="74"/>
      <c r="L231" s="59"/>
      <c r="M231" s="8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74"/>
      <c r="Y231" s="74"/>
      <c r="Z231" s="74"/>
    </row>
    <row r="232" spans="1:26" x14ac:dyDescent="0.3">
      <c r="A232" s="6"/>
      <c r="B232" s="22"/>
      <c r="C232" s="22" t="s">
        <v>922</v>
      </c>
      <c r="D232" s="22"/>
      <c r="E232" s="22"/>
      <c r="F232" s="22"/>
      <c r="G232" s="22"/>
      <c r="H232" s="22"/>
      <c r="I232" s="22"/>
      <c r="J232" s="22"/>
      <c r="K232" s="74"/>
      <c r="L232" s="59"/>
      <c r="M232" s="8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74"/>
      <c r="Y232" s="74"/>
      <c r="Z232" s="74"/>
    </row>
    <row r="233" spans="1:26" x14ac:dyDescent="0.3">
      <c r="A233" s="6"/>
      <c r="B233" s="7" t="s">
        <v>65</v>
      </c>
      <c r="C233" s="22" t="s">
        <v>923</v>
      </c>
      <c r="D233" s="22"/>
      <c r="E233" s="22"/>
      <c r="F233" s="22"/>
      <c r="G233" s="22"/>
      <c r="H233" s="22"/>
      <c r="I233" s="22"/>
      <c r="J233" s="22"/>
      <c r="K233" s="74"/>
      <c r="L233" s="59"/>
      <c r="M233" s="8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74"/>
      <c r="Y233" s="74"/>
      <c r="Z233" s="74"/>
    </row>
    <row r="234" spans="1:26" x14ac:dyDescent="0.3">
      <c r="A234" s="6"/>
      <c r="B234" s="7" t="s">
        <v>67</v>
      </c>
      <c r="C234" s="22" t="s">
        <v>924</v>
      </c>
      <c r="D234" s="22"/>
      <c r="E234" s="22"/>
      <c r="F234" s="22"/>
      <c r="G234" s="22"/>
      <c r="H234" s="22"/>
      <c r="I234" s="22"/>
      <c r="J234" s="22"/>
      <c r="K234" s="74"/>
      <c r="L234" s="59"/>
      <c r="M234" s="8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74"/>
      <c r="Y234" s="74"/>
      <c r="Z234" s="74"/>
    </row>
    <row r="235" spans="1:26" x14ac:dyDescent="0.3">
      <c r="A235" s="6"/>
      <c r="B235" s="22"/>
      <c r="C235" s="22" t="s">
        <v>925</v>
      </c>
      <c r="D235" s="22"/>
      <c r="E235" s="22"/>
      <c r="F235" s="22"/>
      <c r="G235" s="22"/>
      <c r="H235" s="22"/>
      <c r="I235" s="22"/>
      <c r="J235" s="22"/>
      <c r="K235" s="74"/>
      <c r="L235" s="59"/>
      <c r="M235" s="8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74"/>
      <c r="Y235" s="74"/>
      <c r="Z235" s="74"/>
    </row>
    <row r="236" spans="1:26" x14ac:dyDescent="0.3">
      <c r="A236" s="6"/>
      <c r="B236" s="7" t="s">
        <v>69</v>
      </c>
      <c r="C236" s="22" t="s">
        <v>1115</v>
      </c>
      <c r="D236" s="22"/>
      <c r="E236" s="22"/>
      <c r="F236" s="22"/>
      <c r="G236" s="22"/>
      <c r="H236" s="22"/>
      <c r="I236" s="22"/>
      <c r="J236" s="22"/>
      <c r="K236" s="74"/>
      <c r="L236" s="59"/>
      <c r="M236" s="8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74"/>
      <c r="Y236" s="74"/>
      <c r="Z236" s="74"/>
    </row>
    <row r="237" spans="1:26" x14ac:dyDescent="0.3">
      <c r="A237" s="109"/>
      <c r="B237" s="22"/>
      <c r="C237" s="22" t="s">
        <v>1116</v>
      </c>
      <c r="D237" s="22"/>
      <c r="E237" s="22"/>
      <c r="F237" s="22"/>
      <c r="G237" s="22"/>
      <c r="H237" s="22"/>
      <c r="I237" s="22"/>
      <c r="J237" s="22"/>
      <c r="K237" s="109"/>
      <c r="L237" s="5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 spans="1:26" x14ac:dyDescent="0.3">
      <c r="A238" s="6"/>
      <c r="B238" s="23" t="s">
        <v>25</v>
      </c>
      <c r="C238" s="22" t="s">
        <v>1117</v>
      </c>
      <c r="D238" s="22"/>
      <c r="E238" s="22"/>
      <c r="F238" s="22"/>
      <c r="G238" s="22"/>
      <c r="H238" s="22"/>
      <c r="I238" s="22"/>
      <c r="J238" s="22"/>
      <c r="K238" s="74"/>
      <c r="L238" s="59"/>
      <c r="M238" s="8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74"/>
      <c r="Y238" s="74"/>
      <c r="Z238" s="74"/>
    </row>
    <row r="239" spans="1:26" x14ac:dyDescent="0.3">
      <c r="A239" s="109"/>
      <c r="B239" s="23"/>
      <c r="C239" s="22" t="s">
        <v>1118</v>
      </c>
      <c r="D239" s="22"/>
      <c r="E239" s="22"/>
      <c r="F239" s="22"/>
      <c r="G239" s="22"/>
      <c r="H239" s="22"/>
      <c r="I239" s="22"/>
      <c r="J239" s="22"/>
      <c r="K239" s="109"/>
      <c r="L239" s="5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 spans="1:26" x14ac:dyDescent="0.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74"/>
      <c r="L240" s="59"/>
      <c r="M240" s="8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74"/>
      <c r="Y240" s="74"/>
      <c r="Z240" s="74"/>
    </row>
    <row r="241" spans="1:26" x14ac:dyDescent="0.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74"/>
      <c r="L241" s="59"/>
      <c r="M241" s="8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74"/>
      <c r="Y241" s="74"/>
      <c r="Z241" s="74"/>
    </row>
    <row r="242" spans="1:26" ht="18.600000000000001" thickBot="1" x14ac:dyDescent="0.4">
      <c r="A242" s="6"/>
      <c r="B242" s="4" t="s">
        <v>70</v>
      </c>
      <c r="C242" s="52"/>
      <c r="D242" s="52"/>
      <c r="E242" s="52"/>
      <c r="F242" s="52"/>
      <c r="G242" s="52"/>
      <c r="H242" s="52"/>
      <c r="I242" s="52"/>
      <c r="J242" s="52"/>
      <c r="K242" s="74"/>
      <c r="L242" s="155" t="s">
        <v>997</v>
      </c>
      <c r="M242" s="8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74"/>
      <c r="Y242" s="74"/>
      <c r="Z242" s="74"/>
    </row>
    <row r="243" spans="1:26" ht="15" thickTop="1" x14ac:dyDescent="0.3">
      <c r="A243" s="6"/>
      <c r="B243" s="22" t="s">
        <v>71</v>
      </c>
      <c r="C243" s="22"/>
      <c r="D243" s="22"/>
      <c r="E243" s="22"/>
      <c r="F243" s="22"/>
      <c r="G243" s="22"/>
      <c r="H243" s="22"/>
      <c r="I243" s="22"/>
      <c r="J243" s="22"/>
      <c r="K243" s="74"/>
      <c r="L243" s="59"/>
      <c r="M243" s="8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74"/>
      <c r="Y243" s="74"/>
      <c r="Z243" s="74"/>
    </row>
    <row r="244" spans="1:26" x14ac:dyDescent="0.3">
      <c r="A244" s="6"/>
      <c r="B244" s="22" t="s">
        <v>926</v>
      </c>
      <c r="C244" s="22"/>
      <c r="D244" s="22"/>
      <c r="E244" s="22"/>
      <c r="F244" s="22"/>
      <c r="G244" s="22"/>
      <c r="H244" s="22"/>
      <c r="I244" s="22"/>
      <c r="J244" s="22"/>
      <c r="K244" s="74"/>
      <c r="L244" s="59"/>
      <c r="M244" s="8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74"/>
      <c r="Y244" s="74"/>
      <c r="Z244" s="74"/>
    </row>
    <row r="245" spans="1:26" x14ac:dyDescent="0.3">
      <c r="A245" s="6"/>
      <c r="B245" s="22"/>
      <c r="C245" s="22"/>
      <c r="D245" s="22"/>
      <c r="E245" s="22"/>
      <c r="F245" s="22"/>
      <c r="G245" s="22"/>
      <c r="H245" s="22"/>
      <c r="I245" s="22"/>
      <c r="J245" s="22"/>
      <c r="K245" s="74"/>
      <c r="L245" s="59"/>
      <c r="M245" s="8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74"/>
      <c r="Y245" s="74"/>
      <c r="Z245" s="74"/>
    </row>
    <row r="246" spans="1:26" x14ac:dyDescent="0.3">
      <c r="A246" s="6"/>
      <c r="B246" s="22"/>
      <c r="C246" s="35"/>
      <c r="D246" s="22"/>
      <c r="E246" s="22"/>
      <c r="F246" s="22"/>
      <c r="G246" s="22"/>
      <c r="H246" s="22"/>
      <c r="I246" s="22"/>
      <c r="J246" s="22"/>
      <c r="K246" s="74"/>
      <c r="L246" s="59"/>
      <c r="M246" s="8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74"/>
      <c r="Y246" s="74"/>
      <c r="Z246" s="74"/>
    </row>
    <row r="247" spans="1:26" x14ac:dyDescent="0.3">
      <c r="A247" s="6"/>
      <c r="B247" s="22"/>
      <c r="C247" s="22"/>
      <c r="D247" s="22"/>
      <c r="E247" s="22"/>
      <c r="F247" s="22"/>
      <c r="G247" s="22"/>
      <c r="H247" s="22"/>
      <c r="I247" s="22"/>
      <c r="J247" s="22"/>
      <c r="K247" s="74"/>
      <c r="L247" s="59"/>
      <c r="M247" s="8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74"/>
      <c r="Y247" s="74"/>
      <c r="Z247" s="74"/>
    </row>
    <row r="248" spans="1:26" x14ac:dyDescent="0.3">
      <c r="A248" s="6"/>
      <c r="B248" s="9" t="s">
        <v>727</v>
      </c>
      <c r="C248" s="9"/>
      <c r="D248" s="9"/>
      <c r="E248" s="9"/>
      <c r="F248" s="9"/>
      <c r="G248" s="9"/>
      <c r="H248" s="9"/>
      <c r="I248" s="9"/>
      <c r="J248" s="9"/>
      <c r="K248" s="74"/>
      <c r="L248" s="59"/>
      <c r="M248" s="8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74"/>
      <c r="Y248" s="74"/>
      <c r="Z248" s="74"/>
    </row>
    <row r="249" spans="1:26" x14ac:dyDescent="0.3">
      <c r="A249" s="6"/>
      <c r="B249" s="9" t="s">
        <v>1030</v>
      </c>
      <c r="C249" s="9"/>
      <c r="D249" s="9"/>
      <c r="E249" s="9"/>
      <c r="F249" s="9"/>
      <c r="G249" s="9"/>
      <c r="H249" s="9"/>
      <c r="I249" s="9"/>
      <c r="J249" s="9"/>
      <c r="K249" s="74"/>
      <c r="L249" s="59"/>
      <c r="M249" s="8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74"/>
      <c r="Y249" s="74"/>
      <c r="Z249" s="74"/>
    </row>
    <row r="250" spans="1:26" x14ac:dyDescent="0.3">
      <c r="A250" s="6"/>
      <c r="B250" s="10" t="s">
        <v>73</v>
      </c>
      <c r="C250" s="9"/>
      <c r="D250" s="9"/>
      <c r="E250" s="9"/>
      <c r="F250" s="9"/>
      <c r="G250" s="9"/>
      <c r="H250" s="9"/>
      <c r="I250" s="9"/>
      <c r="J250" s="9"/>
      <c r="K250" s="74"/>
      <c r="L250" s="59"/>
      <c r="M250" s="8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74"/>
      <c r="Y250" s="74"/>
      <c r="Z250" s="74"/>
    </row>
    <row r="251" spans="1:26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74"/>
      <c r="L251" s="59"/>
      <c r="M251" s="8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74"/>
      <c r="Y251" s="74"/>
      <c r="Z251" s="74"/>
    </row>
    <row r="252" spans="1:26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74"/>
      <c r="L252" s="59"/>
      <c r="M252" s="8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74"/>
      <c r="Y252" s="74"/>
      <c r="Z252" s="74"/>
    </row>
    <row r="253" spans="1:26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74"/>
      <c r="L253" s="59"/>
      <c r="M253" s="8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74"/>
      <c r="Y253" s="74"/>
      <c r="Z253" s="74"/>
    </row>
    <row r="254" spans="1:26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74"/>
      <c r="L254" s="59"/>
      <c r="M254" s="8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74"/>
      <c r="Y254" s="74"/>
      <c r="Z254" s="74"/>
    </row>
    <row r="255" spans="1:26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74"/>
      <c r="L255" s="59"/>
      <c r="M255" s="8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74"/>
      <c r="Y255" s="74"/>
      <c r="Z255" s="74"/>
    </row>
    <row r="256" spans="1:26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74"/>
      <c r="L256" s="59"/>
      <c r="M256" s="8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74"/>
      <c r="Y256" s="74"/>
      <c r="Z256" s="74"/>
    </row>
    <row r="257" spans="1:26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74"/>
      <c r="L257" s="59"/>
      <c r="M257" s="8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74"/>
      <c r="Y257" s="74"/>
      <c r="Z257" s="74"/>
    </row>
    <row r="258" spans="1:26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74"/>
      <c r="L258" s="59"/>
      <c r="M258" s="8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74"/>
      <c r="Y258" s="74"/>
      <c r="Z258" s="74"/>
    </row>
    <row r="259" spans="1:26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74"/>
      <c r="L259" s="59"/>
      <c r="M259" s="8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74"/>
      <c r="Y259" s="74"/>
      <c r="Z259" s="74"/>
    </row>
    <row r="260" spans="1:26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74"/>
      <c r="L260" s="59"/>
      <c r="M260" s="8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74"/>
      <c r="Y260" s="74"/>
      <c r="Z260" s="74"/>
    </row>
    <row r="261" spans="1:26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74"/>
      <c r="L261" s="59"/>
      <c r="M261" s="8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74"/>
      <c r="Y261" s="74"/>
      <c r="Z261" s="74"/>
    </row>
    <row r="262" spans="1:26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74"/>
      <c r="L262" s="59"/>
      <c r="M262" s="8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74"/>
      <c r="Y262" s="74"/>
      <c r="Z262" s="74"/>
    </row>
    <row r="263" spans="1:26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74"/>
      <c r="L263" s="59"/>
      <c r="M263" s="8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74"/>
      <c r="Y263" s="74"/>
      <c r="Z263" s="74"/>
    </row>
    <row r="264" spans="1:26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74"/>
      <c r="L264" s="59"/>
      <c r="M264" s="8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74"/>
      <c r="Y264" s="74"/>
      <c r="Z264" s="74"/>
    </row>
    <row r="265" spans="1:26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74"/>
      <c r="L265" s="59"/>
      <c r="M265" s="8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74"/>
      <c r="Y265" s="74"/>
      <c r="Z265" s="74"/>
    </row>
    <row r="266" spans="1:26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74"/>
      <c r="L266" s="59"/>
      <c r="M266" s="8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74"/>
      <c r="Y266" s="74"/>
      <c r="Z266" s="74"/>
    </row>
    <row r="267" spans="1:26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74"/>
      <c r="L267" s="59"/>
      <c r="M267" s="8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74"/>
      <c r="Y267" s="74"/>
      <c r="Z267" s="74"/>
    </row>
    <row r="268" spans="1:26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74"/>
      <c r="L268" s="59"/>
      <c r="M268" s="8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74"/>
      <c r="Y268" s="74"/>
      <c r="Z268" s="74"/>
    </row>
    <row r="269" spans="1:26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74"/>
      <c r="L269" s="59"/>
      <c r="M269" s="8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74"/>
      <c r="Y269" s="74"/>
      <c r="Z269" s="74"/>
    </row>
    <row r="270" spans="1:26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74"/>
      <c r="L270" s="59"/>
      <c r="M270" s="8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74"/>
      <c r="Y270" s="74"/>
      <c r="Z270" s="74"/>
    </row>
    <row r="271" spans="1:26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74"/>
      <c r="L271" s="59"/>
      <c r="M271" s="8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74"/>
      <c r="Y271" s="74"/>
      <c r="Z271" s="74"/>
    </row>
    <row r="272" spans="1:26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74"/>
      <c r="L272" s="59"/>
      <c r="M272" s="8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74"/>
      <c r="Y272" s="74"/>
      <c r="Z272" s="74"/>
    </row>
    <row r="273" spans="1:26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74"/>
      <c r="L273" s="59"/>
      <c r="M273" s="8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74"/>
      <c r="Y273" s="74"/>
      <c r="Z273" s="74"/>
    </row>
    <row r="274" spans="1:26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74"/>
      <c r="L274" s="59"/>
      <c r="M274" s="8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74"/>
      <c r="Y274" s="74"/>
      <c r="Z274" s="74"/>
    </row>
    <row r="275" spans="1:26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74"/>
      <c r="L275" s="59"/>
      <c r="M275" s="8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74"/>
      <c r="Y275" s="74"/>
      <c r="Z275" s="74"/>
    </row>
    <row r="276" spans="1:26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74"/>
      <c r="L276" s="59"/>
      <c r="M276" s="8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74"/>
      <c r="Y276" s="74"/>
      <c r="Z276" s="74"/>
    </row>
    <row r="277" spans="1:26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74"/>
      <c r="L277" s="59"/>
      <c r="M277" s="8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74"/>
      <c r="Y277" s="74"/>
      <c r="Z277" s="74"/>
    </row>
    <row r="278" spans="1:26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74"/>
      <c r="L278" s="59"/>
      <c r="M278" s="8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74"/>
      <c r="Y278" s="74"/>
      <c r="Z278" s="74"/>
    </row>
    <row r="279" spans="1:26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74"/>
      <c r="L279" s="59"/>
      <c r="M279" s="8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74"/>
      <c r="Y279" s="74"/>
      <c r="Z279" s="74"/>
    </row>
    <row r="280" spans="1:26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74"/>
      <c r="L280" s="59"/>
      <c r="M280" s="8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74"/>
      <c r="Y280" s="74"/>
      <c r="Z280" s="74"/>
    </row>
    <row r="281" spans="1:26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74"/>
      <c r="L281" s="59"/>
      <c r="M281" s="8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74"/>
      <c r="Y281" s="74"/>
      <c r="Z281" s="74"/>
    </row>
    <row r="282" spans="1:26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74"/>
      <c r="L282" s="59"/>
      <c r="M282" s="8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74"/>
      <c r="Y282" s="74"/>
      <c r="Z282" s="74"/>
    </row>
    <row r="283" spans="1:26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74"/>
      <c r="L283" s="59"/>
      <c r="M283" s="8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74"/>
      <c r="Y283" s="74"/>
      <c r="Z283" s="74"/>
    </row>
    <row r="284" spans="1:26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74"/>
      <c r="L284" s="59"/>
      <c r="M284" s="8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74"/>
      <c r="Y284" s="74"/>
      <c r="Z284" s="74"/>
    </row>
    <row r="285" spans="1:26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74"/>
      <c r="L285" s="59"/>
      <c r="M285" s="8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74"/>
      <c r="Y285" s="74"/>
      <c r="Z285" s="74"/>
    </row>
    <row r="286" spans="1:26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74"/>
      <c r="L286" s="59"/>
      <c r="M286" s="8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74"/>
      <c r="Y286" s="74"/>
      <c r="Z286" s="74"/>
    </row>
    <row r="287" spans="1:26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74"/>
      <c r="L287" s="59"/>
      <c r="M287" s="8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74"/>
      <c r="Y287" s="74"/>
      <c r="Z287" s="74"/>
    </row>
    <row r="288" spans="1:26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74"/>
      <c r="L288" s="59"/>
      <c r="M288" s="8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74"/>
      <c r="Y288" s="74"/>
      <c r="Z288" s="74"/>
    </row>
    <row r="289" spans="1:26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74"/>
      <c r="L289" s="59"/>
      <c r="M289" s="8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74"/>
      <c r="Y289" s="74"/>
      <c r="Z289" s="74"/>
    </row>
    <row r="290" spans="1:26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74"/>
      <c r="L290" s="59"/>
      <c r="M290" s="8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74"/>
      <c r="Y290" s="74"/>
      <c r="Z290" s="74"/>
    </row>
    <row r="291" spans="1:26" x14ac:dyDescent="0.3">
      <c r="A291" s="6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59"/>
      <c r="M291" s="8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74"/>
      <c r="Y291" s="74"/>
      <c r="Z291" s="74"/>
    </row>
    <row r="292" spans="1:26" x14ac:dyDescent="0.3">
      <c r="A292" s="6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59"/>
      <c r="M292" s="8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74"/>
      <c r="Y292" s="74"/>
      <c r="Z292" s="74"/>
    </row>
    <row r="293" spans="1:26" x14ac:dyDescent="0.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59"/>
      <c r="M293" s="87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spans="1:26" x14ac:dyDescent="0.3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59"/>
      <c r="M294" s="87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spans="1:26" x14ac:dyDescent="0.3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59"/>
      <c r="M295" s="87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spans="1:26" x14ac:dyDescent="0.3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59"/>
      <c r="M296" s="87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spans="1:26" x14ac:dyDescent="0.3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59"/>
      <c r="M297" s="87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spans="1:26" x14ac:dyDescent="0.3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59"/>
      <c r="M298" s="87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spans="1:26" x14ac:dyDescent="0.3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59"/>
      <c r="M299" s="87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spans="1:26" x14ac:dyDescent="0.3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59"/>
      <c r="M300" s="87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spans="1:26" x14ac:dyDescent="0.3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59"/>
      <c r="M301" s="87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1:26" x14ac:dyDescent="0.3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59"/>
      <c r="M302" s="87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spans="1:26" x14ac:dyDescent="0.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59"/>
      <c r="M303" s="87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spans="1:26" x14ac:dyDescent="0.3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59"/>
      <c r="M304" s="87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spans="1:26" x14ac:dyDescent="0.3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59"/>
      <c r="M305" s="87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spans="1:26" x14ac:dyDescent="0.3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59"/>
      <c r="M306" s="87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spans="1:26" x14ac:dyDescent="0.3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59"/>
      <c r="M307" s="87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spans="1:26" x14ac:dyDescent="0.3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59"/>
      <c r="M308" s="87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spans="1:26" x14ac:dyDescent="0.3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59"/>
      <c r="M309" s="87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spans="1:26" x14ac:dyDescent="0.3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59"/>
      <c r="M310" s="87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spans="1:26" x14ac:dyDescent="0.3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59"/>
      <c r="M311" s="87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spans="1:26" x14ac:dyDescent="0.3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59"/>
      <c r="M312" s="87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spans="1:26" x14ac:dyDescent="0.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59"/>
      <c r="M313" s="87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spans="1:26" x14ac:dyDescent="0.3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59"/>
      <c r="M314" s="87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spans="1:26" x14ac:dyDescent="0.3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59"/>
      <c r="M315" s="87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spans="1:26" x14ac:dyDescent="0.3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59"/>
      <c r="M316" s="87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spans="1:26" x14ac:dyDescent="0.3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59"/>
      <c r="M317" s="87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spans="1:26" x14ac:dyDescent="0.3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59"/>
      <c r="M318" s="87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spans="1:26" x14ac:dyDescent="0.3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59"/>
      <c r="M319" s="87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spans="1:26" x14ac:dyDescent="0.3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59"/>
      <c r="M320" s="87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1:26" x14ac:dyDescent="0.3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59"/>
      <c r="M321" s="87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spans="1:26" x14ac:dyDescent="0.3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59"/>
      <c r="M322" s="87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spans="1:26" x14ac:dyDescent="0.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59"/>
      <c r="M323" s="87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x14ac:dyDescent="0.3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59"/>
      <c r="M324" s="87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1:26" x14ac:dyDescent="0.3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59"/>
      <c r="M325" s="87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spans="1:26" x14ac:dyDescent="0.3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59"/>
      <c r="M326" s="87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spans="1:26" x14ac:dyDescent="0.3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59"/>
      <c r="M327" s="87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spans="1:26" x14ac:dyDescent="0.3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59"/>
      <c r="M328" s="87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spans="1:26" x14ac:dyDescent="0.3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59"/>
      <c r="M329" s="87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spans="1:26" x14ac:dyDescent="0.3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59"/>
      <c r="M330" s="87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spans="1:26" x14ac:dyDescent="0.3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59"/>
      <c r="M331" s="87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spans="1:26" x14ac:dyDescent="0.3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59"/>
      <c r="M332" s="87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spans="1:26" x14ac:dyDescent="0.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59"/>
      <c r="M333" s="87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spans="1:26" x14ac:dyDescent="0.3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59"/>
      <c r="M334" s="87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spans="1:26" x14ac:dyDescent="0.3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59"/>
      <c r="M335" s="87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spans="1:26" x14ac:dyDescent="0.3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59"/>
      <c r="M336" s="87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spans="1:26" x14ac:dyDescent="0.3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59"/>
      <c r="M337" s="87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spans="1:26" x14ac:dyDescent="0.3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59"/>
      <c r="M338" s="87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spans="1:26" x14ac:dyDescent="0.3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59"/>
      <c r="M339" s="87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spans="1:26" x14ac:dyDescent="0.3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59"/>
      <c r="M340" s="87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spans="1:26" x14ac:dyDescent="0.3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59"/>
      <c r="M341" s="87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spans="1:26" x14ac:dyDescent="0.3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59"/>
      <c r="M342" s="87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spans="1:26" x14ac:dyDescent="0.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59"/>
      <c r="M343" s="87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spans="1:26" x14ac:dyDescent="0.3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59"/>
      <c r="M344" s="87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spans="1:26" x14ac:dyDescent="0.3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59"/>
      <c r="M345" s="87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spans="1:26" x14ac:dyDescent="0.3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59"/>
      <c r="M346" s="87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spans="1:26" x14ac:dyDescent="0.3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59"/>
      <c r="M347" s="87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spans="1:26" x14ac:dyDescent="0.3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59"/>
      <c r="M348" s="87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spans="1:26" x14ac:dyDescent="0.3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59"/>
      <c r="M349" s="87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spans="1:26" x14ac:dyDescent="0.3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59"/>
      <c r="M350" s="87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spans="1:26" x14ac:dyDescent="0.3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59"/>
      <c r="M351" s="87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spans="1:26" x14ac:dyDescent="0.3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59"/>
      <c r="M352" s="87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spans="1:26" x14ac:dyDescent="0.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59"/>
      <c r="M353" s="87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spans="1:26" x14ac:dyDescent="0.3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59"/>
      <c r="M354" s="87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spans="1:26" x14ac:dyDescent="0.3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59"/>
      <c r="M355" s="87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spans="1:26" x14ac:dyDescent="0.3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59"/>
      <c r="M356" s="87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spans="1:26" x14ac:dyDescent="0.3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59"/>
      <c r="M357" s="87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spans="1:26" x14ac:dyDescent="0.3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59"/>
      <c r="M358" s="87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spans="1:26" x14ac:dyDescent="0.3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59"/>
      <c r="M359" s="87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1:26" x14ac:dyDescent="0.3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59"/>
      <c r="M360" s="87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spans="1:26" x14ac:dyDescent="0.3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59"/>
      <c r="M361" s="87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spans="1:26" x14ac:dyDescent="0.3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59"/>
      <c r="M362" s="87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spans="1:26" x14ac:dyDescent="0.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59"/>
      <c r="M363" s="87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spans="1:26" x14ac:dyDescent="0.3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59"/>
      <c r="M364" s="87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spans="1:26" x14ac:dyDescent="0.3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59"/>
      <c r="M365" s="87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spans="1:26" x14ac:dyDescent="0.3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59"/>
      <c r="M366" s="87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spans="1:26" x14ac:dyDescent="0.3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59"/>
      <c r="M367" s="87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spans="1:26" x14ac:dyDescent="0.3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59"/>
      <c r="M368" s="87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spans="1:26" x14ac:dyDescent="0.3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59"/>
      <c r="M369" s="87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spans="1:26" x14ac:dyDescent="0.3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59"/>
      <c r="M370" s="87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spans="1:26" x14ac:dyDescent="0.3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59"/>
      <c r="M371" s="87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spans="1:26" x14ac:dyDescent="0.3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59"/>
      <c r="M372" s="87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spans="1:26" x14ac:dyDescent="0.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59"/>
      <c r="M373" s="87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spans="1:26" x14ac:dyDescent="0.3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59"/>
      <c r="M374" s="87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spans="1:26" x14ac:dyDescent="0.3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59"/>
      <c r="M375" s="87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spans="1:26" x14ac:dyDescent="0.3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59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1:26" x14ac:dyDescent="0.3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59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spans="1:26" x14ac:dyDescent="0.3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59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spans="1:26" x14ac:dyDescent="0.3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59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spans="1:26" x14ac:dyDescent="0.3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59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1:26" x14ac:dyDescent="0.3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59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spans="1:26" x14ac:dyDescent="0.3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59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spans="1:26" x14ac:dyDescent="0.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59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spans="1:26" x14ac:dyDescent="0.3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59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spans="1:26" x14ac:dyDescent="0.3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59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spans="1:26" x14ac:dyDescent="0.3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59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spans="1:26" x14ac:dyDescent="0.3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59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spans="1:26" x14ac:dyDescent="0.3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59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1:26" x14ac:dyDescent="0.3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59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spans="1:26" x14ac:dyDescent="0.3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59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1:26" x14ac:dyDescent="0.3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59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1:26" x14ac:dyDescent="0.3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59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1:26" x14ac:dyDescent="0.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59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1:26" x14ac:dyDescent="0.3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59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1:26" x14ac:dyDescent="0.3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59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1:26" x14ac:dyDescent="0.3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59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1:26" x14ac:dyDescent="0.3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59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1:26" x14ac:dyDescent="0.3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59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1:26" x14ac:dyDescent="0.3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59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1:26" x14ac:dyDescent="0.3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59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1:26" x14ac:dyDescent="0.3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59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1:26" x14ac:dyDescent="0.3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59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1:26" x14ac:dyDescent="0.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59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1:26" x14ac:dyDescent="0.3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59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1:26" x14ac:dyDescent="0.3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59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1:26" x14ac:dyDescent="0.3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59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1:26" x14ac:dyDescent="0.3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59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1:26" x14ac:dyDescent="0.3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59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1:26" x14ac:dyDescent="0.3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59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1:26" x14ac:dyDescent="0.3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59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1:26" x14ac:dyDescent="0.3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59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1:26" x14ac:dyDescent="0.3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59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1:26" x14ac:dyDescent="0.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59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1:26" x14ac:dyDescent="0.3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59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1:26" x14ac:dyDescent="0.3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59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1:26" x14ac:dyDescent="0.3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59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x14ac:dyDescent="0.3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59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x14ac:dyDescent="0.3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59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1:26" x14ac:dyDescent="0.3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59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1:26" x14ac:dyDescent="0.3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59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1:26" x14ac:dyDescent="0.3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59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1:26" x14ac:dyDescent="0.3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59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1:26" x14ac:dyDescent="0.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59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1:26" x14ac:dyDescent="0.3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59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1:26" x14ac:dyDescent="0.3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59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1:26" x14ac:dyDescent="0.3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59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1:26" x14ac:dyDescent="0.3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59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1:26" x14ac:dyDescent="0.3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59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1:26" x14ac:dyDescent="0.3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59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1:26" x14ac:dyDescent="0.3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59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1:26" x14ac:dyDescent="0.3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59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1:26" x14ac:dyDescent="0.3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59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1:26" x14ac:dyDescent="0.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59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1:26" x14ac:dyDescent="0.3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59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1:26" x14ac:dyDescent="0.3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59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1:26" x14ac:dyDescent="0.3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59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1:26" x14ac:dyDescent="0.3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59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1:26" x14ac:dyDescent="0.3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59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1:26" x14ac:dyDescent="0.3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59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1:26" x14ac:dyDescent="0.3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59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1:26" x14ac:dyDescent="0.3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59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1:26" x14ac:dyDescent="0.3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59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1:26" x14ac:dyDescent="0.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59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1:26" x14ac:dyDescent="0.3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59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1:26" x14ac:dyDescent="0.3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59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1:26" x14ac:dyDescent="0.3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59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1:26" x14ac:dyDescent="0.3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59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1:26" x14ac:dyDescent="0.3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59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1:26" x14ac:dyDescent="0.3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59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1:26" x14ac:dyDescent="0.3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59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1:26" x14ac:dyDescent="0.3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59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1:26" x14ac:dyDescent="0.3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59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1:26" x14ac:dyDescent="0.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59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1:26" x14ac:dyDescent="0.3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59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1:26" x14ac:dyDescent="0.3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59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1:26" x14ac:dyDescent="0.3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59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1:26" x14ac:dyDescent="0.3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59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1:26" x14ac:dyDescent="0.3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59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1:26" x14ac:dyDescent="0.3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59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1:26" x14ac:dyDescent="0.3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59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1:26" x14ac:dyDescent="0.3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59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1:26" x14ac:dyDescent="0.3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59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1:26" x14ac:dyDescent="0.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59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1:26" x14ac:dyDescent="0.3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59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1:26" x14ac:dyDescent="0.3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59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1:26" x14ac:dyDescent="0.3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59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1:26" x14ac:dyDescent="0.3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59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1:26" x14ac:dyDescent="0.3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59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1:26" x14ac:dyDescent="0.3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59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spans="1:26" x14ac:dyDescent="0.3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59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1:26" x14ac:dyDescent="0.3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59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1:26" x14ac:dyDescent="0.3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59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1:26" x14ac:dyDescent="0.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59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1:26" x14ac:dyDescent="0.3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59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1:26" x14ac:dyDescent="0.3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59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1:26" x14ac:dyDescent="0.3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59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1:26" x14ac:dyDescent="0.3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59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1:26" x14ac:dyDescent="0.3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59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1:26" x14ac:dyDescent="0.3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59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1:26" x14ac:dyDescent="0.3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59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1:26" x14ac:dyDescent="0.3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59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1:26" x14ac:dyDescent="0.3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59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1:26" x14ac:dyDescent="0.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59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1:26" x14ac:dyDescent="0.3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59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1:26" x14ac:dyDescent="0.3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59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1:26" x14ac:dyDescent="0.3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59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1:26" x14ac:dyDescent="0.3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59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1:26" x14ac:dyDescent="0.3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59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1:26" x14ac:dyDescent="0.3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59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1:26" x14ac:dyDescent="0.3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59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1:26" x14ac:dyDescent="0.3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59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1:26" x14ac:dyDescent="0.3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59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1:26" x14ac:dyDescent="0.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59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1:26" x14ac:dyDescent="0.3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59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1:26" x14ac:dyDescent="0.3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59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1:26" x14ac:dyDescent="0.3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59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1:26" x14ac:dyDescent="0.3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59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1:26" x14ac:dyDescent="0.3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59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1:26" x14ac:dyDescent="0.3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59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1:26" x14ac:dyDescent="0.3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59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1:26" x14ac:dyDescent="0.3">
      <c r="A501" s="74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59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spans="1:26" x14ac:dyDescent="0.3">
      <c r="A502" s="74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59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</sheetData>
  <sheetProtection password="CA97" sheet="1" objects="1" scenarios="1"/>
  <mergeCells count="12">
    <mergeCell ref="A1:I1"/>
    <mergeCell ref="A2:I2"/>
    <mergeCell ref="B113:J113"/>
    <mergeCell ref="B132:J132"/>
    <mergeCell ref="B150:J150"/>
    <mergeCell ref="B210:J210"/>
    <mergeCell ref="G121:J121"/>
    <mergeCell ref="B123:J123"/>
    <mergeCell ref="C105:E105"/>
    <mergeCell ref="C106:E106"/>
    <mergeCell ref="C107:E107"/>
    <mergeCell ref="C108:E108"/>
  </mergeCells>
  <hyperlinks>
    <hyperlink ref="B250" r:id="rId1"/>
    <hyperlink ref="E13:F13" location="'Help New'!B78" display="How To Use The AA/AS Audit"/>
    <hyperlink ref="E13" location="HOWTO" tooltip="Click for general help on the audit." display="How To Use The AA/AS Audit"/>
    <hyperlink ref="E14" location="QUICKLINK" tooltip="Click for information about the Quick Links bar." display="Quick Links"/>
    <hyperlink ref="E15" location="COLORCODE" tooltip="Click for information about the Color Code used on the audit." display="Color Code"/>
    <hyperlink ref="E16" location="GRADEKEY" tooltip="Click for information about the audit Grade Key." display="Grade Key"/>
    <hyperlink ref="E17" location="TRNIPS" tooltip="Click for information about Transfer &amp; In Progress courses." display="Transfer &amp; IPS Courses"/>
    <hyperlink ref="E18" location="CROSSWALK" tooltip="Click for information about the Crosswalk." display="Crosswalk"/>
    <hyperlink ref="E19" location="CROSSLISTING" tooltip="Click for information about Crosslisting." display="Crosslisting"/>
    <hyperlink ref="E20" location="RESTRICTIONS" tooltip="Click for information about Course Restrictions." display="Course Restrictions"/>
    <hyperlink ref="E21" location="CATEGORYI" tooltip="Click for information about Category I on the audit." display="Category I"/>
    <hyperlink ref="E22" location="CATEGORYII" tooltip="Click for information about Category II on the audit." display="Category II"/>
    <hyperlink ref="E23" location="CATEGORYIII" tooltip="Click for information about Category III on the audit." display="Category III"/>
    <hyperlink ref="E24" location="RESTRICTIONS" tooltip="Click for information about Special Requirements for completing a degree." display="Special Requirements"/>
    <hyperlink ref="E25" location="AUDITINFO" tooltip="Click for information about the audit program." display="Audit Information"/>
    <hyperlink ref="E12" location="COMPONENTS" tooltip="Click for information about the various components of the audit program." display="Components"/>
    <hyperlink ref="F12" location="Menu!A1" tooltip="Click to return to the main page." display="Main Menu"/>
    <hyperlink ref="L59" location="Help!E11" tooltip="Click to return to Quick Links menu." display="Return To Menu"/>
    <hyperlink ref="L111" location="Help!E11" tooltip="Click to return to Quick Links menu." display="Return To Menu"/>
    <hyperlink ref="L164" location="Help!E11" tooltip="Click to return to Quick Links menu." display="Return To Menu"/>
    <hyperlink ref="L207" location="Help!E11" tooltip="Click to return to Quick Links menu." display="Return To Menu"/>
    <hyperlink ref="L242" location="Help!E11" tooltip="Click to return to Quick Links menu." display="Return To Menu"/>
    <hyperlink ref="F13" location="Arts!A1" tooltip="Click to return to the AA audit." display="Return To AA"/>
    <hyperlink ref="F14" location="Science!A1" tooltip="Click to return to the AS audit." display="Return To AS"/>
  </hyperlinks>
  <pageMargins left="0.7" right="0.7" top="0.75" bottom="0.75" header="0.3" footer="0.3"/>
  <pageSetup orientation="portrait" horizontalDpi="300" verticalDpi="300"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C00000"/>
  </sheetPr>
  <dimension ref="A1:O350"/>
  <sheetViews>
    <sheetView topLeftCell="A4" workbookViewId="0">
      <selection activeCell="J12" sqref="J12"/>
    </sheetView>
  </sheetViews>
  <sheetFormatPr defaultRowHeight="14.4" x14ac:dyDescent="0.3"/>
  <cols>
    <col min="1" max="1" width="14.6640625" style="127" customWidth="1"/>
    <col min="2" max="2" width="14.6640625" style="129" customWidth="1"/>
    <col min="3" max="3" width="14.6640625" style="131" customWidth="1"/>
    <col min="4" max="4" width="14.6640625" style="129" customWidth="1"/>
    <col min="5" max="5" width="14.6640625" style="131" customWidth="1"/>
    <col min="6" max="6" width="14.6640625" style="129" customWidth="1"/>
    <col min="7" max="7" width="14.6640625" style="131" customWidth="1"/>
    <col min="8" max="8" width="14.6640625" style="129" customWidth="1"/>
    <col min="9" max="9" width="14.6640625" style="127" customWidth="1"/>
    <col min="10" max="10" width="14.6640625" style="129" customWidth="1"/>
    <col min="11" max="11" width="14.6640625" style="127" customWidth="1"/>
    <col min="12" max="12" width="14.6640625" style="129" customWidth="1"/>
    <col min="13" max="13" width="14.6640625" style="127" customWidth="1"/>
    <col min="14" max="15" width="14.6640625" customWidth="1"/>
    <col min="16" max="16" width="14.33203125" customWidth="1"/>
    <col min="17" max="17" width="11" customWidth="1"/>
    <col min="18" max="18" width="13.6640625" customWidth="1"/>
    <col min="20" max="20" width="14.33203125" customWidth="1"/>
    <col min="21" max="21" width="11" customWidth="1"/>
    <col min="22" max="22" width="13.6640625" customWidth="1"/>
  </cols>
  <sheetData>
    <row r="1" spans="1:15" ht="15" x14ac:dyDescent="0.25">
      <c r="A1" s="126" t="s">
        <v>74</v>
      </c>
      <c r="B1" s="128" t="s">
        <v>102</v>
      </c>
      <c r="C1" s="130" t="s">
        <v>75</v>
      </c>
      <c r="D1" s="128" t="s">
        <v>76</v>
      </c>
      <c r="E1" s="130" t="s">
        <v>77</v>
      </c>
      <c r="F1" s="128" t="s">
        <v>78</v>
      </c>
      <c r="G1" s="130" t="s">
        <v>79</v>
      </c>
      <c r="H1" s="128" t="s">
        <v>80</v>
      </c>
      <c r="I1" s="126" t="s">
        <v>81</v>
      </c>
      <c r="J1" s="128" t="s">
        <v>82</v>
      </c>
      <c r="K1" s="126" t="s">
        <v>83</v>
      </c>
      <c r="L1" s="128" t="s">
        <v>84</v>
      </c>
      <c r="M1" s="126" t="s">
        <v>85</v>
      </c>
    </row>
    <row r="2" spans="1:15" ht="15" x14ac:dyDescent="0.25">
      <c r="A2" s="132" t="s">
        <v>818</v>
      </c>
      <c r="B2" s="133" t="s">
        <v>818</v>
      </c>
      <c r="C2" s="134" t="s">
        <v>1123</v>
      </c>
      <c r="D2" s="133" t="s">
        <v>1085</v>
      </c>
      <c r="E2" s="134" t="s">
        <v>1084</v>
      </c>
      <c r="F2" s="133" t="s">
        <v>132</v>
      </c>
      <c r="G2" s="134" t="s">
        <v>137</v>
      </c>
      <c r="H2" s="133" t="s">
        <v>143</v>
      </c>
      <c r="I2" s="132" t="s">
        <v>148</v>
      </c>
      <c r="J2" s="133" t="s">
        <v>155</v>
      </c>
      <c r="K2" s="132" t="s">
        <v>1087</v>
      </c>
      <c r="L2" s="133" t="s">
        <v>1088</v>
      </c>
      <c r="M2" s="132" t="s">
        <v>177</v>
      </c>
    </row>
    <row r="3" spans="1:15" ht="15" x14ac:dyDescent="0.25">
      <c r="A3" s="132" t="s">
        <v>1034</v>
      </c>
      <c r="B3" s="133" t="s">
        <v>1086</v>
      </c>
      <c r="C3" s="134" t="s">
        <v>1124</v>
      </c>
      <c r="D3" s="133"/>
      <c r="E3" s="134" t="s">
        <v>1125</v>
      </c>
      <c r="F3" s="133"/>
      <c r="G3" s="134"/>
      <c r="H3" s="133"/>
      <c r="I3" s="132"/>
      <c r="J3" s="133" t="s">
        <v>1126</v>
      </c>
      <c r="K3" s="132"/>
      <c r="L3" s="133"/>
      <c r="M3" s="132"/>
    </row>
    <row r="4" spans="1:15" ht="15" x14ac:dyDescent="0.25">
      <c r="N4" s="44"/>
      <c r="O4" s="44"/>
    </row>
    <row r="5" spans="1:15" ht="15" x14ac:dyDescent="0.25">
      <c r="A5" s="127" t="s">
        <v>88</v>
      </c>
      <c r="B5" s="129" t="s">
        <v>89</v>
      </c>
      <c r="C5" s="131" t="s">
        <v>97</v>
      </c>
      <c r="D5" s="129" t="s">
        <v>90</v>
      </c>
      <c r="E5" s="131" t="s">
        <v>91</v>
      </c>
      <c r="F5" s="129" t="s">
        <v>92</v>
      </c>
      <c r="G5" s="131" t="s">
        <v>93</v>
      </c>
      <c r="H5" s="129" t="s">
        <v>672</v>
      </c>
      <c r="I5" s="127" t="s">
        <v>99</v>
      </c>
      <c r="J5" s="129" t="s">
        <v>91</v>
      </c>
      <c r="K5" s="127" t="s">
        <v>90</v>
      </c>
      <c r="L5" s="129" t="s">
        <v>91</v>
      </c>
      <c r="M5" s="127" t="s">
        <v>1044</v>
      </c>
      <c r="N5" s="44"/>
      <c r="O5" s="44"/>
    </row>
    <row r="6" spans="1:15" ht="15" x14ac:dyDescent="0.25">
      <c r="A6" s="127" t="s">
        <v>95</v>
      </c>
      <c r="B6" s="129" t="s">
        <v>96</v>
      </c>
      <c r="C6" s="131" t="s">
        <v>105</v>
      </c>
      <c r="D6" s="129" t="s">
        <v>98</v>
      </c>
      <c r="E6" s="131" t="s">
        <v>99</v>
      </c>
      <c r="F6" s="129" t="s">
        <v>100</v>
      </c>
      <c r="G6" s="131" t="s">
        <v>101</v>
      </c>
      <c r="H6" s="129" t="s">
        <v>674</v>
      </c>
      <c r="I6" s="127" t="s">
        <v>93</v>
      </c>
      <c r="J6" s="129" t="s">
        <v>90</v>
      </c>
      <c r="K6" s="127" t="s">
        <v>98</v>
      </c>
      <c r="L6" s="129" t="s">
        <v>99</v>
      </c>
      <c r="M6" s="127" t="s">
        <v>1045</v>
      </c>
      <c r="N6" s="44"/>
      <c r="O6" s="44"/>
    </row>
    <row r="7" spans="1:15" ht="15" x14ac:dyDescent="0.25">
      <c r="A7" s="127" t="s">
        <v>103</v>
      </c>
      <c r="B7" s="129" t="s">
        <v>104</v>
      </c>
      <c r="C7" s="131" t="s">
        <v>111</v>
      </c>
      <c r="D7" s="129" t="s">
        <v>106</v>
      </c>
      <c r="E7" s="131" t="s">
        <v>93</v>
      </c>
      <c r="F7" s="129" t="s">
        <v>107</v>
      </c>
      <c r="G7" s="131" t="s">
        <v>108</v>
      </c>
      <c r="H7" s="129" t="s">
        <v>676</v>
      </c>
      <c r="I7" s="127" t="s">
        <v>109</v>
      </c>
      <c r="J7" s="129" t="s">
        <v>99</v>
      </c>
      <c r="K7" s="127" t="s">
        <v>106</v>
      </c>
      <c r="L7" s="129" t="s">
        <v>93</v>
      </c>
      <c r="M7" s="127" t="s">
        <v>1046</v>
      </c>
      <c r="N7" s="44"/>
      <c r="O7" s="44"/>
    </row>
    <row r="8" spans="1:15" ht="15" x14ac:dyDescent="0.25">
      <c r="A8" s="127" t="s">
        <v>737</v>
      </c>
      <c r="B8" s="129" t="s">
        <v>110</v>
      </c>
      <c r="C8" s="131" t="s">
        <v>117</v>
      </c>
      <c r="D8" s="129" t="s">
        <v>112</v>
      </c>
      <c r="E8" s="131" t="s">
        <v>109</v>
      </c>
      <c r="F8" s="129" t="s">
        <v>113</v>
      </c>
      <c r="G8" s="131" t="s">
        <v>114</v>
      </c>
      <c r="H8" s="129" t="s">
        <v>678</v>
      </c>
      <c r="I8" s="127" t="s">
        <v>115</v>
      </c>
      <c r="J8" s="129" t="s">
        <v>93</v>
      </c>
      <c r="K8" s="127" t="s">
        <v>112</v>
      </c>
      <c r="L8" s="129" t="s">
        <v>109</v>
      </c>
      <c r="M8" s="127" t="s">
        <v>1047</v>
      </c>
      <c r="N8" s="44"/>
      <c r="O8" s="44"/>
    </row>
    <row r="9" spans="1:15" ht="15" x14ac:dyDescent="0.25">
      <c r="A9" s="127" t="s">
        <v>845</v>
      </c>
      <c r="B9" s="129" t="s">
        <v>940</v>
      </c>
      <c r="C9" s="131" t="s">
        <v>122</v>
      </c>
      <c r="D9" s="129" t="s">
        <v>118</v>
      </c>
      <c r="E9" s="131" t="s">
        <v>115</v>
      </c>
      <c r="F9" s="129" t="s">
        <v>119</v>
      </c>
      <c r="G9" s="131" t="s">
        <v>120</v>
      </c>
      <c r="H9" s="129" t="s">
        <v>142</v>
      </c>
      <c r="I9" s="127" t="s">
        <v>121</v>
      </c>
      <c r="J9" s="129" t="s">
        <v>109</v>
      </c>
      <c r="K9" s="127" t="s">
        <v>118</v>
      </c>
      <c r="L9" s="129" t="s">
        <v>115</v>
      </c>
      <c r="M9" s="127" t="s">
        <v>1048</v>
      </c>
      <c r="N9" s="44"/>
      <c r="O9" s="44"/>
    </row>
    <row r="10" spans="1:15" ht="15" x14ac:dyDescent="0.25">
      <c r="B10" s="129" t="s">
        <v>845</v>
      </c>
      <c r="C10" s="131" t="s">
        <v>127</v>
      </c>
      <c r="D10" s="129" t="s">
        <v>1044</v>
      </c>
      <c r="E10" s="131" t="s">
        <v>121</v>
      </c>
      <c r="F10" s="129" t="s">
        <v>123</v>
      </c>
      <c r="G10" s="131" t="s">
        <v>124</v>
      </c>
      <c r="H10" s="129" t="s">
        <v>147</v>
      </c>
      <c r="I10" s="127" t="s">
        <v>125</v>
      </c>
      <c r="J10" s="129" t="s">
        <v>115</v>
      </c>
      <c r="K10" s="127" t="s">
        <v>1044</v>
      </c>
      <c r="L10" s="129" t="s">
        <v>121</v>
      </c>
      <c r="M10" s="127" t="s">
        <v>1049</v>
      </c>
      <c r="N10" s="44"/>
      <c r="O10" s="44"/>
    </row>
    <row r="11" spans="1:15" ht="15" x14ac:dyDescent="0.25">
      <c r="C11" s="131" t="s">
        <v>133</v>
      </c>
      <c r="D11" s="129" t="s">
        <v>128</v>
      </c>
      <c r="E11" s="131" t="s">
        <v>125</v>
      </c>
      <c r="F11" s="129" t="s">
        <v>129</v>
      </c>
      <c r="G11" s="131" t="s">
        <v>949</v>
      </c>
      <c r="H11" s="129" t="s">
        <v>154</v>
      </c>
      <c r="I11" s="127" t="s">
        <v>131</v>
      </c>
      <c r="J11" s="129" t="s">
        <v>121</v>
      </c>
      <c r="K11" s="127" t="s">
        <v>128</v>
      </c>
      <c r="L11" s="129" t="s">
        <v>125</v>
      </c>
      <c r="M11" s="127" t="s">
        <v>1050</v>
      </c>
      <c r="N11" s="44"/>
      <c r="O11" s="44"/>
    </row>
    <row r="12" spans="1:15" ht="15" x14ac:dyDescent="0.25">
      <c r="C12" s="131" t="s">
        <v>1035</v>
      </c>
      <c r="D12" s="129" t="s">
        <v>1045</v>
      </c>
      <c r="E12" s="131" t="s">
        <v>131</v>
      </c>
      <c r="F12" s="129" t="s">
        <v>134</v>
      </c>
      <c r="G12" s="131" t="s">
        <v>130</v>
      </c>
      <c r="H12" s="129" t="s">
        <v>159</v>
      </c>
      <c r="I12" s="127" t="s">
        <v>136</v>
      </c>
      <c r="J12" s="129" t="s">
        <v>125</v>
      </c>
      <c r="K12" s="127" t="s">
        <v>1045</v>
      </c>
      <c r="L12" s="129" t="s">
        <v>131</v>
      </c>
      <c r="M12" s="127" t="s">
        <v>1051</v>
      </c>
      <c r="N12" s="44"/>
      <c r="O12" s="44"/>
    </row>
    <row r="13" spans="1:15" ht="15" x14ac:dyDescent="0.25">
      <c r="C13" s="131" t="s">
        <v>1036</v>
      </c>
      <c r="D13" s="129" t="s">
        <v>139</v>
      </c>
      <c r="E13" s="131" t="s">
        <v>136</v>
      </c>
      <c r="F13" s="129" t="s">
        <v>140</v>
      </c>
      <c r="G13" s="131" t="s">
        <v>135</v>
      </c>
      <c r="H13" s="129" t="s">
        <v>165</v>
      </c>
      <c r="I13" s="127" t="s">
        <v>108</v>
      </c>
      <c r="J13" s="129" t="s">
        <v>131</v>
      </c>
      <c r="K13" s="127" t="s">
        <v>139</v>
      </c>
      <c r="L13" s="129" t="s">
        <v>136</v>
      </c>
      <c r="M13" s="127" t="s">
        <v>1052</v>
      </c>
      <c r="N13" s="44"/>
      <c r="O13" s="44"/>
    </row>
    <row r="14" spans="1:15" ht="15" x14ac:dyDescent="0.25">
      <c r="C14" s="131" t="s">
        <v>138</v>
      </c>
      <c r="D14" s="129" t="s">
        <v>1046</v>
      </c>
      <c r="E14" s="131" t="s">
        <v>151</v>
      </c>
      <c r="F14" s="129" t="s">
        <v>145</v>
      </c>
      <c r="G14" s="131" t="s">
        <v>141</v>
      </c>
      <c r="H14" s="129" t="s">
        <v>171</v>
      </c>
      <c r="I14" s="127" t="s">
        <v>672</v>
      </c>
      <c r="J14" s="129" t="s">
        <v>136</v>
      </c>
      <c r="K14" s="127" t="s">
        <v>1046</v>
      </c>
      <c r="L14" s="129" t="s">
        <v>101</v>
      </c>
      <c r="M14" s="127" t="s">
        <v>1053</v>
      </c>
      <c r="N14" s="44"/>
      <c r="O14" s="44"/>
    </row>
    <row r="15" spans="1:15" ht="15" x14ac:dyDescent="0.25">
      <c r="C15" s="131" t="s">
        <v>144</v>
      </c>
      <c r="D15" s="129" t="s">
        <v>150</v>
      </c>
      <c r="E15" s="131" t="s">
        <v>1080</v>
      </c>
      <c r="F15" s="129" t="s">
        <v>152</v>
      </c>
      <c r="G15" s="131" t="s">
        <v>146</v>
      </c>
      <c r="H15" s="129" t="s">
        <v>176</v>
      </c>
      <c r="I15" s="127" t="s">
        <v>674</v>
      </c>
      <c r="J15" s="129" t="s">
        <v>101</v>
      </c>
      <c r="K15" s="127" t="s">
        <v>150</v>
      </c>
      <c r="L15" s="129" t="s">
        <v>108</v>
      </c>
      <c r="M15" s="127" t="s">
        <v>1054</v>
      </c>
      <c r="N15" s="44"/>
      <c r="O15" s="44"/>
    </row>
    <row r="16" spans="1:15" ht="15" x14ac:dyDescent="0.25">
      <c r="C16" s="131" t="s">
        <v>149</v>
      </c>
      <c r="D16" s="129" t="s">
        <v>1047</v>
      </c>
      <c r="E16" s="131" t="s">
        <v>162</v>
      </c>
      <c r="F16" s="129" t="s">
        <v>157</v>
      </c>
      <c r="G16" s="131" t="s">
        <v>153</v>
      </c>
      <c r="H16" s="129" t="s">
        <v>183</v>
      </c>
      <c r="I16" s="127" t="s">
        <v>676</v>
      </c>
      <c r="J16" s="129" t="s">
        <v>108</v>
      </c>
      <c r="K16" s="127" t="s">
        <v>1047</v>
      </c>
      <c r="L16" s="129" t="s">
        <v>114</v>
      </c>
      <c r="M16" s="127" t="s">
        <v>1055</v>
      </c>
      <c r="N16" s="44"/>
      <c r="O16" s="44"/>
    </row>
    <row r="17" spans="3:15" ht="15" x14ac:dyDescent="0.25">
      <c r="C17" s="131" t="s">
        <v>156</v>
      </c>
      <c r="D17" s="129" t="s">
        <v>161</v>
      </c>
      <c r="E17" s="131" t="s">
        <v>168</v>
      </c>
      <c r="F17" s="129" t="s">
        <v>163</v>
      </c>
      <c r="G17" s="131" t="s">
        <v>158</v>
      </c>
      <c r="H17" s="129" t="s">
        <v>191</v>
      </c>
      <c r="I17" s="127" t="s">
        <v>678</v>
      </c>
      <c r="J17" s="129" t="s">
        <v>114</v>
      </c>
      <c r="K17" s="127" t="s">
        <v>161</v>
      </c>
      <c r="L17" s="129" t="s">
        <v>120</v>
      </c>
      <c r="M17" s="127" t="s">
        <v>1056</v>
      </c>
      <c r="N17" s="44"/>
      <c r="O17" s="44"/>
    </row>
    <row r="18" spans="3:15" ht="15" x14ac:dyDescent="0.25">
      <c r="C18" s="131" t="s">
        <v>160</v>
      </c>
      <c r="D18" s="129" t="s">
        <v>167</v>
      </c>
      <c r="E18" s="131" t="s">
        <v>947</v>
      </c>
      <c r="F18" s="129" t="s">
        <v>169</v>
      </c>
      <c r="G18" s="131" t="s">
        <v>164</v>
      </c>
      <c r="H18" s="129" t="s">
        <v>197</v>
      </c>
      <c r="I18" s="127" t="s">
        <v>1080</v>
      </c>
      <c r="J18" s="129" t="s">
        <v>120</v>
      </c>
      <c r="K18" s="127" t="s">
        <v>167</v>
      </c>
      <c r="L18" s="129" t="s">
        <v>124</v>
      </c>
      <c r="M18" s="127" t="s">
        <v>1057</v>
      </c>
      <c r="N18" s="44"/>
      <c r="O18" s="44"/>
    </row>
    <row r="19" spans="3:15" ht="15" x14ac:dyDescent="0.25">
      <c r="C19" s="131" t="s">
        <v>166</v>
      </c>
      <c r="D19" s="129" t="s">
        <v>1048</v>
      </c>
      <c r="E19" s="131" t="s">
        <v>173</v>
      </c>
      <c r="F19" s="129" t="s">
        <v>174</v>
      </c>
      <c r="G19" s="131" t="s">
        <v>170</v>
      </c>
      <c r="H19" s="129" t="s">
        <v>203</v>
      </c>
      <c r="I19" s="127" t="s">
        <v>162</v>
      </c>
      <c r="J19" s="129" t="s">
        <v>124</v>
      </c>
      <c r="K19" s="127" t="s">
        <v>1048</v>
      </c>
      <c r="L19" s="129" t="s">
        <v>949</v>
      </c>
      <c r="M19" s="127" t="s">
        <v>1058</v>
      </c>
      <c r="N19" s="44"/>
      <c r="O19" s="44"/>
    </row>
    <row r="20" spans="3:15" ht="15" x14ac:dyDescent="0.25">
      <c r="C20" s="131" t="s">
        <v>172</v>
      </c>
      <c r="D20" s="129" t="s">
        <v>179</v>
      </c>
      <c r="E20" s="131" t="s">
        <v>180</v>
      </c>
      <c r="F20" s="129" t="s">
        <v>181</v>
      </c>
      <c r="G20" s="131" t="s">
        <v>175</v>
      </c>
      <c r="H20" s="129" t="s">
        <v>208</v>
      </c>
      <c r="I20" s="127" t="s">
        <v>947</v>
      </c>
      <c r="J20" s="129" t="s">
        <v>949</v>
      </c>
      <c r="K20" s="127" t="s">
        <v>179</v>
      </c>
      <c r="L20" s="129" t="s">
        <v>130</v>
      </c>
      <c r="M20" s="127" t="s">
        <v>1059</v>
      </c>
      <c r="N20" s="44"/>
      <c r="O20" s="44"/>
    </row>
    <row r="21" spans="3:15" ht="15" x14ac:dyDescent="0.25">
      <c r="C21" s="131" t="s">
        <v>944</v>
      </c>
      <c r="D21" s="129" t="s">
        <v>187</v>
      </c>
      <c r="E21" s="131" t="s">
        <v>188</v>
      </c>
      <c r="F21" s="129" t="s">
        <v>189</v>
      </c>
      <c r="G21" s="131" t="s">
        <v>182</v>
      </c>
      <c r="H21" s="129" t="s">
        <v>696</v>
      </c>
      <c r="I21" s="127" t="s">
        <v>141</v>
      </c>
      <c r="J21" s="129" t="s">
        <v>130</v>
      </c>
      <c r="K21" s="127" t="s">
        <v>187</v>
      </c>
      <c r="L21" s="129" t="s">
        <v>135</v>
      </c>
      <c r="M21" s="127" t="s">
        <v>1060</v>
      </c>
      <c r="N21" s="44"/>
      <c r="O21" s="44"/>
    </row>
    <row r="22" spans="3:15" ht="15" x14ac:dyDescent="0.25">
      <c r="C22" s="131" t="s">
        <v>178</v>
      </c>
      <c r="D22" s="129" t="s">
        <v>193</v>
      </c>
      <c r="E22" s="131" t="s">
        <v>194</v>
      </c>
      <c r="F22" s="129" t="s">
        <v>195</v>
      </c>
      <c r="G22" s="131" t="s">
        <v>190</v>
      </c>
      <c r="H22" s="129" t="s">
        <v>698</v>
      </c>
      <c r="I22" s="127" t="s">
        <v>182</v>
      </c>
      <c r="J22" s="129" t="s">
        <v>135</v>
      </c>
      <c r="K22" s="127" t="s">
        <v>193</v>
      </c>
      <c r="L22" s="129" t="s">
        <v>672</v>
      </c>
      <c r="M22" s="127" t="s">
        <v>1061</v>
      </c>
      <c r="N22" s="44"/>
      <c r="O22" s="44"/>
    </row>
    <row r="23" spans="3:15" ht="15" x14ac:dyDescent="0.25">
      <c r="C23" s="131" t="s">
        <v>941</v>
      </c>
      <c r="D23" s="129" t="s">
        <v>1049</v>
      </c>
      <c r="E23" s="131" t="s">
        <v>200</v>
      </c>
      <c r="F23" s="129" t="s">
        <v>201</v>
      </c>
      <c r="G23" s="131" t="s">
        <v>196</v>
      </c>
      <c r="H23" s="129" t="s">
        <v>700</v>
      </c>
      <c r="I23" s="127" t="s">
        <v>190</v>
      </c>
      <c r="J23" s="129" t="s">
        <v>672</v>
      </c>
      <c r="K23" s="127" t="s">
        <v>1049</v>
      </c>
      <c r="L23" s="129" t="s">
        <v>674</v>
      </c>
      <c r="M23" s="127" t="s">
        <v>1062</v>
      </c>
      <c r="N23" s="44"/>
      <c r="O23" s="44"/>
    </row>
    <row r="24" spans="3:15" ht="15" x14ac:dyDescent="0.25">
      <c r="C24" s="131" t="s">
        <v>186</v>
      </c>
      <c r="D24" s="129" t="s">
        <v>1050</v>
      </c>
      <c r="E24" s="131" t="s">
        <v>205</v>
      </c>
      <c r="F24" s="129" t="s">
        <v>206</v>
      </c>
      <c r="G24" s="131" t="s">
        <v>202</v>
      </c>
      <c r="H24" s="129" t="s">
        <v>702</v>
      </c>
      <c r="I24" s="127" t="s">
        <v>215</v>
      </c>
      <c r="J24" s="129" t="s">
        <v>674</v>
      </c>
      <c r="K24" s="127" t="s">
        <v>1050</v>
      </c>
      <c r="L24" s="129" t="s">
        <v>676</v>
      </c>
      <c r="M24" s="127" t="s">
        <v>1063</v>
      </c>
      <c r="N24" s="44"/>
      <c r="O24" s="44"/>
    </row>
    <row r="25" spans="3:15" ht="15" x14ac:dyDescent="0.25">
      <c r="C25" s="131" t="s">
        <v>192</v>
      </c>
      <c r="D25" s="129" t="s">
        <v>1051</v>
      </c>
      <c r="E25" s="131" t="s">
        <v>212</v>
      </c>
      <c r="F25" s="129" t="s">
        <v>213</v>
      </c>
      <c r="G25" s="131" t="s">
        <v>207</v>
      </c>
      <c r="H25" s="129" t="s">
        <v>238</v>
      </c>
      <c r="I25" s="127" t="s">
        <v>956</v>
      </c>
      <c r="J25" s="129" t="s">
        <v>676</v>
      </c>
      <c r="K25" s="127" t="s">
        <v>1051</v>
      </c>
      <c r="L25" s="129" t="s">
        <v>678</v>
      </c>
      <c r="M25" s="127" t="s">
        <v>1064</v>
      </c>
      <c r="N25" s="44"/>
      <c r="O25" s="44"/>
    </row>
    <row r="26" spans="3:15" ht="15" x14ac:dyDescent="0.25">
      <c r="C26" s="131" t="s">
        <v>199</v>
      </c>
      <c r="D26" s="129" t="s">
        <v>218</v>
      </c>
      <c r="E26" s="131" t="s">
        <v>219</v>
      </c>
      <c r="F26" s="129" t="s">
        <v>220</v>
      </c>
      <c r="G26" s="131" t="s">
        <v>214</v>
      </c>
      <c r="H26" s="129" t="s">
        <v>242</v>
      </c>
      <c r="I26" s="127" t="s">
        <v>142</v>
      </c>
      <c r="J26" s="129" t="s">
        <v>678</v>
      </c>
      <c r="K26" s="127" t="s">
        <v>218</v>
      </c>
      <c r="L26" s="129" t="s">
        <v>151</v>
      </c>
      <c r="M26" s="127" t="s">
        <v>1065</v>
      </c>
      <c r="N26" s="44"/>
      <c r="O26" s="44"/>
    </row>
    <row r="27" spans="3:15" ht="15" x14ac:dyDescent="0.25">
      <c r="C27" s="131" t="s">
        <v>942</v>
      </c>
      <c r="D27" s="129" t="s">
        <v>1052</v>
      </c>
      <c r="E27" s="131" t="s">
        <v>225</v>
      </c>
      <c r="F27" s="129" t="s">
        <v>226</v>
      </c>
      <c r="G27" s="131" t="s">
        <v>215</v>
      </c>
      <c r="H27" s="129" t="s">
        <v>246</v>
      </c>
      <c r="I27" s="127" t="s">
        <v>147</v>
      </c>
      <c r="J27" s="129" t="s">
        <v>98</v>
      </c>
      <c r="K27" s="127" t="s">
        <v>1052</v>
      </c>
      <c r="L27" s="129" t="s">
        <v>1080</v>
      </c>
      <c r="M27" s="127" t="s">
        <v>1066</v>
      </c>
      <c r="N27" s="44"/>
      <c r="O27" s="44"/>
    </row>
    <row r="28" spans="3:15" ht="15" x14ac:dyDescent="0.25">
      <c r="C28" s="131" t="s">
        <v>204</v>
      </c>
      <c r="D28" s="129" t="s">
        <v>230</v>
      </c>
      <c r="E28" s="131" t="s">
        <v>231</v>
      </c>
      <c r="F28" s="129" t="s">
        <v>232</v>
      </c>
      <c r="G28" s="131" t="s">
        <v>227</v>
      </c>
      <c r="H28" s="129" t="s">
        <v>248</v>
      </c>
      <c r="I28" s="127" t="s">
        <v>154</v>
      </c>
      <c r="J28" s="129" t="s">
        <v>106</v>
      </c>
      <c r="K28" s="127" t="s">
        <v>230</v>
      </c>
      <c r="L28" s="129" t="s">
        <v>162</v>
      </c>
      <c r="M28" s="127" t="s">
        <v>1067</v>
      </c>
      <c r="N28" s="44"/>
      <c r="O28" s="44"/>
    </row>
    <row r="29" spans="3:15" ht="15" x14ac:dyDescent="0.25">
      <c r="C29" s="131" t="s">
        <v>945</v>
      </c>
      <c r="D29" s="129" t="s">
        <v>1053</v>
      </c>
      <c r="E29" s="131" t="s">
        <v>235</v>
      </c>
      <c r="F29" s="129" t="s">
        <v>236</v>
      </c>
      <c r="G29" s="131" t="s">
        <v>233</v>
      </c>
      <c r="H29" s="129" t="s">
        <v>845</v>
      </c>
      <c r="I29" s="127" t="s">
        <v>159</v>
      </c>
      <c r="J29" s="129" t="s">
        <v>112</v>
      </c>
      <c r="K29" s="127" t="s">
        <v>1053</v>
      </c>
      <c r="L29" s="129" t="s">
        <v>168</v>
      </c>
      <c r="M29" s="127" t="s">
        <v>1068</v>
      </c>
      <c r="N29" s="44"/>
      <c r="O29" s="44"/>
    </row>
    <row r="30" spans="3:15" ht="15" x14ac:dyDescent="0.25">
      <c r="C30" s="131" t="s">
        <v>211</v>
      </c>
      <c r="D30" s="129" t="s">
        <v>240</v>
      </c>
      <c r="E30" s="131" t="s">
        <v>241</v>
      </c>
      <c r="F30" s="129" t="s">
        <v>845</v>
      </c>
      <c r="G30" s="131" t="s">
        <v>237</v>
      </c>
      <c r="H30" s="129" t="s">
        <v>846</v>
      </c>
      <c r="I30" s="127" t="s">
        <v>219</v>
      </c>
      <c r="J30" s="129" t="s">
        <v>118</v>
      </c>
      <c r="K30" s="127" t="s">
        <v>240</v>
      </c>
      <c r="L30" s="129" t="s">
        <v>947</v>
      </c>
      <c r="M30" s="127" t="s">
        <v>1069</v>
      </c>
      <c r="N30" s="44"/>
      <c r="O30" s="44"/>
    </row>
    <row r="31" spans="3:15" ht="15" x14ac:dyDescent="0.25">
      <c r="C31" s="131" t="s">
        <v>943</v>
      </c>
      <c r="D31" s="129" t="s">
        <v>244</v>
      </c>
      <c r="E31" s="131" t="s">
        <v>245</v>
      </c>
      <c r="F31" s="129" t="s">
        <v>846</v>
      </c>
      <c r="G31" s="131" t="s">
        <v>956</v>
      </c>
      <c r="H31" s="129" t="s">
        <v>955</v>
      </c>
      <c r="I31" s="127" t="s">
        <v>225</v>
      </c>
      <c r="J31" s="129" t="s">
        <v>1044</v>
      </c>
      <c r="K31" s="127" t="s">
        <v>244</v>
      </c>
      <c r="L31" s="129" t="s">
        <v>173</v>
      </c>
      <c r="M31" s="127" t="s">
        <v>1070</v>
      </c>
      <c r="N31" s="44"/>
      <c r="O31" s="44"/>
    </row>
    <row r="32" spans="3:15" ht="15" x14ac:dyDescent="0.25">
      <c r="C32" s="131" t="s">
        <v>217</v>
      </c>
      <c r="D32" s="129" t="s">
        <v>1054</v>
      </c>
      <c r="E32" s="131" t="s">
        <v>250</v>
      </c>
      <c r="F32" s="129" t="s">
        <v>929</v>
      </c>
      <c r="G32" s="131" t="s">
        <v>92</v>
      </c>
      <c r="I32" s="127" t="s">
        <v>165</v>
      </c>
      <c r="J32" s="129" t="s">
        <v>128</v>
      </c>
      <c r="K32" s="127" t="s">
        <v>1054</v>
      </c>
      <c r="L32" s="129" t="s">
        <v>180</v>
      </c>
      <c r="M32" s="127" t="s">
        <v>1090</v>
      </c>
      <c r="N32" s="44"/>
      <c r="O32" s="44"/>
    </row>
    <row r="33" spans="3:15" ht="15" x14ac:dyDescent="0.25">
      <c r="C33" s="131" t="s">
        <v>224</v>
      </c>
      <c r="D33" s="129" t="s">
        <v>249</v>
      </c>
      <c r="E33" s="131" t="s">
        <v>252</v>
      </c>
      <c r="G33" s="131" t="s">
        <v>247</v>
      </c>
      <c r="I33" s="127" t="s">
        <v>171</v>
      </c>
      <c r="J33" s="129" t="s">
        <v>1045</v>
      </c>
      <c r="K33" s="127" t="s">
        <v>249</v>
      </c>
      <c r="L33" s="129" t="s">
        <v>141</v>
      </c>
      <c r="M33" s="127" t="s">
        <v>1072</v>
      </c>
      <c r="N33" s="44"/>
      <c r="O33" s="44"/>
    </row>
    <row r="34" spans="3:15" ht="15" x14ac:dyDescent="0.25">
      <c r="C34" s="131" t="s">
        <v>350</v>
      </c>
      <c r="D34" s="129" t="s">
        <v>1055</v>
      </c>
      <c r="E34" s="131" t="s">
        <v>255</v>
      </c>
      <c r="G34" s="131" t="s">
        <v>957</v>
      </c>
      <c r="I34" s="127" t="s">
        <v>176</v>
      </c>
      <c r="J34" s="129" t="s">
        <v>139</v>
      </c>
      <c r="K34" s="127" t="s">
        <v>1055</v>
      </c>
      <c r="L34" s="129" t="s">
        <v>146</v>
      </c>
      <c r="M34" s="127" t="s">
        <v>1073</v>
      </c>
      <c r="N34" s="44"/>
      <c r="O34" s="44"/>
    </row>
    <row r="35" spans="3:15" ht="15" x14ac:dyDescent="0.25">
      <c r="C35" s="131" t="s">
        <v>351</v>
      </c>
      <c r="D35" s="129" t="s">
        <v>254</v>
      </c>
      <c r="E35" s="131" t="s">
        <v>258</v>
      </c>
      <c r="G35" s="131" t="s">
        <v>251</v>
      </c>
      <c r="I35" s="127" t="s">
        <v>183</v>
      </c>
      <c r="J35" s="129" t="s">
        <v>1046</v>
      </c>
      <c r="K35" s="127" t="s">
        <v>254</v>
      </c>
      <c r="L35" s="129" t="s">
        <v>153</v>
      </c>
      <c r="M35" s="127" t="s">
        <v>1074</v>
      </c>
      <c r="N35" s="44"/>
      <c r="O35" s="44"/>
    </row>
    <row r="36" spans="3:15" ht="15" x14ac:dyDescent="0.25">
      <c r="C36" s="131" t="s">
        <v>352</v>
      </c>
      <c r="D36" s="129" t="s">
        <v>1056</v>
      </c>
      <c r="E36" s="131" t="s">
        <v>261</v>
      </c>
      <c r="G36" s="131" t="s">
        <v>253</v>
      </c>
      <c r="I36" s="127" t="s">
        <v>100</v>
      </c>
      <c r="J36" s="129" t="s">
        <v>150</v>
      </c>
      <c r="K36" s="127" t="s">
        <v>1056</v>
      </c>
      <c r="L36" s="129" t="s">
        <v>158</v>
      </c>
      <c r="M36" s="127" t="s">
        <v>1075</v>
      </c>
      <c r="N36" s="44"/>
      <c r="O36" s="44"/>
    </row>
    <row r="37" spans="3:15" ht="15" x14ac:dyDescent="0.25">
      <c r="C37" s="131" t="s">
        <v>353</v>
      </c>
      <c r="D37" s="129" t="s">
        <v>257</v>
      </c>
      <c r="E37" s="131" t="s">
        <v>266</v>
      </c>
      <c r="G37" s="131" t="s">
        <v>256</v>
      </c>
      <c r="I37" s="127" t="s">
        <v>107</v>
      </c>
      <c r="J37" s="129" t="s">
        <v>1047</v>
      </c>
      <c r="K37" s="127" t="s">
        <v>257</v>
      </c>
      <c r="L37" s="129" t="s">
        <v>164</v>
      </c>
      <c r="M37" s="127" t="s">
        <v>1076</v>
      </c>
      <c r="N37" s="44"/>
      <c r="O37" s="44"/>
    </row>
    <row r="38" spans="3:15" ht="15" x14ac:dyDescent="0.25">
      <c r="C38" s="131" t="s">
        <v>845</v>
      </c>
      <c r="D38" s="129" t="s">
        <v>1057</v>
      </c>
      <c r="E38" s="131" t="s">
        <v>269</v>
      </c>
      <c r="G38" s="131" t="s">
        <v>259</v>
      </c>
      <c r="I38" s="127" t="s">
        <v>163</v>
      </c>
      <c r="J38" s="129" t="s">
        <v>161</v>
      </c>
      <c r="K38" s="127" t="s">
        <v>1057</v>
      </c>
      <c r="L38" s="129" t="s">
        <v>170</v>
      </c>
      <c r="M38" s="127" t="s">
        <v>1077</v>
      </c>
      <c r="N38" s="44"/>
      <c r="O38" s="44"/>
    </row>
    <row r="39" spans="3:15" ht="15" x14ac:dyDescent="0.25">
      <c r="C39" s="131" t="s">
        <v>846</v>
      </c>
      <c r="D39" s="129" t="s">
        <v>265</v>
      </c>
      <c r="E39" s="131" t="s">
        <v>271</v>
      </c>
      <c r="G39" s="131" t="s">
        <v>262</v>
      </c>
      <c r="I39" s="127" t="s">
        <v>169</v>
      </c>
      <c r="J39" s="129" t="s">
        <v>167</v>
      </c>
      <c r="K39" s="127" t="s">
        <v>265</v>
      </c>
      <c r="L39" s="129" t="s">
        <v>175</v>
      </c>
      <c r="M39" s="127" t="s">
        <v>1078</v>
      </c>
      <c r="N39" s="44"/>
      <c r="O39" s="44"/>
    </row>
    <row r="40" spans="3:15" ht="15" x14ac:dyDescent="0.25">
      <c r="C40" s="131" t="s">
        <v>851</v>
      </c>
      <c r="D40" s="129" t="s">
        <v>1058</v>
      </c>
      <c r="E40" s="131" t="s">
        <v>273</v>
      </c>
      <c r="G40" s="131" t="s">
        <v>267</v>
      </c>
      <c r="I40" s="127" t="s">
        <v>181</v>
      </c>
      <c r="J40" s="129" t="s">
        <v>1048</v>
      </c>
      <c r="K40" s="127" t="s">
        <v>1058</v>
      </c>
      <c r="L40" s="129" t="s">
        <v>182</v>
      </c>
      <c r="M40" s="127" t="s">
        <v>1079</v>
      </c>
      <c r="N40" s="44"/>
      <c r="O40" s="44"/>
    </row>
    <row r="41" spans="3:15" ht="15" x14ac:dyDescent="0.25">
      <c r="D41" s="129" t="s">
        <v>276</v>
      </c>
      <c r="E41" s="131" t="s">
        <v>277</v>
      </c>
      <c r="G41" s="131" t="s">
        <v>270</v>
      </c>
      <c r="I41" s="127" t="s">
        <v>189</v>
      </c>
      <c r="J41" s="129" t="s">
        <v>179</v>
      </c>
      <c r="K41" s="127" t="s">
        <v>276</v>
      </c>
      <c r="L41" s="129" t="s">
        <v>190</v>
      </c>
      <c r="M41" s="127" t="s">
        <v>850</v>
      </c>
      <c r="N41" s="44"/>
      <c r="O41" s="44"/>
    </row>
    <row r="42" spans="3:15" ht="15" x14ac:dyDescent="0.25">
      <c r="D42" s="129" t="s">
        <v>1059</v>
      </c>
      <c r="E42" s="131" t="s">
        <v>280</v>
      </c>
      <c r="G42" s="131" t="s">
        <v>272</v>
      </c>
      <c r="I42" s="127" t="s">
        <v>195</v>
      </c>
      <c r="J42" s="129" t="s">
        <v>187</v>
      </c>
      <c r="K42" s="127" t="s">
        <v>1059</v>
      </c>
      <c r="L42" s="129" t="s">
        <v>196</v>
      </c>
      <c r="N42" s="44"/>
      <c r="O42" s="44"/>
    </row>
    <row r="43" spans="3:15" ht="15" x14ac:dyDescent="0.25">
      <c r="D43" s="129" t="s">
        <v>184</v>
      </c>
      <c r="E43" s="131" t="s">
        <v>283</v>
      </c>
      <c r="G43" s="131" t="s">
        <v>274</v>
      </c>
      <c r="I43" s="127" t="s">
        <v>201</v>
      </c>
      <c r="J43" s="129" t="s">
        <v>193</v>
      </c>
      <c r="K43" s="127" t="s">
        <v>184</v>
      </c>
      <c r="L43" s="129" t="s">
        <v>202</v>
      </c>
      <c r="N43" s="44"/>
      <c r="O43" s="44"/>
    </row>
    <row r="44" spans="3:15" ht="15" x14ac:dyDescent="0.25">
      <c r="D44" s="129" t="s">
        <v>282</v>
      </c>
      <c r="E44" s="131" t="s">
        <v>285</v>
      </c>
      <c r="G44" s="131" t="s">
        <v>278</v>
      </c>
      <c r="I44" s="127" t="s">
        <v>206</v>
      </c>
      <c r="J44" s="129" t="s">
        <v>1049</v>
      </c>
      <c r="K44" s="127" t="s">
        <v>282</v>
      </c>
      <c r="L44" s="129" t="s">
        <v>207</v>
      </c>
      <c r="N44" s="44"/>
      <c r="O44" s="44"/>
    </row>
    <row r="45" spans="3:15" ht="15" x14ac:dyDescent="0.25">
      <c r="D45" s="129" t="s">
        <v>1060</v>
      </c>
      <c r="E45" s="131" t="s">
        <v>287</v>
      </c>
      <c r="G45" s="131" t="s">
        <v>250</v>
      </c>
      <c r="I45" s="127" t="s">
        <v>213</v>
      </c>
      <c r="J45" s="129" t="s">
        <v>1050</v>
      </c>
      <c r="K45" s="127" t="s">
        <v>1060</v>
      </c>
      <c r="L45" s="129" t="s">
        <v>214</v>
      </c>
      <c r="N45" s="44"/>
      <c r="O45" s="44"/>
    </row>
    <row r="46" spans="3:15" ht="15" x14ac:dyDescent="0.25">
      <c r="D46" s="129" t="s">
        <v>286</v>
      </c>
      <c r="E46" s="131" t="s">
        <v>288</v>
      </c>
      <c r="G46" s="131" t="s">
        <v>951</v>
      </c>
      <c r="I46" s="127" t="s">
        <v>232</v>
      </c>
      <c r="J46" s="129" t="s">
        <v>1051</v>
      </c>
      <c r="K46" s="127" t="s">
        <v>286</v>
      </c>
      <c r="L46" s="129" t="s">
        <v>215</v>
      </c>
      <c r="N46" s="44"/>
      <c r="O46" s="44"/>
    </row>
    <row r="47" spans="3:15" ht="15" x14ac:dyDescent="0.25">
      <c r="D47" s="129" t="s">
        <v>1061</v>
      </c>
      <c r="E47" s="131" t="s">
        <v>291</v>
      </c>
      <c r="G47" s="131" t="s">
        <v>281</v>
      </c>
      <c r="I47" s="127" t="s">
        <v>236</v>
      </c>
      <c r="J47" s="129" t="s">
        <v>218</v>
      </c>
      <c r="K47" s="127" t="s">
        <v>1061</v>
      </c>
      <c r="L47" s="129" t="s">
        <v>227</v>
      </c>
      <c r="N47" s="44"/>
      <c r="O47" s="44"/>
    </row>
    <row r="48" spans="3:15" ht="15" x14ac:dyDescent="0.25">
      <c r="D48" s="129" t="s">
        <v>290</v>
      </c>
      <c r="E48" s="131" t="s">
        <v>293</v>
      </c>
      <c r="G48" s="131" t="s">
        <v>252</v>
      </c>
      <c r="I48" s="127" t="s">
        <v>278</v>
      </c>
      <c r="J48" s="129" t="s">
        <v>1052</v>
      </c>
      <c r="K48" s="127" t="s">
        <v>290</v>
      </c>
      <c r="L48" s="129" t="s">
        <v>233</v>
      </c>
      <c r="N48" s="44"/>
      <c r="O48" s="44"/>
    </row>
    <row r="49" spans="4:15" ht="15" x14ac:dyDescent="0.25">
      <c r="D49" s="129" t="s">
        <v>1062</v>
      </c>
      <c r="E49" s="131" t="s">
        <v>1042</v>
      </c>
      <c r="G49" s="131" t="s">
        <v>255</v>
      </c>
      <c r="I49" s="127" t="s">
        <v>250</v>
      </c>
      <c r="J49" s="129" t="s">
        <v>230</v>
      </c>
      <c r="K49" s="127" t="s">
        <v>1062</v>
      </c>
      <c r="L49" s="129" t="s">
        <v>237</v>
      </c>
      <c r="N49" s="44"/>
      <c r="O49" s="44"/>
    </row>
    <row r="50" spans="4:15" ht="15" x14ac:dyDescent="0.25">
      <c r="D50" s="129" t="s">
        <v>295</v>
      </c>
      <c r="E50" s="131" t="s">
        <v>296</v>
      </c>
      <c r="G50" s="131" t="s">
        <v>258</v>
      </c>
      <c r="I50" s="127" t="s">
        <v>951</v>
      </c>
      <c r="J50" s="129" t="s">
        <v>1053</v>
      </c>
      <c r="K50" s="127" t="s">
        <v>295</v>
      </c>
      <c r="L50" s="129" t="s">
        <v>956</v>
      </c>
      <c r="N50" s="44"/>
      <c r="O50" s="44"/>
    </row>
    <row r="51" spans="4:15" x14ac:dyDescent="0.3">
      <c r="D51" s="129" t="s">
        <v>1063</v>
      </c>
      <c r="E51" s="131" t="s">
        <v>1081</v>
      </c>
      <c r="G51" s="131" t="s">
        <v>289</v>
      </c>
      <c r="I51" s="127" t="s">
        <v>281</v>
      </c>
      <c r="J51" s="129" t="s">
        <v>240</v>
      </c>
      <c r="K51" s="127" t="s">
        <v>1063</v>
      </c>
      <c r="L51" s="129" t="s">
        <v>188</v>
      </c>
      <c r="N51" s="44"/>
      <c r="O51" s="44"/>
    </row>
    <row r="52" spans="4:15" x14ac:dyDescent="0.3">
      <c r="D52" s="129" t="s">
        <v>216</v>
      </c>
      <c r="E52" s="131" t="s">
        <v>300</v>
      </c>
      <c r="G52" s="131" t="s">
        <v>292</v>
      </c>
      <c r="I52" s="127" t="s">
        <v>252</v>
      </c>
      <c r="J52" s="129" t="s">
        <v>244</v>
      </c>
      <c r="K52" s="127" t="s">
        <v>216</v>
      </c>
      <c r="L52" s="129" t="s">
        <v>194</v>
      </c>
      <c r="N52" s="44"/>
      <c r="O52" s="44"/>
    </row>
    <row r="53" spans="4:15" x14ac:dyDescent="0.3">
      <c r="D53" s="129" t="s">
        <v>302</v>
      </c>
      <c r="E53" s="131" t="s">
        <v>303</v>
      </c>
      <c r="G53" s="131" t="s">
        <v>294</v>
      </c>
      <c r="I53" s="127" t="s">
        <v>255</v>
      </c>
      <c r="J53" s="129" t="s">
        <v>1054</v>
      </c>
      <c r="K53" s="127" t="s">
        <v>302</v>
      </c>
      <c r="L53" s="129" t="s">
        <v>92</v>
      </c>
      <c r="N53" s="44"/>
      <c r="O53" s="44"/>
    </row>
    <row r="54" spans="4:15" x14ac:dyDescent="0.3">
      <c r="D54" s="129" t="s">
        <v>1064</v>
      </c>
      <c r="E54" s="131" t="s">
        <v>305</v>
      </c>
      <c r="G54" s="131" t="s">
        <v>297</v>
      </c>
      <c r="I54" s="127" t="s">
        <v>258</v>
      </c>
      <c r="J54" s="129" t="s">
        <v>249</v>
      </c>
      <c r="K54" s="127" t="s">
        <v>1064</v>
      </c>
      <c r="L54" s="129" t="s">
        <v>200</v>
      </c>
      <c r="N54" s="44"/>
      <c r="O54" s="44"/>
    </row>
    <row r="55" spans="4:15" x14ac:dyDescent="0.3">
      <c r="D55" s="129" t="s">
        <v>307</v>
      </c>
      <c r="E55" s="131" t="s">
        <v>308</v>
      </c>
      <c r="G55" s="131" t="s">
        <v>299</v>
      </c>
      <c r="I55" s="127" t="s">
        <v>261</v>
      </c>
      <c r="J55" s="129" t="s">
        <v>1055</v>
      </c>
      <c r="K55" s="127" t="s">
        <v>307</v>
      </c>
      <c r="L55" s="129" t="s">
        <v>142</v>
      </c>
      <c r="N55" s="44"/>
      <c r="O55" s="44"/>
    </row>
    <row r="56" spans="4:15" x14ac:dyDescent="0.3">
      <c r="D56" s="129" t="s">
        <v>1065</v>
      </c>
      <c r="E56" s="131" t="s">
        <v>310</v>
      </c>
      <c r="G56" s="131" t="s">
        <v>301</v>
      </c>
      <c r="I56" s="127" t="s">
        <v>292</v>
      </c>
      <c r="J56" s="129" t="s">
        <v>254</v>
      </c>
      <c r="K56" s="127" t="s">
        <v>1065</v>
      </c>
      <c r="L56" s="129" t="s">
        <v>147</v>
      </c>
      <c r="N56" s="44"/>
      <c r="O56" s="44"/>
    </row>
    <row r="57" spans="4:15" x14ac:dyDescent="0.3">
      <c r="D57" s="129" t="s">
        <v>1066</v>
      </c>
      <c r="E57" s="131" t="s">
        <v>312</v>
      </c>
      <c r="G57" s="131" t="s">
        <v>304</v>
      </c>
      <c r="I57" s="127" t="s">
        <v>294</v>
      </c>
      <c r="J57" s="129" t="s">
        <v>1056</v>
      </c>
      <c r="K57" s="127" t="s">
        <v>1066</v>
      </c>
      <c r="L57" s="129" t="s">
        <v>154</v>
      </c>
      <c r="N57" s="44"/>
      <c r="O57" s="44"/>
    </row>
    <row r="58" spans="4:15" x14ac:dyDescent="0.3">
      <c r="D58" s="129" t="s">
        <v>314</v>
      </c>
      <c r="E58" s="131" t="s">
        <v>1082</v>
      </c>
      <c r="G58" s="131" t="s">
        <v>306</v>
      </c>
      <c r="I58" s="127" t="s">
        <v>297</v>
      </c>
      <c r="J58" s="129" t="s">
        <v>257</v>
      </c>
      <c r="K58" s="127" t="s">
        <v>314</v>
      </c>
      <c r="L58" s="129" t="s">
        <v>159</v>
      </c>
      <c r="N58" s="44"/>
      <c r="O58" s="44"/>
    </row>
    <row r="59" spans="4:15" x14ac:dyDescent="0.3">
      <c r="D59" s="129" t="s">
        <v>317</v>
      </c>
      <c r="E59" s="131" t="s">
        <v>318</v>
      </c>
      <c r="G59" s="131" t="s">
        <v>309</v>
      </c>
      <c r="I59" s="127" t="s">
        <v>301</v>
      </c>
      <c r="J59" s="129" t="s">
        <v>1057</v>
      </c>
      <c r="K59" s="127" t="s">
        <v>317</v>
      </c>
      <c r="L59" s="129" t="s">
        <v>247</v>
      </c>
      <c r="N59" s="44"/>
      <c r="O59" s="44"/>
    </row>
    <row r="60" spans="4:15" x14ac:dyDescent="0.3">
      <c r="D60" s="129" t="s">
        <v>319</v>
      </c>
      <c r="E60" s="131" t="s">
        <v>320</v>
      </c>
      <c r="G60" s="131" t="s">
        <v>311</v>
      </c>
      <c r="I60" s="127" t="s">
        <v>191</v>
      </c>
      <c r="J60" s="129" t="s">
        <v>265</v>
      </c>
      <c r="K60" s="127" t="s">
        <v>319</v>
      </c>
      <c r="L60" s="129" t="s">
        <v>205</v>
      </c>
      <c r="N60" s="44"/>
      <c r="O60" s="44"/>
    </row>
    <row r="61" spans="4:15" x14ac:dyDescent="0.3">
      <c r="D61" s="129" t="s">
        <v>322</v>
      </c>
      <c r="E61" s="131" t="s">
        <v>323</v>
      </c>
      <c r="G61" s="131" t="s">
        <v>313</v>
      </c>
      <c r="I61" s="127" t="s">
        <v>197</v>
      </c>
      <c r="J61" s="129" t="s">
        <v>1058</v>
      </c>
      <c r="K61" s="127" t="s">
        <v>322</v>
      </c>
      <c r="L61" s="129" t="s">
        <v>212</v>
      </c>
      <c r="N61" s="44"/>
      <c r="O61" s="44"/>
    </row>
    <row r="62" spans="4:15" x14ac:dyDescent="0.3">
      <c r="D62" s="129" t="s">
        <v>325</v>
      </c>
      <c r="E62" s="131" t="s">
        <v>326</v>
      </c>
      <c r="G62" s="131" t="s">
        <v>315</v>
      </c>
      <c r="I62" s="127" t="s">
        <v>304</v>
      </c>
      <c r="J62" s="129" t="s">
        <v>276</v>
      </c>
      <c r="K62" s="127" t="s">
        <v>325</v>
      </c>
      <c r="L62" s="129" t="s">
        <v>219</v>
      </c>
      <c r="N62" s="44"/>
      <c r="O62" s="44"/>
    </row>
    <row r="63" spans="4:15" x14ac:dyDescent="0.3">
      <c r="D63" s="129" t="s">
        <v>328</v>
      </c>
      <c r="E63" s="131" t="s">
        <v>845</v>
      </c>
      <c r="G63" s="131" t="s">
        <v>321</v>
      </c>
      <c r="I63" s="127" t="s">
        <v>309</v>
      </c>
      <c r="J63" s="129" t="s">
        <v>1059</v>
      </c>
      <c r="K63" s="127" t="s">
        <v>328</v>
      </c>
      <c r="L63" s="129" t="s">
        <v>225</v>
      </c>
      <c r="N63" s="44"/>
      <c r="O63" s="44"/>
    </row>
    <row r="64" spans="4:15" x14ac:dyDescent="0.3">
      <c r="D64" s="129" t="s">
        <v>1067</v>
      </c>
      <c r="E64" s="131" t="s">
        <v>846</v>
      </c>
      <c r="G64" s="131" t="s">
        <v>324</v>
      </c>
      <c r="I64" s="127" t="s">
        <v>315</v>
      </c>
      <c r="J64" s="129" t="s">
        <v>184</v>
      </c>
      <c r="K64" s="127" t="s">
        <v>1067</v>
      </c>
      <c r="L64" s="129" t="s">
        <v>231</v>
      </c>
      <c r="N64" s="44"/>
      <c r="O64" s="44"/>
    </row>
    <row r="65" spans="4:15" x14ac:dyDescent="0.3">
      <c r="D65" s="129" t="s">
        <v>1068</v>
      </c>
      <c r="E65" s="131" t="s">
        <v>849</v>
      </c>
      <c r="G65" s="131" t="s">
        <v>327</v>
      </c>
      <c r="I65" s="127" t="s">
        <v>271</v>
      </c>
      <c r="J65" s="129" t="s">
        <v>282</v>
      </c>
      <c r="K65" s="127" t="s">
        <v>1068</v>
      </c>
      <c r="L65" s="129" t="s">
        <v>235</v>
      </c>
      <c r="N65" s="44"/>
      <c r="O65" s="44"/>
    </row>
    <row r="66" spans="4:15" x14ac:dyDescent="0.3">
      <c r="D66" s="129" t="s">
        <v>332</v>
      </c>
      <c r="G66" s="131" t="s">
        <v>329</v>
      </c>
      <c r="I66" s="127" t="s">
        <v>273</v>
      </c>
      <c r="J66" s="129" t="s">
        <v>1060</v>
      </c>
      <c r="K66" s="127" t="s">
        <v>332</v>
      </c>
      <c r="L66" s="129" t="s">
        <v>241</v>
      </c>
      <c r="N66" s="44"/>
      <c r="O66" s="44"/>
    </row>
    <row r="67" spans="4:15" x14ac:dyDescent="0.3">
      <c r="D67" s="129" t="s">
        <v>1069</v>
      </c>
      <c r="G67" s="131" t="s">
        <v>330</v>
      </c>
      <c r="I67" s="127" t="s">
        <v>296</v>
      </c>
      <c r="J67" s="129" t="s">
        <v>286</v>
      </c>
      <c r="K67" s="127" t="s">
        <v>1069</v>
      </c>
      <c r="L67" s="129" t="s">
        <v>245</v>
      </c>
      <c r="N67" s="44"/>
      <c r="O67" s="44"/>
    </row>
    <row r="68" spans="4:15" x14ac:dyDescent="0.3">
      <c r="D68" s="129" t="s">
        <v>335</v>
      </c>
      <c r="G68" s="131" t="s">
        <v>331</v>
      </c>
      <c r="I68" s="127" t="s">
        <v>203</v>
      </c>
      <c r="J68" s="129" t="s">
        <v>1061</v>
      </c>
      <c r="K68" s="127" t="s">
        <v>97</v>
      </c>
      <c r="L68" s="129" t="s">
        <v>165</v>
      </c>
      <c r="N68" s="44"/>
      <c r="O68" s="44"/>
    </row>
    <row r="69" spans="4:15" x14ac:dyDescent="0.3">
      <c r="D69" s="129" t="s">
        <v>1070</v>
      </c>
      <c r="G69" s="131" t="s">
        <v>333</v>
      </c>
      <c r="I69" s="127" t="s">
        <v>208</v>
      </c>
      <c r="J69" s="129" t="s">
        <v>290</v>
      </c>
      <c r="K69" s="127" t="s">
        <v>105</v>
      </c>
      <c r="L69" s="129" t="s">
        <v>171</v>
      </c>
      <c r="N69" s="44"/>
      <c r="O69" s="44"/>
    </row>
    <row r="70" spans="4:15" x14ac:dyDescent="0.3">
      <c r="D70" s="129" t="s">
        <v>337</v>
      </c>
      <c r="G70" s="131" t="s">
        <v>334</v>
      </c>
      <c r="I70" s="127" t="s">
        <v>1081</v>
      </c>
      <c r="J70" s="129" t="s">
        <v>1062</v>
      </c>
      <c r="K70" s="127" t="s">
        <v>111</v>
      </c>
      <c r="L70" s="129" t="s">
        <v>176</v>
      </c>
      <c r="N70" s="44"/>
      <c r="O70" s="44"/>
    </row>
    <row r="71" spans="4:15" x14ac:dyDescent="0.3">
      <c r="D71" s="129" t="s">
        <v>339</v>
      </c>
      <c r="G71" s="131" t="s">
        <v>336</v>
      </c>
      <c r="I71" s="127" t="s">
        <v>298</v>
      </c>
      <c r="J71" s="129" t="s">
        <v>295</v>
      </c>
      <c r="K71" s="127" t="s">
        <v>117</v>
      </c>
      <c r="L71" s="129" t="s">
        <v>183</v>
      </c>
      <c r="N71" s="44"/>
      <c r="O71" s="44"/>
    </row>
    <row r="72" spans="4:15" x14ac:dyDescent="0.3">
      <c r="D72" s="129" t="s">
        <v>1071</v>
      </c>
      <c r="G72" s="131" t="s">
        <v>298</v>
      </c>
      <c r="I72" s="127" t="s">
        <v>300</v>
      </c>
      <c r="J72" s="129" t="s">
        <v>1063</v>
      </c>
      <c r="K72" s="127" t="s">
        <v>122</v>
      </c>
      <c r="L72" s="129" t="s">
        <v>100</v>
      </c>
      <c r="N72" s="44"/>
      <c r="O72" s="44"/>
    </row>
    <row r="73" spans="4:15" x14ac:dyDescent="0.3">
      <c r="D73" s="129" t="s">
        <v>1072</v>
      </c>
      <c r="G73" s="131" t="s">
        <v>300</v>
      </c>
      <c r="I73" s="127" t="s">
        <v>696</v>
      </c>
      <c r="J73" s="129" t="s">
        <v>216</v>
      </c>
      <c r="K73" s="127" t="s">
        <v>127</v>
      </c>
      <c r="L73" s="129" t="s">
        <v>107</v>
      </c>
      <c r="N73" s="44"/>
      <c r="O73" s="44"/>
    </row>
    <row r="74" spans="4:15" x14ac:dyDescent="0.3">
      <c r="D74" s="129" t="s">
        <v>1073</v>
      </c>
      <c r="G74" s="131" t="s">
        <v>341</v>
      </c>
      <c r="I74" s="127" t="s">
        <v>698</v>
      </c>
      <c r="J74" s="129" t="s">
        <v>302</v>
      </c>
      <c r="K74" s="127" t="s">
        <v>133</v>
      </c>
      <c r="L74" s="129" t="s">
        <v>113</v>
      </c>
      <c r="N74" s="44"/>
      <c r="O74" s="44"/>
    </row>
    <row r="75" spans="4:15" x14ac:dyDescent="0.3">
      <c r="D75" s="129" t="s">
        <v>343</v>
      </c>
      <c r="G75" s="131" t="s">
        <v>342</v>
      </c>
      <c r="I75" s="127" t="s">
        <v>700</v>
      </c>
      <c r="J75" s="129" t="s">
        <v>1064</v>
      </c>
      <c r="K75" s="127" t="s">
        <v>1035</v>
      </c>
      <c r="L75" s="129" t="s">
        <v>119</v>
      </c>
      <c r="N75" s="44"/>
      <c r="O75" s="44"/>
    </row>
    <row r="76" spans="4:15" x14ac:dyDescent="0.3">
      <c r="D76" s="129" t="s">
        <v>345</v>
      </c>
      <c r="G76" s="131" t="s">
        <v>344</v>
      </c>
      <c r="I76" s="127" t="s">
        <v>702</v>
      </c>
      <c r="J76" s="129" t="s">
        <v>307</v>
      </c>
      <c r="K76" s="127" t="s">
        <v>1036</v>
      </c>
      <c r="L76" s="129" t="s">
        <v>123</v>
      </c>
      <c r="N76" s="44"/>
      <c r="O76" s="44"/>
    </row>
    <row r="77" spans="4:15" x14ac:dyDescent="0.3">
      <c r="D77" s="129" t="s">
        <v>347</v>
      </c>
      <c r="G77" s="131" t="s">
        <v>346</v>
      </c>
      <c r="I77" s="127" t="s">
        <v>312</v>
      </c>
      <c r="J77" s="129" t="s">
        <v>1065</v>
      </c>
      <c r="K77" s="127" t="s">
        <v>138</v>
      </c>
      <c r="L77" s="129" t="s">
        <v>129</v>
      </c>
      <c r="N77" s="44"/>
      <c r="O77" s="44"/>
    </row>
    <row r="78" spans="4:15" x14ac:dyDescent="0.3">
      <c r="D78" s="129" t="s">
        <v>1074</v>
      </c>
      <c r="G78" s="131" t="s">
        <v>845</v>
      </c>
      <c r="I78" s="127" t="s">
        <v>1082</v>
      </c>
      <c r="J78" s="129" t="s">
        <v>151</v>
      </c>
      <c r="K78" s="127" t="s">
        <v>144</v>
      </c>
      <c r="L78" s="129" t="s">
        <v>134</v>
      </c>
      <c r="N78" s="44"/>
      <c r="O78" s="44"/>
    </row>
    <row r="79" spans="4:15" x14ac:dyDescent="0.3">
      <c r="D79" s="129" t="s">
        <v>348</v>
      </c>
      <c r="G79" s="131" t="s">
        <v>846</v>
      </c>
      <c r="I79" s="127" t="s">
        <v>238</v>
      </c>
      <c r="J79" s="129" t="s">
        <v>89</v>
      </c>
      <c r="K79" s="127" t="s">
        <v>149</v>
      </c>
      <c r="L79" s="129" t="s">
        <v>140</v>
      </c>
      <c r="N79" s="44"/>
      <c r="O79" s="44"/>
    </row>
    <row r="80" spans="4:15" x14ac:dyDescent="0.3">
      <c r="D80" s="129" t="s">
        <v>1075</v>
      </c>
      <c r="G80" s="131" t="s">
        <v>848</v>
      </c>
      <c r="I80" s="127" t="s">
        <v>242</v>
      </c>
      <c r="J80" s="129" t="s">
        <v>1080</v>
      </c>
      <c r="K80" s="127" t="s">
        <v>156</v>
      </c>
      <c r="L80" s="129" t="s">
        <v>145</v>
      </c>
      <c r="N80" s="44"/>
      <c r="O80" s="44"/>
    </row>
    <row r="81" spans="4:15" x14ac:dyDescent="0.3">
      <c r="D81" s="129" t="s">
        <v>1076</v>
      </c>
      <c r="I81" s="127" t="s">
        <v>320</v>
      </c>
      <c r="J81" s="129" t="s">
        <v>96</v>
      </c>
      <c r="K81" s="127" t="s">
        <v>160</v>
      </c>
      <c r="L81" s="129" t="s">
        <v>152</v>
      </c>
      <c r="N81" s="44"/>
      <c r="O81" s="44"/>
    </row>
    <row r="82" spans="4:15" x14ac:dyDescent="0.3">
      <c r="D82" s="129" t="s">
        <v>1077</v>
      </c>
      <c r="I82" s="127" t="s">
        <v>246</v>
      </c>
      <c r="J82" s="129" t="s">
        <v>162</v>
      </c>
      <c r="K82" s="127" t="s">
        <v>166</v>
      </c>
      <c r="L82" s="129" t="s">
        <v>157</v>
      </c>
      <c r="N82" s="44"/>
      <c r="O82" s="44"/>
    </row>
    <row r="83" spans="4:15" x14ac:dyDescent="0.3">
      <c r="D83" s="129" t="s">
        <v>263</v>
      </c>
      <c r="I83" s="127" t="s">
        <v>248</v>
      </c>
      <c r="J83" s="129" t="s">
        <v>104</v>
      </c>
      <c r="K83" s="127" t="s">
        <v>172</v>
      </c>
      <c r="L83" s="129" t="s">
        <v>163</v>
      </c>
      <c r="N83" s="44"/>
      <c r="O83" s="44"/>
    </row>
    <row r="84" spans="4:15" x14ac:dyDescent="0.3">
      <c r="D84" s="129" t="s">
        <v>268</v>
      </c>
      <c r="I84" s="127" t="s">
        <v>326</v>
      </c>
      <c r="J84" s="129" t="s">
        <v>110</v>
      </c>
      <c r="K84" s="127" t="s">
        <v>944</v>
      </c>
      <c r="L84" s="129" t="s">
        <v>169</v>
      </c>
      <c r="N84" s="44"/>
      <c r="O84" s="44"/>
    </row>
    <row r="85" spans="4:15" x14ac:dyDescent="0.3">
      <c r="D85" s="129" t="s">
        <v>1078</v>
      </c>
      <c r="I85" s="127" t="s">
        <v>346</v>
      </c>
      <c r="J85" s="129" t="s">
        <v>168</v>
      </c>
      <c r="K85" s="127" t="s">
        <v>178</v>
      </c>
      <c r="L85" s="129" t="s">
        <v>174</v>
      </c>
      <c r="N85" s="44"/>
      <c r="O85" s="44"/>
    </row>
    <row r="86" spans="4:15" x14ac:dyDescent="0.3">
      <c r="D86" s="129" t="s">
        <v>1079</v>
      </c>
      <c r="I86" s="127" t="s">
        <v>845</v>
      </c>
      <c r="J86" s="129" t="s">
        <v>947</v>
      </c>
      <c r="K86" s="127" t="s">
        <v>941</v>
      </c>
      <c r="L86" s="129" t="s">
        <v>181</v>
      </c>
      <c r="N86" s="44"/>
      <c r="O86" s="44"/>
    </row>
    <row r="87" spans="4:15" x14ac:dyDescent="0.3">
      <c r="D87" s="129" t="s">
        <v>349</v>
      </c>
      <c r="I87" s="127" t="s">
        <v>846</v>
      </c>
      <c r="J87" s="129" t="s">
        <v>173</v>
      </c>
      <c r="K87" s="127" t="s">
        <v>186</v>
      </c>
      <c r="L87" s="129" t="s">
        <v>189</v>
      </c>
      <c r="N87" s="44"/>
      <c r="O87" s="44"/>
    </row>
    <row r="88" spans="4:15" x14ac:dyDescent="0.3">
      <c r="D88" s="129" t="s">
        <v>275</v>
      </c>
      <c r="I88" s="127" t="s">
        <v>929</v>
      </c>
      <c r="J88" s="129" t="s">
        <v>180</v>
      </c>
      <c r="K88" s="127" t="s">
        <v>192</v>
      </c>
      <c r="L88" s="129" t="s">
        <v>195</v>
      </c>
      <c r="N88" s="44"/>
      <c r="O88" s="44"/>
    </row>
    <row r="89" spans="4:15" x14ac:dyDescent="0.3">
      <c r="D89" s="129" t="s">
        <v>845</v>
      </c>
      <c r="I89" s="127" t="s">
        <v>848</v>
      </c>
      <c r="J89" s="129" t="s">
        <v>88</v>
      </c>
      <c r="K89" s="127" t="s">
        <v>199</v>
      </c>
      <c r="L89" s="129" t="s">
        <v>201</v>
      </c>
      <c r="N89" s="44"/>
      <c r="O89" s="44"/>
    </row>
    <row r="90" spans="4:15" x14ac:dyDescent="0.3">
      <c r="D90" s="129" t="s">
        <v>846</v>
      </c>
      <c r="I90" s="127" t="s">
        <v>849</v>
      </c>
      <c r="J90" s="129" t="s">
        <v>95</v>
      </c>
      <c r="K90" s="127" t="s">
        <v>942</v>
      </c>
      <c r="L90" s="129" t="s">
        <v>206</v>
      </c>
      <c r="N90" s="44"/>
      <c r="O90" s="44"/>
    </row>
    <row r="91" spans="4:15" x14ac:dyDescent="0.3">
      <c r="D91" s="129" t="s">
        <v>847</v>
      </c>
      <c r="J91" s="129" t="s">
        <v>103</v>
      </c>
      <c r="K91" s="127" t="s">
        <v>204</v>
      </c>
      <c r="L91" s="129" t="s">
        <v>213</v>
      </c>
      <c r="N91" s="44"/>
      <c r="O91" s="44"/>
    </row>
    <row r="92" spans="4:15" x14ac:dyDescent="0.3">
      <c r="D92" s="129" t="s">
        <v>850</v>
      </c>
      <c r="J92" s="129" t="s">
        <v>141</v>
      </c>
      <c r="K92" s="127" t="s">
        <v>945</v>
      </c>
      <c r="L92" s="129" t="s">
        <v>220</v>
      </c>
      <c r="N92" s="44"/>
      <c r="O92" s="44"/>
    </row>
    <row r="93" spans="4:15" x14ac:dyDescent="0.3">
      <c r="J93" s="129" t="s">
        <v>146</v>
      </c>
      <c r="K93" s="127" t="s">
        <v>211</v>
      </c>
      <c r="L93" s="129" t="s">
        <v>226</v>
      </c>
      <c r="N93" s="44"/>
      <c r="O93" s="44"/>
    </row>
    <row r="94" spans="4:15" x14ac:dyDescent="0.3">
      <c r="J94" s="129" t="s">
        <v>153</v>
      </c>
      <c r="K94" s="127" t="s">
        <v>943</v>
      </c>
      <c r="L94" s="129" t="s">
        <v>232</v>
      </c>
      <c r="N94" s="44"/>
      <c r="O94" s="44"/>
    </row>
    <row r="95" spans="4:15" x14ac:dyDescent="0.3">
      <c r="J95" s="129" t="s">
        <v>158</v>
      </c>
      <c r="K95" s="127" t="s">
        <v>217</v>
      </c>
      <c r="L95" s="129" t="s">
        <v>236</v>
      </c>
      <c r="N95" s="44"/>
      <c r="O95" s="44"/>
    </row>
    <row r="96" spans="4:15" x14ac:dyDescent="0.3">
      <c r="J96" s="129" t="s">
        <v>164</v>
      </c>
      <c r="K96" s="127" t="s">
        <v>224</v>
      </c>
      <c r="L96" s="129" t="s">
        <v>957</v>
      </c>
      <c r="N96" s="44"/>
      <c r="O96" s="44"/>
    </row>
    <row r="97" spans="10:15" x14ac:dyDescent="0.3">
      <c r="J97" s="129" t="s">
        <v>170</v>
      </c>
      <c r="K97" s="127" t="s">
        <v>335</v>
      </c>
      <c r="L97" s="129" t="s">
        <v>251</v>
      </c>
      <c r="N97" s="44"/>
      <c r="O97" s="44"/>
    </row>
    <row r="98" spans="10:15" x14ac:dyDescent="0.3">
      <c r="J98" s="129" t="s">
        <v>175</v>
      </c>
      <c r="K98" s="127" t="s">
        <v>1070</v>
      </c>
      <c r="L98" s="129" t="s">
        <v>253</v>
      </c>
      <c r="N98" s="44"/>
      <c r="O98" s="44"/>
    </row>
    <row r="99" spans="10:15" x14ac:dyDescent="0.3">
      <c r="J99" s="129" t="s">
        <v>182</v>
      </c>
      <c r="K99" s="127" t="s">
        <v>337</v>
      </c>
      <c r="L99" s="129" t="s">
        <v>256</v>
      </c>
      <c r="N99" s="44"/>
      <c r="O99" s="44"/>
    </row>
    <row r="100" spans="10:15" x14ac:dyDescent="0.3">
      <c r="J100" s="129" t="s">
        <v>190</v>
      </c>
      <c r="K100" s="127" t="s">
        <v>339</v>
      </c>
      <c r="L100" s="129" t="s">
        <v>259</v>
      </c>
      <c r="N100" s="44"/>
      <c r="O100" s="44"/>
    </row>
    <row r="101" spans="10:15" x14ac:dyDescent="0.3">
      <c r="J101" s="129" t="s">
        <v>196</v>
      </c>
      <c r="K101" s="127" t="s">
        <v>1071</v>
      </c>
      <c r="L101" s="129" t="s">
        <v>262</v>
      </c>
      <c r="N101" s="44"/>
      <c r="O101" s="44"/>
    </row>
    <row r="102" spans="10:15" x14ac:dyDescent="0.3">
      <c r="J102" s="129" t="s">
        <v>202</v>
      </c>
      <c r="K102" s="127" t="s">
        <v>1072</v>
      </c>
      <c r="L102" s="129" t="s">
        <v>267</v>
      </c>
      <c r="N102" s="44"/>
      <c r="O102" s="44"/>
    </row>
    <row r="103" spans="10:15" x14ac:dyDescent="0.3">
      <c r="J103" s="129" t="s">
        <v>207</v>
      </c>
      <c r="K103" s="127" t="s">
        <v>1073</v>
      </c>
      <c r="L103" s="129" t="s">
        <v>270</v>
      </c>
      <c r="N103" s="44"/>
      <c r="O103" s="44"/>
    </row>
    <row r="104" spans="10:15" x14ac:dyDescent="0.3">
      <c r="J104" s="129" t="s">
        <v>214</v>
      </c>
      <c r="K104" s="127" t="s">
        <v>343</v>
      </c>
      <c r="L104" s="129" t="s">
        <v>272</v>
      </c>
      <c r="N104" s="44"/>
      <c r="O104" s="44"/>
    </row>
    <row r="105" spans="10:15" x14ac:dyDescent="0.3">
      <c r="J105" s="129" t="s">
        <v>215</v>
      </c>
      <c r="K105" s="127" t="s">
        <v>345</v>
      </c>
      <c r="L105" s="129" t="s">
        <v>274</v>
      </c>
      <c r="N105" s="44"/>
      <c r="O105" s="44"/>
    </row>
    <row r="106" spans="10:15" x14ac:dyDescent="0.3">
      <c r="J106" s="129" t="s">
        <v>227</v>
      </c>
      <c r="K106" s="127" t="s">
        <v>347</v>
      </c>
      <c r="L106" s="129" t="s">
        <v>278</v>
      </c>
      <c r="N106" s="44"/>
      <c r="O106" s="44"/>
    </row>
    <row r="107" spans="10:15" x14ac:dyDescent="0.3">
      <c r="J107" s="129" t="s">
        <v>233</v>
      </c>
      <c r="K107" s="127" t="s">
        <v>1074</v>
      </c>
      <c r="L107" s="129" t="s">
        <v>250</v>
      </c>
      <c r="N107" s="44"/>
      <c r="O107" s="44"/>
    </row>
    <row r="108" spans="10:15" x14ac:dyDescent="0.3">
      <c r="J108" s="129" t="s">
        <v>237</v>
      </c>
      <c r="K108" s="127" t="s">
        <v>348</v>
      </c>
      <c r="L108" s="129" t="s">
        <v>250</v>
      </c>
      <c r="N108" s="44"/>
      <c r="O108" s="44"/>
    </row>
    <row r="109" spans="10:15" x14ac:dyDescent="0.3">
      <c r="J109" s="129" t="s">
        <v>956</v>
      </c>
      <c r="K109" s="127" t="s">
        <v>1075</v>
      </c>
      <c r="L109" s="129" t="s">
        <v>951</v>
      </c>
      <c r="N109" s="44"/>
      <c r="O109" s="44"/>
    </row>
    <row r="110" spans="10:15" x14ac:dyDescent="0.3">
      <c r="J110" s="129" t="s">
        <v>1066</v>
      </c>
      <c r="K110" s="127" t="s">
        <v>1076</v>
      </c>
      <c r="L110" s="129" t="s">
        <v>281</v>
      </c>
      <c r="N110" s="44"/>
      <c r="O110" s="44"/>
    </row>
    <row r="111" spans="10:15" x14ac:dyDescent="0.3">
      <c r="J111" s="129" t="s">
        <v>314</v>
      </c>
      <c r="K111" s="127" t="s">
        <v>1077</v>
      </c>
      <c r="L111" s="129" t="s">
        <v>252</v>
      </c>
      <c r="N111" s="44"/>
      <c r="O111" s="44"/>
    </row>
    <row r="112" spans="10:15" x14ac:dyDescent="0.3">
      <c r="J112" s="129" t="s">
        <v>188</v>
      </c>
      <c r="K112" s="127" t="s">
        <v>263</v>
      </c>
      <c r="L112" s="129" t="s">
        <v>255</v>
      </c>
      <c r="N112" s="44"/>
      <c r="O112" s="44"/>
    </row>
    <row r="113" spans="10:15" x14ac:dyDescent="0.3">
      <c r="J113" s="129" t="s">
        <v>194</v>
      </c>
      <c r="K113" s="127" t="s">
        <v>268</v>
      </c>
      <c r="L113" s="129" t="s">
        <v>258</v>
      </c>
      <c r="N113" s="44"/>
      <c r="O113" s="44"/>
    </row>
    <row r="114" spans="10:15" x14ac:dyDescent="0.3">
      <c r="J114" s="129" t="s">
        <v>92</v>
      </c>
      <c r="K114" s="127" t="s">
        <v>1078</v>
      </c>
      <c r="L114" s="129" t="s">
        <v>289</v>
      </c>
      <c r="N114" s="44"/>
      <c r="O114" s="44"/>
    </row>
    <row r="115" spans="10:15" x14ac:dyDescent="0.3">
      <c r="J115" s="129" t="s">
        <v>200</v>
      </c>
      <c r="K115" s="127" t="s">
        <v>1079</v>
      </c>
      <c r="L115" s="129" t="s">
        <v>261</v>
      </c>
      <c r="N115" s="44"/>
      <c r="O115" s="44"/>
    </row>
    <row r="116" spans="10:15" x14ac:dyDescent="0.3">
      <c r="J116" s="129" t="s">
        <v>142</v>
      </c>
      <c r="K116" s="127" t="s">
        <v>349</v>
      </c>
      <c r="L116" s="129" t="s">
        <v>292</v>
      </c>
      <c r="N116" s="44"/>
      <c r="O116" s="44"/>
    </row>
    <row r="117" spans="10:15" x14ac:dyDescent="0.3">
      <c r="J117" s="129" t="s">
        <v>147</v>
      </c>
      <c r="K117" s="127" t="s">
        <v>275</v>
      </c>
      <c r="L117" s="129" t="s">
        <v>294</v>
      </c>
      <c r="N117" s="44"/>
      <c r="O117" s="44"/>
    </row>
    <row r="118" spans="10:15" x14ac:dyDescent="0.3">
      <c r="J118" s="129" t="s">
        <v>154</v>
      </c>
      <c r="K118" s="127" t="s">
        <v>350</v>
      </c>
      <c r="L118" s="129" t="s">
        <v>297</v>
      </c>
      <c r="N118" s="44"/>
      <c r="O118" s="44"/>
    </row>
    <row r="119" spans="10:15" x14ac:dyDescent="0.3">
      <c r="J119" s="129" t="s">
        <v>159</v>
      </c>
      <c r="K119" s="127" t="s">
        <v>351</v>
      </c>
      <c r="L119" s="129" t="s">
        <v>299</v>
      </c>
      <c r="N119" s="44"/>
      <c r="O119" s="44"/>
    </row>
    <row r="120" spans="10:15" x14ac:dyDescent="0.3">
      <c r="J120" s="129" t="s">
        <v>247</v>
      </c>
      <c r="K120" s="127" t="s">
        <v>352</v>
      </c>
      <c r="L120" s="129" t="s">
        <v>301</v>
      </c>
      <c r="N120" s="44"/>
      <c r="O120" s="44"/>
    </row>
    <row r="121" spans="10:15" x14ac:dyDescent="0.3">
      <c r="J121" s="129" t="s">
        <v>205</v>
      </c>
      <c r="K121" s="127" t="s">
        <v>353</v>
      </c>
      <c r="L121" s="129" t="s">
        <v>191</v>
      </c>
      <c r="N121" s="44"/>
      <c r="O121" s="44"/>
    </row>
    <row r="122" spans="10:15" x14ac:dyDescent="0.3">
      <c r="J122" s="129" t="s">
        <v>212</v>
      </c>
      <c r="K122" s="127" t="s">
        <v>845</v>
      </c>
      <c r="L122" s="129" t="s">
        <v>197</v>
      </c>
      <c r="N122" s="44"/>
      <c r="O122" s="44"/>
    </row>
    <row r="123" spans="10:15" x14ac:dyDescent="0.3">
      <c r="J123" s="129" t="s">
        <v>317</v>
      </c>
      <c r="K123" s="127" t="s">
        <v>846</v>
      </c>
      <c r="L123" s="129" t="s">
        <v>304</v>
      </c>
      <c r="N123" s="44"/>
      <c r="O123" s="44"/>
    </row>
    <row r="124" spans="10:15" x14ac:dyDescent="0.3">
      <c r="J124" s="129" t="s">
        <v>219</v>
      </c>
      <c r="K124" s="127" t="s">
        <v>851</v>
      </c>
      <c r="L124" s="129" t="s">
        <v>306</v>
      </c>
      <c r="N124" s="44"/>
      <c r="O124" s="44"/>
    </row>
    <row r="125" spans="10:15" x14ac:dyDescent="0.3">
      <c r="J125" s="129" t="s">
        <v>225</v>
      </c>
      <c r="K125" s="127" t="s">
        <v>847</v>
      </c>
      <c r="L125" s="129" t="s">
        <v>309</v>
      </c>
      <c r="N125" s="44"/>
      <c r="O125" s="44"/>
    </row>
    <row r="126" spans="10:15" x14ac:dyDescent="0.3">
      <c r="J126" s="129" t="s">
        <v>231</v>
      </c>
      <c r="K126" s="127" t="s">
        <v>850</v>
      </c>
      <c r="L126" s="129" t="s">
        <v>311</v>
      </c>
      <c r="N126" s="44"/>
      <c r="O126" s="44"/>
    </row>
    <row r="127" spans="10:15" x14ac:dyDescent="0.3">
      <c r="J127" s="129" t="s">
        <v>235</v>
      </c>
      <c r="L127" s="129" t="s">
        <v>313</v>
      </c>
      <c r="N127" s="44"/>
      <c r="O127" s="44"/>
    </row>
    <row r="128" spans="10:15" x14ac:dyDescent="0.3">
      <c r="J128" s="129" t="s">
        <v>241</v>
      </c>
      <c r="L128" s="129" t="s">
        <v>315</v>
      </c>
      <c r="N128" s="44"/>
      <c r="O128" s="44"/>
    </row>
    <row r="129" spans="10:15" x14ac:dyDescent="0.3">
      <c r="J129" s="129" t="s">
        <v>245</v>
      </c>
      <c r="L129" s="129" t="s">
        <v>321</v>
      </c>
      <c r="N129" s="44"/>
      <c r="O129" s="44"/>
    </row>
    <row r="130" spans="10:15" x14ac:dyDescent="0.3">
      <c r="J130" s="129" t="s">
        <v>319</v>
      </c>
      <c r="L130" s="129" t="s">
        <v>324</v>
      </c>
      <c r="N130" s="44"/>
      <c r="O130" s="44"/>
    </row>
    <row r="131" spans="10:15" x14ac:dyDescent="0.3">
      <c r="J131" s="129" t="s">
        <v>165</v>
      </c>
      <c r="L131" s="129" t="s">
        <v>327</v>
      </c>
      <c r="N131" s="44"/>
      <c r="O131" s="44"/>
    </row>
    <row r="132" spans="10:15" x14ac:dyDescent="0.3">
      <c r="J132" s="129" t="s">
        <v>171</v>
      </c>
      <c r="L132" s="129" t="s">
        <v>329</v>
      </c>
      <c r="N132" s="44"/>
      <c r="O132" s="44"/>
    </row>
    <row r="133" spans="10:15" x14ac:dyDescent="0.3">
      <c r="J133" s="129" t="s">
        <v>176</v>
      </c>
      <c r="L133" s="129" t="s">
        <v>330</v>
      </c>
      <c r="N133" s="44"/>
      <c r="O133" s="44"/>
    </row>
    <row r="134" spans="10:15" x14ac:dyDescent="0.3">
      <c r="J134" s="129" t="s">
        <v>183</v>
      </c>
      <c r="L134" s="129" t="s">
        <v>331</v>
      </c>
      <c r="N134" s="44"/>
      <c r="O134" s="44"/>
    </row>
    <row r="135" spans="10:15" x14ac:dyDescent="0.3">
      <c r="J135" s="129" t="s">
        <v>322</v>
      </c>
      <c r="L135" s="129" t="s">
        <v>333</v>
      </c>
      <c r="N135" s="44"/>
      <c r="O135" s="44"/>
    </row>
    <row r="136" spans="10:15" x14ac:dyDescent="0.3">
      <c r="J136" s="129" t="s">
        <v>325</v>
      </c>
      <c r="L136" s="129" t="s">
        <v>334</v>
      </c>
      <c r="N136" s="44"/>
      <c r="O136" s="44"/>
    </row>
    <row r="137" spans="10:15" x14ac:dyDescent="0.3">
      <c r="J137" s="129" t="s">
        <v>328</v>
      </c>
      <c r="L137" s="129" t="s">
        <v>336</v>
      </c>
      <c r="N137" s="44"/>
      <c r="O137" s="44"/>
    </row>
    <row r="138" spans="10:15" x14ac:dyDescent="0.3">
      <c r="J138" s="129" t="s">
        <v>1067</v>
      </c>
      <c r="L138" s="129" t="s">
        <v>266</v>
      </c>
      <c r="N138" s="44"/>
      <c r="O138" s="44"/>
    </row>
    <row r="139" spans="10:15" x14ac:dyDescent="0.3">
      <c r="J139" s="129" t="s">
        <v>1068</v>
      </c>
      <c r="L139" s="129" t="s">
        <v>269</v>
      </c>
      <c r="N139" s="44"/>
      <c r="O139" s="44"/>
    </row>
    <row r="140" spans="10:15" x14ac:dyDescent="0.3">
      <c r="J140" s="129" t="s">
        <v>332</v>
      </c>
      <c r="L140" s="129" t="s">
        <v>271</v>
      </c>
      <c r="N140" s="44"/>
      <c r="O140" s="44"/>
    </row>
    <row r="141" spans="10:15" x14ac:dyDescent="0.3">
      <c r="J141" s="129" t="s">
        <v>1069</v>
      </c>
      <c r="L141" s="129" t="s">
        <v>273</v>
      </c>
      <c r="N141" s="44"/>
      <c r="O141" s="44"/>
    </row>
    <row r="142" spans="10:15" x14ac:dyDescent="0.3">
      <c r="J142" s="129" t="s">
        <v>100</v>
      </c>
      <c r="L142" s="129" t="s">
        <v>277</v>
      </c>
      <c r="N142" s="44"/>
      <c r="O142" s="44"/>
    </row>
    <row r="143" spans="10:15" x14ac:dyDescent="0.3">
      <c r="J143" s="129" t="s">
        <v>107</v>
      </c>
      <c r="L143" s="129" t="s">
        <v>280</v>
      </c>
      <c r="N143" s="44"/>
      <c r="O143" s="44"/>
    </row>
    <row r="144" spans="10:15" x14ac:dyDescent="0.3">
      <c r="J144" s="129" t="s">
        <v>113</v>
      </c>
      <c r="L144" s="129" t="s">
        <v>283</v>
      </c>
      <c r="N144" s="44"/>
      <c r="O144" s="44"/>
    </row>
    <row r="145" spans="10:15" x14ac:dyDescent="0.3">
      <c r="J145" s="129" t="s">
        <v>119</v>
      </c>
      <c r="L145" s="129" t="s">
        <v>285</v>
      </c>
      <c r="N145" s="44"/>
      <c r="O145" s="44"/>
    </row>
    <row r="146" spans="10:15" x14ac:dyDescent="0.3">
      <c r="J146" s="129" t="s">
        <v>123</v>
      </c>
      <c r="L146" s="129" t="s">
        <v>287</v>
      </c>
      <c r="N146" s="44"/>
      <c r="O146" s="44"/>
    </row>
    <row r="147" spans="10:15" x14ac:dyDescent="0.3">
      <c r="J147" s="129" t="s">
        <v>129</v>
      </c>
      <c r="L147" s="129" t="s">
        <v>288</v>
      </c>
      <c r="N147" s="44"/>
      <c r="O147" s="44"/>
    </row>
    <row r="148" spans="10:15" x14ac:dyDescent="0.3">
      <c r="J148" s="129" t="s">
        <v>134</v>
      </c>
      <c r="L148" s="129" t="s">
        <v>291</v>
      </c>
      <c r="N148" s="44"/>
      <c r="O148" s="44"/>
    </row>
    <row r="149" spans="10:15" x14ac:dyDescent="0.3">
      <c r="J149" s="129" t="s">
        <v>140</v>
      </c>
      <c r="L149" s="129" t="s">
        <v>293</v>
      </c>
      <c r="N149" s="44"/>
      <c r="O149" s="44"/>
    </row>
    <row r="150" spans="10:15" x14ac:dyDescent="0.3">
      <c r="J150" s="129" t="s">
        <v>145</v>
      </c>
      <c r="L150" s="129" t="s">
        <v>1042</v>
      </c>
      <c r="N150" s="44"/>
      <c r="O150" s="44"/>
    </row>
    <row r="151" spans="10:15" x14ac:dyDescent="0.3">
      <c r="J151" s="129" t="s">
        <v>152</v>
      </c>
      <c r="L151" s="129" t="s">
        <v>296</v>
      </c>
      <c r="N151" s="44"/>
      <c r="O151" s="44"/>
    </row>
    <row r="152" spans="10:15" x14ac:dyDescent="0.3">
      <c r="J152" s="129" t="s">
        <v>157</v>
      </c>
      <c r="L152" s="129" t="s">
        <v>203</v>
      </c>
      <c r="N152" s="44"/>
      <c r="O152" s="44"/>
    </row>
    <row r="153" spans="10:15" x14ac:dyDescent="0.3">
      <c r="J153" s="129" t="s">
        <v>163</v>
      </c>
      <c r="L153" s="129" t="s">
        <v>208</v>
      </c>
      <c r="N153" s="44"/>
      <c r="O153" s="44"/>
    </row>
    <row r="154" spans="10:15" x14ac:dyDescent="0.3">
      <c r="J154" s="129" t="s">
        <v>169</v>
      </c>
      <c r="L154" s="129" t="s">
        <v>1081</v>
      </c>
      <c r="N154" s="44"/>
      <c r="O154" s="44"/>
    </row>
    <row r="155" spans="10:15" x14ac:dyDescent="0.3">
      <c r="J155" s="129" t="s">
        <v>174</v>
      </c>
      <c r="L155" s="129" t="s">
        <v>298</v>
      </c>
      <c r="N155" s="44"/>
      <c r="O155" s="44"/>
    </row>
    <row r="156" spans="10:15" x14ac:dyDescent="0.3">
      <c r="J156" s="129" t="s">
        <v>181</v>
      </c>
      <c r="L156" s="129" t="s">
        <v>300</v>
      </c>
      <c r="N156" s="44"/>
      <c r="O156" s="44"/>
    </row>
    <row r="157" spans="10:15" x14ac:dyDescent="0.3">
      <c r="J157" s="129" t="s">
        <v>189</v>
      </c>
      <c r="L157" s="129" t="s">
        <v>696</v>
      </c>
      <c r="N157" s="44"/>
      <c r="O157" s="44"/>
    </row>
    <row r="158" spans="10:15" x14ac:dyDescent="0.3">
      <c r="J158" s="129" t="s">
        <v>195</v>
      </c>
      <c r="L158" s="129" t="s">
        <v>698</v>
      </c>
      <c r="N158" s="44"/>
      <c r="O158" s="44"/>
    </row>
    <row r="159" spans="10:15" x14ac:dyDescent="0.3">
      <c r="J159" s="129" t="s">
        <v>201</v>
      </c>
      <c r="L159" s="129" t="s">
        <v>700</v>
      </c>
      <c r="N159" s="44"/>
      <c r="O159" s="44"/>
    </row>
    <row r="160" spans="10:15" x14ac:dyDescent="0.3">
      <c r="J160" s="129" t="s">
        <v>206</v>
      </c>
      <c r="L160" s="129" t="s">
        <v>702</v>
      </c>
      <c r="N160" s="44"/>
      <c r="O160" s="44"/>
    </row>
    <row r="161" spans="10:15" x14ac:dyDescent="0.3">
      <c r="J161" s="129" t="s">
        <v>213</v>
      </c>
      <c r="L161" s="129" t="s">
        <v>303</v>
      </c>
      <c r="N161" s="44"/>
      <c r="O161" s="44"/>
    </row>
    <row r="162" spans="10:15" x14ac:dyDescent="0.3">
      <c r="J162" s="129" t="s">
        <v>220</v>
      </c>
      <c r="L162" s="129" t="s">
        <v>305</v>
      </c>
      <c r="N162" s="44"/>
      <c r="O162" s="44"/>
    </row>
    <row r="163" spans="10:15" x14ac:dyDescent="0.3">
      <c r="J163" s="129" t="s">
        <v>226</v>
      </c>
      <c r="L163" s="129" t="s">
        <v>308</v>
      </c>
      <c r="N163" s="44"/>
      <c r="O163" s="44"/>
    </row>
    <row r="164" spans="10:15" x14ac:dyDescent="0.3">
      <c r="J164" s="129" t="s">
        <v>232</v>
      </c>
      <c r="L164" s="129" t="s">
        <v>310</v>
      </c>
      <c r="N164" s="44"/>
      <c r="O164" s="44"/>
    </row>
    <row r="165" spans="10:15" x14ac:dyDescent="0.3">
      <c r="J165" s="129" t="s">
        <v>236</v>
      </c>
      <c r="L165" s="129" t="s">
        <v>312</v>
      </c>
      <c r="N165" s="44"/>
      <c r="O165" s="44"/>
    </row>
    <row r="166" spans="10:15" x14ac:dyDescent="0.3">
      <c r="J166" s="129" t="s">
        <v>957</v>
      </c>
      <c r="L166" s="129" t="s">
        <v>1082</v>
      </c>
      <c r="N166" s="44"/>
      <c r="O166" s="44"/>
    </row>
    <row r="167" spans="10:15" x14ac:dyDescent="0.3">
      <c r="J167" s="129" t="s">
        <v>251</v>
      </c>
      <c r="L167" s="129" t="s">
        <v>318</v>
      </c>
      <c r="N167" s="44"/>
      <c r="O167" s="44"/>
    </row>
    <row r="168" spans="10:15" x14ac:dyDescent="0.3">
      <c r="J168" s="129" t="s">
        <v>253</v>
      </c>
      <c r="L168" s="129" t="s">
        <v>238</v>
      </c>
      <c r="N168" s="44"/>
      <c r="O168" s="44"/>
    </row>
    <row r="169" spans="10:15" x14ac:dyDescent="0.3">
      <c r="J169" s="129" t="s">
        <v>256</v>
      </c>
      <c r="L169" s="129" t="s">
        <v>242</v>
      </c>
      <c r="N169" s="44"/>
      <c r="O169" s="44"/>
    </row>
    <row r="170" spans="10:15" x14ac:dyDescent="0.3">
      <c r="J170" s="129" t="s">
        <v>259</v>
      </c>
      <c r="L170" s="129" t="s">
        <v>320</v>
      </c>
      <c r="N170" s="44"/>
      <c r="O170" s="44"/>
    </row>
    <row r="171" spans="10:15" x14ac:dyDescent="0.3">
      <c r="J171" s="129" t="s">
        <v>262</v>
      </c>
      <c r="L171" s="129" t="s">
        <v>246</v>
      </c>
      <c r="N171" s="44"/>
      <c r="O171" s="44"/>
    </row>
    <row r="172" spans="10:15" x14ac:dyDescent="0.3">
      <c r="J172" s="129" t="s">
        <v>267</v>
      </c>
      <c r="L172" s="129" t="s">
        <v>248</v>
      </c>
      <c r="N172" s="44"/>
      <c r="O172" s="44"/>
    </row>
    <row r="173" spans="10:15" x14ac:dyDescent="0.3">
      <c r="J173" s="129" t="s">
        <v>270</v>
      </c>
      <c r="L173" s="129" t="s">
        <v>323</v>
      </c>
      <c r="N173" s="44"/>
      <c r="O173" s="44"/>
    </row>
    <row r="174" spans="10:15" x14ac:dyDescent="0.3">
      <c r="J174" s="129" t="s">
        <v>272</v>
      </c>
      <c r="L174" s="129" t="s">
        <v>341</v>
      </c>
      <c r="N174" s="44"/>
      <c r="O174" s="44"/>
    </row>
    <row r="175" spans="10:15" x14ac:dyDescent="0.3">
      <c r="J175" s="129" t="s">
        <v>274</v>
      </c>
      <c r="L175" s="129" t="s">
        <v>342</v>
      </c>
      <c r="N175" s="44"/>
      <c r="O175" s="44"/>
    </row>
    <row r="176" spans="10:15" x14ac:dyDescent="0.3">
      <c r="J176" s="129" t="s">
        <v>278</v>
      </c>
      <c r="L176" s="129" t="s">
        <v>344</v>
      </c>
      <c r="N176" s="44"/>
      <c r="O176" s="44"/>
    </row>
    <row r="177" spans="10:15" x14ac:dyDescent="0.3">
      <c r="J177" s="129" t="s">
        <v>250</v>
      </c>
      <c r="L177" s="129" t="s">
        <v>326</v>
      </c>
      <c r="N177" s="44"/>
      <c r="O177" s="44"/>
    </row>
    <row r="178" spans="10:15" x14ac:dyDescent="0.3">
      <c r="J178" s="129" t="s">
        <v>951</v>
      </c>
      <c r="L178" s="129" t="s">
        <v>346</v>
      </c>
      <c r="N178" s="44"/>
      <c r="O178" s="44"/>
    </row>
    <row r="179" spans="10:15" x14ac:dyDescent="0.3">
      <c r="J179" s="129" t="s">
        <v>281</v>
      </c>
      <c r="L179" s="129" t="s">
        <v>955</v>
      </c>
      <c r="N179" s="44"/>
      <c r="O179" s="44"/>
    </row>
    <row r="180" spans="10:15" x14ac:dyDescent="0.3">
      <c r="J180" s="129" t="s">
        <v>252</v>
      </c>
      <c r="L180" s="129" t="s">
        <v>845</v>
      </c>
      <c r="N180" s="44"/>
      <c r="O180" s="44"/>
    </row>
    <row r="181" spans="10:15" x14ac:dyDescent="0.3">
      <c r="J181" s="129" t="s">
        <v>255</v>
      </c>
      <c r="L181" s="129" t="s">
        <v>846</v>
      </c>
      <c r="N181" s="44"/>
      <c r="O181" s="44"/>
    </row>
    <row r="182" spans="10:15" x14ac:dyDescent="0.3">
      <c r="J182" s="129" t="s">
        <v>258</v>
      </c>
      <c r="L182" s="129" t="s">
        <v>929</v>
      </c>
      <c r="N182" s="44"/>
      <c r="O182" s="44"/>
    </row>
    <row r="183" spans="10:15" x14ac:dyDescent="0.3">
      <c r="J183" s="129" t="s">
        <v>289</v>
      </c>
      <c r="L183" s="129" t="s">
        <v>848</v>
      </c>
      <c r="N183" s="44"/>
      <c r="O183" s="44"/>
    </row>
    <row r="184" spans="10:15" x14ac:dyDescent="0.3">
      <c r="J184" s="129" t="s">
        <v>261</v>
      </c>
      <c r="L184" s="129" t="s">
        <v>849</v>
      </c>
      <c r="N184" s="44"/>
      <c r="O184" s="44"/>
    </row>
    <row r="185" spans="10:15" x14ac:dyDescent="0.3">
      <c r="J185" s="129" t="s">
        <v>292</v>
      </c>
      <c r="N185" s="44"/>
      <c r="O185" s="44"/>
    </row>
    <row r="186" spans="10:15" x14ac:dyDescent="0.3">
      <c r="J186" s="129" t="s">
        <v>294</v>
      </c>
      <c r="N186" s="44"/>
      <c r="O186" s="44"/>
    </row>
    <row r="187" spans="10:15" x14ac:dyDescent="0.3">
      <c r="J187" s="129" t="s">
        <v>297</v>
      </c>
      <c r="N187" s="44"/>
      <c r="O187" s="44"/>
    </row>
    <row r="188" spans="10:15" x14ac:dyDescent="0.3">
      <c r="J188" s="129" t="s">
        <v>299</v>
      </c>
      <c r="N188" s="44"/>
      <c r="O188" s="44"/>
    </row>
    <row r="189" spans="10:15" x14ac:dyDescent="0.3">
      <c r="J189" s="129" t="s">
        <v>301</v>
      </c>
      <c r="N189" s="44"/>
      <c r="O189" s="44"/>
    </row>
    <row r="190" spans="10:15" x14ac:dyDescent="0.3">
      <c r="J190" s="129" t="s">
        <v>191</v>
      </c>
      <c r="N190" s="44"/>
      <c r="O190" s="44"/>
    </row>
    <row r="191" spans="10:15" x14ac:dyDescent="0.3">
      <c r="J191" s="129" t="s">
        <v>197</v>
      </c>
      <c r="N191" s="44"/>
      <c r="O191" s="44"/>
    </row>
    <row r="192" spans="10:15" x14ac:dyDescent="0.3">
      <c r="J192" s="129" t="s">
        <v>97</v>
      </c>
      <c r="N192" s="44"/>
      <c r="O192" s="44"/>
    </row>
    <row r="193" spans="10:15" x14ac:dyDescent="0.3">
      <c r="J193" s="129" t="s">
        <v>105</v>
      </c>
      <c r="N193" s="44"/>
      <c r="O193" s="44"/>
    </row>
    <row r="194" spans="10:15" x14ac:dyDescent="0.3">
      <c r="J194" s="129" t="s">
        <v>111</v>
      </c>
      <c r="N194" s="44"/>
      <c r="O194" s="44"/>
    </row>
    <row r="195" spans="10:15" x14ac:dyDescent="0.3">
      <c r="J195" s="129" t="s">
        <v>117</v>
      </c>
      <c r="N195" s="44"/>
      <c r="O195" s="44"/>
    </row>
    <row r="196" spans="10:15" x14ac:dyDescent="0.3">
      <c r="J196" s="129" t="s">
        <v>122</v>
      </c>
      <c r="N196" s="44"/>
      <c r="O196" s="44"/>
    </row>
    <row r="197" spans="10:15" x14ac:dyDescent="0.3">
      <c r="J197" s="129" t="s">
        <v>127</v>
      </c>
      <c r="N197" s="44"/>
      <c r="O197" s="44"/>
    </row>
    <row r="198" spans="10:15" x14ac:dyDescent="0.3">
      <c r="J198" s="129" t="s">
        <v>133</v>
      </c>
      <c r="N198" s="44"/>
      <c r="O198" s="44"/>
    </row>
    <row r="199" spans="10:15" x14ac:dyDescent="0.3">
      <c r="J199" s="129" t="s">
        <v>1035</v>
      </c>
      <c r="N199" s="44"/>
      <c r="O199" s="44"/>
    </row>
    <row r="200" spans="10:15" x14ac:dyDescent="0.3">
      <c r="J200" s="129" t="s">
        <v>1036</v>
      </c>
      <c r="N200" s="44"/>
      <c r="O200" s="44"/>
    </row>
    <row r="201" spans="10:15" x14ac:dyDescent="0.3">
      <c r="J201" s="129" t="s">
        <v>138</v>
      </c>
      <c r="N201" s="44"/>
      <c r="O201" s="44"/>
    </row>
    <row r="202" spans="10:15" x14ac:dyDescent="0.3">
      <c r="J202" s="129" t="s">
        <v>144</v>
      </c>
      <c r="N202" s="44"/>
      <c r="O202" s="44"/>
    </row>
    <row r="203" spans="10:15" x14ac:dyDescent="0.3">
      <c r="J203" s="129" t="s">
        <v>149</v>
      </c>
      <c r="N203" s="44"/>
      <c r="O203" s="44"/>
    </row>
    <row r="204" spans="10:15" x14ac:dyDescent="0.3">
      <c r="J204" s="129" t="s">
        <v>156</v>
      </c>
      <c r="N204" s="44"/>
      <c r="O204" s="44"/>
    </row>
    <row r="205" spans="10:15" x14ac:dyDescent="0.3">
      <c r="J205" s="129" t="s">
        <v>160</v>
      </c>
      <c r="N205" s="44"/>
      <c r="O205" s="44"/>
    </row>
    <row r="206" spans="10:15" x14ac:dyDescent="0.3">
      <c r="J206" s="129" t="s">
        <v>166</v>
      </c>
      <c r="N206" s="44"/>
      <c r="O206" s="44"/>
    </row>
    <row r="207" spans="10:15" x14ac:dyDescent="0.3">
      <c r="J207" s="129" t="s">
        <v>172</v>
      </c>
      <c r="N207" s="44"/>
      <c r="O207" s="44"/>
    </row>
    <row r="208" spans="10:15" x14ac:dyDescent="0.3">
      <c r="J208" s="129" t="s">
        <v>944</v>
      </c>
      <c r="N208" s="44"/>
      <c r="O208" s="44"/>
    </row>
    <row r="209" spans="10:15" x14ac:dyDescent="0.3">
      <c r="J209" s="129" t="s">
        <v>178</v>
      </c>
      <c r="N209" s="44"/>
      <c r="O209" s="44"/>
    </row>
    <row r="210" spans="10:15" x14ac:dyDescent="0.3">
      <c r="J210" s="129" t="s">
        <v>941</v>
      </c>
      <c r="N210" s="44"/>
      <c r="O210" s="44"/>
    </row>
    <row r="211" spans="10:15" x14ac:dyDescent="0.3">
      <c r="J211" s="129" t="s">
        <v>186</v>
      </c>
      <c r="N211" s="44"/>
      <c r="O211" s="44"/>
    </row>
    <row r="212" spans="10:15" x14ac:dyDescent="0.3">
      <c r="J212" s="129" t="s">
        <v>192</v>
      </c>
      <c r="N212" s="44"/>
      <c r="O212" s="44"/>
    </row>
    <row r="213" spans="10:15" x14ac:dyDescent="0.3">
      <c r="J213" s="129" t="s">
        <v>199</v>
      </c>
      <c r="N213" s="44"/>
      <c r="O213" s="44"/>
    </row>
    <row r="214" spans="10:15" x14ac:dyDescent="0.3">
      <c r="J214" s="129" t="s">
        <v>942</v>
      </c>
      <c r="N214" s="44"/>
      <c r="O214" s="44"/>
    </row>
    <row r="215" spans="10:15" x14ac:dyDescent="0.3">
      <c r="J215" s="129" t="s">
        <v>204</v>
      </c>
      <c r="N215" s="44"/>
      <c r="O215" s="44"/>
    </row>
    <row r="216" spans="10:15" x14ac:dyDescent="0.3">
      <c r="J216" s="129" t="s">
        <v>945</v>
      </c>
      <c r="N216" s="44"/>
      <c r="O216" s="44"/>
    </row>
    <row r="217" spans="10:15" x14ac:dyDescent="0.3">
      <c r="J217" s="129" t="s">
        <v>211</v>
      </c>
      <c r="N217" s="44"/>
      <c r="O217" s="44"/>
    </row>
    <row r="218" spans="10:15" x14ac:dyDescent="0.3">
      <c r="J218" s="129" t="s">
        <v>943</v>
      </c>
      <c r="N218" s="44"/>
      <c r="O218" s="44"/>
    </row>
    <row r="219" spans="10:15" x14ac:dyDescent="0.3">
      <c r="J219" s="129" t="s">
        <v>217</v>
      </c>
      <c r="N219" s="44"/>
      <c r="O219" s="44"/>
    </row>
    <row r="220" spans="10:15" x14ac:dyDescent="0.3">
      <c r="J220" s="129" t="s">
        <v>224</v>
      </c>
      <c r="N220" s="44"/>
      <c r="O220" s="44"/>
    </row>
    <row r="221" spans="10:15" x14ac:dyDescent="0.3">
      <c r="J221" s="129" t="s">
        <v>304</v>
      </c>
      <c r="N221" s="44"/>
      <c r="O221" s="44"/>
    </row>
    <row r="222" spans="10:15" x14ac:dyDescent="0.3">
      <c r="J222" s="129" t="s">
        <v>306</v>
      </c>
      <c r="N222" s="44"/>
      <c r="O222" s="44"/>
    </row>
    <row r="223" spans="10:15" x14ac:dyDescent="0.3">
      <c r="J223" s="129" t="s">
        <v>309</v>
      </c>
      <c r="N223" s="44"/>
      <c r="O223" s="44"/>
    </row>
    <row r="224" spans="10:15" x14ac:dyDescent="0.3">
      <c r="J224" s="129" t="s">
        <v>311</v>
      </c>
      <c r="N224" s="44"/>
      <c r="O224" s="44"/>
    </row>
    <row r="225" spans="10:15" x14ac:dyDescent="0.3">
      <c r="J225" s="129" t="s">
        <v>313</v>
      </c>
      <c r="N225" s="44"/>
      <c r="O225" s="44"/>
    </row>
    <row r="226" spans="10:15" x14ac:dyDescent="0.3">
      <c r="J226" s="129" t="s">
        <v>315</v>
      </c>
      <c r="N226" s="44"/>
      <c r="O226" s="44"/>
    </row>
    <row r="227" spans="10:15" x14ac:dyDescent="0.3">
      <c r="J227" s="129" t="s">
        <v>321</v>
      </c>
      <c r="N227" s="44"/>
      <c r="O227" s="44"/>
    </row>
    <row r="228" spans="10:15" x14ac:dyDescent="0.3">
      <c r="J228" s="129" t="s">
        <v>335</v>
      </c>
      <c r="N228" s="44"/>
      <c r="O228" s="44"/>
    </row>
    <row r="229" spans="10:15" x14ac:dyDescent="0.3">
      <c r="J229" s="129" t="s">
        <v>1070</v>
      </c>
      <c r="N229" s="44"/>
      <c r="O229" s="44"/>
    </row>
    <row r="230" spans="10:15" x14ac:dyDescent="0.3">
      <c r="J230" s="129" t="s">
        <v>324</v>
      </c>
      <c r="N230" s="44"/>
      <c r="O230" s="44"/>
    </row>
    <row r="231" spans="10:15" x14ac:dyDescent="0.3">
      <c r="J231" s="129" t="s">
        <v>327</v>
      </c>
      <c r="N231" s="44"/>
      <c r="O231" s="44"/>
    </row>
    <row r="232" spans="10:15" x14ac:dyDescent="0.3">
      <c r="J232" s="129" t="s">
        <v>329</v>
      </c>
      <c r="N232" s="44"/>
      <c r="O232" s="44"/>
    </row>
    <row r="233" spans="10:15" x14ac:dyDescent="0.3">
      <c r="J233" s="129" t="s">
        <v>330</v>
      </c>
      <c r="N233" s="44"/>
      <c r="O233" s="44"/>
    </row>
    <row r="234" spans="10:15" x14ac:dyDescent="0.3">
      <c r="J234" s="129" t="s">
        <v>331</v>
      </c>
      <c r="N234" s="44"/>
      <c r="O234" s="44"/>
    </row>
    <row r="235" spans="10:15" x14ac:dyDescent="0.3">
      <c r="J235" s="129" t="s">
        <v>333</v>
      </c>
      <c r="N235" s="44"/>
      <c r="O235" s="44"/>
    </row>
    <row r="236" spans="10:15" x14ac:dyDescent="0.3">
      <c r="J236" s="129" t="s">
        <v>334</v>
      </c>
      <c r="N236" s="44"/>
      <c r="O236" s="44"/>
    </row>
    <row r="237" spans="10:15" x14ac:dyDescent="0.3">
      <c r="J237" s="129" t="s">
        <v>336</v>
      </c>
      <c r="N237" s="44"/>
      <c r="O237" s="44"/>
    </row>
    <row r="238" spans="10:15" x14ac:dyDescent="0.3">
      <c r="J238" s="129" t="s">
        <v>337</v>
      </c>
      <c r="N238" s="44"/>
      <c r="O238" s="44"/>
    </row>
    <row r="239" spans="10:15" x14ac:dyDescent="0.3">
      <c r="J239" s="129" t="s">
        <v>339</v>
      </c>
      <c r="N239" s="44"/>
      <c r="O239" s="44"/>
    </row>
    <row r="240" spans="10:15" x14ac:dyDescent="0.3">
      <c r="J240" s="129" t="s">
        <v>1071</v>
      </c>
      <c r="N240" s="44"/>
      <c r="O240" s="44"/>
    </row>
    <row r="241" spans="10:15" x14ac:dyDescent="0.3">
      <c r="J241" s="129" t="s">
        <v>1072</v>
      </c>
      <c r="N241" s="44"/>
      <c r="O241" s="44"/>
    </row>
    <row r="242" spans="10:15" x14ac:dyDescent="0.3">
      <c r="J242" s="129" t="s">
        <v>1073</v>
      </c>
      <c r="N242" s="44"/>
      <c r="O242" s="44"/>
    </row>
    <row r="243" spans="10:15" x14ac:dyDescent="0.3">
      <c r="J243" s="129" t="s">
        <v>343</v>
      </c>
      <c r="N243" s="44"/>
      <c r="O243" s="44"/>
    </row>
    <row r="244" spans="10:15" x14ac:dyDescent="0.3">
      <c r="J244" s="129" t="s">
        <v>345</v>
      </c>
      <c r="N244" s="44"/>
      <c r="O244" s="44"/>
    </row>
    <row r="245" spans="10:15" x14ac:dyDescent="0.3">
      <c r="J245" s="129" t="s">
        <v>347</v>
      </c>
      <c r="N245" s="44"/>
      <c r="O245" s="44"/>
    </row>
    <row r="246" spans="10:15" x14ac:dyDescent="0.3">
      <c r="J246" s="129" t="s">
        <v>1074</v>
      </c>
      <c r="N246" s="44"/>
      <c r="O246" s="44"/>
    </row>
    <row r="247" spans="10:15" x14ac:dyDescent="0.3">
      <c r="J247" s="129" t="s">
        <v>348</v>
      </c>
      <c r="N247" s="44"/>
      <c r="O247" s="44"/>
    </row>
    <row r="248" spans="10:15" x14ac:dyDescent="0.3">
      <c r="J248" s="129" t="s">
        <v>1075</v>
      </c>
      <c r="N248" s="44"/>
      <c r="O248" s="44"/>
    </row>
    <row r="249" spans="10:15" x14ac:dyDescent="0.3">
      <c r="J249" s="129" t="s">
        <v>1076</v>
      </c>
      <c r="N249" s="44"/>
      <c r="O249" s="44"/>
    </row>
    <row r="250" spans="10:15" x14ac:dyDescent="0.3">
      <c r="J250" s="129" t="s">
        <v>1077</v>
      </c>
      <c r="N250" s="44"/>
      <c r="O250" s="44"/>
    </row>
    <row r="251" spans="10:15" x14ac:dyDescent="0.3">
      <c r="J251" s="129" t="s">
        <v>263</v>
      </c>
      <c r="N251" s="44"/>
      <c r="O251" s="44"/>
    </row>
    <row r="252" spans="10:15" x14ac:dyDescent="0.3">
      <c r="J252" s="129" t="s">
        <v>268</v>
      </c>
      <c r="N252" s="44"/>
      <c r="O252" s="44"/>
    </row>
    <row r="253" spans="10:15" x14ac:dyDescent="0.3">
      <c r="J253" s="129" t="s">
        <v>1078</v>
      </c>
      <c r="N253" s="44"/>
      <c r="O253" s="44"/>
    </row>
    <row r="254" spans="10:15" x14ac:dyDescent="0.3">
      <c r="J254" s="129" t="s">
        <v>1079</v>
      </c>
      <c r="N254" s="44"/>
      <c r="O254" s="44"/>
    </row>
    <row r="255" spans="10:15" x14ac:dyDescent="0.3">
      <c r="J255" s="129" t="s">
        <v>266</v>
      </c>
      <c r="N255" s="44"/>
      <c r="O255" s="44"/>
    </row>
    <row r="256" spans="10:15" x14ac:dyDescent="0.3">
      <c r="J256" s="129" t="s">
        <v>269</v>
      </c>
      <c r="N256" s="44"/>
      <c r="O256" s="44"/>
    </row>
    <row r="257" spans="10:15" x14ac:dyDescent="0.3">
      <c r="J257" s="129" t="s">
        <v>271</v>
      </c>
      <c r="N257" s="44"/>
      <c r="O257" s="44"/>
    </row>
    <row r="258" spans="10:15" x14ac:dyDescent="0.3">
      <c r="J258" s="129" t="s">
        <v>273</v>
      </c>
      <c r="N258" s="44"/>
      <c r="O258" s="44"/>
    </row>
    <row r="259" spans="10:15" x14ac:dyDescent="0.3">
      <c r="J259" s="129" t="s">
        <v>277</v>
      </c>
      <c r="N259" s="44"/>
      <c r="O259" s="44"/>
    </row>
    <row r="260" spans="10:15" x14ac:dyDescent="0.3">
      <c r="J260" s="129" t="s">
        <v>280</v>
      </c>
      <c r="N260" s="44"/>
      <c r="O260" s="44"/>
    </row>
    <row r="261" spans="10:15" x14ac:dyDescent="0.3">
      <c r="J261" s="129" t="s">
        <v>283</v>
      </c>
      <c r="N261" s="44"/>
      <c r="O261" s="44"/>
    </row>
    <row r="262" spans="10:15" x14ac:dyDescent="0.3">
      <c r="J262" s="129" t="s">
        <v>285</v>
      </c>
      <c r="N262" s="44"/>
      <c r="O262" s="44"/>
    </row>
    <row r="263" spans="10:15" x14ac:dyDescent="0.3">
      <c r="J263" s="129" t="s">
        <v>287</v>
      </c>
      <c r="N263" s="44"/>
      <c r="O263" s="44"/>
    </row>
    <row r="264" spans="10:15" x14ac:dyDescent="0.3">
      <c r="J264" s="129" t="s">
        <v>288</v>
      </c>
      <c r="N264" s="44"/>
      <c r="O264" s="44"/>
    </row>
    <row r="265" spans="10:15" x14ac:dyDescent="0.3">
      <c r="J265" s="129" t="s">
        <v>291</v>
      </c>
      <c r="N265" s="44"/>
      <c r="O265" s="44"/>
    </row>
    <row r="266" spans="10:15" x14ac:dyDescent="0.3">
      <c r="J266" s="129" t="s">
        <v>293</v>
      </c>
      <c r="N266" s="44"/>
      <c r="O266" s="44"/>
    </row>
    <row r="267" spans="10:15" x14ac:dyDescent="0.3">
      <c r="J267" s="129" t="s">
        <v>1042</v>
      </c>
      <c r="N267" s="44"/>
      <c r="O267" s="44"/>
    </row>
    <row r="268" spans="10:15" x14ac:dyDescent="0.3">
      <c r="J268" s="129" t="s">
        <v>296</v>
      </c>
      <c r="N268" s="44"/>
      <c r="O268" s="44"/>
    </row>
    <row r="269" spans="10:15" x14ac:dyDescent="0.3">
      <c r="J269" s="129" t="s">
        <v>203</v>
      </c>
      <c r="N269" s="44"/>
      <c r="O269" s="44"/>
    </row>
    <row r="270" spans="10:15" x14ac:dyDescent="0.3">
      <c r="J270" s="129" t="s">
        <v>208</v>
      </c>
      <c r="N270" s="44"/>
      <c r="O270" s="44"/>
    </row>
    <row r="271" spans="10:15" x14ac:dyDescent="0.3">
      <c r="J271" s="129" t="s">
        <v>1081</v>
      </c>
      <c r="N271" s="44"/>
      <c r="O271" s="44"/>
    </row>
    <row r="272" spans="10:15" x14ac:dyDescent="0.3">
      <c r="J272" s="129" t="s">
        <v>298</v>
      </c>
      <c r="N272" s="44"/>
      <c r="O272" s="44"/>
    </row>
    <row r="273" spans="10:15" x14ac:dyDescent="0.3">
      <c r="J273" s="129" t="s">
        <v>300</v>
      </c>
      <c r="N273" s="44"/>
      <c r="O273" s="44"/>
    </row>
    <row r="274" spans="10:15" x14ac:dyDescent="0.3">
      <c r="J274" s="129" t="s">
        <v>349</v>
      </c>
      <c r="N274" s="44"/>
      <c r="O274" s="44"/>
    </row>
    <row r="275" spans="10:15" x14ac:dyDescent="0.3">
      <c r="J275" s="129" t="s">
        <v>275</v>
      </c>
      <c r="N275" s="44"/>
      <c r="O275" s="44"/>
    </row>
    <row r="276" spans="10:15" x14ac:dyDescent="0.3">
      <c r="J276" s="129" t="s">
        <v>696</v>
      </c>
      <c r="N276" s="44"/>
      <c r="O276" s="44"/>
    </row>
    <row r="277" spans="10:15" x14ac:dyDescent="0.3">
      <c r="J277" s="129" t="s">
        <v>698</v>
      </c>
      <c r="N277" s="44"/>
      <c r="O277" s="44"/>
    </row>
    <row r="278" spans="10:15" x14ac:dyDescent="0.3">
      <c r="J278" s="129" t="s">
        <v>700</v>
      </c>
      <c r="N278" s="44"/>
      <c r="O278" s="44"/>
    </row>
    <row r="279" spans="10:15" x14ac:dyDescent="0.3">
      <c r="J279" s="129" t="s">
        <v>702</v>
      </c>
      <c r="N279" s="44"/>
      <c r="O279" s="44"/>
    </row>
    <row r="280" spans="10:15" x14ac:dyDescent="0.3">
      <c r="J280" s="129" t="s">
        <v>303</v>
      </c>
      <c r="N280" s="44"/>
      <c r="O280" s="44"/>
    </row>
    <row r="281" spans="10:15" x14ac:dyDescent="0.3">
      <c r="J281" s="129" t="s">
        <v>305</v>
      </c>
      <c r="N281" s="44"/>
      <c r="O281" s="44"/>
    </row>
    <row r="282" spans="10:15" x14ac:dyDescent="0.3">
      <c r="J282" s="129" t="s">
        <v>308</v>
      </c>
      <c r="N282" s="44"/>
      <c r="O282" s="44"/>
    </row>
    <row r="283" spans="10:15" x14ac:dyDescent="0.3">
      <c r="J283" s="129" t="s">
        <v>310</v>
      </c>
      <c r="N283" s="44"/>
      <c r="O283" s="44"/>
    </row>
    <row r="284" spans="10:15" x14ac:dyDescent="0.3">
      <c r="J284" s="129" t="s">
        <v>312</v>
      </c>
      <c r="N284" s="44"/>
      <c r="O284" s="44"/>
    </row>
    <row r="285" spans="10:15" x14ac:dyDescent="0.3">
      <c r="J285" s="129" t="s">
        <v>1082</v>
      </c>
      <c r="N285" s="44"/>
      <c r="O285" s="44"/>
    </row>
    <row r="286" spans="10:15" x14ac:dyDescent="0.3">
      <c r="J286" s="129" t="s">
        <v>318</v>
      </c>
      <c r="N286" s="44"/>
      <c r="O286" s="44"/>
    </row>
    <row r="287" spans="10:15" x14ac:dyDescent="0.3">
      <c r="J287" s="129" t="s">
        <v>238</v>
      </c>
      <c r="N287" s="44"/>
      <c r="O287" s="44"/>
    </row>
    <row r="288" spans="10:15" x14ac:dyDescent="0.3">
      <c r="J288" s="129" t="s">
        <v>242</v>
      </c>
      <c r="N288" s="44"/>
      <c r="O288" s="44"/>
    </row>
    <row r="289" spans="10:15" x14ac:dyDescent="0.3">
      <c r="J289" s="129" t="s">
        <v>320</v>
      </c>
      <c r="N289" s="44"/>
      <c r="O289" s="44"/>
    </row>
    <row r="290" spans="10:15" x14ac:dyDescent="0.3">
      <c r="J290" s="129" t="s">
        <v>246</v>
      </c>
      <c r="N290" s="44"/>
      <c r="O290" s="44"/>
    </row>
    <row r="291" spans="10:15" x14ac:dyDescent="0.3">
      <c r="J291" s="129" t="s">
        <v>248</v>
      </c>
      <c r="N291" s="44"/>
      <c r="O291" s="44"/>
    </row>
    <row r="292" spans="10:15" x14ac:dyDescent="0.3">
      <c r="J292" s="129" t="s">
        <v>350</v>
      </c>
      <c r="N292" s="44"/>
      <c r="O292" s="44"/>
    </row>
    <row r="293" spans="10:15" x14ac:dyDescent="0.3">
      <c r="J293" s="129" t="s">
        <v>351</v>
      </c>
      <c r="N293" s="44"/>
      <c r="O293" s="44"/>
    </row>
    <row r="294" spans="10:15" x14ac:dyDescent="0.3">
      <c r="J294" s="129" t="s">
        <v>352</v>
      </c>
      <c r="N294" s="44"/>
      <c r="O294" s="44"/>
    </row>
    <row r="295" spans="10:15" x14ac:dyDescent="0.3">
      <c r="J295" s="129" t="s">
        <v>353</v>
      </c>
      <c r="N295" s="44"/>
      <c r="O295" s="44"/>
    </row>
    <row r="296" spans="10:15" x14ac:dyDescent="0.3">
      <c r="J296" s="129" t="s">
        <v>323</v>
      </c>
      <c r="N296" s="44"/>
      <c r="O296" s="44"/>
    </row>
    <row r="297" spans="10:15" x14ac:dyDescent="0.3">
      <c r="J297" s="129" t="s">
        <v>341</v>
      </c>
      <c r="N297" s="44"/>
      <c r="O297" s="44"/>
    </row>
    <row r="298" spans="10:15" x14ac:dyDescent="0.3">
      <c r="J298" s="129" t="s">
        <v>342</v>
      </c>
      <c r="N298" s="44"/>
      <c r="O298" s="44"/>
    </row>
    <row r="299" spans="10:15" x14ac:dyDescent="0.3">
      <c r="J299" s="129" t="s">
        <v>344</v>
      </c>
      <c r="N299" s="44"/>
      <c r="O299" s="44"/>
    </row>
    <row r="300" spans="10:15" x14ac:dyDescent="0.3">
      <c r="J300" s="129" t="s">
        <v>326</v>
      </c>
      <c r="N300" s="44"/>
      <c r="O300" s="44"/>
    </row>
    <row r="301" spans="10:15" x14ac:dyDescent="0.3">
      <c r="J301" s="129" t="s">
        <v>346</v>
      </c>
      <c r="N301" s="44"/>
      <c r="O301" s="44"/>
    </row>
    <row r="302" spans="10:15" x14ac:dyDescent="0.3">
      <c r="J302" s="129" t="s">
        <v>940</v>
      </c>
      <c r="N302" s="44"/>
      <c r="O302" s="44"/>
    </row>
    <row r="303" spans="10:15" x14ac:dyDescent="0.3">
      <c r="J303" s="129" t="s">
        <v>737</v>
      </c>
      <c r="N303" s="44"/>
      <c r="O303" s="44"/>
    </row>
    <row r="304" spans="10:15" x14ac:dyDescent="0.3">
      <c r="J304" s="129" t="s">
        <v>955</v>
      </c>
      <c r="N304" s="44"/>
      <c r="O304" s="44"/>
    </row>
    <row r="305" spans="10:15" x14ac:dyDescent="0.3">
      <c r="J305" s="129" t="s">
        <v>845</v>
      </c>
      <c r="N305" s="44"/>
      <c r="O305" s="44"/>
    </row>
    <row r="306" spans="10:15" x14ac:dyDescent="0.3">
      <c r="J306" s="129" t="s">
        <v>846</v>
      </c>
      <c r="N306" s="44"/>
      <c r="O306" s="44"/>
    </row>
    <row r="307" spans="10:15" x14ac:dyDescent="0.3">
      <c r="J307" s="129" t="s">
        <v>929</v>
      </c>
      <c r="N307" s="44"/>
      <c r="O307" s="44"/>
    </row>
    <row r="308" spans="10:15" x14ac:dyDescent="0.3">
      <c r="J308" s="129" t="s">
        <v>848</v>
      </c>
      <c r="N308" s="44"/>
      <c r="O308" s="44"/>
    </row>
    <row r="309" spans="10:15" x14ac:dyDescent="0.3">
      <c r="J309" s="129" t="s">
        <v>851</v>
      </c>
      <c r="N309" s="44"/>
      <c r="O309" s="44"/>
    </row>
    <row r="310" spans="10:15" x14ac:dyDescent="0.3">
      <c r="J310" s="129" t="s">
        <v>847</v>
      </c>
      <c r="N310" s="44"/>
      <c r="O310" s="44"/>
    </row>
    <row r="311" spans="10:15" x14ac:dyDescent="0.3">
      <c r="J311" s="129" t="s">
        <v>850</v>
      </c>
      <c r="N311" s="44"/>
      <c r="O311" s="44"/>
    </row>
    <row r="312" spans="10:15" x14ac:dyDescent="0.3">
      <c r="J312" s="129" t="s">
        <v>849</v>
      </c>
      <c r="N312" s="44"/>
      <c r="O312" s="44"/>
    </row>
    <row r="313" spans="10:15" x14ac:dyDescent="0.3">
      <c r="N313" s="44"/>
      <c r="O313" s="44"/>
    </row>
    <row r="314" spans="10:15" x14ac:dyDescent="0.3">
      <c r="N314" s="44"/>
      <c r="O314" s="44"/>
    </row>
    <row r="315" spans="10:15" x14ac:dyDescent="0.3">
      <c r="N315" s="44"/>
      <c r="O315" s="44"/>
    </row>
    <row r="316" spans="10:15" x14ac:dyDescent="0.3">
      <c r="N316" s="44"/>
      <c r="O316" s="44"/>
    </row>
    <row r="317" spans="10:15" x14ac:dyDescent="0.3">
      <c r="N317" s="44"/>
      <c r="O317" s="44"/>
    </row>
    <row r="318" spans="10:15" x14ac:dyDescent="0.3">
      <c r="N318" s="44"/>
      <c r="O318" s="44"/>
    </row>
    <row r="319" spans="10:15" x14ac:dyDescent="0.3">
      <c r="N319" s="44"/>
      <c r="O319" s="44"/>
    </row>
    <row r="320" spans="10:15" x14ac:dyDescent="0.3">
      <c r="N320" s="44"/>
      <c r="O320" s="44"/>
    </row>
    <row r="321" spans="14:15" x14ac:dyDescent="0.3">
      <c r="N321" s="44"/>
      <c r="O321" s="44"/>
    </row>
    <row r="322" spans="14:15" x14ac:dyDescent="0.3">
      <c r="N322" s="44"/>
      <c r="O322" s="44"/>
    </row>
    <row r="323" spans="14:15" x14ac:dyDescent="0.3">
      <c r="N323" s="44"/>
      <c r="O323" s="44"/>
    </row>
    <row r="324" spans="14:15" x14ac:dyDescent="0.3">
      <c r="N324" s="44"/>
      <c r="O324" s="44"/>
    </row>
    <row r="325" spans="14:15" x14ac:dyDescent="0.3">
      <c r="N325" s="44"/>
      <c r="O325" s="44"/>
    </row>
    <row r="326" spans="14:15" x14ac:dyDescent="0.3">
      <c r="N326" s="44"/>
      <c r="O326" s="44"/>
    </row>
    <row r="327" spans="14:15" x14ac:dyDescent="0.3">
      <c r="N327" s="44"/>
      <c r="O327" s="44"/>
    </row>
    <row r="328" spans="14:15" x14ac:dyDescent="0.3">
      <c r="N328" s="44"/>
      <c r="O328" s="44"/>
    </row>
    <row r="329" spans="14:15" x14ac:dyDescent="0.3">
      <c r="N329" s="44"/>
      <c r="O329" s="44"/>
    </row>
    <row r="330" spans="14:15" x14ac:dyDescent="0.3">
      <c r="N330" s="44"/>
      <c r="O330" s="44"/>
    </row>
    <row r="331" spans="14:15" x14ac:dyDescent="0.3">
      <c r="N331" s="44"/>
      <c r="O331" s="44"/>
    </row>
    <row r="332" spans="14:15" x14ac:dyDescent="0.3">
      <c r="N332" s="44"/>
      <c r="O332" s="44"/>
    </row>
    <row r="333" spans="14:15" x14ac:dyDescent="0.3">
      <c r="N333" s="44"/>
      <c r="O333" s="44"/>
    </row>
    <row r="334" spans="14:15" x14ac:dyDescent="0.3">
      <c r="N334" s="44"/>
      <c r="O334" s="44"/>
    </row>
    <row r="335" spans="14:15" x14ac:dyDescent="0.3">
      <c r="N335" s="44"/>
      <c r="O335" s="44"/>
    </row>
    <row r="336" spans="14:15" x14ac:dyDescent="0.3">
      <c r="N336" s="44"/>
      <c r="O336" s="44"/>
    </row>
    <row r="337" spans="14:15" x14ac:dyDescent="0.3">
      <c r="N337" s="44"/>
      <c r="O337" s="44"/>
    </row>
    <row r="338" spans="14:15" x14ac:dyDescent="0.3">
      <c r="N338" s="44"/>
      <c r="O338" s="44"/>
    </row>
    <row r="339" spans="14:15" x14ac:dyDescent="0.3">
      <c r="N339" s="44"/>
      <c r="O339" s="44"/>
    </row>
    <row r="340" spans="14:15" x14ac:dyDescent="0.3">
      <c r="N340" s="44"/>
      <c r="O340" s="44"/>
    </row>
    <row r="341" spans="14:15" x14ac:dyDescent="0.3">
      <c r="N341" s="44"/>
      <c r="O341" s="44"/>
    </row>
    <row r="342" spans="14:15" x14ac:dyDescent="0.3">
      <c r="N342" s="44"/>
      <c r="O342" s="44"/>
    </row>
    <row r="343" spans="14:15" x14ac:dyDescent="0.3">
      <c r="N343" s="44"/>
      <c r="O343" s="44"/>
    </row>
    <row r="344" spans="14:15" x14ac:dyDescent="0.3">
      <c r="N344" s="44"/>
      <c r="O344" s="44"/>
    </row>
    <row r="345" spans="14:15" x14ac:dyDescent="0.3">
      <c r="N345" s="44"/>
      <c r="O345" s="44"/>
    </row>
    <row r="346" spans="14:15" x14ac:dyDescent="0.3">
      <c r="N346" s="44"/>
      <c r="O346" s="44"/>
    </row>
    <row r="347" spans="14:15" x14ac:dyDescent="0.3">
      <c r="N347" s="44"/>
      <c r="O347" s="44"/>
    </row>
    <row r="348" spans="14:15" x14ac:dyDescent="0.3">
      <c r="N348" s="44"/>
      <c r="O348" s="44"/>
    </row>
    <row r="349" spans="14:15" x14ac:dyDescent="0.3">
      <c r="N349" s="44"/>
      <c r="O349" s="44"/>
    </row>
    <row r="350" spans="14:15" x14ac:dyDescent="0.3">
      <c r="N350" s="44"/>
      <c r="O350" s="44"/>
    </row>
  </sheetData>
  <sheetProtection password="CA97" sheet="1" objects="1" scenarios="1"/>
  <sortState ref="L178:L183">
    <sortCondition ref="L178"/>
  </sortState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C00000"/>
  </sheetPr>
  <dimension ref="A1:Q45"/>
  <sheetViews>
    <sheetView topLeftCell="A13" workbookViewId="0">
      <selection activeCell="C35" sqref="C35"/>
    </sheetView>
  </sheetViews>
  <sheetFormatPr defaultRowHeight="14.4" x14ac:dyDescent="0.3"/>
  <sheetData>
    <row r="1" spans="1:17" x14ac:dyDescent="0.25">
      <c r="A1" s="97" t="s">
        <v>87</v>
      </c>
      <c r="B1" s="96"/>
      <c r="C1" s="96"/>
      <c r="D1" s="96"/>
      <c r="E1" s="96"/>
      <c r="F1" s="96"/>
      <c r="G1" s="96"/>
      <c r="H1" s="1"/>
      <c r="J1" s="98" t="s">
        <v>198</v>
      </c>
      <c r="K1" s="96"/>
      <c r="L1" s="96"/>
      <c r="M1" s="96"/>
      <c r="N1" s="96"/>
      <c r="O1" s="96"/>
      <c r="P1" s="96"/>
      <c r="Q1" s="1"/>
    </row>
    <row r="2" spans="1:17" x14ac:dyDescent="0.25">
      <c r="A2" s="96"/>
      <c r="B2" s="96"/>
      <c r="C2" s="96"/>
      <c r="D2" s="96"/>
      <c r="E2" s="96"/>
      <c r="F2" s="96"/>
      <c r="G2" s="96"/>
      <c r="H2" s="1"/>
      <c r="J2" s="1"/>
      <c r="K2" s="95"/>
      <c r="L2" s="95"/>
      <c r="M2" s="95"/>
      <c r="N2" s="96"/>
      <c r="O2" s="96"/>
      <c r="P2" s="96"/>
      <c r="Q2" s="1"/>
    </row>
    <row r="3" spans="1:17" x14ac:dyDescent="0.25">
      <c r="A3" s="8"/>
      <c r="B3" s="8"/>
      <c r="C3" s="8"/>
      <c r="D3" s="8"/>
      <c r="E3" s="8"/>
      <c r="F3" s="8"/>
      <c r="G3" s="8"/>
      <c r="H3" s="1"/>
      <c r="J3" s="1"/>
      <c r="K3" s="1"/>
      <c r="L3" s="1"/>
      <c r="M3" s="1"/>
      <c r="N3" s="96"/>
      <c r="O3" s="96"/>
      <c r="P3" s="96"/>
      <c r="Q3" s="1"/>
    </row>
    <row r="4" spans="1:17" x14ac:dyDescent="0.25">
      <c r="A4" s="8" t="s">
        <v>94</v>
      </c>
      <c r="B4" s="8" t="s">
        <v>1025</v>
      </c>
      <c r="C4" s="8"/>
      <c r="D4" s="8"/>
      <c r="E4" s="8"/>
      <c r="F4" s="8"/>
      <c r="G4" s="8"/>
      <c r="H4" s="1"/>
      <c r="J4" s="12" t="s">
        <v>8</v>
      </c>
      <c r="K4" s="12" t="s">
        <v>209</v>
      </c>
      <c r="L4" s="13" t="s">
        <v>210</v>
      </c>
      <c r="M4" s="13"/>
      <c r="N4" s="96"/>
      <c r="O4" s="96"/>
      <c r="P4" s="96"/>
      <c r="Q4" s="1"/>
    </row>
    <row r="5" spans="1:17" x14ac:dyDescent="0.25">
      <c r="A5" s="8" t="s">
        <v>102</v>
      </c>
      <c r="B5" s="8" t="s">
        <v>1026</v>
      </c>
      <c r="C5" s="8"/>
      <c r="D5" s="8"/>
      <c r="E5" s="8"/>
      <c r="F5" s="8"/>
      <c r="G5" s="8"/>
      <c r="H5" s="1"/>
      <c r="J5" s="14"/>
      <c r="K5" s="14"/>
      <c r="L5" s="13"/>
      <c r="M5" s="13"/>
      <c r="N5" s="96"/>
      <c r="O5" s="96"/>
      <c r="P5" s="96"/>
      <c r="Q5" s="1"/>
    </row>
    <row r="6" spans="1:17" x14ac:dyDescent="0.25">
      <c r="A6" s="8" t="s">
        <v>75</v>
      </c>
      <c r="B6" s="8" t="s">
        <v>1022</v>
      </c>
      <c r="C6" s="8"/>
      <c r="D6" s="8"/>
      <c r="E6" s="8"/>
      <c r="F6" s="8"/>
      <c r="G6" s="8"/>
      <c r="H6" s="1"/>
      <c r="J6" s="13" t="s">
        <v>222</v>
      </c>
      <c r="K6" s="13">
        <v>1</v>
      </c>
      <c r="L6" s="13" t="s">
        <v>223</v>
      </c>
      <c r="M6" s="13"/>
      <c r="N6" s="96"/>
      <c r="O6" s="96"/>
      <c r="P6" s="96"/>
      <c r="Q6" s="1"/>
    </row>
    <row r="7" spans="1:17" x14ac:dyDescent="0.25">
      <c r="A7" s="8" t="s">
        <v>76</v>
      </c>
      <c r="B7" s="8" t="s">
        <v>732</v>
      </c>
      <c r="C7" s="8"/>
      <c r="D7" s="8"/>
      <c r="E7" s="8"/>
      <c r="F7" s="8"/>
      <c r="G7" s="8"/>
      <c r="H7" s="1"/>
      <c r="J7" s="13" t="s">
        <v>228</v>
      </c>
      <c r="K7" s="13">
        <v>2</v>
      </c>
      <c r="L7" s="13" t="s">
        <v>229</v>
      </c>
      <c r="M7" s="13"/>
      <c r="N7" s="96"/>
      <c r="O7" s="96"/>
      <c r="P7" s="96"/>
      <c r="Q7" s="1"/>
    </row>
    <row r="8" spans="1:17" x14ac:dyDescent="0.25">
      <c r="A8" s="8" t="s">
        <v>77</v>
      </c>
      <c r="B8" s="8" t="s">
        <v>1023</v>
      </c>
      <c r="C8" s="8"/>
      <c r="D8" s="8"/>
      <c r="E8" s="8"/>
      <c r="F8" s="8"/>
      <c r="G8" s="8"/>
      <c r="H8" s="1"/>
      <c r="J8" s="13" t="s">
        <v>234</v>
      </c>
      <c r="K8" s="13">
        <v>3</v>
      </c>
      <c r="L8" s="13" t="s">
        <v>47</v>
      </c>
      <c r="M8" s="13"/>
      <c r="N8" s="96"/>
      <c r="O8" s="96"/>
      <c r="P8" s="96"/>
      <c r="Q8" s="1"/>
    </row>
    <row r="9" spans="1:17" x14ac:dyDescent="0.25">
      <c r="A9" s="8" t="s">
        <v>78</v>
      </c>
      <c r="B9" s="8" t="s">
        <v>1027</v>
      </c>
      <c r="C9" s="8"/>
      <c r="D9" s="8"/>
      <c r="E9" s="8"/>
      <c r="F9" s="8"/>
      <c r="G9" s="8"/>
      <c r="H9" s="1"/>
      <c r="J9" s="13" t="s">
        <v>239</v>
      </c>
      <c r="K9" s="13">
        <v>4</v>
      </c>
      <c r="L9" s="13"/>
      <c r="M9" s="13"/>
      <c r="N9" s="96"/>
      <c r="O9" s="96"/>
      <c r="P9" s="96"/>
      <c r="Q9" s="1"/>
    </row>
    <row r="10" spans="1:17" x14ac:dyDescent="0.25">
      <c r="A10" s="8" t="s">
        <v>79</v>
      </c>
      <c r="B10" s="8" t="s">
        <v>1028</v>
      </c>
      <c r="C10" s="8"/>
      <c r="D10" s="8"/>
      <c r="E10" s="8"/>
      <c r="F10" s="8"/>
      <c r="G10" s="8"/>
      <c r="H10" s="1"/>
      <c r="J10" s="13" t="s">
        <v>243</v>
      </c>
      <c r="K10" s="13"/>
      <c r="L10" s="13"/>
      <c r="M10" s="13"/>
      <c r="N10" s="96"/>
      <c r="O10" s="96"/>
      <c r="P10" s="96"/>
      <c r="Q10" s="1"/>
    </row>
    <row r="11" spans="1:17" x14ac:dyDescent="0.25">
      <c r="A11" s="8" t="s">
        <v>80</v>
      </c>
      <c r="B11" s="8" t="s">
        <v>143</v>
      </c>
      <c r="C11" s="8"/>
      <c r="D11" s="8"/>
      <c r="E11" s="8"/>
      <c r="F11" s="8"/>
      <c r="G11" s="8"/>
      <c r="H11" s="1"/>
      <c r="J11" s="13" t="s">
        <v>43</v>
      </c>
      <c r="K11" s="13"/>
      <c r="L11" s="13"/>
      <c r="M11" s="13"/>
      <c r="N11" s="96"/>
      <c r="O11" s="96"/>
      <c r="P11" s="96"/>
      <c r="Q11" s="1"/>
    </row>
    <row r="12" spans="1:17" x14ac:dyDescent="0.25">
      <c r="A12" s="8" t="s">
        <v>81</v>
      </c>
      <c r="B12" s="8" t="s">
        <v>148</v>
      </c>
      <c r="C12" s="8"/>
      <c r="D12" s="8"/>
      <c r="E12" s="8"/>
      <c r="F12" s="8"/>
      <c r="G12" s="8"/>
      <c r="H12" s="1"/>
      <c r="J12" s="13" t="s">
        <v>47</v>
      </c>
      <c r="K12" s="13"/>
      <c r="L12" s="13"/>
      <c r="M12" s="13"/>
      <c r="N12" s="96"/>
      <c r="O12" s="96"/>
      <c r="P12" s="96"/>
      <c r="Q12" s="1"/>
    </row>
    <row r="13" spans="1:17" x14ac:dyDescent="0.25">
      <c r="A13" s="8" t="s">
        <v>82</v>
      </c>
      <c r="B13" s="8" t="s">
        <v>155</v>
      </c>
      <c r="C13" s="8"/>
      <c r="D13" s="8"/>
      <c r="E13" s="8"/>
      <c r="F13" s="8"/>
      <c r="G13" s="8"/>
      <c r="H13" s="1"/>
      <c r="J13" s="13"/>
      <c r="K13" s="13"/>
      <c r="L13" s="13"/>
      <c r="M13" s="13"/>
      <c r="N13" s="96"/>
      <c r="O13" s="96"/>
      <c r="P13" s="96"/>
      <c r="Q13" s="1"/>
    </row>
    <row r="14" spans="1:17" x14ac:dyDescent="0.25">
      <c r="A14" s="8" t="s">
        <v>83</v>
      </c>
      <c r="B14" s="8" t="s">
        <v>1024</v>
      </c>
      <c r="C14" s="8"/>
      <c r="D14" s="8"/>
      <c r="E14" s="8"/>
      <c r="F14" s="8"/>
      <c r="G14" s="8"/>
      <c r="H14" s="1"/>
      <c r="J14" s="13"/>
      <c r="K14" s="13"/>
      <c r="L14" s="13"/>
      <c r="M14" s="13"/>
      <c r="N14" s="96"/>
      <c r="O14" s="96"/>
      <c r="P14" s="96"/>
      <c r="Q14" s="1"/>
    </row>
    <row r="15" spans="1:17" x14ac:dyDescent="0.25">
      <c r="A15" s="8" t="s">
        <v>84</v>
      </c>
      <c r="B15" s="8" t="s">
        <v>1089</v>
      </c>
      <c r="C15" s="8"/>
      <c r="D15" s="8"/>
      <c r="E15" s="8"/>
      <c r="F15" s="8"/>
      <c r="G15" s="8"/>
      <c r="H15" s="1"/>
      <c r="J15" s="13"/>
      <c r="K15" s="13"/>
      <c r="L15" s="13"/>
      <c r="M15" s="13"/>
      <c r="N15" s="96"/>
      <c r="O15" s="96"/>
      <c r="P15" s="96"/>
      <c r="Q15" s="1"/>
    </row>
    <row r="16" spans="1:17" x14ac:dyDescent="0.25">
      <c r="A16" s="8" t="s">
        <v>85</v>
      </c>
      <c r="B16" s="8" t="s">
        <v>177</v>
      </c>
      <c r="C16" s="8"/>
      <c r="D16" s="8"/>
      <c r="E16" s="8"/>
      <c r="F16" s="8"/>
      <c r="G16" s="8"/>
      <c r="H16" s="1"/>
      <c r="J16" s="13" t="s">
        <v>260</v>
      </c>
      <c r="K16" s="13"/>
      <c r="L16" s="13"/>
      <c r="M16" s="13"/>
      <c r="N16" s="96"/>
      <c r="O16" s="96"/>
      <c r="P16" s="96"/>
      <c r="Q16" s="1"/>
    </row>
    <row r="17" spans="1:17" x14ac:dyDescent="0.25">
      <c r="A17" s="8" t="s">
        <v>86</v>
      </c>
      <c r="B17" s="8" t="s">
        <v>928</v>
      </c>
      <c r="C17" s="8"/>
      <c r="D17" s="8"/>
      <c r="E17" s="8"/>
      <c r="F17" s="8"/>
      <c r="G17" s="8"/>
      <c r="H17" s="1"/>
      <c r="J17" s="13" t="s">
        <v>264</v>
      </c>
      <c r="K17" s="13"/>
      <c r="L17" s="13"/>
      <c r="M17" s="13"/>
      <c r="N17" s="96"/>
      <c r="O17" s="96"/>
      <c r="P17" s="96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J18" s="13"/>
      <c r="K18" s="13"/>
      <c r="L18" s="13"/>
      <c r="M18" s="13"/>
      <c r="N18" s="96"/>
      <c r="O18" s="96"/>
      <c r="P18" s="96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J19" s="13"/>
      <c r="K19" s="13"/>
      <c r="L19" s="13"/>
      <c r="M19" s="13"/>
      <c r="N19" s="96"/>
      <c r="O19" s="96"/>
      <c r="P19" s="96"/>
      <c r="Q19" s="1"/>
    </row>
    <row r="20" spans="1:17" x14ac:dyDescent="0.25">
      <c r="A20" s="7" t="s">
        <v>185</v>
      </c>
      <c r="B20" s="7"/>
      <c r="C20" s="7"/>
      <c r="D20" s="7"/>
      <c r="E20" s="7"/>
      <c r="F20" s="7"/>
      <c r="G20" s="7"/>
      <c r="H20" s="113"/>
      <c r="J20" s="7" t="s">
        <v>185</v>
      </c>
      <c r="K20" s="7"/>
      <c r="L20" s="7"/>
      <c r="M20" s="7"/>
      <c r="N20" s="7"/>
      <c r="O20" s="7"/>
      <c r="P20" s="7"/>
      <c r="Q20" s="113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J21" s="98" t="s">
        <v>198</v>
      </c>
      <c r="K21" s="96"/>
      <c r="L21" s="96"/>
      <c r="M21" s="96"/>
      <c r="N21" s="96"/>
      <c r="O21" s="96"/>
      <c r="P21" s="96"/>
      <c r="Q21" s="1"/>
    </row>
    <row r="22" spans="1:17" x14ac:dyDescent="0.25">
      <c r="A22" s="15" t="s">
        <v>853</v>
      </c>
      <c r="B22" s="8"/>
      <c r="C22" s="8"/>
      <c r="D22" s="1"/>
      <c r="E22" s="15" t="s">
        <v>852</v>
      </c>
      <c r="F22" s="8"/>
      <c r="G22" s="8"/>
      <c r="H22" s="1"/>
      <c r="J22" s="1"/>
      <c r="K22" s="95"/>
      <c r="L22" s="95"/>
      <c r="M22" s="95"/>
      <c r="N22" s="96"/>
      <c r="O22" s="96"/>
      <c r="P22" s="96"/>
      <c r="Q22" s="1"/>
    </row>
    <row r="23" spans="1:17" x14ac:dyDescent="0.25">
      <c r="A23" s="8"/>
      <c r="B23" s="8"/>
      <c r="C23" s="8"/>
      <c r="D23" s="1"/>
      <c r="E23" s="8"/>
      <c r="F23" s="8"/>
      <c r="G23" s="8"/>
      <c r="H23" s="1"/>
      <c r="J23" s="1"/>
      <c r="K23" s="1"/>
      <c r="L23" s="1"/>
      <c r="M23" s="1"/>
      <c r="N23" s="96"/>
      <c r="O23" s="96"/>
      <c r="P23" s="96"/>
      <c r="Q23" s="1"/>
    </row>
    <row r="24" spans="1:17" x14ac:dyDescent="0.25">
      <c r="A24" s="8"/>
      <c r="B24" s="8"/>
      <c r="C24" s="8"/>
      <c r="D24" s="1"/>
      <c r="E24" s="8"/>
      <c r="F24" s="8"/>
      <c r="G24" s="8"/>
      <c r="H24" s="1"/>
      <c r="J24" s="12" t="s">
        <v>8</v>
      </c>
      <c r="K24" s="12" t="s">
        <v>209</v>
      </c>
      <c r="L24" s="13"/>
      <c r="M24" s="13"/>
      <c r="N24" s="96"/>
      <c r="O24" s="96"/>
      <c r="P24" s="96"/>
      <c r="Q24" s="1"/>
    </row>
    <row r="25" spans="1:17" x14ac:dyDescent="0.25">
      <c r="A25" s="8" t="s">
        <v>284</v>
      </c>
      <c r="B25" s="8"/>
      <c r="C25" s="8"/>
      <c r="D25" s="1"/>
      <c r="E25" s="8" t="s">
        <v>284</v>
      </c>
      <c r="F25" s="8"/>
      <c r="G25" s="8"/>
      <c r="H25" s="1"/>
      <c r="J25" s="14"/>
      <c r="K25" s="14"/>
      <c r="L25" s="13"/>
      <c r="M25" s="13"/>
      <c r="N25" s="96"/>
      <c r="O25" s="96"/>
      <c r="P25" s="96"/>
      <c r="Q25" s="1"/>
    </row>
    <row r="26" spans="1:17" x14ac:dyDescent="0.25">
      <c r="A26" s="8" t="s">
        <v>729</v>
      </c>
      <c r="B26" s="8"/>
      <c r="C26" s="8"/>
      <c r="D26" s="1"/>
      <c r="E26" s="8" t="s">
        <v>816</v>
      </c>
      <c r="F26" s="8"/>
      <c r="G26" s="8"/>
      <c r="H26" s="1"/>
      <c r="J26" s="13" t="s">
        <v>222</v>
      </c>
      <c r="K26" s="13">
        <v>1</v>
      </c>
      <c r="L26" s="13"/>
      <c r="M26" s="13"/>
      <c r="N26" s="96"/>
      <c r="O26" s="96"/>
      <c r="P26" s="96"/>
      <c r="Q26" s="1"/>
    </row>
    <row r="27" spans="1:17" x14ac:dyDescent="0.25">
      <c r="A27" s="8" t="s">
        <v>730</v>
      </c>
      <c r="B27" s="8"/>
      <c r="C27" s="8"/>
      <c r="D27" s="1"/>
      <c r="E27" s="8" t="s">
        <v>817</v>
      </c>
      <c r="F27" s="8"/>
      <c r="G27" s="8"/>
      <c r="H27" s="1"/>
      <c r="J27" s="13" t="s">
        <v>228</v>
      </c>
      <c r="K27" s="13">
        <v>2</v>
      </c>
      <c r="L27" s="13"/>
      <c r="M27" s="13"/>
      <c r="N27" s="96"/>
      <c r="O27" s="96"/>
      <c r="P27" s="96"/>
      <c r="Q27" s="1"/>
    </row>
    <row r="28" spans="1:17" x14ac:dyDescent="0.25">
      <c r="A28" s="8" t="s">
        <v>731</v>
      </c>
      <c r="B28" s="8"/>
      <c r="C28" s="8"/>
      <c r="D28" s="1"/>
      <c r="E28" s="8" t="s">
        <v>818</v>
      </c>
      <c r="F28" s="8"/>
      <c r="G28" s="8"/>
      <c r="H28" s="1"/>
      <c r="J28" s="13" t="s">
        <v>234</v>
      </c>
      <c r="K28" s="13">
        <v>3</v>
      </c>
      <c r="L28" s="13"/>
      <c r="M28" s="13"/>
      <c r="N28" s="96"/>
      <c r="O28" s="96"/>
      <c r="P28" s="96"/>
      <c r="Q28" s="1"/>
    </row>
    <row r="29" spans="1:17" x14ac:dyDescent="0.25">
      <c r="A29" s="8" t="s">
        <v>116</v>
      </c>
      <c r="B29" s="8"/>
      <c r="C29" s="8"/>
      <c r="D29" s="1"/>
      <c r="E29" s="8" t="s">
        <v>819</v>
      </c>
      <c r="F29" s="8"/>
      <c r="G29" s="8"/>
      <c r="H29" s="1"/>
      <c r="J29" s="13" t="s">
        <v>239</v>
      </c>
      <c r="K29" s="13">
        <v>4</v>
      </c>
      <c r="L29" s="13"/>
      <c r="M29" s="13"/>
      <c r="N29" s="96"/>
      <c r="O29" s="96"/>
      <c r="P29" s="96"/>
      <c r="Q29" s="1"/>
    </row>
    <row r="30" spans="1:17" x14ac:dyDescent="0.25">
      <c r="A30" s="8" t="s">
        <v>732</v>
      </c>
      <c r="B30" s="8"/>
      <c r="C30" s="8"/>
      <c r="D30" s="1"/>
      <c r="E30" s="8" t="s">
        <v>820</v>
      </c>
      <c r="F30" s="8"/>
      <c r="G30" s="8"/>
      <c r="H30" s="1"/>
      <c r="J30" s="13" t="s">
        <v>1148</v>
      </c>
      <c r="K30" s="13"/>
      <c r="L30" s="13"/>
      <c r="M30" s="13"/>
      <c r="N30" s="96"/>
      <c r="O30" s="96"/>
      <c r="P30" s="96"/>
      <c r="Q30" s="1"/>
    </row>
    <row r="31" spans="1:17" x14ac:dyDescent="0.25">
      <c r="A31" s="8" t="s">
        <v>733</v>
      </c>
      <c r="B31" s="8"/>
      <c r="C31" s="8"/>
      <c r="D31" s="1"/>
      <c r="E31" s="8" t="s">
        <v>821</v>
      </c>
      <c r="F31" s="8"/>
      <c r="G31" s="8"/>
      <c r="H31" s="1"/>
      <c r="J31" s="13"/>
      <c r="K31" s="13"/>
      <c r="L31" s="13"/>
      <c r="M31" s="13"/>
      <c r="N31" s="96"/>
      <c r="O31" s="96"/>
      <c r="P31" s="96"/>
      <c r="Q31" s="1"/>
    </row>
    <row r="32" spans="1:17" x14ac:dyDescent="0.25">
      <c r="A32" s="8" t="s">
        <v>734</v>
      </c>
      <c r="B32" s="8"/>
      <c r="C32" s="8"/>
      <c r="D32" s="1"/>
      <c r="E32" s="8" t="s">
        <v>822</v>
      </c>
      <c r="F32" s="8"/>
      <c r="G32" s="8"/>
      <c r="H32" s="1"/>
      <c r="J32" s="13"/>
      <c r="K32" s="13"/>
      <c r="L32" s="13"/>
      <c r="M32" s="13"/>
      <c r="N32" s="96"/>
      <c r="O32" s="96"/>
      <c r="P32" s="96"/>
      <c r="Q32" s="1"/>
    </row>
    <row r="33" spans="1:17" x14ac:dyDescent="0.25">
      <c r="A33" s="8"/>
      <c r="B33" s="8"/>
      <c r="C33" s="8"/>
      <c r="D33" s="1"/>
      <c r="E33" s="8" t="s">
        <v>823</v>
      </c>
      <c r="F33" s="8"/>
      <c r="G33" s="8"/>
      <c r="H33" s="1"/>
      <c r="J33" s="13"/>
      <c r="K33" s="13"/>
      <c r="L33" s="13"/>
      <c r="M33" s="13"/>
      <c r="N33" s="96"/>
      <c r="O33" s="96"/>
      <c r="P33" s="96"/>
      <c r="Q33" s="1"/>
    </row>
    <row r="34" spans="1:17" x14ac:dyDescent="0.25">
      <c r="A34" s="8"/>
      <c r="B34" s="8"/>
      <c r="C34" s="8"/>
      <c r="D34" s="16"/>
      <c r="E34" s="8" t="s">
        <v>824</v>
      </c>
      <c r="F34" s="8"/>
      <c r="G34" s="8"/>
      <c r="H34" s="1"/>
      <c r="J34" s="13"/>
      <c r="K34" s="13"/>
      <c r="L34" s="13"/>
      <c r="M34" s="13"/>
      <c r="N34" s="96"/>
      <c r="O34" s="96"/>
      <c r="P34" s="96"/>
      <c r="Q34" s="1"/>
    </row>
    <row r="35" spans="1:17" x14ac:dyDescent="0.25">
      <c r="A35" s="8"/>
      <c r="B35" s="8"/>
      <c r="C35" s="8"/>
      <c r="D35" s="1"/>
      <c r="E35" s="8" t="s">
        <v>825</v>
      </c>
      <c r="F35" s="8"/>
      <c r="G35" s="8"/>
      <c r="H35" s="1"/>
      <c r="J35" s="13"/>
      <c r="K35" s="13"/>
      <c r="L35" s="13"/>
      <c r="M35" s="13"/>
      <c r="N35" s="96"/>
      <c r="O35" s="96"/>
      <c r="P35" s="96"/>
      <c r="Q35" s="1"/>
    </row>
    <row r="36" spans="1:17" x14ac:dyDescent="0.25">
      <c r="A36" s="8"/>
      <c r="B36" s="8"/>
      <c r="C36" s="8"/>
      <c r="D36" s="1"/>
      <c r="E36" s="8" t="s">
        <v>826</v>
      </c>
      <c r="F36" s="8"/>
      <c r="G36" s="8"/>
      <c r="H36" s="1"/>
      <c r="J36" s="13" t="s">
        <v>260</v>
      </c>
      <c r="K36" s="13"/>
      <c r="L36" s="13"/>
      <c r="M36" s="13"/>
      <c r="N36" s="96"/>
      <c r="O36" s="96"/>
      <c r="P36" s="96"/>
      <c r="Q36" s="1"/>
    </row>
    <row r="37" spans="1:17" x14ac:dyDescent="0.25">
      <c r="A37" s="8"/>
      <c r="B37" s="8"/>
      <c r="C37" s="8"/>
      <c r="D37" s="1"/>
      <c r="E37" s="8" t="s">
        <v>827</v>
      </c>
      <c r="F37" s="8"/>
      <c r="G37" s="8"/>
      <c r="H37" s="1"/>
      <c r="J37" s="13" t="s">
        <v>264</v>
      </c>
      <c r="K37" s="13"/>
      <c r="L37" s="13"/>
      <c r="M37" s="13"/>
      <c r="N37" s="96"/>
      <c r="O37" s="96"/>
      <c r="P37" s="96"/>
      <c r="Q37" s="1"/>
    </row>
    <row r="38" spans="1:17" x14ac:dyDescent="0.25">
      <c r="A38" s="8"/>
      <c r="B38" s="8"/>
      <c r="C38" s="8"/>
      <c r="D38" s="1"/>
      <c r="E38" s="8" t="s">
        <v>828</v>
      </c>
      <c r="F38" s="8"/>
      <c r="G38" s="8"/>
      <c r="H38" s="1"/>
      <c r="J38" s="13"/>
      <c r="K38" s="13"/>
      <c r="L38" s="13"/>
      <c r="M38" s="13"/>
      <c r="N38" s="96"/>
      <c r="O38" s="96"/>
      <c r="P38" s="96"/>
      <c r="Q38" s="1"/>
    </row>
    <row r="39" spans="1:17" x14ac:dyDescent="0.25">
      <c r="A39" s="8"/>
      <c r="B39" s="8"/>
      <c r="C39" s="8"/>
      <c r="D39" s="1"/>
      <c r="E39" s="8" t="s">
        <v>829</v>
      </c>
      <c r="F39" s="8"/>
      <c r="G39" s="8"/>
      <c r="H39" s="1"/>
      <c r="J39" s="13"/>
      <c r="K39" s="13"/>
      <c r="L39" s="13"/>
      <c r="M39" s="13"/>
      <c r="N39" s="96"/>
      <c r="O39" s="96"/>
      <c r="P39" s="96"/>
      <c r="Q39" s="1"/>
    </row>
    <row r="40" spans="1:17" x14ac:dyDescent="0.25">
      <c r="A40" s="8"/>
      <c r="B40" s="8"/>
      <c r="C40" s="8"/>
      <c r="D40" s="1"/>
      <c r="E40" s="8" t="s">
        <v>830</v>
      </c>
      <c r="F40" s="8"/>
      <c r="G40" s="8"/>
      <c r="H40" s="1"/>
      <c r="J40" s="7" t="s">
        <v>185</v>
      </c>
      <c r="K40" s="7"/>
      <c r="L40" s="7"/>
      <c r="M40" s="7"/>
      <c r="N40" s="7"/>
      <c r="O40" s="7"/>
      <c r="P40" s="7"/>
      <c r="Q40" s="113"/>
    </row>
    <row r="41" spans="1:17" x14ac:dyDescent="0.25">
      <c r="A41" s="8"/>
      <c r="B41" s="8"/>
      <c r="C41" s="8"/>
      <c r="D41" s="1"/>
      <c r="E41" s="8" t="s">
        <v>831</v>
      </c>
      <c r="F41" s="8"/>
      <c r="G41" s="8"/>
      <c r="H41" s="1"/>
    </row>
    <row r="42" spans="1:17" x14ac:dyDescent="0.25">
      <c r="A42" s="8"/>
      <c r="B42" s="8"/>
      <c r="C42" s="8"/>
      <c r="D42" s="1"/>
      <c r="E42" s="8" t="s">
        <v>832</v>
      </c>
      <c r="F42" s="8"/>
      <c r="G42" s="8"/>
      <c r="H42" s="1"/>
    </row>
    <row r="43" spans="1:17" x14ac:dyDescent="0.25">
      <c r="A43" s="8"/>
      <c r="B43" s="8"/>
      <c r="C43" s="8"/>
      <c r="D43" s="1"/>
      <c r="E43" s="8"/>
      <c r="F43" s="8"/>
      <c r="G43" s="8"/>
      <c r="H43" s="1"/>
    </row>
    <row r="44" spans="1:17" x14ac:dyDescent="0.25">
      <c r="A44" s="8"/>
      <c r="B44" s="8"/>
      <c r="C44" s="8"/>
      <c r="D44" s="1"/>
      <c r="E44" s="8"/>
      <c r="F44" s="8"/>
      <c r="G44" s="8"/>
      <c r="H44" s="1"/>
    </row>
    <row r="45" spans="1:17" x14ac:dyDescent="0.25">
      <c r="A45" s="7" t="s">
        <v>185</v>
      </c>
      <c r="B45" s="7"/>
      <c r="C45" s="7"/>
      <c r="D45" s="7"/>
      <c r="E45" s="7"/>
      <c r="F45" s="7"/>
      <c r="G45" s="7"/>
      <c r="H45" s="113"/>
    </row>
  </sheetData>
  <sheetProtection password="CA97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45</vt:i4>
      </vt:variant>
    </vt:vector>
  </HeadingPairs>
  <TitlesOfParts>
    <vt:vector size="55" baseType="lpstr">
      <vt:lpstr>Menu</vt:lpstr>
      <vt:lpstr>Arts</vt:lpstr>
      <vt:lpstr>Science</vt:lpstr>
      <vt:lpstr>Example</vt:lpstr>
      <vt:lpstr>GPA</vt:lpstr>
      <vt:lpstr>Courses</vt:lpstr>
      <vt:lpstr>Focus</vt:lpstr>
      <vt:lpstr>Help</vt:lpstr>
      <vt:lpstr>M1</vt:lpstr>
      <vt:lpstr>M2</vt:lpstr>
      <vt:lpstr>AAFOCUS</vt:lpstr>
      <vt:lpstr>AALink</vt:lpstr>
      <vt:lpstr>ASFOCUS</vt:lpstr>
      <vt:lpstr>ASLink</vt:lpstr>
      <vt:lpstr>AUDITINFO</vt:lpstr>
      <vt:lpstr>CATA</vt:lpstr>
      <vt:lpstr>CATB</vt:lpstr>
      <vt:lpstr>CATC</vt:lpstr>
      <vt:lpstr>CATD</vt:lpstr>
      <vt:lpstr>CATE</vt:lpstr>
      <vt:lpstr>CATEGORYI</vt:lpstr>
      <vt:lpstr>CATEGORYII</vt:lpstr>
      <vt:lpstr>CATEGORYIII</vt:lpstr>
      <vt:lpstr>CATF</vt:lpstr>
      <vt:lpstr>CATG</vt:lpstr>
      <vt:lpstr>CATH</vt:lpstr>
      <vt:lpstr>CATI</vt:lpstr>
      <vt:lpstr>CATJ</vt:lpstr>
      <vt:lpstr>CATK</vt:lpstr>
      <vt:lpstr>CATL</vt:lpstr>
      <vt:lpstr>CATM</vt:lpstr>
      <vt:lpstr>COLORCODE</vt:lpstr>
      <vt:lpstr>COMPONENTS</vt:lpstr>
      <vt:lpstr>CourseList</vt:lpstr>
      <vt:lpstr>CREDIT</vt:lpstr>
      <vt:lpstr>CROSSLISTING</vt:lpstr>
      <vt:lpstr>CROSSWALK</vt:lpstr>
      <vt:lpstr>ExampleLink</vt:lpstr>
      <vt:lpstr>FocusAreas</vt:lpstr>
      <vt:lpstr>FocusMenu</vt:lpstr>
      <vt:lpstr>GPACalc</vt:lpstr>
      <vt:lpstr>GPACredit</vt:lpstr>
      <vt:lpstr>GPAGrade</vt:lpstr>
      <vt:lpstr>GRADE</vt:lpstr>
      <vt:lpstr>GRADEKEY</vt:lpstr>
      <vt:lpstr>HelpSec</vt:lpstr>
      <vt:lpstr>HOWTO</vt:lpstr>
      <vt:lpstr>Arts!Print_Area</vt:lpstr>
      <vt:lpstr>Example!Print_Area</vt:lpstr>
      <vt:lpstr>Science!Print_Area</vt:lpstr>
      <vt:lpstr>QUICKLINK</vt:lpstr>
      <vt:lpstr>REQHELP</vt:lpstr>
      <vt:lpstr>RESTRICTIONS</vt:lpstr>
      <vt:lpstr>STATUS</vt:lpstr>
      <vt:lpstr>TRNIPS</vt:lpstr>
    </vt:vector>
  </TitlesOfParts>
  <Company>Bluegrass Community and Technical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Hoskins, Barbara A (Bluegrass)</cp:lastModifiedBy>
  <cp:lastPrinted>2012-02-10T21:00:48Z</cp:lastPrinted>
  <dcterms:created xsi:type="dcterms:W3CDTF">2010-10-27T19:47:43Z</dcterms:created>
  <dcterms:modified xsi:type="dcterms:W3CDTF">2012-02-29T13:13:45Z</dcterms:modified>
</cp:coreProperties>
</file>