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176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I29" i="1" l="1"/>
  <c r="I25" i="1"/>
  <c r="I24" i="1"/>
  <c r="I12" i="1"/>
  <c r="I11" i="1"/>
  <c r="I10" i="1"/>
  <c r="I9" i="1"/>
  <c r="I8" i="1"/>
  <c r="I13" i="1"/>
  <c r="I23" i="1"/>
  <c r="I22" i="1"/>
  <c r="I21" i="1"/>
  <c r="I20" i="1"/>
  <c r="I19" i="1"/>
  <c r="I18" i="1"/>
  <c r="I17" i="1"/>
  <c r="I16" i="1"/>
  <c r="I15" i="1"/>
  <c r="I14" i="1"/>
  <c r="H14" i="1"/>
  <c r="H23" i="1"/>
  <c r="H22" i="1"/>
  <c r="H21" i="1"/>
  <c r="H20" i="1"/>
  <c r="H19" i="1"/>
  <c r="H18" i="1"/>
  <c r="H17" i="1"/>
  <c r="H16" i="1"/>
  <c r="H15" i="1"/>
  <c r="H13" i="1"/>
  <c r="H12" i="1"/>
  <c r="H11" i="1"/>
  <c r="H10" i="1"/>
  <c r="H8" i="1"/>
  <c r="H9" i="1"/>
  <c r="H24" i="1" l="1"/>
</calcChain>
</file>

<file path=xl/sharedStrings.xml><?xml version="1.0" encoding="utf-8"?>
<sst xmlns="http://schemas.openxmlformats.org/spreadsheetml/2006/main" count="34" uniqueCount="33">
  <si>
    <t>Inventory Managemnet</t>
  </si>
  <si>
    <t>Name</t>
  </si>
  <si>
    <t>Date</t>
  </si>
  <si>
    <t>MILITARY</t>
  </si>
  <si>
    <t>CHOCOLATE LOVERS</t>
  </si>
  <si>
    <t xml:space="preserve">SWEET AND SAVORY </t>
  </si>
  <si>
    <t>CHEESE LOVERS</t>
  </si>
  <si>
    <t>DOUBLE CARMEL CRUNCH</t>
  </si>
  <si>
    <t>WHITE CHOCOLATEY PRETZELS</t>
  </si>
  <si>
    <t>CHOCOLATEY TRIPLE DELIGHT</t>
  </si>
  <si>
    <t>CARAMEL CORN WITH NUTS</t>
  </si>
  <si>
    <t>CARMEL CORN</t>
  </si>
  <si>
    <t>POPPING CORN</t>
  </si>
  <si>
    <t>KETTLE CORN</t>
  </si>
  <si>
    <t>UNBELIEVABLE BUTTER</t>
  </si>
  <si>
    <t>BUTTER LIGHT</t>
  </si>
  <si>
    <t>TOTAL CASES</t>
  </si>
  <si>
    <t>TOTAL SOLD</t>
  </si>
  <si>
    <t>MONEY OWED</t>
  </si>
  <si>
    <t>PRODUCT PER CASE</t>
  </si>
  <si>
    <t>COST</t>
  </si>
  <si>
    <t>TOTAL OWED</t>
  </si>
  <si>
    <t>Funds Collected Previously</t>
  </si>
  <si>
    <t>PAID BY CHECK</t>
  </si>
  <si>
    <t>PAID CASH</t>
  </si>
  <si>
    <t>TOTAL DUE</t>
  </si>
  <si>
    <t>Parent Signature</t>
  </si>
  <si>
    <t>PREMIUM CHOCOLATE LOVERS (non returnable to council)</t>
  </si>
  <si>
    <t>BUTTER TOFFEE CARMEL CORN (non returnable to council)</t>
  </si>
  <si>
    <t>TOTAL CONTAINERS</t>
  </si>
  <si>
    <t>RETURN CONTAINERS</t>
  </si>
  <si>
    <t>RETURN CASES</t>
  </si>
  <si>
    <t>Kernel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</si>
</sst>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44" fontId="0" fillId="0" borderId="1" xfId="0" applyNumberFormat="1" applyBorder="1"/>
    <xf numFmtId="0" fontId="0" fillId="0" borderId="0" xfId="0" applyBorder="1"/>
    <xf numFmtId="0" fontId="0" fillId="6" borderId="1" xfId="0" applyFill="1" applyBorder="1"/>
    <xf numFmtId="6" fontId="0" fillId="6" borderId="1" xfId="0" applyNumberFormat="1" applyFill="1" applyBorder="1"/>
    <xf numFmtId="0" fontId="0" fillId="0" borderId="2" xfId="0" applyBorder="1" applyAlignment="1"/>
    <xf numFmtId="0" fontId="1" fillId="0" borderId="0" xfId="0" applyFont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sqref="A1:I1"/>
    </sheetView>
  </sheetViews>
  <sheetFormatPr defaultRowHeight="15" x14ac:dyDescent="0.25"/>
  <cols>
    <col min="1" max="1" width="28.28515625" bestFit="1" customWidth="1"/>
    <col min="2" max="2" width="10.140625" customWidth="1"/>
    <col min="3" max="3" width="9.42578125" customWidth="1"/>
    <col min="4" max="4" width="12.42578125" bestFit="1" customWidth="1"/>
    <col min="5" max="5" width="8.7109375" customWidth="1"/>
    <col min="6" max="6" width="12.140625" customWidth="1"/>
    <col min="7" max="7" width="9.7109375" customWidth="1"/>
    <col min="8" max="8" width="11.5703125" bestFit="1" customWidth="1"/>
    <col min="9" max="9" width="14.140625" bestFit="1" customWidth="1"/>
    <col min="10" max="10" width="10.28515625" customWidth="1"/>
    <col min="11" max="11" width="11.42578125" customWidth="1"/>
    <col min="12" max="12" width="14.28515625" customWidth="1"/>
  </cols>
  <sheetData>
    <row r="1" spans="1:9" ht="46.5" x14ac:dyDescent="0.7">
      <c r="A1" s="21" t="s">
        <v>0</v>
      </c>
      <c r="B1" s="21"/>
      <c r="C1" s="21"/>
      <c r="D1" s="21"/>
      <c r="E1" s="21"/>
      <c r="F1" s="21"/>
      <c r="G1" s="21"/>
      <c r="H1" s="21"/>
      <c r="I1" s="21"/>
    </row>
    <row r="3" spans="1:9" ht="30" customHeight="1" x14ac:dyDescent="0.25">
      <c r="A3" s="20" t="s">
        <v>1</v>
      </c>
      <c r="B3" s="17"/>
      <c r="C3" s="17"/>
      <c r="D3" s="17"/>
      <c r="E3" s="17"/>
      <c r="F3" s="17"/>
    </row>
    <row r="4" spans="1:9" ht="23.25" customHeight="1" x14ac:dyDescent="0.25">
      <c r="A4" s="20" t="s">
        <v>2</v>
      </c>
    </row>
    <row r="6" spans="1:9" ht="15" customHeight="1" x14ac:dyDescent="0.25">
      <c r="B6" s="1" t="s">
        <v>19</v>
      </c>
      <c r="C6" s="1" t="s">
        <v>20</v>
      </c>
      <c r="D6" s="1" t="s">
        <v>16</v>
      </c>
      <c r="E6" s="1" t="s">
        <v>31</v>
      </c>
      <c r="F6" s="2" t="s">
        <v>29</v>
      </c>
      <c r="G6" s="3" t="s">
        <v>30</v>
      </c>
      <c r="H6" s="4" t="s">
        <v>17</v>
      </c>
      <c r="I6" s="4" t="s">
        <v>18</v>
      </c>
    </row>
    <row r="7" spans="1:9" x14ac:dyDescent="0.25">
      <c r="B7" s="1"/>
      <c r="C7" s="1"/>
      <c r="D7" s="1"/>
      <c r="E7" s="1"/>
      <c r="F7" s="2"/>
      <c r="G7" s="3"/>
      <c r="H7" s="4"/>
      <c r="I7" s="4"/>
    </row>
    <row r="8" spans="1:9" x14ac:dyDescent="0.25">
      <c r="A8" t="s">
        <v>3</v>
      </c>
      <c r="B8" s="5">
        <v>0</v>
      </c>
      <c r="C8" s="13">
        <v>50</v>
      </c>
      <c r="D8" s="6"/>
      <c r="E8" s="6"/>
      <c r="F8" s="15"/>
      <c r="G8" s="15"/>
      <c r="H8" s="8">
        <f>D8-E8+F8-G8</f>
        <v>0</v>
      </c>
      <c r="I8" s="13">
        <f t="shared" ref="I8:I12" si="0">D8*C8-E8*C8</f>
        <v>0</v>
      </c>
    </row>
    <row r="9" spans="1:9" x14ac:dyDescent="0.25">
      <c r="A9" t="s">
        <v>3</v>
      </c>
      <c r="B9" s="5">
        <v>0</v>
      </c>
      <c r="C9" s="13">
        <v>30</v>
      </c>
      <c r="D9" s="6"/>
      <c r="E9" s="6"/>
      <c r="F9" s="16"/>
      <c r="G9" s="15"/>
      <c r="H9" s="8">
        <f>D9-E9+F9-G9</f>
        <v>0</v>
      </c>
      <c r="I9" s="13">
        <f t="shared" si="0"/>
        <v>0</v>
      </c>
    </row>
    <row r="10" spans="1:9" ht="30" x14ac:dyDescent="0.25">
      <c r="A10" s="10" t="s">
        <v>27</v>
      </c>
      <c r="B10" s="5">
        <v>1</v>
      </c>
      <c r="C10" s="13">
        <v>75</v>
      </c>
      <c r="D10" s="6"/>
      <c r="E10" s="6"/>
      <c r="F10" s="15"/>
      <c r="G10" s="15"/>
      <c r="H10" s="8">
        <f t="shared" ref="H10:H23" si="1">D10-E10+F10-G10</f>
        <v>0</v>
      </c>
      <c r="I10" s="13">
        <f t="shared" si="0"/>
        <v>0</v>
      </c>
    </row>
    <row r="11" spans="1:9" x14ac:dyDescent="0.25">
      <c r="A11" t="s">
        <v>4</v>
      </c>
      <c r="B11" s="5">
        <v>1</v>
      </c>
      <c r="C11" s="13">
        <v>55</v>
      </c>
      <c r="D11" s="6"/>
      <c r="E11" s="6"/>
      <c r="F11" s="15"/>
      <c r="G11" s="15"/>
      <c r="H11" s="8">
        <f t="shared" si="1"/>
        <v>0</v>
      </c>
      <c r="I11" s="13">
        <f t="shared" si="0"/>
        <v>0</v>
      </c>
    </row>
    <row r="12" spans="1:9" x14ac:dyDescent="0.25">
      <c r="A12" t="s">
        <v>5</v>
      </c>
      <c r="B12" s="5">
        <v>1</v>
      </c>
      <c r="C12" s="13">
        <v>40</v>
      </c>
      <c r="D12" s="6"/>
      <c r="E12" s="6"/>
      <c r="F12" s="15"/>
      <c r="G12" s="15"/>
      <c r="H12" s="8">
        <f t="shared" si="1"/>
        <v>0</v>
      </c>
      <c r="I12" s="13">
        <f t="shared" si="0"/>
        <v>0</v>
      </c>
    </row>
    <row r="13" spans="1:9" x14ac:dyDescent="0.25">
      <c r="A13" t="s">
        <v>6</v>
      </c>
      <c r="B13" s="5">
        <v>1</v>
      </c>
      <c r="C13" s="13">
        <v>30</v>
      </c>
      <c r="D13" s="6"/>
      <c r="E13" s="6"/>
      <c r="F13" s="15"/>
      <c r="G13" s="15"/>
      <c r="H13" s="8">
        <f t="shared" si="1"/>
        <v>0</v>
      </c>
      <c r="I13" s="13">
        <f>D13*C13-E13*C13</f>
        <v>0</v>
      </c>
    </row>
    <row r="14" spans="1:9" x14ac:dyDescent="0.25">
      <c r="A14" t="s">
        <v>7</v>
      </c>
      <c r="B14" s="5">
        <v>8</v>
      </c>
      <c r="C14" s="13">
        <v>28</v>
      </c>
      <c r="D14" s="5"/>
      <c r="E14" s="5"/>
      <c r="F14" s="7"/>
      <c r="G14" s="9"/>
      <c r="H14" s="8">
        <f t="shared" si="1"/>
        <v>0</v>
      </c>
      <c r="I14" s="13">
        <f>D14*B14*C14-E14*B14*C14+F14*C14-G139</f>
        <v>0</v>
      </c>
    </row>
    <row r="15" spans="1:9" x14ac:dyDescent="0.25">
      <c r="A15" t="s">
        <v>8</v>
      </c>
      <c r="B15" s="5">
        <v>8</v>
      </c>
      <c r="C15" s="13">
        <v>25</v>
      </c>
      <c r="D15" s="5"/>
      <c r="E15" s="5"/>
      <c r="F15" s="7"/>
      <c r="G15" s="9"/>
      <c r="H15" s="8">
        <f t="shared" si="1"/>
        <v>0</v>
      </c>
      <c r="I15" s="13">
        <f t="shared" ref="I15:I23" si="2">D15*B15*C15-E15*B15*C15+F15*C15-G140</f>
        <v>0</v>
      </c>
    </row>
    <row r="16" spans="1:9" x14ac:dyDescent="0.25">
      <c r="A16" t="s">
        <v>9</v>
      </c>
      <c r="B16" s="5">
        <v>8</v>
      </c>
      <c r="C16" s="13">
        <v>20</v>
      </c>
      <c r="D16" s="5"/>
      <c r="E16" s="5"/>
      <c r="F16" s="7"/>
      <c r="G16" s="9"/>
      <c r="H16" s="8">
        <f t="shared" si="1"/>
        <v>0</v>
      </c>
      <c r="I16" s="13">
        <f t="shared" si="2"/>
        <v>0</v>
      </c>
    </row>
    <row r="17" spans="1:9" x14ac:dyDescent="0.25">
      <c r="A17" t="s">
        <v>10</v>
      </c>
      <c r="B17" s="5">
        <v>8</v>
      </c>
      <c r="C17" s="13">
        <v>18</v>
      </c>
      <c r="D17" s="5"/>
      <c r="E17" s="5"/>
      <c r="F17" s="7"/>
      <c r="G17" s="9"/>
      <c r="H17" s="8">
        <f t="shared" si="1"/>
        <v>0</v>
      </c>
      <c r="I17" s="13">
        <f t="shared" si="2"/>
        <v>0</v>
      </c>
    </row>
    <row r="18" spans="1:9" ht="30" x14ac:dyDescent="0.25">
      <c r="A18" s="10" t="s">
        <v>28</v>
      </c>
      <c r="B18" s="5">
        <v>8</v>
      </c>
      <c r="C18" s="13">
        <v>20</v>
      </c>
      <c r="D18" s="5"/>
      <c r="E18" s="5"/>
      <c r="F18" s="7"/>
      <c r="G18" s="9"/>
      <c r="H18" s="8">
        <f t="shared" si="1"/>
        <v>0</v>
      </c>
      <c r="I18" s="13">
        <f t="shared" si="2"/>
        <v>0</v>
      </c>
    </row>
    <row r="19" spans="1:9" x14ac:dyDescent="0.25">
      <c r="A19" t="s">
        <v>11</v>
      </c>
      <c r="B19" s="5">
        <v>12</v>
      </c>
      <c r="C19" s="13">
        <v>10</v>
      </c>
      <c r="D19" s="5"/>
      <c r="E19" s="5"/>
      <c r="F19" s="7"/>
      <c r="G19" s="9"/>
      <c r="H19" s="8">
        <f t="shared" si="1"/>
        <v>0</v>
      </c>
      <c r="I19" s="13">
        <f t="shared" si="2"/>
        <v>0</v>
      </c>
    </row>
    <row r="20" spans="1:9" x14ac:dyDescent="0.25">
      <c r="A20" t="s">
        <v>12</v>
      </c>
      <c r="B20" s="5">
        <v>12</v>
      </c>
      <c r="C20" s="13">
        <v>10</v>
      </c>
      <c r="D20" s="5"/>
      <c r="E20" s="5"/>
      <c r="F20" s="7"/>
      <c r="G20" s="9"/>
      <c r="H20" s="8">
        <f t="shared" si="1"/>
        <v>0</v>
      </c>
      <c r="I20" s="13">
        <f t="shared" si="2"/>
        <v>0</v>
      </c>
    </row>
    <row r="21" spans="1:9" x14ac:dyDescent="0.25">
      <c r="A21" t="s">
        <v>13</v>
      </c>
      <c r="B21" s="5">
        <v>6</v>
      </c>
      <c r="C21" s="13">
        <v>20</v>
      </c>
      <c r="D21" s="5"/>
      <c r="E21" s="5"/>
      <c r="F21" s="7"/>
      <c r="G21" s="9"/>
      <c r="H21" s="8">
        <f t="shared" si="1"/>
        <v>0</v>
      </c>
      <c r="I21" s="13">
        <f t="shared" si="2"/>
        <v>0</v>
      </c>
    </row>
    <row r="22" spans="1:9" x14ac:dyDescent="0.25">
      <c r="A22" t="s">
        <v>14</v>
      </c>
      <c r="B22" s="5">
        <v>6</v>
      </c>
      <c r="C22" s="13">
        <v>18</v>
      </c>
      <c r="D22" s="5"/>
      <c r="E22" s="5"/>
      <c r="F22" s="7"/>
      <c r="G22" s="9"/>
      <c r="H22" s="8">
        <f t="shared" si="1"/>
        <v>0</v>
      </c>
      <c r="I22" s="13">
        <f t="shared" si="2"/>
        <v>0</v>
      </c>
    </row>
    <row r="23" spans="1:9" x14ac:dyDescent="0.25">
      <c r="A23" t="s">
        <v>15</v>
      </c>
      <c r="B23" s="5">
        <v>6</v>
      </c>
      <c r="C23" s="13">
        <v>18</v>
      </c>
      <c r="D23" s="5"/>
      <c r="E23" s="5"/>
      <c r="F23" s="7"/>
      <c r="G23" s="9"/>
      <c r="H23" s="8">
        <f t="shared" si="1"/>
        <v>0</v>
      </c>
      <c r="I23" s="13">
        <f t="shared" si="2"/>
        <v>0</v>
      </c>
    </row>
    <row r="24" spans="1:9" x14ac:dyDescent="0.25">
      <c r="G24" s="14"/>
      <c r="H24" s="8">
        <f>SUM(H8:H23)</f>
        <v>0</v>
      </c>
      <c r="I24" s="13">
        <f>SUM(I8:I23)</f>
        <v>0</v>
      </c>
    </row>
    <row r="25" spans="1:9" ht="24.75" customHeight="1" x14ac:dyDescent="0.25">
      <c r="G25" s="18" t="s">
        <v>21</v>
      </c>
      <c r="H25" s="19"/>
      <c r="I25" s="13">
        <f>I24</f>
        <v>0</v>
      </c>
    </row>
    <row r="26" spans="1:9" ht="29.25" customHeight="1" x14ac:dyDescent="0.25">
      <c r="A26" s="20" t="s">
        <v>32</v>
      </c>
      <c r="B26" s="17"/>
      <c r="C26" s="17"/>
      <c r="D26" s="17"/>
      <c r="E26" s="17"/>
      <c r="F26" s="17"/>
      <c r="G26" s="11" t="s">
        <v>22</v>
      </c>
      <c r="H26" s="19"/>
      <c r="I26" s="13">
        <v>0</v>
      </c>
    </row>
    <row r="27" spans="1:9" ht="21" customHeight="1" x14ac:dyDescent="0.25">
      <c r="G27" s="12" t="s">
        <v>23</v>
      </c>
      <c r="H27" s="19"/>
      <c r="I27" s="13">
        <v>0</v>
      </c>
    </row>
    <row r="28" spans="1:9" ht="24.75" customHeight="1" x14ac:dyDescent="0.25">
      <c r="A28" s="20" t="s">
        <v>26</v>
      </c>
      <c r="B28" s="17"/>
      <c r="C28" s="17"/>
      <c r="D28" s="17"/>
      <c r="E28" s="17"/>
      <c r="F28" s="17"/>
      <c r="G28" s="12" t="s">
        <v>24</v>
      </c>
      <c r="H28" s="19"/>
      <c r="I28" s="13">
        <v>0</v>
      </c>
    </row>
    <row r="29" spans="1:9" ht="22.5" customHeight="1" x14ac:dyDescent="0.25">
      <c r="G29" s="12" t="s">
        <v>25</v>
      </c>
      <c r="H29" s="19"/>
      <c r="I29" s="13">
        <f>SUM(I26:I28)-I25</f>
        <v>0</v>
      </c>
    </row>
  </sheetData>
  <mergeCells count="17">
    <mergeCell ref="G29:H29"/>
    <mergeCell ref="B3:F3"/>
    <mergeCell ref="A1:I1"/>
    <mergeCell ref="B26:F26"/>
    <mergeCell ref="B28:F28"/>
    <mergeCell ref="E6:E7"/>
    <mergeCell ref="G25:H25"/>
    <mergeCell ref="G26:H26"/>
    <mergeCell ref="G27:H27"/>
    <mergeCell ref="G28:H28"/>
    <mergeCell ref="I6:I7"/>
    <mergeCell ref="B6:B7"/>
    <mergeCell ref="C6:C7"/>
    <mergeCell ref="D6:D7"/>
    <mergeCell ref="F6:F7"/>
    <mergeCell ref="G6:G7"/>
    <mergeCell ref="H6:H7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Crossroads of America Council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Lemieux</dc:creator>
  <cp:lastModifiedBy>Josh Lemieux</cp:lastModifiedBy>
  <dcterms:created xsi:type="dcterms:W3CDTF">2012-09-14T19:25:02Z</dcterms:created>
  <dcterms:modified xsi:type="dcterms:W3CDTF">2012-09-19T17:58:57Z</dcterms:modified>
</cp:coreProperties>
</file>