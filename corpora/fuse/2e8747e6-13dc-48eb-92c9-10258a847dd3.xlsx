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5265" yWindow="-120" windowWidth="18195" windowHeight="11760" activeTab="1"/>
  </bookViews>
  <sheets>
    <sheet name="Disclaimer" sheetId="5" r:id="rId1"/>
    <sheet name="Issuer Table of Contents" sheetId="1" r:id="rId2"/>
  </sheets>
  <externalReferences>
    <externalReference r:id="rId3"/>
    <externalReference r:id="rId4"/>
  </externalReferences>
  <definedNames>
    <definedName name="INPUT_COL_CF">'[1]Input - CF Statement'!$A$9:$U$9</definedName>
    <definedName name="INPUT_COL_IS">'[1]Input - Income Statement'!$A$9:$V$9</definedName>
    <definedName name="INPUT_COL_KR">'[1]Input - Ratios'!$A$9:$V$9</definedName>
    <definedName name="INPUT_DATA_CF">'[1]Input - CF Statement'!$A$9:$U$120</definedName>
    <definedName name="INPUT_DATA_IS">'[1]Input - Income Statement'!$A$9:$V$120</definedName>
    <definedName name="INPUT_DATA_KR">'[1]Input - Ratios'!$A$9:$V$120</definedName>
    <definedName name="INPUT_ROW_CF">'[1]Input - CF Statement'!$A$9:$A$120</definedName>
    <definedName name="INPUT_ROW_IS">'[1]Input - Income Statement'!$A$9:$A$120</definedName>
    <definedName name="INPUT_ROW_KR_1">'[1]Input - Ratios'!$A$9:$A$120</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41309.6012962963</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RATIOS_DATA">'[2]Ratios Input'!$A$1:$M$50</definedName>
    <definedName name="RATIOS_ROW">'[2]Ratios Input'!$A$1:$A$50</definedName>
  </definedNames>
  <calcPr calcId="145621"/>
</workbook>
</file>

<file path=xl/calcChain.xml><?xml version="1.0" encoding="utf-8"?>
<calcChain xmlns="http://schemas.openxmlformats.org/spreadsheetml/2006/main">
  <c r="D161" i="1" l="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alcChain>
</file>

<file path=xl/sharedStrings.xml><?xml version="1.0" encoding="utf-8"?>
<sst xmlns="http://schemas.openxmlformats.org/spreadsheetml/2006/main" count="313" uniqueCount="301">
  <si>
    <r>
      <rPr>
        <b/>
        <sz val="10"/>
        <rFont val="Arial"/>
        <family val="2"/>
      </rPr>
      <t>Carefully consider the iShares Funds’ investment objectives, risk factors, and charges and expenses before investing. This and other information can be found in the Funds’ prospectuses, which may be obtained by calling 1-800-iShares (1-800-474-2737) or by visiting www.iShares.com. Read the prospectus carefully before investing.
Investing involves risk, including possible loss of principal.</t>
    </r>
    <r>
      <rPr>
        <sz val="10"/>
        <rFont val="Arial"/>
        <family val="2"/>
      </rPr>
      <t xml:space="preserve">
Bonds and bond funds will decrease in value as interest rates rise and are subject to credit risk, which refers to the possibility that the debt issuers will not be able to make principal and interest payments. Narrowly focused investments typically exhibit higher volatility and are subject to greater geographic or asset class risk. Shares of the Fund trade at market price, which may be greater or less than net asset value.
The Fund will terminate on or about March 31st of the year in Fund’s name. An investment in the Fund(s) is not guaranteed, and an investor may experience losses, including near or at the termination date. In the final months of the Fund’s operation, as the bonds it holds mature, its portfolio will transition to cash and cash-like instruments. Following the Fund’s termination date, the Fund will distribute substantially all of its net assets, after deduction of any liabilities, to then-current investors without further notice and will no longer be listed or traded. The Funds do not seek to return any predetermined amount.
During the twelve months prior to the Fund’s planned termination date, its yield will generally tend to move toward prevailing money market rates, and may be lower than the yields of the bonds previously held by the Fund and lower than prevailing yields for bonds in the market. 
The rate of Fund distribution payments may adversely affect the tax characterization of an investor’s returns from an investment in the Fund relative to a direct investment in bonds. If the amount an investor receives as liquidation proceeds upon the Fund’s termination is higher or lower than the investor’s cost basis, the investor may experience a gain or loss for tax purposes.
The information included in this material has been taken from trade and other sources considered to be reliable. We do not represent that this information is accurate and complete, and it should not be relied upon as such.  This information is not intended to be a forecast of future events or a guarantee of future results, nor should it be relied upon by the reader as research or investment advice regarding the funds or any security in particular.  </t>
    </r>
    <r>
      <rPr>
        <b/>
        <sz val="10"/>
        <rFont val="Arial"/>
        <family val="2"/>
      </rPr>
      <t>Past performance does not guarantee future results.</t>
    </r>
    <r>
      <rPr>
        <sz val="10"/>
        <rFont val="Arial"/>
        <family val="2"/>
      </rPr>
      <t xml:space="preserve">
The iShares Funds are distributed by BlackRock Investments, LLC (together with its affiliates, “BlackRock”).
The iShares Funds are not sponsored, endorsed or issued by Barclays Capital Inc., nor does this company make any representation regarding the advisability of investing in the Funds. BlackRock is not affiliated with the company listed above.
©2013 BlackRock. All rights reserved. </t>
    </r>
    <r>
      <rPr>
        <b/>
        <sz val="10"/>
        <rFont val="Arial"/>
        <family val="2"/>
      </rPr>
      <t>iSHARES</t>
    </r>
    <r>
      <rPr>
        <sz val="10"/>
        <rFont val="Arial"/>
        <family val="2"/>
      </rPr>
      <t xml:space="preserve"> and </t>
    </r>
    <r>
      <rPr>
        <b/>
        <sz val="10"/>
        <rFont val="Arial"/>
        <family val="2"/>
      </rPr>
      <t>BLACKROCK</t>
    </r>
    <r>
      <rPr>
        <sz val="10"/>
        <rFont val="Arial"/>
        <family val="2"/>
      </rPr>
      <t xml:space="preserve"> are registered trademarks of BlackRock. All other marks are the property of their respective owners. iS-9209-0213
</t>
    </r>
    <r>
      <rPr>
        <i/>
        <sz val="10"/>
        <rFont val="Arial"/>
        <family val="2"/>
      </rPr>
      <t>The information in this document may not be materially altered or reproduced.</t>
    </r>
  </si>
  <si>
    <t>Link to Issuer Financial Statements</t>
  </si>
  <si>
    <t>ALTERA CORPORATION</t>
  </si>
  <si>
    <t>ARCHER-DANIELS-MIDLAND COMPANY</t>
  </si>
  <si>
    <t>ASTRAZENECA PLC</t>
  </si>
  <si>
    <t>AT&amp;T INC</t>
  </si>
  <si>
    <t>BRISTOL-MYERS SQUIBB CO</t>
  </si>
  <si>
    <t>COCA-COLA COMPANY (THE)</t>
  </si>
  <si>
    <t>COMCAST CORPORATION</t>
  </si>
  <si>
    <t>COMPUTER SCIENCES CORP</t>
  </si>
  <si>
    <t>CONAGRA FOODS INC</t>
  </si>
  <si>
    <t>CR BARD INC</t>
  </si>
  <si>
    <t>CSX CORPORATION</t>
  </si>
  <si>
    <t>CVS CAREMARK CORP</t>
  </si>
  <si>
    <t>DUKE ENERGY CORP</t>
  </si>
  <si>
    <t>EBAY INC.</t>
  </si>
  <si>
    <t>GENERAL ELECTRIC CO</t>
  </si>
  <si>
    <t>JOHNSON &amp; JOHNSON</t>
  </si>
  <si>
    <t>KINDER MORGAN ENERGY PARTNERS LP</t>
  </si>
  <si>
    <t>MARATHON OIL CORP</t>
  </si>
  <si>
    <t>MERCK &amp; CO INC</t>
  </si>
  <si>
    <t>MONDELEZ INTERNATIONAL INC</t>
  </si>
  <si>
    <t>NUCOR CORPORATION</t>
  </si>
  <si>
    <t>ORACLE CORPORATION</t>
  </si>
  <si>
    <t>PHILIP MORRIS INTERNATIONAL INC</t>
  </si>
  <si>
    <t>TARGET CORPORATION</t>
  </si>
  <si>
    <t>TIME WARNER CABLE INC</t>
  </si>
  <si>
    <t>UNITED PARCEL SERVICE INC</t>
  </si>
  <si>
    <t>UNITED TECHNOLOGIES CORPORATION</t>
  </si>
  <si>
    <t>VERIZON COMMUNICATIONS INC</t>
  </si>
  <si>
    <t>VIACOM INC</t>
  </si>
  <si>
    <t>VODAFONE GROUP PLC</t>
  </si>
  <si>
    <t>WAL-MART STORES INC</t>
  </si>
  <si>
    <t>WALT DISNEY COMPANY (THE)</t>
  </si>
  <si>
    <t>MMM</t>
  </si>
  <si>
    <t>ABBNVX</t>
  </si>
  <si>
    <t>ALTR</t>
  </si>
  <si>
    <t>T</t>
  </si>
  <si>
    <t>APC</t>
  </si>
  <si>
    <t>ABIBB</t>
  </si>
  <si>
    <t>AEP</t>
  </si>
  <si>
    <t>ADM</t>
  </si>
  <si>
    <t>AZN</t>
  </si>
  <si>
    <t>BPLN</t>
  </si>
  <si>
    <t>BMY</t>
  </si>
  <si>
    <t>CAT</t>
  </si>
  <si>
    <t>CBS</t>
  </si>
  <si>
    <t>KO</t>
  </si>
  <si>
    <t>CMCSA</t>
  </si>
  <si>
    <t>CSC</t>
  </si>
  <si>
    <t>CAG</t>
  </si>
  <si>
    <t>ETN</t>
  </si>
  <si>
    <t>BCR</t>
  </si>
  <si>
    <t>CSX</t>
  </si>
  <si>
    <t>CVS</t>
  </si>
  <si>
    <t>DGELN</t>
  </si>
  <si>
    <t>D</t>
  </si>
  <si>
    <t>DUK</t>
  </si>
  <si>
    <t>EMN</t>
  </si>
  <si>
    <t>EBAY</t>
  </si>
  <si>
    <t>EPD</t>
  </si>
  <si>
    <t>GE</t>
  </si>
  <si>
    <t>GSK</t>
  </si>
  <si>
    <t>HPQ</t>
  </si>
  <si>
    <t>IBM</t>
  </si>
  <si>
    <t>DE</t>
  </si>
  <si>
    <t>JNJ</t>
  </si>
  <si>
    <t>KMP</t>
  </si>
  <si>
    <t>PHG</t>
  </si>
  <si>
    <t>KRFT</t>
  </si>
  <si>
    <t>MRO</t>
  </si>
  <si>
    <t>MCD</t>
  </si>
  <si>
    <t>MIDAM</t>
  </si>
  <si>
    <t>MDLZ</t>
  </si>
  <si>
    <t>NRUC</t>
  </si>
  <si>
    <t>NUE</t>
  </si>
  <si>
    <t>OXY</t>
  </si>
  <si>
    <t>ORCL</t>
  </si>
  <si>
    <t>PEP</t>
  </si>
  <si>
    <t>PM</t>
  </si>
  <si>
    <t>PSX</t>
  </si>
  <si>
    <t>RIOLN</t>
  </si>
  <si>
    <t>DOW</t>
  </si>
  <si>
    <t>MRK</t>
  </si>
  <si>
    <t>RDSALN</t>
  </si>
  <si>
    <t>TGT</t>
  </si>
  <si>
    <t>TWC</t>
  </si>
  <si>
    <t>TOTAL</t>
  </si>
  <si>
    <t>TOYOTA</t>
  </si>
  <si>
    <t>RIG</t>
  </si>
  <si>
    <t>UPS</t>
  </si>
  <si>
    <t>UTX</t>
  </si>
  <si>
    <t>VZ</t>
  </si>
  <si>
    <t>VIA</t>
  </si>
  <si>
    <t>VOD</t>
  </si>
  <si>
    <t>WMT</t>
  </si>
  <si>
    <t>DIS</t>
  </si>
  <si>
    <t>ACT</t>
  </si>
  <si>
    <t>3M CO</t>
  </si>
  <si>
    <t>Issuer Name</t>
  </si>
  <si>
    <t>KRAFT FOODS GROUP INC</t>
  </si>
  <si>
    <t>PHILLIPS 66</t>
  </si>
  <si>
    <t>Ticker</t>
  </si>
  <si>
    <t>iShares 2018 Corporate ex-Financials Term ETF - Issuer Table of Contents</t>
  </si>
  <si>
    <t>ABBVIE INC</t>
  </si>
  <si>
    <t>ABBV</t>
  </si>
  <si>
    <t>CCL</t>
  </si>
  <si>
    <t>CLIFFS NATURAL RESOURCES INC</t>
  </si>
  <si>
    <t>CLF</t>
  </si>
  <si>
    <t>COP</t>
  </si>
  <si>
    <t>COSTCO WHOLESALE CORPORATION</t>
  </si>
  <si>
    <t>COST</t>
  </si>
  <si>
    <t>CHEVRON CORP</t>
  </si>
  <si>
    <t>CVX</t>
  </si>
  <si>
    <t>DUN &amp; BRADSTREET CORPORATION (THE)</t>
  </si>
  <si>
    <t>DNB</t>
  </si>
  <si>
    <t>DTV</t>
  </si>
  <si>
    <t>GENERAL DYNAMICS CORPORATION</t>
  </si>
  <si>
    <t>GD</t>
  </si>
  <si>
    <t>INTEL CORPORATION</t>
  </si>
  <si>
    <t>INTC</t>
  </si>
  <si>
    <t>MSFT</t>
  </si>
  <si>
    <t>NOV</t>
  </si>
  <si>
    <t>NEWELL RUBBERMAID INC</t>
  </si>
  <si>
    <t>NWL</t>
  </si>
  <si>
    <t>PCP</t>
  </si>
  <si>
    <t>ROPER INDUSTRIES INC</t>
  </si>
  <si>
    <t>ROP</t>
  </si>
  <si>
    <t>SHERWIN-WILLIAMS COMPANY (THE)</t>
  </si>
  <si>
    <t>SHW</t>
  </si>
  <si>
    <t>ZTS</t>
  </si>
  <si>
    <t>ALLERGAN INC/UNITED STATES</t>
  </si>
  <si>
    <t>AGN</t>
  </si>
  <si>
    <t>AMXLMM</t>
  </si>
  <si>
    <t>AMGN</t>
  </si>
  <si>
    <t>APA</t>
  </si>
  <si>
    <t>BAIDU INC</t>
  </si>
  <si>
    <t>BIDU</t>
  </si>
  <si>
    <t>BNSF</t>
  </si>
  <si>
    <t>BG</t>
  </si>
  <si>
    <t>CNQCN</t>
  </si>
  <si>
    <t>CATHOLIC HEALTH INITIATIVES</t>
  </si>
  <si>
    <t>CATMED</t>
  </si>
  <si>
    <t>CBS CORP</t>
  </si>
  <si>
    <t>COV</t>
  </si>
  <si>
    <t>EXC</t>
  </si>
  <si>
    <t>ESRX</t>
  </si>
  <si>
    <t>FCX</t>
  </si>
  <si>
    <t>HONEYWELL INTERNATIONAL INC</t>
  </si>
  <si>
    <t>HON</t>
  </si>
  <si>
    <t>KMB</t>
  </si>
  <si>
    <t>LOWES COMPANIES INC</t>
  </si>
  <si>
    <t>LOW</t>
  </si>
  <si>
    <t>NBR</t>
  </si>
  <si>
    <t>NTT</t>
  </si>
  <si>
    <t>PNR</t>
  </si>
  <si>
    <t>PFE</t>
  </si>
  <si>
    <t>PRAXAIR INC</t>
  </si>
  <si>
    <t>PX</t>
  </si>
  <si>
    <t>RYDER SYSTEM INC</t>
  </si>
  <si>
    <t>R</t>
  </si>
  <si>
    <t>SOUTHWESTERN ENERGY COMPANY</t>
  </si>
  <si>
    <t>SWN</t>
  </si>
  <si>
    <t>SYY</t>
  </si>
  <si>
    <t>UNANA</t>
  </si>
  <si>
    <t>WALGREEN CO</t>
  </si>
  <si>
    <t>WAG</t>
  </si>
  <si>
    <t>WFT</t>
  </si>
  <si>
    <t>YUM</t>
  </si>
  <si>
    <t>ZOETIS INC</t>
  </si>
  <si>
    <t>AGILENT TECHNOLOGIES INC.</t>
  </si>
  <si>
    <t>ABB FINANCE USA INC</t>
  </si>
  <si>
    <t>ANHEUSER-BUSCH INBEV FINANCE INC</t>
  </si>
  <si>
    <t>ANHEUSER-BUSCH INBEV WORLDWIDE INC</t>
  </si>
  <si>
    <t>WATSON PHARMACEUTICALS INC</t>
  </si>
  <si>
    <t>UNION ELECTRIC CO</t>
  </si>
  <si>
    <t>AMERICAN ELECTRIC POWER COMPANY</t>
  </si>
  <si>
    <t>AMGEN INC.</t>
  </si>
  <si>
    <t>AMERICA MOVIL SA DE CV</t>
  </si>
  <si>
    <t>AMAZONCOM INC</t>
  </si>
  <si>
    <t>APACHE CORP</t>
  </si>
  <si>
    <t>ANADARKO PETROLEUM CORP</t>
  </si>
  <si>
    <t>BROWN-FORMAN CORPORATION</t>
  </si>
  <si>
    <t>BUNGE LIMITED FINANCE CORPORATION</t>
  </si>
  <si>
    <t>BURLINGTON NORTHERN SANTA FE CORP</t>
  </si>
  <si>
    <t>BURLINGTON NORTHERN SANTA FE CORPO</t>
  </si>
  <si>
    <t>BP CAPITAL MARKETS PLC</t>
  </si>
  <si>
    <t>CARDINAL HEALTH INC</t>
  </si>
  <si>
    <t>CATERPILLAR FINANCIAL SERVICES COR</t>
  </si>
  <si>
    <t>CARNIVAL CORP</t>
  </si>
  <si>
    <t>CANADIAN NATURAL RESOURCES</t>
  </si>
  <si>
    <t>CONOCOPHILLIPS CO</t>
  </si>
  <si>
    <t>COVIDIEN INTERNATIONAL FINANCE SA</t>
  </si>
  <si>
    <t>DOMINION RESOURCES INC</t>
  </si>
  <si>
    <t>VIRGINIA ELECTRIC AND POWER CO</t>
  </si>
  <si>
    <t>JOHN DEERE CAPITAL CORP</t>
  </si>
  <si>
    <t>DELHAIZE GROUP</t>
  </si>
  <si>
    <t>DIAGEO CAPITAL PLC</t>
  </si>
  <si>
    <t>DANAHER CORP</t>
  </si>
  <si>
    <t>ROHM AND HAAS HLDS</t>
  </si>
  <si>
    <t>DCP MIDSTREAM OPERATING LP</t>
  </si>
  <si>
    <t>DIRECTV HOLDINGS LLC/DIRECTV FINAN</t>
  </si>
  <si>
    <t>DUKE ENERGY CAROLINAS</t>
  </si>
  <si>
    <t>DEVON ENERGY CORPORATION</t>
  </si>
  <si>
    <t>ENCANA CORP</t>
  </si>
  <si>
    <t>ECOLAB INC</t>
  </si>
  <si>
    <t>EASTMAN CHEMICAL CO</t>
  </si>
  <si>
    <t>EOG RESOURCES INC.</t>
  </si>
  <si>
    <t>ENTERPRISE PRODUCTS OPERATING LLC</t>
  </si>
  <si>
    <t>MEDCO HEALTH SOLUTIONS INC</t>
  </si>
  <si>
    <t>EATON CORPORATION</t>
  </si>
  <si>
    <t>PECO ENERGY CO</t>
  </si>
  <si>
    <t>COMMONWEALTH EDISON COMPANY</t>
  </si>
  <si>
    <t>FORD MOTOR CREDIT COMPANY LLC</t>
  </si>
  <si>
    <t>FREEPORT-MCMORAN COPPER &amp; GOLD INC</t>
  </si>
  <si>
    <t>PENNSYLVANIA ELECTRIC COMPANY</t>
  </si>
  <si>
    <t>GLAXOSMITHKLINE CAPITAL PLC</t>
  </si>
  <si>
    <t>HEWLETT-PACKARD CO</t>
  </si>
  <si>
    <t>IBM CORP</t>
  </si>
  <si>
    <t>INTERNATIONAL BUSINESS MACHINES CO</t>
  </si>
  <si>
    <t>NORDSTROM INC</t>
  </si>
  <si>
    <t>KIMBERLY-CLARK CORP</t>
  </si>
  <si>
    <t>COCA-COLA COMPANY</t>
  </si>
  <si>
    <t>KROGER CO.</t>
  </si>
  <si>
    <t>MCDONALDS CORP</t>
  </si>
  <si>
    <t>MCKESSON CORP</t>
  </si>
  <si>
    <t>MIDAMERICAN ENERGY COMPANY</t>
  </si>
  <si>
    <t>SCHERING-PLOUGH CORPORATION</t>
  </si>
  <si>
    <t>MICROSOFT CORP</t>
  </si>
  <si>
    <t>NABORS INDUSTRIES INC</t>
  </si>
  <si>
    <t>NISOURCE FINANCE CORPORATION</t>
  </si>
  <si>
    <t>NATIONAL OILWELL VARCO INC.</t>
  </si>
  <si>
    <t>NATIONAL RURAL UTILITIES COOP FINA</t>
  </si>
  <si>
    <t>NETAPP INC</t>
  </si>
  <si>
    <t>NIPPON TELEGRAPH AND TELEPHONE COR</t>
  </si>
  <si>
    <t>OCCIDENTAL PETROLEUM CORP</t>
  </si>
  <si>
    <t>PITNEY BOWES INC.</t>
  </si>
  <si>
    <t>PACIFIC GAS AND ELECTRIC CO</t>
  </si>
  <si>
    <t>PRECISION CASTPARTS CORP.</t>
  </si>
  <si>
    <t>PEPSICO INC/NC</t>
  </si>
  <si>
    <t>WYETH LLC</t>
  </si>
  <si>
    <t>PFIZER INC.</t>
  </si>
  <si>
    <t>KONINKLIJKE PHILIPS ELECTRONICS NV</t>
  </si>
  <si>
    <t>PENTAIR FINANCE SA</t>
  </si>
  <si>
    <t>POTASH CORP OF SASKATCHEWAN INC</t>
  </si>
  <si>
    <t>PPG INDUSTRIES INC</t>
  </si>
  <si>
    <t>REYNOLDS AMERICAN INC</t>
  </si>
  <si>
    <t>SHELL INTERNATIONAL FINANCE BV</t>
  </si>
  <si>
    <t>TRANSOCEAN INC</t>
  </si>
  <si>
    <t>RIO TINTO FINANCE (USA) PLC</t>
  </si>
  <si>
    <t>ALABAMA POWER COMPANY</t>
  </si>
  <si>
    <t>GEORGIA POWER COMPANY</t>
  </si>
  <si>
    <t>STAPLES INC</t>
  </si>
  <si>
    <t>QUESTAR PIPELINE CO</t>
  </si>
  <si>
    <t>SAFEWAY INC</t>
  </si>
  <si>
    <t>SYMANTEC CORPORATION</t>
  </si>
  <si>
    <t>SYSCO CORP</t>
  </si>
  <si>
    <t>TECK RESOURCES LTD</t>
  </si>
  <si>
    <t>THERMO FISHER SCIENTIFIC INC</t>
  </si>
  <si>
    <t>TOTAL CAPITAL CANADA LTD</t>
  </si>
  <si>
    <t>TOTAL CAPITAL INTERNATIONAL SA</t>
  </si>
  <si>
    <t>TOYOTA MOTOR CREDIT CORP</t>
  </si>
  <si>
    <t>UNILEVER CAPITAL CORP</t>
  </si>
  <si>
    <t>UPS OF AMERICA INC</t>
  </si>
  <si>
    <t>VALERO ENERGY CORP</t>
  </si>
  <si>
    <t>WEATHERFORD INTL LTD</t>
  </si>
  <si>
    <t>NORTHERN STATES POWER COMPANY (MIN</t>
  </si>
  <si>
    <t>YUM! BRANDS INC</t>
  </si>
  <si>
    <t>A</t>
  </si>
  <si>
    <t>AEE</t>
  </si>
  <si>
    <t>AMZN</t>
  </si>
  <si>
    <t>BFB</t>
  </si>
  <si>
    <t>CAH</t>
  </si>
  <si>
    <t>DELH</t>
  </si>
  <si>
    <t>DHR</t>
  </si>
  <si>
    <t>DPM</t>
  </si>
  <si>
    <t>DVN</t>
  </si>
  <si>
    <t>ECACN</t>
  </si>
  <si>
    <t>ECL</t>
  </si>
  <si>
    <t>EOG</t>
  </si>
  <si>
    <t>F</t>
  </si>
  <si>
    <t>FE</t>
  </si>
  <si>
    <t>JWN</t>
  </si>
  <si>
    <t>KR</t>
  </si>
  <si>
    <t>MCK</t>
  </si>
  <si>
    <t>NI</t>
  </si>
  <si>
    <t>NTAP</t>
  </si>
  <si>
    <t>PBI</t>
  </si>
  <si>
    <t>PCG</t>
  </si>
  <si>
    <t>POT</t>
  </si>
  <si>
    <t>PPG</t>
  </si>
  <si>
    <t>RAI</t>
  </si>
  <si>
    <t>SO</t>
  </si>
  <si>
    <t>SPLS</t>
  </si>
  <si>
    <t>STR</t>
  </si>
  <si>
    <t>SWY</t>
  </si>
  <si>
    <t>SYMC</t>
  </si>
  <si>
    <t>TCKBCN</t>
  </si>
  <si>
    <t>TMO</t>
  </si>
  <si>
    <t>VLO</t>
  </si>
  <si>
    <t>XEL</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</si>
</sst>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theme="1"/>
      <name val="Arial"/>
      <family val="2"/>
    </font>
    <font>
      <b/>
      <sz val="12"/>
      <color theme="1"/>
      <name val="Arial"/>
      <family val="2"/>
    </font>
    <font>
      <sz val="9"/>
      <color theme="1"/>
      <name val="Arial"/>
      <family val="2"/>
    </font>
    <font>
      <sz val="10"/>
      <name val="Trebuchet MS"/>
      <family val="2"/>
    </font>
    <font>
      <sz val="10"/>
      <name val="Arial"/>
      <family val="2"/>
    </font>
    <font>
      <i/>
      <sz val="10"/>
      <name val="Arial"/>
      <family val="2"/>
    </font>
    <font>
      <sz val="12"/>
      <color theme="1"/>
      <name val="Arial"/>
      <family val="2"/>
    </font>
    <font>
      <b/>
      <sz val="9"/>
      <color theme="1"/>
      <name val="Arial"/>
      <family val="2"/>
    </font>
    <font>
      <b/>
      <sz val="10"/>
      <name val="Arial"/>
      <family val="2"/>
    </font>
    <font>
      <u/>
      <sz val="10"/>
      <color theme="10"/>
      <name val="Arial"/>
      <family val="2"/>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20">
    <border>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style="medium">
        <color indexed="64"/>
      </bottom>
      <diagonal/>
    </border>
    <border>
      <left/>
      <right/>
      <top/>
      <bottom style="medium">
        <color auto="1"/>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5">
    <xf numFmtId="0" fontId="0" fillId="0" borderId="0"/>
    <xf numFmtId="0" fontId="3" fillId="0" borderId="0"/>
    <xf numFmtId="0" fontId="3" fillId="0" borderId="0"/>
    <xf numFmtId="0" fontId="4" fillId="0" borderId="0"/>
    <xf numFmtId="0" fontId="9" fillId="0" borderId="0" applyNumberFormat="0" applyFill="0" applyBorder="0" applyAlignment="0" applyProtection="0"/>
  </cellStyleXfs>
  <cellXfs count="36">
    <xf numFmtId="0" fontId="0" fillId="0" borderId="0" xfId="0"/>
    <xf numFmtId="0" fontId="1" fillId="2" borderId="0" xfId="0" applyFont="1" applyFill="1" applyAlignment="1"/>
    <xf numFmtId="0" fontId="2" fillId="0" borderId="0" xfId="0" applyFont="1" applyFill="1" applyAlignment="1"/>
    <xf numFmtId="0" fontId="2" fillId="0" borderId="0" xfId="0" applyFont="1" applyFill="1"/>
    <xf numFmtId="0" fontId="2" fillId="0" borderId="0" xfId="0" applyFont="1" applyFill="1" applyBorder="1"/>
    <xf numFmtId="0" fontId="4" fillId="0" borderId="0" xfId="1" applyFont="1"/>
    <xf numFmtId="0" fontId="4" fillId="0" borderId="0" xfId="1" applyFont="1" applyBorder="1"/>
    <xf numFmtId="0" fontId="5" fillId="0" borderId="0" xfId="1" applyFont="1" applyBorder="1"/>
    <xf numFmtId="0" fontId="4" fillId="0" borderId="0" xfId="3" applyFont="1" applyBorder="1"/>
    <xf numFmtId="0" fontId="5" fillId="0" borderId="0" xfId="3" applyFont="1" applyBorder="1"/>
    <xf numFmtId="14" fontId="4" fillId="0" borderId="0" xfId="3" applyNumberFormat="1" applyFont="1" applyBorder="1" applyAlignment="1">
      <alignment horizontal="left"/>
    </xf>
    <xf numFmtId="0" fontId="4" fillId="0" borderId="2" xfId="1" applyFont="1" applyBorder="1"/>
    <xf numFmtId="0" fontId="4" fillId="0" borderId="3" xfId="1" applyFont="1" applyBorder="1"/>
    <xf numFmtId="0" fontId="4" fillId="0" borderId="4" xfId="1" applyFont="1" applyBorder="1"/>
    <xf numFmtId="0" fontId="4" fillId="0" borderId="5" xfId="1" applyFont="1" applyBorder="1"/>
    <xf numFmtId="0" fontId="4" fillId="0" borderId="6" xfId="1" applyFont="1" applyBorder="1"/>
    <xf numFmtId="0" fontId="4" fillId="0" borderId="7" xfId="1" applyFont="1" applyBorder="1"/>
    <xf numFmtId="0" fontId="4" fillId="0" borderId="8" xfId="1" applyFont="1" applyBorder="1"/>
    <xf numFmtId="0" fontId="4" fillId="0" borderId="1" xfId="1" applyFont="1" applyBorder="1"/>
    <xf numFmtId="0" fontId="6" fillId="0" borderId="0" xfId="0" applyFont="1" applyFill="1" applyBorder="1"/>
    <xf numFmtId="0" fontId="6" fillId="0" borderId="0" xfId="0" applyFont="1" applyFill="1"/>
    <xf numFmtId="0" fontId="2" fillId="0" borderId="11" xfId="0" applyFont="1" applyFill="1" applyBorder="1" applyAlignment="1"/>
    <xf numFmtId="0" fontId="2" fillId="0" borderId="13" xfId="0" applyFont="1" applyFill="1" applyBorder="1" applyAlignment="1"/>
    <xf numFmtId="0" fontId="7" fillId="3" borderId="9" xfId="0" applyFont="1" applyFill="1" applyBorder="1" applyAlignment="1"/>
    <xf numFmtId="0" fontId="7" fillId="3" borderId="10" xfId="0" applyFont="1" applyFill="1" applyBorder="1"/>
    <xf numFmtId="0" fontId="7" fillId="3" borderId="15" xfId="0" applyFont="1" applyFill="1" applyBorder="1" applyAlignment="1"/>
    <xf numFmtId="0" fontId="2" fillId="0" borderId="0" xfId="0" applyFont="1" applyFill="1" applyBorder="1" applyAlignment="1"/>
    <xf numFmtId="0" fontId="2" fillId="0" borderId="16" xfId="0" applyFont="1" applyFill="1" applyBorder="1" applyAlignment="1"/>
    <xf numFmtId="0" fontId="9" fillId="0" borderId="17" xfId="4" applyFill="1" applyBorder="1" applyAlignment="1"/>
    <xf numFmtId="0" fontId="9" fillId="0" borderId="12" xfId="4" applyFill="1" applyBorder="1" applyAlignment="1"/>
    <xf numFmtId="0" fontId="9" fillId="0" borderId="14" xfId="4" applyFill="1" applyBorder="1" applyAlignment="1"/>
    <xf numFmtId="0" fontId="2" fillId="0" borderId="18" xfId="0" applyFont="1" applyFill="1" applyBorder="1" applyAlignment="1"/>
    <xf numFmtId="0" fontId="2" fillId="0" borderId="19" xfId="0" applyFont="1" applyFill="1" applyBorder="1" applyAlignment="1"/>
    <xf numFmtId="0" fontId="1" fillId="2" borderId="0" xfId="0" applyFont="1" applyFill="1" applyAlignment="1">
      <alignment horizontal="centerContinuous"/>
    </xf>
    <xf numFmtId="0" fontId="6" fillId="0" borderId="0" xfId="0" applyFont="1" applyFill="1" applyAlignment="1">
      <alignment horizontal="centerContinuous"/>
    </xf>
    <xf numFmtId="0" fontId="4" fillId="0" borderId="0" xfId="1" applyFont="1" applyBorder="1" applyAlignment="1">
      <alignment wrapText="1"/>
    </xf>
  </cellXfs>
  <cellStyles count="5">
    <cellStyle name="Hyperlink" xfId="4" builtinId="8"/>
    <cellStyle name="Normal" xfId="0" builtinId="0"/>
    <cellStyle name="Normal 2" xfId="1"/>
    <cellStyle name="Normal 2 2" xfId="3"/>
    <cellStyle name="Normal 3" xfId="2"/>
  </cellStyles>
  <dxfs count="0"/>
  <tableStyles count="0" defaultTableStyle="TableStyleMedium2" defaultPivotStyle="PivotStyleLight16"/>
  <colors>
    <mruColors>
      <color rgb="FFE5EB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670560</xdr:colOff>
      <xdr:row>3</xdr:row>
      <xdr:rowOff>132715</xdr:rowOff>
    </xdr:to>
    <xdr:pic>
      <xdr:nvPicPr>
        <xdr:cNvPr id="11" name="Picture 10"/>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0"/>
          <a:ext cx="1546860" cy="6184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1546860</xdr:colOff>
      <xdr:row>4</xdr:row>
      <xdr:rowOff>8890</xdr:rowOff>
    </xdr:to>
    <xdr:pic>
      <xdr:nvPicPr>
        <xdr:cNvPr id="10" name="Picture 9"/>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0"/>
          <a:ext cx="1546860" cy="61849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FMA\PROJECTS\iBond\Credit%20Files\Macro%20File\20130130%20iBondz%20Reformatting%20Workbo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FMA\PROJECTS\iBond\Credit%20Files\20130220%20iBond_Ratios%20Overview%20(JM%20forma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replicate"/>
      <sheetName val="Income Statement"/>
      <sheetName val="Cashflow Statement"/>
      <sheetName val="Balance Sheet"/>
      <sheetName val="Key Ratios"/>
      <sheetName val="Input - Income Statement"/>
      <sheetName val="Input - CF Statement"/>
      <sheetName val="Input - BS Statement"/>
      <sheetName val="Input - Ratios"/>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atios Overview"/>
      <sheetName val="Ratios Input"/>
      <sheetName val="Agilent Technologies Inc | Rati"/>
    </sheetNames>
    <sheetDataSet>
      <sheetData sheetId="0"/>
      <sheetData sheetId="1"/>
      <sheetData sheetId="2">
        <row r="1">
          <cell r="A1" t="str">
            <v>Agilent Technologies Inc | Ratios And Analytics | Thomson Reuters Eikon                                20-Feb-2013 15:04</v>
          </cell>
        </row>
        <row r="3">
          <cell r="A3" t="str">
            <v>A - Agilent Technologies Inc</v>
          </cell>
        </row>
        <row r="4">
          <cell r="A4" t="str">
            <v>Last</v>
          </cell>
          <cell r="B4">
            <v>42.66</v>
          </cell>
          <cell r="C4" t="str">
            <v>USD</v>
          </cell>
          <cell r="D4">
            <v>-0.35</v>
          </cell>
          <cell r="E4">
            <v>-8.1379999999999994E-3</v>
          </cell>
          <cell r="F4">
            <v>41325</v>
          </cell>
          <cell r="G4" t="str">
            <v>14:48</v>
          </cell>
          <cell r="H4" t="str">
            <v>A</v>
          </cell>
          <cell r="I4" t="str">
            <v>Buy</v>
          </cell>
        </row>
        <row r="6">
          <cell r="A6" t="str">
            <v>Ratios - Overview</v>
          </cell>
        </row>
        <row r="7">
          <cell r="A7" t="str">
            <v>Ratios And Analytics(LFI: 31-Jan-2013 LFY: 31-Oct-2012)</v>
          </cell>
        </row>
        <row r="8">
          <cell r="A8" t="str">
            <v>Price &amp; Volume ( USD )</v>
          </cell>
          <cell r="E8" t="str">
            <v>Income Statement (USD, M)</v>
          </cell>
          <cell r="I8" t="str">
            <v>Valuation Ratios (USD)</v>
          </cell>
        </row>
        <row r="9">
          <cell r="A9" t="str">
            <v>Price</v>
          </cell>
          <cell r="F9" t="str">
            <v>LFI</v>
          </cell>
          <cell r="G9" t="str">
            <v>LTM</v>
          </cell>
          <cell r="H9" t="str">
            <v>LFY</v>
          </cell>
          <cell r="J9" t="str">
            <v>Anul</v>
          </cell>
          <cell r="K9" t="str">
            <v>LFI</v>
          </cell>
          <cell r="L9" t="str">
            <v>LTM</v>
          </cell>
          <cell r="M9" t="str">
            <v>LFY</v>
          </cell>
        </row>
        <row r="10">
          <cell r="A10" t="str">
            <v>     Close:</v>
          </cell>
          <cell r="B10" t="str">
            <v>43.01 (26-Mar-2012)</v>
          </cell>
          <cell r="E10" t="str">
            <v>Total Revenue:</v>
          </cell>
          <cell r="F10">
            <v>1680</v>
          </cell>
          <cell r="G10">
            <v>6903</v>
          </cell>
          <cell r="H10">
            <v>6858</v>
          </cell>
          <cell r="I10" t="str">
            <v>Curr Price/Rev/Shr:</v>
          </cell>
          <cell r="J10">
            <v>2.21</v>
          </cell>
          <cell r="L10">
            <v>2.16</v>
          </cell>
          <cell r="M10">
            <v>2.1800000000000002</v>
          </cell>
        </row>
        <row r="11">
          <cell r="A11" t="str">
            <v>     52 Wk High:</v>
          </cell>
          <cell r="B11" t="str">
            <v>46.28 (26-Mar-2012)</v>
          </cell>
          <cell r="E11" t="str">
            <v>EBITDA:</v>
          </cell>
          <cell r="F11">
            <v>363</v>
          </cell>
          <cell r="G11">
            <v>1436</v>
          </cell>
          <cell r="H11">
            <v>1426</v>
          </cell>
          <cell r="I11" t="str">
            <v>Curr P/E Excl Extra, LTM:</v>
          </cell>
          <cell r="L11">
            <v>13.77</v>
          </cell>
        </row>
        <row r="12">
          <cell r="A12" t="str">
            <v>     52 Wk Low:</v>
          </cell>
          <cell r="B12" t="str">
            <v>35.32 (23-Jul-2012)</v>
          </cell>
          <cell r="E12" t="str">
            <v>EBIT:</v>
          </cell>
          <cell r="F12">
            <v>217</v>
          </cell>
          <cell r="G12">
            <v>1051</v>
          </cell>
          <cell r="H12">
            <v>1119</v>
          </cell>
          <cell r="I12" t="str">
            <v>P/E Excl. Extra Items:</v>
          </cell>
          <cell r="M12">
            <v>13.17</v>
          </cell>
        </row>
        <row r="13">
          <cell r="A13" t="str">
            <v>Price % Change</v>
          </cell>
          <cell r="E13" t="str">
            <v>Income Before Tax:</v>
          </cell>
          <cell r="F13">
            <v>195</v>
          </cell>
          <cell r="G13">
            <v>982</v>
          </cell>
          <cell r="H13">
            <v>1043</v>
          </cell>
          <cell r="I13" t="str">
            <v>Curr P/E Normalized, LFY:</v>
          </cell>
          <cell r="M13">
            <v>15.78</v>
          </cell>
        </row>
        <row r="14">
          <cell r="A14" t="str">
            <v>     1-Day:</v>
          </cell>
          <cell r="B14">
            <v>1.7999999999999999E-2</v>
          </cell>
          <cell r="E14" t="str">
            <v>Income After Tax:</v>
          </cell>
          <cell r="F14">
            <v>179</v>
          </cell>
          <cell r="G14">
            <v>1102</v>
          </cell>
          <cell r="H14">
            <v>1153</v>
          </cell>
          <cell r="I14" t="str">
            <v>Curr Price/CF/Shr:</v>
          </cell>
          <cell r="J14">
            <v>11.45</v>
          </cell>
          <cell r="L14">
            <v>10.039999999999999</v>
          </cell>
          <cell r="M14">
            <v>10.220000000000001</v>
          </cell>
        </row>
        <row r="15">
          <cell r="A15" t="str">
            <v>     1M:</v>
          </cell>
          <cell r="B15">
            <v>-2.58E-2</v>
          </cell>
          <cell r="E15" t="str">
            <v>Income Avail Comm:</v>
          </cell>
          <cell r="F15">
            <v>179</v>
          </cell>
          <cell r="G15">
            <v>1102</v>
          </cell>
          <cell r="H15">
            <v>1153</v>
          </cell>
          <cell r="I15" t="str">
            <v>Curr Price/Tang Bk, Tot Eqty:</v>
          </cell>
          <cell r="J15">
            <v>12.35</v>
          </cell>
          <cell r="M15">
            <v>13.93</v>
          </cell>
        </row>
        <row r="16">
          <cell r="A16" t="str">
            <v>     3M:</v>
          </cell>
          <cell r="B16">
            <v>0.14660000000000001</v>
          </cell>
          <cell r="E16" t="str">
            <v>Dilut Shrs Out Avg:</v>
          </cell>
          <cell r="F16">
            <v>352</v>
          </cell>
          <cell r="G16">
            <v>353</v>
          </cell>
          <cell r="H16">
            <v>353</v>
          </cell>
          <cell r="I16" t="str">
            <v>Curr EV/Tot Revenue (LFI/LTM):</v>
          </cell>
          <cell r="J16">
            <v>2.15</v>
          </cell>
        </row>
        <row r="17">
          <cell r="A17" t="str">
            <v>     6M:</v>
          </cell>
          <cell r="B17">
            <v>0.15559999999999999</v>
          </cell>
          <cell r="E17" t="str">
            <v>Income</v>
          </cell>
          <cell r="I17" t="str">
            <v>Curr EV/EBITDA (LFI/LTM):</v>
          </cell>
          <cell r="J17">
            <v>10.33</v>
          </cell>
        </row>
        <row r="18">
          <cell r="A18" t="str">
            <v>     1Y:</v>
          </cell>
          <cell r="B18">
            <v>-3.0000000000000001E-3</v>
          </cell>
          <cell r="E18" t="str">
            <v>     Bef Tax, Normalized, LFY:</v>
          </cell>
          <cell r="F18">
            <v>1172</v>
          </cell>
          <cell r="I18" t="str">
            <v>Curr EV/EBIT (LFI/LTM):</v>
          </cell>
          <cell r="J18">
            <v>14.7</v>
          </cell>
        </row>
        <row r="19">
          <cell r="A19" t="str">
            <v>     YTD:</v>
          </cell>
          <cell r="B19">
            <v>5.0599999999999999E-2</v>
          </cell>
          <cell r="E19" t="str">
            <v>     Aft Tax, Normalized, LFY:</v>
          </cell>
          <cell r="F19">
            <v>962</v>
          </cell>
          <cell r="I19" t="str">
            <v>Curr Mkt Cap (m):</v>
          </cell>
          <cell r="J19">
            <v>14923.09</v>
          </cell>
        </row>
        <row r="20">
          <cell r="A20" t="str">
            <v>10 Day Avg Daily Vol:</v>
          </cell>
          <cell r="B20">
            <v>3984665</v>
          </cell>
          <cell r="E20" t="str">
            <v>     Avail Comm, Normalized, LFY:</v>
          </cell>
          <cell r="F20">
            <v>962</v>
          </cell>
          <cell r="I20" t="str">
            <v>(+) Tot Debt Cap, LFI (m):</v>
          </cell>
          <cell r="J20">
            <v>2364</v>
          </cell>
        </row>
        <row r="21">
          <cell r="A21" t="str">
            <v>90 Day Avg Vol (M):</v>
          </cell>
          <cell r="B21" t="str">
            <v>3.55 (M)</v>
          </cell>
          <cell r="E21" t="str">
            <v>Profitability Ratios (%)</v>
          </cell>
          <cell r="I21" t="str">
            <v>(-) Cash &amp; Equiv, LFI (m):</v>
          </cell>
          <cell r="J21">
            <v>2450</v>
          </cell>
        </row>
        <row r="22">
          <cell r="A22" t="str">
            <v>Beta 5Yr Monthly:</v>
          </cell>
          <cell r="B22">
            <v>1.51</v>
          </cell>
          <cell r="F22" t="str">
            <v>LFI</v>
          </cell>
          <cell r="G22" t="str">
            <v>LTM</v>
          </cell>
          <cell r="H22" t="str">
            <v>LFY</v>
          </cell>
          <cell r="I22" t="str">
            <v>(=) Curr EV, LFI (m):</v>
          </cell>
          <cell r="J22">
            <v>14837.09</v>
          </cell>
        </row>
        <row r="23">
          <cell r="A23" t="str">
            <v>Per Share</v>
          </cell>
          <cell r="E23" t="str">
            <v>Gross Profit % Margin:</v>
          </cell>
          <cell r="F23">
            <v>52.38</v>
          </cell>
          <cell r="G23">
            <v>52.3</v>
          </cell>
          <cell r="H23">
            <v>52.55</v>
          </cell>
          <cell r="I23" t="str">
            <v>Curr EV/Tot Revenue (LFY):</v>
          </cell>
          <cell r="J23">
            <v>2.1800000000000002</v>
          </cell>
        </row>
        <row r="24">
          <cell r="A24" t="str">
            <v>x</v>
          </cell>
          <cell r="B24" t="str">
            <v>LFI</v>
          </cell>
          <cell r="C24" t="str">
            <v>LTM</v>
          </cell>
          <cell r="D24" t="str">
            <v>LFY</v>
          </cell>
          <cell r="E24" t="str">
            <v>EBITDA % Margin:</v>
          </cell>
          <cell r="F24">
            <v>21.61</v>
          </cell>
          <cell r="G24">
            <v>20.8</v>
          </cell>
          <cell r="H24">
            <v>20.79</v>
          </cell>
          <cell r="I24" t="str">
            <v>Curr EV/EBITDA (LFY):</v>
          </cell>
          <cell r="J24">
            <v>10.47</v>
          </cell>
        </row>
        <row r="25">
          <cell r="A25" t="str">
            <v>Revenue/Shr (dil.):</v>
          </cell>
          <cell r="B25">
            <v>4.7699999999999996</v>
          </cell>
          <cell r="C25">
            <v>19.559999999999999</v>
          </cell>
          <cell r="D25">
            <v>19.43</v>
          </cell>
          <cell r="E25" t="str">
            <v>Oper Income % Margin:</v>
          </cell>
          <cell r="F25">
            <v>12.92</v>
          </cell>
          <cell r="G25">
            <v>15.23</v>
          </cell>
          <cell r="H25">
            <v>16.32</v>
          </cell>
          <cell r="I25" t="str">
            <v>Curr EV/EBIT (LFY):</v>
          </cell>
          <cell r="J25">
            <v>11.14</v>
          </cell>
        </row>
        <row r="26">
          <cell r="A26" t="str">
            <v>EPS Excl Extra (dil.):</v>
          </cell>
          <cell r="B26">
            <v>0.51</v>
          </cell>
          <cell r="C26">
            <v>3.12</v>
          </cell>
          <cell r="D26">
            <v>3.27</v>
          </cell>
          <cell r="E26" t="str">
            <v>Income Bef Tax % Margin:</v>
          </cell>
          <cell r="F26">
            <v>11.61</v>
          </cell>
          <cell r="G26">
            <v>14.23</v>
          </cell>
          <cell r="H26">
            <v>15.21</v>
          </cell>
          <cell r="I26" t="str">
            <v>Curr Mkt Cap (m):</v>
          </cell>
          <cell r="J26">
            <v>14923.09</v>
          </cell>
        </row>
        <row r="27">
          <cell r="A27" t="str">
            <v>EPS Incl Extra (dil.):</v>
          </cell>
          <cell r="B27">
            <v>0.51</v>
          </cell>
          <cell r="C27">
            <v>3.12</v>
          </cell>
          <cell r="D27">
            <v>3.27</v>
          </cell>
          <cell r="E27" t="str">
            <v>Income Aft Tax % Margin:</v>
          </cell>
          <cell r="F27">
            <v>10.65</v>
          </cell>
          <cell r="G27">
            <v>15.96</v>
          </cell>
          <cell r="H27">
            <v>16.809999999999999</v>
          </cell>
          <cell r="I27" t="str">
            <v>(+) Tot Debt Cap, LFY (m):</v>
          </cell>
          <cell r="J27">
            <v>2365</v>
          </cell>
        </row>
        <row r="28">
          <cell r="A28" t="str">
            <v>EPS Normalized (dil.):</v>
          </cell>
          <cell r="B28">
            <v>0.62</v>
          </cell>
          <cell r="C28">
            <v>3.82</v>
          </cell>
          <cell r="D28">
            <v>2.73</v>
          </cell>
          <cell r="E28" t="str">
            <v>Growth Rates (%)</v>
          </cell>
          <cell r="I28" t="str">
            <v>(-) Cash &amp; Equiv, LFY (m):</v>
          </cell>
          <cell r="J28">
            <v>2351</v>
          </cell>
        </row>
        <row r="29">
          <cell r="A29" t="str">
            <v>Div/Shr Comm Stk Primary:</v>
          </cell>
          <cell r="B29">
            <v>0.22</v>
          </cell>
          <cell r="C29">
            <v>0.42</v>
          </cell>
          <cell r="D29">
            <v>0.3</v>
          </cell>
          <cell r="F29" t="str">
            <v>LFI</v>
          </cell>
          <cell r="G29" t="str">
            <v>LTM</v>
          </cell>
          <cell r="H29" t="str">
            <v>LFY</v>
          </cell>
          <cell r="I29" t="str">
            <v>(=) Curr EV, LFY (m):</v>
          </cell>
          <cell r="J29">
            <v>14937.09</v>
          </cell>
        </row>
        <row r="30">
          <cell r="A30" t="str">
            <v>Tot Cash &amp; ST Invest/Shr:</v>
          </cell>
          <cell r="B30">
            <v>7.06</v>
          </cell>
          <cell r="C30" t="str">
            <v>--</v>
          </cell>
          <cell r="D30">
            <v>6.79</v>
          </cell>
          <cell r="E30" t="str">
            <v>Revenue, %Yr/Yr:</v>
          </cell>
          <cell r="F30">
            <v>2.75E-2</v>
          </cell>
          <cell r="G30">
            <v>2.5600000000000001E-2</v>
          </cell>
          <cell r="H30">
            <v>3.6700000000000003E-2</v>
          </cell>
          <cell r="I30" t="str">
            <v>Financial Strength</v>
          </cell>
        </row>
        <row r="31">
          <cell r="A31" t="str">
            <v>Cash Flow/Shr (dil.):</v>
          </cell>
          <cell r="B31">
            <v>0.92</v>
          </cell>
          <cell r="C31">
            <v>4.21</v>
          </cell>
          <cell r="D31">
            <v>4.1399999999999997</v>
          </cell>
          <cell r="E31" t="str">
            <v>Revenue</v>
          </cell>
          <cell r="K31" t="str">
            <v>LFI</v>
          </cell>
          <cell r="L31" t="str">
            <v>LFY</v>
          </cell>
        </row>
        <row r="32">
          <cell r="A32" t="str">
            <v>Bk Val/Shr, Tot Eqty:</v>
          </cell>
          <cell r="B32">
            <v>15.41</v>
          </cell>
          <cell r="C32" t="str">
            <v>--</v>
          </cell>
          <cell r="D32">
            <v>14.98</v>
          </cell>
          <cell r="E32" t="str">
            <v>     5 Yr. Growth Rate:</v>
          </cell>
          <cell r="F32">
            <v>4.82E-2</v>
          </cell>
          <cell r="I32" t="str">
            <v>Quick Ratio:</v>
          </cell>
          <cell r="K32">
            <v>1.99</v>
          </cell>
          <cell r="L32">
            <v>1.91</v>
          </cell>
        </row>
        <row r="33">
          <cell r="A33" t="str">
            <v>Tang Bk Value, Tot Eqty:</v>
          </cell>
          <cell r="B33">
            <v>3.48</v>
          </cell>
          <cell r="C33" t="str">
            <v>--</v>
          </cell>
          <cell r="D33">
            <v>3.1</v>
          </cell>
          <cell r="E33" t="str">
            <v>     10 Yr. Growth Rate:</v>
          </cell>
          <cell r="F33">
            <v>1.3299999999999999E-2</v>
          </cell>
          <cell r="I33" t="str">
            <v>Curr Ratio:</v>
          </cell>
          <cell r="K33">
            <v>2.5499999999999998</v>
          </cell>
          <cell r="L33">
            <v>2.4500000000000002</v>
          </cell>
        </row>
        <row r="34">
          <cell r="A34" t="str">
            <v>Dividends</v>
          </cell>
          <cell r="E34" t="str">
            <v>EPS, %Yr/Yr:</v>
          </cell>
          <cell r="F34">
            <v>-0.2195</v>
          </cell>
          <cell r="G34">
            <v>5.3400000000000003E-2</v>
          </cell>
          <cell r="H34">
            <v>0.14580000000000001</v>
          </cell>
          <cell r="I34" t="str">
            <v>LT Debt/Tot Eqty:</v>
          </cell>
          <cell r="K34">
            <v>39.47</v>
          </cell>
          <cell r="L34">
            <v>40.76</v>
          </cell>
        </row>
        <row r="35">
          <cell r="A35" t="str">
            <v>Dividend Yield:</v>
          </cell>
          <cell r="B35">
            <v>1.1200000000000001</v>
          </cell>
          <cell r="E35" t="str">
            <v>EPS</v>
          </cell>
          <cell r="I35" t="str">
            <v>LT Debt/Tot Assets:</v>
          </cell>
          <cell r="K35">
            <v>19.82</v>
          </cell>
          <cell r="L35">
            <v>20.05</v>
          </cell>
        </row>
        <row r="36">
          <cell r="A36" t="str">
            <v>Annual Dividend - 5 Yr. Avg:</v>
          </cell>
          <cell r="B36">
            <v>0.06</v>
          </cell>
          <cell r="E36" t="str">
            <v>     5 Yr. Growth Rate:</v>
          </cell>
          <cell r="F36">
            <v>0.15759999999999999</v>
          </cell>
          <cell r="I36" t="str">
            <v>Tot Debt/Tot Eqty:</v>
          </cell>
          <cell r="K36">
            <v>44.15</v>
          </cell>
          <cell r="L36">
            <v>45.58</v>
          </cell>
        </row>
        <row r="37">
          <cell r="A37" t="str">
            <v>Dividend 5 Yr. Growth Rate:</v>
          </cell>
          <cell r="B37" t="str">
            <v>--</v>
          </cell>
          <cell r="E37" t="str">
            <v>     10 Yr. Growth Rate:</v>
          </cell>
          <cell r="F37" t="str">
            <v>--</v>
          </cell>
          <cell r="I37" t="str">
            <v>Management Effectiveness (%)</v>
          </cell>
        </row>
        <row r="38">
          <cell r="A38" t="str">
            <v>Dividend Payout Ratio</v>
          </cell>
          <cell r="E38" t="str">
            <v>Dividend</v>
          </cell>
          <cell r="J38" t="str">
            <v>LFI</v>
          </cell>
          <cell r="K38" t="str">
            <v>LTM</v>
          </cell>
          <cell r="L38" t="str">
            <v>LFY</v>
          </cell>
        </row>
        <row r="39">
          <cell r="A39" t="str">
            <v>     LFI:</v>
          </cell>
          <cell r="B39">
            <v>42.65</v>
          </cell>
          <cell r="E39" t="str">
            <v>     %Yr/Yr, LFY:</v>
          </cell>
          <cell r="F39" t="str">
            <v>--</v>
          </cell>
          <cell r="I39" t="str">
            <v>ROC Tot LT Cap:</v>
          </cell>
          <cell r="J39">
            <v>2.0499999999999998</v>
          </cell>
          <cell r="K39">
            <v>13.61</v>
          </cell>
          <cell r="L39">
            <v>14.55</v>
          </cell>
        </row>
        <row r="40">
          <cell r="A40" t="str">
            <v>     LTM:</v>
          </cell>
          <cell r="B40">
            <v>13.23</v>
          </cell>
          <cell r="E40" t="str">
            <v>     5 Yr. Growth Rate:</v>
          </cell>
          <cell r="F40" t="str">
            <v>--</v>
          </cell>
          <cell r="I40" t="str">
            <v>ROE Comm Eqty:</v>
          </cell>
          <cell r="J40">
            <v>13.64</v>
          </cell>
          <cell r="K40">
            <v>22.39</v>
          </cell>
          <cell r="L40">
            <v>24.3</v>
          </cell>
        </row>
        <row r="41">
          <cell r="A41" t="str">
            <v>     LFY:</v>
          </cell>
          <cell r="B41">
            <v>9.02</v>
          </cell>
          <cell r="E41" t="str">
            <v>     10 Yr. Growth Rate:</v>
          </cell>
          <cell r="F41" t="str">
            <v>--</v>
          </cell>
          <cell r="I41" t="str">
            <v>ROA Tot Assets:</v>
          </cell>
          <cell r="J41">
            <v>6.78</v>
          </cell>
          <cell r="K41">
            <v>11.16</v>
          </cell>
          <cell r="L41">
            <v>11.77</v>
          </cell>
        </row>
        <row r="42">
          <cell r="A42" t="str">
            <v>Frequency:</v>
          </cell>
          <cell r="B42" t="str">
            <v>Quarterly dividend</v>
          </cell>
          <cell r="I42" t="str">
            <v>Employees</v>
          </cell>
        </row>
        <row r="43">
          <cell r="A43" t="str">
            <v>Last Dividend</v>
          </cell>
          <cell r="I43" t="str">
            <v>No. of Employees:</v>
          </cell>
          <cell r="J43">
            <v>20500</v>
          </cell>
        </row>
        <row r="44">
          <cell r="A44" t="str">
            <v>     Decl:</v>
          </cell>
          <cell r="B44">
            <v>0.12</v>
          </cell>
          <cell r="J44" t="str">
            <v>Anul</v>
          </cell>
          <cell r="K44" t="str">
            <v>LTM</v>
          </cell>
          <cell r="L44" t="str">
            <v>LFY</v>
          </cell>
        </row>
        <row r="45">
          <cell r="A45" t="str">
            <v>     Pay Date:</v>
          </cell>
          <cell r="B45">
            <v>41387</v>
          </cell>
          <cell r="I45" t="str">
            <v>Tot Revenue/Employee:</v>
          </cell>
          <cell r="J45">
            <v>328705.44</v>
          </cell>
          <cell r="K45">
            <v>336731.71</v>
          </cell>
          <cell r="L45">
            <v>349897.96</v>
          </cell>
        </row>
        <row r="46">
          <cell r="A46" t="str">
            <v>     Ex-Date:</v>
          </cell>
          <cell r="B46">
            <v>41360</v>
          </cell>
          <cell r="I46" t="str">
            <v>Inc. Aft Tax/Employee:</v>
          </cell>
          <cell r="J46">
            <v>35022.78</v>
          </cell>
          <cell r="K46">
            <v>53756.1</v>
          </cell>
          <cell r="L46">
            <v>58826.53</v>
          </cell>
        </row>
        <row r="47">
          <cell r="A47" t="str">
            <v>LFY: Latest Fiscal Year</v>
          </cell>
        </row>
        <row r="48">
          <cell r="A48" t="str">
            <v>LFI: Latest Fiscal Interim</v>
          </cell>
        </row>
        <row r="49">
          <cell r="A49" t="str">
            <v>LTM: Latest 12 Months</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1"/>
  </sheetPr>
  <dimension ref="B3:P44"/>
  <sheetViews>
    <sheetView showGridLines="0" zoomScaleNormal="100" workbookViewId="0"/>
  </sheetViews>
  <sheetFormatPr defaultRowHeight="12.75" x14ac:dyDescent="0.2"/>
  <cols>
    <col min="1" max="1" width="2.7109375" style="5" customWidth="1"/>
    <col min="2" max="2" width="4" style="5" customWidth="1"/>
    <col min="3" max="3" width="9.140625" style="5"/>
    <col min="4" max="4" width="20.28515625" style="5" bestFit="1" customWidth="1"/>
    <col min="5" max="11" width="9.140625" style="5"/>
    <col min="12" max="12" width="4" style="6" customWidth="1"/>
    <col min="13" max="16384" width="9.140625" style="5"/>
  </cols>
  <sheetData>
    <row r="3" spans="2:16" x14ac:dyDescent="0.2">
      <c r="C3" s="6"/>
      <c r="D3" s="6"/>
      <c r="E3" s="6"/>
    </row>
    <row r="4" spans="2:16" x14ac:dyDescent="0.2">
      <c r="C4" s="7"/>
      <c r="D4" s="7"/>
      <c r="E4" s="7"/>
    </row>
    <row r="5" spans="2:16" ht="15" customHeight="1" x14ac:dyDescent="0.2">
      <c r="C5" s="8"/>
      <c r="D5" s="8"/>
      <c r="E5" s="9"/>
    </row>
    <row r="6" spans="2:16" x14ac:dyDescent="0.2">
      <c r="C6" s="8"/>
      <c r="D6" s="10"/>
      <c r="E6" s="9"/>
    </row>
    <row r="7" spans="2:16" x14ac:dyDescent="0.2">
      <c r="B7" s="11"/>
      <c r="C7" s="18"/>
      <c r="D7" s="18"/>
      <c r="E7" s="18"/>
      <c r="F7" s="18"/>
      <c r="G7" s="18"/>
      <c r="H7" s="18"/>
      <c r="I7" s="18"/>
      <c r="J7" s="18"/>
      <c r="K7" s="18"/>
      <c r="L7" s="18"/>
      <c r="M7" s="18"/>
      <c r="N7" s="18"/>
      <c r="O7" s="18"/>
      <c r="P7" s="12"/>
    </row>
    <row r="8" spans="2:16" x14ac:dyDescent="0.2">
      <c r="B8" s="13"/>
      <c r="C8" s="35" t="s">
        <v>0</v>
      </c>
      <c r="D8" s="35"/>
      <c r="E8" s="35"/>
      <c r="F8" s="35"/>
      <c r="G8" s="35"/>
      <c r="H8" s="35"/>
      <c r="I8" s="35"/>
      <c r="J8" s="35"/>
      <c r="K8" s="35"/>
      <c r="L8" s="35"/>
      <c r="M8" s="35"/>
      <c r="N8" s="35"/>
      <c r="O8" s="35"/>
      <c r="P8" s="14"/>
    </row>
    <row r="9" spans="2:16" x14ac:dyDescent="0.2">
      <c r="B9" s="13"/>
      <c r="C9" s="35"/>
      <c r="D9" s="35"/>
      <c r="E9" s="35"/>
      <c r="F9" s="35"/>
      <c r="G9" s="35"/>
      <c r="H9" s="35"/>
      <c r="I9" s="35"/>
      <c r="J9" s="35"/>
      <c r="K9" s="35"/>
      <c r="L9" s="35"/>
      <c r="M9" s="35"/>
      <c r="N9" s="35"/>
      <c r="O9" s="35"/>
      <c r="P9" s="14"/>
    </row>
    <row r="10" spans="2:16" ht="12.75" customHeight="1" x14ac:dyDescent="0.2">
      <c r="B10" s="13"/>
      <c r="C10" s="35"/>
      <c r="D10" s="35"/>
      <c r="E10" s="35"/>
      <c r="F10" s="35"/>
      <c r="G10" s="35"/>
      <c r="H10" s="35"/>
      <c r="I10" s="35"/>
      <c r="J10" s="35"/>
      <c r="K10" s="35"/>
      <c r="L10" s="35"/>
      <c r="M10" s="35"/>
      <c r="N10" s="35"/>
      <c r="O10" s="35"/>
      <c r="P10" s="14"/>
    </row>
    <row r="11" spans="2:16" x14ac:dyDescent="0.2">
      <c r="B11" s="13"/>
      <c r="C11" s="35"/>
      <c r="D11" s="35"/>
      <c r="E11" s="35"/>
      <c r="F11" s="35"/>
      <c r="G11" s="35"/>
      <c r="H11" s="35"/>
      <c r="I11" s="35"/>
      <c r="J11" s="35"/>
      <c r="K11" s="35"/>
      <c r="L11" s="35"/>
      <c r="M11" s="35"/>
      <c r="N11" s="35"/>
      <c r="O11" s="35"/>
      <c r="P11" s="14"/>
    </row>
    <row r="12" spans="2:16" x14ac:dyDescent="0.2">
      <c r="B12" s="13"/>
      <c r="C12" s="35"/>
      <c r="D12" s="35"/>
      <c r="E12" s="35"/>
      <c r="F12" s="35"/>
      <c r="G12" s="35"/>
      <c r="H12" s="35"/>
      <c r="I12" s="35"/>
      <c r="J12" s="35"/>
      <c r="K12" s="35"/>
      <c r="L12" s="35"/>
      <c r="M12" s="35"/>
      <c r="N12" s="35"/>
      <c r="O12" s="35"/>
      <c r="P12" s="14"/>
    </row>
    <row r="13" spans="2:16" x14ac:dyDescent="0.2">
      <c r="B13" s="13"/>
      <c r="C13" s="35"/>
      <c r="D13" s="35"/>
      <c r="E13" s="35"/>
      <c r="F13" s="35"/>
      <c r="G13" s="35"/>
      <c r="H13" s="35"/>
      <c r="I13" s="35"/>
      <c r="J13" s="35"/>
      <c r="K13" s="35"/>
      <c r="L13" s="35"/>
      <c r="M13" s="35"/>
      <c r="N13" s="35"/>
      <c r="O13" s="35"/>
      <c r="P13" s="14"/>
    </row>
    <row r="14" spans="2:16" x14ac:dyDescent="0.2">
      <c r="B14" s="13"/>
      <c r="C14" s="35"/>
      <c r="D14" s="35"/>
      <c r="E14" s="35"/>
      <c r="F14" s="35"/>
      <c r="G14" s="35"/>
      <c r="H14" s="35"/>
      <c r="I14" s="35"/>
      <c r="J14" s="35"/>
      <c r="K14" s="35"/>
      <c r="L14" s="35"/>
      <c r="M14" s="35"/>
      <c r="N14" s="35"/>
      <c r="O14" s="35"/>
      <c r="P14" s="14"/>
    </row>
    <row r="15" spans="2:16" x14ac:dyDescent="0.2">
      <c r="B15" s="13"/>
      <c r="C15" s="35"/>
      <c r="D15" s="35"/>
      <c r="E15" s="35"/>
      <c r="F15" s="35"/>
      <c r="G15" s="35"/>
      <c r="H15" s="35"/>
      <c r="I15" s="35"/>
      <c r="J15" s="35"/>
      <c r="K15" s="35"/>
      <c r="L15" s="35"/>
      <c r="M15" s="35"/>
      <c r="N15" s="35"/>
      <c r="O15" s="35"/>
      <c r="P15" s="14"/>
    </row>
    <row r="16" spans="2:16" x14ac:dyDescent="0.2">
      <c r="B16" s="13"/>
      <c r="C16" s="35"/>
      <c r="D16" s="35"/>
      <c r="E16" s="35"/>
      <c r="F16" s="35"/>
      <c r="G16" s="35"/>
      <c r="H16" s="35"/>
      <c r="I16" s="35"/>
      <c r="J16" s="35"/>
      <c r="K16" s="35"/>
      <c r="L16" s="35"/>
      <c r="M16" s="35"/>
      <c r="N16" s="35"/>
      <c r="O16" s="35"/>
      <c r="P16" s="14"/>
    </row>
    <row r="17" spans="2:16" x14ac:dyDescent="0.2">
      <c r="B17" s="13"/>
      <c r="C17" s="35"/>
      <c r="D17" s="35"/>
      <c r="E17" s="35"/>
      <c r="F17" s="35"/>
      <c r="G17" s="35"/>
      <c r="H17" s="35"/>
      <c r="I17" s="35"/>
      <c r="J17" s="35"/>
      <c r="K17" s="35"/>
      <c r="L17" s="35"/>
      <c r="M17" s="35"/>
      <c r="N17" s="35"/>
      <c r="O17" s="35"/>
      <c r="P17" s="14"/>
    </row>
    <row r="18" spans="2:16" x14ac:dyDescent="0.2">
      <c r="B18" s="13"/>
      <c r="C18" s="35"/>
      <c r="D18" s="35"/>
      <c r="E18" s="35"/>
      <c r="F18" s="35"/>
      <c r="G18" s="35"/>
      <c r="H18" s="35"/>
      <c r="I18" s="35"/>
      <c r="J18" s="35"/>
      <c r="K18" s="35"/>
      <c r="L18" s="35"/>
      <c r="M18" s="35"/>
      <c r="N18" s="35"/>
      <c r="O18" s="35"/>
      <c r="P18" s="14"/>
    </row>
    <row r="19" spans="2:16" x14ac:dyDescent="0.2">
      <c r="B19" s="13"/>
      <c r="C19" s="35"/>
      <c r="D19" s="35"/>
      <c r="E19" s="35"/>
      <c r="F19" s="35"/>
      <c r="G19" s="35"/>
      <c r="H19" s="35"/>
      <c r="I19" s="35"/>
      <c r="J19" s="35"/>
      <c r="K19" s="35"/>
      <c r="L19" s="35"/>
      <c r="M19" s="35"/>
      <c r="N19" s="35"/>
      <c r="O19" s="35"/>
      <c r="P19" s="14"/>
    </row>
    <row r="20" spans="2:16" x14ac:dyDescent="0.2">
      <c r="B20" s="13"/>
      <c r="C20" s="35"/>
      <c r="D20" s="35"/>
      <c r="E20" s="35"/>
      <c r="F20" s="35"/>
      <c r="G20" s="35"/>
      <c r="H20" s="35"/>
      <c r="I20" s="35"/>
      <c r="J20" s="35"/>
      <c r="K20" s="35"/>
      <c r="L20" s="35"/>
      <c r="M20" s="35"/>
      <c r="N20" s="35"/>
      <c r="O20" s="35"/>
      <c r="P20" s="14"/>
    </row>
    <row r="21" spans="2:16" x14ac:dyDescent="0.2">
      <c r="B21" s="13"/>
      <c r="C21" s="35"/>
      <c r="D21" s="35"/>
      <c r="E21" s="35"/>
      <c r="F21" s="35"/>
      <c r="G21" s="35"/>
      <c r="H21" s="35"/>
      <c r="I21" s="35"/>
      <c r="J21" s="35"/>
      <c r="K21" s="35"/>
      <c r="L21" s="35"/>
      <c r="M21" s="35"/>
      <c r="N21" s="35"/>
      <c r="O21" s="35"/>
      <c r="P21" s="14"/>
    </row>
    <row r="22" spans="2:16" x14ac:dyDescent="0.2">
      <c r="B22" s="13"/>
      <c r="C22" s="35"/>
      <c r="D22" s="35"/>
      <c r="E22" s="35"/>
      <c r="F22" s="35"/>
      <c r="G22" s="35"/>
      <c r="H22" s="35"/>
      <c r="I22" s="35"/>
      <c r="J22" s="35"/>
      <c r="K22" s="35"/>
      <c r="L22" s="35"/>
      <c r="M22" s="35"/>
      <c r="N22" s="35"/>
      <c r="O22" s="35"/>
      <c r="P22" s="14"/>
    </row>
    <row r="23" spans="2:16" x14ac:dyDescent="0.2">
      <c r="B23" s="13"/>
      <c r="C23" s="35"/>
      <c r="D23" s="35"/>
      <c r="E23" s="35"/>
      <c r="F23" s="35"/>
      <c r="G23" s="35"/>
      <c r="H23" s="35"/>
      <c r="I23" s="35"/>
      <c r="J23" s="35"/>
      <c r="K23" s="35"/>
      <c r="L23" s="35"/>
      <c r="M23" s="35"/>
      <c r="N23" s="35"/>
      <c r="O23" s="35"/>
      <c r="P23" s="14"/>
    </row>
    <row r="24" spans="2:16" x14ac:dyDescent="0.2">
      <c r="B24" s="13"/>
      <c r="C24" s="35"/>
      <c r="D24" s="35"/>
      <c r="E24" s="35"/>
      <c r="F24" s="35"/>
      <c r="G24" s="35"/>
      <c r="H24" s="35"/>
      <c r="I24" s="35"/>
      <c r="J24" s="35"/>
      <c r="K24" s="35"/>
      <c r="L24" s="35"/>
      <c r="M24" s="35"/>
      <c r="N24" s="35"/>
      <c r="O24" s="35"/>
      <c r="P24" s="14"/>
    </row>
    <row r="25" spans="2:16" x14ac:dyDescent="0.2">
      <c r="B25" s="13"/>
      <c r="C25" s="35"/>
      <c r="D25" s="35"/>
      <c r="E25" s="35"/>
      <c r="F25" s="35"/>
      <c r="G25" s="35"/>
      <c r="H25" s="35"/>
      <c r="I25" s="35"/>
      <c r="J25" s="35"/>
      <c r="K25" s="35"/>
      <c r="L25" s="35"/>
      <c r="M25" s="35"/>
      <c r="N25" s="35"/>
      <c r="O25" s="35"/>
      <c r="P25" s="14"/>
    </row>
    <row r="26" spans="2:16" x14ac:dyDescent="0.2">
      <c r="B26" s="13"/>
      <c r="C26" s="35"/>
      <c r="D26" s="35"/>
      <c r="E26" s="35"/>
      <c r="F26" s="35"/>
      <c r="G26" s="35"/>
      <c r="H26" s="35"/>
      <c r="I26" s="35"/>
      <c r="J26" s="35"/>
      <c r="K26" s="35"/>
      <c r="L26" s="35"/>
      <c r="M26" s="35"/>
      <c r="N26" s="35"/>
      <c r="O26" s="35"/>
      <c r="P26" s="14"/>
    </row>
    <row r="27" spans="2:16" x14ac:dyDescent="0.2">
      <c r="B27" s="13"/>
      <c r="C27" s="35"/>
      <c r="D27" s="35"/>
      <c r="E27" s="35"/>
      <c r="F27" s="35"/>
      <c r="G27" s="35"/>
      <c r="H27" s="35"/>
      <c r="I27" s="35"/>
      <c r="J27" s="35"/>
      <c r="K27" s="35"/>
      <c r="L27" s="35"/>
      <c r="M27" s="35"/>
      <c r="N27" s="35"/>
      <c r="O27" s="35"/>
      <c r="P27" s="14"/>
    </row>
    <row r="28" spans="2:16" x14ac:dyDescent="0.2">
      <c r="B28" s="13"/>
      <c r="C28" s="35"/>
      <c r="D28" s="35"/>
      <c r="E28" s="35"/>
      <c r="F28" s="35"/>
      <c r="G28" s="35"/>
      <c r="H28" s="35"/>
      <c r="I28" s="35"/>
      <c r="J28" s="35"/>
      <c r="K28" s="35"/>
      <c r="L28" s="35"/>
      <c r="M28" s="35"/>
      <c r="N28" s="35"/>
      <c r="O28" s="35"/>
      <c r="P28" s="14"/>
    </row>
    <row r="29" spans="2:16" x14ac:dyDescent="0.2">
      <c r="B29" s="13"/>
      <c r="C29" s="35"/>
      <c r="D29" s="35"/>
      <c r="E29" s="35"/>
      <c r="F29" s="35"/>
      <c r="G29" s="35"/>
      <c r="H29" s="35"/>
      <c r="I29" s="35"/>
      <c r="J29" s="35"/>
      <c r="K29" s="35"/>
      <c r="L29" s="35"/>
      <c r="M29" s="35"/>
      <c r="N29" s="35"/>
      <c r="O29" s="35"/>
      <c r="P29" s="14"/>
    </row>
    <row r="30" spans="2:16" x14ac:dyDescent="0.2">
      <c r="B30" s="13"/>
      <c r="C30" s="35"/>
      <c r="D30" s="35"/>
      <c r="E30" s="35"/>
      <c r="F30" s="35"/>
      <c r="G30" s="35"/>
      <c r="H30" s="35"/>
      <c r="I30" s="35"/>
      <c r="J30" s="35"/>
      <c r="K30" s="35"/>
      <c r="L30" s="35"/>
      <c r="M30" s="35"/>
      <c r="N30" s="35"/>
      <c r="O30" s="35"/>
      <c r="P30" s="14"/>
    </row>
    <row r="31" spans="2:16" x14ac:dyDescent="0.2">
      <c r="B31" s="13"/>
      <c r="C31" s="35"/>
      <c r="D31" s="35"/>
      <c r="E31" s="35"/>
      <c r="F31" s="35"/>
      <c r="G31" s="35"/>
      <c r="H31" s="35"/>
      <c r="I31" s="35"/>
      <c r="J31" s="35"/>
      <c r="K31" s="35"/>
      <c r="L31" s="35"/>
      <c r="M31" s="35"/>
      <c r="N31" s="35"/>
      <c r="O31" s="35"/>
      <c r="P31" s="14"/>
    </row>
    <row r="32" spans="2:16" x14ac:dyDescent="0.2">
      <c r="B32" s="13"/>
      <c r="C32" s="35"/>
      <c r="D32" s="35"/>
      <c r="E32" s="35"/>
      <c r="F32" s="35"/>
      <c r="G32" s="35"/>
      <c r="H32" s="35"/>
      <c r="I32" s="35"/>
      <c r="J32" s="35"/>
      <c r="K32" s="35"/>
      <c r="L32" s="35"/>
      <c r="M32" s="35"/>
      <c r="N32" s="35"/>
      <c r="O32" s="35"/>
      <c r="P32" s="14"/>
    </row>
    <row r="33" spans="2:16" x14ac:dyDescent="0.2">
      <c r="B33" s="13"/>
      <c r="C33" s="35"/>
      <c r="D33" s="35"/>
      <c r="E33" s="35"/>
      <c r="F33" s="35"/>
      <c r="G33" s="35"/>
      <c r="H33" s="35"/>
      <c r="I33" s="35"/>
      <c r="J33" s="35"/>
      <c r="K33" s="35"/>
      <c r="L33" s="35"/>
      <c r="M33" s="35"/>
      <c r="N33" s="35"/>
      <c r="O33" s="35"/>
      <c r="P33" s="14"/>
    </row>
    <row r="34" spans="2:16" x14ac:dyDescent="0.2">
      <c r="B34" s="13"/>
      <c r="C34" s="35"/>
      <c r="D34" s="35"/>
      <c r="E34" s="35"/>
      <c r="F34" s="35"/>
      <c r="G34" s="35"/>
      <c r="H34" s="35"/>
      <c r="I34" s="35"/>
      <c r="J34" s="35"/>
      <c r="K34" s="35"/>
      <c r="L34" s="35"/>
      <c r="M34" s="35"/>
      <c r="N34" s="35"/>
      <c r="O34" s="35"/>
      <c r="P34" s="14"/>
    </row>
    <row r="35" spans="2:16" x14ac:dyDescent="0.2">
      <c r="B35" s="13"/>
      <c r="C35" s="35"/>
      <c r="D35" s="35"/>
      <c r="E35" s="35"/>
      <c r="F35" s="35"/>
      <c r="G35" s="35"/>
      <c r="H35" s="35"/>
      <c r="I35" s="35"/>
      <c r="J35" s="35"/>
      <c r="K35" s="35"/>
      <c r="L35" s="35"/>
      <c r="M35" s="35"/>
      <c r="N35" s="35"/>
      <c r="O35" s="35"/>
      <c r="P35" s="14"/>
    </row>
    <row r="36" spans="2:16" x14ac:dyDescent="0.2">
      <c r="B36" s="13"/>
      <c r="C36" s="35"/>
      <c r="D36" s="35"/>
      <c r="E36" s="35"/>
      <c r="F36" s="35"/>
      <c r="G36" s="35"/>
      <c r="H36" s="35"/>
      <c r="I36" s="35"/>
      <c r="J36" s="35"/>
      <c r="K36" s="35"/>
      <c r="L36" s="35"/>
      <c r="M36" s="35"/>
      <c r="N36" s="35"/>
      <c r="O36" s="35"/>
      <c r="P36" s="14"/>
    </row>
    <row r="37" spans="2:16" x14ac:dyDescent="0.2">
      <c r="B37" s="13"/>
      <c r="C37" s="35"/>
      <c r="D37" s="35"/>
      <c r="E37" s="35"/>
      <c r="F37" s="35"/>
      <c r="G37" s="35"/>
      <c r="H37" s="35"/>
      <c r="I37" s="35"/>
      <c r="J37" s="35"/>
      <c r="K37" s="35"/>
      <c r="L37" s="35"/>
      <c r="M37" s="35"/>
      <c r="N37" s="35"/>
      <c r="O37" s="35"/>
      <c r="P37" s="14"/>
    </row>
    <row r="38" spans="2:16" x14ac:dyDescent="0.2">
      <c r="B38" s="13"/>
      <c r="C38" s="35"/>
      <c r="D38" s="35"/>
      <c r="E38" s="35"/>
      <c r="F38" s="35"/>
      <c r="G38" s="35"/>
      <c r="H38" s="35"/>
      <c r="I38" s="35"/>
      <c r="J38" s="35"/>
      <c r="K38" s="35"/>
      <c r="L38" s="35"/>
      <c r="M38" s="35"/>
      <c r="N38" s="35"/>
      <c r="O38" s="35"/>
      <c r="P38" s="14"/>
    </row>
    <row r="39" spans="2:16" x14ac:dyDescent="0.2">
      <c r="B39" s="13"/>
      <c r="C39" s="35"/>
      <c r="D39" s="35"/>
      <c r="E39" s="35"/>
      <c r="F39" s="35"/>
      <c r="G39" s="35"/>
      <c r="H39" s="35"/>
      <c r="I39" s="35"/>
      <c r="J39" s="35"/>
      <c r="K39" s="35"/>
      <c r="L39" s="35"/>
      <c r="M39" s="35"/>
      <c r="N39" s="35"/>
      <c r="O39" s="35"/>
      <c r="P39" s="14"/>
    </row>
    <row r="40" spans="2:16" x14ac:dyDescent="0.2">
      <c r="B40" s="13"/>
      <c r="C40" s="35"/>
      <c r="D40" s="35"/>
      <c r="E40" s="35"/>
      <c r="F40" s="35"/>
      <c r="G40" s="35"/>
      <c r="H40" s="35"/>
      <c r="I40" s="35"/>
      <c r="J40" s="35"/>
      <c r="K40" s="35"/>
      <c r="L40" s="35"/>
      <c r="M40" s="35"/>
      <c r="N40" s="35"/>
      <c r="O40" s="35"/>
      <c r="P40" s="14"/>
    </row>
    <row r="41" spans="2:16" x14ac:dyDescent="0.2">
      <c r="B41" s="13"/>
      <c r="C41" s="35"/>
      <c r="D41" s="35"/>
      <c r="E41" s="35"/>
      <c r="F41" s="35"/>
      <c r="G41" s="35"/>
      <c r="H41" s="35"/>
      <c r="I41" s="35"/>
      <c r="J41" s="35"/>
      <c r="K41" s="35"/>
      <c r="L41" s="35"/>
      <c r="M41" s="35"/>
      <c r="N41" s="35"/>
      <c r="O41" s="35"/>
      <c r="P41" s="14"/>
    </row>
    <row r="42" spans="2:16" x14ac:dyDescent="0.2">
      <c r="B42" s="13"/>
      <c r="C42" s="35"/>
      <c r="D42" s="35"/>
      <c r="E42" s="35"/>
      <c r="F42" s="35"/>
      <c r="G42" s="35"/>
      <c r="H42" s="35"/>
      <c r="I42" s="35"/>
      <c r="J42" s="35"/>
      <c r="K42" s="35"/>
      <c r="L42" s="35"/>
      <c r="M42" s="35"/>
      <c r="N42" s="35"/>
      <c r="O42" s="35"/>
      <c r="P42" s="14"/>
    </row>
    <row r="43" spans="2:16" x14ac:dyDescent="0.2">
      <c r="B43" s="13"/>
      <c r="C43" s="35"/>
      <c r="D43" s="35"/>
      <c r="E43" s="35"/>
      <c r="F43" s="35"/>
      <c r="G43" s="35"/>
      <c r="H43" s="35"/>
      <c r="I43" s="35"/>
      <c r="J43" s="35"/>
      <c r="K43" s="35"/>
      <c r="L43" s="35"/>
      <c r="M43" s="35"/>
      <c r="N43" s="35"/>
      <c r="O43" s="35"/>
      <c r="P43" s="14"/>
    </row>
    <row r="44" spans="2:16" x14ac:dyDescent="0.2">
      <c r="B44" s="15"/>
      <c r="C44" s="16"/>
      <c r="D44" s="16"/>
      <c r="E44" s="16"/>
      <c r="F44" s="16"/>
      <c r="G44" s="16"/>
      <c r="H44" s="16"/>
      <c r="I44" s="16"/>
      <c r="J44" s="16"/>
      <c r="K44" s="16"/>
      <c r="L44" s="16"/>
      <c r="M44" s="16"/>
      <c r="N44" s="16"/>
      <c r="O44" s="16"/>
      <c r="P44" s="17"/>
    </row>
  </sheetData>
  <mergeCells count="1">
    <mergeCell ref="C8:O43"/>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6:D161"/>
  <sheetViews>
    <sheetView showGridLines="0" tabSelected="1" zoomScaleNormal="100" workbookViewId="0">
      <pane ySplit="7" topLeftCell="A45" activePane="bottomLeft" state="frozen"/>
      <selection pane="bottomLeft" activeCell="D50" sqref="D50"/>
    </sheetView>
  </sheetViews>
  <sheetFormatPr defaultRowHeight="12" x14ac:dyDescent="0.2"/>
  <cols>
    <col min="1" max="1" width="2.7109375" style="4" customWidth="1"/>
    <col min="2" max="2" width="49.85546875" style="2" customWidth="1"/>
    <col min="3" max="3" width="8" style="2" hidden="1" customWidth="1"/>
    <col min="4" max="4" width="31.140625" style="2" customWidth="1"/>
    <col min="5" max="16384" width="9.140625" style="3"/>
  </cols>
  <sheetData>
    <row r="6" spans="1:4" s="20" customFormat="1" ht="16.5" thickBot="1" x14ac:dyDescent="0.3">
      <c r="A6" s="19"/>
      <c r="B6" s="1" t="s">
        <v>103</v>
      </c>
      <c r="C6" s="33"/>
      <c r="D6" s="34"/>
    </row>
    <row r="7" spans="1:4" ht="12.75" thickBot="1" x14ac:dyDescent="0.25">
      <c r="B7" s="23" t="s">
        <v>99</v>
      </c>
      <c r="C7" s="25" t="s">
        <v>102</v>
      </c>
      <c r="D7" s="24" t="s">
        <v>1</v>
      </c>
    </row>
    <row r="8" spans="1:4" ht="12.75" x14ac:dyDescent="0.2">
      <c r="B8" s="31" t="s">
        <v>170</v>
      </c>
      <c r="C8" s="32" t="s">
        <v>268</v>
      </c>
      <c r="D8" s="28" t="str">
        <f>+HYPERLINK("http://us.ishares.com/content/stream.jsp?url=/content/en_us/repository/resource/ibonds/mini_credit_files/"&amp;C8&amp;".xls&amp;mimeType=application/xls",C8)</f>
        <v>A</v>
      </c>
    </row>
    <row r="9" spans="1:4" ht="12.75" x14ac:dyDescent="0.2">
      <c r="B9" s="21" t="s">
        <v>171</v>
      </c>
      <c r="C9" s="26" t="s">
        <v>35</v>
      </c>
      <c r="D9" s="29" t="str">
        <f t="shared" ref="D9:D71" si="0">+HYPERLINK("http://us.ishares.com/content/stream.jsp?url=/content/en_us/repository/resource/ibonds/mini_credit_files/"&amp;C9&amp;".xls&amp;mimeType=application/xls",C9)</f>
        <v>ABBNVX</v>
      </c>
    </row>
    <row r="10" spans="1:4" ht="12.75" x14ac:dyDescent="0.2">
      <c r="B10" s="21" t="s">
        <v>104</v>
      </c>
      <c r="C10" s="26" t="s">
        <v>105</v>
      </c>
      <c r="D10" s="29" t="str">
        <f t="shared" si="0"/>
        <v>ABBV</v>
      </c>
    </row>
    <row r="11" spans="1:4" ht="12.75" x14ac:dyDescent="0.2">
      <c r="B11" s="21" t="s">
        <v>172</v>
      </c>
      <c r="C11" s="26" t="s">
        <v>39</v>
      </c>
      <c r="D11" s="29" t="str">
        <f t="shared" si="0"/>
        <v>ABIBB</v>
      </c>
    </row>
    <row r="12" spans="1:4" ht="12.75" x14ac:dyDescent="0.2">
      <c r="B12" s="21" t="s">
        <v>173</v>
      </c>
      <c r="C12" s="26" t="s">
        <v>39</v>
      </c>
      <c r="D12" s="29" t="str">
        <f t="shared" si="0"/>
        <v>ABIBB</v>
      </c>
    </row>
    <row r="13" spans="1:4" ht="12.75" x14ac:dyDescent="0.2">
      <c r="B13" s="21" t="s">
        <v>174</v>
      </c>
      <c r="C13" s="26" t="s">
        <v>97</v>
      </c>
      <c r="D13" s="29" t="str">
        <f t="shared" si="0"/>
        <v>ACT</v>
      </c>
    </row>
    <row r="14" spans="1:4" ht="12.75" x14ac:dyDescent="0.2">
      <c r="B14" s="21" t="s">
        <v>3</v>
      </c>
      <c r="C14" s="26" t="s">
        <v>41</v>
      </c>
      <c r="D14" s="29" t="str">
        <f t="shared" si="0"/>
        <v>ADM</v>
      </c>
    </row>
    <row r="15" spans="1:4" ht="12.75" x14ac:dyDescent="0.2">
      <c r="B15" s="21" t="s">
        <v>175</v>
      </c>
      <c r="C15" s="26" t="s">
        <v>269</v>
      </c>
      <c r="D15" s="29" t="str">
        <f t="shared" si="0"/>
        <v>AEE</v>
      </c>
    </row>
    <row r="16" spans="1:4" ht="12.75" x14ac:dyDescent="0.2">
      <c r="B16" s="21" t="s">
        <v>176</v>
      </c>
      <c r="C16" s="26" t="s">
        <v>40</v>
      </c>
      <c r="D16" s="29" t="str">
        <f t="shared" si="0"/>
        <v>AEP</v>
      </c>
    </row>
    <row r="17" spans="2:4" ht="12.75" x14ac:dyDescent="0.2">
      <c r="B17" s="21" t="s">
        <v>131</v>
      </c>
      <c r="C17" s="26" t="s">
        <v>132</v>
      </c>
      <c r="D17" s="29" t="str">
        <f t="shared" si="0"/>
        <v>AGN</v>
      </c>
    </row>
    <row r="18" spans="2:4" ht="12.75" x14ac:dyDescent="0.2">
      <c r="B18" s="21" t="s">
        <v>2</v>
      </c>
      <c r="C18" s="26" t="s">
        <v>36</v>
      </c>
      <c r="D18" s="29" t="str">
        <f t="shared" si="0"/>
        <v>ALTR</v>
      </c>
    </row>
    <row r="19" spans="2:4" ht="12.75" x14ac:dyDescent="0.2">
      <c r="B19" s="21" t="s">
        <v>177</v>
      </c>
      <c r="C19" s="26" t="s">
        <v>134</v>
      </c>
      <c r="D19" s="29" t="str">
        <f t="shared" si="0"/>
        <v>AMGN</v>
      </c>
    </row>
    <row r="20" spans="2:4" ht="12.75" x14ac:dyDescent="0.2">
      <c r="B20" s="21" t="s">
        <v>178</v>
      </c>
      <c r="C20" s="26" t="s">
        <v>133</v>
      </c>
      <c r="D20" s="29" t="str">
        <f t="shared" si="0"/>
        <v>AMXLMM</v>
      </c>
    </row>
    <row r="21" spans="2:4" ht="12.75" x14ac:dyDescent="0.2">
      <c r="B21" s="21" t="s">
        <v>179</v>
      </c>
      <c r="C21" s="26" t="s">
        <v>270</v>
      </c>
      <c r="D21" s="29" t="str">
        <f t="shared" si="0"/>
        <v>AMZN</v>
      </c>
    </row>
    <row r="22" spans="2:4" ht="12.75" x14ac:dyDescent="0.2">
      <c r="B22" s="21" t="s">
        <v>180</v>
      </c>
      <c r="C22" s="26" t="s">
        <v>135</v>
      </c>
      <c r="D22" s="29" t="str">
        <f t="shared" si="0"/>
        <v>APA</v>
      </c>
    </row>
    <row r="23" spans="2:4" ht="12.75" x14ac:dyDescent="0.2">
      <c r="B23" s="21" t="s">
        <v>181</v>
      </c>
      <c r="C23" s="26" t="s">
        <v>38</v>
      </c>
      <c r="D23" s="29" t="str">
        <f t="shared" si="0"/>
        <v>APC</v>
      </c>
    </row>
    <row r="24" spans="2:4" ht="12.75" x14ac:dyDescent="0.2">
      <c r="B24" s="21" t="s">
        <v>4</v>
      </c>
      <c r="C24" s="26" t="s">
        <v>42</v>
      </c>
      <c r="D24" s="29" t="str">
        <f t="shared" si="0"/>
        <v>AZN</v>
      </c>
    </row>
    <row r="25" spans="2:4" ht="12.75" x14ac:dyDescent="0.2">
      <c r="B25" s="21" t="s">
        <v>11</v>
      </c>
      <c r="C25" s="26" t="s">
        <v>52</v>
      </c>
      <c r="D25" s="29" t="str">
        <f t="shared" si="0"/>
        <v>BCR</v>
      </c>
    </row>
    <row r="26" spans="2:4" ht="12.75" x14ac:dyDescent="0.2">
      <c r="B26" s="21" t="s">
        <v>182</v>
      </c>
      <c r="C26" s="26" t="s">
        <v>271</v>
      </c>
      <c r="D26" s="29" t="str">
        <f t="shared" si="0"/>
        <v>BFB</v>
      </c>
    </row>
    <row r="27" spans="2:4" ht="12.75" x14ac:dyDescent="0.2">
      <c r="B27" s="21" t="s">
        <v>183</v>
      </c>
      <c r="C27" s="26" t="s">
        <v>139</v>
      </c>
      <c r="D27" s="29" t="str">
        <f t="shared" si="0"/>
        <v>BG</v>
      </c>
    </row>
    <row r="28" spans="2:4" ht="12.75" x14ac:dyDescent="0.2">
      <c r="B28" s="21" t="s">
        <v>136</v>
      </c>
      <c r="C28" s="26" t="s">
        <v>137</v>
      </c>
      <c r="D28" s="29" t="str">
        <f t="shared" si="0"/>
        <v>BIDU</v>
      </c>
    </row>
    <row r="29" spans="2:4" ht="12.75" x14ac:dyDescent="0.2">
      <c r="B29" s="21" t="s">
        <v>6</v>
      </c>
      <c r="C29" s="26" t="s">
        <v>44</v>
      </c>
      <c r="D29" s="29" t="str">
        <f t="shared" si="0"/>
        <v>BMY</v>
      </c>
    </row>
    <row r="30" spans="2:4" ht="12.75" x14ac:dyDescent="0.2">
      <c r="B30" s="21" t="s">
        <v>184</v>
      </c>
      <c r="C30" s="26" t="s">
        <v>138</v>
      </c>
      <c r="D30" s="29" t="str">
        <f t="shared" si="0"/>
        <v>BNSF</v>
      </c>
    </row>
    <row r="31" spans="2:4" ht="12.75" x14ac:dyDescent="0.2">
      <c r="B31" s="21" t="s">
        <v>185</v>
      </c>
      <c r="C31" s="26" t="s">
        <v>138</v>
      </c>
      <c r="D31" s="29" t="str">
        <f t="shared" si="0"/>
        <v>BNSF</v>
      </c>
    </row>
    <row r="32" spans="2:4" ht="12.75" x14ac:dyDescent="0.2">
      <c r="B32" s="21" t="s">
        <v>186</v>
      </c>
      <c r="C32" s="26" t="s">
        <v>43</v>
      </c>
      <c r="D32" s="29" t="str">
        <f t="shared" si="0"/>
        <v>BPLN</v>
      </c>
    </row>
    <row r="33" spans="2:4" ht="12.75" x14ac:dyDescent="0.2">
      <c r="B33" s="21" t="s">
        <v>10</v>
      </c>
      <c r="C33" s="26" t="s">
        <v>50</v>
      </c>
      <c r="D33" s="29" t="str">
        <f t="shared" si="0"/>
        <v>CAG</v>
      </c>
    </row>
    <row r="34" spans="2:4" ht="12.75" x14ac:dyDescent="0.2">
      <c r="B34" s="21" t="s">
        <v>187</v>
      </c>
      <c r="C34" s="26" t="s">
        <v>272</v>
      </c>
      <c r="D34" s="29" t="str">
        <f t="shared" si="0"/>
        <v>CAH</v>
      </c>
    </row>
    <row r="35" spans="2:4" ht="12.75" x14ac:dyDescent="0.2">
      <c r="B35" s="21" t="s">
        <v>188</v>
      </c>
      <c r="C35" s="26" t="s">
        <v>45</v>
      </c>
      <c r="D35" s="29" t="str">
        <f t="shared" si="0"/>
        <v>CAT</v>
      </c>
    </row>
    <row r="36" spans="2:4" ht="12.75" x14ac:dyDescent="0.2">
      <c r="B36" s="21" t="s">
        <v>141</v>
      </c>
      <c r="C36" s="26" t="s">
        <v>142</v>
      </c>
      <c r="D36" s="29" t="str">
        <f t="shared" si="0"/>
        <v>CATMED</v>
      </c>
    </row>
    <row r="37" spans="2:4" ht="12.75" x14ac:dyDescent="0.2">
      <c r="B37" s="21" t="s">
        <v>143</v>
      </c>
      <c r="C37" s="26" t="s">
        <v>46</v>
      </c>
      <c r="D37" s="29" t="str">
        <f t="shared" si="0"/>
        <v>CBS</v>
      </c>
    </row>
    <row r="38" spans="2:4" ht="12.75" x14ac:dyDescent="0.2">
      <c r="B38" s="21" t="s">
        <v>189</v>
      </c>
      <c r="C38" s="26" t="s">
        <v>106</v>
      </c>
      <c r="D38" s="29" t="str">
        <f t="shared" si="0"/>
        <v>CCL</v>
      </c>
    </row>
    <row r="39" spans="2:4" ht="12.75" x14ac:dyDescent="0.2">
      <c r="B39" s="21" t="s">
        <v>107</v>
      </c>
      <c r="C39" s="26" t="s">
        <v>108</v>
      </c>
      <c r="D39" s="29" t="str">
        <f t="shared" si="0"/>
        <v>CLF</v>
      </c>
    </row>
    <row r="40" spans="2:4" ht="12.75" x14ac:dyDescent="0.2">
      <c r="B40" s="21" t="s">
        <v>8</v>
      </c>
      <c r="C40" s="26" t="s">
        <v>48</v>
      </c>
      <c r="D40" s="29" t="str">
        <f t="shared" si="0"/>
        <v>CMCSA</v>
      </c>
    </row>
    <row r="41" spans="2:4" ht="12.75" x14ac:dyDescent="0.2">
      <c r="B41" s="21" t="s">
        <v>190</v>
      </c>
      <c r="C41" s="26" t="s">
        <v>140</v>
      </c>
      <c r="D41" s="29" t="str">
        <f t="shared" si="0"/>
        <v>CNQCN</v>
      </c>
    </row>
    <row r="42" spans="2:4" ht="12.75" x14ac:dyDescent="0.2">
      <c r="B42" s="21" t="s">
        <v>191</v>
      </c>
      <c r="C42" s="26" t="s">
        <v>109</v>
      </c>
      <c r="D42" s="29" t="str">
        <f t="shared" si="0"/>
        <v>COP</v>
      </c>
    </row>
    <row r="43" spans="2:4" ht="12.75" x14ac:dyDescent="0.2">
      <c r="B43" s="21" t="s">
        <v>110</v>
      </c>
      <c r="C43" s="26" t="s">
        <v>111</v>
      </c>
      <c r="D43" s="29" t="str">
        <f t="shared" si="0"/>
        <v>COST</v>
      </c>
    </row>
    <row r="44" spans="2:4" ht="12.75" x14ac:dyDescent="0.2">
      <c r="B44" s="21" t="s">
        <v>192</v>
      </c>
      <c r="C44" s="26" t="s">
        <v>144</v>
      </c>
      <c r="D44" s="29" t="str">
        <f t="shared" si="0"/>
        <v>COV</v>
      </c>
    </row>
    <row r="45" spans="2:4" ht="12.75" x14ac:dyDescent="0.2">
      <c r="B45" s="21" t="s">
        <v>9</v>
      </c>
      <c r="C45" s="26" t="s">
        <v>49</v>
      </c>
      <c r="D45" s="29" t="str">
        <f t="shared" si="0"/>
        <v>CSC</v>
      </c>
    </row>
    <row r="46" spans="2:4" ht="12.75" x14ac:dyDescent="0.2">
      <c r="B46" s="21" t="s">
        <v>12</v>
      </c>
      <c r="C46" s="26" t="s">
        <v>53</v>
      </c>
      <c r="D46" s="29" t="str">
        <f t="shared" si="0"/>
        <v>CSX</v>
      </c>
    </row>
    <row r="47" spans="2:4" ht="12.75" x14ac:dyDescent="0.2">
      <c r="B47" s="21" t="s">
        <v>13</v>
      </c>
      <c r="C47" s="26" t="s">
        <v>54</v>
      </c>
      <c r="D47" s="29" t="str">
        <f t="shared" si="0"/>
        <v>CVS</v>
      </c>
    </row>
    <row r="48" spans="2:4" ht="12.75" x14ac:dyDescent="0.2">
      <c r="B48" s="21" t="s">
        <v>112</v>
      </c>
      <c r="C48" s="26" t="s">
        <v>113</v>
      </c>
      <c r="D48" s="29" t="str">
        <f t="shared" si="0"/>
        <v>CVX</v>
      </c>
    </row>
    <row r="49" spans="2:4" ht="12.75" x14ac:dyDescent="0.2">
      <c r="B49" s="21" t="s">
        <v>193</v>
      </c>
      <c r="C49" s="26" t="s">
        <v>56</v>
      </c>
      <c r="D49" s="29" t="str">
        <f t="shared" si="0"/>
        <v>D</v>
      </c>
    </row>
    <row r="50" spans="2:4" ht="12.75" x14ac:dyDescent="0.2">
      <c r="B50" s="21" t="s">
        <v>194</v>
      </c>
      <c r="C50" s="26" t="s">
        <v>56</v>
      </c>
      <c r="D50" s="29" t="str">
        <f t="shared" si="0"/>
        <v>D</v>
      </c>
    </row>
    <row r="51" spans="2:4" ht="12.75" x14ac:dyDescent="0.2">
      <c r="B51" s="21" t="s">
        <v>195</v>
      </c>
      <c r="C51" s="26" t="s">
        <v>65</v>
      </c>
      <c r="D51" s="29" t="str">
        <f t="shared" si="0"/>
        <v>DE</v>
      </c>
    </row>
    <row r="52" spans="2:4" ht="12.75" x14ac:dyDescent="0.2">
      <c r="B52" s="21" t="s">
        <v>196</v>
      </c>
      <c r="C52" s="26" t="s">
        <v>273</v>
      </c>
      <c r="D52" s="29" t="str">
        <f t="shared" si="0"/>
        <v>DELH</v>
      </c>
    </row>
    <row r="53" spans="2:4" ht="12.75" x14ac:dyDescent="0.2">
      <c r="B53" s="21" t="s">
        <v>197</v>
      </c>
      <c r="C53" s="26" t="s">
        <v>55</v>
      </c>
      <c r="D53" s="29" t="str">
        <f t="shared" si="0"/>
        <v>DGELN</v>
      </c>
    </row>
    <row r="54" spans="2:4" ht="12.75" x14ac:dyDescent="0.2">
      <c r="B54" s="21" t="s">
        <v>198</v>
      </c>
      <c r="C54" s="26" t="s">
        <v>274</v>
      </c>
      <c r="D54" s="29" t="str">
        <f t="shared" si="0"/>
        <v>DHR</v>
      </c>
    </row>
    <row r="55" spans="2:4" ht="12.75" x14ac:dyDescent="0.2">
      <c r="B55" s="21" t="s">
        <v>33</v>
      </c>
      <c r="C55" s="26" t="s">
        <v>96</v>
      </c>
      <c r="D55" s="29" t="str">
        <f t="shared" si="0"/>
        <v>DIS</v>
      </c>
    </row>
    <row r="56" spans="2:4" ht="12.75" x14ac:dyDescent="0.2">
      <c r="B56" s="21" t="s">
        <v>114</v>
      </c>
      <c r="C56" s="26" t="s">
        <v>115</v>
      </c>
      <c r="D56" s="29" t="str">
        <f t="shared" si="0"/>
        <v>DNB</v>
      </c>
    </row>
    <row r="57" spans="2:4" ht="12.75" x14ac:dyDescent="0.2">
      <c r="B57" s="21" t="s">
        <v>199</v>
      </c>
      <c r="C57" s="26" t="s">
        <v>82</v>
      </c>
      <c r="D57" s="29" t="str">
        <f t="shared" si="0"/>
        <v>DOW</v>
      </c>
    </row>
    <row r="58" spans="2:4" ht="12.75" x14ac:dyDescent="0.2">
      <c r="B58" s="21" t="s">
        <v>200</v>
      </c>
      <c r="C58" s="26" t="s">
        <v>275</v>
      </c>
      <c r="D58" s="29" t="str">
        <f t="shared" si="0"/>
        <v>DPM</v>
      </c>
    </row>
    <row r="59" spans="2:4" ht="12.75" x14ac:dyDescent="0.2">
      <c r="B59" s="21" t="s">
        <v>201</v>
      </c>
      <c r="C59" s="26" t="s">
        <v>116</v>
      </c>
      <c r="D59" s="29" t="str">
        <f t="shared" si="0"/>
        <v>DTV</v>
      </c>
    </row>
    <row r="60" spans="2:4" ht="12.75" x14ac:dyDescent="0.2">
      <c r="B60" s="21" t="s">
        <v>14</v>
      </c>
      <c r="C60" s="26" t="s">
        <v>57</v>
      </c>
      <c r="D60" s="29" t="str">
        <f t="shared" si="0"/>
        <v>DUK</v>
      </c>
    </row>
    <row r="61" spans="2:4" ht="12.75" x14ac:dyDescent="0.2">
      <c r="B61" s="21" t="s">
        <v>202</v>
      </c>
      <c r="C61" s="26" t="s">
        <v>57</v>
      </c>
      <c r="D61" s="29" t="str">
        <f t="shared" si="0"/>
        <v>DUK</v>
      </c>
    </row>
    <row r="62" spans="2:4" ht="12.75" x14ac:dyDescent="0.2">
      <c r="B62" s="21" t="s">
        <v>203</v>
      </c>
      <c r="C62" s="26" t="s">
        <v>276</v>
      </c>
      <c r="D62" s="29" t="str">
        <f t="shared" si="0"/>
        <v>DVN</v>
      </c>
    </row>
    <row r="63" spans="2:4" ht="12.75" x14ac:dyDescent="0.2">
      <c r="B63" s="21" t="s">
        <v>15</v>
      </c>
      <c r="C63" s="26" t="s">
        <v>59</v>
      </c>
      <c r="D63" s="29" t="str">
        <f t="shared" si="0"/>
        <v>EBAY</v>
      </c>
    </row>
    <row r="64" spans="2:4" ht="12.75" x14ac:dyDescent="0.2">
      <c r="B64" s="21" t="s">
        <v>204</v>
      </c>
      <c r="C64" s="26" t="s">
        <v>277</v>
      </c>
      <c r="D64" s="29" t="str">
        <f t="shared" si="0"/>
        <v>ECACN</v>
      </c>
    </row>
    <row r="65" spans="2:4" ht="12.75" x14ac:dyDescent="0.2">
      <c r="B65" s="21" t="s">
        <v>205</v>
      </c>
      <c r="C65" s="26" t="s">
        <v>278</v>
      </c>
      <c r="D65" s="29" t="str">
        <f t="shared" si="0"/>
        <v>ECL</v>
      </c>
    </row>
    <row r="66" spans="2:4" ht="12.75" x14ac:dyDescent="0.2">
      <c r="B66" s="21" t="s">
        <v>206</v>
      </c>
      <c r="C66" s="26" t="s">
        <v>58</v>
      </c>
      <c r="D66" s="29" t="str">
        <f t="shared" si="0"/>
        <v>EMN</v>
      </c>
    </row>
    <row r="67" spans="2:4" ht="12.75" x14ac:dyDescent="0.2">
      <c r="B67" s="21" t="s">
        <v>207</v>
      </c>
      <c r="C67" s="26" t="s">
        <v>279</v>
      </c>
      <c r="D67" s="29" t="str">
        <f t="shared" si="0"/>
        <v>EOG</v>
      </c>
    </row>
    <row r="68" spans="2:4" ht="12.75" x14ac:dyDescent="0.2">
      <c r="B68" s="21" t="s">
        <v>208</v>
      </c>
      <c r="C68" s="26" t="s">
        <v>60</v>
      </c>
      <c r="D68" s="29" t="str">
        <f t="shared" si="0"/>
        <v>EPD</v>
      </c>
    </row>
    <row r="69" spans="2:4" ht="12.75" x14ac:dyDescent="0.2">
      <c r="B69" s="21" t="s">
        <v>209</v>
      </c>
      <c r="C69" s="26" t="s">
        <v>146</v>
      </c>
      <c r="D69" s="29" t="str">
        <f t="shared" si="0"/>
        <v>ESRX</v>
      </c>
    </row>
    <row r="70" spans="2:4" ht="12.75" x14ac:dyDescent="0.2">
      <c r="B70" s="21" t="s">
        <v>210</v>
      </c>
      <c r="C70" s="26" t="s">
        <v>51</v>
      </c>
      <c r="D70" s="29" t="str">
        <f t="shared" si="0"/>
        <v>ETN</v>
      </c>
    </row>
    <row r="71" spans="2:4" ht="12.75" x14ac:dyDescent="0.2">
      <c r="B71" s="21" t="s">
        <v>211</v>
      </c>
      <c r="C71" s="26" t="s">
        <v>145</v>
      </c>
      <c r="D71" s="29" t="str">
        <f t="shared" si="0"/>
        <v>EXC</v>
      </c>
    </row>
    <row r="72" spans="2:4" ht="12.75" x14ac:dyDescent="0.2">
      <c r="B72" s="21" t="s">
        <v>212</v>
      </c>
      <c r="C72" s="26" t="s">
        <v>145</v>
      </c>
      <c r="D72" s="29" t="str">
        <f t="shared" ref="D72:D135" si="1">+HYPERLINK("http://us.ishares.com/content/stream.jsp?url=/content/en_us/repository/resource/ibonds/mini_credit_files/"&amp;C72&amp;".xls&amp;mimeType=application/xls",C72)</f>
        <v>EXC</v>
      </c>
    </row>
    <row r="73" spans="2:4" ht="12.75" x14ac:dyDescent="0.2">
      <c r="B73" s="21" t="s">
        <v>213</v>
      </c>
      <c r="C73" s="26" t="s">
        <v>280</v>
      </c>
      <c r="D73" s="29" t="str">
        <f t="shared" si="1"/>
        <v>F</v>
      </c>
    </row>
    <row r="74" spans="2:4" ht="12.75" x14ac:dyDescent="0.2">
      <c r="B74" s="21" t="s">
        <v>214</v>
      </c>
      <c r="C74" s="26" t="s">
        <v>147</v>
      </c>
      <c r="D74" s="29" t="str">
        <f t="shared" si="1"/>
        <v>FCX</v>
      </c>
    </row>
    <row r="75" spans="2:4" ht="12.75" x14ac:dyDescent="0.2">
      <c r="B75" s="21" t="s">
        <v>215</v>
      </c>
      <c r="C75" s="26" t="s">
        <v>281</v>
      </c>
      <c r="D75" s="29" t="str">
        <f t="shared" si="1"/>
        <v>FE</v>
      </c>
    </row>
    <row r="76" spans="2:4" ht="12.75" x14ac:dyDescent="0.2">
      <c r="B76" s="21" t="s">
        <v>117</v>
      </c>
      <c r="C76" s="26" t="s">
        <v>118</v>
      </c>
      <c r="D76" s="29" t="str">
        <f t="shared" si="1"/>
        <v>GD</v>
      </c>
    </row>
    <row r="77" spans="2:4" ht="12.75" x14ac:dyDescent="0.2">
      <c r="B77" s="21" t="s">
        <v>16</v>
      </c>
      <c r="C77" s="26" t="s">
        <v>61</v>
      </c>
      <c r="D77" s="29" t="str">
        <f t="shared" si="1"/>
        <v>GE</v>
      </c>
    </row>
    <row r="78" spans="2:4" ht="12.75" x14ac:dyDescent="0.2">
      <c r="B78" s="21" t="s">
        <v>216</v>
      </c>
      <c r="C78" s="26" t="s">
        <v>62</v>
      </c>
      <c r="D78" s="29" t="str">
        <f t="shared" si="1"/>
        <v>GSK</v>
      </c>
    </row>
    <row r="79" spans="2:4" ht="12.75" x14ac:dyDescent="0.2">
      <c r="B79" s="21" t="s">
        <v>148</v>
      </c>
      <c r="C79" s="26" t="s">
        <v>149</v>
      </c>
      <c r="D79" s="29" t="str">
        <f t="shared" si="1"/>
        <v>HON</v>
      </c>
    </row>
    <row r="80" spans="2:4" ht="12.75" x14ac:dyDescent="0.2">
      <c r="B80" s="21" t="s">
        <v>217</v>
      </c>
      <c r="C80" s="26" t="s">
        <v>63</v>
      </c>
      <c r="D80" s="29" t="str">
        <f t="shared" si="1"/>
        <v>HPQ</v>
      </c>
    </row>
    <row r="81" spans="2:4" ht="12.75" x14ac:dyDescent="0.2">
      <c r="B81" s="21" t="s">
        <v>218</v>
      </c>
      <c r="C81" s="26" t="s">
        <v>64</v>
      </c>
      <c r="D81" s="29" t="str">
        <f t="shared" si="1"/>
        <v>IBM</v>
      </c>
    </row>
    <row r="82" spans="2:4" ht="12.75" x14ac:dyDescent="0.2">
      <c r="B82" s="21" t="s">
        <v>219</v>
      </c>
      <c r="C82" s="26" t="s">
        <v>64</v>
      </c>
      <c r="D82" s="29" t="str">
        <f t="shared" si="1"/>
        <v>IBM</v>
      </c>
    </row>
    <row r="83" spans="2:4" ht="12.75" x14ac:dyDescent="0.2">
      <c r="B83" s="21" t="s">
        <v>119</v>
      </c>
      <c r="C83" s="26" t="s">
        <v>120</v>
      </c>
      <c r="D83" s="29" t="str">
        <f t="shared" si="1"/>
        <v>INTC</v>
      </c>
    </row>
    <row r="84" spans="2:4" ht="12.75" x14ac:dyDescent="0.2">
      <c r="B84" s="21" t="s">
        <v>17</v>
      </c>
      <c r="C84" s="26" t="s">
        <v>66</v>
      </c>
      <c r="D84" s="29" t="str">
        <f t="shared" si="1"/>
        <v>JNJ</v>
      </c>
    </row>
    <row r="85" spans="2:4" ht="12.75" x14ac:dyDescent="0.2">
      <c r="B85" s="21" t="s">
        <v>220</v>
      </c>
      <c r="C85" s="26" t="s">
        <v>282</v>
      </c>
      <c r="D85" s="29" t="str">
        <f t="shared" si="1"/>
        <v>JWN</v>
      </c>
    </row>
    <row r="86" spans="2:4" ht="12.75" x14ac:dyDescent="0.2">
      <c r="B86" s="21" t="s">
        <v>221</v>
      </c>
      <c r="C86" s="26" t="s">
        <v>150</v>
      </c>
      <c r="D86" s="29" t="str">
        <f t="shared" si="1"/>
        <v>KMB</v>
      </c>
    </row>
    <row r="87" spans="2:4" ht="12.75" x14ac:dyDescent="0.2">
      <c r="B87" s="21" t="s">
        <v>18</v>
      </c>
      <c r="C87" s="26" t="s">
        <v>67</v>
      </c>
      <c r="D87" s="29" t="str">
        <f t="shared" si="1"/>
        <v>KMP</v>
      </c>
    </row>
    <row r="88" spans="2:4" ht="12.75" x14ac:dyDescent="0.2">
      <c r="B88" s="21" t="s">
        <v>222</v>
      </c>
      <c r="C88" s="26" t="s">
        <v>47</v>
      </c>
      <c r="D88" s="29" t="str">
        <f t="shared" si="1"/>
        <v>KO</v>
      </c>
    </row>
    <row r="89" spans="2:4" ht="12.75" x14ac:dyDescent="0.2">
      <c r="B89" s="21" t="s">
        <v>7</v>
      </c>
      <c r="C89" s="26" t="s">
        <v>47</v>
      </c>
      <c r="D89" s="29" t="str">
        <f t="shared" si="1"/>
        <v>KO</v>
      </c>
    </row>
    <row r="90" spans="2:4" ht="12.75" x14ac:dyDescent="0.2">
      <c r="B90" s="21" t="s">
        <v>223</v>
      </c>
      <c r="C90" s="26" t="s">
        <v>283</v>
      </c>
      <c r="D90" s="29" t="str">
        <f t="shared" si="1"/>
        <v>KR</v>
      </c>
    </row>
    <row r="91" spans="2:4" ht="12.75" x14ac:dyDescent="0.2">
      <c r="B91" s="21" t="s">
        <v>100</v>
      </c>
      <c r="C91" s="26" t="s">
        <v>69</v>
      </c>
      <c r="D91" s="29" t="str">
        <f t="shared" si="1"/>
        <v>KRFT</v>
      </c>
    </row>
    <row r="92" spans="2:4" ht="12.75" x14ac:dyDescent="0.2">
      <c r="B92" s="21" t="s">
        <v>151</v>
      </c>
      <c r="C92" s="26" t="s">
        <v>152</v>
      </c>
      <c r="D92" s="29" t="str">
        <f t="shared" si="1"/>
        <v>LOW</v>
      </c>
    </row>
    <row r="93" spans="2:4" ht="12.75" x14ac:dyDescent="0.2">
      <c r="B93" s="21" t="s">
        <v>224</v>
      </c>
      <c r="C93" s="26" t="s">
        <v>71</v>
      </c>
      <c r="D93" s="29" t="str">
        <f t="shared" si="1"/>
        <v>MCD</v>
      </c>
    </row>
    <row r="94" spans="2:4" ht="12.75" x14ac:dyDescent="0.2">
      <c r="B94" s="21" t="s">
        <v>225</v>
      </c>
      <c r="C94" s="26" t="s">
        <v>284</v>
      </c>
      <c r="D94" s="29" t="str">
        <f t="shared" si="1"/>
        <v>MCK</v>
      </c>
    </row>
    <row r="95" spans="2:4" ht="12.75" x14ac:dyDescent="0.2">
      <c r="B95" s="21" t="s">
        <v>21</v>
      </c>
      <c r="C95" s="26" t="s">
        <v>73</v>
      </c>
      <c r="D95" s="29" t="str">
        <f t="shared" si="1"/>
        <v>MDLZ</v>
      </c>
    </row>
    <row r="96" spans="2:4" ht="12.75" x14ac:dyDescent="0.2">
      <c r="B96" s="21" t="s">
        <v>226</v>
      </c>
      <c r="C96" s="26" t="s">
        <v>72</v>
      </c>
      <c r="D96" s="29" t="str">
        <f t="shared" si="1"/>
        <v>MIDAM</v>
      </c>
    </row>
    <row r="97" spans="2:4" ht="12.75" x14ac:dyDescent="0.2">
      <c r="B97" s="21" t="s">
        <v>98</v>
      </c>
      <c r="C97" s="26" t="s">
        <v>34</v>
      </c>
      <c r="D97" s="29" t="str">
        <f t="shared" si="1"/>
        <v>MMM</v>
      </c>
    </row>
    <row r="98" spans="2:4" ht="12.75" x14ac:dyDescent="0.2">
      <c r="B98" s="21" t="s">
        <v>20</v>
      </c>
      <c r="C98" s="26" t="s">
        <v>83</v>
      </c>
      <c r="D98" s="29" t="str">
        <f t="shared" si="1"/>
        <v>MRK</v>
      </c>
    </row>
    <row r="99" spans="2:4" ht="12.75" x14ac:dyDescent="0.2">
      <c r="B99" s="21" t="s">
        <v>227</v>
      </c>
      <c r="C99" s="26" t="s">
        <v>83</v>
      </c>
      <c r="D99" s="29" t="str">
        <f t="shared" si="1"/>
        <v>MRK</v>
      </c>
    </row>
    <row r="100" spans="2:4" ht="12.75" x14ac:dyDescent="0.2">
      <c r="B100" s="21" t="s">
        <v>19</v>
      </c>
      <c r="C100" s="26" t="s">
        <v>70</v>
      </c>
      <c r="D100" s="29" t="str">
        <f t="shared" si="1"/>
        <v>MRO</v>
      </c>
    </row>
    <row r="101" spans="2:4" ht="12.75" x14ac:dyDescent="0.2">
      <c r="B101" s="21" t="s">
        <v>228</v>
      </c>
      <c r="C101" s="26" t="s">
        <v>121</v>
      </c>
      <c r="D101" s="29" t="str">
        <f t="shared" si="1"/>
        <v>MSFT</v>
      </c>
    </row>
    <row r="102" spans="2:4" ht="12.75" x14ac:dyDescent="0.2">
      <c r="B102" s="21" t="s">
        <v>229</v>
      </c>
      <c r="C102" s="26" t="s">
        <v>153</v>
      </c>
      <c r="D102" s="29" t="str">
        <f t="shared" si="1"/>
        <v>NBR</v>
      </c>
    </row>
    <row r="103" spans="2:4" ht="12.75" x14ac:dyDescent="0.2">
      <c r="B103" s="21" t="s">
        <v>230</v>
      </c>
      <c r="C103" s="26" t="s">
        <v>285</v>
      </c>
      <c r="D103" s="29" t="str">
        <f t="shared" si="1"/>
        <v>NI</v>
      </c>
    </row>
    <row r="104" spans="2:4" ht="12.75" x14ac:dyDescent="0.2">
      <c r="B104" s="21" t="s">
        <v>231</v>
      </c>
      <c r="C104" s="26" t="s">
        <v>122</v>
      </c>
      <c r="D104" s="29" t="str">
        <f t="shared" si="1"/>
        <v>NOV</v>
      </c>
    </row>
    <row r="105" spans="2:4" ht="12.75" x14ac:dyDescent="0.2">
      <c r="B105" s="21" t="s">
        <v>232</v>
      </c>
      <c r="C105" s="26" t="s">
        <v>74</v>
      </c>
      <c r="D105" s="29" t="str">
        <f t="shared" si="1"/>
        <v>NRUC</v>
      </c>
    </row>
    <row r="106" spans="2:4" ht="12.75" x14ac:dyDescent="0.2">
      <c r="B106" s="21" t="s">
        <v>233</v>
      </c>
      <c r="C106" s="26" t="s">
        <v>286</v>
      </c>
      <c r="D106" s="29" t="str">
        <f t="shared" si="1"/>
        <v>NTAP</v>
      </c>
    </row>
    <row r="107" spans="2:4" ht="12.75" x14ac:dyDescent="0.2">
      <c r="B107" s="21" t="s">
        <v>234</v>
      </c>
      <c r="C107" s="26" t="s">
        <v>154</v>
      </c>
      <c r="D107" s="29" t="str">
        <f t="shared" si="1"/>
        <v>NTT</v>
      </c>
    </row>
    <row r="108" spans="2:4" ht="12.75" x14ac:dyDescent="0.2">
      <c r="B108" s="21" t="s">
        <v>22</v>
      </c>
      <c r="C108" s="26" t="s">
        <v>75</v>
      </c>
      <c r="D108" s="29" t="str">
        <f t="shared" si="1"/>
        <v>NUE</v>
      </c>
    </row>
    <row r="109" spans="2:4" ht="12.75" x14ac:dyDescent="0.2">
      <c r="B109" s="21" t="s">
        <v>123</v>
      </c>
      <c r="C109" s="26" t="s">
        <v>124</v>
      </c>
      <c r="D109" s="29" t="str">
        <f t="shared" si="1"/>
        <v>NWL</v>
      </c>
    </row>
    <row r="110" spans="2:4" ht="12.75" x14ac:dyDescent="0.2">
      <c r="B110" s="21" t="s">
        <v>23</v>
      </c>
      <c r="C110" s="26" t="s">
        <v>77</v>
      </c>
      <c r="D110" s="29" t="str">
        <f t="shared" si="1"/>
        <v>ORCL</v>
      </c>
    </row>
    <row r="111" spans="2:4" ht="12.75" x14ac:dyDescent="0.2">
      <c r="B111" s="21" t="s">
        <v>235</v>
      </c>
      <c r="C111" s="26" t="s">
        <v>76</v>
      </c>
      <c r="D111" s="29" t="str">
        <f t="shared" si="1"/>
        <v>OXY</v>
      </c>
    </row>
    <row r="112" spans="2:4" ht="12.75" x14ac:dyDescent="0.2">
      <c r="B112" s="21" t="s">
        <v>236</v>
      </c>
      <c r="C112" s="26" t="s">
        <v>287</v>
      </c>
      <c r="D112" s="29" t="str">
        <f t="shared" si="1"/>
        <v>PBI</v>
      </c>
    </row>
    <row r="113" spans="2:4" ht="12.75" x14ac:dyDescent="0.2">
      <c r="B113" s="21" t="s">
        <v>237</v>
      </c>
      <c r="C113" s="26" t="s">
        <v>288</v>
      </c>
      <c r="D113" s="29" t="str">
        <f t="shared" si="1"/>
        <v>PCG</v>
      </c>
    </row>
    <row r="114" spans="2:4" ht="12.75" x14ac:dyDescent="0.2">
      <c r="B114" s="21" t="s">
        <v>238</v>
      </c>
      <c r="C114" s="26" t="s">
        <v>125</v>
      </c>
      <c r="D114" s="29" t="str">
        <f t="shared" si="1"/>
        <v>PCP</v>
      </c>
    </row>
    <row r="115" spans="2:4" ht="12.75" x14ac:dyDescent="0.2">
      <c r="B115" s="21" t="s">
        <v>239</v>
      </c>
      <c r="C115" s="26" t="s">
        <v>78</v>
      </c>
      <c r="D115" s="29" t="str">
        <f t="shared" si="1"/>
        <v>PEP</v>
      </c>
    </row>
    <row r="116" spans="2:4" ht="12.75" x14ac:dyDescent="0.2">
      <c r="B116" s="21" t="s">
        <v>240</v>
      </c>
      <c r="C116" s="2" t="s">
        <v>156</v>
      </c>
      <c r="D116" s="29" t="str">
        <f t="shared" si="1"/>
        <v>PFE</v>
      </c>
    </row>
    <row r="117" spans="2:4" ht="12.75" x14ac:dyDescent="0.2">
      <c r="B117" s="21" t="s">
        <v>241</v>
      </c>
      <c r="C117" s="2" t="s">
        <v>156</v>
      </c>
      <c r="D117" s="29" t="str">
        <f t="shared" si="1"/>
        <v>PFE</v>
      </c>
    </row>
    <row r="118" spans="2:4" ht="12.75" x14ac:dyDescent="0.2">
      <c r="B118" s="21" t="s">
        <v>242</v>
      </c>
      <c r="C118" s="2" t="s">
        <v>68</v>
      </c>
      <c r="D118" s="29" t="str">
        <f t="shared" si="1"/>
        <v>PHG</v>
      </c>
    </row>
    <row r="119" spans="2:4" ht="12.75" x14ac:dyDescent="0.2">
      <c r="B119" s="21" t="s">
        <v>24</v>
      </c>
      <c r="C119" s="2" t="s">
        <v>79</v>
      </c>
      <c r="D119" s="29" t="str">
        <f t="shared" si="1"/>
        <v>PM</v>
      </c>
    </row>
    <row r="120" spans="2:4" ht="12.75" x14ac:dyDescent="0.2">
      <c r="B120" s="21" t="s">
        <v>243</v>
      </c>
      <c r="C120" s="2" t="s">
        <v>155</v>
      </c>
      <c r="D120" s="29" t="str">
        <f t="shared" si="1"/>
        <v>PNR</v>
      </c>
    </row>
    <row r="121" spans="2:4" ht="12.75" x14ac:dyDescent="0.2">
      <c r="B121" s="21" t="s">
        <v>244</v>
      </c>
      <c r="C121" s="2" t="s">
        <v>289</v>
      </c>
      <c r="D121" s="29" t="str">
        <f t="shared" si="1"/>
        <v>POT</v>
      </c>
    </row>
    <row r="122" spans="2:4" ht="12.75" x14ac:dyDescent="0.2">
      <c r="B122" s="21" t="s">
        <v>245</v>
      </c>
      <c r="C122" s="2" t="s">
        <v>290</v>
      </c>
      <c r="D122" s="29" t="str">
        <f t="shared" si="1"/>
        <v>PPG</v>
      </c>
    </row>
    <row r="123" spans="2:4" ht="12.75" x14ac:dyDescent="0.2">
      <c r="B123" s="21" t="s">
        <v>101</v>
      </c>
      <c r="C123" s="2" t="s">
        <v>80</v>
      </c>
      <c r="D123" s="29" t="str">
        <f t="shared" si="1"/>
        <v>PSX</v>
      </c>
    </row>
    <row r="124" spans="2:4" ht="12.75" x14ac:dyDescent="0.2">
      <c r="B124" s="21" t="s">
        <v>157</v>
      </c>
      <c r="C124" s="2" t="s">
        <v>158</v>
      </c>
      <c r="D124" s="29" t="str">
        <f t="shared" si="1"/>
        <v>PX</v>
      </c>
    </row>
    <row r="125" spans="2:4" ht="12.75" x14ac:dyDescent="0.2">
      <c r="B125" s="21" t="s">
        <v>159</v>
      </c>
      <c r="C125" s="2" t="s">
        <v>160</v>
      </c>
      <c r="D125" s="29" t="str">
        <f t="shared" si="1"/>
        <v>R</v>
      </c>
    </row>
    <row r="126" spans="2:4" ht="12.75" x14ac:dyDescent="0.2">
      <c r="B126" s="21" t="s">
        <v>246</v>
      </c>
      <c r="C126" s="2" t="s">
        <v>291</v>
      </c>
      <c r="D126" s="29" t="str">
        <f t="shared" si="1"/>
        <v>RAI</v>
      </c>
    </row>
    <row r="127" spans="2:4" ht="12.75" x14ac:dyDescent="0.2">
      <c r="B127" s="21" t="s">
        <v>247</v>
      </c>
      <c r="C127" s="2" t="s">
        <v>84</v>
      </c>
      <c r="D127" s="29" t="str">
        <f t="shared" si="1"/>
        <v>RDSALN</v>
      </c>
    </row>
    <row r="128" spans="2:4" ht="12.75" x14ac:dyDescent="0.2">
      <c r="B128" s="21" t="s">
        <v>248</v>
      </c>
      <c r="C128" s="2" t="s">
        <v>89</v>
      </c>
      <c r="D128" s="29" t="str">
        <f t="shared" si="1"/>
        <v>RIG</v>
      </c>
    </row>
    <row r="129" spans="2:4" ht="12.75" x14ac:dyDescent="0.2">
      <c r="B129" s="21" t="s">
        <v>249</v>
      </c>
      <c r="C129" s="2" t="s">
        <v>81</v>
      </c>
      <c r="D129" s="29" t="str">
        <f t="shared" si="1"/>
        <v>RIOLN</v>
      </c>
    </row>
    <row r="130" spans="2:4" ht="12.75" x14ac:dyDescent="0.2">
      <c r="B130" s="21" t="s">
        <v>126</v>
      </c>
      <c r="C130" s="2" t="s">
        <v>127</v>
      </c>
      <c r="D130" s="29" t="str">
        <f t="shared" si="1"/>
        <v>ROP</v>
      </c>
    </row>
    <row r="131" spans="2:4" ht="12.75" x14ac:dyDescent="0.2">
      <c r="B131" s="21" t="s">
        <v>128</v>
      </c>
      <c r="C131" s="2" t="s">
        <v>129</v>
      </c>
      <c r="D131" s="29" t="str">
        <f t="shared" si="1"/>
        <v>SHW</v>
      </c>
    </row>
    <row r="132" spans="2:4" ht="12.75" x14ac:dyDescent="0.2">
      <c r="B132" s="21" t="s">
        <v>250</v>
      </c>
      <c r="C132" s="2" t="s">
        <v>292</v>
      </c>
      <c r="D132" s="29" t="str">
        <f t="shared" si="1"/>
        <v>SO</v>
      </c>
    </row>
    <row r="133" spans="2:4" ht="12.75" x14ac:dyDescent="0.2">
      <c r="B133" s="21" t="s">
        <v>251</v>
      </c>
      <c r="C133" s="2" t="s">
        <v>292</v>
      </c>
      <c r="D133" s="29" t="str">
        <f t="shared" si="1"/>
        <v>SO</v>
      </c>
    </row>
    <row r="134" spans="2:4" ht="12.75" x14ac:dyDescent="0.2">
      <c r="B134" s="21" t="s">
        <v>252</v>
      </c>
      <c r="C134" s="2" t="s">
        <v>293</v>
      </c>
      <c r="D134" s="29" t="str">
        <f t="shared" si="1"/>
        <v>SPLS</v>
      </c>
    </row>
    <row r="135" spans="2:4" ht="12.75" x14ac:dyDescent="0.2">
      <c r="B135" s="21" t="s">
        <v>253</v>
      </c>
      <c r="C135" s="2" t="s">
        <v>294</v>
      </c>
      <c r="D135" s="29" t="str">
        <f t="shared" si="1"/>
        <v>STR</v>
      </c>
    </row>
    <row r="136" spans="2:4" ht="12.75" x14ac:dyDescent="0.2">
      <c r="B136" s="21" t="s">
        <v>161</v>
      </c>
      <c r="C136" s="2" t="s">
        <v>162</v>
      </c>
      <c r="D136" s="29" t="str">
        <f t="shared" ref="D136:D161" si="2">+HYPERLINK("http://us.ishares.com/content/stream.jsp?url=/content/en_us/repository/resource/ibonds/mini_credit_files/"&amp;C136&amp;".xls&amp;mimeType=application/xls",C136)</f>
        <v>SWN</v>
      </c>
    </row>
    <row r="137" spans="2:4" ht="12.75" x14ac:dyDescent="0.2">
      <c r="B137" s="21" t="s">
        <v>254</v>
      </c>
      <c r="C137" s="2" t="s">
        <v>295</v>
      </c>
      <c r="D137" s="29" t="str">
        <f t="shared" si="2"/>
        <v>SWY</v>
      </c>
    </row>
    <row r="138" spans="2:4" ht="12.75" x14ac:dyDescent="0.2">
      <c r="B138" s="21" t="s">
        <v>255</v>
      </c>
      <c r="C138" s="2" t="s">
        <v>296</v>
      </c>
      <c r="D138" s="29" t="str">
        <f t="shared" si="2"/>
        <v>SYMC</v>
      </c>
    </row>
    <row r="139" spans="2:4" ht="12.75" x14ac:dyDescent="0.2">
      <c r="B139" s="21" t="s">
        <v>256</v>
      </c>
      <c r="C139" s="2" t="s">
        <v>163</v>
      </c>
      <c r="D139" s="29" t="str">
        <f t="shared" si="2"/>
        <v>SYY</v>
      </c>
    </row>
    <row r="140" spans="2:4" ht="12.75" x14ac:dyDescent="0.2">
      <c r="B140" s="21" t="s">
        <v>5</v>
      </c>
      <c r="C140" s="2" t="s">
        <v>37</v>
      </c>
      <c r="D140" s="29" t="str">
        <f t="shared" si="2"/>
        <v>T</v>
      </c>
    </row>
    <row r="141" spans="2:4" ht="12.75" x14ac:dyDescent="0.2">
      <c r="B141" s="21" t="s">
        <v>257</v>
      </c>
      <c r="C141" s="2" t="s">
        <v>297</v>
      </c>
      <c r="D141" s="29" t="str">
        <f t="shared" si="2"/>
        <v>TCKBCN</v>
      </c>
    </row>
    <row r="142" spans="2:4" ht="12.75" x14ac:dyDescent="0.2">
      <c r="B142" s="21" t="s">
        <v>25</v>
      </c>
      <c r="C142" s="2" t="s">
        <v>85</v>
      </c>
      <c r="D142" s="29" t="str">
        <f t="shared" si="2"/>
        <v>TGT</v>
      </c>
    </row>
    <row r="143" spans="2:4" ht="12.75" x14ac:dyDescent="0.2">
      <c r="B143" s="21" t="s">
        <v>258</v>
      </c>
      <c r="C143" s="2" t="s">
        <v>298</v>
      </c>
      <c r="D143" s="29" t="str">
        <f t="shared" si="2"/>
        <v>TMO</v>
      </c>
    </row>
    <row r="144" spans="2:4" ht="12.75" x14ac:dyDescent="0.2">
      <c r="B144" s="21" t="s">
        <v>259</v>
      </c>
      <c r="C144" s="2" t="s">
        <v>87</v>
      </c>
      <c r="D144" s="29" t="str">
        <f t="shared" si="2"/>
        <v>TOTAL</v>
      </c>
    </row>
    <row r="145" spans="2:4" ht="12.75" x14ac:dyDescent="0.2">
      <c r="B145" s="21" t="s">
        <v>260</v>
      </c>
      <c r="C145" s="2" t="s">
        <v>87</v>
      </c>
      <c r="D145" s="29" t="str">
        <f t="shared" si="2"/>
        <v>TOTAL</v>
      </c>
    </row>
    <row r="146" spans="2:4" ht="12.75" x14ac:dyDescent="0.2">
      <c r="B146" s="21" t="s">
        <v>261</v>
      </c>
      <c r="C146" s="2" t="s">
        <v>88</v>
      </c>
      <c r="D146" s="29" t="str">
        <f t="shared" si="2"/>
        <v>TOYOTA</v>
      </c>
    </row>
    <row r="147" spans="2:4" ht="12.75" x14ac:dyDescent="0.2">
      <c r="B147" s="21" t="s">
        <v>26</v>
      </c>
      <c r="C147" s="2" t="s">
        <v>86</v>
      </c>
      <c r="D147" s="29" t="str">
        <f t="shared" si="2"/>
        <v>TWC</v>
      </c>
    </row>
    <row r="148" spans="2:4" ht="12.75" x14ac:dyDescent="0.2">
      <c r="B148" s="21" t="s">
        <v>262</v>
      </c>
      <c r="C148" s="2" t="s">
        <v>164</v>
      </c>
      <c r="D148" s="29" t="str">
        <f t="shared" si="2"/>
        <v>UNANA</v>
      </c>
    </row>
    <row r="149" spans="2:4" ht="12.75" x14ac:dyDescent="0.2">
      <c r="B149" s="21" t="s">
        <v>263</v>
      </c>
      <c r="C149" s="2" t="s">
        <v>90</v>
      </c>
      <c r="D149" s="29" t="str">
        <f t="shared" si="2"/>
        <v>UPS</v>
      </c>
    </row>
    <row r="150" spans="2:4" ht="12.75" x14ac:dyDescent="0.2">
      <c r="B150" s="21" t="s">
        <v>27</v>
      </c>
      <c r="C150" s="2" t="s">
        <v>90</v>
      </c>
      <c r="D150" s="29" t="str">
        <f t="shared" si="2"/>
        <v>UPS</v>
      </c>
    </row>
    <row r="151" spans="2:4" ht="12.75" x14ac:dyDescent="0.2">
      <c r="B151" s="21" t="s">
        <v>28</v>
      </c>
      <c r="C151" s="2" t="s">
        <v>91</v>
      </c>
      <c r="D151" s="29" t="str">
        <f t="shared" si="2"/>
        <v>UTX</v>
      </c>
    </row>
    <row r="152" spans="2:4" ht="12.75" x14ac:dyDescent="0.2">
      <c r="B152" s="21" t="s">
        <v>30</v>
      </c>
      <c r="C152" s="2" t="s">
        <v>93</v>
      </c>
      <c r="D152" s="29" t="str">
        <f t="shared" si="2"/>
        <v>VIA</v>
      </c>
    </row>
    <row r="153" spans="2:4" ht="12.75" x14ac:dyDescent="0.2">
      <c r="B153" s="21" t="s">
        <v>264</v>
      </c>
      <c r="C153" s="2" t="s">
        <v>299</v>
      </c>
      <c r="D153" s="29" t="str">
        <f t="shared" si="2"/>
        <v>VLO</v>
      </c>
    </row>
    <row r="154" spans="2:4" ht="12.75" x14ac:dyDescent="0.2">
      <c r="B154" s="21" t="s">
        <v>31</v>
      </c>
      <c r="C154" s="2" t="s">
        <v>94</v>
      </c>
      <c r="D154" s="29" t="str">
        <f t="shared" si="2"/>
        <v>VOD</v>
      </c>
    </row>
    <row r="155" spans="2:4" ht="12.75" x14ac:dyDescent="0.2">
      <c r="B155" s="21" t="s">
        <v>29</v>
      </c>
      <c r="C155" s="2" t="s">
        <v>92</v>
      </c>
      <c r="D155" s="29" t="str">
        <f t="shared" si="2"/>
        <v>VZ</v>
      </c>
    </row>
    <row r="156" spans="2:4" ht="12.75" x14ac:dyDescent="0.2">
      <c r="B156" s="21" t="s">
        <v>165</v>
      </c>
      <c r="C156" s="2" t="s">
        <v>166</v>
      </c>
      <c r="D156" s="29" t="str">
        <f t="shared" si="2"/>
        <v>WAG</v>
      </c>
    </row>
    <row r="157" spans="2:4" ht="12.75" x14ac:dyDescent="0.2">
      <c r="B157" s="21" t="s">
        <v>265</v>
      </c>
      <c r="C157" s="2" t="s">
        <v>167</v>
      </c>
      <c r="D157" s="29" t="str">
        <f t="shared" si="2"/>
        <v>WFT</v>
      </c>
    </row>
    <row r="158" spans="2:4" ht="12.75" x14ac:dyDescent="0.2">
      <c r="B158" s="21" t="s">
        <v>32</v>
      </c>
      <c r="C158" s="2" t="s">
        <v>95</v>
      </c>
      <c r="D158" s="29" t="str">
        <f t="shared" si="2"/>
        <v>WMT</v>
      </c>
    </row>
    <row r="159" spans="2:4" ht="12.75" x14ac:dyDescent="0.2">
      <c r="B159" s="21" t="s">
        <v>266</v>
      </c>
      <c r="C159" s="2" t="s">
        <v>300</v>
      </c>
      <c r="D159" s="29" t="str">
        <f t="shared" si="2"/>
        <v>XEL</v>
      </c>
    </row>
    <row r="160" spans="2:4" ht="12.75" x14ac:dyDescent="0.2">
      <c r="B160" s="21" t="s">
        <v>267</v>
      </c>
      <c r="C160" s="2" t="s">
        <v>168</v>
      </c>
      <c r="D160" s="29" t="str">
        <f t="shared" si="2"/>
        <v>YUM</v>
      </c>
    </row>
    <row r="161" spans="2:4" ht="13.5" thickBot="1" x14ac:dyDescent="0.25">
      <c r="B161" s="22" t="s">
        <v>169</v>
      </c>
      <c r="C161" s="27" t="s">
        <v>130</v>
      </c>
      <c r="D161" s="30" t="str">
        <f t="shared" si="2"/>
        <v>ZTS</v>
      </c>
    </row>
  </sheetData>
  <sortState ref="B8:B313">
    <sortCondition ref="B8:B313"/>
  </sortState>
  <pageMargins left="0.75" right="0.75" top="1" bottom="1" header="0.5" footer="0.5"/>
  <pageSetup paperSize="9"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Issuer Table of Contents</vt:lpstr>
    </vt:vector>
  </TitlesOfParts>
  <Company>BlackRock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Schmertzler, Ian</dc:creator>
  <cp:lastModifiedBy>Zhao, Michael</cp:lastModifiedBy>
  <dcterms:created xsi:type="dcterms:W3CDTF">2013-01-30T20:50:55Z</dcterms:created>
  <dcterms:modified xsi:type="dcterms:W3CDTF">2014-04-22T19:35:43Z</dcterms:modified>
</cp:coreProperties>
</file>