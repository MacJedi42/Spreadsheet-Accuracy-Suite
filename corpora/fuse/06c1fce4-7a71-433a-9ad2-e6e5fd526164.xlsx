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945" yWindow="30" windowWidth="12765" windowHeight="11550"/>
  </bookViews>
  <sheets>
    <sheet name="MAWA and ETWU" sheetId="7" r:id="rId1"/>
    <sheet name="Additional Hydrozones" sheetId="9" r:id="rId2"/>
    <sheet name="ETo Values" sheetId="3" state="hidden" r:id="rId3"/>
  </sheets>
  <definedNames>
    <definedName name="City">'ETo Values'!$A$2:$A$322</definedName>
    <definedName name="_xlnm.Print_Area" localSheetId="1">'Additional Hydrozones'!$A$1:$F$37</definedName>
    <definedName name="_xlnm.Print_Area" localSheetId="0">'MAWA and ETWU'!$A$1:$F$42</definedName>
    <definedName name="Water">#REF!</definedName>
  </definedNames>
  <calcPr calcId="125725"/>
</workbook>
</file>

<file path=xl/calcChain.xml><?xml version="1.0" encoding="utf-8"?>
<calcChain xmlns="http://schemas.openxmlformats.org/spreadsheetml/2006/main">
  <c r="F34" i="9"/>
  <c r="E34"/>
  <c r="A34"/>
  <c r="F27"/>
  <c r="E27"/>
  <c r="A27"/>
  <c r="F28"/>
  <c r="E28"/>
  <c r="A28"/>
  <c r="F29"/>
  <c r="E29"/>
  <c r="A29"/>
  <c r="F30"/>
  <c r="E30"/>
  <c r="A30"/>
  <c r="F26"/>
  <c r="E26"/>
  <c r="A26"/>
  <c r="F31"/>
  <c r="E31"/>
  <c r="A31"/>
  <c r="F32"/>
  <c r="E32"/>
  <c r="A32"/>
  <c r="F22"/>
  <c r="E22"/>
  <c r="A22"/>
  <c r="F23"/>
  <c r="E23"/>
  <c r="A23"/>
  <c r="F24"/>
  <c r="E24"/>
  <c r="A24"/>
  <c r="F25"/>
  <c r="E25"/>
  <c r="A25"/>
  <c r="F33"/>
  <c r="E33"/>
  <c r="A33"/>
  <c r="C37"/>
  <c r="C24" i="7"/>
  <c r="E28" s="1"/>
  <c r="F36" i="9"/>
  <c r="E36"/>
  <c r="A36"/>
  <c r="F35"/>
  <c r="E35"/>
  <c r="A35"/>
  <c r="F21"/>
  <c r="E21"/>
  <c r="A21"/>
  <c r="F20"/>
  <c r="E20"/>
  <c r="A20"/>
  <c r="F19"/>
  <c r="E19"/>
  <c r="A19"/>
  <c r="F18"/>
  <c r="E18"/>
  <c r="A18"/>
  <c r="F17"/>
  <c r="E17"/>
  <c r="A17"/>
  <c r="F16"/>
  <c r="E16"/>
  <c r="A16"/>
  <c r="F15"/>
  <c r="E15"/>
  <c r="A15"/>
  <c r="F14"/>
  <c r="E14"/>
  <c r="A14"/>
  <c r="F13"/>
  <c r="E13"/>
  <c r="A13"/>
  <c r="F12"/>
  <c r="E12"/>
  <c r="A12"/>
  <c r="F11"/>
  <c r="E11"/>
  <c r="A11"/>
  <c r="F10"/>
  <c r="E10"/>
  <c r="A10"/>
  <c r="F9"/>
  <c r="E9"/>
  <c r="A9"/>
  <c r="F8"/>
  <c r="E8"/>
  <c r="A8"/>
  <c r="F7"/>
  <c r="E7"/>
  <c r="A7"/>
  <c r="F6"/>
  <c r="E6"/>
  <c r="A6"/>
  <c r="F5"/>
  <c r="E5"/>
  <c r="A5"/>
  <c r="F4"/>
  <c r="E4"/>
  <c r="A4"/>
  <c r="F3"/>
  <c r="E3"/>
  <c r="A3"/>
  <c r="F21" i="7"/>
  <c r="E21"/>
  <c r="A21"/>
  <c r="A23"/>
  <c r="A22"/>
  <c r="A20"/>
  <c r="A19"/>
  <c r="A18"/>
  <c r="A17"/>
  <c r="A16"/>
  <c r="A15"/>
  <c r="A14"/>
  <c r="A13"/>
  <c r="A12"/>
  <c r="A11"/>
  <c r="A10"/>
  <c r="A9"/>
  <c r="A8"/>
  <c r="A7"/>
  <c r="A6"/>
  <c r="A5"/>
  <c r="A4"/>
  <c r="A3"/>
  <c r="E25"/>
  <c r="E23"/>
  <c r="E22"/>
  <c r="E20"/>
  <c r="E19"/>
  <c r="E18"/>
  <c r="E17"/>
  <c r="E16"/>
  <c r="E15"/>
  <c r="E14"/>
  <c r="E13"/>
  <c r="E12"/>
  <c r="E11"/>
  <c r="E10"/>
  <c r="E9"/>
  <c r="E8"/>
  <c r="E7"/>
  <c r="E6"/>
  <c r="E5"/>
  <c r="E4"/>
  <c r="E3"/>
  <c r="F19"/>
  <c r="F20"/>
  <c r="F22"/>
  <c r="F18"/>
  <c r="F17"/>
  <c r="A28"/>
  <c r="F25"/>
  <c r="F23"/>
  <c r="F16"/>
  <c r="F15"/>
  <c r="F14"/>
  <c r="F13"/>
  <c r="F12"/>
  <c r="F11"/>
  <c r="F10"/>
  <c r="F9"/>
  <c r="F8"/>
  <c r="F7"/>
  <c r="F6"/>
  <c r="F5"/>
  <c r="F4"/>
  <c r="F3"/>
  <c r="F37" i="9"/>
  <c r="F24" i="7" l="1"/>
  <c r="E33" s="1"/>
  <c r="E34" s="1"/>
  <c r="E35" s="1"/>
  <c r="E32"/>
  <c r="E29"/>
  <c r="E30" s="1"/>
  <c r="C26"/>
  <c r="A30" s="1"/>
  <c r="E31"/>
  <c r="E36" l="1"/>
  <c r="E37"/>
  <c r="F26"/>
  <c r="A35"/>
</calcChain>
</file>

<file path=xl/comments1.xml><?xml version="1.0" encoding="utf-8"?>
<comments xmlns="http://schemas.openxmlformats.org/spreadsheetml/2006/main">
  <authors>
    <author>Jack Nixon</author>
  </authors>
  <commentList>
    <comment ref="C2" authorId="0">
      <text>
        <r>
          <rPr>
            <sz val="8"/>
            <color indexed="81"/>
            <rFont val="Tahoma"/>
            <family val="2"/>
          </rPr>
          <t>High, medium and low water use areas by square foot.</t>
        </r>
      </text>
    </comment>
    <comment ref="D2" authorId="0">
      <text>
        <r>
          <rPr>
            <sz val="8"/>
            <color indexed="81"/>
            <rFont val="Tahoma"/>
            <family val="2"/>
          </rPr>
          <t>Plant Factor is found in "Water Use Classification of Landscape Species" (WUCOLS) published by the University of California Cooperative Extension, the Department of Water Resources and the Bureau of Reclamation, 2000.</t>
        </r>
      </text>
    </comment>
    <comment ref="B25" authorId="0">
      <text>
        <r>
          <rPr>
            <sz val="8"/>
            <color indexed="81"/>
            <rFont val="Tahoma"/>
            <family val="2"/>
          </rPr>
          <t>An area of the landscape dedicated solely to edible plants, areas irrigated with recycled water, water features using recycled water and areas dedicated to active play such as parks, sports fields, and golf courses, where turf provides a playing surface.</t>
        </r>
      </text>
    </comment>
    <comment ref="B26" authorId="0">
      <text>
        <r>
          <rPr>
            <sz val="8"/>
            <color indexed="81"/>
            <rFont val="Tahoma"/>
            <family val="2"/>
          </rPr>
          <t>All planting areas, turf areas, and water features in a landscape design plan subject to the Maximum Applied Water Allowance calculation. The landscape area does not include footprints of buildings or structures, sidewalks, driveways, parking lots, decks, patios, gravel or stone walks, other pervious or impervious hardscapes, other non-irrigated areas designated for non-development (e.g., open spaces and existing native vegetation), agricultural uses, commercial nurseries and sod farms.</t>
        </r>
      </text>
    </comment>
    <comment ref="A27" authorId="0">
      <text>
        <r>
          <rPr>
            <sz val="8"/>
            <color indexed="81"/>
            <rFont val="Tahoma"/>
            <family val="2"/>
          </rPr>
          <t>The measurement of the amount of water beneficially used divided by the amount of water applied.  Irrigation efficiency is derived from measurements and estimates of irrigation system characteristics and management practices. The minimum average irrigation efficiency for purposes of this calculation is 71%.</t>
        </r>
      </text>
    </comment>
  </commentList>
</comments>
</file>

<file path=xl/comments2.xml><?xml version="1.0" encoding="utf-8"?>
<comments xmlns="http://schemas.openxmlformats.org/spreadsheetml/2006/main">
  <authors>
    <author>Jack Nixon</author>
  </authors>
  <commentList>
    <comment ref="C2" authorId="0">
      <text>
        <r>
          <rPr>
            <sz val="8"/>
            <color indexed="81"/>
            <rFont val="Tahoma"/>
            <family val="2"/>
          </rPr>
          <t>High, medium and low water use areas by square foot.</t>
        </r>
      </text>
    </comment>
    <comment ref="D2" authorId="0">
      <text>
        <r>
          <rPr>
            <sz val="8"/>
            <color indexed="81"/>
            <rFont val="Tahoma"/>
            <family val="2"/>
          </rPr>
          <t>Plant Factor is found in "Water Use Classification of Landscape Species" (WUCOLS) published by the University of California Cooperative Extension, the Department of Water Resources and the Bureau of Reclamation, 2000.</t>
        </r>
      </text>
    </comment>
  </commentList>
</comments>
</file>

<file path=xl/sharedStrings.xml><?xml version="1.0" encoding="utf-8"?>
<sst xmlns="http://schemas.openxmlformats.org/spreadsheetml/2006/main" count="421" uniqueCount="406">
  <si>
    <t>Fremont</t>
  </si>
  <si>
    <t>Oakland</t>
  </si>
  <si>
    <r>
      <t xml:space="preserve"> </t>
    </r>
    <r>
      <rPr>
        <b/>
        <sz val="12"/>
        <color indexed="8"/>
        <rFont val="Times New Roman"/>
        <family val="1"/>
      </rPr>
      <t xml:space="preserve">Annual ETo </t>
    </r>
    <r>
      <rPr>
        <sz val="12"/>
        <rFont val="Times New Roman"/>
        <family val="1"/>
      </rPr>
      <t xml:space="preserve"> </t>
    </r>
  </si>
  <si>
    <t>Livermore</t>
  </si>
  <si>
    <t>Oakland Foothills</t>
  </si>
  <si>
    <t>Pleasanton</t>
  </si>
  <si>
    <t>Union City</t>
  </si>
  <si>
    <t>Markleeville</t>
  </si>
  <si>
    <t>Jackson</t>
  </si>
  <si>
    <t>Shanandoah Valley</t>
  </si>
  <si>
    <t>Alpaugh</t>
  </si>
  <si>
    <t>Angwin</t>
  </si>
  <si>
    <t>Arroyo Grande</t>
  </si>
  <si>
    <t>Arroyo Seco</t>
  </si>
  <si>
    <t>Arvin</t>
  </si>
  <si>
    <t>Atascadero</t>
  </si>
  <si>
    <t>Auburn</t>
  </si>
  <si>
    <t>Badger</t>
  </si>
  <si>
    <t>Baker</t>
  </si>
  <si>
    <t>Bakersfield</t>
  </si>
  <si>
    <t>Bonanza</t>
  </si>
  <si>
    <t>Greenlee</t>
  </si>
  <si>
    <t>Barstow</t>
  </si>
  <si>
    <t>Beaumont</t>
  </si>
  <si>
    <t>Belridge</t>
  </si>
  <si>
    <t>Benicia</t>
  </si>
  <si>
    <t>Bennett Valley</t>
  </si>
  <si>
    <t>Betteravia</t>
  </si>
  <si>
    <t>Big Bear Lake</t>
  </si>
  <si>
    <t>Bishop</t>
  </si>
  <si>
    <t>Black Point</t>
  </si>
  <si>
    <t>Blackwells Corner</t>
  </si>
  <si>
    <t>Blue Canyon</t>
  </si>
  <si>
    <t>Blythe</t>
  </si>
  <si>
    <t>Brawley</t>
  </si>
  <si>
    <t>Brentwood</t>
  </si>
  <si>
    <t>Bridgeport</t>
  </si>
  <si>
    <t>Browns Valley</t>
  </si>
  <si>
    <t>Brownsville</t>
  </si>
  <si>
    <t>Bryte</t>
  </si>
  <si>
    <t>Buntingville</t>
  </si>
  <si>
    <t>Burbank</t>
  </si>
  <si>
    <t>Burney</t>
  </si>
  <si>
    <t>Buttonwillow</t>
  </si>
  <si>
    <t>Calipatria</t>
  </si>
  <si>
    <t>Camarillo</t>
  </si>
  <si>
    <t>Camino</t>
  </si>
  <si>
    <t>Carneros</t>
  </si>
  <si>
    <t>Carpenteria</t>
  </si>
  <si>
    <t>Caruthers</t>
  </si>
  <si>
    <t>Castroville</t>
  </si>
  <si>
    <t>Cathedral City</t>
  </si>
  <si>
    <t>Chico</t>
  </si>
  <si>
    <t>China Lake</t>
  </si>
  <si>
    <t>Chino</t>
  </si>
  <si>
    <t>Chowchilla</t>
  </si>
  <si>
    <t>Chula Vista</t>
  </si>
  <si>
    <t>Claremont</t>
  </si>
  <si>
    <t>Cloverdale</t>
  </si>
  <si>
    <t>Clovis</t>
  </si>
  <si>
    <t>Coachella</t>
  </si>
  <si>
    <t>Coalinga</t>
  </si>
  <si>
    <t>Colfax</t>
  </si>
  <si>
    <t>Colusa</t>
  </si>
  <si>
    <t>Concord</t>
  </si>
  <si>
    <t>Corcoran</t>
  </si>
  <si>
    <t>Corning</t>
  </si>
  <si>
    <t>Coulterville</t>
  </si>
  <si>
    <t>Courtland</t>
  </si>
  <si>
    <t>Crescent City</t>
  </si>
  <si>
    <t>Crestline</t>
  </si>
  <si>
    <t>Cuyama</t>
  </si>
  <si>
    <t>Davis</t>
  </si>
  <si>
    <t>De Laveaga</t>
  </si>
  <si>
    <t>Death Valley Jct</t>
  </si>
  <si>
    <t>Delano</t>
  </si>
  <si>
    <t>Denair</t>
  </si>
  <si>
    <t>Desert Center</t>
  </si>
  <si>
    <t>Dinuba</t>
  </si>
  <si>
    <t>Dixon</t>
  </si>
  <si>
    <t>Downieville</t>
  </si>
  <si>
    <t>Durham</t>
  </si>
  <si>
    <t>El Centro</t>
  </si>
  <si>
    <t>El Dorado</t>
  </si>
  <si>
    <t>Elsinore</t>
  </si>
  <si>
    <t>Escondido SPV</t>
  </si>
  <si>
    <t>Esparto</t>
  </si>
  <si>
    <t>Eureka</t>
  </si>
  <si>
    <t>Fair Oaks</t>
  </si>
  <si>
    <t>Fairfield</t>
  </si>
  <si>
    <t>Fall River Mills</t>
  </si>
  <si>
    <t>Famoso</t>
  </si>
  <si>
    <t>Farmington</t>
  </si>
  <si>
    <t>Ferndale</t>
  </si>
  <si>
    <t>Firebaugh</t>
  </si>
  <si>
    <t>FivePoints</t>
  </si>
  <si>
    <t>Fort Bragg</t>
  </si>
  <si>
    <t>Fort Ross</t>
  </si>
  <si>
    <t>Fresno</t>
  </si>
  <si>
    <t>Fresno State</t>
  </si>
  <si>
    <t>Friant</t>
  </si>
  <si>
    <t>Garberville</t>
  </si>
  <si>
    <t>Gerber</t>
  </si>
  <si>
    <t>Gerber Dryland</t>
  </si>
  <si>
    <t>Gilroy</t>
  </si>
  <si>
    <t>Glenburn</t>
  </si>
  <si>
    <t>Glendale</t>
  </si>
  <si>
    <t>Glendora</t>
  </si>
  <si>
    <t>Goleta</t>
  </si>
  <si>
    <t>Goleta Foothills</t>
  </si>
  <si>
    <t>Gonzales</t>
  </si>
  <si>
    <t>Gorman</t>
  </si>
  <si>
    <t>Grapevine</t>
  </si>
  <si>
    <t>Grass Valley</t>
  </si>
  <si>
    <t>Green Valley Rd</t>
  </si>
  <si>
    <t>Greenfield</t>
  </si>
  <si>
    <t>Gridley</t>
  </si>
  <si>
    <t>Groveland</t>
  </si>
  <si>
    <t>Guadalupe</t>
  </si>
  <si>
    <t>Half Moon Bay</t>
  </si>
  <si>
    <t>Hanford</t>
  </si>
  <si>
    <t>Happy Camp</t>
  </si>
  <si>
    <t>Hastings Tract</t>
  </si>
  <si>
    <t>Hay Fork</t>
  </si>
  <si>
    <t>Healdsburg</t>
  </si>
  <si>
    <t>Hollister</t>
  </si>
  <si>
    <t>Hollywood Hills</t>
  </si>
  <si>
    <t>Holtville</t>
  </si>
  <si>
    <t>Hoopa</t>
  </si>
  <si>
    <t>Hopland</t>
  </si>
  <si>
    <t>Independence</t>
  </si>
  <si>
    <t>Indio</t>
  </si>
  <si>
    <t>Inyokern</t>
  </si>
  <si>
    <t>Irvine</t>
  </si>
  <si>
    <t>Isabella Dam</t>
  </si>
  <si>
    <t>Kerman</t>
  </si>
  <si>
    <t>Kesterson</t>
  </si>
  <si>
    <t>Kettleman</t>
  </si>
  <si>
    <t>King City</t>
  </si>
  <si>
    <t>King City-Oasis Rd</t>
  </si>
  <si>
    <t>Kingsburg</t>
  </si>
  <si>
    <t>La Grange</t>
  </si>
  <si>
    <t>La Quinta</t>
  </si>
  <si>
    <t>Laguna Beach</t>
  </si>
  <si>
    <t>Lake Arrowhead</t>
  </si>
  <si>
    <t>Lakeport</t>
  </si>
  <si>
    <t>Lamont</t>
  </si>
  <si>
    <t>Lancaster</t>
  </si>
  <si>
    <t>Lemoore</t>
  </si>
  <si>
    <t>Lincoln</t>
  </si>
  <si>
    <t>Lindcove</t>
  </si>
  <si>
    <t>Lodi West'</t>
  </si>
  <si>
    <t>Lompoc</t>
  </si>
  <si>
    <t>Long Beach</t>
  </si>
  <si>
    <t>Long Valley</t>
  </si>
  <si>
    <t>Los Alamos</t>
  </si>
  <si>
    <t>Los Angeles</t>
  </si>
  <si>
    <t>Los Banos</t>
  </si>
  <si>
    <t>Los Gatos</t>
  </si>
  <si>
    <t>Lost Hills</t>
  </si>
  <si>
    <t>Lower Haiwee Res</t>
  </si>
  <si>
    <t>Lower Lake</t>
  </si>
  <si>
    <t>Lucerne Valley</t>
  </si>
  <si>
    <t>MacDoel</t>
  </si>
  <si>
    <t>Madera</t>
  </si>
  <si>
    <t>Manteca</t>
  </si>
  <si>
    <t>Mariposa</t>
  </si>
  <si>
    <t>Martinez</t>
  </si>
  <si>
    <t>McArthur</t>
  </si>
  <si>
    <t>McFarland/kern</t>
  </si>
  <si>
    <t>Mecca</t>
  </si>
  <si>
    <t>Meloland</t>
  </si>
  <si>
    <t>Mendota</t>
  </si>
  <si>
    <t>Merced</t>
  </si>
  <si>
    <t>Miramar</t>
  </si>
  <si>
    <t>Modesto</t>
  </si>
  <si>
    <t>Modoc/Alturas</t>
  </si>
  <si>
    <t>Monrovia</t>
  </si>
  <si>
    <t>Monterey</t>
  </si>
  <si>
    <t>Moraga</t>
  </si>
  <si>
    <t>Morgan Hill</t>
  </si>
  <si>
    <t>Morro Bay</t>
  </si>
  <si>
    <t>Mt Shasta</t>
  </si>
  <si>
    <t>Mulberry</t>
  </si>
  <si>
    <t>Needles</t>
  </si>
  <si>
    <t>Nevada City</t>
  </si>
  <si>
    <t>Newberry Springs</t>
  </si>
  <si>
    <t>Newman</t>
  </si>
  <si>
    <t>Nicolaus</t>
  </si>
  <si>
    <t>Nipomo</t>
  </si>
  <si>
    <t>Novato</t>
  </si>
  <si>
    <t>Oakdale</t>
  </si>
  <si>
    <t>Oakville</t>
  </si>
  <si>
    <t>Oasis</t>
  </si>
  <si>
    <t>Oceanside</t>
  </si>
  <si>
    <t>Orange Cove</t>
  </si>
  <si>
    <t>Orland</t>
  </si>
  <si>
    <t>Oroville</t>
  </si>
  <si>
    <t>Otay Lake</t>
  </si>
  <si>
    <t>Oxnard</t>
  </si>
  <si>
    <t>Pajaro</t>
  </si>
  <si>
    <t>Palm Deser</t>
  </si>
  <si>
    <t>Palm Springs</t>
  </si>
  <si>
    <t>Palmdale</t>
  </si>
  <si>
    <t>Palo Alto</t>
  </si>
  <si>
    <t>Palo Verde II</t>
  </si>
  <si>
    <t>Panoche</t>
  </si>
  <si>
    <t>Parlier</t>
  </si>
  <si>
    <t>Pasadena</t>
  </si>
  <si>
    <t>Paso Robles</t>
  </si>
  <si>
    <t>Patterson</t>
  </si>
  <si>
    <t>Pearblossom</t>
  </si>
  <si>
    <t>Petaluma</t>
  </si>
  <si>
    <t>Pine Valley</t>
  </si>
  <si>
    <t>Piru</t>
  </si>
  <si>
    <t>Pittsburg</t>
  </si>
  <si>
    <t>Point Arena</t>
  </si>
  <si>
    <t>Point San Pedro</t>
  </si>
  <si>
    <t>Pomona</t>
  </si>
  <si>
    <t>Port Hueneme</t>
  </si>
  <si>
    <t>Porterville</t>
  </si>
  <si>
    <t>Portola</t>
  </si>
  <si>
    <t>Putah Creek</t>
  </si>
  <si>
    <t>Quincy</t>
  </si>
  <si>
    <t>Ramona</t>
  </si>
  <si>
    <t>Rancho California</t>
  </si>
  <si>
    <t>Rancho Mirage</t>
  </si>
  <si>
    <t>Ravendale</t>
  </si>
  <si>
    <t>Raymond</t>
  </si>
  <si>
    <t>Red Bluff</t>
  </si>
  <si>
    <t>Redding</t>
  </si>
  <si>
    <t>Redondo Beach</t>
  </si>
  <si>
    <t>Redwood City</t>
  </si>
  <si>
    <t>Reedley</t>
  </si>
  <si>
    <t>Rio Vista</t>
  </si>
  <si>
    <t>Ripley</t>
  </si>
  <si>
    <t>Riverside</t>
  </si>
  <si>
    <t>Roseville</t>
  </si>
  <si>
    <t>Sacramento</t>
  </si>
  <si>
    <t>Salinas</t>
  </si>
  <si>
    <t>Salinas North</t>
  </si>
  <si>
    <t>Salton Sea North</t>
  </si>
  <si>
    <t>San Andreas</t>
  </si>
  <si>
    <t>San Ardo</t>
  </si>
  <si>
    <t>San Benito</t>
  </si>
  <si>
    <t>San Bernardino</t>
  </si>
  <si>
    <t>San Diego</t>
  </si>
  <si>
    <t>San Fernando</t>
  </si>
  <si>
    <t>San Francisco</t>
  </si>
  <si>
    <t>San Jose</t>
  </si>
  <si>
    <t>San Juan</t>
  </si>
  <si>
    <t>San Juan Valley</t>
  </si>
  <si>
    <t>San Luis Obispo</t>
  </si>
  <si>
    <t>San Miguel</t>
  </si>
  <si>
    <t>San Rafael</t>
  </si>
  <si>
    <t>San Simeon</t>
  </si>
  <si>
    <t>Sanel Valley</t>
  </si>
  <si>
    <t>Santa Ana</t>
  </si>
  <si>
    <t>Santa Barbara</t>
  </si>
  <si>
    <t>Santa Clarita</t>
  </si>
  <si>
    <t>Santa Cruz</t>
  </si>
  <si>
    <t>Santa Maria</t>
  </si>
  <si>
    <t>Santa Monica</t>
  </si>
  <si>
    <t>Santa Rosa</t>
  </si>
  <si>
    <t>Santa Ynez</t>
  </si>
  <si>
    <t>Santee</t>
  </si>
  <si>
    <t>Seeley</t>
  </si>
  <si>
    <t>Shafter</t>
  </si>
  <si>
    <t>Sierraville</t>
  </si>
  <si>
    <t>Sisquoc</t>
  </si>
  <si>
    <t>Soda Springs</t>
  </si>
  <si>
    <t>Soledad</t>
  </si>
  <si>
    <t>Solvang</t>
  </si>
  <si>
    <t>Sonora</t>
  </si>
  <si>
    <t>St Helena</t>
  </si>
  <si>
    <t>Stockton</t>
  </si>
  <si>
    <t>Stratford</t>
  </si>
  <si>
    <t>Suisun Valley</t>
  </si>
  <si>
    <t>Susanville</t>
  </si>
  <si>
    <t>Taft</t>
  </si>
  <si>
    <t>Tahoe City</t>
  </si>
  <si>
    <t>Tehachapi</t>
  </si>
  <si>
    <t>Temecula</t>
  </si>
  <si>
    <t>Thermal</t>
  </si>
  <si>
    <t>Thousand Oaks</t>
  </si>
  <si>
    <t>Torrey Pines</t>
  </si>
  <si>
    <t>Tracy</t>
  </si>
  <si>
    <t>Truckee</t>
  </si>
  <si>
    <t>Tule Lake</t>
  </si>
  <si>
    <t>Turlock</t>
  </si>
  <si>
    <t>Twentynine Palms</t>
  </si>
  <si>
    <t>Twitchell Islands</t>
  </si>
  <si>
    <t>Ukiah</t>
  </si>
  <si>
    <t>Valley of the Moon</t>
  </si>
  <si>
    <t>Ventura</t>
  </si>
  <si>
    <t>Victorville</t>
  </si>
  <si>
    <t>Visalia</t>
  </si>
  <si>
    <t>Walnut Creek</t>
  </si>
  <si>
    <t>Warner Springs</t>
  </si>
  <si>
    <t>Watsonville</t>
  </si>
  <si>
    <t>Weaverville</t>
  </si>
  <si>
    <t>Webb</t>
  </si>
  <si>
    <t>Weed</t>
  </si>
  <si>
    <t>Westlands</t>
  </si>
  <si>
    <t>Westmoreland</t>
  </si>
  <si>
    <t>Williams</t>
  </si>
  <si>
    <t>Williows</t>
  </si>
  <si>
    <t>Winchester</t>
  </si>
  <si>
    <t>Windsor</t>
  </si>
  <si>
    <t>Winters</t>
  </si>
  <si>
    <t>Woodland</t>
  </si>
  <si>
    <t>Woodside</t>
  </si>
  <si>
    <t>Yosemite Village</t>
  </si>
  <si>
    <t>Yountville</t>
  </si>
  <si>
    <t>Yreka</t>
  </si>
  <si>
    <t>Yuba City</t>
  </si>
  <si>
    <t>Yuma</t>
  </si>
  <si>
    <t>Zamora</t>
  </si>
  <si>
    <t>Plant Factor</t>
  </si>
  <si>
    <t>0 - 0.3</t>
  </si>
  <si>
    <t>0.4 - 0.6</t>
  </si>
  <si>
    <t>0.7 - 1.0</t>
  </si>
  <si>
    <r>
      <t xml:space="preserve">City </t>
    </r>
    <r>
      <rPr>
        <sz val="12"/>
        <rFont val="Times New Roman"/>
        <family val="1"/>
      </rPr>
      <t xml:space="preserve"> </t>
    </r>
  </si>
  <si>
    <t>Low</t>
  </si>
  <si>
    <t>Medium</t>
  </si>
  <si>
    <t>High</t>
  </si>
  <si>
    <t>HCF</t>
  </si>
  <si>
    <t>Plant Water Use Type</t>
  </si>
  <si>
    <t>Pick a City</t>
  </si>
  <si>
    <t>Hydrozone</t>
  </si>
  <si>
    <t>gal.</t>
  </si>
  <si>
    <t>cu. ft.</t>
  </si>
  <si>
    <t>millions of gal.</t>
  </si>
  <si>
    <t>acre-ft.</t>
  </si>
  <si>
    <r>
      <t>MAWA</t>
    </r>
    <r>
      <rPr>
        <b/>
        <vertAlign val="superscript"/>
        <sz val="10"/>
        <rFont val="Arial"/>
        <family val="2"/>
      </rPr>
      <t>1</t>
    </r>
    <r>
      <rPr>
        <b/>
        <sz val="10"/>
        <rFont val="Arial"/>
        <family val="2"/>
      </rPr>
      <t xml:space="preserve"> </t>
    </r>
    <r>
      <rPr>
        <sz val="10"/>
        <rFont val="Arial"/>
        <family val="2"/>
      </rPr>
      <t>=</t>
    </r>
    <r>
      <rPr>
        <b/>
        <sz val="10"/>
        <rFont val="Arial"/>
        <family val="2"/>
      </rPr>
      <t xml:space="preserve"> </t>
    </r>
  </si>
  <si>
    <t>Calculator based on California Dept. of Water Resources "Water Budget Workbook" Beta v. 1.0, Dec. 17, 2009</t>
  </si>
  <si>
    <r>
      <t>Hydrozone Area (HA) (ft</t>
    </r>
    <r>
      <rPr>
        <b/>
        <vertAlign val="superscript"/>
        <sz val="10"/>
        <rFont val="Arial"/>
        <family val="2"/>
      </rPr>
      <t>2</t>
    </r>
    <r>
      <rPr>
        <b/>
        <sz val="10"/>
        <rFont val="Arial"/>
        <family val="2"/>
      </rPr>
      <t>)</t>
    </r>
  </si>
  <si>
    <r>
      <t>PF x HA (ft</t>
    </r>
    <r>
      <rPr>
        <b/>
        <vertAlign val="superscript"/>
        <sz val="10"/>
        <rFont val="Arial"/>
        <family val="2"/>
      </rPr>
      <t>2</t>
    </r>
    <r>
      <rPr>
        <b/>
        <sz val="10"/>
        <rFont val="Arial"/>
        <family val="2"/>
      </rPr>
      <t>)</t>
    </r>
  </si>
  <si>
    <t>Zone 1</t>
  </si>
  <si>
    <t>Zone 2</t>
  </si>
  <si>
    <t>Zone 3</t>
  </si>
  <si>
    <t>Zone 4</t>
  </si>
  <si>
    <t>Zone 5</t>
  </si>
  <si>
    <t>Zone 6</t>
  </si>
  <si>
    <t>Zone 7</t>
  </si>
  <si>
    <t>Zone 8</t>
  </si>
  <si>
    <t>Zone 9</t>
  </si>
  <si>
    <t>Zone 10</t>
  </si>
  <si>
    <t>Zone 11</t>
  </si>
  <si>
    <t>Zone 12</t>
  </si>
  <si>
    <t>Zone 13</t>
  </si>
  <si>
    <t>Zone 14</t>
  </si>
  <si>
    <t>Zone 15</t>
  </si>
  <si>
    <t>Maximum Applied Water Allowance (MAWA) &amp;
Estimated Total Water Use (ETWU)
for New and Rehabilitated Landscapes in Hillsborough</t>
  </si>
  <si>
    <r>
      <t>ETWU</t>
    </r>
    <r>
      <rPr>
        <b/>
        <vertAlign val="superscript"/>
        <sz val="10"/>
        <rFont val="Arial"/>
        <family val="2"/>
      </rPr>
      <t>2</t>
    </r>
    <r>
      <rPr>
        <b/>
        <sz val="10"/>
        <rFont val="Arial"/>
        <family val="2"/>
      </rPr>
      <t xml:space="preserve"> </t>
    </r>
    <r>
      <rPr>
        <sz val="10"/>
        <rFont val="Arial"/>
        <family val="2"/>
      </rPr>
      <t>=</t>
    </r>
    <r>
      <rPr>
        <b/>
        <sz val="10"/>
        <rFont val="Arial"/>
        <family val="2"/>
      </rPr>
      <t xml:space="preserve"> </t>
    </r>
  </si>
  <si>
    <t>Eto</t>
  </si>
  <si>
    <t>IE Default</t>
  </si>
  <si>
    <t>Eppt</t>
  </si>
  <si>
    <t>Zone 16</t>
  </si>
  <si>
    <t>Zone 17</t>
  </si>
  <si>
    <t>Zone 18</t>
  </si>
  <si>
    <t>Zone 19</t>
  </si>
  <si>
    <t>Zone 20</t>
  </si>
  <si>
    <t>Irrigation Efficiency (IE)</t>
  </si>
  <si>
    <r>
      <rPr>
        <vertAlign val="superscript"/>
        <sz val="8"/>
        <rFont val="Arial"/>
        <family val="2"/>
      </rPr>
      <t>2</t>
    </r>
    <r>
      <rPr>
        <sz val="8"/>
        <rFont val="Arial"/>
        <family val="2"/>
      </rPr>
      <t>(ETo) x (0.62) x [(PF x HA/IE) + SLA]</t>
    </r>
  </si>
  <si>
    <r>
      <rPr>
        <b/>
        <vertAlign val="superscript"/>
        <sz val="8"/>
        <rFont val="Arial"/>
        <family val="2"/>
      </rPr>
      <t>3</t>
    </r>
    <r>
      <rPr>
        <b/>
        <sz val="8"/>
        <rFont val="Arial"/>
        <family val="2"/>
      </rPr>
      <t>Plant Water Use Types</t>
    </r>
  </si>
  <si>
    <r>
      <t>Plant Factor</t>
    </r>
    <r>
      <rPr>
        <b/>
        <vertAlign val="superscript"/>
        <sz val="10"/>
        <rFont val="Arial"/>
        <family val="2"/>
      </rPr>
      <t>3</t>
    </r>
    <r>
      <rPr>
        <b/>
        <sz val="10"/>
        <rFont val="Arial"/>
        <family val="2"/>
      </rPr>
      <t xml:space="preserve"> (PF)</t>
    </r>
  </si>
  <si>
    <t>Hydrozone Area (HA) (&amp; PF x HA)</t>
  </si>
  <si>
    <t>Special Landscape Area (SLA)</t>
  </si>
  <si>
    <t>Total Landscape Area (TLA)</t>
  </si>
  <si>
    <t>Zone 21</t>
  </si>
  <si>
    <t>Zone 22</t>
  </si>
  <si>
    <t>Zone 23</t>
  </si>
  <si>
    <t>Zone 24</t>
  </si>
  <si>
    <t>Zone 25</t>
  </si>
  <si>
    <t>Zone 26</t>
  </si>
  <si>
    <t>Zone 27</t>
  </si>
  <si>
    <t>Zone 28</t>
  </si>
  <si>
    <t>Zone 29</t>
  </si>
  <si>
    <t>Zone 30</t>
  </si>
  <si>
    <t>Zone 31</t>
  </si>
  <si>
    <t>Zone 32</t>
  </si>
  <si>
    <t>Zone 33</t>
  </si>
  <si>
    <t>Zone 34</t>
  </si>
  <si>
    <t>Zone 35</t>
  </si>
  <si>
    <t>Zone 36</t>
  </si>
  <si>
    <t>Zone 37</t>
  </si>
  <si>
    <t>Zone 38</t>
  </si>
  <si>
    <t>Zone 39</t>
  </si>
  <si>
    <t>Zone 40</t>
  </si>
  <si>
    <t>Zone 41</t>
  </si>
  <si>
    <t>Zone 42</t>
  </si>
  <si>
    <t>Zone 43</t>
  </si>
  <si>
    <t>Zone 44</t>
  </si>
  <si>
    <t>Zone 45</t>
  </si>
  <si>
    <t>Zone 46</t>
  </si>
  <si>
    <t>Zone 47</t>
  </si>
  <si>
    <t>Zone 48</t>
  </si>
  <si>
    <t>Zone 49</t>
  </si>
  <si>
    <t>Zone 50</t>
  </si>
  <si>
    <t>Zone 51</t>
  </si>
  <si>
    <t>Zone 52</t>
  </si>
  <si>
    <t>Zone 53</t>
  </si>
  <si>
    <t>Zone 54</t>
  </si>
  <si>
    <t>Zone 55</t>
  </si>
  <si>
    <r>
      <rPr>
        <vertAlign val="superscript"/>
        <sz val="8"/>
        <rFont val="Arial"/>
        <family val="2"/>
      </rPr>
      <t>1</t>
    </r>
    <r>
      <rPr>
        <sz val="8"/>
        <rFont val="Arial"/>
        <family val="2"/>
      </rPr>
      <t>(ETo) x (0.62) x [(0.7 x HA)+(0.3 x SLA)], where ETo = 44.24</t>
    </r>
  </si>
</sst>
</file>

<file path=xl/styles.xml><?xml version="1.0" encoding="utf-8"?>
<styleSheet xmlns="http://schemas.openxmlformats.org/spreadsheetml/2006/main">
  <numFmts count="4">
    <numFmt numFmtId="44" formatCode="_(&quot;$&quot;* #,##0.00_);_(&quot;$&quot;* \(#,##0.00\);_(&quot;$&quot;* &quot;-&quot;??_);_(@_)"/>
    <numFmt numFmtId="43" formatCode="_(* #,##0.00_);_(* \(#,##0.00\);_(* &quot;-&quot;??_);_(@_)"/>
    <numFmt numFmtId="164" formatCode="_(* #,##0_);_(* \(#,##0\);_(* &quot;-&quot;??_);_(@_)"/>
    <numFmt numFmtId="165" formatCode=";;;"/>
  </numFmts>
  <fonts count="22">
    <font>
      <sz val="10"/>
      <name val="Arial"/>
    </font>
    <font>
      <sz val="10"/>
      <name val="Arial"/>
    </font>
    <font>
      <sz val="8"/>
      <name val="Arial"/>
    </font>
    <font>
      <sz val="12"/>
      <name val="Times New Roman"/>
      <family val="1"/>
    </font>
    <font>
      <b/>
      <sz val="12"/>
      <color indexed="8"/>
      <name val="Times New Roman"/>
      <family val="1"/>
    </font>
    <font>
      <sz val="10"/>
      <name val="Arial"/>
      <family val="2"/>
    </font>
    <font>
      <b/>
      <sz val="10"/>
      <color indexed="10"/>
      <name val="Arial"/>
      <family val="2"/>
    </font>
    <font>
      <b/>
      <sz val="11"/>
      <name val="Arial"/>
      <family val="2"/>
    </font>
    <font>
      <b/>
      <sz val="10"/>
      <name val="Arial"/>
      <family val="2"/>
    </font>
    <font>
      <sz val="8"/>
      <color indexed="81"/>
      <name val="Tahoma"/>
      <family val="2"/>
    </font>
    <font>
      <sz val="8"/>
      <name val="Arial"/>
      <family val="2"/>
    </font>
    <font>
      <vertAlign val="superscript"/>
      <sz val="8"/>
      <name val="Arial"/>
      <family val="2"/>
    </font>
    <font>
      <b/>
      <vertAlign val="superscript"/>
      <sz val="10"/>
      <name val="Arial"/>
      <family val="2"/>
    </font>
    <font>
      <b/>
      <u/>
      <sz val="10"/>
      <name val="Arial"/>
      <family val="2"/>
    </font>
    <font>
      <b/>
      <sz val="8"/>
      <name val="Arial"/>
      <family val="2"/>
    </font>
    <font>
      <b/>
      <vertAlign val="superscript"/>
      <sz val="8"/>
      <name val="Arial"/>
      <family val="2"/>
    </font>
    <font>
      <sz val="10"/>
      <color indexed="10"/>
      <name val="Arial"/>
      <family val="2"/>
    </font>
    <font>
      <b/>
      <sz val="10"/>
      <color rgb="FFFF0000"/>
      <name val="Arial"/>
      <family val="2"/>
    </font>
    <font>
      <sz val="10"/>
      <color theme="0" tint="-0.14999847407452621"/>
      <name val="Arial"/>
      <family val="2"/>
    </font>
    <font>
      <sz val="10"/>
      <color rgb="FFFF0000"/>
      <name val="Arial"/>
      <family val="2"/>
    </font>
    <font>
      <b/>
      <sz val="11"/>
      <color theme="3" tint="-0.249977111117893"/>
      <name val="Arial"/>
      <family val="2"/>
    </font>
    <font>
      <sz val="8"/>
      <color theme="0" tint="-0.499984740745262"/>
      <name val="Arial"/>
      <family val="2"/>
    </font>
  </fonts>
  <fills count="6">
    <fill>
      <patternFill patternType="none"/>
    </fill>
    <fill>
      <patternFill patternType="gray125"/>
    </fill>
    <fill>
      <patternFill patternType="solid">
        <fgColor theme="3" tint="0.79998168889431442"/>
        <bgColor indexed="64"/>
      </patternFill>
    </fill>
    <fill>
      <patternFill patternType="solid">
        <fgColor rgb="FFE0E0E0"/>
        <bgColor indexed="64"/>
      </patternFill>
    </fill>
    <fill>
      <patternFill patternType="solid">
        <fgColor rgb="FFFFE48F"/>
        <bgColor indexed="64"/>
      </patternFill>
    </fill>
    <fill>
      <patternFill patternType="lightUp">
        <fgColor theme="0" tint="-0.499984740745262"/>
        <bgColor theme="0" tint="-0.14996795556505021"/>
      </patternFill>
    </fill>
  </fills>
  <borders count="44">
    <border>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38">
    <xf numFmtId="0" fontId="0" fillId="0" borderId="0" xfId="0"/>
    <xf numFmtId="0" fontId="3" fillId="0" borderId="0" xfId="0" applyFont="1"/>
    <xf numFmtId="0" fontId="3" fillId="0" borderId="0" xfId="0" applyNumberFormat="1" applyFont="1"/>
    <xf numFmtId="0" fontId="3" fillId="0" borderId="0" xfId="0" applyFont="1" applyAlignment="1">
      <alignment horizontal="center" wrapText="1"/>
    </xf>
    <xf numFmtId="0" fontId="4" fillId="0" borderId="0" xfId="0" applyFont="1" applyAlignment="1">
      <alignment vertical="center"/>
    </xf>
    <xf numFmtId="2" fontId="3" fillId="0" borderId="0" xfId="0" applyNumberFormat="1" applyFont="1"/>
    <xf numFmtId="0" fontId="5" fillId="0" borderId="0" xfId="0" applyFont="1" applyProtection="1"/>
    <xf numFmtId="0" fontId="5" fillId="0" borderId="0" xfId="0" applyFont="1" applyFill="1" applyProtection="1"/>
    <xf numFmtId="0" fontId="5" fillId="0" borderId="0" xfId="0" applyFont="1" applyFill="1" applyBorder="1" applyProtection="1"/>
    <xf numFmtId="0" fontId="10" fillId="0" borderId="0" xfId="0" applyFont="1" applyBorder="1" applyAlignment="1" applyProtection="1">
      <alignment horizontal="right" vertical="center"/>
    </xf>
    <xf numFmtId="0" fontId="5" fillId="0" borderId="1" xfId="0" applyFont="1" applyBorder="1" applyAlignment="1" applyProtection="1">
      <alignment horizontal="left" vertical="center"/>
    </xf>
    <xf numFmtId="164" fontId="5" fillId="2" borderId="2" xfId="1" applyNumberFormat="1" applyFont="1" applyFill="1" applyBorder="1" applyAlignment="1" applyProtection="1">
      <alignment vertical="center"/>
      <protection locked="0"/>
    </xf>
    <xf numFmtId="0" fontId="17" fillId="0" borderId="1" xfId="0" applyFont="1" applyBorder="1" applyAlignment="1" applyProtection="1">
      <alignment horizontal="left" vertical="center"/>
    </xf>
    <xf numFmtId="0" fontId="10" fillId="0" borderId="3" xfId="0" applyFont="1" applyFill="1" applyBorder="1" applyProtection="1"/>
    <xf numFmtId="0" fontId="18" fillId="0" borderId="0" xfId="0" applyFont="1" applyFill="1" applyAlignment="1" applyProtection="1">
      <alignment horizontal="left"/>
    </xf>
    <xf numFmtId="0" fontId="18" fillId="0" borderId="0" xfId="0" applyFont="1" applyFill="1" applyProtection="1"/>
    <xf numFmtId="0" fontId="8" fillId="0" borderId="4" xfId="0" applyFont="1" applyFill="1" applyBorder="1" applyAlignment="1" applyProtection="1">
      <alignment horizontal="center" vertical="center" wrapText="1"/>
    </xf>
    <xf numFmtId="0" fontId="8" fillId="3" borderId="2" xfId="0" applyFont="1" applyFill="1" applyBorder="1" applyAlignment="1" applyProtection="1">
      <alignment horizontal="center" vertical="center" wrapText="1"/>
    </xf>
    <xf numFmtId="0" fontId="8" fillId="3" borderId="5" xfId="0" applyFont="1" applyFill="1" applyBorder="1" applyAlignment="1" applyProtection="1">
      <alignment horizontal="center" vertical="center" wrapText="1"/>
    </xf>
    <xf numFmtId="0" fontId="17" fillId="0" borderId="6" xfId="0" applyNumberFormat="1" applyFont="1" applyFill="1" applyBorder="1" applyAlignment="1" applyProtection="1">
      <alignment horizontal="center" vertical="center"/>
    </xf>
    <xf numFmtId="0" fontId="5" fillId="0" borderId="7" xfId="0" applyNumberFormat="1" applyFont="1" applyFill="1" applyBorder="1" applyAlignment="1" applyProtection="1">
      <alignment horizontal="right" vertical="center"/>
    </xf>
    <xf numFmtId="164" fontId="5" fillId="0" borderId="2" xfId="1" applyNumberFormat="1" applyFont="1" applyFill="1" applyBorder="1" applyAlignment="1" applyProtection="1">
      <alignment horizontal="center" vertical="center"/>
    </xf>
    <xf numFmtId="164" fontId="5" fillId="0" borderId="5" xfId="1" applyNumberFormat="1" applyFont="1" applyFill="1" applyBorder="1" applyAlignment="1" applyProtection="1">
      <alignment horizontal="center" vertical="center"/>
    </xf>
    <xf numFmtId="0" fontId="5" fillId="0" borderId="0" xfId="0" applyFont="1" applyFill="1" applyAlignment="1" applyProtection="1">
      <alignment vertical="center"/>
    </xf>
    <xf numFmtId="0" fontId="5" fillId="0" borderId="8" xfId="0" applyNumberFormat="1" applyFont="1" applyFill="1" applyBorder="1" applyAlignment="1" applyProtection="1">
      <alignment horizontal="right" vertical="center"/>
    </xf>
    <xf numFmtId="164" fontId="5" fillId="0" borderId="9" xfId="1" applyNumberFormat="1" applyFont="1" applyFill="1" applyBorder="1" applyAlignment="1" applyProtection="1">
      <alignment horizontal="center" vertical="center"/>
    </xf>
    <xf numFmtId="0" fontId="8" fillId="0" borderId="10" xfId="0" applyNumberFormat="1" applyFont="1" applyFill="1" applyBorder="1" applyAlignment="1" applyProtection="1">
      <alignment horizontal="right" vertical="center"/>
    </xf>
    <xf numFmtId="0" fontId="8" fillId="0" borderId="11" xfId="0" applyNumberFormat="1" applyFont="1" applyFill="1" applyBorder="1" applyAlignment="1" applyProtection="1">
      <alignment horizontal="right" vertical="center"/>
    </xf>
    <xf numFmtId="164" fontId="5" fillId="4" borderId="12" xfId="1" applyNumberFormat="1" applyFont="1" applyFill="1" applyBorder="1" applyAlignment="1" applyProtection="1">
      <alignment horizontal="center" vertical="center"/>
    </xf>
    <xf numFmtId="4" fontId="5" fillId="5" borderId="12" xfId="1" applyNumberFormat="1" applyFont="1" applyFill="1" applyBorder="1" applyAlignment="1" applyProtection="1">
      <alignment vertical="center"/>
    </xf>
    <xf numFmtId="164" fontId="5" fillId="4" borderId="13" xfId="1" applyNumberFormat="1" applyFont="1" applyFill="1" applyBorder="1" applyAlignment="1" applyProtection="1">
      <alignment horizontal="center" vertical="center"/>
    </xf>
    <xf numFmtId="0" fontId="8" fillId="0" borderId="6" xfId="0" applyNumberFormat="1" applyFont="1" applyFill="1" applyBorder="1" applyAlignment="1" applyProtection="1">
      <alignment horizontal="center" vertical="center"/>
    </xf>
    <xf numFmtId="0" fontId="8" fillId="0" borderId="7" xfId="1" applyNumberFormat="1" applyFont="1" applyFill="1" applyBorder="1" applyAlignment="1" applyProtection="1">
      <alignment horizontal="right" vertical="center"/>
    </xf>
    <xf numFmtId="2" fontId="5" fillId="0" borderId="2" xfId="2" applyNumberFormat="1" applyFont="1" applyFill="1" applyBorder="1" applyAlignment="1" applyProtection="1">
      <alignment horizontal="center" vertical="center"/>
    </xf>
    <xf numFmtId="164" fontId="5" fillId="4" borderId="5" xfId="1" applyNumberFormat="1" applyFont="1" applyFill="1" applyBorder="1" applyAlignment="1" applyProtection="1">
      <alignment horizontal="center" vertical="center"/>
    </xf>
    <xf numFmtId="0" fontId="8" fillId="0" borderId="14" xfId="0" applyNumberFormat="1" applyFont="1" applyBorder="1" applyAlignment="1" applyProtection="1">
      <alignment vertical="center"/>
    </xf>
    <xf numFmtId="0" fontId="8" fillId="0" borderId="15" xfId="0" applyNumberFormat="1" applyFont="1" applyFill="1" applyBorder="1" applyAlignment="1" applyProtection="1">
      <alignment horizontal="right" vertical="center"/>
    </xf>
    <xf numFmtId="164" fontId="8" fillId="4" borderId="16" xfId="1" applyNumberFormat="1" applyFont="1" applyFill="1" applyBorder="1" applyAlignment="1" applyProtection="1">
      <alignment vertical="center"/>
    </xf>
    <xf numFmtId="4" fontId="5" fillId="5" borderId="17" xfId="1" applyNumberFormat="1" applyFont="1" applyFill="1" applyBorder="1" applyAlignment="1" applyProtection="1">
      <alignment vertical="center"/>
    </xf>
    <xf numFmtId="164" fontId="8" fillId="4" borderId="18" xfId="0" applyNumberFormat="1" applyFont="1" applyFill="1" applyBorder="1" applyAlignment="1" applyProtection="1">
      <alignment vertical="center"/>
    </xf>
    <xf numFmtId="0" fontId="5" fillId="0" borderId="0" xfId="0" applyFont="1" applyAlignment="1" applyProtection="1">
      <alignment vertical="center"/>
    </xf>
    <xf numFmtId="0" fontId="8" fillId="0" borderId="19" xfId="0" applyFont="1" applyBorder="1" applyAlignment="1" applyProtection="1">
      <alignment horizontal="right" vertical="center"/>
    </xf>
    <xf numFmtId="4" fontId="8" fillId="0" borderId="19" xfId="1" applyNumberFormat="1" applyFont="1" applyFill="1" applyBorder="1" applyAlignment="1" applyProtection="1">
      <alignment horizontal="right" vertical="center"/>
    </xf>
    <xf numFmtId="0" fontId="8" fillId="0" borderId="20" xfId="0" applyFont="1" applyFill="1" applyBorder="1" applyAlignment="1" applyProtection="1">
      <alignment horizontal="right" vertical="center"/>
    </xf>
    <xf numFmtId="43" fontId="8" fillId="4" borderId="21" xfId="1" applyNumberFormat="1" applyFont="1" applyFill="1" applyBorder="1" applyAlignment="1" applyProtection="1">
      <alignment horizontal="right" vertical="center"/>
    </xf>
    <xf numFmtId="0" fontId="5" fillId="0" borderId="13" xfId="0" applyFont="1" applyBorder="1" applyAlignment="1" applyProtection="1">
      <alignment vertical="center"/>
    </xf>
    <xf numFmtId="0" fontId="5" fillId="0" borderId="22" xfId="0" applyFont="1" applyBorder="1" applyAlignment="1" applyProtection="1">
      <alignment horizontal="center" vertical="center"/>
    </xf>
    <xf numFmtId="4" fontId="8" fillId="0" borderId="0" xfId="1" applyNumberFormat="1" applyFont="1" applyFill="1" applyBorder="1" applyAlignment="1" applyProtection="1">
      <alignment horizontal="right" vertical="center"/>
    </xf>
    <xf numFmtId="4" fontId="8" fillId="0" borderId="23" xfId="1" applyNumberFormat="1" applyFont="1" applyFill="1" applyBorder="1" applyAlignment="1" applyProtection="1">
      <alignment horizontal="right" vertical="center"/>
    </xf>
    <xf numFmtId="43" fontId="8" fillId="4" borderId="24" xfId="1" applyNumberFormat="1" applyFont="1" applyFill="1" applyBorder="1" applyAlignment="1" applyProtection="1">
      <alignment horizontal="right" vertical="center"/>
    </xf>
    <xf numFmtId="0" fontId="5" fillId="0" borderId="5" xfId="0" applyFont="1" applyBorder="1" applyAlignment="1" applyProtection="1">
      <alignment vertical="center"/>
    </xf>
    <xf numFmtId="0" fontId="10" fillId="0" borderId="22" xfId="0" applyFont="1" applyFill="1" applyBorder="1" applyProtection="1"/>
    <xf numFmtId="0" fontId="19" fillId="0" borderId="0" xfId="0" applyFont="1" applyBorder="1" applyAlignment="1" applyProtection="1">
      <alignment horizontal="left" vertical="center"/>
    </xf>
    <xf numFmtId="4" fontId="8" fillId="0" borderId="0" xfId="0" applyNumberFormat="1" applyFont="1" applyFill="1" applyBorder="1" applyAlignment="1" applyProtection="1">
      <alignment horizontal="right" vertical="center"/>
    </xf>
    <xf numFmtId="4" fontId="8" fillId="0" borderId="23" xfId="0" applyNumberFormat="1" applyFont="1" applyFill="1" applyBorder="1" applyAlignment="1" applyProtection="1">
      <alignment horizontal="right" vertical="center"/>
    </xf>
    <xf numFmtId="43" fontId="8" fillId="4" borderId="25" xfId="1" applyNumberFormat="1" applyFont="1" applyFill="1" applyBorder="1" applyAlignment="1" applyProtection="1">
      <alignment horizontal="right" vertical="center"/>
    </xf>
    <xf numFmtId="0" fontId="5" fillId="0" borderId="9" xfId="0" applyFont="1" applyBorder="1" applyAlignment="1" applyProtection="1">
      <alignment vertical="center"/>
    </xf>
    <xf numFmtId="0" fontId="10" fillId="0" borderId="26" xfId="0" applyFont="1" applyBorder="1" applyAlignment="1" applyProtection="1">
      <alignment vertical="center"/>
    </xf>
    <xf numFmtId="0" fontId="19" fillId="0" borderId="27" xfId="0" applyFont="1" applyBorder="1" applyAlignment="1" applyProtection="1">
      <alignment horizontal="left" vertical="center"/>
    </xf>
    <xf numFmtId="4" fontId="8" fillId="0" borderId="27" xfId="0" applyNumberFormat="1" applyFont="1" applyFill="1" applyBorder="1" applyAlignment="1" applyProtection="1">
      <alignment horizontal="right" vertical="center"/>
    </xf>
    <xf numFmtId="4" fontId="8" fillId="0" borderId="28" xfId="0" applyNumberFormat="1" applyFont="1" applyFill="1" applyBorder="1" applyAlignment="1" applyProtection="1">
      <alignment horizontal="right" vertical="center"/>
    </xf>
    <xf numFmtId="43" fontId="8" fillId="4" borderId="29" xfId="1" applyNumberFormat="1" applyFont="1" applyFill="1" applyBorder="1" applyAlignment="1" applyProtection="1">
      <alignment horizontal="right" vertical="center"/>
    </xf>
    <xf numFmtId="0" fontId="5" fillId="0" borderId="30" xfId="0" applyFont="1" applyBorder="1" applyAlignment="1" applyProtection="1">
      <alignment vertical="center"/>
    </xf>
    <xf numFmtId="0" fontId="14" fillId="0" borderId="31" xfId="0" applyFont="1" applyFill="1" applyBorder="1" applyAlignment="1" applyProtection="1">
      <alignment horizontal="center"/>
    </xf>
    <xf numFmtId="4" fontId="14" fillId="0" borderId="12" xfId="0" applyNumberFormat="1" applyFont="1" applyFill="1" applyBorder="1" applyAlignment="1" applyProtection="1">
      <alignment horizontal="center"/>
    </xf>
    <xf numFmtId="4" fontId="10" fillId="0" borderId="0" xfId="0" applyNumberFormat="1" applyFont="1" applyFill="1" applyBorder="1" applyAlignment="1" applyProtection="1">
      <alignment horizontal="left"/>
    </xf>
    <xf numFmtId="4" fontId="10" fillId="0" borderId="2" xfId="0" applyNumberFormat="1" applyFont="1" applyFill="1" applyBorder="1" applyAlignment="1" applyProtection="1">
      <alignment horizontal="center"/>
    </xf>
    <xf numFmtId="4" fontId="10" fillId="0" borderId="32" xfId="0" applyNumberFormat="1" applyFont="1" applyFill="1" applyBorder="1" applyAlignment="1" applyProtection="1">
      <alignment horizontal="center"/>
    </xf>
    <xf numFmtId="0" fontId="5" fillId="0" borderId="0" xfId="0" applyFont="1" applyFill="1" applyAlignment="1" applyProtection="1"/>
    <xf numFmtId="4" fontId="5" fillId="0" borderId="0" xfId="0" applyNumberFormat="1" applyFont="1" applyFill="1" applyAlignment="1" applyProtection="1">
      <alignment horizontal="left"/>
    </xf>
    <xf numFmtId="0" fontId="13" fillId="0" borderId="0" xfId="0" applyFont="1" applyFill="1" applyBorder="1" applyProtection="1"/>
    <xf numFmtId="2" fontId="5" fillId="0" borderId="0" xfId="0" applyNumberFormat="1" applyFont="1" applyFill="1" applyBorder="1" applyAlignment="1" applyProtection="1">
      <alignment horizontal="right"/>
    </xf>
    <xf numFmtId="0" fontId="5" fillId="0" borderId="0" xfId="0" applyFont="1" applyFill="1" applyBorder="1" applyAlignment="1" applyProtection="1"/>
    <xf numFmtId="0" fontId="8" fillId="0" borderId="0" xfId="0" applyFont="1" applyFill="1" applyBorder="1" applyProtection="1"/>
    <xf numFmtId="0" fontId="5" fillId="0" borderId="0" xfId="0" applyNumberFormat="1" applyFont="1" applyFill="1" applyBorder="1" applyProtection="1"/>
    <xf numFmtId="2" fontId="5" fillId="0" borderId="0" xfId="0" applyNumberFormat="1" applyFont="1" applyFill="1" applyBorder="1" applyAlignment="1" applyProtection="1">
      <alignment horizontal="center"/>
    </xf>
    <xf numFmtId="0" fontId="8" fillId="0" borderId="0" xfId="0" applyFont="1" applyFill="1" applyBorder="1" applyAlignment="1" applyProtection="1">
      <alignment horizontal="center" wrapText="1"/>
    </xf>
    <xf numFmtId="0" fontId="6" fillId="0" borderId="0" xfId="0" applyFont="1" applyFill="1" applyBorder="1" applyAlignment="1" applyProtection="1">
      <alignment horizontal="center"/>
    </xf>
    <xf numFmtId="0" fontId="5" fillId="0" borderId="0" xfId="0" applyFont="1" applyFill="1" applyBorder="1" applyAlignment="1" applyProtection="1">
      <alignment horizontal="center"/>
    </xf>
    <xf numFmtId="3" fontId="5" fillId="0" borderId="0" xfId="1" applyNumberFormat="1" applyFont="1" applyFill="1" applyBorder="1" applyAlignment="1" applyProtection="1">
      <alignment horizontal="center"/>
    </xf>
    <xf numFmtId="3" fontId="5" fillId="0" borderId="0" xfId="0" applyNumberFormat="1" applyFont="1" applyFill="1" applyBorder="1" applyAlignment="1" applyProtection="1"/>
    <xf numFmtId="3" fontId="5" fillId="0" borderId="0" xfId="0" applyNumberFormat="1" applyFont="1" applyFill="1" applyBorder="1" applyAlignment="1" applyProtection="1">
      <alignment horizontal="center"/>
    </xf>
    <xf numFmtId="3" fontId="5" fillId="0" borderId="0" xfId="1" applyNumberFormat="1" applyFont="1" applyFill="1" applyBorder="1" applyAlignment="1" applyProtection="1">
      <alignment horizontal="right"/>
    </xf>
    <xf numFmtId="0" fontId="6" fillId="0" borderId="0" xfId="0" applyFont="1" applyFill="1" applyBorder="1" applyProtection="1"/>
    <xf numFmtId="0" fontId="13" fillId="0" borderId="0" xfId="0" applyFont="1" applyFill="1" applyBorder="1" applyAlignment="1" applyProtection="1">
      <alignment horizontal="right"/>
    </xf>
    <xf numFmtId="165" fontId="5" fillId="0" borderId="0" xfId="1" applyNumberFormat="1" applyFont="1" applyFill="1" applyBorder="1" applyProtection="1"/>
    <xf numFmtId="0" fontId="5" fillId="0" borderId="0" xfId="0" applyFont="1" applyFill="1" applyBorder="1" applyAlignment="1" applyProtection="1">
      <alignment horizontal="right"/>
    </xf>
    <xf numFmtId="164" fontId="5" fillId="0" borderId="0" xfId="1" applyNumberFormat="1" applyFont="1" applyFill="1" applyBorder="1" applyProtection="1"/>
    <xf numFmtId="43" fontId="5" fillId="0" borderId="0" xfId="0" applyNumberFormat="1" applyFont="1" applyFill="1" applyBorder="1" applyProtection="1"/>
    <xf numFmtId="4" fontId="5" fillId="0" borderId="0" xfId="0" applyNumberFormat="1" applyFont="1" applyFill="1" applyBorder="1" applyAlignment="1" applyProtection="1">
      <alignment horizontal="left"/>
    </xf>
    <xf numFmtId="4" fontId="5" fillId="0" borderId="0" xfId="0" applyNumberFormat="1" applyFont="1" applyAlignment="1" applyProtection="1">
      <alignment horizontal="left"/>
    </xf>
    <xf numFmtId="164" fontId="5" fillId="2" borderId="2" xfId="1" applyNumberFormat="1" applyFont="1" applyFill="1" applyBorder="1" applyAlignment="1" applyProtection="1">
      <alignment horizontal="center" vertical="center"/>
      <protection locked="0"/>
    </xf>
    <xf numFmtId="2" fontId="5" fillId="2" borderId="2" xfId="1" applyNumberFormat="1" applyFont="1" applyFill="1" applyBorder="1" applyAlignment="1" applyProtection="1">
      <alignment horizontal="center" vertical="center"/>
      <protection locked="0"/>
    </xf>
    <xf numFmtId="164" fontId="5" fillId="2" borderId="32" xfId="1" applyNumberFormat="1" applyFont="1" applyFill="1" applyBorder="1" applyAlignment="1" applyProtection="1">
      <alignment horizontal="center" vertical="center"/>
      <protection locked="0"/>
    </xf>
    <xf numFmtId="2" fontId="5" fillId="2" borderId="32" xfId="1" applyNumberFormat="1" applyFont="1" applyFill="1" applyBorder="1" applyAlignment="1" applyProtection="1">
      <alignment horizontal="center" vertical="center"/>
      <protection locked="0"/>
    </xf>
    <xf numFmtId="0" fontId="5" fillId="0" borderId="0" xfId="0" applyFont="1" applyFill="1" applyAlignment="1" applyProtection="1">
      <alignment vertical="top"/>
    </xf>
    <xf numFmtId="0" fontId="5" fillId="0" borderId="0" xfId="0" applyFont="1" applyFill="1" applyAlignment="1" applyProtection="1">
      <alignment vertical="top" wrapText="1"/>
    </xf>
    <xf numFmtId="0" fontId="8" fillId="0" borderId="0" xfId="0" applyFont="1" applyFill="1" applyAlignment="1" applyProtection="1">
      <alignment vertical="top"/>
    </xf>
    <xf numFmtId="0" fontId="20" fillId="0" borderId="0" xfId="0" applyFont="1" applyFill="1" applyBorder="1" applyAlignment="1" applyProtection="1">
      <alignment horizontal="left" vertical="center"/>
    </xf>
    <xf numFmtId="0" fontId="5" fillId="0" borderId="0" xfId="0" applyFont="1" applyFill="1" applyBorder="1" applyAlignment="1" applyProtection="1">
      <alignment horizontal="left"/>
      <protection locked="0"/>
    </xf>
    <xf numFmtId="0" fontId="16" fillId="0" borderId="0" xfId="0" applyFont="1" applyFill="1" applyBorder="1" applyAlignment="1" applyProtection="1">
      <alignment horizontal="left"/>
      <protection locked="0"/>
    </xf>
    <xf numFmtId="2" fontId="6" fillId="0" borderId="0" xfId="0" applyNumberFormat="1" applyFont="1" applyFill="1" applyBorder="1" applyAlignment="1" applyProtection="1">
      <alignment horizontal="left"/>
    </xf>
    <xf numFmtId="0" fontId="6" fillId="0" borderId="0" xfId="0" applyFont="1" applyFill="1" applyBorder="1" applyAlignment="1" applyProtection="1">
      <alignment horizontal="left"/>
    </xf>
    <xf numFmtId="0" fontId="5" fillId="0" borderId="0" xfId="0" applyFont="1" applyAlignment="1" applyProtection="1">
      <alignment vertical="center"/>
      <protection locked="0"/>
    </xf>
    <xf numFmtId="0" fontId="5" fillId="0" borderId="0" xfId="0" quotePrefix="1" applyFont="1" applyAlignment="1" applyProtection="1">
      <alignment vertical="center"/>
      <protection locked="0"/>
    </xf>
    <xf numFmtId="43" fontId="5" fillId="0" borderId="0" xfId="0" applyNumberFormat="1" applyFont="1" applyAlignment="1" applyProtection="1">
      <alignment vertical="center"/>
      <protection locked="0"/>
    </xf>
    <xf numFmtId="0" fontId="5" fillId="0" borderId="0" xfId="0" applyFont="1" applyFill="1" applyProtection="1">
      <protection locked="0"/>
    </xf>
    <xf numFmtId="0" fontId="5" fillId="0" borderId="0" xfId="0" applyFont="1" applyFill="1" applyAlignment="1" applyProtection="1">
      <protection locked="0"/>
    </xf>
    <xf numFmtId="4" fontId="5" fillId="5" borderId="29" xfId="1" applyNumberFormat="1" applyFont="1" applyFill="1" applyBorder="1" applyAlignment="1" applyProtection="1">
      <alignment vertical="center"/>
    </xf>
    <xf numFmtId="4" fontId="5" fillId="5" borderId="30" xfId="1" applyNumberFormat="1" applyFont="1" applyFill="1" applyBorder="1" applyAlignment="1" applyProtection="1">
      <alignment vertical="center"/>
    </xf>
    <xf numFmtId="0" fontId="10" fillId="0" borderId="39" xfId="0" applyFont="1" applyFill="1" applyBorder="1" applyAlignment="1" applyProtection="1">
      <alignment horizontal="center"/>
    </xf>
    <xf numFmtId="0" fontId="10" fillId="0" borderId="39" xfId="0" applyFont="1" applyBorder="1" applyAlignment="1" applyProtection="1">
      <alignment horizontal="center"/>
    </xf>
    <xf numFmtId="0" fontId="10" fillId="0" borderId="0" xfId="0" applyFont="1" applyFill="1" applyBorder="1" applyProtection="1"/>
    <xf numFmtId="0" fontId="10" fillId="0" borderId="40" xfId="0" applyFont="1" applyBorder="1" applyAlignment="1" applyProtection="1">
      <alignment horizontal="center"/>
    </xf>
    <xf numFmtId="43" fontId="5" fillId="0" borderId="32" xfId="1" applyFont="1" applyFill="1" applyBorder="1" applyAlignment="1" applyProtection="1">
      <alignment vertical="center"/>
    </xf>
    <xf numFmtId="0" fontId="8" fillId="0" borderId="34" xfId="0" applyNumberFormat="1" applyFont="1" applyFill="1" applyBorder="1" applyAlignment="1" applyProtection="1">
      <alignment horizontal="right" vertical="center"/>
    </xf>
    <xf numFmtId="0" fontId="8" fillId="0" borderId="41" xfId="0" applyNumberFormat="1" applyFont="1" applyFill="1" applyBorder="1" applyAlignment="1" applyProtection="1">
      <alignment horizontal="right" vertical="center"/>
    </xf>
    <xf numFmtId="164" fontId="5" fillId="4" borderId="42" xfId="1" applyNumberFormat="1" applyFont="1" applyFill="1" applyBorder="1" applyAlignment="1" applyProtection="1">
      <alignment horizontal="center" vertical="center"/>
    </xf>
    <xf numFmtId="4" fontId="5" fillId="5" borderId="42" xfId="1" applyNumberFormat="1" applyFont="1" applyFill="1" applyBorder="1" applyAlignment="1" applyProtection="1">
      <alignment vertical="center"/>
    </xf>
    <xf numFmtId="164" fontId="5" fillId="4" borderId="43" xfId="1" applyNumberFormat="1" applyFont="1" applyFill="1" applyBorder="1" applyAlignment="1" applyProtection="1">
      <alignment horizontal="center" vertical="center"/>
    </xf>
    <xf numFmtId="0" fontId="16" fillId="0" borderId="0" xfId="0" applyFont="1" applyFill="1" applyBorder="1" applyAlignment="1" applyProtection="1">
      <alignment horizontal="left"/>
    </xf>
    <xf numFmtId="0" fontId="20" fillId="0" borderId="0" xfId="0" applyFont="1" applyProtection="1"/>
    <xf numFmtId="0" fontId="5" fillId="0" borderId="0" xfId="0" applyFont="1" applyFill="1" applyBorder="1" applyAlignment="1" applyProtection="1">
      <alignment vertical="top"/>
    </xf>
    <xf numFmtId="0" fontId="5" fillId="0" borderId="0" xfId="0" quotePrefix="1" applyFont="1" applyAlignment="1" applyProtection="1">
      <alignment vertical="center"/>
    </xf>
    <xf numFmtId="43" fontId="5" fillId="0" borderId="0" xfId="0" applyNumberFormat="1" applyFont="1" applyAlignment="1" applyProtection="1">
      <alignment vertical="center"/>
    </xf>
    <xf numFmtId="0" fontId="7" fillId="0" borderId="10" xfId="0" applyFont="1" applyFill="1" applyBorder="1" applyAlignment="1" applyProtection="1">
      <alignment horizontal="center" vertical="center" wrapText="1"/>
    </xf>
    <xf numFmtId="0" fontId="7" fillId="0" borderId="33" xfId="0" applyFont="1" applyFill="1" applyBorder="1" applyAlignment="1" applyProtection="1">
      <alignment horizontal="center" vertical="center" wrapText="1"/>
    </xf>
    <xf numFmtId="0" fontId="17" fillId="0" borderId="22" xfId="0" applyFont="1" applyBorder="1" applyAlignment="1" applyProtection="1">
      <alignment horizontal="center" vertical="center"/>
    </xf>
    <xf numFmtId="0" fontId="17" fillId="0" borderId="0" xfId="0" applyFont="1" applyBorder="1" applyAlignment="1" applyProtection="1">
      <alignment horizontal="center" vertical="center"/>
    </xf>
    <xf numFmtId="0" fontId="17" fillId="0" borderId="23" xfId="0" applyFont="1" applyBorder="1" applyAlignment="1" applyProtection="1">
      <alignment horizontal="center" vertical="center"/>
    </xf>
    <xf numFmtId="0" fontId="5" fillId="0" borderId="0" xfId="0" applyFont="1" applyFill="1" applyAlignment="1" applyProtection="1">
      <alignment vertical="top" wrapText="1"/>
    </xf>
    <xf numFmtId="0" fontId="21" fillId="0" borderId="34" xfId="0" applyFont="1" applyFill="1" applyBorder="1" applyAlignment="1" applyProtection="1">
      <alignment horizontal="center" vertical="center" wrapText="1"/>
    </xf>
    <xf numFmtId="0" fontId="21" fillId="0" borderId="35" xfId="0" applyFont="1" applyFill="1" applyBorder="1" applyAlignment="1" applyProtection="1">
      <alignment horizontal="center" vertical="center" wrapText="1"/>
    </xf>
    <xf numFmtId="0" fontId="21" fillId="0" borderId="36" xfId="0" applyFont="1" applyFill="1" applyBorder="1" applyAlignment="1" applyProtection="1">
      <alignment horizontal="center" vertical="center" wrapText="1"/>
    </xf>
    <xf numFmtId="0" fontId="8" fillId="3" borderId="6" xfId="0" applyFont="1" applyFill="1" applyBorder="1" applyAlignment="1" applyProtection="1">
      <alignment horizontal="center" vertical="center" wrapText="1"/>
    </xf>
    <xf numFmtId="0" fontId="8" fillId="3" borderId="7" xfId="0" applyFont="1" applyFill="1" applyBorder="1" applyAlignment="1" applyProtection="1">
      <alignment horizontal="center" vertical="center" wrapText="1"/>
    </xf>
    <xf numFmtId="0" fontId="8" fillId="0" borderId="37" xfId="0" applyFont="1" applyFill="1" applyBorder="1" applyAlignment="1" applyProtection="1">
      <alignment horizontal="right" vertical="center" wrapText="1"/>
    </xf>
    <xf numFmtId="0" fontId="8" fillId="0" borderId="38" xfId="0" applyFont="1" applyFill="1" applyBorder="1" applyAlignment="1" applyProtection="1">
      <alignment horizontal="right" vertical="center" wrapText="1"/>
    </xf>
  </cellXfs>
  <cellStyles count="3">
    <cellStyle name="Comma" xfId="1" builtinId="3"/>
    <cellStyle name="Currency" xfId="2" builtinId="4"/>
    <cellStyle name="Normal" xfId="0" builtinId="0"/>
  </cellStyles>
  <dxfs count="6">
    <dxf>
      <font>
        <b/>
        <i val="0"/>
        <strike val="0"/>
        <color rgb="FFFF0000"/>
      </font>
      <fill>
        <patternFill>
          <bgColor rgb="FFFFFF00"/>
        </patternFill>
      </fill>
    </dxf>
    <dxf>
      <font>
        <b/>
        <i val="0"/>
        <strike val="0"/>
        <color rgb="FFFF0000"/>
      </font>
      <fill>
        <patternFill>
          <bgColor rgb="FFFFFF00"/>
        </patternFill>
      </fill>
    </dxf>
    <dxf>
      <font>
        <b/>
        <i val="0"/>
        <strike val="0"/>
        <color rgb="FFFF0000"/>
      </font>
      <fill>
        <patternFill>
          <bgColor rgb="FFFFFF00"/>
        </patternFill>
      </fill>
    </dxf>
    <dxf>
      <font>
        <b/>
        <i val="0"/>
        <strike val="0"/>
        <color rgb="FFFF0000"/>
      </font>
      <fill>
        <patternFill>
          <bgColor rgb="FFFFFF00"/>
        </patternFill>
      </fill>
    </dxf>
    <dxf>
      <font>
        <b/>
        <i val="0"/>
        <strike val="0"/>
        <color rgb="FFFF0000"/>
      </font>
      <fill>
        <patternFill>
          <bgColor rgb="FFFFFF00"/>
        </patternFill>
      </fill>
    </dxf>
    <dxf>
      <font>
        <b/>
        <i val="0"/>
        <strike val="0"/>
        <color auto="1"/>
      </font>
      <fill>
        <patternFill>
          <bgColor rgb="FF92D05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800100</xdr:colOff>
      <xdr:row>0</xdr:row>
      <xdr:rowOff>66675</xdr:rowOff>
    </xdr:from>
    <xdr:to>
      <xdr:col>5</xdr:col>
      <xdr:colOff>647700</xdr:colOff>
      <xdr:row>0</xdr:row>
      <xdr:rowOff>752475</xdr:rowOff>
    </xdr:to>
    <xdr:pic>
      <xdr:nvPicPr>
        <xdr:cNvPr id="7302" name="Picture 3" descr="Town-of-Hillsborough-bw.png"/>
        <xdr:cNvPicPr>
          <a:picLocks/>
        </xdr:cNvPicPr>
      </xdr:nvPicPr>
      <xdr:blipFill>
        <a:blip xmlns:r="http://schemas.openxmlformats.org/officeDocument/2006/relationships" r:embed="rId1" cstate="print"/>
        <a:srcRect/>
        <a:stretch>
          <a:fillRect/>
        </a:stretch>
      </xdr:blipFill>
      <xdr:spPr bwMode="auto">
        <a:xfrm>
          <a:off x="4343400" y="66675"/>
          <a:ext cx="685800" cy="6858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800100</xdr:colOff>
      <xdr:row>0</xdr:row>
      <xdr:rowOff>66675</xdr:rowOff>
    </xdr:from>
    <xdr:to>
      <xdr:col>5</xdr:col>
      <xdr:colOff>647700</xdr:colOff>
      <xdr:row>0</xdr:row>
      <xdr:rowOff>752475</xdr:rowOff>
    </xdr:to>
    <xdr:pic>
      <xdr:nvPicPr>
        <xdr:cNvPr id="8218" name="Picture 3" descr="Town-of-Hillsborough-bw.png"/>
        <xdr:cNvPicPr>
          <a:picLocks/>
        </xdr:cNvPicPr>
      </xdr:nvPicPr>
      <xdr:blipFill>
        <a:blip xmlns:r="http://schemas.openxmlformats.org/officeDocument/2006/relationships" r:embed="rId1" cstate="print"/>
        <a:srcRect/>
        <a:stretch>
          <a:fillRect/>
        </a:stretch>
      </xdr:blipFill>
      <xdr:spPr bwMode="auto">
        <a:xfrm>
          <a:off x="4343400" y="66675"/>
          <a:ext cx="685800" cy="6858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sheetPr codeName="Sheet1"/>
  <dimension ref="A1:J78"/>
  <sheetViews>
    <sheetView showGridLines="0" showRowColHeaders="0" tabSelected="1" topLeftCell="A25" zoomScaleNormal="100" workbookViewId="0">
      <selection activeCell="C23" sqref="C23"/>
    </sheetView>
  </sheetViews>
  <sheetFormatPr defaultRowHeight="12.75"/>
  <cols>
    <col min="1" max="1" width="19.7109375" style="6" customWidth="1"/>
    <col min="2" max="2" width="12.28515625" style="6" customWidth="1"/>
    <col min="3" max="3" width="12.7109375" style="90" customWidth="1"/>
    <col min="4" max="4" width="8.42578125" style="90" customWidth="1"/>
    <col min="5" max="5" width="12.5703125" style="90" customWidth="1"/>
    <col min="6" max="6" width="13.140625" style="6" customWidth="1"/>
    <col min="7" max="7" width="3" style="6" customWidth="1"/>
    <col min="8" max="8" width="7.42578125" style="6" customWidth="1"/>
    <col min="9" max="10" width="5.7109375" style="6" customWidth="1"/>
    <col min="11" max="11" width="11" style="6" customWidth="1"/>
    <col min="12" max="12" width="14" style="6" customWidth="1"/>
    <col min="13" max="13" width="12.140625" style="6" customWidth="1"/>
    <col min="14" max="14" width="11.28515625" style="6" customWidth="1"/>
    <col min="15" max="15" width="10.7109375" style="6" customWidth="1"/>
    <col min="16" max="17" width="9.140625" style="6" customWidth="1"/>
    <col min="18" max="18" width="9.85546875" style="6" customWidth="1"/>
    <col min="19" max="19" width="17.140625" style="6" customWidth="1"/>
    <col min="20" max="20" width="12.85546875" style="6" customWidth="1"/>
    <col min="21" max="21" width="13.140625" style="6" customWidth="1"/>
    <col min="22" max="26" width="6.85546875" style="6" customWidth="1"/>
    <col min="27" max="16384" width="9.140625" style="6"/>
  </cols>
  <sheetData>
    <row r="1" spans="1:10" ht="65.099999999999994" customHeight="1">
      <c r="A1" s="125" t="s">
        <v>353</v>
      </c>
      <c r="B1" s="126"/>
      <c r="C1" s="126"/>
      <c r="D1" s="126"/>
      <c r="E1" s="126"/>
      <c r="F1" s="16"/>
      <c r="H1" s="121"/>
    </row>
    <row r="2" spans="1:10" ht="42" customHeight="1">
      <c r="A2" s="134" t="s">
        <v>329</v>
      </c>
      <c r="B2" s="135"/>
      <c r="C2" s="17" t="s">
        <v>336</v>
      </c>
      <c r="D2" s="17" t="s">
        <v>366</v>
      </c>
      <c r="E2" s="17" t="s">
        <v>327</v>
      </c>
      <c r="F2" s="18" t="s">
        <v>337</v>
      </c>
      <c r="H2" s="23"/>
      <c r="I2" s="98"/>
    </row>
    <row r="3" spans="1:10" s="23" customFormat="1" ht="15" customHeight="1">
      <c r="A3" s="19" t="str">
        <f>IF(D3&gt;1,"Please enter PF&lt;=1"," ")</f>
        <v xml:space="preserve"> </v>
      </c>
      <c r="B3" s="20" t="s">
        <v>338</v>
      </c>
      <c r="C3" s="91"/>
      <c r="D3" s="92"/>
      <c r="E3" s="21" t="str">
        <f>IF(D3&lt;=0," ",IF(D3&lt;=0.3,"Low",IF(D3&lt;=0.6,"Medium",IF(D3&lt;=1,"High"," "))))</f>
        <v xml:space="preserve"> </v>
      </c>
      <c r="F3" s="22">
        <f>C3*D3</f>
        <v>0</v>
      </c>
      <c r="I3" s="97"/>
      <c r="J3" s="96"/>
    </row>
    <row r="4" spans="1:10" s="23" customFormat="1" ht="15" customHeight="1">
      <c r="A4" s="19" t="str">
        <f t="shared" ref="A4:A23" si="0">IF(D4&gt;1,"Please enter PF&lt;=1"," ")</f>
        <v xml:space="preserve"> </v>
      </c>
      <c r="B4" s="20" t="s">
        <v>339</v>
      </c>
      <c r="C4" s="91"/>
      <c r="D4" s="92"/>
      <c r="E4" s="21" t="str">
        <f t="shared" ref="E4:E25" si="1">IF(D4&lt;=0," ",IF(D4&lt;=0.3,"Low",IF(D4&lt;=0.6,"Medium",IF(D4&lt;=1,"High"," "))))</f>
        <v xml:space="preserve"> </v>
      </c>
      <c r="F4" s="22">
        <f t="shared" ref="F4:F25" si="2">C4*D4</f>
        <v>0</v>
      </c>
      <c r="I4" s="97"/>
      <c r="J4" s="96"/>
    </row>
    <row r="5" spans="1:10" s="23" customFormat="1" ht="15" customHeight="1">
      <c r="A5" s="19" t="str">
        <f t="shared" si="0"/>
        <v xml:space="preserve"> </v>
      </c>
      <c r="B5" s="20" t="s">
        <v>340</v>
      </c>
      <c r="C5" s="91"/>
      <c r="D5" s="92"/>
      <c r="E5" s="21" t="str">
        <f t="shared" si="1"/>
        <v xml:space="preserve"> </v>
      </c>
      <c r="F5" s="22">
        <f t="shared" si="2"/>
        <v>0</v>
      </c>
      <c r="I5" s="97"/>
      <c r="J5" s="96"/>
    </row>
    <row r="6" spans="1:10" s="23" customFormat="1" ht="15" customHeight="1">
      <c r="A6" s="19" t="str">
        <f t="shared" si="0"/>
        <v xml:space="preserve"> </v>
      </c>
      <c r="B6" s="20" t="s">
        <v>341</v>
      </c>
      <c r="C6" s="91"/>
      <c r="D6" s="92"/>
      <c r="E6" s="21" t="str">
        <f t="shared" si="1"/>
        <v xml:space="preserve"> </v>
      </c>
      <c r="F6" s="22">
        <f t="shared" si="2"/>
        <v>0</v>
      </c>
      <c r="I6" s="97"/>
      <c r="J6" s="96"/>
    </row>
    <row r="7" spans="1:10" s="23" customFormat="1" ht="15" customHeight="1">
      <c r="A7" s="19" t="str">
        <f t="shared" si="0"/>
        <v xml:space="preserve"> </v>
      </c>
      <c r="B7" s="20" t="s">
        <v>342</v>
      </c>
      <c r="C7" s="91"/>
      <c r="D7" s="92"/>
      <c r="E7" s="21" t="str">
        <f t="shared" si="1"/>
        <v xml:space="preserve"> </v>
      </c>
      <c r="F7" s="22">
        <f t="shared" si="2"/>
        <v>0</v>
      </c>
      <c r="I7" s="97"/>
      <c r="J7" s="130"/>
    </row>
    <row r="8" spans="1:10" s="23" customFormat="1" ht="15" customHeight="1">
      <c r="A8" s="19" t="str">
        <f t="shared" si="0"/>
        <v xml:space="preserve"> </v>
      </c>
      <c r="B8" s="20" t="s">
        <v>343</v>
      </c>
      <c r="C8" s="91"/>
      <c r="D8" s="92"/>
      <c r="E8" s="21" t="str">
        <f t="shared" si="1"/>
        <v xml:space="preserve"> </v>
      </c>
      <c r="F8" s="22">
        <f t="shared" si="2"/>
        <v>0</v>
      </c>
      <c r="I8" s="95"/>
      <c r="J8" s="130"/>
    </row>
    <row r="9" spans="1:10" s="23" customFormat="1" ht="15" customHeight="1">
      <c r="A9" s="19" t="str">
        <f t="shared" si="0"/>
        <v xml:space="preserve"> </v>
      </c>
      <c r="B9" s="20" t="s">
        <v>344</v>
      </c>
      <c r="C9" s="91"/>
      <c r="D9" s="92"/>
      <c r="E9" s="21" t="str">
        <f t="shared" si="1"/>
        <v xml:space="preserve"> </v>
      </c>
      <c r="F9" s="22">
        <f t="shared" si="2"/>
        <v>0</v>
      </c>
      <c r="I9" s="95"/>
      <c r="J9" s="130"/>
    </row>
    <row r="10" spans="1:10" s="23" customFormat="1" ht="15" customHeight="1">
      <c r="A10" s="19" t="str">
        <f t="shared" si="0"/>
        <v xml:space="preserve"> </v>
      </c>
      <c r="B10" s="20" t="s">
        <v>345</v>
      </c>
      <c r="C10" s="91"/>
      <c r="D10" s="92"/>
      <c r="E10" s="21" t="str">
        <f t="shared" si="1"/>
        <v xml:space="preserve"> </v>
      </c>
      <c r="F10" s="22">
        <f t="shared" si="2"/>
        <v>0</v>
      </c>
      <c r="I10" s="97"/>
      <c r="J10" s="130"/>
    </row>
    <row r="11" spans="1:10" s="23" customFormat="1" ht="15" customHeight="1">
      <c r="A11" s="19" t="str">
        <f t="shared" si="0"/>
        <v xml:space="preserve"> </v>
      </c>
      <c r="B11" s="20" t="s">
        <v>346</v>
      </c>
      <c r="C11" s="91"/>
      <c r="D11" s="92"/>
      <c r="E11" s="21" t="str">
        <f t="shared" si="1"/>
        <v xml:space="preserve"> </v>
      </c>
      <c r="F11" s="22">
        <f t="shared" si="2"/>
        <v>0</v>
      </c>
    </row>
    <row r="12" spans="1:10" s="23" customFormat="1" ht="15" customHeight="1">
      <c r="A12" s="19" t="str">
        <f t="shared" si="0"/>
        <v xml:space="preserve"> </v>
      </c>
      <c r="B12" s="20" t="s">
        <v>347</v>
      </c>
      <c r="C12" s="91"/>
      <c r="D12" s="92"/>
      <c r="E12" s="21" t="str">
        <f t="shared" si="1"/>
        <v xml:space="preserve"> </v>
      </c>
      <c r="F12" s="22">
        <f t="shared" si="2"/>
        <v>0</v>
      </c>
    </row>
    <row r="13" spans="1:10" s="23" customFormat="1" ht="15" customHeight="1">
      <c r="A13" s="19" t="str">
        <f t="shared" si="0"/>
        <v xml:space="preserve"> </v>
      </c>
      <c r="B13" s="20" t="s">
        <v>348</v>
      </c>
      <c r="C13" s="91"/>
      <c r="D13" s="92"/>
      <c r="E13" s="21" t="str">
        <f t="shared" si="1"/>
        <v xml:space="preserve"> </v>
      </c>
      <c r="F13" s="22">
        <f t="shared" si="2"/>
        <v>0</v>
      </c>
    </row>
    <row r="14" spans="1:10" s="23" customFormat="1" ht="15" customHeight="1">
      <c r="A14" s="19" t="str">
        <f t="shared" si="0"/>
        <v xml:space="preserve"> </v>
      </c>
      <c r="B14" s="20" t="s">
        <v>349</v>
      </c>
      <c r="C14" s="91"/>
      <c r="D14" s="92"/>
      <c r="E14" s="21" t="str">
        <f t="shared" si="1"/>
        <v xml:space="preserve"> </v>
      </c>
      <c r="F14" s="22">
        <f t="shared" si="2"/>
        <v>0</v>
      </c>
    </row>
    <row r="15" spans="1:10" s="23" customFormat="1" ht="15" customHeight="1">
      <c r="A15" s="19" t="str">
        <f t="shared" si="0"/>
        <v xml:space="preserve"> </v>
      </c>
      <c r="B15" s="20" t="s">
        <v>350</v>
      </c>
      <c r="C15" s="91"/>
      <c r="D15" s="92"/>
      <c r="E15" s="21" t="str">
        <f t="shared" si="1"/>
        <v xml:space="preserve"> </v>
      </c>
      <c r="F15" s="22">
        <f t="shared" si="2"/>
        <v>0</v>
      </c>
    </row>
    <row r="16" spans="1:10" s="23" customFormat="1" ht="15" customHeight="1">
      <c r="A16" s="19" t="str">
        <f t="shared" si="0"/>
        <v xml:space="preserve"> </v>
      </c>
      <c r="B16" s="20" t="s">
        <v>351</v>
      </c>
      <c r="C16" s="91"/>
      <c r="D16" s="92"/>
      <c r="E16" s="21" t="str">
        <f t="shared" si="1"/>
        <v xml:space="preserve"> </v>
      </c>
      <c r="F16" s="22">
        <f t="shared" si="2"/>
        <v>0</v>
      </c>
    </row>
    <row r="17" spans="1:8" s="23" customFormat="1" ht="15" customHeight="1">
      <c r="A17" s="19" t="str">
        <f t="shared" si="0"/>
        <v xml:space="preserve"> </v>
      </c>
      <c r="B17" s="24" t="s">
        <v>352</v>
      </c>
      <c r="C17" s="93"/>
      <c r="D17" s="94"/>
      <c r="E17" s="21" t="str">
        <f t="shared" si="1"/>
        <v xml:space="preserve"> </v>
      </c>
      <c r="F17" s="25">
        <f t="shared" ref="F17:F22" si="3">C17*D17</f>
        <v>0</v>
      </c>
    </row>
    <row r="18" spans="1:8" s="23" customFormat="1" ht="15" customHeight="1">
      <c r="A18" s="19" t="str">
        <f t="shared" si="0"/>
        <v xml:space="preserve"> </v>
      </c>
      <c r="B18" s="24" t="s">
        <v>358</v>
      </c>
      <c r="C18" s="93"/>
      <c r="D18" s="94"/>
      <c r="E18" s="21" t="str">
        <f t="shared" si="1"/>
        <v xml:space="preserve"> </v>
      </c>
      <c r="F18" s="25">
        <f t="shared" si="3"/>
        <v>0</v>
      </c>
    </row>
    <row r="19" spans="1:8" s="23" customFormat="1" ht="15" customHeight="1">
      <c r="A19" s="19" t="str">
        <f t="shared" si="0"/>
        <v xml:space="preserve"> </v>
      </c>
      <c r="B19" s="24" t="s">
        <v>359</v>
      </c>
      <c r="C19" s="93"/>
      <c r="D19" s="94"/>
      <c r="E19" s="21" t="str">
        <f t="shared" si="1"/>
        <v xml:space="preserve"> </v>
      </c>
      <c r="F19" s="25">
        <f t="shared" si="3"/>
        <v>0</v>
      </c>
    </row>
    <row r="20" spans="1:8" s="23" customFormat="1" ht="15" customHeight="1">
      <c r="A20" s="19" t="str">
        <f t="shared" si="0"/>
        <v xml:space="preserve"> </v>
      </c>
      <c r="B20" s="24" t="s">
        <v>360</v>
      </c>
      <c r="C20" s="93"/>
      <c r="D20" s="94"/>
      <c r="E20" s="21" t="str">
        <f t="shared" si="1"/>
        <v xml:space="preserve"> </v>
      </c>
      <c r="F20" s="25">
        <f t="shared" si="3"/>
        <v>0</v>
      </c>
    </row>
    <row r="21" spans="1:8" s="23" customFormat="1" ht="15" customHeight="1">
      <c r="A21" s="19" t="str">
        <f>IF(D21&gt;1,"Please enter PF&lt;=1"," ")</f>
        <v xml:space="preserve"> </v>
      </c>
      <c r="B21" s="24" t="s">
        <v>361</v>
      </c>
      <c r="C21" s="93"/>
      <c r="D21" s="94"/>
      <c r="E21" s="21" t="str">
        <f>IF(D21&lt;=0," ",IF(D21&lt;=0.3,"Low",IF(D21&lt;=0.6,"Medium",IF(D21&lt;=1,"High"," "))))</f>
        <v xml:space="preserve"> </v>
      </c>
      <c r="F21" s="25">
        <f t="shared" si="3"/>
        <v>0</v>
      </c>
    </row>
    <row r="22" spans="1:8" s="23" customFormat="1" ht="15" customHeight="1">
      <c r="A22" s="19" t="str">
        <f t="shared" si="0"/>
        <v xml:space="preserve"> </v>
      </c>
      <c r="B22" s="24" t="s">
        <v>362</v>
      </c>
      <c r="C22" s="93"/>
      <c r="D22" s="94"/>
      <c r="E22" s="21" t="str">
        <f t="shared" si="1"/>
        <v xml:space="preserve"> </v>
      </c>
      <c r="F22" s="25">
        <f t="shared" si="3"/>
        <v>0</v>
      </c>
    </row>
    <row r="23" spans="1:8" s="23" customFormat="1" ht="15" customHeight="1" thickBot="1">
      <c r="A23" s="19" t="str">
        <f t="shared" si="0"/>
        <v xml:space="preserve"> </v>
      </c>
      <c r="B23" s="24" t="s">
        <v>370</v>
      </c>
      <c r="C23" s="93"/>
      <c r="D23" s="94"/>
      <c r="E23" s="21" t="str">
        <f t="shared" si="1"/>
        <v xml:space="preserve"> </v>
      </c>
      <c r="F23" s="25">
        <f t="shared" si="2"/>
        <v>0</v>
      </c>
    </row>
    <row r="24" spans="1:8" s="23" customFormat="1" ht="15" customHeight="1">
      <c r="A24" s="26"/>
      <c r="B24" s="27" t="s">
        <v>367</v>
      </c>
      <c r="C24" s="28">
        <f>SUM(C3:C23)+'Additional Hydrozones'!C37</f>
        <v>0</v>
      </c>
      <c r="D24" s="29"/>
      <c r="E24" s="29"/>
      <c r="F24" s="30">
        <f>SUM(F3:F23)+'Additional Hydrozones'!F37</f>
        <v>0</v>
      </c>
    </row>
    <row r="25" spans="1:8" s="23" customFormat="1" ht="15" customHeight="1">
      <c r="A25" s="31"/>
      <c r="B25" s="32" t="s">
        <v>368</v>
      </c>
      <c r="C25" s="11"/>
      <c r="D25" s="33">
        <v>1</v>
      </c>
      <c r="E25" s="21" t="str">
        <f t="shared" si="1"/>
        <v>High</v>
      </c>
      <c r="F25" s="34">
        <f t="shared" si="2"/>
        <v>0</v>
      </c>
    </row>
    <row r="26" spans="1:8" s="40" customFormat="1" ht="15" customHeight="1">
      <c r="A26" s="35"/>
      <c r="B26" s="36" t="s">
        <v>369</v>
      </c>
      <c r="C26" s="37">
        <f>C24+C25</f>
        <v>0</v>
      </c>
      <c r="D26" s="38"/>
      <c r="E26" s="38"/>
      <c r="F26" s="39">
        <f>F24+F25</f>
        <v>0</v>
      </c>
    </row>
    <row r="27" spans="1:8" s="40" customFormat="1" ht="15" customHeight="1" thickBot="1">
      <c r="A27" s="136" t="s">
        <v>363</v>
      </c>
      <c r="B27" s="137"/>
      <c r="C27" s="114">
        <v>0.71</v>
      </c>
      <c r="D27" s="108"/>
      <c r="E27" s="108"/>
      <c r="F27" s="109"/>
    </row>
    <row r="28" spans="1:8" s="40" customFormat="1" ht="15" customHeight="1">
      <c r="A28" s="12" t="str">
        <f>IF(D25&gt;1,"Enter PF&lt;=1 for SLA"," ")</f>
        <v xml:space="preserve"> </v>
      </c>
      <c r="B28" s="41"/>
      <c r="C28" s="42"/>
      <c r="D28" s="43" t="s">
        <v>334</v>
      </c>
      <c r="E28" s="44">
        <f>A43*0.62*((0.7*C24)+(0.3*C25))</f>
        <v>0</v>
      </c>
      <c r="F28" s="45" t="s">
        <v>330</v>
      </c>
      <c r="H28" s="122"/>
    </row>
    <row r="29" spans="1:8" s="40" customFormat="1" ht="15" customHeight="1">
      <c r="A29" s="46"/>
      <c r="B29" s="9"/>
      <c r="C29" s="47"/>
      <c r="D29" s="48"/>
      <c r="E29" s="49">
        <f>IF(E28="-","-",E28*0.133681)</f>
        <v>0</v>
      </c>
      <c r="F29" s="50" t="s">
        <v>331</v>
      </c>
      <c r="H29" s="123"/>
    </row>
    <row r="30" spans="1:8" s="40" customFormat="1" ht="15" customHeight="1">
      <c r="A30" s="127" t="str">
        <f>IF(C26=0,"Enter landscape areas &amp; plant factors by zone, above."," ")</f>
        <v>Enter landscape areas &amp; plant factors by zone, above.</v>
      </c>
      <c r="B30" s="128"/>
      <c r="C30" s="128"/>
      <c r="D30" s="129"/>
      <c r="E30" s="49">
        <f>IF(E28="-","-",E29/100)</f>
        <v>0</v>
      </c>
      <c r="F30" s="50" t="s">
        <v>326</v>
      </c>
    </row>
    <row r="31" spans="1:8" s="40" customFormat="1" ht="15" customHeight="1">
      <c r="A31" s="127"/>
      <c r="B31" s="128"/>
      <c r="C31" s="128"/>
      <c r="D31" s="129"/>
      <c r="E31" s="49">
        <f>IF(E28="-","-",E28*0.0000030689)</f>
        <v>0</v>
      </c>
      <c r="F31" s="50" t="s">
        <v>333</v>
      </c>
    </row>
    <row r="32" spans="1:8" s="40" customFormat="1" ht="15" customHeight="1" thickBot="1">
      <c r="A32" s="51"/>
      <c r="B32" s="52"/>
      <c r="C32" s="53"/>
      <c r="D32" s="54"/>
      <c r="E32" s="55">
        <f>IF(E28="-","-",E28/1000000)</f>
        <v>0</v>
      </c>
      <c r="F32" s="56" t="s">
        <v>332</v>
      </c>
    </row>
    <row r="33" spans="1:8" s="40" customFormat="1" ht="15" customHeight="1">
      <c r="A33" s="10"/>
      <c r="B33" s="41"/>
      <c r="C33" s="42"/>
      <c r="D33" s="43" t="s">
        <v>354</v>
      </c>
      <c r="E33" s="44">
        <f>A43*0.62*((F24/C27)+C25)</f>
        <v>0</v>
      </c>
      <c r="F33" s="45" t="s">
        <v>330</v>
      </c>
      <c r="H33" s="124"/>
    </row>
    <row r="34" spans="1:8" s="40" customFormat="1" ht="15" customHeight="1">
      <c r="A34" s="46"/>
      <c r="B34" s="9"/>
      <c r="C34" s="47"/>
      <c r="D34" s="48"/>
      <c r="E34" s="49">
        <f>E33*0.133681</f>
        <v>0</v>
      </c>
      <c r="F34" s="50" t="s">
        <v>331</v>
      </c>
    </row>
    <row r="35" spans="1:8" s="40" customFormat="1" ht="15" customHeight="1">
      <c r="A35" s="127" t="str">
        <f>IF(E28=0," ",IF(E33&lt;0,NA(),IF(E33&lt;=E28,"ETWU complies with MAWA",IF(E33&gt;E28,"ETWU does not comply with MAWA",))))</f>
        <v xml:space="preserve"> </v>
      </c>
      <c r="B35" s="128"/>
      <c r="C35" s="128"/>
      <c r="D35" s="129"/>
      <c r="E35" s="49">
        <f>E34/100</f>
        <v>0</v>
      </c>
      <c r="F35" s="50" t="s">
        <v>326</v>
      </c>
    </row>
    <row r="36" spans="1:8" s="40" customFormat="1" ht="15" customHeight="1">
      <c r="A36" s="127"/>
      <c r="B36" s="128"/>
      <c r="C36" s="53"/>
      <c r="D36" s="54"/>
      <c r="E36" s="49">
        <f>E33*0.0000030689</f>
        <v>0</v>
      </c>
      <c r="F36" s="50" t="s">
        <v>333</v>
      </c>
    </row>
    <row r="37" spans="1:8" s="40" customFormat="1" ht="15" customHeight="1" thickBot="1">
      <c r="A37" s="57"/>
      <c r="B37" s="58"/>
      <c r="C37" s="59"/>
      <c r="D37" s="60"/>
      <c r="E37" s="61">
        <f>E33/1000000</f>
        <v>0</v>
      </c>
      <c r="F37" s="62" t="s">
        <v>332</v>
      </c>
    </row>
    <row r="38" spans="1:8" s="7" customFormat="1">
      <c r="A38" s="63" t="s">
        <v>365</v>
      </c>
      <c r="B38" s="64" t="s">
        <v>318</v>
      </c>
      <c r="D38" s="65"/>
      <c r="E38" s="65"/>
      <c r="F38" s="13"/>
    </row>
    <row r="39" spans="1:8" s="7" customFormat="1">
      <c r="A39" s="110" t="s">
        <v>323</v>
      </c>
      <c r="B39" s="66" t="s">
        <v>319</v>
      </c>
      <c r="C39" s="8"/>
      <c r="D39" s="65"/>
      <c r="E39" s="65"/>
      <c r="F39" s="13"/>
    </row>
    <row r="40" spans="1:8" s="7" customFormat="1">
      <c r="A40" s="111" t="s">
        <v>324</v>
      </c>
      <c r="B40" s="66" t="s">
        <v>320</v>
      </c>
      <c r="C40" s="112" t="s">
        <v>405</v>
      </c>
      <c r="D40" s="65"/>
      <c r="E40" s="65"/>
      <c r="F40" s="13"/>
    </row>
    <row r="41" spans="1:8" s="7" customFormat="1" ht="13.5" thickBot="1">
      <c r="A41" s="113" t="s">
        <v>325</v>
      </c>
      <c r="B41" s="67" t="s">
        <v>321</v>
      </c>
      <c r="C41" s="112" t="s">
        <v>364</v>
      </c>
      <c r="D41" s="65"/>
      <c r="E41" s="65"/>
      <c r="F41" s="13"/>
    </row>
    <row r="42" spans="1:8" s="68" customFormat="1" ht="13.5" thickBot="1">
      <c r="A42" s="131" t="s">
        <v>335</v>
      </c>
      <c r="B42" s="132"/>
      <c r="C42" s="132"/>
      <c r="D42" s="132"/>
      <c r="E42" s="132"/>
      <c r="F42" s="133"/>
    </row>
    <row r="43" spans="1:8" s="7" customFormat="1" hidden="1">
      <c r="A43" s="15">
        <v>44.24</v>
      </c>
      <c r="B43" s="14" t="s">
        <v>355</v>
      </c>
      <c r="C43" s="69"/>
      <c r="D43" s="69"/>
      <c r="E43" s="69"/>
    </row>
    <row r="44" spans="1:8" s="7" customFormat="1" hidden="1">
      <c r="A44" s="15">
        <v>0.71</v>
      </c>
      <c r="B44" s="14" t="s">
        <v>356</v>
      </c>
      <c r="C44" s="69"/>
      <c r="D44" s="69"/>
      <c r="E44" s="69"/>
    </row>
    <row r="45" spans="1:8" s="7" customFormat="1" hidden="1">
      <c r="A45" s="15">
        <v>0</v>
      </c>
      <c r="B45" s="15" t="s">
        <v>357</v>
      </c>
      <c r="C45" s="69"/>
      <c r="D45" s="69"/>
      <c r="E45" s="69"/>
    </row>
    <row r="46" spans="1:8" s="8" customFormat="1">
      <c r="A46" s="120"/>
      <c r="B46" s="78"/>
      <c r="C46" s="75"/>
      <c r="D46" s="75"/>
      <c r="E46" s="75"/>
      <c r="F46" s="79"/>
      <c r="G46" s="80"/>
      <c r="H46" s="80"/>
    </row>
    <row r="47" spans="1:8" s="8" customFormat="1">
      <c r="A47" s="120"/>
      <c r="B47" s="78"/>
      <c r="C47" s="75"/>
      <c r="D47" s="75"/>
      <c r="E47" s="75"/>
      <c r="F47" s="79"/>
      <c r="G47" s="80"/>
      <c r="H47" s="80"/>
    </row>
    <row r="48" spans="1:8" s="8" customFormat="1">
      <c r="A48" s="120"/>
      <c r="B48" s="78"/>
      <c r="C48" s="75"/>
      <c r="D48" s="75"/>
      <c r="E48" s="75"/>
      <c r="F48" s="79"/>
      <c r="G48" s="80"/>
      <c r="H48" s="80"/>
    </row>
    <row r="49" spans="1:8" s="8" customFormat="1">
      <c r="A49" s="120"/>
      <c r="B49" s="78"/>
      <c r="C49" s="75"/>
      <c r="D49" s="75"/>
      <c r="E49" s="75"/>
      <c r="F49" s="79"/>
      <c r="G49" s="80"/>
      <c r="H49" s="80"/>
    </row>
    <row r="50" spans="1:8" s="8" customFormat="1">
      <c r="A50" s="120"/>
      <c r="B50" s="78"/>
      <c r="C50" s="75"/>
      <c r="D50" s="75"/>
      <c r="E50" s="75"/>
      <c r="F50" s="79"/>
      <c r="G50" s="80"/>
      <c r="H50" s="80"/>
    </row>
    <row r="51" spans="1:8" s="8" customFormat="1">
      <c r="A51" s="120"/>
      <c r="B51" s="78"/>
      <c r="C51" s="75"/>
      <c r="D51" s="75"/>
      <c r="E51" s="75"/>
      <c r="F51" s="79"/>
      <c r="G51" s="80"/>
      <c r="H51" s="80"/>
    </row>
    <row r="52" spans="1:8" s="8" customFormat="1">
      <c r="A52" s="120"/>
      <c r="B52" s="78"/>
      <c r="C52" s="75"/>
      <c r="D52" s="75"/>
      <c r="E52" s="75"/>
      <c r="F52" s="79"/>
      <c r="G52" s="80"/>
      <c r="H52" s="80"/>
    </row>
    <row r="53" spans="1:8" s="8" customFormat="1">
      <c r="A53" s="120"/>
      <c r="B53" s="78"/>
      <c r="C53" s="75"/>
      <c r="D53" s="75"/>
      <c r="E53" s="75"/>
      <c r="F53" s="79"/>
      <c r="G53" s="80"/>
      <c r="H53" s="80"/>
    </row>
    <row r="54" spans="1:8" s="8" customFormat="1">
      <c r="A54" s="120"/>
      <c r="B54" s="78"/>
      <c r="C54" s="75"/>
      <c r="D54" s="75"/>
      <c r="E54" s="75"/>
      <c r="F54" s="79"/>
      <c r="G54" s="80"/>
      <c r="H54" s="80"/>
    </row>
    <row r="55" spans="1:8" s="8" customFormat="1">
      <c r="A55" s="120"/>
      <c r="B55" s="78"/>
      <c r="C55" s="75"/>
      <c r="D55" s="75"/>
      <c r="E55" s="75"/>
      <c r="F55" s="79"/>
      <c r="G55" s="80"/>
      <c r="H55" s="80"/>
    </row>
    <row r="56" spans="1:8" s="8" customFormat="1">
      <c r="A56" s="120"/>
      <c r="B56" s="78"/>
      <c r="C56" s="78"/>
      <c r="D56" s="78"/>
      <c r="E56" s="78"/>
      <c r="F56" s="81"/>
      <c r="G56" s="82"/>
      <c r="H56" s="79"/>
    </row>
    <row r="57" spans="1:8" s="8" customFormat="1">
      <c r="A57" s="77"/>
      <c r="B57" s="78"/>
      <c r="C57" s="78"/>
      <c r="D57" s="78"/>
      <c r="E57" s="78"/>
      <c r="F57" s="81"/>
      <c r="G57" s="82"/>
      <c r="H57" s="79"/>
    </row>
    <row r="58" spans="1:8" s="8" customFormat="1">
      <c r="A58" s="78"/>
      <c r="B58" s="78"/>
      <c r="C58" s="78"/>
      <c r="D58" s="78"/>
      <c r="E58" s="78"/>
      <c r="F58" s="81"/>
      <c r="G58" s="79"/>
      <c r="H58" s="79"/>
    </row>
    <row r="59" spans="1:8" s="8" customFormat="1">
      <c r="B59" s="83"/>
    </row>
    <row r="60" spans="1:8" s="8" customFormat="1">
      <c r="A60" s="84"/>
      <c r="C60" s="85"/>
      <c r="D60" s="85"/>
      <c r="E60" s="85"/>
    </row>
    <row r="61" spans="1:8" s="8" customFormat="1">
      <c r="A61" s="86"/>
      <c r="B61" s="86"/>
      <c r="C61" s="87"/>
      <c r="D61" s="87"/>
      <c r="E61" s="87"/>
      <c r="G61" s="83"/>
    </row>
    <row r="62" spans="1:8" s="8" customFormat="1">
      <c r="C62" s="87"/>
      <c r="D62" s="87"/>
      <c r="E62" s="87"/>
    </row>
    <row r="63" spans="1:8" s="8" customFormat="1">
      <c r="C63" s="87"/>
      <c r="D63" s="87"/>
      <c r="E63" s="87"/>
    </row>
    <row r="64" spans="1:8" s="8" customFormat="1">
      <c r="C64" s="88"/>
      <c r="D64" s="88"/>
      <c r="E64" s="88"/>
    </row>
    <row r="65" spans="3:5" s="8" customFormat="1">
      <c r="C65" s="88"/>
      <c r="D65" s="88"/>
      <c r="E65" s="88"/>
    </row>
    <row r="66" spans="3:5" s="8" customFormat="1">
      <c r="C66" s="89"/>
      <c r="D66" s="89"/>
      <c r="E66" s="89"/>
    </row>
    <row r="67" spans="3:5" s="8" customFormat="1">
      <c r="C67" s="89"/>
      <c r="D67" s="89"/>
      <c r="E67" s="89"/>
    </row>
    <row r="68" spans="3:5" s="8" customFormat="1">
      <c r="C68" s="89"/>
      <c r="D68" s="89"/>
      <c r="E68" s="89"/>
    </row>
    <row r="69" spans="3:5" s="7" customFormat="1">
      <c r="C69" s="69"/>
      <c r="D69" s="69"/>
      <c r="E69" s="69"/>
    </row>
    <row r="70" spans="3:5" s="7" customFormat="1">
      <c r="C70" s="69"/>
      <c r="D70" s="69"/>
      <c r="E70" s="69"/>
    </row>
    <row r="71" spans="3:5" s="7" customFormat="1">
      <c r="C71" s="69"/>
      <c r="D71" s="69"/>
      <c r="E71" s="69"/>
    </row>
    <row r="72" spans="3:5" s="7" customFormat="1">
      <c r="C72" s="69"/>
      <c r="D72" s="69"/>
      <c r="E72" s="69"/>
    </row>
    <row r="73" spans="3:5" s="7" customFormat="1">
      <c r="C73" s="69"/>
      <c r="D73" s="69"/>
      <c r="E73" s="69"/>
    </row>
    <row r="74" spans="3:5" s="7" customFormat="1">
      <c r="C74" s="69"/>
      <c r="D74" s="69"/>
      <c r="E74" s="69"/>
    </row>
    <row r="75" spans="3:5" s="7" customFormat="1">
      <c r="C75" s="69"/>
      <c r="D75" s="69"/>
      <c r="E75" s="69"/>
    </row>
    <row r="76" spans="3:5" s="7" customFormat="1">
      <c r="C76" s="69"/>
      <c r="D76" s="69"/>
      <c r="E76" s="69"/>
    </row>
    <row r="77" spans="3:5" s="7" customFormat="1">
      <c r="C77" s="69"/>
      <c r="D77" s="69"/>
      <c r="E77" s="69"/>
    </row>
    <row r="78" spans="3:5" s="7" customFormat="1">
      <c r="C78" s="69"/>
      <c r="D78" s="69"/>
      <c r="E78" s="69"/>
    </row>
  </sheetData>
  <sheetProtection password="CC5C" sheet="1" objects="1" scenarios="1" selectLockedCells="1"/>
  <mergeCells count="9">
    <mergeCell ref="A1:E1"/>
    <mergeCell ref="A35:D35"/>
    <mergeCell ref="J7:J10"/>
    <mergeCell ref="A42:F42"/>
    <mergeCell ref="A2:B2"/>
    <mergeCell ref="A27:B27"/>
    <mergeCell ref="A36:B36"/>
    <mergeCell ref="A30:D30"/>
    <mergeCell ref="A31:D31"/>
  </mergeCells>
  <conditionalFormatting sqref="A35:D35">
    <cfRule type="containsText" dxfId="5" priority="6" stopIfTrue="1" operator="containsText" text="ETWU complies with MAWA">
      <formula>NOT(ISERROR(SEARCH("ETWU complies with MAWA",A35)))</formula>
    </cfRule>
    <cfRule type="containsText" dxfId="4" priority="7" stopIfTrue="1" operator="containsText" text="ETWU does not comply with MAWA">
      <formula>NOT(ISERROR(SEARCH("ETWU does not comply with MAWA",A35)))</formula>
    </cfRule>
  </conditionalFormatting>
  <conditionalFormatting sqref="A28">
    <cfRule type="cellIs" dxfId="3" priority="4" stopIfTrue="1" operator="equal">
      <formula>"Enter PF&lt;=1 for SLA"</formula>
    </cfRule>
  </conditionalFormatting>
  <conditionalFormatting sqref="A30:D30">
    <cfRule type="cellIs" dxfId="2" priority="3" stopIfTrue="1" operator="equal">
      <formula>"Enter landscape areas &amp; plant factors by zone, above."</formula>
    </cfRule>
  </conditionalFormatting>
  <conditionalFormatting sqref="A3:A23">
    <cfRule type="containsText" dxfId="1" priority="1" stopIfTrue="1" operator="containsText" text="Please enter PF&lt;=1">
      <formula>NOT(ISERROR(SEARCH("Please enter PF&lt;=1",A3)))</formula>
    </cfRule>
  </conditionalFormatting>
  <printOptions horizontalCentered="1"/>
  <pageMargins left="0.5" right="0.5" top="0.75" bottom="0.5" header="0.3" footer="0.3"/>
  <pageSetup orientation="portrait" r:id="rId1"/>
  <headerFooter alignWithMargins="0">
    <oddFooter>&amp;L&amp;8MAWA / ETWU 2010-1215&amp;R&amp;8 1</oddFooter>
  </headerFooter>
  <drawing r:id="rId2"/>
  <legacyDrawing r:id="rId3"/>
</worksheet>
</file>

<file path=xl/worksheets/sheet2.xml><?xml version="1.0" encoding="utf-8"?>
<worksheet xmlns="http://schemas.openxmlformats.org/spreadsheetml/2006/main" xmlns:r="http://schemas.openxmlformats.org/officeDocument/2006/relationships">
  <dimension ref="A1:J104"/>
  <sheetViews>
    <sheetView showGridLines="0" showRowColHeaders="0" zoomScaleNormal="100" workbookViewId="0">
      <selection activeCell="D7" sqref="D7"/>
    </sheetView>
  </sheetViews>
  <sheetFormatPr defaultRowHeight="12.75"/>
  <cols>
    <col min="1" max="1" width="19.7109375" style="6" customWidth="1"/>
    <col min="2" max="2" width="12.28515625" style="6" customWidth="1"/>
    <col min="3" max="3" width="12.7109375" style="90" customWidth="1"/>
    <col min="4" max="4" width="8.42578125" style="90" customWidth="1"/>
    <col min="5" max="5" width="12.5703125" style="90" customWidth="1"/>
    <col min="6" max="6" width="13.140625" style="6" customWidth="1"/>
    <col min="7" max="7" width="3" style="6" customWidth="1"/>
    <col min="8" max="8" width="7.42578125" style="6" customWidth="1"/>
    <col min="9" max="10" width="5.7109375" style="6" customWidth="1"/>
    <col min="11" max="11" width="11" style="6" customWidth="1"/>
    <col min="12" max="12" width="14" style="6" customWidth="1"/>
    <col min="13" max="13" width="12.140625" style="6" customWidth="1"/>
    <col min="14" max="14" width="11.28515625" style="6" customWidth="1"/>
    <col min="15" max="15" width="10.7109375" style="6" customWidth="1"/>
    <col min="16" max="17" width="9.140625" style="6" customWidth="1"/>
    <col min="18" max="18" width="9.85546875" style="6" customWidth="1"/>
    <col min="19" max="19" width="17.140625" style="6" customWidth="1"/>
    <col min="20" max="20" width="12.85546875" style="6" customWidth="1"/>
    <col min="21" max="21" width="13.140625" style="6" customWidth="1"/>
    <col min="22" max="26" width="6.85546875" style="6" customWidth="1"/>
    <col min="27" max="16384" width="9.140625" style="6"/>
  </cols>
  <sheetData>
    <row r="1" spans="1:10" ht="65.099999999999994" customHeight="1">
      <c r="A1" s="125" t="s">
        <v>353</v>
      </c>
      <c r="B1" s="126"/>
      <c r="C1" s="126"/>
      <c r="D1" s="126"/>
      <c r="E1" s="126"/>
      <c r="F1" s="16"/>
      <c r="H1" s="121"/>
    </row>
    <row r="2" spans="1:10" ht="42" customHeight="1">
      <c r="A2" s="134" t="s">
        <v>329</v>
      </c>
      <c r="B2" s="135"/>
      <c r="C2" s="17" t="s">
        <v>336</v>
      </c>
      <c r="D2" s="17" t="s">
        <v>366</v>
      </c>
      <c r="E2" s="17" t="s">
        <v>327</v>
      </c>
      <c r="F2" s="18" t="s">
        <v>337</v>
      </c>
      <c r="H2" s="23"/>
      <c r="I2" s="98"/>
    </row>
    <row r="3" spans="1:10" s="23" customFormat="1" ht="15" customHeight="1">
      <c r="A3" s="19" t="str">
        <f>IF(D3&gt;1,"Please enter PF&lt;=1"," ")</f>
        <v xml:space="preserve"> </v>
      </c>
      <c r="B3" s="20" t="s">
        <v>371</v>
      </c>
      <c r="C3" s="91"/>
      <c r="D3" s="92"/>
      <c r="E3" s="21" t="str">
        <f>IF(D3&lt;=0," ",IF(D3&lt;=0.3,"Low",IF(D3&lt;=0.6,"Medium",IF(D3&lt;=1,"High"," "))))</f>
        <v xml:space="preserve"> </v>
      </c>
      <c r="F3" s="22">
        <f t="shared" ref="F3:F36" si="0">C3*D3</f>
        <v>0</v>
      </c>
      <c r="I3" s="97"/>
      <c r="J3" s="96"/>
    </row>
    <row r="4" spans="1:10" s="23" customFormat="1" ht="15" customHeight="1">
      <c r="A4" s="19" t="str">
        <f t="shared" ref="A4:A36" si="1">IF(D4&gt;1,"Please enter PF&lt;=1"," ")</f>
        <v xml:space="preserve"> </v>
      </c>
      <c r="B4" s="20" t="s">
        <v>372</v>
      </c>
      <c r="C4" s="91"/>
      <c r="D4" s="92"/>
      <c r="E4" s="21" t="str">
        <f t="shared" ref="E4:E36" si="2">IF(D4&lt;=0," ",IF(D4&lt;=0.3,"Low",IF(D4&lt;=0.6,"Medium",IF(D4&lt;=1,"High"," "))))</f>
        <v xml:space="preserve"> </v>
      </c>
      <c r="F4" s="22">
        <f t="shared" si="0"/>
        <v>0</v>
      </c>
      <c r="I4" s="97"/>
      <c r="J4" s="96"/>
    </row>
    <row r="5" spans="1:10" s="23" customFormat="1" ht="15" customHeight="1">
      <c r="A5" s="19" t="str">
        <f t="shared" si="1"/>
        <v xml:space="preserve"> </v>
      </c>
      <c r="B5" s="20" t="s">
        <v>373</v>
      </c>
      <c r="C5" s="91"/>
      <c r="D5" s="92"/>
      <c r="E5" s="21" t="str">
        <f t="shared" si="2"/>
        <v xml:space="preserve"> </v>
      </c>
      <c r="F5" s="22">
        <f t="shared" si="0"/>
        <v>0</v>
      </c>
      <c r="I5" s="97"/>
      <c r="J5" s="96"/>
    </row>
    <row r="6" spans="1:10" s="23" customFormat="1" ht="15" customHeight="1">
      <c r="A6" s="19" t="str">
        <f t="shared" si="1"/>
        <v xml:space="preserve"> </v>
      </c>
      <c r="B6" s="20" t="s">
        <v>374</v>
      </c>
      <c r="C6" s="91"/>
      <c r="D6" s="92"/>
      <c r="E6" s="21" t="str">
        <f t="shared" si="2"/>
        <v xml:space="preserve"> </v>
      </c>
      <c r="F6" s="22">
        <f t="shared" si="0"/>
        <v>0</v>
      </c>
      <c r="I6" s="97"/>
      <c r="J6" s="96"/>
    </row>
    <row r="7" spans="1:10" s="23" customFormat="1" ht="15" customHeight="1">
      <c r="A7" s="19" t="str">
        <f t="shared" si="1"/>
        <v xml:space="preserve"> </v>
      </c>
      <c r="B7" s="20" t="s">
        <v>375</v>
      </c>
      <c r="C7" s="91"/>
      <c r="D7" s="92"/>
      <c r="E7" s="21" t="str">
        <f t="shared" si="2"/>
        <v xml:space="preserve"> </v>
      </c>
      <c r="F7" s="22">
        <f t="shared" si="0"/>
        <v>0</v>
      </c>
      <c r="I7" s="97"/>
      <c r="J7" s="130"/>
    </row>
    <row r="8" spans="1:10" s="23" customFormat="1" ht="15" customHeight="1">
      <c r="A8" s="19" t="str">
        <f t="shared" si="1"/>
        <v xml:space="preserve"> </v>
      </c>
      <c r="B8" s="20" t="s">
        <v>376</v>
      </c>
      <c r="C8" s="91"/>
      <c r="D8" s="92"/>
      <c r="E8" s="21" t="str">
        <f t="shared" si="2"/>
        <v xml:space="preserve"> </v>
      </c>
      <c r="F8" s="22">
        <f t="shared" si="0"/>
        <v>0</v>
      </c>
      <c r="I8" s="95"/>
      <c r="J8" s="130"/>
    </row>
    <row r="9" spans="1:10" s="23" customFormat="1" ht="15" customHeight="1">
      <c r="A9" s="19" t="str">
        <f t="shared" si="1"/>
        <v xml:space="preserve"> </v>
      </c>
      <c r="B9" s="20" t="s">
        <v>377</v>
      </c>
      <c r="C9" s="91"/>
      <c r="D9" s="92"/>
      <c r="E9" s="21" t="str">
        <f t="shared" si="2"/>
        <v xml:space="preserve"> </v>
      </c>
      <c r="F9" s="22">
        <f t="shared" si="0"/>
        <v>0</v>
      </c>
      <c r="I9" s="95"/>
      <c r="J9" s="130"/>
    </row>
    <row r="10" spans="1:10" s="23" customFormat="1" ht="15" customHeight="1">
      <c r="A10" s="19" t="str">
        <f t="shared" si="1"/>
        <v xml:space="preserve"> </v>
      </c>
      <c r="B10" s="20" t="s">
        <v>378</v>
      </c>
      <c r="C10" s="91"/>
      <c r="D10" s="92"/>
      <c r="E10" s="21" t="str">
        <f t="shared" si="2"/>
        <v xml:space="preserve"> </v>
      </c>
      <c r="F10" s="22">
        <f t="shared" si="0"/>
        <v>0</v>
      </c>
      <c r="I10" s="97"/>
      <c r="J10" s="130"/>
    </row>
    <row r="11" spans="1:10" s="23" customFormat="1" ht="15" customHeight="1">
      <c r="A11" s="19" t="str">
        <f t="shared" si="1"/>
        <v xml:space="preserve"> </v>
      </c>
      <c r="B11" s="20" t="s">
        <v>379</v>
      </c>
      <c r="C11" s="91"/>
      <c r="D11" s="92"/>
      <c r="E11" s="21" t="str">
        <f t="shared" si="2"/>
        <v xml:space="preserve"> </v>
      </c>
      <c r="F11" s="22">
        <f t="shared" si="0"/>
        <v>0</v>
      </c>
    </row>
    <row r="12" spans="1:10" s="23" customFormat="1" ht="15" customHeight="1">
      <c r="A12" s="19" t="str">
        <f t="shared" si="1"/>
        <v xml:space="preserve"> </v>
      </c>
      <c r="B12" s="20" t="s">
        <v>380</v>
      </c>
      <c r="C12" s="91"/>
      <c r="D12" s="92"/>
      <c r="E12" s="21" t="str">
        <f t="shared" si="2"/>
        <v xml:space="preserve"> </v>
      </c>
      <c r="F12" s="22">
        <f t="shared" si="0"/>
        <v>0</v>
      </c>
    </row>
    <row r="13" spans="1:10" s="23" customFormat="1" ht="15" customHeight="1">
      <c r="A13" s="19" t="str">
        <f t="shared" si="1"/>
        <v xml:space="preserve"> </v>
      </c>
      <c r="B13" s="20" t="s">
        <v>381</v>
      </c>
      <c r="C13" s="91"/>
      <c r="D13" s="92"/>
      <c r="E13" s="21" t="str">
        <f t="shared" si="2"/>
        <v xml:space="preserve"> </v>
      </c>
      <c r="F13" s="22">
        <f t="shared" si="0"/>
        <v>0</v>
      </c>
    </row>
    <row r="14" spans="1:10" s="23" customFormat="1" ht="15" customHeight="1">
      <c r="A14" s="19" t="str">
        <f t="shared" si="1"/>
        <v xml:space="preserve"> </v>
      </c>
      <c r="B14" s="20" t="s">
        <v>382</v>
      </c>
      <c r="C14" s="91"/>
      <c r="D14" s="92"/>
      <c r="E14" s="21" t="str">
        <f t="shared" si="2"/>
        <v xml:space="preserve"> </v>
      </c>
      <c r="F14" s="22">
        <f t="shared" si="0"/>
        <v>0</v>
      </c>
    </row>
    <row r="15" spans="1:10" s="23" customFormat="1" ht="15" customHeight="1">
      <c r="A15" s="19" t="str">
        <f t="shared" si="1"/>
        <v xml:space="preserve"> </v>
      </c>
      <c r="B15" s="20" t="s">
        <v>383</v>
      </c>
      <c r="C15" s="91"/>
      <c r="D15" s="92"/>
      <c r="E15" s="21" t="str">
        <f t="shared" si="2"/>
        <v xml:space="preserve"> </v>
      </c>
      <c r="F15" s="22">
        <f t="shared" si="0"/>
        <v>0</v>
      </c>
    </row>
    <row r="16" spans="1:10" s="23" customFormat="1" ht="15" customHeight="1">
      <c r="A16" s="19" t="str">
        <f t="shared" si="1"/>
        <v xml:space="preserve"> </v>
      </c>
      <c r="B16" s="20" t="s">
        <v>384</v>
      </c>
      <c r="C16" s="91"/>
      <c r="D16" s="92"/>
      <c r="E16" s="21" t="str">
        <f t="shared" si="2"/>
        <v xml:space="preserve"> </v>
      </c>
      <c r="F16" s="22">
        <f t="shared" si="0"/>
        <v>0</v>
      </c>
    </row>
    <row r="17" spans="1:6" s="23" customFormat="1" ht="15" customHeight="1">
      <c r="A17" s="19" t="str">
        <f t="shared" si="1"/>
        <v xml:space="preserve"> </v>
      </c>
      <c r="B17" s="24" t="s">
        <v>385</v>
      </c>
      <c r="C17" s="93"/>
      <c r="D17" s="94"/>
      <c r="E17" s="21" t="str">
        <f t="shared" si="2"/>
        <v xml:space="preserve"> </v>
      </c>
      <c r="F17" s="25">
        <f t="shared" si="0"/>
        <v>0</v>
      </c>
    </row>
    <row r="18" spans="1:6" s="23" customFormat="1" ht="15" customHeight="1">
      <c r="A18" s="19" t="str">
        <f t="shared" si="1"/>
        <v xml:space="preserve"> </v>
      </c>
      <c r="B18" s="24" t="s">
        <v>386</v>
      </c>
      <c r="C18" s="93"/>
      <c r="D18" s="94"/>
      <c r="E18" s="21" t="str">
        <f t="shared" si="2"/>
        <v xml:space="preserve"> </v>
      </c>
      <c r="F18" s="25">
        <f t="shared" si="0"/>
        <v>0</v>
      </c>
    </row>
    <row r="19" spans="1:6" s="23" customFormat="1" ht="15" customHeight="1">
      <c r="A19" s="19" t="str">
        <f t="shared" si="1"/>
        <v xml:space="preserve"> </v>
      </c>
      <c r="B19" s="24" t="s">
        <v>387</v>
      </c>
      <c r="C19" s="93"/>
      <c r="D19" s="94"/>
      <c r="E19" s="21" t="str">
        <f t="shared" si="2"/>
        <v xml:space="preserve"> </v>
      </c>
      <c r="F19" s="25">
        <f t="shared" si="0"/>
        <v>0</v>
      </c>
    </row>
    <row r="20" spans="1:6" s="23" customFormat="1" ht="15" customHeight="1">
      <c r="A20" s="19" t="str">
        <f t="shared" si="1"/>
        <v xml:space="preserve"> </v>
      </c>
      <c r="B20" s="24" t="s">
        <v>388</v>
      </c>
      <c r="C20" s="93"/>
      <c r="D20" s="94"/>
      <c r="E20" s="21" t="str">
        <f t="shared" si="2"/>
        <v xml:space="preserve"> </v>
      </c>
      <c r="F20" s="25">
        <f t="shared" si="0"/>
        <v>0</v>
      </c>
    </row>
    <row r="21" spans="1:6" s="23" customFormat="1" ht="15" customHeight="1">
      <c r="A21" s="19" t="str">
        <f t="shared" si="1"/>
        <v xml:space="preserve"> </v>
      </c>
      <c r="B21" s="24" t="s">
        <v>389</v>
      </c>
      <c r="C21" s="93"/>
      <c r="D21" s="94"/>
      <c r="E21" s="21" t="str">
        <f t="shared" si="2"/>
        <v xml:space="preserve"> </v>
      </c>
      <c r="F21" s="25">
        <f t="shared" si="0"/>
        <v>0</v>
      </c>
    </row>
    <row r="22" spans="1:6" s="23" customFormat="1" ht="15" customHeight="1">
      <c r="A22" s="19" t="str">
        <f>IF(D22&gt;1,"Please enter PF&lt;=1"," ")</f>
        <v xml:space="preserve"> </v>
      </c>
      <c r="B22" s="24" t="s">
        <v>390</v>
      </c>
      <c r="C22" s="93"/>
      <c r="D22" s="94"/>
      <c r="E22" s="21" t="str">
        <f>IF(D22&lt;=0," ",IF(D22&lt;=0.3,"Low",IF(D22&lt;=0.6,"Medium",IF(D22&lt;=1,"High"," "))))</f>
        <v xml:space="preserve"> </v>
      </c>
      <c r="F22" s="25">
        <f t="shared" si="0"/>
        <v>0</v>
      </c>
    </row>
    <row r="23" spans="1:6" s="23" customFormat="1" ht="15" customHeight="1">
      <c r="A23" s="19" t="str">
        <f t="shared" si="1"/>
        <v xml:space="preserve"> </v>
      </c>
      <c r="B23" s="24" t="s">
        <v>391</v>
      </c>
      <c r="C23" s="93"/>
      <c r="D23" s="94"/>
      <c r="E23" s="21" t="str">
        <f t="shared" si="2"/>
        <v xml:space="preserve"> </v>
      </c>
      <c r="F23" s="25">
        <f t="shared" si="0"/>
        <v>0</v>
      </c>
    </row>
    <row r="24" spans="1:6" s="23" customFormat="1" ht="15" customHeight="1">
      <c r="A24" s="19" t="str">
        <f>IF(D24&gt;1,"Please enter PF&lt;=1"," ")</f>
        <v xml:space="preserve"> </v>
      </c>
      <c r="B24" s="24" t="s">
        <v>392</v>
      </c>
      <c r="C24" s="93"/>
      <c r="D24" s="94"/>
      <c r="E24" s="21" t="str">
        <f>IF(D24&lt;=0," ",IF(D24&lt;=0.3,"Low",IF(D24&lt;=0.6,"Medium",IF(D24&lt;=1,"High"," "))))</f>
        <v xml:space="preserve"> </v>
      </c>
      <c r="F24" s="25">
        <f t="shared" si="0"/>
        <v>0</v>
      </c>
    </row>
    <row r="25" spans="1:6" s="23" customFormat="1" ht="15" customHeight="1">
      <c r="A25" s="19" t="str">
        <f t="shared" si="1"/>
        <v xml:space="preserve"> </v>
      </c>
      <c r="B25" s="24" t="s">
        <v>393</v>
      </c>
      <c r="C25" s="93"/>
      <c r="D25" s="94"/>
      <c r="E25" s="21" t="str">
        <f t="shared" si="2"/>
        <v xml:space="preserve"> </v>
      </c>
      <c r="F25" s="25">
        <f t="shared" si="0"/>
        <v>0</v>
      </c>
    </row>
    <row r="26" spans="1:6" s="23" customFormat="1" ht="15" customHeight="1">
      <c r="A26" s="19" t="str">
        <f t="shared" si="1"/>
        <v xml:space="preserve"> </v>
      </c>
      <c r="B26" s="24" t="s">
        <v>394</v>
      </c>
      <c r="C26" s="93"/>
      <c r="D26" s="94"/>
      <c r="E26" s="21" t="str">
        <f t="shared" si="2"/>
        <v xml:space="preserve"> </v>
      </c>
      <c r="F26" s="25">
        <f t="shared" si="0"/>
        <v>0</v>
      </c>
    </row>
    <row r="27" spans="1:6" s="23" customFormat="1" ht="15" customHeight="1">
      <c r="A27" s="19" t="str">
        <f>IF(D27&gt;1,"Please enter PF&lt;=1"," ")</f>
        <v xml:space="preserve"> </v>
      </c>
      <c r="B27" s="24" t="s">
        <v>395</v>
      </c>
      <c r="C27" s="93"/>
      <c r="D27" s="94"/>
      <c r="E27" s="21" t="str">
        <f>IF(D27&lt;=0," ",IF(D27&lt;=0.3,"Low",IF(D27&lt;=0.6,"Medium",IF(D27&lt;=1,"High"," "))))</f>
        <v xml:space="preserve"> </v>
      </c>
      <c r="F27" s="25">
        <f t="shared" si="0"/>
        <v>0</v>
      </c>
    </row>
    <row r="28" spans="1:6" s="23" customFormat="1" ht="15" customHeight="1">
      <c r="A28" s="19" t="str">
        <f t="shared" si="1"/>
        <v xml:space="preserve"> </v>
      </c>
      <c r="B28" s="24" t="s">
        <v>396</v>
      </c>
      <c r="C28" s="93"/>
      <c r="D28" s="94"/>
      <c r="E28" s="21" t="str">
        <f t="shared" si="2"/>
        <v xml:space="preserve"> </v>
      </c>
      <c r="F28" s="25">
        <f t="shared" si="0"/>
        <v>0</v>
      </c>
    </row>
    <row r="29" spans="1:6" s="23" customFormat="1" ht="15" customHeight="1">
      <c r="A29" s="19" t="str">
        <f>IF(D29&gt;1,"Please enter PF&lt;=1"," ")</f>
        <v xml:space="preserve"> </v>
      </c>
      <c r="B29" s="24" t="s">
        <v>397</v>
      </c>
      <c r="C29" s="93"/>
      <c r="D29" s="94"/>
      <c r="E29" s="21" t="str">
        <f>IF(D29&lt;=0," ",IF(D29&lt;=0.3,"Low",IF(D29&lt;=0.6,"Medium",IF(D29&lt;=1,"High"," "))))</f>
        <v xml:space="preserve"> </v>
      </c>
      <c r="F29" s="25">
        <f t="shared" si="0"/>
        <v>0</v>
      </c>
    </row>
    <row r="30" spans="1:6" s="23" customFormat="1" ht="15" customHeight="1">
      <c r="A30" s="19" t="str">
        <f t="shared" si="1"/>
        <v xml:space="preserve"> </v>
      </c>
      <c r="B30" s="24" t="s">
        <v>398</v>
      </c>
      <c r="C30" s="93"/>
      <c r="D30" s="94"/>
      <c r="E30" s="21" t="str">
        <f t="shared" si="2"/>
        <v xml:space="preserve"> </v>
      </c>
      <c r="F30" s="25">
        <f t="shared" si="0"/>
        <v>0</v>
      </c>
    </row>
    <row r="31" spans="1:6" s="23" customFormat="1" ht="15" customHeight="1">
      <c r="A31" s="19" t="str">
        <f>IF(D31&gt;1,"Please enter PF&lt;=1"," ")</f>
        <v xml:space="preserve"> </v>
      </c>
      <c r="B31" s="24" t="s">
        <v>399</v>
      </c>
      <c r="C31" s="93"/>
      <c r="D31" s="94"/>
      <c r="E31" s="21" t="str">
        <f>IF(D31&lt;=0," ",IF(D31&lt;=0.3,"Low",IF(D31&lt;=0.6,"Medium",IF(D31&lt;=1,"High"," "))))</f>
        <v xml:space="preserve"> </v>
      </c>
      <c r="F31" s="25">
        <f t="shared" si="0"/>
        <v>0</v>
      </c>
    </row>
    <row r="32" spans="1:6" s="23" customFormat="1" ht="15" customHeight="1">
      <c r="A32" s="19" t="str">
        <f t="shared" si="1"/>
        <v xml:space="preserve"> </v>
      </c>
      <c r="B32" s="24" t="s">
        <v>400</v>
      </c>
      <c r="C32" s="93"/>
      <c r="D32" s="94"/>
      <c r="E32" s="21" t="str">
        <f t="shared" si="2"/>
        <v xml:space="preserve"> </v>
      </c>
      <c r="F32" s="25">
        <f t="shared" si="0"/>
        <v>0</v>
      </c>
    </row>
    <row r="33" spans="1:8" s="23" customFormat="1" ht="15" customHeight="1">
      <c r="A33" s="19" t="str">
        <f>IF(D33&gt;1,"Please enter PF&lt;=1"," ")</f>
        <v xml:space="preserve"> </v>
      </c>
      <c r="B33" s="24" t="s">
        <v>401</v>
      </c>
      <c r="C33" s="93"/>
      <c r="D33" s="94"/>
      <c r="E33" s="21" t="str">
        <f>IF(D33&lt;=0," ",IF(D33&lt;=0.3,"Low",IF(D33&lt;=0.6,"Medium",IF(D33&lt;=1,"High"," "))))</f>
        <v xml:space="preserve"> </v>
      </c>
      <c r="F33" s="25">
        <f t="shared" si="0"/>
        <v>0</v>
      </c>
    </row>
    <row r="34" spans="1:8" s="23" customFormat="1" ht="15" customHeight="1">
      <c r="A34" s="19" t="str">
        <f>IF(D34&gt;1,"Please enter PF&lt;=1"," ")</f>
        <v xml:space="preserve"> </v>
      </c>
      <c r="B34" s="24" t="s">
        <v>402</v>
      </c>
      <c r="C34" s="93"/>
      <c r="D34" s="94"/>
      <c r="E34" s="21" t="str">
        <f>IF(D34&lt;=0," ",IF(D34&lt;=0.3,"Low",IF(D34&lt;=0.6,"Medium",IF(D34&lt;=1,"High"," "))))</f>
        <v xml:space="preserve"> </v>
      </c>
      <c r="F34" s="25">
        <f t="shared" si="0"/>
        <v>0</v>
      </c>
    </row>
    <row r="35" spans="1:8" s="23" customFormat="1" ht="15" customHeight="1">
      <c r="A35" s="19" t="str">
        <f t="shared" si="1"/>
        <v xml:space="preserve"> </v>
      </c>
      <c r="B35" s="24" t="s">
        <v>403</v>
      </c>
      <c r="C35" s="93"/>
      <c r="D35" s="94"/>
      <c r="E35" s="21" t="str">
        <f t="shared" si="2"/>
        <v xml:space="preserve"> </v>
      </c>
      <c r="F35" s="25">
        <f t="shared" si="0"/>
        <v>0</v>
      </c>
    </row>
    <row r="36" spans="1:8" s="23" customFormat="1" ht="15" customHeight="1" thickBot="1">
      <c r="A36" s="19" t="str">
        <f t="shared" si="1"/>
        <v xml:space="preserve"> </v>
      </c>
      <c r="B36" s="24" t="s">
        <v>404</v>
      </c>
      <c r="C36" s="93"/>
      <c r="D36" s="94"/>
      <c r="E36" s="21" t="str">
        <f t="shared" si="2"/>
        <v xml:space="preserve"> </v>
      </c>
      <c r="F36" s="25">
        <f t="shared" si="0"/>
        <v>0</v>
      </c>
    </row>
    <row r="37" spans="1:8" s="23" customFormat="1" ht="15" customHeight="1" thickBot="1">
      <c r="A37" s="115"/>
      <c r="B37" s="116" t="s">
        <v>367</v>
      </c>
      <c r="C37" s="117">
        <f>SUM(C3:C36)</f>
        <v>0</v>
      </c>
      <c r="D37" s="118"/>
      <c r="E37" s="118"/>
      <c r="F37" s="119">
        <f>SUM(F3:F36)</f>
        <v>0</v>
      </c>
    </row>
    <row r="38" spans="1:8" s="40" customFormat="1" ht="15" customHeight="1">
      <c r="A38" s="15"/>
      <c r="B38" s="14"/>
      <c r="C38" s="69"/>
      <c r="D38" s="69"/>
      <c r="E38" s="69"/>
      <c r="F38" s="7"/>
    </row>
    <row r="39" spans="1:8" s="40" customFormat="1" ht="15" customHeight="1">
      <c r="A39" s="15"/>
      <c r="B39" s="14"/>
      <c r="C39" s="69"/>
      <c r="D39" s="69"/>
      <c r="E39" s="69"/>
      <c r="F39" s="7"/>
    </row>
    <row r="40" spans="1:8" s="40" customFormat="1" ht="15" customHeight="1">
      <c r="A40" s="15"/>
      <c r="B40" s="15"/>
      <c r="C40" s="69"/>
      <c r="D40" s="69"/>
      <c r="E40" s="69"/>
      <c r="F40" s="7"/>
      <c r="H40" s="122"/>
    </row>
    <row r="41" spans="1:8" s="40" customFormat="1" ht="15" customHeight="1">
      <c r="A41" s="70"/>
      <c r="B41" s="8"/>
      <c r="C41" s="8"/>
      <c r="D41" s="8"/>
      <c r="E41" s="8"/>
      <c r="F41" s="8"/>
      <c r="H41" s="104"/>
    </row>
    <row r="42" spans="1:8" s="40" customFormat="1" ht="15" customHeight="1">
      <c r="A42" s="73"/>
      <c r="B42" s="71"/>
      <c r="C42" s="101"/>
      <c r="D42" s="101"/>
      <c r="E42" s="101"/>
      <c r="F42" s="102"/>
      <c r="H42" s="103"/>
    </row>
    <row r="43" spans="1:8" s="40" customFormat="1" ht="15" customHeight="1">
      <c r="A43" s="99"/>
      <c r="B43" s="8"/>
      <c r="C43" s="8"/>
      <c r="D43" s="8"/>
      <c r="E43" s="8"/>
      <c r="F43" s="8"/>
      <c r="H43" s="103"/>
    </row>
    <row r="44" spans="1:8" s="40" customFormat="1" ht="15" customHeight="1">
      <c r="A44" s="99"/>
      <c r="B44" s="72"/>
      <c r="C44" s="73"/>
      <c r="D44" s="73"/>
      <c r="E44" s="73"/>
      <c r="F44" s="8"/>
      <c r="H44" s="103"/>
    </row>
    <row r="45" spans="1:8" s="40" customFormat="1" ht="15" customHeight="1">
      <c r="A45" s="99"/>
      <c r="B45" s="8"/>
      <c r="C45" s="75"/>
      <c r="D45" s="75"/>
      <c r="E45" s="75"/>
      <c r="F45" s="8"/>
      <c r="H45" s="105"/>
    </row>
    <row r="46" spans="1:8" s="40" customFormat="1" ht="15" customHeight="1">
      <c r="A46" s="99"/>
      <c r="B46" s="8"/>
      <c r="C46" s="75"/>
      <c r="D46" s="75"/>
      <c r="E46" s="75"/>
      <c r="F46" s="8"/>
      <c r="H46" s="103"/>
    </row>
    <row r="47" spans="1:8" s="40" customFormat="1" ht="15" customHeight="1">
      <c r="A47" s="99"/>
      <c r="B47" s="8"/>
      <c r="C47" s="75"/>
      <c r="D47" s="75"/>
      <c r="E47" s="75"/>
      <c r="F47" s="8"/>
      <c r="H47" s="103"/>
    </row>
    <row r="48" spans="1:8" s="40" customFormat="1" ht="15" customHeight="1">
      <c r="A48" s="99"/>
      <c r="B48" s="8"/>
      <c r="C48" s="75"/>
      <c r="D48" s="75"/>
      <c r="E48" s="75"/>
      <c r="F48" s="8"/>
      <c r="H48" s="103"/>
    </row>
    <row r="49" spans="1:8" s="40" customFormat="1" ht="15" customHeight="1">
      <c r="A49" s="99"/>
      <c r="B49" s="8"/>
      <c r="C49" s="75"/>
      <c r="D49" s="75"/>
      <c r="E49" s="75"/>
      <c r="F49" s="8"/>
      <c r="H49" s="103"/>
    </row>
    <row r="50" spans="1:8" s="7" customFormat="1">
      <c r="A50" s="99"/>
      <c r="B50" s="76"/>
      <c r="C50" s="76"/>
      <c r="D50" s="76"/>
      <c r="E50" s="76"/>
      <c r="F50" s="76"/>
      <c r="H50" s="106"/>
    </row>
    <row r="51" spans="1:8" s="7" customFormat="1">
      <c r="A51" s="99"/>
      <c r="B51" s="78"/>
      <c r="C51" s="75"/>
      <c r="D51" s="75"/>
      <c r="E51" s="75"/>
      <c r="F51" s="79"/>
      <c r="H51" s="106"/>
    </row>
    <row r="52" spans="1:8" s="7" customFormat="1">
      <c r="A52" s="99"/>
      <c r="B52" s="78"/>
      <c r="C52" s="75"/>
      <c r="D52" s="75"/>
      <c r="E52" s="75"/>
      <c r="F52" s="79"/>
      <c r="H52" s="106"/>
    </row>
    <row r="53" spans="1:8" s="7" customFormat="1">
      <c r="A53" s="99"/>
      <c r="B53" s="78"/>
      <c r="C53" s="75"/>
      <c r="D53" s="75"/>
      <c r="E53" s="75"/>
      <c r="F53" s="79"/>
      <c r="H53" s="106"/>
    </row>
    <row r="54" spans="1:8" s="68" customFormat="1" ht="14.25" customHeight="1">
      <c r="A54" s="100"/>
      <c r="B54" s="78"/>
      <c r="C54" s="75"/>
      <c r="D54" s="75"/>
      <c r="E54" s="75"/>
      <c r="F54" s="79"/>
      <c r="H54" s="107"/>
    </row>
    <row r="55" spans="1:8" s="7" customFormat="1">
      <c r="A55" s="100"/>
      <c r="B55" s="78"/>
      <c r="C55" s="75"/>
      <c r="D55" s="75"/>
      <c r="E55" s="75"/>
      <c r="F55" s="79"/>
    </row>
    <row r="56" spans="1:8" s="7" customFormat="1">
      <c r="A56" s="100"/>
      <c r="B56" s="78"/>
      <c r="C56" s="75"/>
      <c r="D56" s="75"/>
      <c r="E56" s="75"/>
      <c r="F56" s="79"/>
    </row>
    <row r="57" spans="1:8" s="7" customFormat="1">
      <c r="A57" s="100"/>
      <c r="B57" s="78"/>
      <c r="C57" s="75"/>
      <c r="D57" s="75"/>
      <c r="E57" s="75"/>
      <c r="F57" s="79"/>
    </row>
    <row r="58" spans="1:8" s="8" customFormat="1">
      <c r="A58" s="100"/>
      <c r="B58" s="78"/>
      <c r="C58" s="75"/>
      <c r="D58" s="75"/>
      <c r="E58" s="75"/>
      <c r="F58" s="79"/>
    </row>
    <row r="59" spans="1:8" s="8" customFormat="1" ht="13.5" customHeight="1">
      <c r="A59" s="100"/>
      <c r="B59" s="78"/>
      <c r="C59" s="75"/>
      <c r="D59" s="75"/>
      <c r="E59" s="75"/>
      <c r="F59" s="79"/>
      <c r="G59" s="102"/>
      <c r="H59" s="102"/>
    </row>
    <row r="60" spans="1:8" s="8" customFormat="1" ht="13.5" customHeight="1">
      <c r="A60" s="100"/>
      <c r="B60" s="78"/>
      <c r="C60" s="75"/>
      <c r="D60" s="75"/>
      <c r="E60" s="75"/>
      <c r="F60" s="79"/>
    </row>
    <row r="61" spans="1:8" s="8" customFormat="1" ht="13.5" customHeight="1">
      <c r="A61" s="100"/>
      <c r="B61" s="78"/>
      <c r="C61" s="75"/>
      <c r="D61" s="75"/>
      <c r="E61" s="75"/>
      <c r="F61" s="79"/>
      <c r="G61" s="74"/>
      <c r="H61" s="74"/>
    </row>
    <row r="62" spans="1:8" s="8" customFormat="1" ht="13.5" customHeight="1">
      <c r="A62" s="100"/>
      <c r="B62" s="78"/>
      <c r="C62" s="75"/>
      <c r="D62" s="75"/>
      <c r="E62" s="75"/>
      <c r="F62" s="79"/>
      <c r="G62" s="74"/>
      <c r="H62" s="74"/>
    </row>
    <row r="63" spans="1:8" s="8" customFormat="1" ht="13.5" customHeight="1">
      <c r="A63" s="100"/>
      <c r="B63" s="78"/>
      <c r="C63" s="75"/>
      <c r="D63" s="75"/>
      <c r="E63" s="75"/>
      <c r="F63" s="79"/>
    </row>
    <row r="64" spans="1:8" s="8" customFormat="1" ht="13.5" customHeight="1">
      <c r="A64" s="100"/>
      <c r="B64" s="78"/>
      <c r="C64" s="75"/>
      <c r="D64" s="75"/>
      <c r="E64" s="75"/>
      <c r="F64" s="79"/>
    </row>
    <row r="65" spans="1:8" s="8" customFormat="1" ht="13.5" customHeight="1">
      <c r="A65" s="100"/>
      <c r="B65" s="78"/>
      <c r="C65" s="78"/>
      <c r="D65" s="78"/>
      <c r="E65" s="78"/>
      <c r="F65" s="81"/>
    </row>
    <row r="66" spans="1:8" s="8" customFormat="1" ht="13.5" customHeight="1">
      <c r="A66" s="77"/>
      <c r="B66" s="78"/>
      <c r="C66" s="78"/>
      <c r="D66" s="78"/>
      <c r="E66" s="78"/>
      <c r="F66" s="81"/>
    </row>
    <row r="67" spans="1:8" s="8" customFormat="1" ht="13.5" customHeight="1">
      <c r="A67" s="78"/>
      <c r="B67" s="78"/>
      <c r="C67" s="78"/>
      <c r="D67" s="78"/>
      <c r="E67" s="78"/>
      <c r="F67" s="81"/>
      <c r="G67" s="76"/>
      <c r="H67" s="76"/>
    </row>
    <row r="68" spans="1:8" s="8" customFormat="1" ht="13.5" customHeight="1">
      <c r="B68" s="83"/>
      <c r="G68" s="80"/>
      <c r="H68" s="80"/>
    </row>
    <row r="69" spans="1:8" s="8" customFormat="1">
      <c r="A69" s="84"/>
      <c r="C69" s="85"/>
      <c r="D69" s="85"/>
      <c r="E69" s="85"/>
      <c r="G69" s="80"/>
      <c r="H69" s="80"/>
    </row>
    <row r="70" spans="1:8" s="8" customFormat="1">
      <c r="A70" s="86"/>
      <c r="B70" s="86"/>
      <c r="C70" s="87"/>
      <c r="D70" s="87"/>
      <c r="E70" s="87"/>
      <c r="G70" s="80"/>
      <c r="H70" s="80"/>
    </row>
    <row r="71" spans="1:8" s="8" customFormat="1">
      <c r="C71" s="87"/>
      <c r="D71" s="87"/>
      <c r="E71" s="87"/>
      <c r="G71" s="80"/>
      <c r="H71" s="80"/>
    </row>
    <row r="72" spans="1:8" s="8" customFormat="1">
      <c r="C72" s="87"/>
      <c r="D72" s="87"/>
      <c r="E72" s="87"/>
      <c r="G72" s="80"/>
      <c r="H72" s="80"/>
    </row>
    <row r="73" spans="1:8" s="8" customFormat="1">
      <c r="C73" s="88"/>
      <c r="D73" s="88"/>
      <c r="E73" s="88"/>
      <c r="G73" s="80"/>
      <c r="H73" s="80"/>
    </row>
    <row r="74" spans="1:8" s="8" customFormat="1">
      <c r="C74" s="88"/>
      <c r="D74" s="88"/>
      <c r="E74" s="88"/>
      <c r="G74" s="80"/>
      <c r="H74" s="80"/>
    </row>
    <row r="75" spans="1:8" s="8" customFormat="1">
      <c r="C75" s="89"/>
      <c r="D75" s="89"/>
      <c r="E75" s="89"/>
      <c r="G75" s="80"/>
      <c r="H75" s="80"/>
    </row>
    <row r="76" spans="1:8" s="8" customFormat="1">
      <c r="C76" s="89"/>
      <c r="D76" s="89"/>
      <c r="E76" s="89"/>
      <c r="G76" s="80"/>
      <c r="H76" s="80"/>
    </row>
    <row r="77" spans="1:8" s="8" customFormat="1">
      <c r="C77" s="89"/>
      <c r="D77" s="89"/>
      <c r="E77" s="89"/>
      <c r="G77" s="80"/>
      <c r="H77" s="80"/>
    </row>
    <row r="78" spans="1:8" s="8" customFormat="1">
      <c r="A78" s="7"/>
      <c r="B78" s="7"/>
      <c r="C78" s="69"/>
      <c r="D78" s="69"/>
      <c r="E78" s="69"/>
      <c r="F78" s="7"/>
      <c r="G78" s="80"/>
      <c r="H78" s="80"/>
    </row>
    <row r="79" spans="1:8" s="8" customFormat="1">
      <c r="A79" s="7"/>
      <c r="B79" s="7"/>
      <c r="C79" s="69"/>
      <c r="D79" s="69"/>
      <c r="E79" s="69"/>
      <c r="F79" s="7"/>
      <c r="G79" s="80"/>
      <c r="H79" s="80"/>
    </row>
    <row r="80" spans="1:8" s="8" customFormat="1">
      <c r="A80" s="7"/>
      <c r="B80" s="7"/>
      <c r="C80" s="69"/>
      <c r="D80" s="69"/>
      <c r="E80" s="69"/>
      <c r="F80" s="7"/>
      <c r="G80" s="80"/>
      <c r="H80" s="80"/>
    </row>
    <row r="81" spans="1:8" s="8" customFormat="1">
      <c r="A81" s="7"/>
      <c r="B81" s="7"/>
      <c r="C81" s="69"/>
      <c r="D81" s="69"/>
      <c r="E81" s="69"/>
      <c r="F81" s="7"/>
      <c r="G81" s="80"/>
      <c r="H81" s="80"/>
    </row>
    <row r="82" spans="1:8" s="8" customFormat="1">
      <c r="A82" s="7"/>
      <c r="B82" s="7"/>
      <c r="C82" s="69"/>
      <c r="D82" s="69"/>
      <c r="E82" s="69"/>
      <c r="F82" s="7"/>
      <c r="G82" s="82"/>
      <c r="H82" s="79"/>
    </row>
    <row r="83" spans="1:8" s="8" customFormat="1">
      <c r="A83" s="7"/>
      <c r="B83" s="7"/>
      <c r="C83" s="69"/>
      <c r="D83" s="69"/>
      <c r="E83" s="69"/>
      <c r="F83" s="7"/>
      <c r="G83" s="82"/>
      <c r="H83" s="79"/>
    </row>
    <row r="84" spans="1:8" s="8" customFormat="1">
      <c r="A84" s="7"/>
      <c r="B84" s="7"/>
      <c r="C84" s="69"/>
      <c r="D84" s="69"/>
      <c r="E84" s="69"/>
      <c r="F84" s="7"/>
      <c r="G84" s="79"/>
      <c r="H84" s="79"/>
    </row>
    <row r="85" spans="1:8" s="8" customFormat="1">
      <c r="A85" s="7"/>
      <c r="B85" s="7"/>
      <c r="C85" s="69"/>
      <c r="D85" s="69"/>
      <c r="E85" s="69"/>
      <c r="F85" s="7"/>
    </row>
    <row r="86" spans="1:8" s="8" customFormat="1">
      <c r="A86" s="7"/>
      <c r="B86" s="7"/>
      <c r="C86" s="69"/>
      <c r="D86" s="69"/>
      <c r="E86" s="69"/>
      <c r="F86" s="7"/>
    </row>
    <row r="87" spans="1:8" s="8" customFormat="1">
      <c r="A87" s="7"/>
      <c r="B87" s="7"/>
      <c r="C87" s="69"/>
      <c r="D87" s="69"/>
      <c r="E87" s="69"/>
      <c r="F87" s="7"/>
      <c r="G87" s="83"/>
    </row>
    <row r="88" spans="1:8" s="8" customFormat="1">
      <c r="A88" s="6"/>
      <c r="B88" s="6"/>
      <c r="C88" s="90"/>
      <c r="D88" s="90"/>
      <c r="E88" s="90"/>
      <c r="F88" s="6"/>
    </row>
    <row r="89" spans="1:8" s="8" customFormat="1">
      <c r="A89" s="6"/>
      <c r="B89" s="6"/>
      <c r="C89" s="90"/>
      <c r="D89" s="90"/>
      <c r="E89" s="90"/>
      <c r="F89" s="6"/>
    </row>
    <row r="90" spans="1:8" s="8" customFormat="1">
      <c r="A90" s="6"/>
      <c r="B90" s="6"/>
      <c r="C90" s="90"/>
      <c r="D90" s="90"/>
      <c r="E90" s="90"/>
      <c r="F90" s="6"/>
    </row>
    <row r="91" spans="1:8" s="8" customFormat="1">
      <c r="A91" s="6"/>
      <c r="B91" s="6"/>
      <c r="C91" s="90"/>
      <c r="D91" s="90"/>
      <c r="E91" s="90"/>
      <c r="F91" s="6"/>
    </row>
    <row r="92" spans="1:8" s="8" customFormat="1">
      <c r="A92" s="6"/>
      <c r="B92" s="6"/>
      <c r="C92" s="90"/>
      <c r="D92" s="90"/>
      <c r="E92" s="90"/>
      <c r="F92" s="6"/>
    </row>
    <row r="93" spans="1:8" s="8" customFormat="1">
      <c r="A93" s="6"/>
      <c r="B93" s="6"/>
      <c r="C93" s="90"/>
      <c r="D93" s="90"/>
      <c r="E93" s="90"/>
      <c r="F93" s="6"/>
    </row>
    <row r="94" spans="1:8" s="8" customFormat="1">
      <c r="A94" s="6"/>
      <c r="B94" s="6"/>
      <c r="C94" s="90"/>
      <c r="D94" s="90"/>
      <c r="E94" s="90"/>
      <c r="F94" s="6"/>
    </row>
    <row r="95" spans="1:8" s="7" customFormat="1">
      <c r="A95" s="6"/>
      <c r="B95" s="6"/>
      <c r="C95" s="90"/>
      <c r="D95" s="90"/>
      <c r="E95" s="90"/>
      <c r="F95" s="6"/>
    </row>
    <row r="96" spans="1:8" s="7" customFormat="1">
      <c r="A96" s="6"/>
      <c r="B96" s="6"/>
      <c r="C96" s="90"/>
      <c r="D96" s="90"/>
      <c r="E96" s="90"/>
      <c r="F96" s="6"/>
    </row>
    <row r="97" spans="1:6" s="7" customFormat="1">
      <c r="A97" s="6"/>
      <c r="B97" s="6"/>
      <c r="C97" s="90"/>
      <c r="D97" s="90"/>
      <c r="E97" s="90"/>
      <c r="F97" s="6"/>
    </row>
    <row r="98" spans="1:6" s="7" customFormat="1">
      <c r="A98" s="6"/>
      <c r="B98" s="6"/>
      <c r="C98" s="90"/>
      <c r="D98" s="90"/>
      <c r="E98" s="90"/>
      <c r="F98" s="6"/>
    </row>
    <row r="99" spans="1:6" s="7" customFormat="1">
      <c r="A99" s="6"/>
      <c r="B99" s="6"/>
      <c r="C99" s="90"/>
      <c r="D99" s="90"/>
      <c r="E99" s="90"/>
      <c r="F99" s="6"/>
    </row>
    <row r="100" spans="1:6" s="7" customFormat="1">
      <c r="A100" s="6"/>
      <c r="B100" s="6"/>
      <c r="C100" s="90"/>
      <c r="D100" s="90"/>
      <c r="E100" s="90"/>
      <c r="F100" s="6"/>
    </row>
    <row r="101" spans="1:6" s="7" customFormat="1">
      <c r="A101" s="6"/>
      <c r="B101" s="6"/>
      <c r="C101" s="90"/>
      <c r="D101" s="90"/>
      <c r="E101" s="90"/>
      <c r="F101" s="6"/>
    </row>
    <row r="102" spans="1:6" s="7" customFormat="1">
      <c r="A102" s="6"/>
      <c r="B102" s="6"/>
      <c r="C102" s="90"/>
      <c r="D102" s="90"/>
      <c r="E102" s="90"/>
      <c r="F102" s="6"/>
    </row>
    <row r="103" spans="1:6" s="7" customFormat="1">
      <c r="A103" s="6"/>
      <c r="B103" s="6"/>
      <c r="C103" s="90"/>
      <c r="D103" s="90"/>
      <c r="E103" s="90"/>
      <c r="F103" s="6"/>
    </row>
    <row r="104" spans="1:6" s="7" customFormat="1">
      <c r="A104" s="6"/>
      <c r="B104" s="6"/>
      <c r="C104" s="90"/>
      <c r="D104" s="90"/>
      <c r="E104" s="90"/>
      <c r="F104" s="6"/>
    </row>
  </sheetData>
  <sheetProtection password="CC5C" sheet="1" objects="1" scenarios="1" selectLockedCells="1"/>
  <mergeCells count="3">
    <mergeCell ref="A1:E1"/>
    <mergeCell ref="A2:B2"/>
    <mergeCell ref="J7:J10"/>
  </mergeCells>
  <conditionalFormatting sqref="A3:A36">
    <cfRule type="containsText" dxfId="0" priority="1" stopIfTrue="1" operator="containsText" text="Please enter PF&lt;=1">
      <formula>NOT(ISERROR(SEARCH("Please enter PF&lt;=1",A3)))</formula>
    </cfRule>
  </conditionalFormatting>
  <printOptions horizontalCentered="1"/>
  <pageMargins left="0.5" right="0.5" top="0.75" bottom="0.5" header="0.3" footer="0.3"/>
  <pageSetup orientation="portrait" r:id="rId1"/>
  <headerFooter alignWithMargins="0">
    <oddFooter>&amp;L&amp;8MAWA / ETWU 2010-1215&amp;R&amp;8 2</oddFooter>
  </headerFooter>
  <drawing r:id="rId2"/>
  <legacyDrawing r:id="rId3"/>
</worksheet>
</file>

<file path=xl/worksheets/sheet3.xml><?xml version="1.0" encoding="utf-8"?>
<worksheet xmlns="http://schemas.openxmlformats.org/spreadsheetml/2006/main" xmlns:r="http://schemas.openxmlformats.org/officeDocument/2006/relationships">
  <sheetPr codeName="Sheet2"/>
  <dimension ref="A1:B322"/>
  <sheetViews>
    <sheetView workbookViewId="0">
      <selection activeCell="A214" sqref="A214"/>
    </sheetView>
  </sheetViews>
  <sheetFormatPr defaultRowHeight="12.75"/>
  <cols>
    <col min="1" max="1" width="17.28515625" bestFit="1" customWidth="1"/>
  </cols>
  <sheetData>
    <row r="1" spans="1:2" ht="31.5">
      <c r="A1" s="4" t="s">
        <v>322</v>
      </c>
      <c r="B1" s="3" t="s">
        <v>2</v>
      </c>
    </row>
    <row r="2" spans="1:2" ht="15.75">
      <c r="A2" t="s">
        <v>10</v>
      </c>
      <c r="B2" s="2">
        <v>51.6</v>
      </c>
    </row>
    <row r="3" spans="1:2" ht="15.75">
      <c r="A3" t="s">
        <v>11</v>
      </c>
      <c r="B3" s="2">
        <v>54.9</v>
      </c>
    </row>
    <row r="4" spans="1:2" ht="15.75">
      <c r="A4" t="s">
        <v>12</v>
      </c>
      <c r="B4" s="2">
        <v>40</v>
      </c>
    </row>
    <row r="5" spans="1:2" ht="15.75">
      <c r="A5" t="s">
        <v>13</v>
      </c>
      <c r="B5" s="2">
        <v>52.6</v>
      </c>
    </row>
    <row r="6" spans="1:2" ht="15.75">
      <c r="A6" t="s">
        <v>14</v>
      </c>
      <c r="B6" s="2">
        <v>51.9</v>
      </c>
    </row>
    <row r="7" spans="1:2" ht="15.75">
      <c r="A7" t="s">
        <v>15</v>
      </c>
      <c r="B7" s="2">
        <v>43.7</v>
      </c>
    </row>
    <row r="8" spans="1:2" ht="15.75">
      <c r="A8" t="s">
        <v>16</v>
      </c>
      <c r="B8" s="2">
        <v>50.6</v>
      </c>
    </row>
    <row r="9" spans="1:2" ht="15.75">
      <c r="A9" t="s">
        <v>17</v>
      </c>
      <c r="B9" s="2">
        <v>47.3</v>
      </c>
    </row>
    <row r="10" spans="1:2" ht="15.75">
      <c r="A10" t="s">
        <v>18</v>
      </c>
      <c r="B10" s="2">
        <v>86.6</v>
      </c>
    </row>
    <row r="11" spans="1:2" ht="15.75">
      <c r="A11" t="s">
        <v>19</v>
      </c>
      <c r="B11" s="2">
        <v>52.4</v>
      </c>
    </row>
    <row r="12" spans="1:2" ht="15.75">
      <c r="A12" t="s">
        <v>22</v>
      </c>
      <c r="B12" s="2">
        <v>71.7</v>
      </c>
    </row>
    <row r="13" spans="1:2" ht="15.75">
      <c r="A13" t="s">
        <v>23</v>
      </c>
      <c r="B13" s="2">
        <v>55</v>
      </c>
    </row>
    <row r="14" spans="1:2" ht="15.75">
      <c r="A14" t="s">
        <v>24</v>
      </c>
      <c r="B14" s="2">
        <v>59.2</v>
      </c>
    </row>
    <row r="15" spans="1:2" ht="15.75">
      <c r="A15" t="s">
        <v>25</v>
      </c>
      <c r="B15" s="2">
        <v>40.299999999999997</v>
      </c>
    </row>
    <row r="16" spans="1:2" ht="15.75">
      <c r="A16" t="s">
        <v>26</v>
      </c>
      <c r="B16" s="2">
        <v>44.4</v>
      </c>
    </row>
    <row r="17" spans="1:2" ht="15.75">
      <c r="A17" t="s">
        <v>27</v>
      </c>
      <c r="B17" s="2">
        <v>49.1</v>
      </c>
    </row>
    <row r="18" spans="1:2" ht="15.75">
      <c r="A18" t="s">
        <v>28</v>
      </c>
      <c r="B18" s="2">
        <v>58.6</v>
      </c>
    </row>
    <row r="19" spans="1:2" ht="15.75">
      <c r="A19" t="s">
        <v>29</v>
      </c>
      <c r="B19" s="2">
        <v>68.3</v>
      </c>
    </row>
    <row r="20" spans="1:2" ht="15.75">
      <c r="A20" t="s">
        <v>30</v>
      </c>
      <c r="B20" s="2">
        <v>43</v>
      </c>
    </row>
    <row r="21" spans="1:2" ht="15.75">
      <c r="A21" t="s">
        <v>31</v>
      </c>
      <c r="B21" s="2">
        <v>56.6</v>
      </c>
    </row>
    <row r="22" spans="1:2" ht="15.75">
      <c r="A22" t="s">
        <v>32</v>
      </c>
      <c r="B22" s="2">
        <v>40.5</v>
      </c>
    </row>
    <row r="23" spans="1:2" ht="15.75">
      <c r="A23" t="s">
        <v>33</v>
      </c>
      <c r="B23" s="2">
        <v>71.400000000000006</v>
      </c>
    </row>
    <row r="24" spans="1:2" ht="15.75">
      <c r="A24" t="s">
        <v>20</v>
      </c>
      <c r="B24" s="2">
        <v>57.9</v>
      </c>
    </row>
    <row r="25" spans="1:2" ht="15.75">
      <c r="A25" t="s">
        <v>34</v>
      </c>
      <c r="B25" s="2">
        <v>84.2</v>
      </c>
    </row>
    <row r="26" spans="1:2" ht="15.75">
      <c r="A26" t="s">
        <v>35</v>
      </c>
      <c r="B26" s="2">
        <v>48.3</v>
      </c>
    </row>
    <row r="27" spans="1:2" ht="15.75">
      <c r="A27" t="s">
        <v>36</v>
      </c>
      <c r="B27" s="2">
        <v>43</v>
      </c>
    </row>
    <row r="28" spans="1:2" ht="15.75">
      <c r="A28" t="s">
        <v>37</v>
      </c>
      <c r="B28" s="2">
        <v>52.9</v>
      </c>
    </row>
    <row r="29" spans="1:2" ht="15.75">
      <c r="A29" t="s">
        <v>38</v>
      </c>
      <c r="B29" s="2">
        <v>47.4</v>
      </c>
    </row>
    <row r="30" spans="1:2" ht="15.75">
      <c r="A30" t="s">
        <v>39</v>
      </c>
      <c r="B30" s="2">
        <v>51</v>
      </c>
    </row>
    <row r="31" spans="1:2" ht="15.75">
      <c r="A31" t="s">
        <v>40</v>
      </c>
      <c r="B31" s="2">
        <v>51.8</v>
      </c>
    </row>
    <row r="32" spans="1:2" ht="15.75">
      <c r="A32" t="s">
        <v>41</v>
      </c>
      <c r="B32" s="2">
        <v>51.7</v>
      </c>
    </row>
    <row r="33" spans="1:2" ht="15.75">
      <c r="A33" t="s">
        <v>42</v>
      </c>
      <c r="B33" s="2">
        <v>40.9</v>
      </c>
    </row>
    <row r="34" spans="1:2" ht="15.75">
      <c r="A34" t="s">
        <v>43</v>
      </c>
      <c r="B34" s="2">
        <v>52</v>
      </c>
    </row>
    <row r="35" spans="1:2" ht="15.75">
      <c r="A35" t="s">
        <v>44</v>
      </c>
      <c r="B35" s="2">
        <v>70.7</v>
      </c>
    </row>
    <row r="36" spans="1:2" ht="15.75">
      <c r="A36" t="s">
        <v>45</v>
      </c>
      <c r="B36" s="2">
        <v>46.1</v>
      </c>
    </row>
    <row r="37" spans="1:2" ht="15.75">
      <c r="A37" t="s">
        <v>46</v>
      </c>
      <c r="B37" s="2">
        <v>47.3</v>
      </c>
    </row>
    <row r="38" spans="1:2" ht="15.75">
      <c r="A38" t="s">
        <v>47</v>
      </c>
      <c r="B38" s="2">
        <v>45.8</v>
      </c>
    </row>
    <row r="39" spans="1:2" ht="15.75">
      <c r="A39" t="s">
        <v>48</v>
      </c>
      <c r="B39" s="2">
        <v>44.9</v>
      </c>
    </row>
    <row r="40" spans="1:2" ht="15.75">
      <c r="A40" t="s">
        <v>49</v>
      </c>
      <c r="B40" s="2">
        <v>62.7</v>
      </c>
    </row>
    <row r="41" spans="1:2" ht="15.75">
      <c r="A41" t="s">
        <v>50</v>
      </c>
      <c r="B41" s="2">
        <v>36.200000000000003</v>
      </c>
    </row>
    <row r="42" spans="1:2" ht="15.75">
      <c r="A42" t="s">
        <v>51</v>
      </c>
      <c r="B42" s="2">
        <v>57.1</v>
      </c>
    </row>
    <row r="43" spans="1:2" ht="15.75">
      <c r="A43" t="s">
        <v>52</v>
      </c>
      <c r="B43" s="2">
        <v>51.7</v>
      </c>
    </row>
    <row r="44" spans="1:2" ht="15.75">
      <c r="A44" t="s">
        <v>53</v>
      </c>
      <c r="B44" s="2">
        <v>74.8</v>
      </c>
    </row>
    <row r="45" spans="1:2" ht="15.75">
      <c r="A45" t="s">
        <v>54</v>
      </c>
      <c r="B45" s="2">
        <v>54.6</v>
      </c>
    </row>
    <row r="46" spans="1:2" ht="15.75">
      <c r="A46" t="s">
        <v>55</v>
      </c>
      <c r="B46" s="2">
        <v>51.4</v>
      </c>
    </row>
    <row r="47" spans="1:2" ht="15.75">
      <c r="A47" t="s">
        <v>56</v>
      </c>
      <c r="B47" s="2">
        <v>44.2</v>
      </c>
    </row>
    <row r="48" spans="1:2" ht="15.75">
      <c r="A48" t="s">
        <v>57</v>
      </c>
      <c r="B48" s="2">
        <v>51.3</v>
      </c>
    </row>
    <row r="49" spans="1:2" ht="15.75">
      <c r="A49" t="s">
        <v>58</v>
      </c>
      <c r="B49" s="2">
        <v>40.700000000000003</v>
      </c>
    </row>
    <row r="50" spans="1:2" ht="15.75">
      <c r="A50" t="s">
        <v>59</v>
      </c>
      <c r="B50" s="2">
        <v>51.4</v>
      </c>
    </row>
    <row r="51" spans="1:2" ht="15.75">
      <c r="A51" t="s">
        <v>60</v>
      </c>
      <c r="B51" s="2">
        <v>88.1</v>
      </c>
    </row>
    <row r="52" spans="1:2" ht="15.75">
      <c r="A52" t="s">
        <v>61</v>
      </c>
      <c r="B52" s="2">
        <v>50.9</v>
      </c>
    </row>
    <row r="53" spans="1:2" ht="15.75">
      <c r="A53" t="s">
        <v>62</v>
      </c>
      <c r="B53" s="2">
        <v>47.9</v>
      </c>
    </row>
    <row r="54" spans="1:2" ht="15.75">
      <c r="A54" t="s">
        <v>63</v>
      </c>
      <c r="B54" s="2">
        <v>52.8</v>
      </c>
    </row>
    <row r="55" spans="1:2" ht="15.75">
      <c r="A55" t="s">
        <v>64</v>
      </c>
      <c r="B55" s="2">
        <v>43.4</v>
      </c>
    </row>
    <row r="56" spans="1:2" ht="15.75">
      <c r="A56" t="s">
        <v>65</v>
      </c>
      <c r="B56" s="2">
        <v>57.1</v>
      </c>
    </row>
    <row r="57" spans="1:2" ht="15.75">
      <c r="A57" t="s">
        <v>66</v>
      </c>
      <c r="B57" s="2">
        <v>50.7</v>
      </c>
    </row>
    <row r="58" spans="1:2" ht="15.75">
      <c r="A58" t="s">
        <v>67</v>
      </c>
      <c r="B58" s="2">
        <v>48.8</v>
      </c>
    </row>
    <row r="59" spans="1:2" ht="15.75">
      <c r="A59" t="s">
        <v>68</v>
      </c>
      <c r="B59" s="2">
        <v>48</v>
      </c>
    </row>
    <row r="60" spans="1:2" ht="15.75">
      <c r="A60" t="s">
        <v>69</v>
      </c>
      <c r="B60" s="2">
        <v>27.7</v>
      </c>
    </row>
    <row r="61" spans="1:2" ht="15.75">
      <c r="A61" t="s">
        <v>70</v>
      </c>
      <c r="B61" s="2">
        <v>50.8</v>
      </c>
    </row>
    <row r="62" spans="1:2" ht="15.75">
      <c r="A62" t="s">
        <v>71</v>
      </c>
      <c r="B62" s="2">
        <v>59.7</v>
      </c>
    </row>
    <row r="63" spans="1:2" ht="15.75">
      <c r="A63" t="s">
        <v>72</v>
      </c>
      <c r="B63" s="2">
        <v>52.5</v>
      </c>
    </row>
    <row r="64" spans="1:2" ht="15.75">
      <c r="A64" t="s">
        <v>73</v>
      </c>
      <c r="B64" s="2">
        <v>40.799999999999997</v>
      </c>
    </row>
    <row r="65" spans="1:2" ht="15.75">
      <c r="A65" t="s">
        <v>74</v>
      </c>
      <c r="B65" s="2">
        <v>79.099999999999994</v>
      </c>
    </row>
    <row r="66" spans="1:2" ht="15.75">
      <c r="A66" t="s">
        <v>75</v>
      </c>
      <c r="B66" s="2">
        <v>52</v>
      </c>
    </row>
    <row r="67" spans="1:2" ht="15.75">
      <c r="A67" t="s">
        <v>75</v>
      </c>
      <c r="B67" s="2">
        <v>53.6</v>
      </c>
    </row>
    <row r="68" spans="1:2" ht="15.75">
      <c r="A68" t="s">
        <v>76</v>
      </c>
      <c r="B68" s="2">
        <v>51.4</v>
      </c>
    </row>
    <row r="69" spans="1:2" ht="15.75">
      <c r="A69" t="s">
        <v>77</v>
      </c>
      <c r="B69" s="2">
        <v>90</v>
      </c>
    </row>
    <row r="70" spans="1:2" ht="15.75">
      <c r="A70" t="s">
        <v>78</v>
      </c>
      <c r="B70" s="2">
        <v>51.2</v>
      </c>
    </row>
    <row r="71" spans="1:2" ht="15.75">
      <c r="A71" t="s">
        <v>79</v>
      </c>
      <c r="B71" s="2">
        <v>52.1</v>
      </c>
    </row>
    <row r="72" spans="1:2" ht="15.75">
      <c r="A72" t="s">
        <v>80</v>
      </c>
      <c r="B72" s="2">
        <v>41.3</v>
      </c>
    </row>
    <row r="73" spans="1:2" ht="15.75">
      <c r="A73" t="s">
        <v>81</v>
      </c>
      <c r="B73" s="2">
        <v>51.1</v>
      </c>
    </row>
    <row r="74" spans="1:2" ht="15.75">
      <c r="A74" t="s">
        <v>82</v>
      </c>
      <c r="B74" s="2">
        <v>81.7</v>
      </c>
    </row>
    <row r="75" spans="1:2" ht="15.75">
      <c r="A75" t="s">
        <v>83</v>
      </c>
      <c r="B75" s="2">
        <v>46.3</v>
      </c>
    </row>
    <row r="76" spans="1:2" ht="15.75">
      <c r="A76" t="s">
        <v>84</v>
      </c>
      <c r="B76" s="2">
        <v>55</v>
      </c>
    </row>
    <row r="77" spans="1:2" ht="15.75">
      <c r="A77" t="s">
        <v>85</v>
      </c>
      <c r="B77" s="2">
        <v>54.2</v>
      </c>
    </row>
    <row r="78" spans="1:2" ht="15.75">
      <c r="A78" t="s">
        <v>86</v>
      </c>
      <c r="B78" s="2">
        <v>55.8</v>
      </c>
    </row>
    <row r="79" spans="1:2" ht="15.75">
      <c r="A79" t="s">
        <v>87</v>
      </c>
      <c r="B79" s="2">
        <v>27.5</v>
      </c>
    </row>
    <row r="80" spans="1:2" ht="15.75">
      <c r="A80" t="s">
        <v>88</v>
      </c>
      <c r="B80" s="2">
        <v>50.5</v>
      </c>
    </row>
    <row r="81" spans="1:2" ht="15.75">
      <c r="A81" t="s">
        <v>89</v>
      </c>
      <c r="B81" s="2">
        <v>45.2</v>
      </c>
    </row>
    <row r="82" spans="1:2" ht="15.75">
      <c r="A82" t="s">
        <v>90</v>
      </c>
      <c r="B82" s="2">
        <v>41.8</v>
      </c>
    </row>
    <row r="83" spans="1:2" ht="15.75">
      <c r="A83" t="s">
        <v>91</v>
      </c>
      <c r="B83" s="2">
        <v>53.1</v>
      </c>
    </row>
    <row r="84" spans="1:2" ht="15.75">
      <c r="A84" t="s">
        <v>92</v>
      </c>
      <c r="B84" s="2">
        <v>50</v>
      </c>
    </row>
    <row r="85" spans="1:2" ht="15.75">
      <c r="A85" t="s">
        <v>93</v>
      </c>
      <c r="B85" s="2">
        <v>27.5</v>
      </c>
    </row>
    <row r="86" spans="1:2" ht="15.75">
      <c r="A86" t="s">
        <v>94</v>
      </c>
      <c r="B86" s="2">
        <v>55.4</v>
      </c>
    </row>
    <row r="87" spans="1:2" ht="15.75">
      <c r="A87" t="s">
        <v>95</v>
      </c>
      <c r="B87" s="2">
        <v>60.4</v>
      </c>
    </row>
    <row r="88" spans="1:2" ht="15.75">
      <c r="A88" t="s">
        <v>96</v>
      </c>
      <c r="B88" s="2">
        <v>29</v>
      </c>
    </row>
    <row r="89" spans="1:2" ht="15.75">
      <c r="A89" t="s">
        <v>97</v>
      </c>
      <c r="B89" s="2">
        <v>31.9</v>
      </c>
    </row>
    <row r="90" spans="1:2" ht="15.75">
      <c r="A90" t="s">
        <v>0</v>
      </c>
      <c r="B90" s="2">
        <v>47</v>
      </c>
    </row>
    <row r="91" spans="1:2" ht="15.75">
      <c r="A91" t="s">
        <v>98</v>
      </c>
      <c r="B91" s="2">
        <v>51.1</v>
      </c>
    </row>
    <row r="92" spans="1:2" ht="15.75">
      <c r="A92" t="s">
        <v>99</v>
      </c>
      <c r="B92" s="2">
        <v>53.7</v>
      </c>
    </row>
    <row r="93" spans="1:2" ht="15.75">
      <c r="A93" t="s">
        <v>100</v>
      </c>
      <c r="B93" s="2">
        <v>51.3</v>
      </c>
    </row>
    <row r="94" spans="1:2" ht="15.75">
      <c r="A94" t="s">
        <v>101</v>
      </c>
      <c r="B94" s="2">
        <v>34.9</v>
      </c>
    </row>
    <row r="95" spans="1:2" ht="15.75">
      <c r="A95" t="s">
        <v>102</v>
      </c>
      <c r="B95" s="2">
        <v>54.7</v>
      </c>
    </row>
    <row r="96" spans="1:2" ht="15.75">
      <c r="A96" t="s">
        <v>103</v>
      </c>
      <c r="B96" s="2">
        <v>55.5</v>
      </c>
    </row>
    <row r="97" spans="1:2" ht="15.75">
      <c r="A97" t="s">
        <v>104</v>
      </c>
      <c r="B97" s="2">
        <v>43.6</v>
      </c>
    </row>
    <row r="98" spans="1:2" ht="15.75">
      <c r="A98" t="s">
        <v>105</v>
      </c>
      <c r="B98" s="2">
        <v>42.1</v>
      </c>
    </row>
    <row r="99" spans="1:2" ht="15.75">
      <c r="A99" t="s">
        <v>106</v>
      </c>
      <c r="B99" s="2">
        <v>43.7</v>
      </c>
    </row>
    <row r="100" spans="1:2" ht="15.75">
      <c r="A100" t="s">
        <v>107</v>
      </c>
      <c r="B100" s="2">
        <v>53.1</v>
      </c>
    </row>
    <row r="101" spans="1:2" ht="15.75">
      <c r="A101" t="s">
        <v>108</v>
      </c>
      <c r="B101" s="2">
        <v>48.1</v>
      </c>
    </row>
    <row r="102" spans="1:2" ht="15.75">
      <c r="A102" t="s">
        <v>109</v>
      </c>
      <c r="B102" s="2">
        <v>49.6</v>
      </c>
    </row>
    <row r="103" spans="1:2" ht="15.75">
      <c r="A103" t="s">
        <v>110</v>
      </c>
      <c r="B103" s="2">
        <v>45.7</v>
      </c>
    </row>
    <row r="104" spans="1:2" ht="15.75">
      <c r="A104" t="s">
        <v>111</v>
      </c>
      <c r="B104" s="2">
        <v>52.4</v>
      </c>
    </row>
    <row r="105" spans="1:2" ht="15.75">
      <c r="A105" t="s">
        <v>112</v>
      </c>
      <c r="B105" s="2">
        <v>49.5</v>
      </c>
    </row>
    <row r="106" spans="1:2" ht="15.75">
      <c r="A106" t="s">
        <v>113</v>
      </c>
      <c r="B106" s="2">
        <v>48</v>
      </c>
    </row>
    <row r="107" spans="1:2" ht="15.75">
      <c r="A107" t="s">
        <v>114</v>
      </c>
      <c r="B107" s="2">
        <v>40.6</v>
      </c>
    </row>
    <row r="108" spans="1:2" ht="15.75">
      <c r="A108" t="s">
        <v>115</v>
      </c>
      <c r="B108" s="2">
        <v>49.5</v>
      </c>
    </row>
    <row r="109" spans="1:2" ht="15.75">
      <c r="A109" t="s">
        <v>21</v>
      </c>
      <c r="B109" s="2">
        <v>57.9</v>
      </c>
    </row>
    <row r="110" spans="1:2" ht="15.75">
      <c r="A110" t="s">
        <v>116</v>
      </c>
      <c r="B110" s="2">
        <v>51.9</v>
      </c>
    </row>
    <row r="111" spans="1:2" ht="15.75">
      <c r="A111" t="s">
        <v>117</v>
      </c>
      <c r="B111" s="2">
        <v>47.5</v>
      </c>
    </row>
    <row r="112" spans="1:2" ht="15.75">
      <c r="A112" t="s">
        <v>118</v>
      </c>
      <c r="B112" s="2">
        <v>41.1</v>
      </c>
    </row>
    <row r="113" spans="1:2" ht="15.75">
      <c r="A113" t="s">
        <v>119</v>
      </c>
      <c r="B113" s="2">
        <v>33.700000000000003</v>
      </c>
    </row>
    <row r="114" spans="1:2" ht="15.75">
      <c r="A114" t="s">
        <v>120</v>
      </c>
      <c r="B114" s="2">
        <v>51.5</v>
      </c>
    </row>
    <row r="115" spans="1:2" ht="15.75">
      <c r="A115" t="s">
        <v>121</v>
      </c>
      <c r="B115" s="2">
        <v>35.1</v>
      </c>
    </row>
    <row r="116" spans="1:2" ht="15.75">
      <c r="A116" t="s">
        <v>122</v>
      </c>
      <c r="B116" s="2">
        <v>57.1</v>
      </c>
    </row>
    <row r="117" spans="1:2" ht="15.75">
      <c r="A117" t="s">
        <v>123</v>
      </c>
      <c r="B117" s="2">
        <v>40.1</v>
      </c>
    </row>
    <row r="118" spans="1:2" ht="15.75">
      <c r="A118" t="s">
        <v>124</v>
      </c>
      <c r="B118" s="2">
        <v>40.799999999999997</v>
      </c>
    </row>
    <row r="119" spans="1:2" ht="15.75">
      <c r="A119" t="s">
        <v>125</v>
      </c>
      <c r="B119" s="2">
        <v>45.1</v>
      </c>
    </row>
    <row r="120" spans="1:2" ht="15.75">
      <c r="A120" t="s">
        <v>126</v>
      </c>
      <c r="B120" s="2">
        <v>52.8</v>
      </c>
    </row>
    <row r="121" spans="1:2" ht="15.75">
      <c r="A121" t="s">
        <v>127</v>
      </c>
      <c r="B121" s="2">
        <v>84.7</v>
      </c>
    </row>
    <row r="122" spans="1:2" ht="15.75">
      <c r="A122" t="s">
        <v>128</v>
      </c>
      <c r="B122" s="2">
        <v>35.6</v>
      </c>
    </row>
    <row r="123" spans="1:2" ht="15.75">
      <c r="A123" t="s">
        <v>129</v>
      </c>
      <c r="B123" s="2">
        <v>40.9</v>
      </c>
    </row>
    <row r="124" spans="1:2" ht="15.75">
      <c r="A124" t="s">
        <v>130</v>
      </c>
      <c r="B124" s="2">
        <v>65.2</v>
      </c>
    </row>
    <row r="125" spans="1:2" ht="15.75">
      <c r="A125" t="s">
        <v>131</v>
      </c>
      <c r="B125" s="2">
        <v>83.9</v>
      </c>
    </row>
    <row r="126" spans="1:2" ht="15.75">
      <c r="A126" t="s">
        <v>132</v>
      </c>
      <c r="B126" s="2">
        <v>72.400000000000006</v>
      </c>
    </row>
    <row r="127" spans="1:2" ht="15.75">
      <c r="A127" t="s">
        <v>133</v>
      </c>
      <c r="B127" s="2">
        <v>49.6</v>
      </c>
    </row>
    <row r="128" spans="1:2" ht="15.75">
      <c r="A128" t="s">
        <v>134</v>
      </c>
      <c r="B128" s="2">
        <v>48.4</v>
      </c>
    </row>
    <row r="129" spans="1:2" ht="15.75">
      <c r="A129" t="s">
        <v>8</v>
      </c>
      <c r="B129" s="2">
        <v>48.9</v>
      </c>
    </row>
    <row r="130" spans="1:2" ht="15.75">
      <c r="A130" t="s">
        <v>135</v>
      </c>
      <c r="B130" s="2">
        <v>51.2</v>
      </c>
    </row>
    <row r="131" spans="1:2" ht="15.75">
      <c r="A131" t="s">
        <v>136</v>
      </c>
      <c r="B131" s="2">
        <v>55.1</v>
      </c>
    </row>
    <row r="132" spans="1:2" ht="15.75">
      <c r="A132" t="s">
        <v>137</v>
      </c>
      <c r="B132" s="2">
        <v>60.2</v>
      </c>
    </row>
    <row r="133" spans="1:2" ht="15.75">
      <c r="A133" t="s">
        <v>138</v>
      </c>
      <c r="B133" s="2">
        <v>49.6</v>
      </c>
    </row>
    <row r="134" spans="1:2" ht="15.75">
      <c r="A134" t="s">
        <v>139</v>
      </c>
      <c r="B134" s="2">
        <v>52.7</v>
      </c>
    </row>
    <row r="135" spans="1:2" ht="15.75">
      <c r="A135" t="s">
        <v>140</v>
      </c>
      <c r="B135" s="2">
        <v>51.6</v>
      </c>
    </row>
    <row r="136" spans="1:2" ht="15.75">
      <c r="A136" t="s">
        <v>141</v>
      </c>
      <c r="B136" s="2">
        <v>51.2</v>
      </c>
    </row>
    <row r="137" spans="1:2" ht="15.75">
      <c r="A137" t="s">
        <v>142</v>
      </c>
      <c r="B137" s="2">
        <v>66.2</v>
      </c>
    </row>
    <row r="138" spans="1:2" ht="15.75">
      <c r="A138" t="s">
        <v>143</v>
      </c>
      <c r="B138" s="2">
        <v>43.2</v>
      </c>
    </row>
    <row r="139" spans="1:2" ht="15.75">
      <c r="A139" t="s">
        <v>144</v>
      </c>
      <c r="B139" s="2">
        <v>58.6</v>
      </c>
    </row>
    <row r="140" spans="1:2" ht="15.75">
      <c r="A140" t="s">
        <v>145</v>
      </c>
      <c r="B140" s="2">
        <v>42.8</v>
      </c>
    </row>
    <row r="141" spans="1:2" ht="15.75">
      <c r="A141" t="s">
        <v>146</v>
      </c>
      <c r="B141" s="2">
        <v>54.4</v>
      </c>
    </row>
    <row r="142" spans="1:2" ht="15.75">
      <c r="A142" t="s">
        <v>147</v>
      </c>
      <c r="B142" s="2">
        <v>71.099999999999994</v>
      </c>
    </row>
    <row r="143" spans="1:2" ht="15.75">
      <c r="A143" t="s">
        <v>148</v>
      </c>
      <c r="B143" s="2">
        <v>51.7</v>
      </c>
    </row>
    <row r="144" spans="1:2" ht="15.75">
      <c r="A144" t="s">
        <v>149</v>
      </c>
      <c r="B144" s="2">
        <v>51.9</v>
      </c>
    </row>
    <row r="145" spans="1:2" ht="15.75">
      <c r="A145" t="s">
        <v>150</v>
      </c>
      <c r="B145" s="2">
        <v>50.6</v>
      </c>
    </row>
    <row r="146" spans="1:2" ht="15.75">
      <c r="A146" t="s">
        <v>3</v>
      </c>
      <c r="B146" s="2">
        <v>47.2</v>
      </c>
    </row>
    <row r="147" spans="1:2" ht="15.75">
      <c r="A147" t="s">
        <v>151</v>
      </c>
      <c r="B147" s="2">
        <v>46.7</v>
      </c>
    </row>
    <row r="148" spans="1:2" ht="15.75">
      <c r="A148" t="s">
        <v>152</v>
      </c>
      <c r="B148" s="2">
        <v>41.1</v>
      </c>
    </row>
    <row r="149" spans="1:2" ht="15.75">
      <c r="A149" t="s">
        <v>153</v>
      </c>
      <c r="B149" s="2">
        <v>39.700000000000003</v>
      </c>
    </row>
    <row r="150" spans="1:2" ht="15.75">
      <c r="A150" t="s">
        <v>154</v>
      </c>
      <c r="B150" s="2">
        <v>49.1</v>
      </c>
    </row>
    <row r="151" spans="1:2" ht="15.75">
      <c r="A151" t="s">
        <v>155</v>
      </c>
      <c r="B151" s="2">
        <v>44.6</v>
      </c>
    </row>
    <row r="152" spans="1:2" ht="15.75">
      <c r="A152" t="s">
        <v>156</v>
      </c>
      <c r="B152" s="2">
        <v>50.1</v>
      </c>
    </row>
    <row r="153" spans="1:2" ht="15.75">
      <c r="A153" t="s">
        <v>157</v>
      </c>
      <c r="B153" s="2">
        <v>50</v>
      </c>
    </row>
    <row r="154" spans="1:2" ht="15.75">
      <c r="A154" t="s">
        <v>158</v>
      </c>
      <c r="B154" s="2">
        <v>42.9</v>
      </c>
    </row>
    <row r="155" spans="1:2" ht="15.75">
      <c r="A155" t="s">
        <v>159</v>
      </c>
      <c r="B155" s="2">
        <v>57.1</v>
      </c>
    </row>
    <row r="156" spans="1:2" ht="15.75">
      <c r="A156" t="s">
        <v>160</v>
      </c>
      <c r="B156" s="2">
        <v>67.599999999999994</v>
      </c>
    </row>
    <row r="157" spans="1:2" ht="15.75">
      <c r="A157" t="s">
        <v>161</v>
      </c>
      <c r="B157" s="2">
        <v>45.4</v>
      </c>
    </row>
    <row r="158" spans="1:2" ht="15.75">
      <c r="A158" t="s">
        <v>162</v>
      </c>
      <c r="B158" s="2">
        <v>75.3</v>
      </c>
    </row>
    <row r="159" spans="1:2" ht="15.75">
      <c r="A159" t="s">
        <v>163</v>
      </c>
      <c r="B159" s="2">
        <v>49</v>
      </c>
    </row>
    <row r="160" spans="1:2" ht="15.75">
      <c r="A160" t="s">
        <v>164</v>
      </c>
      <c r="B160" s="2">
        <v>51.5</v>
      </c>
    </row>
    <row r="161" spans="1:2" ht="15.75">
      <c r="A161" t="s">
        <v>165</v>
      </c>
      <c r="B161" s="2">
        <v>51.2</v>
      </c>
    </row>
    <row r="162" spans="1:2" ht="15.75">
      <c r="A162" t="s">
        <v>166</v>
      </c>
      <c r="B162" s="2">
        <v>49</v>
      </c>
    </row>
    <row r="163" spans="1:2" ht="15.75">
      <c r="A163" t="s">
        <v>7</v>
      </c>
      <c r="B163" s="2">
        <v>40.6</v>
      </c>
    </row>
    <row r="164" spans="1:2" ht="15.75">
      <c r="A164" t="s">
        <v>167</v>
      </c>
      <c r="B164" s="2">
        <v>41.8</v>
      </c>
    </row>
    <row r="165" spans="1:2" ht="15.75">
      <c r="A165" t="s">
        <v>168</v>
      </c>
      <c r="B165" s="2">
        <v>46.8</v>
      </c>
    </row>
    <row r="166" spans="1:2" ht="15.75">
      <c r="A166" t="s">
        <v>169</v>
      </c>
      <c r="B166" s="2">
        <v>56.5</v>
      </c>
    </row>
    <row r="167" spans="1:2" ht="15.75">
      <c r="A167" t="s">
        <v>170</v>
      </c>
      <c r="B167" s="2">
        <v>70.8</v>
      </c>
    </row>
    <row r="168" spans="1:2" ht="15.75">
      <c r="A168" t="s">
        <v>171</v>
      </c>
      <c r="B168" s="2">
        <v>71.599999999999994</v>
      </c>
    </row>
    <row r="169" spans="1:2" ht="15.75">
      <c r="A169" t="s">
        <v>172</v>
      </c>
      <c r="B169" s="2">
        <v>61.7</v>
      </c>
    </row>
    <row r="170" spans="1:2" ht="15.75">
      <c r="A170" t="s">
        <v>173</v>
      </c>
      <c r="B170" s="2">
        <v>51.5</v>
      </c>
    </row>
    <row r="171" spans="1:2" ht="15.75">
      <c r="A171" t="s">
        <v>174</v>
      </c>
      <c r="B171" s="2">
        <v>47.1</v>
      </c>
    </row>
    <row r="172" spans="1:2" ht="15.75">
      <c r="A172" t="s">
        <v>175</v>
      </c>
      <c r="B172" s="2">
        <v>49.7</v>
      </c>
    </row>
    <row r="173" spans="1:2" ht="15.75">
      <c r="A173" t="s">
        <v>176</v>
      </c>
      <c r="B173" s="2">
        <v>43.2</v>
      </c>
    </row>
    <row r="174" spans="1:2" ht="15.75">
      <c r="A174" t="s">
        <v>177</v>
      </c>
      <c r="B174" s="2">
        <v>50.2</v>
      </c>
    </row>
    <row r="175" spans="1:2" ht="15.75">
      <c r="A175" t="s">
        <v>178</v>
      </c>
      <c r="B175" s="2">
        <v>36</v>
      </c>
    </row>
    <row r="176" spans="1:2" ht="15.75">
      <c r="A176" t="s">
        <v>179</v>
      </c>
      <c r="B176" s="2">
        <v>44.9</v>
      </c>
    </row>
    <row r="177" spans="1:2" ht="15.75">
      <c r="A177" t="s">
        <v>180</v>
      </c>
      <c r="B177" s="2">
        <v>49.5</v>
      </c>
    </row>
    <row r="178" spans="1:2" ht="15.75">
      <c r="A178" t="s">
        <v>181</v>
      </c>
      <c r="B178" s="2">
        <v>39.9</v>
      </c>
    </row>
    <row r="179" spans="1:2" ht="15.75">
      <c r="A179" t="s">
        <v>182</v>
      </c>
      <c r="B179" s="2">
        <v>36</v>
      </c>
    </row>
    <row r="180" spans="1:2" ht="15.75">
      <c r="A180" t="s">
        <v>183</v>
      </c>
      <c r="B180" s="1">
        <v>70.7</v>
      </c>
    </row>
    <row r="181" spans="1:2" ht="15.75">
      <c r="A181" t="s">
        <v>184</v>
      </c>
      <c r="B181" s="2">
        <v>92.1</v>
      </c>
    </row>
    <row r="182" spans="1:2" ht="15.75">
      <c r="A182" t="s">
        <v>185</v>
      </c>
      <c r="B182" s="2">
        <v>47.4</v>
      </c>
    </row>
    <row r="183" spans="1:2" ht="15.75">
      <c r="A183" t="s">
        <v>186</v>
      </c>
      <c r="B183" s="2">
        <v>78.2</v>
      </c>
    </row>
    <row r="184" spans="1:2" ht="15.75">
      <c r="A184" t="s">
        <v>187</v>
      </c>
      <c r="B184" s="2">
        <v>49.3</v>
      </c>
    </row>
    <row r="185" spans="1:2" ht="15.75">
      <c r="A185" t="s">
        <v>188</v>
      </c>
      <c r="B185" s="2">
        <v>50.2</v>
      </c>
    </row>
    <row r="186" spans="1:2" ht="15.75">
      <c r="A186" t="s">
        <v>189</v>
      </c>
      <c r="B186" s="2">
        <v>52.1</v>
      </c>
    </row>
    <row r="187" spans="1:2" ht="15.75">
      <c r="A187" t="s">
        <v>190</v>
      </c>
      <c r="B187" s="2">
        <v>39.799999999999997</v>
      </c>
    </row>
    <row r="188" spans="1:2" ht="15.75">
      <c r="A188" t="s">
        <v>191</v>
      </c>
      <c r="B188" s="2">
        <v>50.3</v>
      </c>
    </row>
    <row r="189" spans="1:2" ht="15.75">
      <c r="A189" t="s">
        <v>1</v>
      </c>
      <c r="B189" s="2">
        <v>41.8</v>
      </c>
    </row>
    <row r="190" spans="1:2" ht="15.75">
      <c r="A190" t="s">
        <v>4</v>
      </c>
      <c r="B190" s="2">
        <v>39.6</v>
      </c>
    </row>
    <row r="191" spans="1:2" ht="15.75">
      <c r="A191" t="s">
        <v>192</v>
      </c>
      <c r="B191" s="2">
        <v>47.7</v>
      </c>
    </row>
    <row r="192" spans="1:2" ht="15.75">
      <c r="A192" t="s">
        <v>193</v>
      </c>
      <c r="B192" s="2">
        <v>83.1</v>
      </c>
    </row>
    <row r="193" spans="1:2" ht="15.75">
      <c r="A193" t="s">
        <v>193</v>
      </c>
      <c r="B193" s="2">
        <v>68.400000000000006</v>
      </c>
    </row>
    <row r="194" spans="1:2" ht="15.75">
      <c r="A194" t="s">
        <v>194</v>
      </c>
      <c r="B194" s="2">
        <v>42.9</v>
      </c>
    </row>
    <row r="195" spans="1:2" ht="15.75">
      <c r="A195" t="s">
        <v>195</v>
      </c>
      <c r="B195" s="2">
        <v>56.7</v>
      </c>
    </row>
    <row r="196" spans="1:2" ht="15.75">
      <c r="A196" t="s">
        <v>196</v>
      </c>
      <c r="B196" s="2">
        <v>52.1</v>
      </c>
    </row>
    <row r="197" spans="1:2" ht="15.75">
      <c r="A197" t="s">
        <v>197</v>
      </c>
      <c r="B197" s="2">
        <v>51.5</v>
      </c>
    </row>
    <row r="198" spans="1:2" ht="15.75">
      <c r="A198" t="s">
        <v>198</v>
      </c>
      <c r="B198" s="2">
        <v>50.4</v>
      </c>
    </row>
    <row r="199" spans="1:2" ht="15.75">
      <c r="A199" t="s">
        <v>199</v>
      </c>
      <c r="B199" s="2">
        <v>42.3</v>
      </c>
    </row>
    <row r="200" spans="1:2" ht="15.75">
      <c r="A200" t="s">
        <v>200</v>
      </c>
      <c r="B200" s="2">
        <v>46.1</v>
      </c>
    </row>
    <row r="201" spans="1:2" ht="15.75">
      <c r="A201" t="s">
        <v>201</v>
      </c>
      <c r="B201" s="2">
        <v>71.599999999999994</v>
      </c>
    </row>
    <row r="202" spans="1:2" ht="15.75">
      <c r="A202" t="s">
        <v>202</v>
      </c>
      <c r="B202" s="2">
        <v>71.099999999999994</v>
      </c>
    </row>
    <row r="203" spans="1:2" ht="15.75">
      <c r="A203" t="s">
        <v>203</v>
      </c>
      <c r="B203" s="2">
        <v>66.2</v>
      </c>
    </row>
    <row r="204" spans="1:2" ht="15.75">
      <c r="A204" t="s">
        <v>204</v>
      </c>
      <c r="B204" s="2">
        <v>43</v>
      </c>
    </row>
    <row r="205" spans="1:2" ht="15.75">
      <c r="A205" t="s">
        <v>205</v>
      </c>
      <c r="B205" s="2">
        <v>68.2</v>
      </c>
    </row>
    <row r="206" spans="1:2" ht="15.75">
      <c r="A206" t="s">
        <v>206</v>
      </c>
      <c r="B206" s="2">
        <v>57.2</v>
      </c>
    </row>
    <row r="207" spans="1:2" ht="15.75">
      <c r="A207" t="s">
        <v>207</v>
      </c>
      <c r="B207" s="2">
        <v>52</v>
      </c>
    </row>
    <row r="208" spans="1:2" ht="15.75">
      <c r="A208" t="s">
        <v>208</v>
      </c>
      <c r="B208" s="2">
        <v>52.3</v>
      </c>
    </row>
    <row r="209" spans="1:2" ht="15.75">
      <c r="A209" t="s">
        <v>209</v>
      </c>
      <c r="B209" s="2">
        <v>49</v>
      </c>
    </row>
    <row r="210" spans="1:2" ht="15.75">
      <c r="A210" t="s">
        <v>210</v>
      </c>
      <c r="B210" s="2">
        <v>57.3</v>
      </c>
    </row>
    <row r="211" spans="1:2" ht="15.75">
      <c r="A211" t="s">
        <v>211</v>
      </c>
      <c r="B211" s="2">
        <v>59.9</v>
      </c>
    </row>
    <row r="212" spans="1:2" ht="15.75">
      <c r="A212" t="s">
        <v>212</v>
      </c>
      <c r="B212" s="2">
        <v>39.6</v>
      </c>
    </row>
    <row r="213" spans="1:2" ht="15.75">
      <c r="A213" t="s">
        <v>328</v>
      </c>
      <c r="B213" s="5">
        <v>0</v>
      </c>
    </row>
    <row r="214" spans="1:2" ht="15.75">
      <c r="A214" t="s">
        <v>213</v>
      </c>
      <c r="B214" s="2">
        <v>54.8</v>
      </c>
    </row>
    <row r="215" spans="1:2" ht="15.75">
      <c r="A215" t="s">
        <v>214</v>
      </c>
      <c r="B215" s="2">
        <v>61.5</v>
      </c>
    </row>
    <row r="216" spans="1:2" ht="15.75">
      <c r="A216" t="s">
        <v>215</v>
      </c>
      <c r="B216" s="2">
        <v>45.4</v>
      </c>
    </row>
    <row r="217" spans="1:2" ht="15.75">
      <c r="A217" t="s">
        <v>5</v>
      </c>
      <c r="B217" s="2">
        <v>46.2</v>
      </c>
    </row>
    <row r="218" spans="1:2" ht="15.75">
      <c r="A218" t="s">
        <v>216</v>
      </c>
      <c r="B218" s="2">
        <v>29.6</v>
      </c>
    </row>
    <row r="219" spans="1:2" ht="15.75">
      <c r="A219" t="s">
        <v>217</v>
      </c>
      <c r="B219" s="2">
        <v>43</v>
      </c>
    </row>
    <row r="220" spans="1:2" ht="15.75">
      <c r="A220" t="s">
        <v>218</v>
      </c>
      <c r="B220" s="2">
        <v>47.5</v>
      </c>
    </row>
    <row r="221" spans="1:2" ht="15.75">
      <c r="A221" t="s">
        <v>219</v>
      </c>
      <c r="B221" s="2">
        <v>43.5</v>
      </c>
    </row>
    <row r="222" spans="1:2" ht="15.75">
      <c r="A222" t="s">
        <v>220</v>
      </c>
      <c r="B222" s="2">
        <v>52.1</v>
      </c>
    </row>
    <row r="223" spans="1:2" ht="15.75">
      <c r="A223" t="s">
        <v>221</v>
      </c>
      <c r="B223" s="2">
        <v>39.4</v>
      </c>
    </row>
    <row r="224" spans="1:2" ht="15.75">
      <c r="A224" t="s">
        <v>222</v>
      </c>
      <c r="B224" s="2">
        <v>51</v>
      </c>
    </row>
    <row r="225" spans="1:2" ht="15.75">
      <c r="A225" t="s">
        <v>223</v>
      </c>
      <c r="B225" s="2">
        <v>40.200000000000003</v>
      </c>
    </row>
    <row r="226" spans="1:2" ht="15.75">
      <c r="A226" t="s">
        <v>224</v>
      </c>
      <c r="B226" s="2">
        <v>51.6</v>
      </c>
    </row>
    <row r="227" spans="1:2" ht="15.75">
      <c r="A227" t="s">
        <v>225</v>
      </c>
      <c r="B227" s="2">
        <v>49.5</v>
      </c>
    </row>
    <row r="228" spans="1:2" ht="15.75">
      <c r="A228" t="s">
        <v>226</v>
      </c>
      <c r="B228" s="2">
        <v>71.400000000000006</v>
      </c>
    </row>
    <row r="229" spans="1:2" ht="15.75">
      <c r="A229" t="s">
        <v>227</v>
      </c>
      <c r="B229" s="2">
        <v>44.9</v>
      </c>
    </row>
    <row r="230" spans="1:2" ht="15.75">
      <c r="A230" t="s">
        <v>228</v>
      </c>
      <c r="B230" s="2">
        <v>50.5</v>
      </c>
    </row>
    <row r="231" spans="1:2" ht="15.75">
      <c r="A231" t="s">
        <v>229</v>
      </c>
      <c r="B231" s="2">
        <v>51.1</v>
      </c>
    </row>
    <row r="232" spans="1:2" ht="15.75">
      <c r="A232" t="s">
        <v>230</v>
      </c>
      <c r="B232" s="2">
        <v>48.8</v>
      </c>
    </row>
    <row r="233" spans="1:2" ht="15.75">
      <c r="A233" t="s">
        <v>231</v>
      </c>
      <c r="B233" s="2">
        <v>42.6</v>
      </c>
    </row>
    <row r="234" spans="1:2" ht="15.75">
      <c r="A234" t="s">
        <v>232</v>
      </c>
      <c r="B234" s="2">
        <v>42.8</v>
      </c>
    </row>
    <row r="235" spans="1:2" ht="15.75">
      <c r="A235" t="s">
        <v>233</v>
      </c>
      <c r="B235" s="2">
        <v>51.3</v>
      </c>
    </row>
    <row r="236" spans="1:2" ht="15.75">
      <c r="A236" t="s">
        <v>234</v>
      </c>
      <c r="B236" s="2">
        <v>47</v>
      </c>
    </row>
    <row r="237" spans="1:2" ht="15.75">
      <c r="A237" t="s">
        <v>235</v>
      </c>
      <c r="B237" s="2">
        <v>67.8</v>
      </c>
    </row>
    <row r="238" spans="1:2" ht="15.75">
      <c r="A238" t="s">
        <v>236</v>
      </c>
      <c r="B238" s="2">
        <v>56.4</v>
      </c>
    </row>
    <row r="239" spans="1:2" ht="15.75">
      <c r="A239" t="s">
        <v>237</v>
      </c>
      <c r="B239" s="2">
        <v>52.2</v>
      </c>
    </row>
    <row r="240" spans="1:2" ht="15.75">
      <c r="A240" t="s">
        <v>238</v>
      </c>
      <c r="B240" s="2">
        <v>51.9</v>
      </c>
    </row>
    <row r="241" spans="1:2" ht="15.75">
      <c r="A241" t="s">
        <v>239</v>
      </c>
      <c r="B241" s="2">
        <v>39.1</v>
      </c>
    </row>
    <row r="242" spans="1:2" ht="15.75">
      <c r="A242" t="s">
        <v>240</v>
      </c>
      <c r="B242" s="2">
        <v>36.9</v>
      </c>
    </row>
    <row r="243" spans="1:2" ht="15.75">
      <c r="A243" t="s">
        <v>241</v>
      </c>
      <c r="B243" s="2">
        <v>71.7</v>
      </c>
    </row>
    <row r="244" spans="1:2" ht="15.75">
      <c r="A244" t="s">
        <v>242</v>
      </c>
      <c r="B244" s="2">
        <v>48.8</v>
      </c>
    </row>
    <row r="245" spans="1:2" ht="15.75">
      <c r="A245" t="s">
        <v>243</v>
      </c>
      <c r="B245" s="2">
        <v>49</v>
      </c>
    </row>
    <row r="246" spans="1:2" ht="15.75">
      <c r="A246" t="s">
        <v>244</v>
      </c>
      <c r="B246" s="2">
        <v>47.2</v>
      </c>
    </row>
    <row r="247" spans="1:2" ht="15.75">
      <c r="A247" t="s">
        <v>245</v>
      </c>
      <c r="B247" s="2">
        <v>55.6</v>
      </c>
    </row>
    <row r="248" spans="1:2" ht="15.75">
      <c r="A248" t="s">
        <v>246</v>
      </c>
      <c r="B248" s="2">
        <v>46.5</v>
      </c>
    </row>
    <row r="249" spans="1:2" ht="15.75">
      <c r="A249" t="s">
        <v>247</v>
      </c>
      <c r="B249" s="2">
        <v>52</v>
      </c>
    </row>
    <row r="250" spans="1:2" ht="15.75">
      <c r="A250" t="s">
        <v>248</v>
      </c>
      <c r="B250" s="2">
        <v>35.1</v>
      </c>
    </row>
    <row r="251" spans="1:2" ht="15.75">
      <c r="A251" t="s">
        <v>249</v>
      </c>
      <c r="B251" s="2">
        <v>45.3</v>
      </c>
    </row>
    <row r="252" spans="1:2" ht="15.75">
      <c r="A252" t="s">
        <v>250</v>
      </c>
      <c r="B252" s="2">
        <v>44.2</v>
      </c>
    </row>
    <row r="253" spans="1:2" ht="15.75">
      <c r="A253" t="s">
        <v>251</v>
      </c>
      <c r="B253" s="2">
        <v>49.1</v>
      </c>
    </row>
    <row r="254" spans="1:2" ht="15.75">
      <c r="A254" t="s">
        <v>252</v>
      </c>
      <c r="B254" s="2">
        <v>43.8</v>
      </c>
    </row>
    <row r="255" spans="1:2" ht="15.75">
      <c r="A255" t="s">
        <v>253</v>
      </c>
      <c r="B255" s="2">
        <v>49</v>
      </c>
    </row>
    <row r="256" spans="1:2" ht="15.75">
      <c r="A256" t="s">
        <v>254</v>
      </c>
      <c r="B256" s="2">
        <v>35.799999999999997</v>
      </c>
    </row>
    <row r="257" spans="1:2" ht="15.75">
      <c r="A257" t="s">
        <v>255</v>
      </c>
      <c r="B257" s="2">
        <v>38.1</v>
      </c>
    </row>
    <row r="258" spans="1:2" ht="15.75">
      <c r="A258" t="s">
        <v>256</v>
      </c>
      <c r="B258" s="2">
        <v>49.1</v>
      </c>
    </row>
    <row r="259" spans="1:2" ht="15.75">
      <c r="A259" t="s">
        <v>257</v>
      </c>
      <c r="B259" s="2">
        <v>48.2</v>
      </c>
    </row>
    <row r="260" spans="1:2" ht="15.75">
      <c r="A260" t="s">
        <v>258</v>
      </c>
      <c r="B260" s="2">
        <v>40.6</v>
      </c>
    </row>
    <row r="261" spans="1:2" ht="15.75">
      <c r="A261" t="s">
        <v>259</v>
      </c>
      <c r="B261" s="2">
        <v>61.5</v>
      </c>
    </row>
    <row r="262" spans="1:2" ht="15.75">
      <c r="A262" t="s">
        <v>260</v>
      </c>
      <c r="B262" s="2">
        <v>36.6</v>
      </c>
    </row>
    <row r="263" spans="1:2" ht="15.75">
      <c r="A263" t="s">
        <v>261</v>
      </c>
      <c r="B263" s="2">
        <v>47.4</v>
      </c>
    </row>
    <row r="264" spans="1:2" ht="15.75">
      <c r="A264" t="s">
        <v>262</v>
      </c>
      <c r="B264" s="2">
        <v>44.2</v>
      </c>
    </row>
    <row r="265" spans="1:2" ht="15.75">
      <c r="A265" t="s">
        <v>263</v>
      </c>
      <c r="B265" s="2">
        <v>42</v>
      </c>
    </row>
    <row r="266" spans="1:2" ht="15.75">
      <c r="A266" t="s">
        <v>264</v>
      </c>
      <c r="B266" s="2">
        <v>48.7</v>
      </c>
    </row>
    <row r="267" spans="1:2" ht="15.75">
      <c r="A267" t="s">
        <v>265</v>
      </c>
      <c r="B267" s="2">
        <v>51.1</v>
      </c>
    </row>
    <row r="268" spans="1:2" ht="15.75">
      <c r="A268" t="s">
        <v>266</v>
      </c>
      <c r="B268" s="2">
        <v>75.400000000000006</v>
      </c>
    </row>
    <row r="269" spans="1:2" ht="15.75">
      <c r="A269" t="s">
        <v>267</v>
      </c>
      <c r="B269" s="2">
        <v>52.1</v>
      </c>
    </row>
    <row r="270" spans="1:2" ht="15.75">
      <c r="A270" t="s">
        <v>9</v>
      </c>
      <c r="B270" s="2">
        <v>48.8</v>
      </c>
    </row>
    <row r="271" spans="1:2" ht="15.75">
      <c r="A271" t="s">
        <v>268</v>
      </c>
      <c r="B271" s="2">
        <v>39.6</v>
      </c>
    </row>
    <row r="272" spans="1:2" ht="15.75">
      <c r="A272" t="s">
        <v>269</v>
      </c>
      <c r="B272" s="2">
        <v>49.2</v>
      </c>
    </row>
    <row r="273" spans="1:2" ht="15.75">
      <c r="A273" t="s">
        <v>270</v>
      </c>
      <c r="B273" s="2">
        <v>35.4</v>
      </c>
    </row>
    <row r="274" spans="1:2" ht="15.75">
      <c r="A274" t="s">
        <v>271</v>
      </c>
      <c r="B274" s="2">
        <v>47.7</v>
      </c>
    </row>
    <row r="275" spans="1:2" ht="15.75">
      <c r="A275" t="s">
        <v>272</v>
      </c>
      <c r="B275" s="2">
        <v>45.6</v>
      </c>
    </row>
    <row r="276" spans="1:2" ht="15.75">
      <c r="A276" t="s">
        <v>273</v>
      </c>
      <c r="B276" s="2">
        <v>47.6</v>
      </c>
    </row>
    <row r="277" spans="1:2" ht="15.75">
      <c r="A277" t="s">
        <v>274</v>
      </c>
      <c r="B277" s="2">
        <v>44.1</v>
      </c>
    </row>
    <row r="278" spans="1:2" ht="15.75">
      <c r="A278" t="s">
        <v>275</v>
      </c>
      <c r="B278" s="2">
        <v>49.1</v>
      </c>
    </row>
    <row r="279" spans="1:2" ht="15.75">
      <c r="A279" t="s">
        <v>276</v>
      </c>
      <c r="B279" s="2">
        <v>58.7</v>
      </c>
    </row>
    <row r="280" spans="1:2" ht="15.75">
      <c r="A280" t="s">
        <v>277</v>
      </c>
      <c r="B280" s="2">
        <v>48.3</v>
      </c>
    </row>
    <row r="281" spans="1:2" ht="15.75">
      <c r="A281" t="s">
        <v>278</v>
      </c>
      <c r="B281" s="2">
        <v>44</v>
      </c>
    </row>
    <row r="282" spans="1:2" ht="15.75">
      <c r="A282" t="s">
        <v>279</v>
      </c>
      <c r="B282" s="2">
        <v>51.2</v>
      </c>
    </row>
    <row r="283" spans="1:2" ht="15.75">
      <c r="A283" t="s">
        <v>280</v>
      </c>
      <c r="B283" s="2">
        <v>35.5</v>
      </c>
    </row>
    <row r="284" spans="1:2" ht="15.75">
      <c r="A284" t="s">
        <v>281</v>
      </c>
      <c r="B284" s="2">
        <v>52.9</v>
      </c>
    </row>
    <row r="285" spans="1:2" ht="15.75">
      <c r="A285" t="s">
        <v>282</v>
      </c>
      <c r="B285" s="2">
        <v>56.7</v>
      </c>
    </row>
    <row r="286" spans="1:2" ht="15.75">
      <c r="A286" t="s">
        <v>283</v>
      </c>
      <c r="B286" s="2">
        <v>72.8</v>
      </c>
    </row>
    <row r="287" spans="1:2" ht="15.75">
      <c r="A287" t="s">
        <v>284</v>
      </c>
      <c r="B287" s="2">
        <v>51</v>
      </c>
    </row>
    <row r="288" spans="1:2" ht="15.75">
      <c r="A288" t="s">
        <v>285</v>
      </c>
      <c r="B288" s="2">
        <v>39.799999999999997</v>
      </c>
    </row>
    <row r="289" spans="1:2" ht="15.75">
      <c r="A289" t="s">
        <v>286</v>
      </c>
      <c r="B289" s="2">
        <v>48.5</v>
      </c>
    </row>
    <row r="290" spans="1:2" ht="15.75">
      <c r="A290" t="s">
        <v>287</v>
      </c>
      <c r="B290" s="2">
        <v>36.200000000000003</v>
      </c>
    </row>
    <row r="291" spans="1:2" ht="15.75">
      <c r="A291" t="s">
        <v>288</v>
      </c>
      <c r="B291" s="2">
        <v>42.9</v>
      </c>
    </row>
    <row r="292" spans="1:2" ht="15.75">
      <c r="A292" t="s">
        <v>289</v>
      </c>
      <c r="B292" s="2">
        <v>50.2</v>
      </c>
    </row>
    <row r="293" spans="1:2" ht="15.75">
      <c r="A293" t="s">
        <v>290</v>
      </c>
      <c r="B293" s="2">
        <v>82.9</v>
      </c>
    </row>
    <row r="294" spans="1:2" ht="15.75">
      <c r="A294" t="s">
        <v>291</v>
      </c>
      <c r="B294" s="2">
        <v>57.9</v>
      </c>
    </row>
    <row r="295" spans="1:2" ht="15.75">
      <c r="A295" t="s">
        <v>292</v>
      </c>
      <c r="B295" s="2">
        <v>40.9</v>
      </c>
    </row>
    <row r="296" spans="1:2" ht="15.75">
      <c r="A296" t="s">
        <v>6</v>
      </c>
      <c r="B296" s="2">
        <v>44.2</v>
      </c>
    </row>
    <row r="297" spans="1:2" ht="15.75">
      <c r="A297" t="s">
        <v>293</v>
      </c>
      <c r="B297" s="2">
        <v>46.1</v>
      </c>
    </row>
    <row r="298" spans="1:2" ht="15.75">
      <c r="A298" t="s">
        <v>294</v>
      </c>
      <c r="B298" s="2">
        <v>43.5</v>
      </c>
    </row>
    <row r="299" spans="1:2" ht="15.75">
      <c r="A299" t="s">
        <v>295</v>
      </c>
      <c r="B299" s="2">
        <v>66.2</v>
      </c>
    </row>
    <row r="300" spans="1:2" ht="15.75">
      <c r="A300" t="s">
        <v>296</v>
      </c>
      <c r="B300" s="2">
        <v>50.7</v>
      </c>
    </row>
    <row r="301" spans="1:2" ht="15.75">
      <c r="A301" t="s">
        <v>297</v>
      </c>
      <c r="B301" s="2">
        <v>46.2</v>
      </c>
    </row>
    <row r="302" spans="1:2" ht="15.75">
      <c r="A302" t="s">
        <v>298</v>
      </c>
      <c r="B302" s="2">
        <v>56</v>
      </c>
    </row>
    <row r="303" spans="1:2" ht="15.75">
      <c r="A303" t="s">
        <v>299</v>
      </c>
      <c r="B303" s="2">
        <v>37.700000000000003</v>
      </c>
    </row>
    <row r="304" spans="1:2" ht="15.75">
      <c r="A304" t="s">
        <v>300</v>
      </c>
      <c r="B304" s="2">
        <v>40</v>
      </c>
    </row>
    <row r="305" spans="1:2" ht="15.75">
      <c r="A305" t="s">
        <v>301</v>
      </c>
      <c r="B305" s="2">
        <v>46.2</v>
      </c>
    </row>
    <row r="306" spans="1:2" ht="15.75">
      <c r="A306" t="s">
        <v>302</v>
      </c>
      <c r="B306" s="2">
        <v>34.9</v>
      </c>
    </row>
    <row r="307" spans="1:2" ht="15.75">
      <c r="A307" t="s">
        <v>303</v>
      </c>
      <c r="B307" s="2">
        <v>58.8</v>
      </c>
    </row>
    <row r="308" spans="1:2" ht="15.75">
      <c r="A308" t="s">
        <v>304</v>
      </c>
      <c r="B308" s="2">
        <v>71.400000000000006</v>
      </c>
    </row>
    <row r="309" spans="1:2" ht="15.75">
      <c r="A309" t="s">
        <v>305</v>
      </c>
      <c r="B309" s="2">
        <v>50.8</v>
      </c>
    </row>
    <row r="310" spans="1:2" ht="15.75">
      <c r="A310" t="s">
        <v>306</v>
      </c>
      <c r="B310" s="2">
        <v>51.3</v>
      </c>
    </row>
    <row r="311" spans="1:2" ht="15.75">
      <c r="A311" t="s">
        <v>307</v>
      </c>
      <c r="B311" s="2">
        <v>56.8</v>
      </c>
    </row>
    <row r="312" spans="1:2" ht="15.75">
      <c r="A312" t="s">
        <v>308</v>
      </c>
      <c r="B312" s="2">
        <v>44.2</v>
      </c>
    </row>
    <row r="313" spans="1:2" ht="15.75">
      <c r="A313" t="s">
        <v>309</v>
      </c>
      <c r="B313" s="2">
        <v>51</v>
      </c>
    </row>
    <row r="314" spans="1:2" ht="15.75">
      <c r="A314" t="s">
        <v>309</v>
      </c>
      <c r="B314" s="2">
        <v>49.4</v>
      </c>
    </row>
    <row r="315" spans="1:2" ht="15.75">
      <c r="A315" t="s">
        <v>310</v>
      </c>
      <c r="B315" s="2">
        <v>51.6</v>
      </c>
    </row>
    <row r="316" spans="1:2" ht="15.75">
      <c r="A316" t="s">
        <v>311</v>
      </c>
      <c r="B316" s="2">
        <v>49.5</v>
      </c>
    </row>
    <row r="317" spans="1:2" ht="15.75">
      <c r="A317" t="s">
        <v>312</v>
      </c>
      <c r="B317" s="2">
        <v>41.4</v>
      </c>
    </row>
    <row r="318" spans="1:2" ht="15.75">
      <c r="A318" t="s">
        <v>313</v>
      </c>
      <c r="B318" s="2">
        <v>44.3</v>
      </c>
    </row>
    <row r="319" spans="1:2" ht="15.75">
      <c r="A319" t="s">
        <v>314</v>
      </c>
      <c r="B319" s="2">
        <v>39.200000000000003</v>
      </c>
    </row>
    <row r="320" spans="1:2" ht="15.75">
      <c r="A320" t="s">
        <v>315</v>
      </c>
      <c r="B320" s="2">
        <v>46.7</v>
      </c>
    </row>
    <row r="321" spans="1:2" ht="15.75">
      <c r="A321" t="s">
        <v>316</v>
      </c>
      <c r="B321" s="2">
        <v>71.599999999999994</v>
      </c>
    </row>
    <row r="322" spans="1:2" ht="15.75">
      <c r="A322" t="s">
        <v>317</v>
      </c>
      <c r="B322" s="2">
        <v>52.8</v>
      </c>
    </row>
  </sheetData>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MAWA and ETWU</vt:lpstr>
      <vt:lpstr>Additional Hydrozones</vt:lpstr>
      <vt:lpstr>ETo Values</vt:lpstr>
      <vt:lpstr>City</vt:lpstr>
      <vt:lpstr>'Additional Hydrozones'!Print_Area</vt:lpstr>
      <vt:lpstr>'MAWA and ETWU'!Print_Area</vt:lpstr>
    </vt:vector>
  </TitlesOfParts>
  <Company>DWR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jchu</dc:creator>
  <cp:lastModifiedBy>ecooney</cp:lastModifiedBy>
  <cp:lastPrinted>2010-12-16T03:36:45Z</cp:lastPrinted>
  <dcterms:created xsi:type="dcterms:W3CDTF">2009-09-02T18:48:26Z</dcterms:created>
  <dcterms:modified xsi:type="dcterms:W3CDTF">2013-06-25T22:12:49Z</dcterms:modified>
</cp:coreProperties>
</file>